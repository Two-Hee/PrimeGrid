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표지·목차" sheetId="1" state="visible" r:id="rId1"/>
    <sheet name="02_버전이력" sheetId="2" state="visible" r:id="rId2"/>
    <sheet name="03_모델개요" sheetId="3" state="visible" r:id="rId3"/>
    <sheet name="04_계산식_명세" sheetId="4" state="visible" r:id="rId4"/>
    <sheet name="05_FACTOR_기준값" sheetId="5" state="visible" r:id="rId5"/>
    <sheet name="06_진단규칙" sheetId="6" state="visible" r:id="rId6"/>
    <sheet name="07_데이터사전" sheetId="7" state="visible" r:id="rId7"/>
    <sheet name="08_검증CASE" sheetId="8" state="visible" r:id="rId8"/>
    <sheet name="09_보고서구성" sheetId="9" state="visible" r:id="rId9"/>
    <sheet name="10_개발연계" sheetId="10" state="visible" r:id="rId10"/>
    <sheet name="11_발전량_모델" sheetId="11" state="visible" r:id="rId11"/>
    <sheet name="12_월별FACTOR" sheetId="12" state="visible" r:id="rId12"/>
    <sheet name="13_시나리오비교" sheetId="13" state="visible" r:id="rId13"/>
    <sheet name="14_지역·상수" sheetId="14" state="visible" r:id="rId14"/>
    <sheet name="15_태양기하" sheetId="15" state="visible" r:id="rId15"/>
    <sheet name="16_적용한계·참고" sheetId="16" state="visible" r:id="rId16"/>
    <sheet name="20_원자료" sheetId="17" state="visible" r:id="rId17"/>
    <sheet name="21_피벗_월별" sheetId="18" state="visible" r:id="rId18"/>
    <sheet name="22_피벗_연도별" sheetId="19" state="visible" r:id="rId19"/>
    <sheet name="23_피벗_계절패턴" sheetId="20" state="visible" r:id="rId20"/>
    <sheet name="24_차트" sheetId="21" state="visible" r:id="rId21"/>
    <sheet name="_시나리오계산" sheetId="22" state="hidden" r:id="rId22"/>
  </sheets>
  <definedNames>
    <definedName name="_xlnm.Print_Titles" localSheetId="2">'03_모델개요'!$5:$5</definedName>
    <definedName name="_xlnm.Print_Titles" localSheetId="3">'04_계산식_명세'!$15:$15</definedName>
    <definedName name="_xlnm.Print_Titles" localSheetId="4">'05_FACTOR_기준값'!$5:$5</definedName>
    <definedName name="_xlnm.Print_Titles" localSheetId="5">'06_진단규칙'!$5:$5</definedName>
    <definedName name="_xlnm.Print_Titles" localSheetId="6">'07_데이터사전'!$5:$5</definedName>
    <definedName name="_xlnm.Print_Titles" localSheetId="7">'08_검증CASE'!$5:$5</definedName>
    <definedName name="_xlnm.Print_Titles" localSheetId="8">'09_보고서구성'!$5:$5</definedName>
    <definedName name="_xlnm.Print_Titles" localSheetId="9">'10_개발연계'!$5:$5</definedName>
    <definedName name="_xlnm.Print_Titles" localSheetId="16">'20_원자료'!$1:$1</definedName>
    <definedName name="_xlnm.Print_Titles" localSheetId="17">'21_피벗_월별'!$3:$3</definedName>
    <definedName name="_xlnm.Print_Titles" localSheetId="18">'22_피벗_연도별'!$3:$3</definedName>
    <definedName name="_xlnm.Print_Titles" localSheetId="19">'23_피벗_계절패턴'!$3:$3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"/>
    <numFmt numFmtId="166" formatCode="0.0"/>
    <numFmt numFmtId="167" formatCode="0.0000"/>
    <numFmt numFmtId="168" formatCode="0.0%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95959"/>
      <sz val="9"/>
    </font>
    <font>
      <name val="맑은 고딕"/>
      <b val="1"/>
      <color rgb="001F3864"/>
      <sz val="11"/>
    </font>
    <font>
      <name val="맑은 고딕"/>
      <b val="1"/>
      <sz val="9.5"/>
    </font>
    <font>
      <name val="맑은 고딕"/>
      <sz val="9.5"/>
    </font>
    <font>
      <name val="맑은 고딕"/>
      <color rgb="00595959"/>
      <sz val="9"/>
    </font>
    <font>
      <name val="맑은 고딕"/>
      <color rgb="00008000"/>
      <sz val="9.5"/>
    </font>
    <font>
      <name val="맑은 고딕"/>
      <b val="1"/>
      <color rgb="00FFFFFF"/>
      <sz val="9.5"/>
    </font>
    <font>
      <name val="맑은 고딕"/>
      <color rgb="000563C1"/>
      <sz val="9.5"/>
      <u val="single"/>
    </font>
    <font>
      <name val="맑은 고딕"/>
      <b val="1"/>
      <color rgb="000000FF"/>
      <sz val="9.5"/>
    </font>
    <font>
      <name val="맑은 고딕"/>
      <color rgb="000563C1"/>
      <sz val="8.5"/>
      <u val="single"/>
    </font>
    <font>
      <name val="맑은 고딕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EDF2F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5" borderId="5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0" fillId="5" borderId="1" pivotButton="0" quotePrefix="0" xfId="0"/>
    <xf numFmtId="165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7" fontId="10" fillId="7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4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1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맑은 고딕"/>
        <b val="1"/>
        <color rgb="00C00000"/>
        <sz val="9.5"/>
      </font>
    </dxf>
    <dxf>
      <font>
        <name val="맑은 고딕"/>
        <color rgb="00C00000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시나리오별 연간 특성발전량 (kWh/kWp)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'13_시나리오비교'!G4</f>
            </strRef>
          </tx>
          <spPr>
            <a:ln>
              <a:prstDash val="solid"/>
            </a:ln>
          </spPr>
          <cat>
            <numRef>
              <f>'13_시나리오비교'!$A$5:$A$14</f>
            </numRef>
          </cat>
          <val>
            <numRef>
              <f>'13_시나리오비교'!$G$5:$G$14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kWh/kWp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연도별 지역 일사량 추이 (kWh/m²/년)</a:t>
            </a:r>
          </a:p>
        </rich>
      </tx>
    </title>
    <plotArea>
      <lineChart>
        <grouping val="standard"/>
        <ser>
          <idx val="0"/>
          <order val="0"/>
          <tx>
            <strRef>
              <f>'22_피벗_연도별'!B3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'22_피벗_연도별'!$B$4:$B$13</f>
            </numRef>
          </val>
          <smooth val="0"/>
        </ser>
        <ser>
          <idx val="1"/>
          <order val="1"/>
          <tx>
            <strRef>
              <f>'22_피벗_연도별'!C3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'22_피벗_연도별'!$C$4:$C$13</f>
            </numRef>
          </val>
          <smooth val="0"/>
        </ser>
        <ser>
          <idx val="2"/>
          <order val="2"/>
          <tx>
            <strRef>
              <f>'22_피벗_연도별'!D3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'22_피벗_연도별'!$D$4:$D$13</f>
            </numRef>
          </val>
          <smooth val="0"/>
        </ser>
        <ser>
          <idx val="3"/>
          <order val="3"/>
          <tx>
            <strRef>
              <f>'22_피벗_연도별'!E3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'22_피벗_연도별'!$E$4:$E$13</f>
            </numRef>
          </val>
          <smooth val="0"/>
        </ser>
        <ser>
          <idx val="4"/>
          <order val="4"/>
          <tx>
            <strRef>
              <f>'22_피벗_연도별'!F3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'22_피벗_연도별'!$F$4:$F$13</f>
            </numRef>
          </val>
          <smooth val="0"/>
        </ser>
        <ser>
          <idx val="5"/>
          <order val="5"/>
          <tx>
            <strRef>
              <f>'22_피벗_연도별'!G3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'22_피벗_연도별'!$G$4:$G$13</f>
            </numRef>
          </val>
          <smooth val="0"/>
        </ser>
        <ser>
          <idx val="6"/>
          <order val="6"/>
          <tx>
            <strRef>
              <f>'22_피벗_연도별'!H3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'22_피벗_연도별'!$H$4:$H$13</f>
            </numRef>
          </val>
          <smooth val="0"/>
        </ser>
        <ser>
          <idx val="7"/>
          <order val="7"/>
          <tx>
            <strRef>
              <f>'22_피벗_연도별'!I3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'22_피벗_연도별'!$I$4:$I$13</f>
            </numRef>
          </val>
          <smooth val="0"/>
        </ser>
        <ser>
          <idx val="8"/>
          <order val="8"/>
          <tx>
            <strRef>
              <f>'22_피벗_연도별'!J3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'22_피벗_연도별'!$J$4:$J$13</f>
            </numRef>
          </val>
          <smooth val="0"/>
        </ser>
        <ser>
          <idx val="9"/>
          <order val="9"/>
          <tx>
            <strRef>
              <f>'22_피벗_연도별'!K3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'22_피벗_연도별'!$A$4:$A$13</f>
            </numRef>
          </cat>
          <val>
            <numRef>
              <f>'22_피벗_연도별'!$K$4:$K$13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kWh/m²/년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달력월 계절 패턴 (kWh/m²/월)</a:t>
            </a:r>
          </a:p>
        </rich>
      </tx>
    </title>
    <plotArea>
      <lineChart>
        <grouping val="standard"/>
        <ser>
          <idx val="0"/>
          <order val="0"/>
          <tx>
            <strRef>
              <f>'23_피벗_계절패턴'!B3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'23_피벗_계절패턴'!$B$4:$B$15</f>
            </numRef>
          </val>
          <smooth val="0"/>
        </ser>
        <ser>
          <idx val="1"/>
          <order val="1"/>
          <tx>
            <strRef>
              <f>'23_피벗_계절패턴'!C3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'23_피벗_계절패턴'!$C$4:$C$15</f>
            </numRef>
          </val>
          <smooth val="0"/>
        </ser>
        <ser>
          <idx val="2"/>
          <order val="2"/>
          <tx>
            <strRef>
              <f>'23_피벗_계절패턴'!D3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'23_피벗_계절패턴'!$D$4:$D$15</f>
            </numRef>
          </val>
          <smooth val="0"/>
        </ser>
        <ser>
          <idx val="3"/>
          <order val="3"/>
          <tx>
            <strRef>
              <f>'23_피벗_계절패턴'!E3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'23_피벗_계절패턴'!$E$4:$E$15</f>
            </numRef>
          </val>
          <smooth val="0"/>
        </ser>
        <ser>
          <idx val="4"/>
          <order val="4"/>
          <tx>
            <strRef>
              <f>'23_피벗_계절패턴'!F3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'23_피벗_계절패턴'!$F$4:$F$15</f>
            </numRef>
          </val>
          <smooth val="0"/>
        </ser>
        <ser>
          <idx val="5"/>
          <order val="5"/>
          <tx>
            <strRef>
              <f>'23_피벗_계절패턴'!G3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'23_피벗_계절패턴'!$G$4:$G$15</f>
            </numRef>
          </val>
          <smooth val="0"/>
        </ser>
        <ser>
          <idx val="6"/>
          <order val="6"/>
          <tx>
            <strRef>
              <f>'23_피벗_계절패턴'!H3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'23_피벗_계절패턴'!$H$4:$H$15</f>
            </numRef>
          </val>
          <smooth val="0"/>
        </ser>
        <ser>
          <idx val="7"/>
          <order val="7"/>
          <tx>
            <strRef>
              <f>'23_피벗_계절패턴'!I3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'23_피벗_계절패턴'!$I$4:$I$15</f>
            </numRef>
          </val>
          <smooth val="0"/>
        </ser>
        <ser>
          <idx val="8"/>
          <order val="8"/>
          <tx>
            <strRef>
              <f>'23_피벗_계절패턴'!J3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'23_피벗_계절패턴'!$J$4:$J$15</f>
            </numRef>
          </val>
          <smooth val="0"/>
        </ser>
        <ser>
          <idx val="9"/>
          <order val="9"/>
          <tx>
            <strRef>
              <f>'23_피벗_계절패턴'!K3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'23_피벗_계절패턴'!$A$4:$A$15</f>
            </numRef>
          </cat>
          <val>
            <numRef>
              <f>'23_피벗_계절패턴'!$K$4:$K$15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kWh/m²/월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연도별 지역 일평균 일사량 (kWh/m²/일)</a:t>
            </a:r>
          </a:p>
        </rich>
      </tx>
    </title>
    <plotArea>
      <lineChart>
        <grouping val="standard"/>
        <ser>
          <idx val="0"/>
          <order val="0"/>
          <tx>
            <strRef>
              <f>'22_피벗_연도별'!O3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'22_피벗_연도별'!$O$4:$O$13</f>
            </numRef>
          </val>
          <smooth val="0"/>
        </ser>
        <ser>
          <idx val="1"/>
          <order val="1"/>
          <tx>
            <strRef>
              <f>'22_피벗_연도별'!P3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'22_피벗_연도별'!$P$4:$P$13</f>
            </numRef>
          </val>
          <smooth val="0"/>
        </ser>
        <ser>
          <idx val="2"/>
          <order val="2"/>
          <tx>
            <strRef>
              <f>'22_피벗_연도별'!Q3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'22_피벗_연도별'!$Q$4:$Q$13</f>
            </numRef>
          </val>
          <smooth val="0"/>
        </ser>
        <ser>
          <idx val="3"/>
          <order val="3"/>
          <tx>
            <strRef>
              <f>'22_피벗_연도별'!R3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'22_피벗_연도별'!$R$4:$R$13</f>
            </numRef>
          </val>
          <smooth val="0"/>
        </ser>
        <ser>
          <idx val="4"/>
          <order val="4"/>
          <tx>
            <strRef>
              <f>'22_피벗_연도별'!S3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'22_피벗_연도별'!$S$4:$S$13</f>
            </numRef>
          </val>
          <smooth val="0"/>
        </ser>
        <ser>
          <idx val="5"/>
          <order val="5"/>
          <tx>
            <strRef>
              <f>'22_피벗_연도별'!T3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'22_피벗_연도별'!$T$4:$T$13</f>
            </numRef>
          </val>
          <smooth val="0"/>
        </ser>
        <ser>
          <idx val="6"/>
          <order val="6"/>
          <tx>
            <strRef>
              <f>'22_피벗_연도별'!U3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'22_피벗_연도별'!$U$4:$U$13</f>
            </numRef>
          </val>
          <smooth val="0"/>
        </ser>
        <ser>
          <idx val="7"/>
          <order val="7"/>
          <tx>
            <strRef>
              <f>'22_피벗_연도별'!V3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'22_피벗_연도별'!$V$4:$V$13</f>
            </numRef>
          </val>
          <smooth val="0"/>
        </ser>
        <ser>
          <idx val="8"/>
          <order val="8"/>
          <tx>
            <strRef>
              <f>'22_피벗_연도별'!W3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'22_피벗_연도별'!$W$4:$W$13</f>
            </numRef>
          </val>
          <smooth val="0"/>
        </ser>
        <ser>
          <idx val="9"/>
          <order val="9"/>
          <tx>
            <strRef>
              <f>'22_피벗_연도별'!X3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'22_피벗_연도별'!$N$4:$N$13</f>
            </numRef>
          </cat>
          <val>
            <numRef>
              <f>'22_피벗_연도별'!$X$4:$X$13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kWh/m²/일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달력월 계절 패턴 - 일평균 (kWh/m²/일)</a:t>
            </a:r>
          </a:p>
        </rich>
      </tx>
    </title>
    <plotArea>
      <lineChart>
        <grouping val="standard"/>
        <ser>
          <idx val="0"/>
          <order val="0"/>
          <tx>
            <strRef>
              <f>'23_피벗_계절패턴'!O3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'23_피벗_계절패턴'!$O$4:$O$15</f>
            </numRef>
          </val>
          <smooth val="0"/>
        </ser>
        <ser>
          <idx val="1"/>
          <order val="1"/>
          <tx>
            <strRef>
              <f>'23_피벗_계절패턴'!P3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'23_피벗_계절패턴'!$P$4:$P$15</f>
            </numRef>
          </val>
          <smooth val="0"/>
        </ser>
        <ser>
          <idx val="2"/>
          <order val="2"/>
          <tx>
            <strRef>
              <f>'23_피벗_계절패턴'!Q3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'23_피벗_계절패턴'!$Q$4:$Q$15</f>
            </numRef>
          </val>
          <smooth val="0"/>
        </ser>
        <ser>
          <idx val="3"/>
          <order val="3"/>
          <tx>
            <strRef>
              <f>'23_피벗_계절패턴'!R3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'23_피벗_계절패턴'!$R$4:$R$15</f>
            </numRef>
          </val>
          <smooth val="0"/>
        </ser>
        <ser>
          <idx val="4"/>
          <order val="4"/>
          <tx>
            <strRef>
              <f>'23_피벗_계절패턴'!S3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'23_피벗_계절패턴'!$S$4:$S$15</f>
            </numRef>
          </val>
          <smooth val="0"/>
        </ser>
        <ser>
          <idx val="5"/>
          <order val="5"/>
          <tx>
            <strRef>
              <f>'23_피벗_계절패턴'!T3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'23_피벗_계절패턴'!$T$4:$T$15</f>
            </numRef>
          </val>
          <smooth val="0"/>
        </ser>
        <ser>
          <idx val="6"/>
          <order val="6"/>
          <tx>
            <strRef>
              <f>'23_피벗_계절패턴'!U3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'23_피벗_계절패턴'!$U$4:$U$15</f>
            </numRef>
          </val>
          <smooth val="0"/>
        </ser>
        <ser>
          <idx val="7"/>
          <order val="7"/>
          <tx>
            <strRef>
              <f>'23_피벗_계절패턴'!V3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'23_피벗_계절패턴'!$V$4:$V$15</f>
            </numRef>
          </val>
          <smooth val="0"/>
        </ser>
        <ser>
          <idx val="8"/>
          <order val="8"/>
          <tx>
            <strRef>
              <f>'23_피벗_계절패턴'!W3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'23_피벗_계절패턴'!$W$4:$W$15</f>
            </numRef>
          </val>
          <smooth val="0"/>
        </ser>
        <ser>
          <idx val="9"/>
          <order val="9"/>
          <tx>
            <strRef>
              <f>'23_피벗_계절패턴'!X3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'23_피벗_계절패턴'!$N$4:$N$15</f>
            </numRef>
          </cat>
          <val>
            <numRef>
              <f>'23_피벗_계절패턴'!$X$4:$X$15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kWh/m²/일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936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936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936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KWh" displayName="RawDataKWh" ref="A1:H1201" headerRowCount="1">
  <autoFilter ref="A1:H1201"/>
  <tableColumns count="8">
    <tableColumn id="1" name="지역명"/>
    <tableColumn id="2" name="연도"/>
    <tableColumn id="3" name="월"/>
    <tableColumn id="4" name="연월"/>
    <tableColumn id="5" name="일조합_hr"/>
    <tableColumn id="6" name="일사합_kWh_m2"/>
    <tableColumn id="7" name="일수"/>
    <tableColumn id="8" name="일평균_일사합_kWh_m2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54364;&#51648;&#183;&#47785;&#52264;'!A1" TargetMode="External" Id="rId1" /><Relationship Type="http://schemas.openxmlformats.org/officeDocument/2006/relationships/hyperlink" Target="#'02_&#48260;&#51204;&#51060;&#47141;'!A1" TargetMode="External" Id="rId2" /><Relationship Type="http://schemas.openxmlformats.org/officeDocument/2006/relationships/hyperlink" Target="#'03_&#47784;&#45944;&#44060;&#50836;'!A1" TargetMode="External" Id="rId3" /><Relationship Type="http://schemas.openxmlformats.org/officeDocument/2006/relationships/hyperlink" Target="#'04_&#44228;&#49328;&#49885;_&#47749;&#49464;'!A1" TargetMode="External" Id="rId4" /><Relationship Type="http://schemas.openxmlformats.org/officeDocument/2006/relationships/hyperlink" Target="#'05_FACTOR_&#44592;&#51456;&#44050;'!A1" TargetMode="External" Id="rId5" /><Relationship Type="http://schemas.openxmlformats.org/officeDocument/2006/relationships/hyperlink" Target="#'06_&#51652;&#45800;&#44508;&#52825;'!A1" TargetMode="External" Id="rId6" /><Relationship Type="http://schemas.openxmlformats.org/officeDocument/2006/relationships/hyperlink" Target="#'07_&#45936;&#51060;&#53552;&#49324;&#51204;'!A1" TargetMode="External" Id="rId7" /><Relationship Type="http://schemas.openxmlformats.org/officeDocument/2006/relationships/hyperlink" Target="#'08_&#44160;&#51613;CASE'!A1" TargetMode="External" Id="rId8" /><Relationship Type="http://schemas.openxmlformats.org/officeDocument/2006/relationships/hyperlink" Target="#'09_&#48372;&#44256;&#49436;&#44396;&#49457;'!A1" TargetMode="External" Id="rId9" /><Relationship Type="http://schemas.openxmlformats.org/officeDocument/2006/relationships/hyperlink" Target="#'10_&#44060;&#48156;&#50672;&#44228;'!A1" TargetMode="External" Id="rId10" /><Relationship Type="http://schemas.openxmlformats.org/officeDocument/2006/relationships/hyperlink" Target="#'11_&#48156;&#51204;&#47049;_&#47784;&#45944;'!A1" TargetMode="External" Id="rId11" /><Relationship Type="http://schemas.openxmlformats.org/officeDocument/2006/relationships/hyperlink" Target="#'12_&#50900;&#48324;FACTOR'!A1" TargetMode="External" Id="rId12" /><Relationship Type="http://schemas.openxmlformats.org/officeDocument/2006/relationships/hyperlink" Target="#'13_&#49884;&#45208;&#47532;&#50724;&#48708;&#44368;'!A1" TargetMode="External" Id="rId13" /><Relationship Type="http://schemas.openxmlformats.org/officeDocument/2006/relationships/hyperlink" Target="#'14_&#51648;&#50669;&#183;&#49345;&#49688;'!A1" TargetMode="External" Id="rId14" /><Relationship Type="http://schemas.openxmlformats.org/officeDocument/2006/relationships/hyperlink" Target="#'15_&#53468;&#50577;&#44592;&#54616;'!A1" TargetMode="External" Id="rId15" /><Relationship Type="http://schemas.openxmlformats.org/officeDocument/2006/relationships/hyperlink" Target="#'16_&#51201;&#50857;&#54620;&#44228;&#183;&#52280;&#44256;'!A1" TargetMode="External" Id="rId16" /><Relationship Type="http://schemas.openxmlformats.org/officeDocument/2006/relationships/hyperlink" Target="#'20_&#50896;&#51088;&#47308;'!A1" TargetMode="External" Id="rId17" /><Relationship Type="http://schemas.openxmlformats.org/officeDocument/2006/relationships/hyperlink" Target="#'21_&#54588;&#48279;_&#50900;&#48324;'!A1" TargetMode="External" Id="rId18" /><Relationship Type="http://schemas.openxmlformats.org/officeDocument/2006/relationships/hyperlink" Target="#'22_&#54588;&#48279;_&#50672;&#46020;&#48324;'!A1" TargetMode="External" Id="rId19" /><Relationship Type="http://schemas.openxmlformats.org/officeDocument/2006/relationships/hyperlink" Target="#'23_&#54588;&#48279;_&#44228;&#51208;&#54056;&#53556;'!A1" TargetMode="External" Id="rId20" /><Relationship Type="http://schemas.openxmlformats.org/officeDocument/2006/relationships/hyperlink" Target="#'24_&#52264;&#53944;'!A1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pvpmc.sandia.gov/modeling-guide/5-ac-system-output/pv-performance-metrics/performance-ratio/" TargetMode="External" Id="rId1" /><Relationship Type="http://schemas.openxmlformats.org/officeDocument/2006/relationships/hyperlink" Target="https://pvpmc.sandia.gov/modeling-guide/1-weather-design-inputs/plane-of-array-poa-irradiance/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data.kma.go.kr/" TargetMode="External" Id="rId1" /><Relationship Type="http://schemas.openxmlformats.org/officeDocument/2006/relationships/hyperlink" Target="https://doi.org/10.1016/0038-092X(82)90302-4" TargetMode="External" Id="rId2" /><Relationship Type="http://schemas.openxmlformats.org/officeDocument/2006/relationships/hyperlink" Target="https://pvpmc.sandia.gov/modeling-guide/1-weather-design-inputs/plane-of-array-poa-irradiance/" TargetMode="External" Id="rId3" /><Relationship Type="http://schemas.openxmlformats.org/officeDocument/2006/relationships/hyperlink" Target="https://pvpmc.sandia.gov/modeling-guide/1-weather-design-inputs/plane-of-array-poa-irradiance/calculating-poa-irradiance" TargetMode="External" Id="rId4" /><Relationship Type="http://schemas.openxmlformats.org/officeDocument/2006/relationships/hyperlink" Target="https://pvpmc.sandia.gov/modeling-guide/5-ac-system-output/pv-performance-metrics/performance-ratio/" TargetMode="External" Id="rId5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45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16" customWidth="1" min="4" max="4"/>
    <col width="14" customWidth="1" min="5" max="5"/>
    <col width="12" customWidth="1" min="6" max="6"/>
  </cols>
  <sheetData>
    <row r="1" ht="30" customHeight="1">
      <c r="A1" s="1" t="inlineStr">
        <is>
          <t>태양광 발전량 성능진단 기준모델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지역별 일사량 → 경사면 일사량(POA) → 발전량 → 성능진단으로 이어지는 계산 기준을 정의하는 통합 워크북입니다.</t>
        </is>
      </c>
    </row>
    <row r="4" ht="20" customHeight="1">
      <c r="A4" s="4" t="inlineStr">
        <is>
          <t>■ 문서 정보</t>
        </is>
      </c>
      <c r="B4" s="5" t="n"/>
      <c r="C4" s="5" t="n"/>
      <c r="D4" s="5" t="n"/>
      <c r="E4" s="5" t="n"/>
      <c r="F4" s="5" t="n"/>
    </row>
    <row r="5" ht="20" customHeight="1">
      <c r="A5" s="6" t="inlineStr">
        <is>
          <t>문서 버전</t>
        </is>
      </c>
      <c r="B5" s="7" t="inlineStr">
        <is>
          <t>v1.0</t>
        </is>
      </c>
      <c r="C5" s="8" t="n"/>
      <c r="D5" s="8" t="n"/>
      <c r="E5" s="9" t="inlineStr">
        <is>
          <t>본 워크북 정리 버전</t>
        </is>
      </c>
      <c r="F5" s="8" t="n"/>
    </row>
    <row r="6" ht="20" customHeight="1">
      <c r="A6" s="6" t="inlineStr">
        <is>
          <t>모델 버전</t>
        </is>
      </c>
      <c r="B6" s="7" t="inlineStr">
        <is>
          <t>MVP-0.2.0</t>
        </is>
      </c>
      <c r="C6" s="8" t="n"/>
      <c r="D6" s="8" t="n"/>
      <c r="E6" s="9" t="inlineStr">
        <is>
          <t>웹 프로그램(app.py)과 공유하는 계산모델 버전</t>
        </is>
      </c>
      <c r="F6" s="8" t="n"/>
    </row>
    <row r="7" ht="20" customHeight="1">
      <c r="A7" s="6" t="inlineStr">
        <is>
          <t>작성 기준일</t>
        </is>
      </c>
      <c r="B7" s="7" t="inlineStr">
        <is>
          <t>2026-08-03</t>
        </is>
      </c>
      <c r="C7" s="8" t="n"/>
      <c r="D7" s="8" t="n"/>
      <c r="E7" s="9" t="inlineStr">
        <is>
          <t>버전이력 시트 참조</t>
        </is>
      </c>
      <c r="F7" s="8" t="n"/>
    </row>
    <row r="8" ht="20" customHeight="1">
      <c r="A8" s="6" t="inlineStr">
        <is>
          <t>분석 기간</t>
        </is>
      </c>
      <c r="B8" s="7" t="inlineStr">
        <is>
          <t>2016년 1월 ~ 2025년 12월 (10개년)</t>
        </is>
      </c>
      <c r="C8" s="8" t="n"/>
      <c r="D8" s="8" t="n"/>
      <c r="E8" s="9" t="inlineStr">
        <is>
          <t>연 단위 완전 데이터</t>
        </is>
      </c>
      <c r="F8" s="8" t="n"/>
    </row>
    <row r="9" ht="20" customHeight="1">
      <c r="A9" s="6" t="inlineStr">
        <is>
          <t>대상 지역</t>
        </is>
      </c>
      <c r="B9" s="7" t="inlineStr">
        <is>
          <t>10개 권역 (서울경기·강원영동·강원영서·충북·충남·경북·경남·전북·전남·제주)</t>
        </is>
      </c>
      <c r="C9" s="8" t="n"/>
      <c r="D9" s="8" t="n"/>
      <c r="E9" s="9" t="inlineStr"/>
      <c r="F9" s="8" t="n"/>
    </row>
    <row r="10" ht="20" customHeight="1">
      <c r="A10" s="6" t="inlineStr">
        <is>
          <t>자료 출처</t>
        </is>
      </c>
      <c r="B10" s="7" t="inlineStr">
        <is>
          <t>기상청 기상자료개방포털 「기후통계분석 - 일조일사」 (data.kma.go.kr)</t>
        </is>
      </c>
      <c r="C10" s="8" t="n"/>
      <c r="D10" s="8" t="n"/>
      <c r="E10" s="9" t="inlineStr">
        <is>
          <t>MJ/m² ÷ 3.6 = kWh/m²</t>
        </is>
      </c>
      <c r="F10" s="8" t="n"/>
    </row>
    <row r="11" ht="20" customHeight="1">
      <c r="A11" s="6" t="inlineStr">
        <is>
          <t>용도</t>
        </is>
      </c>
      <c r="B11" s="7" t="inlineStr">
        <is>
          <t>예비 타당성·성능진단용 기준모델</t>
        </is>
      </c>
      <c r="C11" s="8" t="n"/>
      <c r="D11" s="8" t="n"/>
      <c r="E11" s="9" t="inlineStr">
        <is>
          <t>금융·성능보증용은 시간별 현장자료 적용 필요</t>
        </is>
      </c>
      <c r="F11" s="8" t="n"/>
    </row>
    <row r="13" ht="20" customHeight="1">
      <c r="A13" s="4" t="inlineStr">
        <is>
          <t>■ 요약 지표 (2016~2025 실측 자료 기준, 자동 계산)</t>
        </is>
      </c>
      <c r="B13" s="5" t="n"/>
      <c r="C13" s="5" t="n"/>
      <c r="D13" s="5" t="n"/>
      <c r="E13" s="5" t="n"/>
      <c r="F13" s="5" t="n"/>
    </row>
    <row r="14" ht="20" customHeight="1">
      <c r="A14" s="6" t="inlineStr">
        <is>
          <t>연평균 일사량 최고 권역</t>
        </is>
      </c>
      <c r="B14" s="10">
        <f>INDEX('22_피벗_연도별'!$B$3:$K$3,MATCH(MAX('22_피벗_연도별'!$B$14:$K$14),'22_피벗_연도별'!$B$14:$K$14,0))</f>
        <v/>
      </c>
      <c r="C14" s="8" t="n"/>
      <c r="D14" s="11">
        <f>MAX('22_피벗_연도별'!$B$14:$K$14)</f>
        <v/>
      </c>
      <c r="E14" s="12" t="inlineStr">
        <is>
          <t>kWh/m²/년</t>
        </is>
      </c>
      <c r="F14" s="8" t="n"/>
    </row>
    <row r="15" ht="20" customHeight="1">
      <c r="A15" s="6" t="inlineStr">
        <is>
          <t>일평균 일사량 최고 권역</t>
        </is>
      </c>
      <c r="B15" s="10">
        <f>INDEX('22_피벗_연도별'!$O$3:$X$3,MATCH(MAX('22_피벗_연도별'!$O$14:$X$14),'22_피벗_연도별'!$O$14:$X$14,0))</f>
        <v/>
      </c>
      <c r="C15" s="8" t="n"/>
      <c r="D15" s="13">
        <f>MAX('22_피벗_연도별'!$O$14:$X$14)</f>
        <v/>
      </c>
      <c r="E15" s="12" t="inlineStr">
        <is>
          <t>kWh/m²/일</t>
        </is>
      </c>
      <c r="F15" s="8" t="n"/>
    </row>
    <row r="16" ht="20" customHeight="1">
      <c r="A16" s="6" t="inlineStr">
        <is>
          <t>전국 평균 일사량</t>
        </is>
      </c>
      <c r="B16" s="10" t="inlineStr">
        <is>
          <t>10개 권역 평균</t>
        </is>
      </c>
      <c r="C16" s="8" t="n"/>
      <c r="D16" s="11">
        <f>AVERAGE('22_피벗_연도별'!$L$4:$L$13)</f>
        <v/>
      </c>
      <c r="E16" s="12" t="inlineStr">
        <is>
          <t>kWh/m²/년</t>
        </is>
      </c>
      <c r="F16" s="8" t="n"/>
    </row>
    <row r="17" ht="20" customHeight="1">
      <c r="A17" s="6" t="inlineStr">
        <is>
          <t>일사량 최대 월(계절 패턴)</t>
        </is>
      </c>
      <c r="B17" s="10">
        <f>INDEX('23_피벗_계절패턴'!$A$4:$A$15,MATCH(MAX('23_피벗_계절패턴'!$L$4:$L$15),'23_피벗_계절패턴'!$L$4:$L$15,0))&amp;"월"</f>
        <v/>
      </c>
      <c r="C17" s="8" t="n"/>
      <c r="D17" s="11">
        <f>MAX('23_피벗_계절패턴'!$L$4:$L$15)</f>
        <v/>
      </c>
      <c r="E17" s="12" t="inlineStr">
        <is>
          <t>kWh/m²/월</t>
        </is>
      </c>
      <c r="F17" s="8" t="n"/>
    </row>
    <row r="18" ht="20" customHeight="1">
      <c r="A18" s="6" t="inlineStr">
        <is>
          <t>일사량 최소 월(계절 패턴)</t>
        </is>
      </c>
      <c r="B18" s="10">
        <f>INDEX('23_피벗_계절패턴'!$A$4:$A$15,MATCH(MIN('23_피벗_계절패턴'!$L$4:$L$15),'23_피벗_계절패턴'!$L$4:$L$15,0))&amp;"월"</f>
        <v/>
      </c>
      <c r="C18" s="8" t="n"/>
      <c r="D18" s="11">
        <f>MIN('23_피벗_계절패턴'!$L$4:$L$15)</f>
        <v/>
      </c>
      <c r="E18" s="12" t="inlineStr">
        <is>
          <t>kWh/m²/월</t>
        </is>
      </c>
      <c r="F18" s="8" t="n"/>
    </row>
    <row r="19" ht="20" customHeight="1">
      <c r="A19" s="6" t="inlineStr">
        <is>
          <t>현재 입력 기준 연간 발전량</t>
        </is>
      </c>
      <c r="B19" s="10">
        <f>'11_발전량_모델'!$B$5&amp;" / 경사 "&amp;'11_발전량_모델'!$B$7&amp;"° / 방위 "&amp;'11_발전량_모델'!$B$8&amp;"°"</f>
        <v/>
      </c>
      <c r="C19" s="8" t="n"/>
      <c r="D19" s="11">
        <f>'11_발전량_모델'!$F$9</f>
        <v/>
      </c>
      <c r="E19" s="12" t="inlineStr">
        <is>
          <t>MWh/년</t>
        </is>
      </c>
      <c r="F19" s="8" t="n"/>
    </row>
    <row r="21" ht="20" customHeight="1">
      <c r="A21" s="4" t="inlineStr">
        <is>
          <t>■ 시트 목차</t>
        </is>
      </c>
      <c r="B21" s="5" t="n"/>
      <c r="C21" s="5" t="n"/>
      <c r="D21" s="5" t="n"/>
      <c r="E21" s="5" t="n"/>
      <c r="F21" s="5" t="n"/>
    </row>
    <row r="22" ht="22" customHeight="1">
      <c r="A22" s="14" t="inlineStr">
        <is>
          <t>No.</t>
        </is>
      </c>
      <c r="B22" s="14" t="inlineStr">
        <is>
          <t>시트</t>
        </is>
      </c>
      <c r="C22" s="14" t="inlineStr">
        <is>
          <t>내용</t>
        </is>
      </c>
      <c r="D22" s="15" t="n"/>
      <c r="E22" s="16" t="n"/>
    </row>
    <row r="23" ht="18" customHeight="1">
      <c r="A23" s="17" t="inlineStr">
        <is>
          <t>01</t>
        </is>
      </c>
      <c r="B23" s="18" t="inlineStr">
        <is>
          <t>01_표지·목차</t>
        </is>
      </c>
      <c r="C23" s="7" t="inlineStr">
        <is>
          <t>문서 개요, 요약 지표, 시트 목차</t>
        </is>
      </c>
      <c r="D23" s="8" t="n"/>
      <c r="E23" s="8" t="n"/>
      <c r="F23" s="17" t="inlineStr">
        <is>
          <t>표지</t>
        </is>
      </c>
    </row>
    <row r="24" ht="18" customHeight="1">
      <c r="A24" s="19" t="inlineStr">
        <is>
          <t>02</t>
        </is>
      </c>
      <c r="B24" s="20" t="inlineStr">
        <is>
          <t>02_버전이력</t>
        </is>
      </c>
      <c r="C24" s="21" t="inlineStr">
        <is>
          <t>모델·문서 버전 이력 및 구버전 시트 매핑</t>
        </is>
      </c>
      <c r="D24" s="22" t="n"/>
      <c r="E24" s="22" t="n"/>
      <c r="F24" s="19" t="inlineStr">
        <is>
          <t>기준문서</t>
        </is>
      </c>
    </row>
    <row r="25" ht="18" customHeight="1">
      <c r="A25" s="17" t="inlineStr">
        <is>
          <t>03</t>
        </is>
      </c>
      <c r="B25" s="18" t="inlineStr">
        <is>
          <t>03_모델개요</t>
        </is>
      </c>
      <c r="C25" s="7" t="inlineStr">
        <is>
          <t>간편·상세·전문가 모드별 기능과 구현 범위</t>
        </is>
      </c>
      <c r="D25" s="8" t="n"/>
      <c r="E25" s="8" t="n"/>
      <c r="F25" s="17" t="inlineStr">
        <is>
          <t>기준문서</t>
        </is>
      </c>
    </row>
    <row r="26" ht="18" customHeight="1">
      <c r="A26" s="19" t="inlineStr">
        <is>
          <t>04</t>
        </is>
      </c>
      <c r="B26" s="20" t="inlineStr">
        <is>
          <t>04_계산식_명세</t>
        </is>
      </c>
      <c r="C26" s="21" t="inlineStr">
        <is>
          <t>월별 계산 순서와 계산식 정의(코드·Excel 공통)</t>
        </is>
      </c>
      <c r="D26" s="22" t="n"/>
      <c r="E26" s="22" t="n"/>
      <c r="F26" s="19" t="inlineStr">
        <is>
          <t>기준문서</t>
        </is>
      </c>
    </row>
    <row r="27" ht="18" customHeight="1">
      <c r="A27" s="17" t="inlineStr">
        <is>
          <t>05</t>
        </is>
      </c>
      <c r="B27" s="18" t="inlineStr">
        <is>
          <t>05_FACTOR_기준값</t>
        </is>
      </c>
      <c r="C27" s="7" t="inlineStr">
        <is>
          <t>손실 FACTOR 기본값·권장범위·적용 기준</t>
        </is>
      </c>
      <c r="D27" s="8" t="n"/>
      <c r="E27" s="8" t="n"/>
      <c r="F27" s="17" t="inlineStr">
        <is>
          <t>기준문서</t>
        </is>
      </c>
    </row>
    <row r="28" ht="18" customHeight="1">
      <c r="A28" s="19" t="inlineStr">
        <is>
          <t>06</t>
        </is>
      </c>
      <c r="B28" s="20" t="inlineStr">
        <is>
          <t>06_진단규칙</t>
        </is>
      </c>
      <c r="C28" s="21" t="inlineStr">
        <is>
          <t>저하원인 진단규칙과 임계값</t>
        </is>
      </c>
      <c r="D28" s="22" t="n"/>
      <c r="E28" s="22" t="n"/>
      <c r="F28" s="19" t="inlineStr">
        <is>
          <t>기준문서</t>
        </is>
      </c>
    </row>
    <row r="29" ht="18" customHeight="1">
      <c r="A29" s="17" t="inlineStr">
        <is>
          <t>07</t>
        </is>
      </c>
      <c r="B29" s="18" t="inlineStr">
        <is>
          <t>07_데이터사전</t>
        </is>
      </c>
      <c r="C29" s="7" t="inlineStr">
        <is>
          <t>입력·출력 데이터 사전(API/보고서 공통)</t>
        </is>
      </c>
      <c r="D29" s="8" t="n"/>
      <c r="E29" s="8" t="n"/>
      <c r="F29" s="17" t="inlineStr">
        <is>
          <t>기준문서</t>
        </is>
      </c>
    </row>
    <row r="30" ht="18" customHeight="1">
      <c r="A30" s="19" t="inlineStr">
        <is>
          <t>08</t>
        </is>
      </c>
      <c r="B30" s="20" t="inlineStr">
        <is>
          <t>08_검증CASE</t>
        </is>
      </c>
      <c r="C30" s="21" t="inlineStr">
        <is>
          <t>계산·진단 검증 CASE 및 허용오차</t>
        </is>
      </c>
      <c r="D30" s="22" t="n"/>
      <c r="E30" s="22" t="n"/>
      <c r="F30" s="19" t="inlineStr">
        <is>
          <t>기준문서</t>
        </is>
      </c>
    </row>
    <row r="31" ht="18" customHeight="1">
      <c r="A31" s="17" t="inlineStr">
        <is>
          <t>09</t>
        </is>
      </c>
      <c r="B31" s="18" t="inlineStr">
        <is>
          <t>09_보고서구성</t>
        </is>
      </c>
      <c r="C31" s="7" t="inlineStr">
        <is>
          <t>PDF·PPT·Excel 산출물 구성</t>
        </is>
      </c>
      <c r="D31" s="8" t="n"/>
      <c r="E31" s="8" t="n"/>
      <c r="F31" s="17" t="inlineStr">
        <is>
          <t>기준문서</t>
        </is>
      </c>
    </row>
    <row r="32" ht="18" customHeight="1">
      <c r="A32" s="19" t="inlineStr">
        <is>
          <t>10</t>
        </is>
      </c>
      <c r="B32" s="20" t="inlineStr">
        <is>
          <t>10_개발연계</t>
        </is>
      </c>
      <c r="C32" s="21" t="inlineStr">
        <is>
          <t>웹 프로그램 연계 컴포넌트와 검증 방법</t>
        </is>
      </c>
      <c r="D32" s="22" t="n"/>
      <c r="E32" s="22" t="n"/>
      <c r="F32" s="19" t="inlineStr">
        <is>
          <t>기준문서</t>
        </is>
      </c>
    </row>
    <row r="33" ht="18" customHeight="1">
      <c r="A33" s="17" t="inlineStr">
        <is>
          <t>11</t>
        </is>
      </c>
      <c r="B33" s="18" t="inlineStr">
        <is>
          <t>11_발전량_모델</t>
        </is>
      </c>
      <c r="C33" s="7" t="inlineStr">
        <is>
          <t>지역·경사·방위·PR 입력 → 월/연간 POA 및 발전량 계산</t>
        </is>
      </c>
      <c r="D33" s="8" t="n"/>
      <c r="E33" s="8" t="n"/>
      <c r="F33" s="17" t="inlineStr">
        <is>
          <t>계산모델</t>
        </is>
      </c>
    </row>
    <row r="34" ht="18" customHeight="1">
      <c r="A34" s="19" t="inlineStr">
        <is>
          <t>12</t>
        </is>
      </c>
      <c r="B34" s="20" t="inlineStr">
        <is>
          <t>12_월별FACTOR</t>
        </is>
      </c>
      <c r="C34" s="21" t="inlineStr">
        <is>
          <t>월별 H0·Kt·산란비·Rb·View Factor 확인</t>
        </is>
      </c>
      <c r="D34" s="22" t="n"/>
      <c r="E34" s="22" t="n"/>
      <c r="F34" s="19" t="inlineStr">
        <is>
          <t>계산모델</t>
        </is>
      </c>
    </row>
    <row r="35" ht="18" customHeight="1">
      <c r="A35" s="17" t="inlineStr">
        <is>
          <t>13</t>
        </is>
      </c>
      <c r="B35" s="18" t="inlineStr">
        <is>
          <t>13_시나리오비교</t>
        </is>
      </c>
      <c r="C35" s="7" t="inlineStr">
        <is>
          <t>경사각·방위각 시나리오 10종 비교</t>
        </is>
      </c>
      <c r="D35" s="8" t="n"/>
      <c r="E35" s="8" t="n"/>
      <c r="F35" s="17" t="inlineStr">
        <is>
          <t>계산모델</t>
        </is>
      </c>
    </row>
    <row r="36" ht="18" customHeight="1">
      <c r="A36" s="19" t="inlineStr">
        <is>
          <t>14</t>
        </is>
      </c>
      <c r="B36" s="20" t="inlineStr">
        <is>
          <t>14_지역·상수</t>
        </is>
      </c>
      <c r="C36" s="21" t="inlineStr">
        <is>
          <t>지역 대표 위도와 모델 상수·기본값</t>
        </is>
      </c>
      <c r="D36" s="22" t="n"/>
      <c r="E36" s="22" t="n"/>
      <c r="F36" s="19" t="inlineStr">
        <is>
          <t>계산모델</t>
        </is>
      </c>
    </row>
    <row r="37" ht="18" customHeight="1">
      <c r="A37" s="17" t="inlineStr">
        <is>
          <t>15</t>
        </is>
      </c>
      <c r="B37" s="18" t="inlineStr">
        <is>
          <t>15_태양기하</t>
        </is>
      </c>
      <c r="C37" s="7" t="inlineStr">
        <is>
          <t>15분 태양벡터 적분에 의한 Rb·H0 산출 근거</t>
        </is>
      </c>
      <c r="D37" s="8" t="n"/>
      <c r="E37" s="8" t="n"/>
      <c r="F37" s="17" t="inlineStr">
        <is>
          <t>계산모델</t>
        </is>
      </c>
    </row>
    <row r="38" ht="18" customHeight="1">
      <c r="A38" s="19" t="inlineStr">
        <is>
          <t>16</t>
        </is>
      </c>
      <c r="B38" s="20" t="inlineStr">
        <is>
          <t>16_적용한계·참고</t>
        </is>
      </c>
      <c r="C38" s="21" t="inlineStr">
        <is>
          <t>적용 한계, 입력 기준, 참고 문헌</t>
        </is>
      </c>
      <c r="D38" s="22" t="n"/>
      <c r="E38" s="22" t="n"/>
      <c r="F38" s="19" t="inlineStr">
        <is>
          <t>계산모델</t>
        </is>
      </c>
    </row>
    <row r="39" ht="18" customHeight="1">
      <c r="A39" s="17" t="inlineStr">
        <is>
          <t>20</t>
        </is>
      </c>
      <c r="B39" s="18" t="inlineStr">
        <is>
          <t>20_원자료</t>
        </is>
      </c>
      <c r="C39" s="7" t="inlineStr">
        <is>
          <t>기상청 지역별 월 일사량 원자료 1,200행(kWh 환산)</t>
        </is>
      </c>
      <c r="D39" s="8" t="n"/>
      <c r="E39" s="8" t="n"/>
      <c r="F39" s="17" t="inlineStr">
        <is>
          <t>데이터</t>
        </is>
      </c>
    </row>
    <row r="40" ht="18" customHeight="1">
      <c r="A40" s="19" t="inlineStr">
        <is>
          <t>21</t>
        </is>
      </c>
      <c r="B40" s="20" t="inlineStr">
        <is>
          <t>21_피벗_월별</t>
        </is>
      </c>
      <c r="C40" s="21" t="inlineStr">
        <is>
          <t>연월×지역 피벗(월 합계 / 일평균)</t>
        </is>
      </c>
      <c r="D40" s="22" t="n"/>
      <c r="E40" s="22" t="n"/>
      <c r="F40" s="19" t="inlineStr">
        <is>
          <t>데이터</t>
        </is>
      </c>
    </row>
    <row r="41" ht="18" customHeight="1">
      <c r="A41" s="17" t="inlineStr">
        <is>
          <t>22</t>
        </is>
      </c>
      <c r="B41" s="18" t="inlineStr">
        <is>
          <t>22_피벗_연도별</t>
        </is>
      </c>
      <c r="C41" s="7" t="inlineStr">
        <is>
          <t>연도×지역 피벗(연 합계 / 일평균)</t>
        </is>
      </c>
      <c r="D41" s="8" t="n"/>
      <c r="E41" s="8" t="n"/>
      <c r="F41" s="17" t="inlineStr">
        <is>
          <t>데이터</t>
        </is>
      </c>
    </row>
    <row r="42" ht="18" customHeight="1">
      <c r="A42" s="19" t="inlineStr">
        <is>
          <t>23</t>
        </is>
      </c>
      <c r="B42" s="20" t="inlineStr">
        <is>
          <t>23_피벗_계절패턴</t>
        </is>
      </c>
      <c r="C42" s="21" t="inlineStr">
        <is>
          <t>달력월 기후평균 피벗(월 합계 / 일평균)</t>
        </is>
      </c>
      <c r="D42" s="22" t="n"/>
      <c r="E42" s="22" t="n"/>
      <c r="F42" s="19" t="inlineStr">
        <is>
          <t>데이터</t>
        </is>
      </c>
    </row>
    <row r="43" ht="18" customHeight="1">
      <c r="A43" s="17" t="inlineStr">
        <is>
          <t>24</t>
        </is>
      </c>
      <c r="B43" s="18" t="inlineStr">
        <is>
          <t>24_차트</t>
        </is>
      </c>
      <c r="C43" s="7" t="inlineStr">
        <is>
          <t>연도별 추이·계절 패턴 그래프</t>
        </is>
      </c>
      <c r="D43" s="8" t="n"/>
      <c r="E43" s="8" t="n"/>
      <c r="F43" s="17" t="inlineStr">
        <is>
          <t>데이터</t>
        </is>
      </c>
    </row>
    <row r="45">
      <c r="A45" s="23" t="inlineStr">
        <is>
          <t>※ 노란 배경·파란 글씨 셀만 사용자가 직접 입력하는 값이며, 그 외 셀은 수식으로 계산됩니다. 초록 글씨는 다른 시트를 참조하는 값입니다.</t>
        </is>
      </c>
    </row>
  </sheetData>
  <mergeCells count="54">
    <mergeCell ref="B11:D11"/>
    <mergeCell ref="B16:C16"/>
    <mergeCell ref="C41:E41"/>
    <mergeCell ref="C31:E31"/>
    <mergeCell ref="B8:D8"/>
    <mergeCell ref="C22:E22"/>
    <mergeCell ref="C40:E40"/>
    <mergeCell ref="E5:F5"/>
    <mergeCell ref="E14:F14"/>
    <mergeCell ref="B18:C18"/>
    <mergeCell ref="E17:F17"/>
    <mergeCell ref="A21:F21"/>
    <mergeCell ref="C43:E43"/>
    <mergeCell ref="E8:F8"/>
    <mergeCell ref="B10:D10"/>
    <mergeCell ref="A2:F2"/>
    <mergeCell ref="C36:E36"/>
    <mergeCell ref="C27:E27"/>
    <mergeCell ref="E10:F10"/>
    <mergeCell ref="C23:E23"/>
    <mergeCell ref="E19:F19"/>
    <mergeCell ref="C39:E39"/>
    <mergeCell ref="B9:D9"/>
    <mergeCell ref="B14:C14"/>
    <mergeCell ref="A4:F4"/>
    <mergeCell ref="B17:C17"/>
    <mergeCell ref="E9:F9"/>
    <mergeCell ref="B6:D6"/>
    <mergeCell ref="C32:E32"/>
    <mergeCell ref="C38:E38"/>
    <mergeCell ref="B5:D5"/>
    <mergeCell ref="E6:F6"/>
    <mergeCell ref="C28:E28"/>
    <mergeCell ref="A13:F13"/>
    <mergeCell ref="E15:F15"/>
    <mergeCell ref="C37:E37"/>
    <mergeCell ref="B19:C19"/>
    <mergeCell ref="E11:F11"/>
    <mergeCell ref="C30:E30"/>
    <mergeCell ref="B7:D7"/>
    <mergeCell ref="C34:E34"/>
    <mergeCell ref="C24:E24"/>
    <mergeCell ref="C42:E42"/>
    <mergeCell ref="C33:E33"/>
    <mergeCell ref="B15:C15"/>
    <mergeCell ref="E16:F16"/>
    <mergeCell ref="E7:F7"/>
    <mergeCell ref="A1:F1"/>
    <mergeCell ref="A45:F45"/>
    <mergeCell ref="C26:E26"/>
    <mergeCell ref="C29:E29"/>
    <mergeCell ref="E18:F18"/>
    <mergeCell ref="C35:E35"/>
    <mergeCell ref="C25:E25"/>
  </mergeCells>
  <hyperlinks>
    <hyperlink xmlns:r="http://schemas.openxmlformats.org/officeDocument/2006/relationships" ref="B23" r:id="rId1"/>
    <hyperlink xmlns:r="http://schemas.openxmlformats.org/officeDocument/2006/relationships" ref="B24" r:id="rId2"/>
    <hyperlink xmlns:r="http://schemas.openxmlformats.org/officeDocument/2006/relationships" ref="B25" r:id="rId3"/>
    <hyperlink xmlns:r="http://schemas.openxmlformats.org/officeDocument/2006/relationships" ref="B26" r:id="rId4"/>
    <hyperlink xmlns:r="http://schemas.openxmlformats.org/officeDocument/2006/relationships" ref="B27" r:id="rId5"/>
    <hyperlink xmlns:r="http://schemas.openxmlformats.org/officeDocument/2006/relationships" ref="B28" r:id="rId6"/>
    <hyperlink xmlns:r="http://schemas.openxmlformats.org/officeDocument/2006/relationships" ref="B29" r:id="rId7"/>
    <hyperlink xmlns:r="http://schemas.openxmlformats.org/officeDocument/2006/relationships" ref="B30" r:id="rId8"/>
    <hyperlink xmlns:r="http://schemas.openxmlformats.org/officeDocument/2006/relationships" ref="B31" r:id="rId9"/>
    <hyperlink xmlns:r="http://schemas.openxmlformats.org/officeDocument/2006/relationships" ref="B32" r:id="rId10"/>
    <hyperlink xmlns:r="http://schemas.openxmlformats.org/officeDocument/2006/relationships" ref="B33" r:id="rId11"/>
    <hyperlink xmlns:r="http://schemas.openxmlformats.org/officeDocument/2006/relationships" ref="B34" r:id="rId12"/>
    <hyperlink xmlns:r="http://schemas.openxmlformats.org/officeDocument/2006/relationships" ref="B35" r:id="rId13"/>
    <hyperlink xmlns:r="http://schemas.openxmlformats.org/officeDocument/2006/relationships" ref="B36" r:id="rId14"/>
    <hyperlink xmlns:r="http://schemas.openxmlformats.org/officeDocument/2006/relationships" ref="B37" r:id="rId15"/>
    <hyperlink xmlns:r="http://schemas.openxmlformats.org/officeDocument/2006/relationships" ref="B38" r:id="rId16"/>
    <hyperlink xmlns:r="http://schemas.openxmlformats.org/officeDocument/2006/relationships" ref="B39" r:id="rId17"/>
    <hyperlink xmlns:r="http://schemas.openxmlformats.org/officeDocument/2006/relationships" ref="B40" r:id="rId18"/>
    <hyperlink xmlns:r="http://schemas.openxmlformats.org/officeDocument/2006/relationships" ref="B41" r:id="rId19"/>
    <hyperlink xmlns:r="http://schemas.openxmlformats.org/officeDocument/2006/relationships" ref="B42" r:id="rId20"/>
    <hyperlink xmlns:r="http://schemas.openxmlformats.org/officeDocument/2006/relationships" ref="B43" r:id="rId21"/>
  </hyperlink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33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46" customWidth="1" min="4" max="4"/>
    <col width="12" customWidth="1" min="5" max="5"/>
    <col width="14" customWidth="1" min="6" max="6"/>
  </cols>
  <sheetData>
    <row r="1" ht="30" customHeight="1">
      <c r="A1" s="1" t="inlineStr">
        <is>
          <t>버전 이력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모델 버전과 문서 버전을 함께 관리하며, 계산식이 바뀌면 반드시 버전을 함께 갱신합니다.</t>
        </is>
      </c>
    </row>
    <row r="4" ht="20" customHeight="1">
      <c r="A4" s="4" t="inlineStr">
        <is>
          <t>■ 버전 이력</t>
        </is>
      </c>
      <c r="B4" s="5" t="n"/>
      <c r="C4" s="5" t="n"/>
      <c r="D4" s="5" t="n"/>
      <c r="E4" s="5" t="n"/>
      <c r="F4" s="5" t="n"/>
    </row>
    <row r="5" ht="30" customHeight="1">
      <c r="A5" s="14" t="inlineStr">
        <is>
          <t>모델 버전</t>
        </is>
      </c>
      <c r="B5" s="14" t="inlineStr">
        <is>
          <t>일자</t>
        </is>
      </c>
      <c r="C5" s="14" t="inlineStr">
        <is>
          <t>구분</t>
        </is>
      </c>
      <c r="D5" s="14" t="inlineStr">
        <is>
          <t>변경 내용</t>
        </is>
      </c>
      <c r="E5" s="14" t="inlineStr">
        <is>
          <t>검증 상태</t>
        </is>
      </c>
      <c r="F5" s="14" t="inlineStr">
        <is>
          <t>프로그램 반영</t>
        </is>
      </c>
    </row>
    <row r="6" ht="30" customHeight="1">
      <c r="A6" s="7" t="inlineStr">
        <is>
          <t>문서 v1.0</t>
        </is>
      </c>
      <c r="B6" s="7" t="inlineStr">
        <is>
          <t>2026-08-03</t>
        </is>
      </c>
      <c r="C6" s="7" t="inlineStr">
        <is>
          <t>자료 정리</t>
        </is>
      </c>
      <c r="D6" s="7" t="inlineStr">
        <is>
          <t>AI 생성 자료 2건을 단일 워크북으로 재구성(시트 순서·명명·서식 통일, 중복 정의 제거, 보조 계산 분리)</t>
        </is>
      </c>
      <c r="E6" s="7" t="inlineStr">
        <is>
          <t>완료</t>
        </is>
      </c>
      <c r="F6" s="7" t="inlineStr">
        <is>
          <t>해당 없음</t>
        </is>
      </c>
    </row>
    <row r="7" ht="30" customHeight="1">
      <c r="A7" s="21" t="inlineStr">
        <is>
          <t>MVP-0.1.0</t>
        </is>
      </c>
      <c r="B7" s="21" t="inlineStr">
        <is>
          <t>2026-08-03</t>
        </is>
      </c>
      <c r="C7" s="21" t="inlineStr">
        <is>
          <t>최초 MVP</t>
        </is>
      </c>
      <c r="D7" s="21" t="inlineStr">
        <is>
          <t>간편·상세·전문가 모드, 월간 POA, PDF/PPT/Excel 산출</t>
        </is>
      </c>
      <c r="E7" s="21" t="inlineStr">
        <is>
          <t>완료</t>
        </is>
      </c>
      <c r="F7" s="21" t="inlineStr">
        <is>
          <t>완료</t>
        </is>
      </c>
    </row>
    <row r="8" ht="30" customHeight="1">
      <c r="A8" s="7" t="inlineStr">
        <is>
          <t>MVP-0.2.0</t>
        </is>
      </c>
      <c r="B8" s="7" t="inlineStr">
        <is>
          <t>2026-08-03</t>
        </is>
      </c>
      <c r="C8" s="7" t="inlineStr">
        <is>
          <t>기능·품질 개선</t>
        </is>
      </c>
      <c r="D8" s="7" t="inlineStr">
        <is>
          <t>부분연도 동일기간 비교, 결측월 null 처리, SQLite 프로젝트 저장, 전문가 이미지 부록, PptxGenJS</t>
        </is>
      </c>
      <c r="E8" s="7" t="inlineStr">
        <is>
          <t>완료</t>
        </is>
      </c>
      <c r="F8" s="7" t="inlineStr">
        <is>
          <t>완료</t>
        </is>
      </c>
    </row>
    <row r="9" ht="30" customHeight="1">
      <c r="A9" s="21" t="inlineStr">
        <is>
          <t>NEXT</t>
        </is>
      </c>
      <c r="B9" s="21" t="inlineStr">
        <is>
          <t>미정</t>
        </is>
      </c>
      <c r="C9" s="21" t="inlineStr">
        <is>
          <t>후속</t>
        </is>
      </c>
      <c r="D9" s="21" t="inlineStr">
        <is>
          <t>시간단위 pvlib 엔진, 주소/지도 입력, 유사 발전소 벤치마크, Windows 단일 실행형</t>
        </is>
      </c>
      <c r="E9" s="21" t="inlineStr">
        <is>
          <t>미착수</t>
        </is>
      </c>
      <c r="F9" s="21" t="inlineStr">
        <is>
          <t>미착수</t>
        </is>
      </c>
    </row>
    <row r="11" ht="20" customHeight="1">
      <c r="A11" s="4" t="inlineStr">
        <is>
          <t>■ 구버전 → v1.0 시트 매핑</t>
        </is>
      </c>
      <c r="B11" s="5" t="n"/>
      <c r="C11" s="5" t="n"/>
      <c r="D11" s="5" t="n"/>
      <c r="E11" s="5" t="n"/>
      <c r="F11" s="5" t="n"/>
    </row>
    <row r="12" ht="30" customHeight="1">
      <c r="A12" s="14" t="inlineStr">
        <is>
          <t>구버전 시트</t>
        </is>
      </c>
      <c r="B12" s="14" t="inlineStr">
        <is>
          <t>v1.0 시트</t>
        </is>
      </c>
      <c r="C12" s="14" t="inlineStr">
        <is>
          <t>정리 내용</t>
        </is>
      </c>
      <c r="D12" s="24" t="n"/>
      <c r="E12" s="24" t="n"/>
      <c r="F12" s="24" t="n"/>
    </row>
    <row r="13" ht="18" customHeight="1">
      <c r="A13" s="7" t="inlineStr">
        <is>
          <t>버전관리</t>
        </is>
      </c>
      <c r="B13" s="7" t="inlineStr">
        <is>
          <t>02_버전이력</t>
        </is>
      </c>
      <c r="C13" s="7" t="inlineStr">
        <is>
          <t>v1.0 이력 및 시트 매핑 추가</t>
        </is>
      </c>
      <c r="D13" s="8" t="n"/>
      <c r="E13" s="8" t="n"/>
      <c r="F13" s="8" t="n"/>
    </row>
    <row r="14" ht="18" customHeight="1">
      <c r="A14" s="21" t="inlineStr">
        <is>
          <t>프로그램_개요</t>
        </is>
      </c>
      <c r="B14" s="21" t="inlineStr">
        <is>
          <t>03_모델개요</t>
        </is>
      </c>
      <c r="C14" s="21" t="inlineStr">
        <is>
          <t>그대로 유지</t>
        </is>
      </c>
      <c r="D14" s="22" t="n"/>
      <c r="E14" s="22" t="n"/>
      <c r="F14" s="22" t="n"/>
    </row>
    <row r="15" ht="18" customHeight="1">
      <c r="A15" s="7" t="inlineStr">
        <is>
          <t>계산식_명세</t>
        </is>
      </c>
      <c r="B15" s="7" t="inlineStr">
        <is>
          <t>04_계산식_명세</t>
        </is>
      </c>
      <c r="C15" s="7" t="inlineStr">
        <is>
          <t>계산_가이드의 '모델 흐름' 통합</t>
        </is>
      </c>
      <c r="D15" s="8" t="n"/>
      <c r="E15" s="8" t="n"/>
      <c r="F15" s="8" t="n"/>
    </row>
    <row r="16" ht="18" customHeight="1">
      <c r="A16" s="21" t="inlineStr">
        <is>
          <t>FACTOR_정의</t>
        </is>
      </c>
      <c r="B16" s="21" t="inlineStr">
        <is>
          <t>05_FACTOR_기준값</t>
        </is>
      </c>
      <c r="C16" s="21" t="inlineStr">
        <is>
          <t>지역_설정에 중복 정의되던 기본값의 단일 출처로 지정</t>
        </is>
      </c>
      <c r="D16" s="22" t="n"/>
      <c r="E16" s="22" t="n"/>
      <c r="F16" s="22" t="n"/>
    </row>
    <row r="17" ht="18" customHeight="1">
      <c r="A17" s="7" t="inlineStr">
        <is>
          <t>진단규칙_명세</t>
        </is>
      </c>
      <c r="B17" s="7" t="inlineStr">
        <is>
          <t>06_진단규칙</t>
        </is>
      </c>
      <c r="C17" s="7" t="inlineStr">
        <is>
          <t>그대로 유지</t>
        </is>
      </c>
      <c r="D17" s="8" t="n"/>
      <c r="E17" s="8" t="n"/>
      <c r="F17" s="8" t="n"/>
    </row>
    <row r="18" ht="18" customHeight="1">
      <c r="A18" s="21" t="inlineStr">
        <is>
          <t>데이터_사전</t>
        </is>
      </c>
      <c r="B18" s="21" t="inlineStr">
        <is>
          <t>07_데이터사전</t>
        </is>
      </c>
      <c r="C18" s="21" t="inlineStr">
        <is>
          <t>그대로 유지</t>
        </is>
      </c>
      <c r="D18" s="22" t="n"/>
      <c r="E18" s="22" t="n"/>
      <c r="F18" s="22" t="n"/>
    </row>
    <row r="19" ht="18" customHeight="1">
      <c r="A19" s="7" t="inlineStr">
        <is>
          <t>검증_CASE</t>
        </is>
      </c>
      <c r="B19" s="7" t="inlineStr">
        <is>
          <t>08_검증CASE</t>
        </is>
      </c>
      <c r="C19" s="7" t="inlineStr">
        <is>
          <t>중복된 CASE ID(TC-012 2건) 정정, 일련번호 재부여</t>
        </is>
      </c>
      <c r="D19" s="8" t="n"/>
      <c r="E19" s="8" t="n"/>
      <c r="F19" s="8" t="n"/>
    </row>
    <row r="20" ht="18" customHeight="1">
      <c r="A20" s="21" t="inlineStr">
        <is>
          <t>보고서_구성</t>
        </is>
      </c>
      <c r="B20" s="21" t="inlineStr">
        <is>
          <t>09_보고서구성</t>
        </is>
      </c>
      <c r="C20" s="21" t="inlineStr">
        <is>
          <t>그대로 유지</t>
        </is>
      </c>
      <c r="D20" s="22" t="n"/>
      <c r="E20" s="22" t="n"/>
      <c r="F20" s="22" t="n"/>
    </row>
    <row r="21" ht="18" customHeight="1">
      <c r="A21" s="7" t="inlineStr">
        <is>
          <t>개발_연계</t>
        </is>
      </c>
      <c r="B21" s="7" t="inlineStr">
        <is>
          <t>10_개발연계</t>
        </is>
      </c>
      <c r="C21" s="7" t="inlineStr">
        <is>
          <t>그대로 유지</t>
        </is>
      </c>
      <c r="D21" s="8" t="n"/>
      <c r="E21" s="8" t="n"/>
      <c r="F21" s="8" t="n"/>
    </row>
    <row r="22" ht="18" customHeight="1">
      <c r="A22" s="21" t="inlineStr">
        <is>
          <t>표지</t>
        </is>
      </c>
      <c r="B22" s="21" t="inlineStr">
        <is>
          <t>01_표지·목차</t>
        </is>
      </c>
      <c r="C22" s="21" t="inlineStr">
        <is>
          <t>문서 맨 앞으로 이동, 목차 하이퍼링크·요약지표 추가</t>
        </is>
      </c>
      <c r="D22" s="22" t="n"/>
      <c r="E22" s="22" t="n"/>
      <c r="F22" s="22" t="n"/>
    </row>
    <row r="23" ht="18" customHeight="1">
      <c r="A23" s="7" t="inlineStr">
        <is>
          <t>발전량_모델</t>
        </is>
      </c>
      <c r="B23" s="7" t="inlineStr">
        <is>
          <t>11_발전량_모델</t>
        </is>
      </c>
      <c r="C23" s="7" t="inlineStr">
        <is>
          <t>입력/결과 영역 구분, 입력 셀 표시 및 유효성 목록 추가</t>
        </is>
      </c>
      <c r="D23" s="8" t="n"/>
      <c r="E23" s="8" t="n"/>
      <c r="F23" s="8" t="n"/>
    </row>
    <row r="24" ht="18" customHeight="1">
      <c r="A24" s="21" t="inlineStr">
        <is>
          <t>FACTOR_월별</t>
        </is>
      </c>
      <c r="B24" s="21" t="inlineStr">
        <is>
          <t>12_월별FACTOR</t>
        </is>
      </c>
      <c r="C24" s="21" t="inlineStr">
        <is>
          <t>그대로 유지</t>
        </is>
      </c>
      <c r="D24" s="22" t="n"/>
      <c r="E24" s="22" t="n"/>
      <c r="F24" s="22" t="n"/>
    </row>
    <row r="25" ht="18" customHeight="1">
      <c r="A25" s="7" t="inlineStr">
        <is>
          <t>방위경사_비교</t>
        </is>
      </c>
      <c r="B25" s="7" t="inlineStr">
        <is>
          <t>13_시나리오비교</t>
        </is>
      </c>
      <c r="C25" s="7" t="inlineStr">
        <is>
          <t>본표 옆에 있던 보조 계산 블록을 별도 숨김 시트로 분리</t>
        </is>
      </c>
      <c r="D25" s="8" t="n"/>
      <c r="E25" s="8" t="n"/>
      <c r="F25" s="8" t="n"/>
    </row>
    <row r="26" ht="18" customHeight="1">
      <c r="A26" s="21" t="inlineStr">
        <is>
          <t>지역_설정</t>
        </is>
      </c>
      <c r="B26" s="21" t="inlineStr">
        <is>
          <t>14_지역·상수</t>
        </is>
      </c>
      <c r="C26" s="21" t="inlineStr">
        <is>
          <t>기본값 3종(PR·가동률·반사율)은 05 시트를 참조하도록 변경</t>
        </is>
      </c>
      <c r="D26" s="22" t="n"/>
      <c r="E26" s="22" t="n"/>
      <c r="F26" s="22" t="n"/>
    </row>
    <row r="27" ht="18" customHeight="1">
      <c r="A27" s="7" t="inlineStr">
        <is>
          <t>계산_가이드</t>
        </is>
      </c>
      <c r="B27" s="7" t="inlineStr">
        <is>
          <t>04_계산식_명세 / 16_적용한계·참고</t>
        </is>
      </c>
      <c r="C27" s="7" t="inlineStr">
        <is>
          <t>계산식은 04로, 한계·참고자료는 16으로 분리</t>
        </is>
      </c>
      <c r="D27" s="8" t="n"/>
      <c r="E27" s="8" t="n"/>
      <c r="F27" s="8" t="n"/>
    </row>
    <row r="28" ht="18" customHeight="1">
      <c r="A28" s="21" t="inlineStr">
        <is>
          <t>태양기하_상세</t>
        </is>
      </c>
      <c r="B28" s="21" t="inlineStr">
        <is>
          <t>15_태양기하</t>
        </is>
      </c>
      <c r="C28" s="21" t="inlineStr">
        <is>
          <t>15분 적분 상세행을 그룹으로 접어 요약부만 표시</t>
        </is>
      </c>
      <c r="D28" s="22" t="n"/>
      <c r="E28" s="22" t="n"/>
      <c r="F28" s="22" t="n"/>
    </row>
    <row r="29" ht="18" customHeight="1">
      <c r="A29" s="7" t="inlineStr">
        <is>
          <t>원자료</t>
        </is>
      </c>
      <c r="B29" s="7" t="inlineStr">
        <is>
          <t>20_원자료</t>
        </is>
      </c>
      <c r="C29" s="7" t="inlineStr">
        <is>
          <t>그대로 유지(표 이름 RawDataKWh 유지)</t>
        </is>
      </c>
      <c r="D29" s="8" t="n"/>
      <c r="E29" s="8" t="n"/>
      <c r="F29" s="8" t="n"/>
    </row>
    <row r="30" ht="18" customHeight="1">
      <c r="A30" s="21" t="inlineStr">
        <is>
          <t>월별_일사량_kWh + 월별_일평균_kWh</t>
        </is>
      </c>
      <c r="B30" s="21" t="inlineStr">
        <is>
          <t>21_피벗_월별</t>
        </is>
      </c>
      <c r="C30" s="21" t="inlineStr">
        <is>
          <t>월 합계·일평균 2개 시트를 1개로 통합</t>
        </is>
      </c>
      <c r="D30" s="22" t="n"/>
      <c r="E30" s="22" t="n"/>
      <c r="F30" s="22" t="n"/>
    </row>
    <row r="31" ht="18" customHeight="1">
      <c r="A31" s="7" t="inlineStr">
        <is>
          <t>연도별_일사량_kWh + 연도별_일평균_kWh</t>
        </is>
      </c>
      <c r="B31" s="7" t="inlineStr">
        <is>
          <t>22_피벗_연도별</t>
        </is>
      </c>
      <c r="C31" s="7" t="inlineStr">
        <is>
          <t>연 합계·일평균 통합, 10개년 평균 행 추가</t>
        </is>
      </c>
      <c r="D31" s="8" t="n"/>
      <c r="E31" s="8" t="n"/>
      <c r="F31" s="8" t="n"/>
    </row>
    <row r="32" ht="18" customHeight="1">
      <c r="A32" s="21" t="inlineStr">
        <is>
          <t>월평균_계절패턴_kWh + …_일평균_kWh</t>
        </is>
      </c>
      <c r="B32" s="21" t="inlineStr">
        <is>
          <t>23_피벗_계절패턴</t>
        </is>
      </c>
      <c r="C32" s="21" t="inlineStr">
        <is>
          <t>계절 패턴 2개 시트를 1개로 통합</t>
        </is>
      </c>
      <c r="D32" s="22" t="n"/>
      <c r="E32" s="22" t="n"/>
      <c r="F32" s="22" t="n"/>
    </row>
    <row r="33" ht="18" customHeight="1">
      <c r="A33" s="7" t="inlineStr">
        <is>
          <t>차트</t>
        </is>
      </c>
      <c r="B33" s="7" t="inlineStr">
        <is>
          <t>24_차트</t>
        </is>
      </c>
      <c r="C33" s="7" t="inlineStr">
        <is>
          <t>통합 피벗을 참조하도록 재작성</t>
        </is>
      </c>
      <c r="D33" s="8" t="n"/>
      <c r="E33" s="8" t="n"/>
      <c r="F33" s="8" t="n"/>
    </row>
  </sheetData>
  <mergeCells count="26">
    <mergeCell ref="C17:F17"/>
    <mergeCell ref="C23:F23"/>
    <mergeCell ref="C32:F32"/>
    <mergeCell ref="C19:F19"/>
    <mergeCell ref="C28:F28"/>
    <mergeCell ref="C13:F13"/>
    <mergeCell ref="A2:F2"/>
    <mergeCell ref="C18:F18"/>
    <mergeCell ref="C30:F30"/>
    <mergeCell ref="C15:F15"/>
    <mergeCell ref="C33:F33"/>
    <mergeCell ref="A4:F4"/>
    <mergeCell ref="C24:F24"/>
    <mergeCell ref="C14:F14"/>
    <mergeCell ref="C20:F20"/>
    <mergeCell ref="C26:F26"/>
    <mergeCell ref="C29:F29"/>
    <mergeCell ref="C16:F16"/>
    <mergeCell ref="C25:F25"/>
    <mergeCell ref="C22:F22"/>
    <mergeCell ref="A11:F11"/>
    <mergeCell ref="C31:F31"/>
    <mergeCell ref="A1:F1"/>
    <mergeCell ref="C12:F12"/>
    <mergeCell ref="C21:F21"/>
    <mergeCell ref="C27:F2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4"/>
  <sheetViews>
    <sheetView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20" customWidth="1" min="5" max="5"/>
    <col width="22" customWidth="1" min="6" max="6"/>
  </cols>
  <sheetData>
    <row r="1" ht="30" customHeight="1">
      <c r="A1" s="1" t="inlineStr">
        <is>
          <t>모델 개요 및 모드별 기능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웹 프로그램, 상세 계산 Excel, 고객 PDF/PPT가 공유해야 하는 분석 원칙과 모드별 기능을 정의합니다.</t>
        </is>
      </c>
    </row>
    <row r="4" ht="20" customHeight="1">
      <c r="A4" s="4" t="inlineStr">
        <is>
          <t>■ 모드별 기능 정의</t>
        </is>
      </c>
      <c r="B4" s="5" t="n"/>
      <c r="C4" s="5" t="n"/>
      <c r="D4" s="5" t="n"/>
      <c r="E4" s="5" t="n"/>
      <c r="F4" s="5" t="n"/>
    </row>
    <row r="5" ht="30" customHeight="1">
      <c r="A5" s="14" t="inlineStr">
        <is>
          <t>구분</t>
        </is>
      </c>
      <c r="B5" s="14" t="inlineStr">
        <is>
          <t>간편 모드</t>
        </is>
      </c>
      <c r="C5" s="14" t="inlineStr">
        <is>
          <t>상세 모드</t>
        </is>
      </c>
      <c r="D5" s="14" t="inlineStr">
        <is>
          <t>전문가 모드</t>
        </is>
      </c>
      <c r="E5" s="14" t="inlineStr">
        <is>
          <t>구현 상태(MVP)</t>
        </is>
      </c>
      <c r="F5" s="14" t="inlineStr">
        <is>
          <t>후속 개발</t>
        </is>
      </c>
    </row>
    <row r="6" ht="30" customHeight="1">
      <c r="A6" s="7" t="inlineStr">
        <is>
          <t>주요 목적</t>
        </is>
      </c>
      <c r="B6" s="7" t="inlineStr">
        <is>
          <t>지역 장기평균 및 분석연도 기상 대비 실제 발전량 비교</t>
        </is>
      </c>
      <c r="C6" s="7" t="inlineStr">
        <is>
          <t>현장 일사량·설비·인버터 정보를 추가해 원인 후보 검토</t>
        </is>
      </c>
      <c r="D6" s="7" t="inlineStr">
        <is>
          <t>시간자료·항목별 손실·전문가 의견 및 보고서 편집</t>
        </is>
      </c>
      <c r="E6" s="7" t="inlineStr">
        <is>
          <t>구현</t>
        </is>
      </c>
      <c r="F6" s="7" t="inlineStr">
        <is>
          <t>유사 발전소 벤치마크</t>
        </is>
      </c>
    </row>
    <row r="7" ht="30" customHeight="1">
      <c r="A7" s="21" t="inlineStr">
        <is>
          <t>최소 입력</t>
        </is>
      </c>
      <c r="B7" s="21" t="inlineStr">
        <is>
          <t>지역, 분석연도, DC/AC 용량, 실제 월별 발전량</t>
        </is>
      </c>
      <c r="C7" s="21" t="inlineStr">
        <is>
          <t>간편 입력 + 경사/방위, 모듈, 일사량, 인버터별 연간자료</t>
        </is>
      </c>
      <c r="D7" s="21" t="inlineStr">
        <is>
          <t>상세 입력 + 시간자료, MPPT, 상태코드, 전문가 손실 FACTOR</t>
        </is>
      </c>
      <c r="E7" s="21" t="inlineStr">
        <is>
          <t>구현</t>
        </is>
      </c>
      <c r="F7" s="21" t="inlineStr">
        <is>
          <t>시간자료 상세 진단</t>
        </is>
      </c>
    </row>
    <row r="8" ht="30" customHeight="1">
      <c r="A8" s="7" t="inlineStr">
        <is>
          <t>기상 기준</t>
        </is>
      </c>
      <c r="B8" s="7" t="inlineStr">
        <is>
          <t>2016~2025 지역별 GHI 평균 및 선택연도 GHI</t>
        </is>
      </c>
      <c r="C8" s="7" t="inlineStr">
        <is>
          <t>현장 GHI 또는 POA 우선</t>
        </is>
      </c>
      <c r="D8" s="7" t="inlineStr">
        <is>
          <t>현장 POA·시간별 GHI/DNI/DHI 및 전사모델 선택</t>
        </is>
      </c>
      <c r="E8" s="7" t="inlineStr">
        <is>
          <t>월 단위 구현</t>
        </is>
      </c>
      <c r="F8" s="7" t="inlineStr">
        <is>
          <t>pvlib 시간엔진</t>
        </is>
      </c>
    </row>
    <row r="9" ht="30" customHeight="1">
      <c r="A9" s="21" t="inlineStr">
        <is>
          <t>예상 발전량</t>
        </is>
      </c>
      <c r="B9" s="21" t="inlineStr">
        <is>
          <t>PR 기반</t>
        </is>
      </c>
      <c r="C9" s="21" t="inlineStr">
        <is>
          <t>PR 기반 또는 현장자료 보정</t>
        </is>
      </c>
      <c r="D9" s="21" t="inlineStr">
        <is>
          <t>항목별 손실 기반 선택</t>
        </is>
      </c>
      <c r="E9" s="21" t="inlineStr">
        <is>
          <t>구현</t>
        </is>
      </c>
      <c r="F9" s="21" t="inlineStr">
        <is>
          <t>모듈/인버터 사양 DB</t>
        </is>
      </c>
    </row>
    <row r="10" ht="30" customHeight="1">
      <c r="A10" s="7" t="inlineStr">
        <is>
          <t>진단 결과</t>
        </is>
      </c>
      <c r="B10" s="7" t="inlineStr">
        <is>
          <t>정상/관찰/주의/점검권고, 기본 원인 후보</t>
        </is>
      </c>
      <c r="C10" s="7" t="inlineStr">
        <is>
          <t>인버터 편차·출력제한·클리핑 가능성 추가</t>
        </is>
      </c>
      <c r="D10" s="7" t="inlineStr">
        <is>
          <t>진단규칙 임계값과 전문가 의견 관리</t>
        </is>
      </c>
      <c r="E10" s="7" t="inlineStr">
        <is>
          <t>기본 규칙 구현</t>
        </is>
      </c>
      <c r="F10" s="7" t="inlineStr">
        <is>
          <t>이상감지 학습모델</t>
        </is>
      </c>
    </row>
    <row r="11" ht="30" customHeight="1">
      <c r="A11" s="21" t="inlineStr">
        <is>
          <t>다운로드</t>
        </is>
      </c>
      <c r="B11" s="21" t="inlineStr">
        <is>
          <t>고객 PDF, PPT, 상세 Excel, JSON</t>
        </is>
      </c>
      <c r="C11" s="21" t="inlineStr">
        <is>
          <t>동일</t>
        </is>
      </c>
      <c r="D11" s="21" t="inlineStr">
        <is>
          <t>전문가 의견·현장사진 추가용 PPT</t>
        </is>
      </c>
      <c r="E11" s="21" t="inlineStr">
        <is>
          <t>구현(전문가 이미지 부록 포함)</t>
        </is>
      </c>
      <c r="F11" s="21" t="inlineStr">
        <is>
          <t>슬라이드 선택·브랜드 템플릿</t>
        </is>
      </c>
    </row>
    <row r="12" ht="30" customHeight="1">
      <c r="A12" s="7" t="inlineStr">
        <is>
          <t>데이터 등급</t>
        </is>
      </c>
      <c r="B12" s="7" t="inlineStr">
        <is>
          <t>D 또는 C</t>
        </is>
      </c>
      <c r="C12" s="7" t="inlineStr">
        <is>
          <t>C 또는 B</t>
        </is>
      </c>
      <c r="D12" s="7" t="inlineStr">
        <is>
          <t>B 또는 A</t>
        </is>
      </c>
      <c r="E12" s="7" t="inlineStr">
        <is>
          <t>구현</t>
        </is>
      </c>
      <c r="F12" s="7" t="inlineStr">
        <is>
          <t>자동 품질점수 고도화</t>
        </is>
      </c>
    </row>
    <row r="13" ht="30" customHeight="1">
      <c r="A13" s="21" t="inlineStr">
        <is>
          <t>권한</t>
        </is>
      </c>
      <c r="B13" s="21" t="inlineStr">
        <is>
          <t>고객</t>
        </is>
      </c>
      <c r="C13" s="21" t="inlineStr">
        <is>
          <t>고객/분석자</t>
        </is>
      </c>
      <c r="D13" s="21" t="inlineStr">
        <is>
          <t>전문가 PIN 및 서버 토큰</t>
        </is>
      </c>
      <c r="E13" s="21" t="inlineStr">
        <is>
          <t>서명 토큰·8시간 만료 구현</t>
        </is>
      </c>
      <c r="F13" s="21" t="inlineStr">
        <is>
          <t>회원·조직·RBAC</t>
        </is>
      </c>
    </row>
    <row r="14" ht="30" customHeight="1">
      <c r="A14" s="7" t="inlineStr">
        <is>
          <t>로컬 저장</t>
        </is>
      </c>
      <c r="B14" s="7" t="inlineStr">
        <is>
          <t>브라우저 입력값 임시보관</t>
        </is>
      </c>
      <c r="C14" s="7" t="inlineStr">
        <is>
          <t>로컬 SQLite 프로젝트 저장·불러오기</t>
        </is>
      </c>
      <c r="D14" s="7" t="inlineStr">
        <is>
          <t>전문가 첨부파일 로컬 저장</t>
        </is>
      </c>
      <c r="E14" s="7" t="inlineStr">
        <is>
          <t>구현</t>
        </is>
      </c>
      <c r="F14" s="7" t="inlineStr">
        <is>
          <t>백업·복구/다중 사용자</t>
        </is>
      </c>
    </row>
  </sheetData>
  <mergeCells count="3"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37"/>
  <sheetViews>
    <sheetView zoomScale="10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56" customWidth="1" min="4" max="4"/>
    <col width="13" customWidth="1" min="5" max="5"/>
    <col width="12" customWidth="1" min="6" max="6"/>
    <col width="22" customWidth="1" min="7" max="7"/>
    <col width="30" customWidth="1" min="8" max="8"/>
  </cols>
  <sheetData>
    <row r="1" ht="30" customHeight="1">
      <c r="A1" s="1" t="inlineStr">
        <is>
          <t>계산식 명세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프로그램 코드(app.py)와 Excel 기준모델이 동일하게 사용해야 하는 월별 계산 순서입니다. 실제 PR은 현장 POA가 있을 때만 표시합니다.</t>
        </is>
      </c>
    </row>
    <row r="4" ht="20" customHeight="1">
      <c r="A4" s="4" t="inlineStr">
        <is>
          <t>■ 모델 흐름</t>
        </is>
      </c>
      <c r="B4" s="5" t="n"/>
      <c r="C4" s="5" t="n"/>
      <c r="D4" s="5" t="n"/>
      <c r="E4" s="5" t="n"/>
      <c r="F4" s="5" t="n"/>
      <c r="G4" s="5" t="n"/>
      <c r="H4" s="5" t="n"/>
    </row>
    <row r="5" ht="20" customHeight="1">
      <c r="A5" s="14" t="inlineStr">
        <is>
          <t>순서</t>
        </is>
      </c>
      <c r="B5" s="14" t="inlineStr">
        <is>
          <t>단계</t>
        </is>
      </c>
      <c r="C5" s="14" t="inlineStr">
        <is>
          <t>내용</t>
        </is>
      </c>
      <c r="D5" s="24" t="n"/>
      <c r="E5" s="24" t="n"/>
      <c r="F5" s="24" t="n"/>
      <c r="G5" s="24" t="n"/>
      <c r="H5" s="24" t="n"/>
    </row>
    <row r="6" ht="18" customHeight="1">
      <c r="A6" s="17" t="inlineStr">
        <is>
          <t>①</t>
        </is>
      </c>
      <c r="B6" s="7" t="inlineStr">
        <is>
          <t>수평면 일사량 선택</t>
        </is>
      </c>
      <c r="C6" s="7" t="inlineStr">
        <is>
          <t>지역·연도별 월 합계 GHI(원자료 또는 현장 실측)</t>
        </is>
      </c>
      <c r="D6" s="8" t="n"/>
      <c r="E6" s="8" t="n"/>
      <c r="F6" s="8" t="n"/>
      <c r="G6" s="8" t="n"/>
      <c r="H6" s="8" t="n"/>
    </row>
    <row r="7" ht="18" customHeight="1">
      <c r="A7" s="19" t="inlineStr">
        <is>
          <t>②</t>
        </is>
      </c>
      <c r="B7" s="21" t="inlineStr">
        <is>
          <t>월 일평균 환산</t>
        </is>
      </c>
      <c r="C7" s="21" t="inlineStr">
        <is>
          <t>H = 월 GHI ÷ 해당 월 일수</t>
        </is>
      </c>
      <c r="D7" s="22" t="n"/>
      <c r="E7" s="22" t="n"/>
      <c r="F7" s="22" t="n"/>
      <c r="G7" s="22" t="n"/>
      <c r="H7" s="22" t="n"/>
    </row>
    <row r="8" ht="18" customHeight="1">
      <c r="A8" s="17" t="inlineStr">
        <is>
          <t>③</t>
        </is>
      </c>
      <c r="B8" s="7" t="inlineStr">
        <is>
          <t>태양기하 계산</t>
        </is>
      </c>
      <c r="C8" s="7" t="inlineStr">
        <is>
          <t>대표 위도·월 대표일로 적위 δ, 일몰시간각 ωs, 대기권외 일사량 H0</t>
        </is>
      </c>
      <c r="D8" s="8" t="n"/>
      <c r="E8" s="8" t="n"/>
      <c r="F8" s="8" t="n"/>
      <c r="G8" s="8" t="n"/>
      <c r="H8" s="8" t="n"/>
    </row>
    <row r="9" ht="18" customHeight="1">
      <c r="A9" s="19" t="inlineStr">
        <is>
          <t>④</t>
        </is>
      </c>
      <c r="B9" s="21" t="inlineStr">
        <is>
          <t>확산 분리</t>
        </is>
      </c>
      <c r="C9" s="21" t="inlineStr">
        <is>
          <t>Kt = H/H0 → Erbs 월평균 상관식으로 산란비 Hd/H 추정</t>
        </is>
      </c>
      <c r="D9" s="22" t="n"/>
      <c r="E9" s="22" t="n"/>
      <c r="F9" s="22" t="n"/>
      <c r="G9" s="22" t="n"/>
      <c r="H9" s="22" t="n"/>
    </row>
    <row r="10" ht="18" customHeight="1">
      <c r="A10" s="17" t="inlineStr">
        <is>
          <t>⑤</t>
        </is>
      </c>
      <c r="B10" s="7" t="inlineStr">
        <is>
          <t>직달 전사</t>
        </is>
      </c>
      <c r="C10" s="7" t="inlineStr">
        <is>
          <t>15분 간격 태양벡터 적분으로 Rb 계산</t>
        </is>
      </c>
      <c r="D10" s="8" t="n"/>
      <c r="E10" s="8" t="n"/>
      <c r="F10" s="8" t="n"/>
      <c r="G10" s="8" t="n"/>
      <c r="H10" s="8" t="n"/>
    </row>
    <row r="11" ht="18" customHeight="1">
      <c r="A11" s="19" t="inlineStr">
        <is>
          <t>⑥</t>
        </is>
      </c>
      <c r="B11" s="21" t="inlineStr">
        <is>
          <t>경사면 일사량</t>
        </is>
      </c>
      <c r="C11" s="21" t="inlineStr">
        <is>
          <t>POA = 직달 + 천공산란 + 지면반사</t>
        </is>
      </c>
      <c r="D11" s="22" t="n"/>
      <c r="E11" s="22" t="n"/>
      <c r="F11" s="22" t="n"/>
      <c r="G11" s="22" t="n"/>
      <c r="H11" s="22" t="n"/>
    </row>
    <row r="12" ht="18" customHeight="1">
      <c r="A12" s="17" t="inlineStr">
        <is>
          <t>⑦</t>
        </is>
      </c>
      <c r="B12" s="7" t="inlineStr">
        <is>
          <t>발전량 산정</t>
        </is>
      </c>
      <c r="C12" s="7" t="inlineStr">
        <is>
          <t>POA × DC용량 × PR × 가동률 × (1-출력제한) × 기타보정</t>
        </is>
      </c>
      <c r="D12" s="8" t="n"/>
      <c r="E12" s="8" t="n"/>
      <c r="F12" s="8" t="n"/>
      <c r="G12" s="8" t="n"/>
      <c r="H12" s="8" t="n"/>
    </row>
    <row r="14" ht="20" customHeight="1">
      <c r="A14" s="4" t="inlineStr">
        <is>
          <t>■ 계산식 상세</t>
        </is>
      </c>
      <c r="B14" s="5" t="n"/>
      <c r="C14" s="5" t="n"/>
      <c r="D14" s="5" t="n"/>
      <c r="E14" s="5" t="n"/>
      <c r="F14" s="5" t="n"/>
      <c r="G14" s="5" t="n"/>
      <c r="H14" s="5" t="n"/>
    </row>
    <row r="15" ht="30" customHeight="1">
      <c r="A15" s="14" t="inlineStr">
        <is>
          <t>순서</t>
        </is>
      </c>
      <c r="B15" s="14" t="inlineStr">
        <is>
          <t>계산 항목</t>
        </is>
      </c>
      <c r="C15" s="14" t="inlineStr">
        <is>
          <t>코드 변수</t>
        </is>
      </c>
      <c r="D15" s="14" t="inlineStr">
        <is>
          <t>수식/알고리즘</t>
        </is>
      </c>
      <c r="E15" s="14" t="inlineStr">
        <is>
          <t>단위</t>
        </is>
      </c>
      <c r="F15" s="14" t="inlineStr">
        <is>
          <t>적용 모드</t>
        </is>
      </c>
      <c r="G15" s="14" t="inlineStr">
        <is>
          <t>입력/출처</t>
        </is>
      </c>
      <c r="H15" s="14" t="inlineStr">
        <is>
          <t>예외·주의</t>
        </is>
      </c>
    </row>
    <row r="16" ht="30" customHeight="1">
      <c r="A16" s="17" t="n">
        <v>1</v>
      </c>
      <c r="B16" s="7" t="inlineStr">
        <is>
          <t>대표일</t>
        </is>
      </c>
      <c r="C16" s="7" t="inlineStr">
        <is>
          <t>representative_day</t>
        </is>
      </c>
      <c r="D16" s="7" t="inlineStr">
        <is>
          <t>1~12월 대표일: 17, 47, 75, 105, 135, 162, 198, 228, 258, 288, 318, 344</t>
        </is>
      </c>
      <c r="E16" s="7" t="inlineStr">
        <is>
          <t>Julian day</t>
        </is>
      </c>
      <c r="F16" s="7" t="inlineStr">
        <is>
          <t>전체</t>
        </is>
      </c>
      <c r="G16" s="7" t="inlineStr">
        <is>
          <t>월</t>
        </is>
      </c>
      <c r="H16" s="7" t="inlineStr">
        <is>
          <t>월평균 모델용</t>
        </is>
      </c>
    </row>
    <row r="17" ht="30" customHeight="1">
      <c r="A17" s="19" t="n">
        <v>2</v>
      </c>
      <c r="B17" s="21" t="inlineStr">
        <is>
          <t>태양 적위</t>
        </is>
      </c>
      <c r="C17" s="21" t="inlineStr">
        <is>
          <t>delta</t>
        </is>
      </c>
      <c r="D17" s="21" t="inlineStr">
        <is>
          <t>δ = 23.45 × sin[360 × (284+n)/365]</t>
        </is>
      </c>
      <c r="E17" s="21" t="inlineStr">
        <is>
          <t>degree</t>
        </is>
      </c>
      <c r="F17" s="21" t="inlineStr">
        <is>
          <t>전체</t>
        </is>
      </c>
      <c r="G17" s="21" t="inlineStr">
        <is>
          <t>대표일</t>
        </is>
      </c>
      <c r="H17" s="21" t="inlineStr">
        <is>
          <t>각도 계산 시 radian 변환</t>
        </is>
      </c>
    </row>
    <row r="18" ht="30" customHeight="1">
      <c r="A18" s="17" t="n">
        <v>3</v>
      </c>
      <c r="B18" s="7" t="inlineStr">
        <is>
          <t>일몰시간각</t>
        </is>
      </c>
      <c r="C18" s="7" t="inlineStr">
        <is>
          <t>omega_s</t>
        </is>
      </c>
      <c r="D18" s="7" t="inlineStr">
        <is>
          <t>ωs = acos(-tanφ × tanδ)</t>
        </is>
      </c>
      <c r="E18" s="7" t="inlineStr">
        <is>
          <t>radian</t>
        </is>
      </c>
      <c r="F18" s="7" t="inlineStr">
        <is>
          <t>전체</t>
        </is>
      </c>
      <c r="G18" s="7" t="inlineStr">
        <is>
          <t>위도 φ</t>
        </is>
      </c>
      <c r="H18" s="7" t="inlineStr">
        <is>
          <t>acos 인수 -1~1 제한</t>
        </is>
      </c>
    </row>
    <row r="19" ht="30" customHeight="1">
      <c r="A19" s="19" t="n">
        <v>4</v>
      </c>
      <c r="B19" s="21" t="inlineStr">
        <is>
          <t>대기권외 일사량</t>
        </is>
      </c>
      <c r="C19" s="21" t="inlineStr">
        <is>
          <t>h0_daily</t>
        </is>
      </c>
      <c r="D19" s="21" t="inlineStr">
        <is>
          <t>H0 = (24×60/π)×Gsc×dr×[ωs sinφ sinδ + cosφ cosδ sinωs] ÷ 3.6</t>
        </is>
      </c>
      <c r="E19" s="21" t="inlineStr">
        <is>
          <t>kWh/m²/day</t>
        </is>
      </c>
      <c r="F19" s="21" t="inlineStr">
        <is>
          <t>전체</t>
        </is>
      </c>
      <c r="G19" s="21" t="inlineStr">
        <is>
          <t>Gsc=0.082 MJ/m²/min</t>
        </is>
      </c>
      <c r="H19" s="21" t="inlineStr">
        <is>
          <t>0 이하 방지</t>
        </is>
      </c>
    </row>
    <row r="20" ht="30" customHeight="1">
      <c r="A20" s="17" t="n">
        <v>5</v>
      </c>
      <c r="B20" s="7" t="inlineStr">
        <is>
          <t>수평면 일평균</t>
        </is>
      </c>
      <c r="C20" s="7" t="inlineStr">
        <is>
          <t>h_daily</t>
        </is>
      </c>
      <c r="D20" s="7" t="inlineStr">
        <is>
          <t>H = 월 GHI ÷ 월 일수</t>
        </is>
      </c>
      <c r="E20" s="7" t="inlineStr">
        <is>
          <t>kWh/m²/day</t>
        </is>
      </c>
      <c r="F20" s="7" t="inlineStr">
        <is>
          <t>전체</t>
        </is>
      </c>
      <c r="G20" s="7" t="inlineStr">
        <is>
          <t>지역/현장 GHI</t>
        </is>
      </c>
      <c r="H20" s="7" t="inlineStr">
        <is>
          <t>결측을 0으로 대체하지 않음</t>
        </is>
      </c>
    </row>
    <row r="21" ht="30" customHeight="1">
      <c r="A21" s="19" t="n">
        <v>6</v>
      </c>
      <c r="B21" s="21" t="inlineStr">
        <is>
          <t>청명도지수</t>
        </is>
      </c>
      <c r="C21" s="21" t="inlineStr">
        <is>
          <t>kt_raw / kt_applied</t>
        </is>
      </c>
      <c r="D21" s="21" t="inlineStr">
        <is>
          <t>Kt_raw = H/H0; Erbs 적용 Kt = MAX(0.30, MIN(0.80, Kt_raw))</t>
        </is>
      </c>
      <c r="E21" s="21" t="inlineStr">
        <is>
          <t>-</t>
        </is>
      </c>
      <c r="F21" s="21" t="inlineStr">
        <is>
          <t>전체</t>
        </is>
      </c>
      <c r="G21" s="21" t="inlineStr">
        <is>
          <t>H, H0</t>
        </is>
      </c>
      <c r="H21" s="21" t="inlineStr">
        <is>
          <t>원자료 Kt와 적용 Kt를 모두 저장</t>
        </is>
      </c>
    </row>
    <row r="22" ht="30" customHeight="1">
      <c r="A22" s="17" t="n">
        <v>7</v>
      </c>
      <c r="B22" s="7" t="inlineStr">
        <is>
          <t>산란비</t>
        </is>
      </c>
      <c r="C22" s="7" t="inlineStr">
        <is>
          <t>diffuse_fraction</t>
        </is>
      </c>
      <c r="D22" s="7" t="inlineStr">
        <is>
          <t>ωs ≤ 81.4°: 1.391-3.560Kt+4.189Kt²-2.137Kt³ / 그 외: 1.311-3.022Kt+3.427Kt²-1.821Kt³</t>
        </is>
      </c>
      <c r="E22" s="7" t="inlineStr">
        <is>
          <t>-</t>
        </is>
      </c>
      <c r="F22" s="7" t="inlineStr">
        <is>
          <t>전체</t>
        </is>
      </c>
      <c r="G22" s="7" t="inlineStr">
        <is>
          <t>Erbs 월평균식</t>
        </is>
      </c>
      <c r="H22" s="7" t="inlineStr">
        <is>
          <t>0.05~1.00 제한</t>
        </is>
      </c>
    </row>
    <row r="23" ht="30" customHeight="1">
      <c r="A23" s="19" t="n">
        <v>8</v>
      </c>
      <c r="B23" s="21" t="inlineStr">
        <is>
          <t>직달·산란 분리</t>
        </is>
      </c>
      <c r="C23" s="21" t="inlineStr">
        <is>
          <t>beam / diffuse</t>
        </is>
      </c>
      <c r="D23" s="21" t="inlineStr">
        <is>
          <t>Hd = H×Kd, Hb = MAX(0, H-Hd)</t>
        </is>
      </c>
      <c r="E23" s="21" t="inlineStr">
        <is>
          <t>kWh/m²/day</t>
        </is>
      </c>
      <c r="F23" s="21" t="inlineStr">
        <is>
          <t>전체</t>
        </is>
      </c>
      <c r="G23" s="21" t="inlineStr">
        <is>
          <t>H, Kd</t>
        </is>
      </c>
      <c r="H23" s="21" t="inlineStr">
        <is>
          <t>월평균 분리값</t>
        </is>
      </c>
    </row>
    <row r="24" ht="30" customHeight="1">
      <c r="A24" s="17" t="n">
        <v>9</v>
      </c>
      <c r="B24" s="7" t="inlineStr">
        <is>
          <t>직달 경사계수</t>
        </is>
      </c>
      <c r="C24" s="7" t="inlineStr">
        <is>
          <t>rb</t>
        </is>
      </c>
      <c r="D24" s="7" t="inlineStr">
        <is>
          <t>15분 간격 태양벡터 적분: Rb = Σmax(cosθ,0) / Σmax(cosθz,0)</t>
        </is>
      </c>
      <c r="E24" s="7" t="inlineStr">
        <is>
          <t>-</t>
        </is>
      </c>
      <c r="F24" s="7" t="inlineStr">
        <is>
          <t>전체</t>
        </is>
      </c>
      <c r="G24" s="7" t="inlineStr">
        <is>
          <t>위도, 경사각 β, 방위각 A</t>
        </is>
      </c>
      <c r="H24" s="7" t="inlineStr">
        <is>
          <t>방위각 북0 동90 남180 서270</t>
        </is>
      </c>
    </row>
    <row r="25" ht="30" customHeight="1">
      <c r="A25" s="19" t="n">
        <v>10</v>
      </c>
      <c r="B25" s="21" t="inlineStr">
        <is>
          <t>천공 View Factor</t>
        </is>
      </c>
      <c r="C25" s="21" t="inlineStr">
        <is>
          <t>sky_factor</t>
        </is>
      </c>
      <c r="D25" s="21" t="inlineStr">
        <is>
          <t>(1+cosβ)/2</t>
        </is>
      </c>
      <c r="E25" s="21" t="inlineStr">
        <is>
          <t>-</t>
        </is>
      </c>
      <c r="F25" s="21" t="inlineStr">
        <is>
          <t>전체</t>
        </is>
      </c>
      <c r="G25" s="21" t="inlineStr">
        <is>
          <t>경사각</t>
        </is>
      </c>
      <c r="H25" s="21" t="inlineStr">
        <is>
          <t>등방성 천공 모델</t>
        </is>
      </c>
    </row>
    <row r="26" ht="30" customHeight="1">
      <c r="A26" s="17" t="n">
        <v>11</v>
      </c>
      <c r="B26" s="7" t="inlineStr">
        <is>
          <t>지면 View Factor</t>
        </is>
      </c>
      <c r="C26" s="7" t="inlineStr">
        <is>
          <t>ground_factor</t>
        </is>
      </c>
      <c r="D26" s="7" t="inlineStr">
        <is>
          <t>(1-cosβ)/2</t>
        </is>
      </c>
      <c r="E26" s="7" t="inlineStr">
        <is>
          <t>-</t>
        </is>
      </c>
      <c r="F26" s="7" t="inlineStr">
        <is>
          <t>전체</t>
        </is>
      </c>
      <c r="G26" s="7" t="inlineStr">
        <is>
          <t>경사각</t>
        </is>
      </c>
      <c r="H26" s="7" t="inlineStr">
        <is>
          <t>지면반사율 별도 적용</t>
        </is>
      </c>
    </row>
    <row r="27" ht="30" customHeight="1">
      <c r="A27" s="19" t="n">
        <v>12</v>
      </c>
      <c r="B27" s="21" t="inlineStr">
        <is>
          <t>경사면 일사량</t>
        </is>
      </c>
      <c r="C27" s="21" t="inlineStr">
        <is>
          <t>poa_month</t>
        </is>
      </c>
      <c r="D27" s="21" t="inlineStr">
        <is>
          <t>POA = [Hb×Rb + Hd×sky_factor + H×ρg×ground_factor] × 일수</t>
        </is>
      </c>
      <c r="E27" s="21" t="inlineStr">
        <is>
          <t>kWh/m²/month</t>
        </is>
      </c>
      <c r="F27" s="21" t="inlineStr">
        <is>
          <t>전체</t>
        </is>
      </c>
      <c r="G27" s="21" t="inlineStr">
        <is>
          <t>GHI, 경사, 방위, 반사율</t>
        </is>
      </c>
      <c r="H27" s="21" t="inlineStr">
        <is>
          <t>현장 POA 입력 시 계산값보다 우선</t>
        </is>
      </c>
    </row>
    <row r="28" ht="30" customHeight="1">
      <c r="A28" s="17" t="n">
        <v>13</v>
      </c>
      <c r="B28" s="7" t="inlineStr">
        <is>
          <t>모듈 경년열화</t>
        </is>
      </c>
      <c r="C28" s="7" t="inlineStr">
        <is>
          <t>age_factor</t>
        </is>
      </c>
      <c r="D28" s="7" t="inlineStr">
        <is>
          <t>F_age = (1 - 연간열화율)^운영연수</t>
        </is>
      </c>
      <c r="E28" s="7" t="inlineStr">
        <is>
          <t>-</t>
        </is>
      </c>
      <c r="F28" s="7" t="inlineStr">
        <is>
          <t>전체</t>
        </is>
      </c>
      <c r="G28" s="7" t="inlineStr">
        <is>
          <t>상업운전일, 분석연도</t>
        </is>
      </c>
      <c r="H28" s="7" t="inlineStr">
        <is>
          <t>상업운전일 미입력 시 1.000</t>
        </is>
      </c>
    </row>
    <row r="29" ht="30" customHeight="1">
      <c r="A29" s="19" t="n">
        <v>14</v>
      </c>
      <c r="B29" s="21" t="inlineStr">
        <is>
          <t>PR 기반 예상량</t>
        </is>
      </c>
      <c r="C29" s="21" t="inlineStr">
        <is>
          <t>expected_pr</t>
        </is>
      </c>
      <c r="D29" s="21" t="inlineStr">
        <is>
          <t>E = POA × Pdc × PR × F_age × Availability × (1-Curtailment) × F_other</t>
        </is>
      </c>
      <c r="E29" s="21" t="inlineStr">
        <is>
          <t>kWh</t>
        </is>
      </c>
      <c r="F29" s="21" t="inlineStr">
        <is>
          <t>간편/상세</t>
        </is>
      </c>
      <c r="G29" s="21" t="inlineStr">
        <is>
          <t>PR, 가동률, 출력제한</t>
        </is>
      </c>
      <c r="H29" s="21" t="inlineStr">
        <is>
          <t>PR에 포함된 손실 중복 차감 금지</t>
        </is>
      </c>
    </row>
    <row r="30" ht="30" customHeight="1">
      <c r="A30" s="17" t="n">
        <v>15</v>
      </c>
      <c r="B30" s="7" t="inlineStr">
        <is>
          <t>항목별 예상량</t>
        </is>
      </c>
      <c r="C30" s="7" t="inlineStr">
        <is>
          <t>expected_component</t>
        </is>
      </c>
      <c r="D30" s="7" t="inlineStr">
        <is>
          <t>E = POA × Pdc × ΠF_loss × Availability × (1-Curtailment) × F_other</t>
        </is>
      </c>
      <c r="E30" s="7" t="inlineStr">
        <is>
          <t>kWh</t>
        </is>
      </c>
      <c r="F30" s="7" t="inlineStr">
        <is>
          <t>전문가</t>
        </is>
      </c>
      <c r="G30" s="7" t="inlineStr">
        <is>
          <t>개별 손실 FACTOR</t>
        </is>
      </c>
      <c r="H30" s="7" t="inlineStr">
        <is>
          <t>PR을 동시에 적용하지 않음</t>
        </is>
      </c>
    </row>
    <row r="31" ht="30" customHeight="1">
      <c r="A31" s="19" t="n">
        <v>16</v>
      </c>
      <c r="B31" s="21" t="inlineStr">
        <is>
          <t>발전성능지수</t>
        </is>
      </c>
      <c r="C31" s="21" t="inlineStr">
        <is>
          <t>performance_index</t>
        </is>
      </c>
      <c r="D31" s="21" t="inlineStr">
        <is>
          <t>PI = Actual Energy ÷ Weather-adjusted Expected Energy</t>
        </is>
      </c>
      <c r="E31" s="21" t="inlineStr">
        <is>
          <t>%</t>
        </is>
      </c>
      <c r="F31" s="21" t="inlineStr">
        <is>
          <t>전체</t>
        </is>
      </c>
      <c r="G31" s="21" t="inlineStr">
        <is>
          <t>실제 발전량, 기상보정 예상량</t>
        </is>
      </c>
      <c r="H31" s="21" t="inlineStr">
        <is>
          <t>실제 발전량이 있는 월만 연간 합산</t>
        </is>
      </c>
    </row>
    <row r="32" ht="30" customHeight="1">
      <c r="A32" s="17" t="n">
        <v>17</v>
      </c>
      <c r="B32" s="7" t="inlineStr">
        <is>
          <t>실제 PR</t>
        </is>
      </c>
      <c r="C32" s="7" t="inlineStr">
        <is>
          <t>actual_pr</t>
        </is>
      </c>
      <c r="D32" s="7" t="inlineStr">
        <is>
          <t>PR = (E_actual/Pdc) ÷ (H_POA/Gref)</t>
        </is>
      </c>
      <c r="E32" s="7" t="inlineStr">
        <is>
          <t>%</t>
        </is>
      </c>
      <c r="F32" s="7" t="inlineStr">
        <is>
          <t>상세/전문가</t>
        </is>
      </c>
      <c r="G32" s="7" t="inlineStr">
        <is>
          <t>현장 POA</t>
        </is>
      </c>
      <c r="H32" s="7" t="inlineStr">
        <is>
          <t>현장 POA가 없으면 실제 PR로 표기하지 않음</t>
        </is>
      </c>
    </row>
    <row r="33" ht="30" customHeight="1">
      <c r="A33" s="19" t="n">
        <v>18</v>
      </c>
      <c r="B33" s="21" t="inlineStr">
        <is>
          <t>특성발전량</t>
        </is>
      </c>
      <c r="C33" s="21" t="inlineStr">
        <is>
          <t>specific_yield</t>
        </is>
      </c>
      <c r="D33" s="21" t="inlineStr">
        <is>
          <t>Yf = E / Pdc</t>
        </is>
      </c>
      <c r="E33" s="21" t="inlineStr">
        <is>
          <t>kWh/kWp</t>
        </is>
      </c>
      <c r="F33" s="21" t="inlineStr">
        <is>
          <t>전체</t>
        </is>
      </c>
      <c r="G33" s="21" t="inlineStr">
        <is>
          <t>발전량, DC 용량</t>
        </is>
      </c>
      <c r="H33" s="21" t="inlineStr">
        <is>
          <t>다른 용량 발전소 비교용</t>
        </is>
      </c>
    </row>
    <row r="34" ht="30" customHeight="1">
      <c r="A34" s="17" t="n">
        <v>19</v>
      </c>
      <c r="B34" s="7" t="inlineStr">
        <is>
          <t>설비이용률</t>
        </is>
      </c>
      <c r="C34" s="7" t="inlineStr">
        <is>
          <t>capacity_factor</t>
        </is>
      </c>
      <c r="D34" s="7" t="inlineStr">
        <is>
          <t>CF = E_actual / (Pac × 8,760)</t>
        </is>
      </c>
      <c r="E34" s="7" t="inlineStr">
        <is>
          <t>%</t>
        </is>
      </c>
      <c r="F34" s="7" t="inlineStr">
        <is>
          <t>전체</t>
        </is>
      </c>
      <c r="G34" s="7" t="inlineStr">
        <is>
          <t>실제 연간 발전량, AC 용량</t>
        </is>
      </c>
      <c r="H34" s="7" t="inlineStr">
        <is>
          <t>부분연도는 별도 시간 보정 필요</t>
        </is>
      </c>
    </row>
    <row r="35" ht="30" customHeight="1">
      <c r="A35" s="19" t="n">
        <v>20</v>
      </c>
      <c r="B35" s="21" t="inlineStr">
        <is>
          <t>입력기간 예상량</t>
        </is>
      </c>
      <c r="C35" s="21" t="inlineStr">
        <is>
          <t>expected_weather_matched_kwh</t>
        </is>
      </c>
      <c r="D35" s="21" t="inlineStr">
        <is>
          <t>실제 발전량이 입력된 월의 기상보정 예상량만 합산</t>
        </is>
      </c>
      <c r="E35" s="21" t="inlineStr">
        <is>
          <t>kWh</t>
        </is>
      </c>
      <c r="F35" s="21" t="inlineStr">
        <is>
          <t>전체</t>
        </is>
      </c>
      <c r="G35" s="21" t="inlineStr">
        <is>
          <t>월별 실제값 존재 여부</t>
        </is>
      </c>
      <c r="H35" s="21" t="inlineStr">
        <is>
          <t>부분연도를 연간 실적과 혼동하지 않음</t>
        </is>
      </c>
    </row>
    <row r="36" ht="30" customHeight="1">
      <c r="A36" s="17" t="n">
        <v>21</v>
      </c>
      <c r="B36" s="7" t="inlineStr">
        <is>
          <t>입력기간 발전성능지수</t>
        </is>
      </c>
      <c r="C36" s="7" t="inlineStr">
        <is>
          <t>performance_index</t>
        </is>
      </c>
      <c r="D36" s="7" t="inlineStr">
        <is>
          <t>ΣE_actual(입력월) ÷ ΣE_weather-adjusted(동일 입력월)</t>
        </is>
      </c>
      <c r="E36" s="7" t="inlineStr">
        <is>
          <t>%</t>
        </is>
      </c>
      <c r="F36" s="7" t="inlineStr">
        <is>
          <t>전체</t>
        </is>
      </c>
      <c r="G36" s="7" t="inlineStr">
        <is>
          <t>입력월 실제·예상</t>
        </is>
      </c>
      <c r="H36" s="7" t="inlineStr">
        <is>
          <t>결측월은 0으로 대체하지 않음</t>
        </is>
      </c>
    </row>
    <row r="37" ht="30" customHeight="1">
      <c r="A37" s="19" t="n">
        <v>22</v>
      </c>
      <c r="B37" s="21" t="inlineStr">
        <is>
          <t>자료 커버리지</t>
        </is>
      </c>
      <c r="C37" s="21" t="inlineStr">
        <is>
          <t>coverage_pct</t>
        </is>
      </c>
      <c r="D37" s="21" t="inlineStr">
        <is>
          <t>실제 발전량 입력 월수 ÷ 12 × 100</t>
        </is>
      </c>
      <c r="E37" s="21" t="inlineStr">
        <is>
          <t>%</t>
        </is>
      </c>
      <c r="F37" s="21" t="inlineStr">
        <is>
          <t>전체</t>
        </is>
      </c>
      <c r="G37" s="21" t="inlineStr">
        <is>
          <t>actual_month_count</t>
        </is>
      </c>
      <c r="H37" s="21" t="inlineStr">
        <is>
          <t>부분연도 판정 문구에 표시</t>
        </is>
      </c>
    </row>
  </sheetData>
  <mergeCells count="12">
    <mergeCell ref="A4:H4"/>
    <mergeCell ref="C6:H6"/>
    <mergeCell ref="C10:H10"/>
    <mergeCell ref="C11:H11"/>
    <mergeCell ref="C5:H5"/>
    <mergeCell ref="A2:H2"/>
    <mergeCell ref="C9:H9"/>
    <mergeCell ref="C8:H8"/>
    <mergeCell ref="A14:H14"/>
    <mergeCell ref="A1:H1"/>
    <mergeCell ref="C12:H12"/>
    <mergeCell ref="C7:H7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24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13" customWidth="1" min="4" max="4"/>
    <col width="8" customWidth="1" min="5" max="5"/>
    <col width="11" customWidth="1" min="6" max="6"/>
    <col width="34" customWidth="1" min="7" max="7"/>
    <col width="34" customWidth="1" min="8" max="8"/>
    <col width="40" customWidth="1" min="9" max="9"/>
  </cols>
  <sheetData>
    <row r="1" ht="30" customHeight="1">
      <c r="A1" s="1" t="inlineStr">
        <is>
          <t>FACTOR 기준값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FACTOR 기본값의 단일 출처(single source) 시트입니다. 관리자 설정값으로 관리하고 분석 실행 시 스냅샷을 보관합니다.</t>
        </is>
      </c>
    </row>
    <row r="4" ht="20" customHeight="1">
      <c r="A4" s="4" t="inlineStr">
        <is>
          <t>■ 손실·보정 FACTOR 기본값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14" t="inlineStr">
        <is>
          <t>코드</t>
        </is>
      </c>
      <c r="B5" s="14" t="inlineStr">
        <is>
          <t>한글명</t>
        </is>
      </c>
      <c r="C5" s="14" t="inlineStr">
        <is>
          <t>기본값</t>
        </is>
      </c>
      <c r="D5" s="14" t="inlineStr">
        <is>
          <t>권장범위</t>
        </is>
      </c>
      <c r="E5" s="14" t="inlineStr">
        <is>
          <t>단위</t>
        </is>
      </c>
      <c r="F5" s="14" t="inlineStr">
        <is>
          <t>적용방식</t>
        </is>
      </c>
      <c r="G5" s="14" t="inlineStr">
        <is>
          <t>포함/제외 범위</t>
        </is>
      </c>
      <c r="H5" s="14" t="inlineStr">
        <is>
          <t>근거·주의</t>
        </is>
      </c>
      <c r="I5" s="14" t="inlineStr">
        <is>
          <t>출처 URL</t>
        </is>
      </c>
    </row>
    <row r="6" ht="30" customHeight="1">
      <c r="A6" s="7" t="inlineStr">
        <is>
          <t>pr</t>
        </is>
      </c>
      <c r="B6" s="7" t="inlineStr">
        <is>
          <t>기준 PR</t>
        </is>
      </c>
      <c r="C6" s="25" t="n">
        <v>0.8</v>
      </c>
      <c r="D6" s="17" t="inlineStr">
        <is>
          <t>0.75~0.85</t>
        </is>
      </c>
      <c r="E6" s="17" t="inlineStr">
        <is>
          <t>-</t>
        </is>
      </c>
      <c r="F6" s="17" t="inlineStr">
        <is>
          <t>PR 기반</t>
        </is>
      </c>
      <c r="G6" s="7" t="inlineStr">
        <is>
          <t>정상 설비의 온도·변환·배선 등 종합손실</t>
        </is>
      </c>
      <c r="H6" s="7" t="inlineStr">
        <is>
          <t>발전소 설계 및 운영수준에 맞게 조정</t>
        </is>
      </c>
      <c r="I6" s="26" t="inlineStr">
        <is>
          <t>https://pvpmc.sandia.gov/modeling-guide/5-ac-system-output/pv-performance-metrics/performance-ratio/</t>
        </is>
      </c>
    </row>
    <row r="7" ht="30" customHeight="1">
      <c r="A7" s="21" t="inlineStr">
        <is>
          <t>availability</t>
        </is>
      </c>
      <c r="B7" s="21" t="inlineStr">
        <is>
          <t>가동률</t>
        </is>
      </c>
      <c r="C7" s="25" t="n">
        <v>0.995</v>
      </c>
      <c r="D7" s="19" t="inlineStr">
        <is>
          <t>0.95~1.00</t>
        </is>
      </c>
      <c r="E7" s="19" t="inlineStr">
        <is>
          <t>-</t>
        </is>
      </c>
      <c r="F7" s="19" t="inlineStr">
        <is>
          <t>공통</t>
        </is>
      </c>
      <c r="G7" s="21" t="inlineStr">
        <is>
          <t>고장·정비로 발전 불가능한 시간</t>
        </is>
      </c>
      <c r="H7" s="21" t="inlineStr">
        <is>
          <t>PR과 별도 적용 시 정의 일관성 필요</t>
        </is>
      </c>
      <c r="I7" s="21" t="inlineStr"/>
    </row>
    <row r="8" ht="30" customHeight="1">
      <c r="A8" s="7" t="inlineStr">
        <is>
          <t>curtailment_rate</t>
        </is>
      </c>
      <c r="B8" s="7" t="inlineStr">
        <is>
          <t>출력제한률</t>
        </is>
      </c>
      <c r="C8" s="25" t="n">
        <v>0</v>
      </c>
      <c r="D8" s="17" t="inlineStr">
        <is>
          <t>0~0.10</t>
        </is>
      </c>
      <c r="E8" s="17" t="inlineStr">
        <is>
          <t>-</t>
        </is>
      </c>
      <c r="F8" s="17" t="inlineStr">
        <is>
          <t>공통</t>
        </is>
      </c>
      <c r="G8" s="7" t="inlineStr">
        <is>
          <t>계통·계약·운영 지시에 의한 의도적 감발</t>
        </is>
      </c>
      <c r="H8" s="7" t="inlineStr">
        <is>
          <t>고장·정비는 포함하지 않음</t>
        </is>
      </c>
      <c r="I8" s="7" t="inlineStr"/>
    </row>
    <row r="9" ht="30" customHeight="1">
      <c r="A9" s="21" t="inlineStr">
        <is>
          <t>other_factor</t>
        </is>
      </c>
      <c r="B9" s="21" t="inlineStr">
        <is>
          <t>기타보정계수</t>
        </is>
      </c>
      <c r="C9" s="25" t="n">
        <v>1</v>
      </c>
      <c r="D9" s="19" t="inlineStr">
        <is>
          <t>0.90~1.05</t>
        </is>
      </c>
      <c r="E9" s="19" t="inlineStr">
        <is>
          <t>-</t>
        </is>
      </c>
      <c r="F9" s="19" t="inlineStr">
        <is>
          <t>공통</t>
        </is>
      </c>
      <c r="G9" s="21" t="inlineStr">
        <is>
          <t>별도 안전계수 또는 프로젝트 특수보정</t>
        </is>
      </c>
      <c r="H9" s="21" t="inlineStr">
        <is>
          <t>PR 손실과 중복 금지</t>
        </is>
      </c>
      <c r="I9" s="21" t="inlineStr"/>
    </row>
    <row r="10" ht="30" customHeight="1">
      <c r="A10" s="7" t="inlineStr">
        <is>
          <t>annual_degradation_rate</t>
        </is>
      </c>
      <c r="B10" s="7" t="inlineStr">
        <is>
          <t>연간 모듈 열화율</t>
        </is>
      </c>
      <c r="C10" s="25" t="n">
        <v>0.005</v>
      </c>
      <c r="D10" s="17" t="inlineStr">
        <is>
          <t>모듈 보증값</t>
        </is>
      </c>
      <c r="E10" s="17" t="inlineStr">
        <is>
          <t>/year</t>
        </is>
      </c>
      <c r="F10" s="17" t="inlineStr">
        <is>
          <t>공통</t>
        </is>
      </c>
      <c r="G10" s="7" t="inlineStr">
        <is>
          <t>운영연수 보정</t>
        </is>
      </c>
      <c r="H10" s="7" t="inlineStr">
        <is>
          <t>실제 장기추세와 비교</t>
        </is>
      </c>
      <c r="I10" s="7" t="inlineStr"/>
    </row>
    <row r="11" ht="30" customHeight="1">
      <c r="A11" s="21" t="inlineStr">
        <is>
          <t>albedo</t>
        </is>
      </c>
      <c r="B11" s="21" t="inlineStr">
        <is>
          <t>지면반사율</t>
        </is>
      </c>
      <c r="C11" s="25" t="n">
        <v>0.2</v>
      </c>
      <c r="D11" s="19" t="inlineStr">
        <is>
          <t>0.15~0.30</t>
        </is>
      </c>
      <c r="E11" s="19" t="inlineStr">
        <is>
          <t>-</t>
        </is>
      </c>
      <c r="F11" s="19" t="inlineStr">
        <is>
          <t>POA</t>
        </is>
      </c>
      <c r="G11" s="21" t="inlineStr">
        <is>
          <t>지면반사 성분</t>
        </is>
      </c>
      <c r="H11" s="21" t="inlineStr">
        <is>
          <t>적설·밝은 지붕은 별도 검토</t>
        </is>
      </c>
      <c r="I11" s="27" t="inlineStr">
        <is>
          <t>https://pvpmc.sandia.gov/modeling-guide/1-weather-design-inputs/plane-of-array-poa-irradiance/</t>
        </is>
      </c>
    </row>
    <row r="12" ht="30" customHeight="1">
      <c r="A12" s="7" t="inlineStr">
        <is>
          <t>iam</t>
        </is>
      </c>
      <c r="B12" s="7" t="inlineStr">
        <is>
          <t>입사각 FACTOR</t>
        </is>
      </c>
      <c r="C12" s="25" t="n">
        <v>0.98</v>
      </c>
      <c r="D12" s="17" t="inlineStr">
        <is>
          <t>0.95~1.00</t>
        </is>
      </c>
      <c r="E12" s="17" t="inlineStr">
        <is>
          <t>-</t>
        </is>
      </c>
      <c r="F12" s="17" t="inlineStr">
        <is>
          <t>항목별</t>
        </is>
      </c>
      <c r="G12" s="7" t="inlineStr">
        <is>
          <t>입사각 광학손실</t>
        </is>
      </c>
      <c r="H12" s="7" t="inlineStr">
        <is>
          <t>PR 방식에서는 중복 적용 금지</t>
        </is>
      </c>
      <c r="I12" s="7" t="inlineStr"/>
    </row>
    <row r="13" ht="30" customHeight="1">
      <c r="A13" s="21" t="inlineStr">
        <is>
          <t>shading</t>
        </is>
      </c>
      <c r="B13" s="21" t="inlineStr">
        <is>
          <t>음영 FACTOR</t>
        </is>
      </c>
      <c r="C13" s="25" t="n">
        <v>0.99</v>
      </c>
      <c r="D13" s="19" t="inlineStr">
        <is>
          <t>0.80~1.00</t>
        </is>
      </c>
      <c r="E13" s="19" t="inlineStr">
        <is>
          <t>-</t>
        </is>
      </c>
      <c r="F13" s="19" t="inlineStr">
        <is>
          <t>항목별</t>
        </is>
      </c>
      <c r="G13" s="21" t="inlineStr">
        <is>
          <t>주변 지형·구조물 음영</t>
        </is>
      </c>
      <c r="H13" s="21" t="inlineStr">
        <is>
          <t>시간대별 또는 음영해석 권장</t>
        </is>
      </c>
      <c r="I13" s="21" t="inlineStr"/>
    </row>
    <row r="14" ht="30" customHeight="1">
      <c r="A14" s="7" t="inlineStr">
        <is>
          <t>soiling</t>
        </is>
      </c>
      <c r="B14" s="7" t="inlineStr">
        <is>
          <t>오염 FACTOR</t>
        </is>
      </c>
      <c r="C14" s="25" t="n">
        <v>0.97</v>
      </c>
      <c r="D14" s="17" t="inlineStr">
        <is>
          <t>0.90~1.00</t>
        </is>
      </c>
      <c r="E14" s="17" t="inlineStr">
        <is>
          <t>-</t>
        </is>
      </c>
      <c r="F14" s="17" t="inlineStr">
        <is>
          <t>항목별</t>
        </is>
      </c>
      <c r="G14" s="7" t="inlineStr">
        <is>
          <t>먼지·조류분변·염해</t>
        </is>
      </c>
      <c r="H14" s="7" t="inlineStr">
        <is>
          <t>강우·세척 전후 성능 확인</t>
        </is>
      </c>
      <c r="I14" s="7" t="inlineStr"/>
    </row>
    <row r="15" ht="30" customHeight="1">
      <c r="A15" s="21" t="inlineStr">
        <is>
          <t>temperature</t>
        </is>
      </c>
      <c r="B15" s="21" t="inlineStr">
        <is>
          <t>온도 FACTOR</t>
        </is>
      </c>
      <c r="C15" s="25" t="n">
        <v>0.9399999999999999</v>
      </c>
      <c r="D15" s="19" t="inlineStr">
        <is>
          <t>0.85~0.98</t>
        </is>
      </c>
      <c r="E15" s="19" t="inlineStr">
        <is>
          <t>-</t>
        </is>
      </c>
      <c r="F15" s="19" t="inlineStr">
        <is>
          <t>항목별</t>
        </is>
      </c>
      <c r="G15" s="21" t="inlineStr">
        <is>
          <t>모듈 고온 손실</t>
        </is>
      </c>
      <c r="H15" s="21" t="inlineStr">
        <is>
          <t>시간별 기온·풍속·모듈온도 적용 권장</t>
        </is>
      </c>
      <c r="I15" s="21" t="inlineStr"/>
    </row>
    <row r="16" ht="30" customHeight="1">
      <c r="A16" s="7" t="inlineStr">
        <is>
          <t>mismatch</t>
        </is>
      </c>
      <c r="B16" s="7" t="inlineStr">
        <is>
          <t>불일치 FACTOR</t>
        </is>
      </c>
      <c r="C16" s="25" t="n">
        <v>0.98</v>
      </c>
      <c r="D16" s="17" t="inlineStr">
        <is>
          <t>0.95~1.00</t>
        </is>
      </c>
      <c r="E16" s="17" t="inlineStr">
        <is>
          <t>-</t>
        </is>
      </c>
      <c r="F16" s="17" t="inlineStr">
        <is>
          <t>항목별</t>
        </is>
      </c>
      <c r="G16" s="7" t="inlineStr">
        <is>
          <t>모듈·스트링 전기적 불일치</t>
        </is>
      </c>
      <c r="H16" s="7" t="inlineStr">
        <is>
          <t>MPPT 데이터가 있으면 실측 진단</t>
        </is>
      </c>
      <c r="I16" s="7" t="inlineStr"/>
    </row>
    <row r="17" ht="30" customHeight="1">
      <c r="A17" s="21" t="inlineStr">
        <is>
          <t>dc_wiring</t>
        </is>
      </c>
      <c r="B17" s="21" t="inlineStr">
        <is>
          <t>DC 배선 FACTOR</t>
        </is>
      </c>
      <c r="C17" s="25" t="n">
        <v>0.985</v>
      </c>
      <c r="D17" s="19" t="inlineStr">
        <is>
          <t>0.97~1.00</t>
        </is>
      </c>
      <c r="E17" s="19" t="inlineStr">
        <is>
          <t>-</t>
        </is>
      </c>
      <c r="F17" s="19" t="inlineStr">
        <is>
          <t>항목별</t>
        </is>
      </c>
      <c r="G17" s="21" t="inlineStr">
        <is>
          <t>DC 케이블·접속 손실</t>
        </is>
      </c>
      <c r="H17" s="21" t="inlineStr">
        <is>
          <t>설계 전압강하 자료 확인</t>
        </is>
      </c>
      <c r="I17" s="21" t="inlineStr"/>
    </row>
    <row r="18" ht="30" customHeight="1">
      <c r="A18" s="7" t="inlineStr">
        <is>
          <t>inverter</t>
        </is>
      </c>
      <c r="B18" s="7" t="inlineStr">
        <is>
          <t>인버터 FACTOR</t>
        </is>
      </c>
      <c r="C18" s="25" t="n">
        <v>0.975</v>
      </c>
      <c r="D18" s="17" t="inlineStr">
        <is>
          <t>0.95~0.99</t>
        </is>
      </c>
      <c r="E18" s="17" t="inlineStr">
        <is>
          <t>-</t>
        </is>
      </c>
      <c r="F18" s="17" t="inlineStr">
        <is>
          <t>항목별</t>
        </is>
      </c>
      <c r="G18" s="7" t="inlineStr">
        <is>
          <t>DC-AC 변환효율</t>
        </is>
      </c>
      <c r="H18" s="7" t="inlineStr">
        <is>
          <t>클리핑은 별도 또는 모델 내 포함 정의 필요</t>
        </is>
      </c>
      <c r="I18" s="7" t="inlineStr"/>
    </row>
    <row r="19" ht="30" customHeight="1">
      <c r="A19" s="21" t="inlineStr">
        <is>
          <t>ac_wiring</t>
        </is>
      </c>
      <c r="B19" s="21" t="inlineStr">
        <is>
          <t>AC 배선 FACTOR</t>
        </is>
      </c>
      <c r="C19" s="25" t="n">
        <v>0.99</v>
      </c>
      <c r="D19" s="19" t="inlineStr">
        <is>
          <t>0.98~1.00</t>
        </is>
      </c>
      <c r="E19" s="19" t="inlineStr">
        <is>
          <t>-</t>
        </is>
      </c>
      <c r="F19" s="19" t="inlineStr">
        <is>
          <t>항목별</t>
        </is>
      </c>
      <c r="G19" s="21" t="inlineStr">
        <is>
          <t>AC 배선 손실</t>
        </is>
      </c>
      <c r="H19" s="21" t="inlineStr">
        <is>
          <t>계량기 위치 확인</t>
        </is>
      </c>
      <c r="I19" s="21" t="inlineStr"/>
    </row>
    <row r="20" ht="30" customHeight="1">
      <c r="A20" s="7" t="inlineStr">
        <is>
          <t>transformer</t>
        </is>
      </c>
      <c r="B20" s="7" t="inlineStr">
        <is>
          <t>변압기 FACTOR</t>
        </is>
      </c>
      <c r="C20" s="25" t="n">
        <v>0.99</v>
      </c>
      <c r="D20" s="17" t="inlineStr">
        <is>
          <t>0.97~1.00</t>
        </is>
      </c>
      <c r="E20" s="17" t="inlineStr">
        <is>
          <t>-</t>
        </is>
      </c>
      <c r="F20" s="17" t="inlineStr">
        <is>
          <t>항목별</t>
        </is>
      </c>
      <c r="G20" s="7" t="inlineStr">
        <is>
          <t>변압기 손실</t>
        </is>
      </c>
      <c r="H20" s="7" t="inlineStr">
        <is>
          <t>발전량 계측 위치에 따라 제외 가능</t>
        </is>
      </c>
      <c r="I20" s="7" t="inlineStr"/>
    </row>
    <row r="22" ht="16" customHeight="1">
      <c r="A22" s="23" t="inlineStr">
        <is>
          <t>※ PR 기반 방식(간편·상세)과 항목별 손실 방식(전문가)은 동시에 적용하지 않습니다. PR에 이미 포함된 손실을 항목별로 다시 차감하면 이중 차감이 됩니다.</t>
        </is>
      </c>
    </row>
    <row r="23" ht="16" customHeight="1">
      <c r="A23" s="23" t="inlineStr">
        <is>
          <t>※ 기준 PR·가동률·지면반사율은 본 시트가 기준이며, '14_지역·상수' 시트의 기본값과 '11_발전량_모델' 시트의 기본 입력값은 이 값을 참조합니다.</t>
        </is>
      </c>
    </row>
    <row r="24" ht="16" customHeight="1">
      <c r="A24" s="23" t="inlineStr">
        <is>
          <t>※ 출처가 비어 있는 항목은 프로젝트 관리자 설정값이며, 실제 설비 사양·운영 기록으로 대체하는 것을 권장합니다.</t>
        </is>
      </c>
    </row>
  </sheetData>
  <mergeCells count="6">
    <mergeCell ref="A2:I2"/>
    <mergeCell ref="A1:I1"/>
    <mergeCell ref="A23:I23"/>
    <mergeCell ref="A22:I22"/>
    <mergeCell ref="A4:I4"/>
    <mergeCell ref="A24:I24"/>
  </mergeCells>
  <hyperlinks>
    <hyperlink xmlns:r="http://schemas.openxmlformats.org/officeDocument/2006/relationships" ref="I6" r:id="rId1"/>
    <hyperlink xmlns:r="http://schemas.openxmlformats.org/officeDocument/2006/relationships" ref="I11" r:id="rId2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16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2" customWidth="1" min="4" max="4"/>
    <col width="11" customWidth="1" min="5" max="5"/>
    <col width="24" customWidth="1" min="6" max="6"/>
    <col width="22" customWidth="1" min="7" max="7"/>
    <col width="26" customWidth="1" min="8" max="8"/>
    <col width="10" customWidth="1" min="9" max="9"/>
  </cols>
  <sheetData>
    <row r="1" ht="30" customHeight="1">
      <c r="A1" s="1" t="inlineStr">
        <is>
          <t>저하원인 진단규칙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진단은 고장 확정이 아니라 가능성·근거·추가 확인·권장조치로 출력합니다. 필요 데이터가 없으면 '판단자료 부족'으로 반환합니다.</t>
        </is>
      </c>
    </row>
    <row r="4" ht="20" customHeight="1">
      <c r="A4" s="4" t="inlineStr">
        <is>
          <t>■ 진단규칙 및 임계값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14" t="inlineStr">
        <is>
          <t>규칙코드</t>
        </is>
      </c>
      <c r="B5" s="14" t="inlineStr">
        <is>
          <t>원인명</t>
        </is>
      </c>
      <c r="C5" s="14" t="inlineStr">
        <is>
          <t>필요 데이터</t>
        </is>
      </c>
      <c r="D5" s="14" t="inlineStr">
        <is>
          <t>조건/임계값(MVP)</t>
        </is>
      </c>
      <c r="E5" s="14" t="inlineStr">
        <is>
          <t>가능성</t>
        </is>
      </c>
      <c r="F5" s="14" t="inlineStr">
        <is>
          <t>자동 근거</t>
        </is>
      </c>
      <c r="G5" s="14" t="inlineStr">
        <is>
          <t>추가 확인</t>
        </is>
      </c>
      <c r="H5" s="14" t="inlineStr">
        <is>
          <t>권장 조치</t>
        </is>
      </c>
      <c r="I5" s="14" t="inlineStr">
        <is>
          <t>구현</t>
        </is>
      </c>
    </row>
    <row r="6" ht="30" customHeight="1">
      <c r="A6" s="7" t="inlineStr">
        <is>
          <t>WEATHER_LOW</t>
        </is>
      </c>
      <c r="B6" s="7" t="inlineStr">
        <is>
          <t>분석연도 일사량 부족</t>
        </is>
      </c>
      <c r="C6" s="7" t="inlineStr">
        <is>
          <t>지역/현장 GHI</t>
        </is>
      </c>
      <c r="D6" s="7" t="inlineStr">
        <is>
          <t>연간 GHI ÷ 10년평균 GHI &lt; 0.96</t>
        </is>
      </c>
      <c r="E6" s="17" t="inlineStr">
        <is>
          <t>보통~높음</t>
        </is>
      </c>
      <c r="F6" s="7" t="inlineStr">
        <is>
          <t>분석연도와 장기평균 일사량 비율</t>
        </is>
      </c>
      <c r="G6" s="7" t="inlineStr">
        <is>
          <t>현장 POA, 인근 관측소 거리</t>
        </is>
      </c>
      <c r="H6" s="7" t="inlineStr">
        <is>
          <t>기상영향과 설비성능 차이를 분리</t>
        </is>
      </c>
      <c r="I6" s="17" t="inlineStr">
        <is>
          <t>구현</t>
        </is>
      </c>
    </row>
    <row r="7" ht="30" customHeight="1">
      <c r="A7" s="21" t="inlineStr">
        <is>
          <t>PERF_LOW</t>
        </is>
      </c>
      <c r="B7" s="21" t="inlineStr">
        <is>
          <t>기상 보정 후 성능저하</t>
        </is>
      </c>
      <c r="C7" s="21" t="inlineStr">
        <is>
          <t>실제 발전량, 기상보정 예상량</t>
        </is>
      </c>
      <c r="D7" s="21" t="inlineStr">
        <is>
          <t>연간 PI &lt; 0.97 (&lt;0.92 보통, &lt;0.85 높음)</t>
        </is>
      </c>
      <c r="E7" s="19" t="inlineStr">
        <is>
          <t>낮음~높음</t>
        </is>
      </c>
      <c r="F7" s="21" t="inlineStr">
        <is>
          <t>실제/예상 비율과 저하월 목록</t>
        </is>
      </c>
      <c r="G7" s="21" t="inlineStr">
        <is>
          <t>정지·알람·세척·출력제한</t>
        </is>
      </c>
      <c r="H7" s="21" t="inlineStr">
        <is>
          <t>설비 및 운영 기록 순차 점검</t>
        </is>
      </c>
      <c r="I7" s="19" t="inlineStr">
        <is>
          <t>구현</t>
        </is>
      </c>
    </row>
    <row r="8" ht="30" customHeight="1">
      <c r="A8" s="7" t="inlineStr">
        <is>
          <t>INV_LOW</t>
        </is>
      </c>
      <c r="B8" s="7" t="inlineStr">
        <is>
          <t>특정 인버터 저하</t>
        </is>
      </c>
      <c r="C8" s="7" t="inlineStr">
        <is>
          <t>인버터별 DC용량, 연간발전량</t>
        </is>
      </c>
      <c r="D8" s="7" t="inlineStr">
        <is>
          <t>특성발전량이 중앙값 대비 -7% 이하</t>
        </is>
      </c>
      <c r="E8" s="17" t="inlineStr">
        <is>
          <t>보통~높음</t>
        </is>
      </c>
      <c r="F8" s="7" t="inlineStr">
        <is>
          <t>인버터별 kWh/kWp 편차</t>
        </is>
      </c>
      <c r="G8" s="7" t="inlineStr">
        <is>
          <t>MPPT 전류, 알람, 차단기</t>
        </is>
      </c>
      <c r="H8" s="7" t="inlineStr">
        <is>
          <t>인버터·스트링 현장점검</t>
        </is>
      </c>
      <c r="I8" s="17" t="inlineStr">
        <is>
          <t>구현</t>
        </is>
      </c>
    </row>
    <row r="9" ht="30" customHeight="1">
      <c r="A9" s="21" t="inlineStr">
        <is>
          <t>CLIPPING</t>
        </is>
      </c>
      <c r="B9" s="21" t="inlineStr">
        <is>
          <t>인버터 클리핑 가능성</t>
        </is>
      </c>
      <c r="C9" s="21" t="inlineStr">
        <is>
          <t>DC/AC 비율</t>
        </is>
      </c>
      <c r="D9" s="21" t="inlineStr">
        <is>
          <t>DC/AC ≥ 1.25 (≥1.35 보통)</t>
        </is>
      </c>
      <c r="E9" s="19" t="inlineStr">
        <is>
          <t>낮음~보통</t>
        </is>
      </c>
      <c r="F9" s="21" t="inlineStr">
        <is>
          <t>DC/AC 설계비율</t>
        </is>
      </c>
      <c r="G9" s="21" t="inlineStr">
        <is>
          <t>맑은 날 시간별 AC 출력</t>
        </is>
      </c>
      <c r="H9" s="21" t="inlineStr">
        <is>
          <t>정오 출력 평탄화 확인</t>
        </is>
      </c>
      <c r="I9" s="19" t="inlineStr">
        <is>
          <t>부분 구현</t>
        </is>
      </c>
    </row>
    <row r="10" ht="30" customHeight="1">
      <c r="A10" s="7" t="inlineStr">
        <is>
          <t>CURTAIL</t>
        </is>
      </c>
      <c r="B10" s="7" t="inlineStr">
        <is>
          <t>출력제한 손실</t>
        </is>
      </c>
      <c r="C10" s="7" t="inlineStr">
        <is>
          <t>출력제한률/이벤트</t>
        </is>
      </c>
      <c r="D10" s="7" t="inlineStr">
        <is>
          <t>출력제한률 &gt; 0 (≥5% 높음)</t>
        </is>
      </c>
      <c r="E10" s="17" t="inlineStr">
        <is>
          <t>보통~높음</t>
        </is>
      </c>
      <c r="F10" s="7" t="inlineStr">
        <is>
          <t>입력된 제한률</t>
        </is>
      </c>
      <c r="G10" s="7" t="inlineStr">
        <is>
          <t>계통지시·접속용량·PPA</t>
        </is>
      </c>
      <c r="H10" s="7" t="inlineStr">
        <is>
          <t>이벤트별 손실량 검증</t>
        </is>
      </c>
      <c r="I10" s="17" t="inlineStr">
        <is>
          <t>구현</t>
        </is>
      </c>
    </row>
    <row r="11" ht="30" customHeight="1">
      <c r="A11" s="21" t="inlineStr">
        <is>
          <t>AGE</t>
        </is>
      </c>
      <c r="B11" s="21" t="inlineStr">
        <is>
          <t>모듈 경년열화</t>
        </is>
      </c>
      <c r="C11" s="21" t="inlineStr">
        <is>
          <t>상업운전일, 열화율</t>
        </is>
      </c>
      <c r="D11" s="21" t="inlineStr">
        <is>
          <t>운영연수 ≥ 5년</t>
        </is>
      </c>
      <c r="E11" s="19" t="inlineStr">
        <is>
          <t>낮음</t>
        </is>
      </c>
      <c r="F11" s="21" t="inlineStr">
        <is>
          <t>운영연수와 누적 보정률</t>
        </is>
      </c>
      <c r="G11" s="21" t="inlineStr">
        <is>
          <t>기상보정 연도별 추세</t>
        </is>
      </c>
      <c r="H11" s="21" t="inlineStr">
        <is>
          <t>보증 열화율과 실제 추세 비교</t>
        </is>
      </c>
      <c r="I11" s="19" t="inlineStr">
        <is>
          <t>구현</t>
        </is>
      </c>
    </row>
    <row r="12" ht="30" customHeight="1">
      <c r="A12" s="7" t="inlineStr">
        <is>
          <t>MISSING</t>
        </is>
      </c>
      <c r="B12" s="7" t="inlineStr">
        <is>
          <t>원인진단 자료 부족</t>
        </is>
      </c>
      <c r="C12" s="7" t="inlineStr">
        <is>
          <t>데이터 등급</t>
        </is>
      </c>
      <c r="D12" s="7" t="inlineStr">
        <is>
          <t>등급 C 또는 D</t>
        </is>
      </c>
      <c r="E12" s="17" t="inlineStr">
        <is>
          <t>보통</t>
        </is>
      </c>
      <c r="F12" s="7" t="inlineStr">
        <is>
          <t>부족한 데이터 목록</t>
        </is>
      </c>
      <c r="G12" s="7" t="inlineStr">
        <is>
          <t>POA/GHI, 인버터, 정지기록</t>
        </is>
      </c>
      <c r="H12" s="7" t="inlineStr">
        <is>
          <t>추가 계측자료 확보</t>
        </is>
      </c>
      <c r="I12" s="17" t="inlineStr">
        <is>
          <t>구현</t>
        </is>
      </c>
    </row>
    <row r="13" ht="30" customHeight="1">
      <c r="A13" s="21" t="inlineStr">
        <is>
          <t>ZERO_GEN</t>
        </is>
      </c>
      <c r="B13" s="21" t="inlineStr">
        <is>
          <t>일사 존재 시 무발전</t>
        </is>
      </c>
      <c r="C13" s="21" t="inlineStr">
        <is>
          <t>시간/일별 POA와 발전량</t>
        </is>
      </c>
      <c r="D13" s="21" t="inlineStr">
        <is>
          <t>POA 임계값 이상 &amp; 발전량 0</t>
        </is>
      </c>
      <c r="E13" s="19" t="inlineStr">
        <is>
          <t>높음</t>
        </is>
      </c>
      <c r="F13" s="21" t="inlineStr">
        <is>
          <t>발생시각과 지속시간</t>
        </is>
      </c>
      <c r="G13" s="21" t="inlineStr">
        <is>
          <t>계통, 인버터 상태, 통신</t>
        </is>
      </c>
      <c r="H13" s="21" t="inlineStr">
        <is>
          <t>고장·정전·계량 오류 구분</t>
        </is>
      </c>
      <c r="I13" s="19" t="inlineStr">
        <is>
          <t>후속</t>
        </is>
      </c>
    </row>
    <row r="14" ht="30" customHeight="1">
      <c r="A14" s="7" t="inlineStr">
        <is>
          <t>MORNING_PM</t>
        </is>
      </c>
      <c r="B14" s="7" t="inlineStr">
        <is>
          <t>오전/오후 비대칭</t>
        </is>
      </c>
      <c r="C14" s="7" t="inlineStr">
        <is>
          <t>시간별 출력·POA</t>
        </is>
      </c>
      <c r="D14" s="7" t="inlineStr">
        <is>
          <t>정오 기준 대칭구간 편차 지속</t>
        </is>
      </c>
      <c r="E14" s="17" t="inlineStr">
        <is>
          <t>보통</t>
        </is>
      </c>
      <c r="F14" s="7" t="inlineStr">
        <is>
          <t>시간대별 정상화 출력곡선</t>
        </is>
      </c>
      <c r="G14" s="7" t="inlineStr">
        <is>
          <t>현장 음영, 방위, 센서</t>
        </is>
      </c>
      <c r="H14" s="7" t="inlineStr">
        <is>
          <t>음영 및 방향 불일치 확인</t>
        </is>
      </c>
      <c r="I14" s="17" t="inlineStr">
        <is>
          <t>후속</t>
        </is>
      </c>
    </row>
    <row r="15" ht="30" customHeight="1">
      <c r="A15" s="21" t="inlineStr">
        <is>
          <t>SOILING</t>
        </is>
      </c>
      <c r="B15" s="21" t="inlineStr">
        <is>
          <t>오염 가능성</t>
        </is>
      </c>
      <c r="C15" s="21" t="inlineStr">
        <is>
          <t>PI, 강우/세척 이력</t>
        </is>
      </c>
      <c r="D15" s="21" t="inlineStr">
        <is>
          <t>강우·세척 후 PI 유의 회복</t>
        </is>
      </c>
      <c r="E15" s="19" t="inlineStr">
        <is>
          <t>보통</t>
        </is>
      </c>
      <c r="F15" s="21" t="inlineStr">
        <is>
          <t>전후 성능 변화</t>
        </is>
      </c>
      <c r="G15" s="21" t="inlineStr">
        <is>
          <t>세척일, 강우량, 사진</t>
        </is>
      </c>
      <c r="H15" s="21" t="inlineStr">
        <is>
          <t>오염도 점검 및 세척주기 최적화</t>
        </is>
      </c>
      <c r="I15" s="19" t="inlineStr">
        <is>
          <t>후속</t>
        </is>
      </c>
    </row>
    <row r="16" ht="30" customHeight="1">
      <c r="A16" s="7" t="inlineStr">
        <is>
          <t>SENSOR_POA</t>
        </is>
      </c>
      <c r="B16" s="7" t="inlineStr">
        <is>
          <t>POA 센서 이상</t>
        </is>
      </c>
      <c r="C16" s="7" t="inlineStr">
        <is>
          <t>GHI/POA/태양기하</t>
        </is>
      </c>
      <c r="D16" s="7" t="inlineStr">
        <is>
          <t>POA/GHI 비율이 방향·계절과 불일치</t>
        </is>
      </c>
      <c r="E16" s="17" t="inlineStr">
        <is>
          <t>보통</t>
        </is>
      </c>
      <c r="F16" s="7" t="inlineStr">
        <is>
          <t>센서 비율·고정값·결측</t>
        </is>
      </c>
      <c r="G16" s="7" t="inlineStr">
        <is>
          <t>설치각, 교정일, 청소상태</t>
        </is>
      </c>
      <c r="H16" s="7" t="inlineStr">
        <is>
          <t>센서 재설치·교정</t>
        </is>
      </c>
      <c r="I16" s="17" t="inlineStr">
        <is>
          <t>후속</t>
        </is>
      </c>
    </row>
  </sheetData>
  <mergeCells count="3">
    <mergeCell ref="A1:I1"/>
    <mergeCell ref="A4:I4"/>
    <mergeCell ref="A2:I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2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11" customWidth="1" min="4" max="4"/>
    <col width="14" customWidth="1" min="5" max="5"/>
    <col width="11" customWidth="1" min="6" max="6"/>
    <col width="28" customWidth="1" min="7" max="7"/>
    <col width="18" customWidth="1" min="8" max="8"/>
    <col width="24" customWidth="1" min="9" max="9"/>
  </cols>
  <sheetData>
    <row r="1" ht="30" customHeight="1">
      <c r="A1" s="1" t="inlineStr">
        <is>
          <t>입력·출력 데이터 사전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웹 API와 보고서에서 사용하는 주요 필드입니다. 모든 시계열 값에는 시간대·단위·출처 및 품질 플래그를 함께 관리하는 것이 목표입니다.</t>
        </is>
      </c>
    </row>
    <row r="4" ht="20" customHeight="1">
      <c r="A4" s="4" t="inlineStr">
        <is>
          <t>■ 필드 정의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30" customHeight="1">
      <c r="A5" s="14" t="inlineStr">
        <is>
          <t>영역</t>
        </is>
      </c>
      <c r="B5" s="14" t="inlineStr">
        <is>
          <t>필드명</t>
        </is>
      </c>
      <c r="C5" s="14" t="inlineStr">
        <is>
          <t>한글명</t>
        </is>
      </c>
      <c r="D5" s="14" t="inlineStr">
        <is>
          <t>자료형</t>
        </is>
      </c>
      <c r="E5" s="14" t="inlineStr">
        <is>
          <t>단위</t>
        </is>
      </c>
      <c r="F5" s="14" t="inlineStr">
        <is>
          <t>필수 모드</t>
        </is>
      </c>
      <c r="G5" s="14" t="inlineStr">
        <is>
          <t>허용값/예시</t>
        </is>
      </c>
      <c r="H5" s="14" t="inlineStr">
        <is>
          <t>결측 처리</t>
        </is>
      </c>
      <c r="I5" s="14" t="inlineStr">
        <is>
          <t>비고</t>
        </is>
      </c>
    </row>
    <row r="6" ht="30" customHeight="1">
      <c r="A6" s="17" t="inlineStr">
        <is>
          <t>발전소</t>
        </is>
      </c>
      <c r="B6" s="7" t="inlineStr">
        <is>
          <t>plant_name</t>
        </is>
      </c>
      <c r="C6" s="7" t="inlineStr">
        <is>
          <t>발전소명</t>
        </is>
      </c>
      <c r="D6" s="17" t="inlineStr">
        <is>
          <t>string</t>
        </is>
      </c>
      <c r="E6" s="17" t="inlineStr">
        <is>
          <t>-</t>
        </is>
      </c>
      <c r="F6" s="17" t="inlineStr">
        <is>
          <t>전체</t>
        </is>
      </c>
      <c r="G6" s="7" t="inlineStr">
        <is>
          <t>1MW 태양광발전소</t>
        </is>
      </c>
      <c r="H6" s="7" t="inlineStr">
        <is>
          <t>기본명 적용</t>
        </is>
      </c>
      <c r="I6" s="7" t="inlineStr"/>
    </row>
    <row r="7" ht="30" customHeight="1">
      <c r="A7" s="19" t="inlineStr">
        <is>
          <t>발전소</t>
        </is>
      </c>
      <c r="B7" s="21" t="inlineStr">
        <is>
          <t>region</t>
        </is>
      </c>
      <c r="C7" s="21" t="inlineStr">
        <is>
          <t>지역권역</t>
        </is>
      </c>
      <c r="D7" s="19" t="inlineStr">
        <is>
          <t>enum</t>
        </is>
      </c>
      <c r="E7" s="19" t="inlineStr">
        <is>
          <t>-</t>
        </is>
      </c>
      <c r="F7" s="19" t="inlineStr">
        <is>
          <t>전체</t>
        </is>
      </c>
      <c r="G7" s="21" t="inlineStr">
        <is>
          <t>서울경기 등 10개 권역</t>
        </is>
      </c>
      <c r="H7" s="21" t="inlineStr">
        <is>
          <t>필수</t>
        </is>
      </c>
      <c r="I7" s="21" t="inlineStr">
        <is>
          <t>주소 기반 자동선정 후속</t>
        </is>
      </c>
    </row>
    <row r="8" ht="30" customHeight="1">
      <c r="A8" s="17" t="inlineStr">
        <is>
          <t>발전소</t>
        </is>
      </c>
      <c r="B8" s="7" t="inlineStr">
        <is>
          <t>analysis_year</t>
        </is>
      </c>
      <c r="C8" s="7" t="inlineStr">
        <is>
          <t>분석연도</t>
        </is>
      </c>
      <c r="D8" s="17" t="inlineStr">
        <is>
          <t>integer</t>
        </is>
      </c>
      <c r="E8" s="17" t="inlineStr">
        <is>
          <t>year</t>
        </is>
      </c>
      <c r="F8" s="17" t="inlineStr">
        <is>
          <t>전체</t>
        </is>
      </c>
      <c r="G8" s="7" t="inlineStr">
        <is>
          <t>2016~2025</t>
        </is>
      </c>
      <c r="H8" s="7" t="inlineStr">
        <is>
          <t>필수</t>
        </is>
      </c>
      <c r="I8" s="7" t="inlineStr">
        <is>
          <t>현재 기준자료 기간</t>
        </is>
      </c>
    </row>
    <row r="9" ht="30" customHeight="1">
      <c r="A9" s="19" t="inlineStr">
        <is>
          <t>발전소</t>
        </is>
      </c>
      <c r="B9" s="21" t="inlineStr">
        <is>
          <t>commercial_date</t>
        </is>
      </c>
      <c r="C9" s="21" t="inlineStr">
        <is>
          <t>상업운전일</t>
        </is>
      </c>
      <c r="D9" s="19" t="inlineStr">
        <is>
          <t>date</t>
        </is>
      </c>
      <c r="E9" s="19" t="inlineStr">
        <is>
          <t>YYYY-MM-DD</t>
        </is>
      </c>
      <c r="F9" s="19" t="inlineStr">
        <is>
          <t>선택</t>
        </is>
      </c>
      <c r="G9" s="21" t="inlineStr">
        <is>
          <t>2020-01-01</t>
        </is>
      </c>
      <c r="H9" s="21" t="inlineStr">
        <is>
          <t>열화 FACTOR=1</t>
        </is>
      </c>
      <c r="I9" s="21" t="inlineStr"/>
    </row>
    <row r="10" ht="30" customHeight="1">
      <c r="A10" s="17" t="inlineStr">
        <is>
          <t>설비</t>
        </is>
      </c>
      <c r="B10" s="7" t="inlineStr">
        <is>
          <t>capacity_dc_kwp</t>
        </is>
      </c>
      <c r="C10" s="7" t="inlineStr">
        <is>
          <t>DC 설치용량</t>
        </is>
      </c>
      <c r="D10" s="17" t="inlineStr">
        <is>
          <t>number</t>
        </is>
      </c>
      <c r="E10" s="17" t="inlineStr">
        <is>
          <t>kWp</t>
        </is>
      </c>
      <c r="F10" s="17" t="inlineStr">
        <is>
          <t>전체</t>
        </is>
      </c>
      <c r="G10" s="7" t="inlineStr">
        <is>
          <t>1000</t>
        </is>
      </c>
      <c r="H10" s="7" t="inlineStr">
        <is>
          <t>필수</t>
        </is>
      </c>
      <c r="I10" s="7" t="inlineStr">
        <is>
          <t>발전량 정규화 기준</t>
        </is>
      </c>
    </row>
    <row r="11" ht="30" customHeight="1">
      <c r="A11" s="19" t="inlineStr">
        <is>
          <t>설비</t>
        </is>
      </c>
      <c r="B11" s="21" t="inlineStr">
        <is>
          <t>capacity_ac_kw</t>
        </is>
      </c>
      <c r="C11" s="21" t="inlineStr">
        <is>
          <t>AC 설치용량</t>
        </is>
      </c>
      <c r="D11" s="19" t="inlineStr">
        <is>
          <t>number</t>
        </is>
      </c>
      <c r="E11" s="19" t="inlineStr">
        <is>
          <t>kW</t>
        </is>
      </c>
      <c r="F11" s="19" t="inlineStr">
        <is>
          <t>상세</t>
        </is>
      </c>
      <c r="G11" s="21" t="inlineStr">
        <is>
          <t>900</t>
        </is>
      </c>
      <c r="H11" s="21" t="inlineStr">
        <is>
          <t>DC와 같게 추정</t>
        </is>
      </c>
      <c r="I11" s="21" t="inlineStr">
        <is>
          <t>클리핑/이용률 산정</t>
        </is>
      </c>
    </row>
    <row r="12" ht="30" customHeight="1">
      <c r="A12" s="17" t="inlineStr">
        <is>
          <t>설비</t>
        </is>
      </c>
      <c r="B12" s="7" t="inlineStr">
        <is>
          <t>inverters</t>
        </is>
      </c>
      <c r="C12" s="7" t="inlineStr">
        <is>
          <t>인버터 배열</t>
        </is>
      </c>
      <c r="D12" s="17" t="inlineStr">
        <is>
          <t>array</t>
        </is>
      </c>
      <c r="E12" s="17" t="inlineStr">
        <is>
          <t>-</t>
        </is>
      </c>
      <c r="F12" s="17" t="inlineStr">
        <is>
          <t>B 이상</t>
        </is>
      </c>
      <c r="G12" s="7" t="inlineStr">
        <is>
          <t>이름, AC/DC용량, 발전량</t>
        </is>
      </c>
      <c r="H12" s="7" t="inlineStr">
        <is>
          <t>없음</t>
        </is>
      </c>
      <c r="I12" s="7" t="inlineStr">
        <is>
          <t>인버터 편차 분석</t>
        </is>
      </c>
    </row>
    <row r="13" ht="30" customHeight="1">
      <c r="A13" s="19" t="inlineStr">
        <is>
          <t>설치조건</t>
        </is>
      </c>
      <c r="B13" s="21" t="inlineStr">
        <is>
          <t>tilt_deg</t>
        </is>
      </c>
      <c r="C13" s="21" t="inlineStr">
        <is>
          <t>모듈 경사각</t>
        </is>
      </c>
      <c r="D13" s="19" t="inlineStr">
        <is>
          <t>number</t>
        </is>
      </c>
      <c r="E13" s="19" t="inlineStr">
        <is>
          <t>degree</t>
        </is>
      </c>
      <c r="F13" s="19" t="inlineStr">
        <is>
          <t>C 이상</t>
        </is>
      </c>
      <c r="G13" s="21" t="inlineStr">
        <is>
          <t>0~90</t>
        </is>
      </c>
      <c r="H13" s="21" t="inlineStr">
        <is>
          <t>30° 추정</t>
        </is>
      </c>
      <c r="I13" s="21" t="inlineStr">
        <is>
          <t>추정값 표시</t>
        </is>
      </c>
    </row>
    <row r="14" ht="30" customHeight="1">
      <c r="A14" s="17" t="inlineStr">
        <is>
          <t>설치조건</t>
        </is>
      </c>
      <c r="B14" s="7" t="inlineStr">
        <is>
          <t>azimuth_deg</t>
        </is>
      </c>
      <c r="C14" s="7" t="inlineStr">
        <is>
          <t>모듈 방위각</t>
        </is>
      </c>
      <c r="D14" s="17" t="inlineStr">
        <is>
          <t>number</t>
        </is>
      </c>
      <c r="E14" s="17" t="inlineStr">
        <is>
          <t>degree</t>
        </is>
      </c>
      <c r="F14" s="17" t="inlineStr">
        <is>
          <t>C 이상</t>
        </is>
      </c>
      <c r="G14" s="7" t="inlineStr">
        <is>
          <t>북0 동90 남180 서270</t>
        </is>
      </c>
      <c r="H14" s="7" t="inlineStr">
        <is>
          <t>180° 추정</t>
        </is>
      </c>
      <c r="I14" s="7" t="inlineStr"/>
    </row>
    <row r="15" ht="30" customHeight="1">
      <c r="A15" s="19" t="inlineStr">
        <is>
          <t>설치조건</t>
        </is>
      </c>
      <c r="B15" s="21" t="inlineStr">
        <is>
          <t>latitude</t>
        </is>
      </c>
      <c r="C15" s="21" t="inlineStr">
        <is>
          <t>현장 위도</t>
        </is>
      </c>
      <c r="D15" s="19" t="inlineStr">
        <is>
          <t>number</t>
        </is>
      </c>
      <c r="E15" s="19" t="inlineStr">
        <is>
          <t>degree N</t>
        </is>
      </c>
      <c r="F15" s="19" t="inlineStr">
        <is>
          <t>전문가</t>
        </is>
      </c>
      <c r="G15" s="21" t="inlineStr">
        <is>
          <t>33~38</t>
        </is>
      </c>
      <c r="H15" s="21" t="inlineStr">
        <is>
          <t>권역 대표위도</t>
        </is>
      </c>
      <c r="I15" s="21" t="inlineStr"/>
    </row>
    <row r="16" ht="30" customHeight="1">
      <c r="A16" s="17" t="inlineStr">
        <is>
          <t>발전량</t>
        </is>
      </c>
      <c r="B16" s="7" t="inlineStr">
        <is>
          <t>actual_monthly_kwh</t>
        </is>
      </c>
      <c r="C16" s="7" t="inlineStr">
        <is>
          <t>월별 실제 발전량</t>
        </is>
      </c>
      <c r="D16" s="17" t="inlineStr">
        <is>
          <t>array[12]</t>
        </is>
      </c>
      <c r="E16" s="17" t="inlineStr">
        <is>
          <t>kWh/month</t>
        </is>
      </c>
      <c r="F16" s="17" t="inlineStr">
        <is>
          <t>전체</t>
        </is>
      </c>
      <c r="G16" s="7" t="inlineStr">
        <is>
          <t>1~12월</t>
        </is>
      </c>
      <c r="H16" s="7" t="inlineStr">
        <is>
          <t>미입력 월 제외</t>
        </is>
      </c>
      <c r="I16" s="7" t="inlineStr">
        <is>
          <t>0과 결측을 구분</t>
        </is>
      </c>
    </row>
    <row r="17" ht="30" customHeight="1">
      <c r="A17" s="19" t="inlineStr">
        <is>
          <t>일사량</t>
        </is>
      </c>
      <c r="B17" s="21" t="inlineStr">
        <is>
          <t>actual_ghi_monthly</t>
        </is>
      </c>
      <c r="C17" s="21" t="inlineStr">
        <is>
          <t>현장 월별 GHI</t>
        </is>
      </c>
      <c r="D17" s="19" t="inlineStr">
        <is>
          <t>array[12]</t>
        </is>
      </c>
      <c r="E17" s="19" t="inlineStr">
        <is>
          <t>kWh/m²/month</t>
        </is>
      </c>
      <c r="F17" s="19" t="inlineStr">
        <is>
          <t>B 이상</t>
        </is>
      </c>
      <c r="G17" s="21" t="inlineStr">
        <is>
          <t>1~12월</t>
        </is>
      </c>
      <c r="H17" s="21" t="inlineStr">
        <is>
          <t>선택연도 지역 GHI</t>
        </is>
      </c>
      <c r="I17" s="21" t="inlineStr"/>
    </row>
    <row r="18" ht="30" customHeight="1">
      <c r="A18" s="17" t="inlineStr">
        <is>
          <t>일사량</t>
        </is>
      </c>
      <c r="B18" s="7" t="inlineStr">
        <is>
          <t>actual_poa_monthly</t>
        </is>
      </c>
      <c r="C18" s="7" t="inlineStr">
        <is>
          <t>현장 월별 POA</t>
        </is>
      </c>
      <c r="D18" s="17" t="inlineStr">
        <is>
          <t>array[12]</t>
        </is>
      </c>
      <c r="E18" s="17" t="inlineStr">
        <is>
          <t>kWh/m²/month</t>
        </is>
      </c>
      <c r="F18" s="17" t="inlineStr">
        <is>
          <t>A/B</t>
        </is>
      </c>
      <c r="G18" s="7" t="inlineStr">
        <is>
          <t>1~12월</t>
        </is>
      </c>
      <c r="H18" s="7" t="inlineStr">
        <is>
          <t>GHI에서 계산</t>
        </is>
      </c>
      <c r="I18" s="7" t="inlineStr">
        <is>
          <t>현장값 최우선</t>
        </is>
      </c>
    </row>
    <row r="19" ht="30" customHeight="1">
      <c r="A19" s="19" t="inlineStr">
        <is>
          <t>계산</t>
        </is>
      </c>
      <c r="B19" s="21" t="inlineStr">
        <is>
          <t>calculation_method</t>
        </is>
      </c>
      <c r="C19" s="21" t="inlineStr">
        <is>
          <t>계산방식</t>
        </is>
      </c>
      <c r="D19" s="19" t="inlineStr">
        <is>
          <t>enum</t>
        </is>
      </c>
      <c r="E19" s="19" t="inlineStr">
        <is>
          <t>-</t>
        </is>
      </c>
      <c r="F19" s="19" t="inlineStr">
        <is>
          <t>전체</t>
        </is>
      </c>
      <c r="G19" s="21" t="inlineStr">
        <is>
          <t>pr_based / component_loss_based</t>
        </is>
      </c>
      <c r="H19" s="21" t="inlineStr">
        <is>
          <t>pr_based</t>
        </is>
      </c>
      <c r="I19" s="21" t="inlineStr">
        <is>
          <t>항목별 방식은 전문가 권한</t>
        </is>
      </c>
    </row>
    <row r="20" ht="30" customHeight="1">
      <c r="A20" s="17" t="inlineStr">
        <is>
          <t>계산</t>
        </is>
      </c>
      <c r="B20" s="7" t="inlineStr">
        <is>
          <t>component_losses</t>
        </is>
      </c>
      <c r="C20" s="7" t="inlineStr">
        <is>
          <t>항목별 FACTOR</t>
        </is>
      </c>
      <c r="D20" s="17" t="inlineStr">
        <is>
          <t>object</t>
        </is>
      </c>
      <c r="E20" s="17" t="inlineStr">
        <is>
          <t>-</t>
        </is>
      </c>
      <c r="F20" s="17" t="inlineStr">
        <is>
          <t>전문가</t>
        </is>
      </c>
      <c r="G20" s="7" t="inlineStr">
        <is>
          <t>iam, shading 등</t>
        </is>
      </c>
      <c r="H20" s="7" t="inlineStr">
        <is>
          <t>기본값</t>
        </is>
      </c>
      <c r="I20" s="7" t="inlineStr">
        <is>
          <t>PR과 중복 금지</t>
        </is>
      </c>
    </row>
    <row r="21" ht="30" customHeight="1">
      <c r="A21" s="19" t="inlineStr">
        <is>
          <t>출력</t>
        </is>
      </c>
      <c r="B21" s="21" t="inlineStr">
        <is>
          <t>performance_index</t>
        </is>
      </c>
      <c r="C21" s="21" t="inlineStr">
        <is>
          <t>발전성능지수</t>
        </is>
      </c>
      <c r="D21" s="19" t="inlineStr">
        <is>
          <t>number</t>
        </is>
      </c>
      <c r="E21" s="19" t="inlineStr">
        <is>
          <t>%</t>
        </is>
      </c>
      <c r="F21" s="19" t="inlineStr">
        <is>
          <t>전체</t>
        </is>
      </c>
      <c r="G21" s="21" t="inlineStr">
        <is>
          <t>Actual / Weather expected</t>
        </is>
      </c>
      <c r="H21" s="21" t="inlineStr">
        <is>
          <t>실적 없으면 null</t>
        </is>
      </c>
      <c r="I21" s="21" t="inlineStr"/>
    </row>
    <row r="22" ht="30" customHeight="1">
      <c r="A22" s="17" t="inlineStr">
        <is>
          <t>출력</t>
        </is>
      </c>
      <c r="B22" s="7" t="inlineStr">
        <is>
          <t>expected_weather_matched_kwh</t>
        </is>
      </c>
      <c r="C22" s="7" t="inlineStr">
        <is>
          <t>입력기간 기상보정 예상량</t>
        </is>
      </c>
      <c r="D22" s="17" t="inlineStr">
        <is>
          <t>number</t>
        </is>
      </c>
      <c r="E22" s="17" t="inlineStr">
        <is>
          <t>kWh</t>
        </is>
      </c>
      <c r="F22" s="17" t="inlineStr">
        <is>
          <t>전체</t>
        </is>
      </c>
      <c r="G22" s="7" t="inlineStr">
        <is>
          <t>실제값이 있는 월만 합산</t>
        </is>
      </c>
      <c r="H22" s="7" t="inlineStr">
        <is>
          <t>실적 미입력 시 0</t>
        </is>
      </c>
      <c r="I22" s="7" t="inlineStr">
        <is>
          <t>부분연도 비교 기준</t>
        </is>
      </c>
    </row>
    <row r="23" ht="30" customHeight="1">
      <c r="A23" s="19" t="inlineStr">
        <is>
          <t>출력</t>
        </is>
      </c>
      <c r="B23" s="21" t="inlineStr">
        <is>
          <t>actual_month_count</t>
        </is>
      </c>
      <c r="C23" s="21" t="inlineStr">
        <is>
          <t>실적 입력 월수</t>
        </is>
      </c>
      <c r="D23" s="19" t="inlineStr">
        <is>
          <t>integer</t>
        </is>
      </c>
      <c r="E23" s="19" t="inlineStr">
        <is>
          <t>month</t>
        </is>
      </c>
      <c r="F23" s="19" t="inlineStr">
        <is>
          <t>전체</t>
        </is>
      </c>
      <c r="G23" s="21" t="inlineStr">
        <is>
          <t>0~12</t>
        </is>
      </c>
      <c r="H23" s="21" t="inlineStr">
        <is>
          <t>0</t>
        </is>
      </c>
      <c r="I23" s="21" t="inlineStr">
        <is>
          <t>자료 범위 표시</t>
        </is>
      </c>
    </row>
    <row r="24" ht="30" customHeight="1">
      <c r="A24" s="17" t="inlineStr">
        <is>
          <t>출력</t>
        </is>
      </c>
      <c r="B24" s="7" t="inlineStr">
        <is>
          <t>coverage_pct</t>
        </is>
      </c>
      <c r="C24" s="7" t="inlineStr">
        <is>
          <t>실적 자료 커버리지</t>
        </is>
      </c>
      <c r="D24" s="17" t="inlineStr">
        <is>
          <t>number</t>
        </is>
      </c>
      <c r="E24" s="17" t="inlineStr">
        <is>
          <t>%</t>
        </is>
      </c>
      <c r="F24" s="17" t="inlineStr">
        <is>
          <t>전체</t>
        </is>
      </c>
      <c r="G24" s="7" t="inlineStr">
        <is>
          <t>0~100</t>
        </is>
      </c>
      <c r="H24" s="7" t="inlineStr">
        <is>
          <t>0</t>
        </is>
      </c>
      <c r="I24" s="7" t="inlineStr">
        <is>
          <t>actual_month_count / 12</t>
        </is>
      </c>
    </row>
    <row r="25" ht="30" customHeight="1">
      <c r="A25" s="19" t="inlineStr">
        <is>
          <t>출력</t>
        </is>
      </c>
      <c r="B25" s="21" t="inlineStr">
        <is>
          <t>data_quality.grade</t>
        </is>
      </c>
      <c r="C25" s="21" t="inlineStr">
        <is>
          <t>데이터 등급</t>
        </is>
      </c>
      <c r="D25" s="19" t="inlineStr">
        <is>
          <t>enum</t>
        </is>
      </c>
      <c r="E25" s="19" t="inlineStr">
        <is>
          <t>-</t>
        </is>
      </c>
      <c r="F25" s="19" t="inlineStr">
        <is>
          <t>전체</t>
        </is>
      </c>
      <c r="G25" s="21" t="inlineStr">
        <is>
          <t>A/B/C/D</t>
        </is>
      </c>
      <c r="H25" s="21" t="inlineStr">
        <is>
          <t>자동</t>
        </is>
      </c>
      <c r="I25" s="21" t="inlineStr">
        <is>
          <t>분석범위 제한</t>
        </is>
      </c>
    </row>
    <row r="26" ht="30" customHeight="1">
      <c r="A26" s="17" t="inlineStr">
        <is>
          <t>출력</t>
        </is>
      </c>
      <c r="B26" s="7" t="inlineStr">
        <is>
          <t>diagnoses</t>
        </is>
      </c>
      <c r="C26" s="7" t="inlineStr">
        <is>
          <t>저하요인 진단</t>
        </is>
      </c>
      <c r="D26" s="17" t="inlineStr">
        <is>
          <t>array</t>
        </is>
      </c>
      <c r="E26" s="17" t="inlineStr">
        <is>
          <t>-</t>
        </is>
      </c>
      <c r="F26" s="17" t="inlineStr">
        <is>
          <t>전체</t>
        </is>
      </c>
      <c r="G26" s="7" t="inlineStr">
        <is>
          <t>원인, 가능성, 근거, 조치</t>
        </is>
      </c>
      <c r="H26" s="7" t="inlineStr">
        <is>
          <t>최소 1개</t>
        </is>
      </c>
      <c r="I26" s="7" t="inlineStr">
        <is>
          <t>고장 확정 금지</t>
        </is>
      </c>
    </row>
    <row r="27" ht="30" customHeight="1">
      <c r="A27" s="19" t="inlineStr">
        <is>
          <t>전문가</t>
        </is>
      </c>
      <c r="B27" s="21" t="inlineStr">
        <is>
          <t>expert_evidence</t>
        </is>
      </c>
      <c r="C27" s="21" t="inlineStr">
        <is>
          <t>전문가 첨부자료</t>
        </is>
      </c>
      <c r="D27" s="19" t="inlineStr">
        <is>
          <t>array</t>
        </is>
      </c>
      <c r="E27" s="19" t="inlineStr">
        <is>
          <t>PNG/JPG</t>
        </is>
      </c>
      <c r="F27" s="19" t="inlineStr">
        <is>
          <t>전문가</t>
        </is>
      </c>
      <c r="G27" s="21" t="inlineStr">
        <is>
          <t>id, 파일명, 제목, 설명</t>
        </is>
      </c>
      <c r="H27" s="21" t="inlineStr">
        <is>
          <t>미입력 허용</t>
        </is>
      </c>
      <c r="I27" s="21" t="inlineStr">
        <is>
          <t>PPT/PDF 부록 자동 반영</t>
        </is>
      </c>
    </row>
  </sheetData>
  <mergeCells count="3">
    <mergeCell ref="A1:I1"/>
    <mergeCell ref="A4:I4"/>
    <mergeCell ref="A2:I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22"/>
  <sheetViews>
    <sheetView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36" customWidth="1" min="3" max="3"/>
    <col width="30" customWidth="1" min="4" max="4"/>
    <col width="24" customWidth="1" min="5" max="5"/>
    <col width="18" customWidth="1" min="6" max="6"/>
    <col width="12" customWidth="1" min="7" max="7"/>
    <col width="26" customWidth="1" min="8" max="8"/>
  </cols>
  <sheetData>
    <row r="1" ht="30" customHeight="1">
      <c r="A1" s="1" t="inlineStr">
        <is>
          <t>계산 및 진단 검증 CASE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프로그램 배포 전 동일 입력으로 Excel/코드 결과를 비교합니다. 월별 예상량 허용오차 ±0.1%, 연간 ±0.05%를 기본으로 합니다.</t>
        </is>
      </c>
    </row>
    <row r="4" ht="20" customHeight="1">
      <c r="A4" s="4" t="inlineStr">
        <is>
          <t>■ 검증 CASE 목록</t>
        </is>
      </c>
      <c r="B4" s="5" t="n"/>
      <c r="C4" s="5" t="n"/>
      <c r="D4" s="5" t="n"/>
      <c r="E4" s="5" t="n"/>
      <c r="F4" s="5" t="n"/>
      <c r="G4" s="5" t="n"/>
      <c r="H4" s="5" t="n"/>
    </row>
    <row r="5" ht="30" customHeight="1">
      <c r="A5" s="14" t="inlineStr">
        <is>
          <t>CASE ID</t>
        </is>
      </c>
      <c r="B5" s="14" t="inlineStr">
        <is>
          <t>시나리오</t>
        </is>
      </c>
      <c r="C5" s="14" t="inlineStr">
        <is>
          <t>핵심 입력</t>
        </is>
      </c>
      <c r="D5" s="14" t="inlineStr">
        <is>
          <t>예상 결과</t>
        </is>
      </c>
      <c r="E5" s="14" t="inlineStr">
        <is>
          <t>검증 지표</t>
        </is>
      </c>
      <c r="F5" s="14" t="inlineStr">
        <is>
          <t>허용오차/판정</t>
        </is>
      </c>
      <c r="G5" s="14" t="inlineStr">
        <is>
          <t>자동화 상태</t>
        </is>
      </c>
      <c r="H5" s="14" t="inlineStr">
        <is>
          <t>비고</t>
        </is>
      </c>
    </row>
    <row r="6" ht="30" customHeight="1">
      <c r="A6" s="28" t="inlineStr">
        <is>
          <t>TC-001</t>
        </is>
      </c>
      <c r="B6" s="7" t="inlineStr">
        <is>
          <t>정상 1MW 남향 30°</t>
        </is>
      </c>
      <c r="C6" s="7" t="inlineStr">
        <is>
          <t>서울경기, 2025, DC 1000, AC 1000, PR 80%, 실제=기상보정 예상</t>
        </is>
      </c>
      <c r="D6" s="7" t="inlineStr">
        <is>
          <t>PI 약 100%, 정상</t>
        </is>
      </c>
      <c r="E6" s="7" t="inlineStr">
        <is>
          <t>월/연 예상량, PI</t>
        </is>
      </c>
      <c r="F6" s="7" t="inlineStr">
        <is>
          <t>월 ±0.1%, 연 ±0.05%</t>
        </is>
      </c>
      <c r="G6" s="17" t="inlineStr">
        <is>
          <t>수동/코드</t>
        </is>
      </c>
      <c r="H6" s="7" t="inlineStr">
        <is>
          <t>기본 회귀테스트</t>
        </is>
      </c>
    </row>
    <row r="7" ht="30" customHeight="1">
      <c r="A7" s="29" t="inlineStr">
        <is>
          <t>TC-002</t>
        </is>
      </c>
      <c r="B7" s="21" t="inlineStr">
        <is>
          <t>실제 발전량 미입력</t>
        </is>
      </c>
      <c r="C7" s="21" t="inlineStr">
        <is>
          <t>TC-001과 동일, 실제 12개월 공란</t>
        </is>
      </c>
      <c r="D7" s="21" t="inlineStr">
        <is>
          <t>'실적 입력 필요' 반환</t>
        </is>
      </c>
      <c r="E7" s="21" t="inlineStr">
        <is>
          <t>판정, null 처리</t>
        </is>
      </c>
      <c r="F7" s="21" t="inlineStr">
        <is>
          <t>오류 없음</t>
        </is>
      </c>
      <c r="G7" s="19" t="inlineStr">
        <is>
          <t>코드</t>
        </is>
      </c>
      <c r="H7" s="21" t="inlineStr"/>
    </row>
    <row r="8" ht="30" customHeight="1">
      <c r="A8" s="28" t="inlineStr">
        <is>
          <t>TC-003</t>
        </is>
      </c>
      <c r="B8" s="7" t="inlineStr">
        <is>
          <t>일사량이 장기평균보다 낮은 연도</t>
        </is>
      </c>
      <c r="C8" s="7" t="inlineStr">
        <is>
          <t>지역 연도 GHI 비율 &lt; 96%</t>
        </is>
      </c>
      <c r="D8" s="7" t="inlineStr">
        <is>
          <t>기상요인 진단</t>
        </is>
      </c>
      <c r="E8" s="7" t="inlineStr">
        <is>
          <t>weather_ratio, 진단코드</t>
        </is>
      </c>
      <c r="F8" s="7" t="inlineStr">
        <is>
          <t>임계값 정확 일치</t>
        </is>
      </c>
      <c r="G8" s="17" t="inlineStr">
        <is>
          <t>코드</t>
        </is>
      </c>
      <c r="H8" s="7" t="inlineStr"/>
    </row>
    <row r="9" ht="30" customHeight="1">
      <c r="A9" s="29" t="inlineStr">
        <is>
          <t>TC-004</t>
        </is>
      </c>
      <c r="B9" s="21" t="inlineStr">
        <is>
          <t>기상보정 후 10% 저하</t>
        </is>
      </c>
      <c r="C9" s="21" t="inlineStr">
        <is>
          <t>실제 = 기상보정 예상 × 0.90</t>
        </is>
      </c>
      <c r="D9" s="21" t="inlineStr">
        <is>
          <t>관찰 또는 주의, PERF_LOW</t>
        </is>
      </c>
      <c r="E9" s="21" t="inlineStr">
        <is>
          <t>PI, 판정, 진단</t>
        </is>
      </c>
      <c r="F9" s="21" t="inlineStr">
        <is>
          <t>임계값 일치</t>
        </is>
      </c>
      <c r="G9" s="19" t="inlineStr">
        <is>
          <t>코드</t>
        </is>
      </c>
      <c r="H9" s="21" t="inlineStr"/>
    </row>
    <row r="10" ht="30" customHeight="1">
      <c r="A10" s="28" t="inlineStr">
        <is>
          <t>TC-005</t>
        </is>
      </c>
      <c r="B10" s="7" t="inlineStr">
        <is>
          <t>특정 인버터 10% 저하</t>
        </is>
      </c>
      <c r="C10" s="7" t="inlineStr">
        <is>
          <t>2대 동일 DC, 한 대 kWh/kWp -10%</t>
        </is>
      </c>
      <c r="D10" s="7" t="inlineStr">
        <is>
          <t>INV_LOW 보통</t>
        </is>
      </c>
      <c r="E10" s="7" t="inlineStr">
        <is>
          <t>중앙값 편차</t>
        </is>
      </c>
      <c r="F10" s="7" t="inlineStr">
        <is>
          <t>±0.1%p</t>
        </is>
      </c>
      <c r="G10" s="17" t="inlineStr">
        <is>
          <t>코드</t>
        </is>
      </c>
      <c r="H10" s="7" t="inlineStr"/>
    </row>
    <row r="11" ht="30" customHeight="1">
      <c r="A11" s="29" t="inlineStr">
        <is>
          <t>TC-006</t>
        </is>
      </c>
      <c r="B11" s="21" t="inlineStr">
        <is>
          <t>DC/AC 1.35</t>
        </is>
      </c>
      <c r="C11" s="21" t="inlineStr">
        <is>
          <t>DC 1000, AC 740</t>
        </is>
      </c>
      <c r="D11" s="21" t="inlineStr">
        <is>
          <t>클리핑 가능성 보통</t>
        </is>
      </c>
      <c r="E11" s="21" t="inlineStr">
        <is>
          <t>비율, 진단</t>
        </is>
      </c>
      <c r="F11" s="21" t="inlineStr">
        <is>
          <t>조건 경계 확인</t>
        </is>
      </c>
      <c r="G11" s="19" t="inlineStr">
        <is>
          <t>코드</t>
        </is>
      </c>
      <c r="H11" s="21" t="inlineStr">
        <is>
          <t>시간자료 없으므로 확정 금지</t>
        </is>
      </c>
    </row>
    <row r="12" ht="30" customHeight="1">
      <c r="A12" s="28" t="inlineStr">
        <is>
          <t>TC-007</t>
        </is>
      </c>
      <c r="B12" s="7" t="inlineStr">
        <is>
          <t>출력제한 5%</t>
        </is>
      </c>
      <c r="C12" s="7" t="inlineStr">
        <is>
          <t>curtailment_rate = 0.05</t>
        </is>
      </c>
      <c r="D12" s="7" t="inlineStr">
        <is>
          <t>예상량 5% 감소, CURTAIL 높음</t>
        </is>
      </c>
      <c r="E12" s="7" t="inlineStr">
        <is>
          <t>발전량, 진단</t>
        </is>
      </c>
      <c r="F12" s="7" t="inlineStr">
        <is>
          <t>±0.01%</t>
        </is>
      </c>
      <c r="G12" s="17" t="inlineStr">
        <is>
          <t>코드</t>
        </is>
      </c>
      <c r="H12" s="7" t="inlineStr"/>
    </row>
    <row r="13" ht="30" customHeight="1">
      <c r="A13" s="29" t="inlineStr">
        <is>
          <t>TC-008</t>
        </is>
      </c>
      <c r="B13" s="21" t="inlineStr">
        <is>
          <t>상업운전 10년</t>
        </is>
      </c>
      <c r="C13" s="21" t="inlineStr">
        <is>
          <t>연 열화율 0.5%, 운영 10년</t>
        </is>
      </c>
      <c r="D13" s="21" t="inlineStr">
        <is>
          <t>F_age 약 0.951</t>
        </is>
      </c>
      <c r="E13" s="21" t="inlineStr">
        <is>
          <t>열화 FACTOR</t>
        </is>
      </c>
      <c r="F13" s="21" t="inlineStr">
        <is>
          <t>±0.001</t>
        </is>
      </c>
      <c r="G13" s="19" t="inlineStr">
        <is>
          <t>코드</t>
        </is>
      </c>
      <c r="H13" s="21" t="inlineStr"/>
    </row>
    <row r="14" ht="30" customHeight="1">
      <c r="A14" s="28" t="inlineStr">
        <is>
          <t>TC-009</t>
        </is>
      </c>
      <c r="B14" s="7" t="inlineStr">
        <is>
          <t>현장 POA 우선</t>
        </is>
      </c>
      <c r="C14" s="7" t="inlineStr">
        <is>
          <t>POA 12개월 입력, GHI도 입력</t>
        </is>
      </c>
      <c r="D14" s="7" t="inlineStr">
        <is>
          <t>기상예상량은 POA 직접 적용</t>
        </is>
      </c>
      <c r="E14" s="7" t="inlineStr">
        <is>
          <t>weather_source, 예상량</t>
        </is>
      </c>
      <c r="F14" s="7" t="inlineStr">
        <is>
          <t>POA 우선</t>
        </is>
      </c>
      <c r="G14" s="17" t="inlineStr">
        <is>
          <t>코드</t>
        </is>
      </c>
      <c r="H14" s="7" t="inlineStr"/>
    </row>
    <row r="15" ht="30" customHeight="1">
      <c r="A15" s="29" t="inlineStr">
        <is>
          <t>TC-010</t>
        </is>
      </c>
      <c r="B15" s="21" t="inlineStr">
        <is>
          <t>항목별 손실 권한</t>
        </is>
      </c>
      <c r="C15" s="21" t="inlineStr">
        <is>
          <t>전문가 토큰 없이 component 요청</t>
        </is>
      </c>
      <c r="D15" s="21" t="inlineStr">
        <is>
          <t>PR 방식으로 강제</t>
        </is>
      </c>
      <c r="E15" s="21" t="inlineStr">
        <is>
          <t>calculation_method</t>
        </is>
      </c>
      <c r="F15" s="21" t="inlineStr">
        <is>
          <t>권한 차단</t>
        </is>
      </c>
      <c r="G15" s="19" t="inlineStr">
        <is>
          <t>코드</t>
        </is>
      </c>
      <c r="H15" s="21" t="inlineStr"/>
    </row>
    <row r="16" ht="30" customHeight="1">
      <c r="A16" s="28" t="inlineStr">
        <is>
          <t>TC-011</t>
        </is>
      </c>
      <c r="B16" s="7" t="inlineStr">
        <is>
          <t>결측 월</t>
        </is>
      </c>
      <c r="C16" s="7" t="inlineStr">
        <is>
          <t>실제 6개월만 입력</t>
        </is>
      </c>
      <c r="D16" s="7" t="inlineStr">
        <is>
          <t>해당 6개월 예상량 합으로 PI 계산</t>
        </is>
      </c>
      <c r="E16" s="7" t="inlineStr">
        <is>
          <t>annual actual_month_count</t>
        </is>
      </c>
      <c r="F16" s="7" t="inlineStr">
        <is>
          <t>6</t>
        </is>
      </c>
      <c r="G16" s="17" t="inlineStr">
        <is>
          <t>코드</t>
        </is>
      </c>
      <c r="H16" s="7" t="inlineStr">
        <is>
          <t>부분연도 문구 및 동일기간 예상량 확인</t>
        </is>
      </c>
    </row>
    <row r="17" ht="30" customHeight="1">
      <c r="A17" s="29" t="inlineStr">
        <is>
          <t>TC-012</t>
        </is>
      </c>
      <c r="B17" s="21" t="inlineStr">
        <is>
          <t>단위 오류 파일</t>
        </is>
      </c>
      <c r="C17" s="21" t="inlineStr">
        <is>
          <t>발전량 컬럼에 문자열/음수 포함</t>
        </is>
      </c>
      <c r="D17" s="21" t="inlineStr">
        <is>
          <t>유효행만 집계, 음수 제외</t>
        </is>
      </c>
      <c r="E17" s="21" t="inlineStr">
        <is>
          <t>rows_valid, 월합계</t>
        </is>
      </c>
      <c r="F17" s="21" t="inlineStr">
        <is>
          <t>오류 메시지 명확</t>
        </is>
      </c>
      <c r="G17" s="19" t="inlineStr">
        <is>
          <t>코드</t>
        </is>
      </c>
      <c r="H17" s="21" t="inlineStr"/>
    </row>
    <row r="18" ht="30" customHeight="1">
      <c r="A18" s="28" t="inlineStr">
        <is>
          <t>TC-013</t>
        </is>
      </c>
      <c r="B18" s="7" t="inlineStr">
        <is>
          <t>업로드 결측월</t>
        </is>
      </c>
      <c r="C18" s="7" t="inlineStr">
        <is>
          <t>1월·3월만 있는 CSV</t>
        </is>
      </c>
      <c r="D18" s="7" t="inlineStr">
        <is>
          <t>2월 등 결측월은 null, 0으로 대체하지 않음</t>
        </is>
      </c>
      <c r="E18" s="7" t="inlineStr">
        <is>
          <t>업로드 monthly array</t>
        </is>
      </c>
      <c r="F18" s="7" t="inlineStr">
        <is>
          <t>null 유지</t>
        </is>
      </c>
      <c r="G18" s="17" t="inlineStr">
        <is>
          <t>코드</t>
        </is>
      </c>
      <c r="H18" s="7" t="inlineStr">
        <is>
          <t>데이터품질 경고 표시</t>
        </is>
      </c>
    </row>
    <row r="19" ht="30" customHeight="1">
      <c r="A19" s="29" t="inlineStr">
        <is>
          <t>TC-014</t>
        </is>
      </c>
      <c r="B19" s="21" t="inlineStr">
        <is>
          <t>로컬 프로젝트 저장</t>
        </is>
      </c>
      <c r="C19" s="21" t="inlineStr">
        <is>
          <t>입력값·분석결과 저장 후 재조회</t>
        </is>
      </c>
      <c r="D19" s="21" t="inlineStr">
        <is>
          <t>동일 입력·결과 복원</t>
        </is>
      </c>
      <c r="E19" s="21" t="inlineStr">
        <is>
          <t>SQLite CRUD</t>
        </is>
      </c>
      <c r="F19" s="21" t="inlineStr">
        <is>
          <t>일치</t>
        </is>
      </c>
      <c r="G19" s="19" t="inlineStr">
        <is>
          <t>코드</t>
        </is>
      </c>
      <c r="H19" s="21" t="inlineStr">
        <is>
          <t>외부 전송 없음</t>
        </is>
      </c>
    </row>
    <row r="20" ht="30" customHeight="1">
      <c r="A20" s="28" t="inlineStr">
        <is>
          <t>TC-015</t>
        </is>
      </c>
      <c r="B20" s="7" t="inlineStr">
        <is>
          <t>전문가 이미지 부록</t>
        </is>
      </c>
      <c r="C20" s="7" t="inlineStr">
        <is>
          <t>전문가 토큰 + PNG/JPG 첨부</t>
        </is>
      </c>
      <c r="D20" s="7" t="inlineStr">
        <is>
          <t>PPT/PDF에 제목·설명과 이미지 포함</t>
        </is>
      </c>
      <c r="E20" s="7" t="inlineStr">
        <is>
          <t>보고서 페이지/슬라이드</t>
        </is>
      </c>
      <c r="F20" s="7" t="inlineStr">
        <is>
          <t>오버플로 없음</t>
        </is>
      </c>
      <c r="G20" s="17" t="inlineStr">
        <is>
          <t>코드</t>
        </is>
      </c>
      <c r="H20" s="7" t="inlineStr">
        <is>
          <t>전문가 권한 필요</t>
        </is>
      </c>
    </row>
    <row r="22">
      <c r="A22" s="23" t="inlineStr">
        <is>
          <t>※ 구버전 자료에서 TC-012 가 두 건 중복되어 있어 v1.0에서 일련번호를 다시 부여했습니다(총 15건).</t>
        </is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14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30" customWidth="1" min="4" max="4"/>
    <col width="11" customWidth="1" min="5" max="5"/>
    <col width="24" customWidth="1" min="6" max="6"/>
    <col width="26" customWidth="1" min="7" max="7"/>
  </cols>
  <sheetData>
    <row r="1" ht="30" customHeight="1">
      <c r="A1" s="1" t="inlineStr">
        <is>
          <t>보고서 구성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PDF는 공식 보관용, PPT는 고객 설명·전문가 편집용, Excel은 계산검증·기술분석용으로 역할을 분리합니다.</t>
        </is>
      </c>
    </row>
    <row r="4" ht="20" customHeight="1">
      <c r="A4" s="4" t="inlineStr">
        <is>
          <t>■ 산출물별 구성</t>
        </is>
      </c>
      <c r="B4" s="5" t="n"/>
      <c r="C4" s="5" t="n"/>
      <c r="D4" s="5" t="n"/>
      <c r="E4" s="5" t="n"/>
      <c r="F4" s="5" t="n"/>
      <c r="G4" s="5" t="n"/>
    </row>
    <row r="5" ht="30" customHeight="1">
      <c r="A5" s="14" t="inlineStr">
        <is>
          <t>산출물</t>
        </is>
      </c>
      <c r="B5" s="14" t="inlineStr">
        <is>
          <t>섹션/슬라이드</t>
        </is>
      </c>
      <c r="C5" s="14" t="inlineStr">
        <is>
          <t>자동 생성내용</t>
        </is>
      </c>
      <c r="D5" s="14" t="inlineStr">
        <is>
          <t>전문가 추가내용</t>
        </is>
      </c>
      <c r="E5" s="14" t="inlineStr">
        <is>
          <t>고객 공개</t>
        </is>
      </c>
      <c r="F5" s="14" t="inlineStr">
        <is>
          <t>MVP 구현</t>
        </is>
      </c>
      <c r="G5" s="14" t="inlineStr">
        <is>
          <t>후속 기능</t>
        </is>
      </c>
    </row>
    <row r="6" ht="30" customHeight="1">
      <c r="A6" s="7" t="inlineStr">
        <is>
          <t>고객 PDF</t>
        </is>
      </c>
      <c r="B6" s="7" t="inlineStr">
        <is>
          <t>표지/분석조건</t>
        </is>
      </c>
      <c r="C6" s="7" t="inlineStr">
        <is>
          <t>발전소, 분석연도, 용량, 모델버전</t>
        </is>
      </c>
      <c r="D6" s="7" t="inlineStr">
        <is>
          <t>승인자/기관정보</t>
        </is>
      </c>
      <c r="E6" s="17" t="inlineStr">
        <is>
          <t>예</t>
        </is>
      </c>
      <c r="F6" s="7" t="inlineStr">
        <is>
          <t>구현</t>
        </is>
      </c>
      <c r="G6" s="7" t="inlineStr">
        <is>
          <t>전자서명·승인</t>
        </is>
      </c>
    </row>
    <row r="7" ht="30" customHeight="1">
      <c r="A7" s="21" t="inlineStr">
        <is>
          <t>고객 PDF</t>
        </is>
      </c>
      <c r="B7" s="21" t="inlineStr">
        <is>
          <t>종합판정/KPI</t>
        </is>
      </c>
      <c r="C7" s="21" t="inlineStr">
        <is>
          <t>실제·장기·기상보정 예상, PI, 데이터등급</t>
        </is>
      </c>
      <c r="D7" s="21" t="inlineStr">
        <is>
          <t>전문가 요약 의견</t>
        </is>
      </c>
      <c r="E7" s="19" t="inlineStr">
        <is>
          <t>예</t>
        </is>
      </c>
      <c r="F7" s="21" t="inlineStr">
        <is>
          <t>구현</t>
        </is>
      </c>
      <c r="G7" s="21" t="inlineStr">
        <is>
          <t>브랜드 템플릿</t>
        </is>
      </c>
    </row>
    <row r="8" ht="30" customHeight="1">
      <c r="A8" s="7" t="inlineStr">
        <is>
          <t>고객 PDF</t>
        </is>
      </c>
      <c r="B8" s="7" t="inlineStr">
        <is>
          <t>월별 비교</t>
        </is>
      </c>
      <c r="C8" s="7" t="inlineStr">
        <is>
          <t>월별 실제·예상 표</t>
        </is>
      </c>
      <c r="D8" s="7" t="inlineStr">
        <is>
          <t>특이월 주석</t>
        </is>
      </c>
      <c r="E8" s="17" t="inlineStr">
        <is>
          <t>예</t>
        </is>
      </c>
      <c r="F8" s="7" t="inlineStr">
        <is>
          <t>구현</t>
        </is>
      </c>
      <c r="G8" s="7" t="inlineStr">
        <is>
          <t>그래프 이미지 강화</t>
        </is>
      </c>
    </row>
    <row r="9" ht="30" customHeight="1">
      <c r="A9" s="21" t="inlineStr">
        <is>
          <t>고객 PDF</t>
        </is>
      </c>
      <c r="B9" s="21" t="inlineStr">
        <is>
          <t>저하요인/권장조치</t>
        </is>
      </c>
      <c r="C9" s="21" t="inlineStr">
        <is>
          <t>가능성, 근거, 권장조치</t>
        </is>
      </c>
      <c r="D9" s="21" t="inlineStr">
        <is>
          <t>현장확인 결과</t>
        </is>
      </c>
      <c r="E9" s="19" t="inlineStr">
        <is>
          <t>예</t>
        </is>
      </c>
      <c r="F9" s="21" t="inlineStr">
        <is>
          <t>구현(전문가 이미지 부록 포함)</t>
        </is>
      </c>
      <c r="G9" s="21" t="inlineStr">
        <is>
          <t>사진 첨부</t>
        </is>
      </c>
    </row>
    <row r="10" ht="30" customHeight="1">
      <c r="A10" s="7" t="inlineStr">
        <is>
          <t>고객 PPT</t>
        </is>
      </c>
      <c r="B10" s="7" t="inlineStr">
        <is>
          <t>표지/종합판정</t>
        </is>
      </c>
      <c r="C10" s="7" t="inlineStr">
        <is>
          <t>고객 발표용 핵심 결과</t>
        </is>
      </c>
      <c r="D10" s="7" t="inlineStr">
        <is>
          <t>설명 순서 수정</t>
        </is>
      </c>
      <c r="E10" s="17" t="inlineStr">
        <is>
          <t>예</t>
        </is>
      </c>
      <c r="F10" s="7" t="inlineStr">
        <is>
          <t>구현</t>
        </is>
      </c>
      <c r="G10" s="7" t="inlineStr">
        <is>
          <t>슬라이드 선택</t>
        </is>
      </c>
    </row>
    <row r="11" ht="30" customHeight="1">
      <c r="A11" s="21" t="inlineStr">
        <is>
          <t>고객 PPT</t>
        </is>
      </c>
      <c r="B11" s="21" t="inlineStr">
        <is>
          <t>월별 발전량 차트</t>
        </is>
      </c>
      <c r="C11" s="21" t="inlineStr">
        <is>
          <t>기상보정 예상과 실제</t>
        </is>
      </c>
      <c r="D11" s="21" t="inlineStr">
        <is>
          <t>특이월 강조</t>
        </is>
      </c>
      <c r="E11" s="19" t="inlineStr">
        <is>
          <t>예</t>
        </is>
      </c>
      <c r="F11" s="21" t="inlineStr">
        <is>
          <t>구현</t>
        </is>
      </c>
      <c r="G11" s="21" t="inlineStr">
        <is>
          <t>회사 테마</t>
        </is>
      </c>
    </row>
    <row r="12" ht="30" customHeight="1">
      <c r="A12" s="7" t="inlineStr">
        <is>
          <t>고객 PPT</t>
        </is>
      </c>
      <c r="B12" s="7" t="inlineStr">
        <is>
          <t>전문가 검토의견</t>
        </is>
      </c>
      <c r="C12" s="7" t="inlineStr">
        <is>
          <t>입력한 전문가 의견</t>
        </is>
      </c>
      <c r="D12" s="7" t="inlineStr">
        <is>
          <t>현장사진, 열화상, 알람, IV Curve</t>
        </is>
      </c>
      <c r="E12" s="17" t="inlineStr">
        <is>
          <t>예</t>
        </is>
      </c>
      <c r="F12" s="7" t="inlineStr">
        <is>
          <t>구현(이미지 업로드 포함)</t>
        </is>
      </c>
      <c r="G12" s="7" t="inlineStr">
        <is>
          <t>슬라이드 순서·선택·회사 테마</t>
        </is>
      </c>
    </row>
    <row r="13" ht="30" customHeight="1">
      <c r="A13" s="21" t="inlineStr">
        <is>
          <t>상세 Excel</t>
        </is>
      </c>
      <c r="B13" s="21" t="inlineStr">
        <is>
          <t>분석요약/월별</t>
        </is>
      </c>
      <c r="C13" s="21" t="inlineStr">
        <is>
          <t>수치와 수식, 차트</t>
        </is>
      </c>
      <c r="D13" s="21" t="inlineStr">
        <is>
          <t>검토 의견</t>
        </is>
      </c>
      <c r="E13" s="19" t="inlineStr">
        <is>
          <t>전문가</t>
        </is>
      </c>
      <c r="F13" s="21" t="inlineStr">
        <is>
          <t>구현</t>
        </is>
      </c>
      <c r="G13" s="21" t="inlineStr">
        <is>
          <t>원본데이터 포함</t>
        </is>
      </c>
    </row>
    <row r="14" ht="30" customHeight="1">
      <c r="A14" s="7" t="inlineStr">
        <is>
          <t>상세 Excel</t>
        </is>
      </c>
      <c r="B14" s="7" t="inlineStr">
        <is>
          <t>계산식/FACTOR</t>
        </is>
      </c>
      <c r="C14" s="7" t="inlineStr">
        <is>
          <t>계산변수, 손실계수, 데이터품질</t>
        </is>
      </c>
      <c r="D14" s="7" t="inlineStr">
        <is>
          <t>관리자 승인값</t>
        </is>
      </c>
      <c r="E14" s="17" t="inlineStr">
        <is>
          <t>전문가</t>
        </is>
      </c>
      <c r="F14" s="7" t="inlineStr">
        <is>
          <t>구현</t>
        </is>
      </c>
      <c r="G14" s="7" t="inlineStr">
        <is>
          <t>버전 스냅샷</t>
        </is>
      </c>
    </row>
  </sheetData>
  <mergeCells count="3">
    <mergeCell ref="A2:G2"/>
    <mergeCell ref="A1:G1"/>
    <mergeCell ref="A4:G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15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34" customWidth="1" min="3" max="3"/>
    <col width="13" customWidth="1" min="4" max="4"/>
    <col width="26" customWidth="1" min="5" max="5"/>
    <col width="30" customWidth="1" min="6" max="6"/>
    <col width="20" customWidth="1" min="7" max="7"/>
  </cols>
  <sheetData>
    <row r="1" ht="30" customHeight="1">
      <c r="A1" s="1" t="inlineStr">
        <is>
          <t>웹 프로그램 개발 연계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현재 MVP 코드와 본 워크북을 같은 입력으로 비교하고, 변경 시 모델 버전과 변경이력을 함께 갱신합니다.</t>
        </is>
      </c>
    </row>
    <row r="4" ht="20" customHeight="1">
      <c r="A4" s="4" t="inlineStr">
        <is>
          <t>■ 컴포넌트별 연계</t>
        </is>
      </c>
      <c r="B4" s="5" t="n"/>
      <c r="C4" s="5" t="n"/>
      <c r="D4" s="5" t="n"/>
      <c r="E4" s="5" t="n"/>
      <c r="F4" s="5" t="n"/>
      <c r="G4" s="5" t="n"/>
    </row>
    <row r="5" ht="30" customHeight="1">
      <c r="A5" s="14" t="inlineStr">
        <is>
          <t>구분</t>
        </is>
      </c>
      <c r="B5" s="14" t="inlineStr">
        <is>
          <t>경로/컴포넌트</t>
        </is>
      </c>
      <c r="C5" s="14" t="inlineStr">
        <is>
          <t>역할</t>
        </is>
      </c>
      <c r="D5" s="14" t="inlineStr">
        <is>
          <t>현재 버전</t>
        </is>
      </c>
      <c r="E5" s="14" t="inlineStr">
        <is>
          <t>검증방법</t>
        </is>
      </c>
      <c r="F5" s="14" t="inlineStr">
        <is>
          <t>보안/운영 주의</t>
        </is>
      </c>
      <c r="G5" s="14" t="inlineStr">
        <is>
          <t>후속</t>
        </is>
      </c>
    </row>
    <row r="6" ht="30" customHeight="1">
      <c r="A6" s="7" t="inlineStr">
        <is>
          <t>백엔드</t>
        </is>
      </c>
      <c r="B6" s="7" t="inlineStr">
        <is>
          <t>app.py + solar_core.py</t>
        </is>
      </c>
      <c r="C6" s="7" t="inlineStr">
        <is>
          <t>API·권한·업로드 및 POA/예상량/PI/진단 계산</t>
        </is>
      </c>
      <c r="D6" s="17" t="inlineStr">
        <is>
          <t>MVP-0.2.0</t>
        </is>
      </c>
      <c r="E6" s="7" t="inlineStr">
        <is>
          <t>pytest/API 회귀테스트</t>
        </is>
      </c>
      <c r="F6" s="7" t="inlineStr">
        <is>
          <t>전문가 PIN·토큰 비밀값은 배포 전 변경</t>
        </is>
      </c>
      <c r="G6" s="7" t="inlineStr">
        <is>
          <t>RBAC/사용자 인증</t>
        </is>
      </c>
    </row>
    <row r="7" ht="30" customHeight="1">
      <c r="A7" s="21" t="inlineStr">
        <is>
          <t>프런트엔드</t>
        </is>
      </c>
      <c r="B7" s="21" t="inlineStr">
        <is>
          <t>static/index.html, app.js</t>
        </is>
      </c>
      <c r="C7" s="21" t="inlineStr">
        <is>
          <t>간편·상세·전문가 입력, 프로젝트 저장, 결과표시</t>
        </is>
      </c>
      <c r="D7" s="19" t="inlineStr">
        <is>
          <t>MVP-0.2.0</t>
        </is>
      </c>
      <c r="E7" s="21" t="inlineStr">
        <is>
          <t>브라우저 입력/다운로드 테스트</t>
        </is>
      </c>
      <c r="F7" s="21" t="inlineStr">
        <is>
          <t>전문가 기능은 서버 토큰 검증</t>
        </is>
      </c>
      <c r="G7" s="21" t="inlineStr">
        <is>
          <t>Next.js 전환</t>
        </is>
      </c>
    </row>
    <row r="8" ht="30" customHeight="1">
      <c r="A8" s="7" t="inlineStr">
        <is>
          <t>기준 데이터</t>
        </is>
      </c>
      <c r="B8" s="7" t="inlineStr">
        <is>
          <t>data/solar_data.json</t>
        </is>
      </c>
      <c r="C8" s="7" t="inlineStr">
        <is>
          <t>2016~2025 10개 권역 월별 GHI</t>
        </is>
      </c>
      <c r="D8" s="17" t="inlineStr">
        <is>
          <t>2016-2025</t>
        </is>
      </c>
      <c r="E8" s="7" t="inlineStr">
        <is>
          <t>원자료 1,200행 대조</t>
        </is>
      </c>
      <c r="F8" s="7" t="inlineStr">
        <is>
          <t>출처·기간·버전 보관</t>
        </is>
      </c>
      <c r="G8" s="7" t="inlineStr">
        <is>
          <t>기상 API 자동갱신</t>
        </is>
      </c>
    </row>
    <row r="9" ht="30" customHeight="1">
      <c r="A9" s="21" t="inlineStr">
        <is>
          <t>고객 PDF</t>
        </is>
      </c>
      <c r="B9" s="21" t="inlineStr">
        <is>
          <t>/api/report/pdf + reports.py</t>
        </is>
      </c>
      <c r="C9" s="21" t="inlineStr">
        <is>
          <t>공식 고객 보고서 및 전문가 이미지 부록</t>
        </is>
      </c>
      <c r="D9" s="19" t="inlineStr">
        <is>
          <t>MVP-0.2.0</t>
        </is>
      </c>
      <c r="E9" s="21" t="inlineStr">
        <is>
          <t>PDF 렌더링 검토</t>
        </is>
      </c>
      <c r="F9" s="21" t="inlineStr">
        <is>
          <t>면책·모델버전 포함</t>
        </is>
      </c>
      <c r="G9" s="21" t="inlineStr">
        <is>
          <t>승인 워크플로</t>
        </is>
      </c>
    </row>
    <row r="10" ht="30" customHeight="1">
      <c r="A10" s="7" t="inlineStr">
        <is>
          <t>고객 PPT</t>
        </is>
      </c>
      <c r="B10" s="7" t="inlineStr">
        <is>
          <t>/api/report/pptx + PptxGenJS</t>
        </is>
      </c>
      <c r="C10" s="7" t="inlineStr">
        <is>
          <t>고객 설명 및 전문가 첨부자료 슬라이드</t>
        </is>
      </c>
      <c r="D10" s="17" t="inlineStr">
        <is>
          <t>MVP-0.2.0</t>
        </is>
      </c>
      <c r="E10" s="7" t="inlineStr">
        <is>
          <t>슬라이드 렌더·오버플로 검사</t>
        </is>
      </c>
      <c r="F10" s="7" t="inlineStr">
        <is>
          <t>자동결과와 전문가 의견 구분</t>
        </is>
      </c>
      <c r="G10" s="7" t="inlineStr">
        <is>
          <t>브랜드 템플릿</t>
        </is>
      </c>
    </row>
    <row r="11" ht="30" customHeight="1">
      <c r="A11" s="21" t="inlineStr">
        <is>
          <t>상세 Excel</t>
        </is>
      </c>
      <c r="B11" s="21" t="inlineStr">
        <is>
          <t>/api/report/excel + reports.py</t>
        </is>
      </c>
      <c r="C11" s="21" t="inlineStr">
        <is>
          <t>월별 결과, FACTOR, 계산식, 데이터품질</t>
        </is>
      </c>
      <c r="D11" s="19" t="inlineStr">
        <is>
          <t>MVP-0.2.0</t>
        </is>
      </c>
      <c r="E11" s="21" t="inlineStr">
        <is>
          <t>LibreOffice 재계산·수식 오류 검사</t>
        </is>
      </c>
      <c r="F11" s="21" t="inlineStr">
        <is>
          <t>동적배열 함수 사용 금지</t>
        </is>
      </c>
      <c r="G11" s="21" t="inlineStr">
        <is>
          <t>원본자료 상세</t>
        </is>
      </c>
    </row>
    <row r="12" ht="30" customHeight="1">
      <c r="A12" s="7" t="inlineStr">
        <is>
          <t>전문가 권한</t>
        </is>
      </c>
      <c r="B12" s="7" t="inlineStr">
        <is>
          <t>/api/expert/unlock</t>
        </is>
      </c>
      <c r="C12" s="7" t="inlineStr">
        <is>
          <t>만료시간이 있는 서명 토큰 발급</t>
        </is>
      </c>
      <c r="D12" s="17" t="inlineStr">
        <is>
          <t>MVP-0.2.0</t>
        </is>
      </c>
      <c r="E12" s="7" t="inlineStr">
        <is>
          <t>잘못된 PIN 401, 만료/변조 토큰 확인</t>
        </is>
      </c>
      <c r="F12" s="7" t="inlineStr">
        <is>
          <t>초기 PIN은 데모 전용이므로 배포 전 반드시 변경</t>
        </is>
      </c>
      <c r="G12" s="7" t="inlineStr">
        <is>
          <t>RBAC/OAuth</t>
        </is>
      </c>
    </row>
    <row r="13" ht="30" customHeight="1">
      <c r="A13" s="21" t="inlineStr">
        <is>
          <t>모델 변경</t>
        </is>
      </c>
      <c r="B13" s="21" t="inlineStr">
        <is>
          <t>MODEL_VERSION</t>
        </is>
      </c>
      <c r="C13" s="21" t="inlineStr">
        <is>
          <t>보고서·결과 JSON·PPT/Excel에 기록</t>
        </is>
      </c>
      <c r="D13" s="19" t="inlineStr">
        <is>
          <t>MVP-0.2.0</t>
        </is>
      </c>
      <c r="E13" s="21" t="inlineStr">
        <is>
          <t>코드·Excel 버전 일치 확인</t>
        </is>
      </c>
      <c r="F13" s="21" t="inlineStr">
        <is>
          <t>분석 실행 시 입력·결과 스냅샷</t>
        </is>
      </c>
      <c r="G13" s="21" t="inlineStr">
        <is>
          <t>모델 레지스트리</t>
        </is>
      </c>
    </row>
    <row r="14" ht="30" customHeight="1">
      <c r="A14" s="7" t="inlineStr">
        <is>
          <t>로컬 저장</t>
        </is>
      </c>
      <c r="B14" s="7" t="inlineStr">
        <is>
          <t>storage.py / SQLite</t>
        </is>
      </c>
      <c r="C14" s="7" t="inlineStr">
        <is>
          <t>프로젝트 입력값·분석결과 저장·불러오기</t>
        </is>
      </c>
      <c r="D14" s="17" t="inlineStr">
        <is>
          <t>MVP-0.2.0</t>
        </is>
      </c>
      <c r="E14" s="7" t="inlineStr">
        <is>
          <t>CRUD API 테스트</t>
        </is>
      </c>
      <c r="F14" s="7" t="inlineStr">
        <is>
          <t>PC 로컬 파일 권한·백업 필요</t>
        </is>
      </c>
      <c r="G14" s="7" t="inlineStr">
        <is>
          <t>다중 사용자 DB</t>
        </is>
      </c>
    </row>
    <row r="15" ht="30" customHeight="1">
      <c r="A15" s="21" t="inlineStr">
        <is>
          <t>전문가 첨부</t>
        </is>
      </c>
      <c r="B15" s="21" t="inlineStr">
        <is>
          <t>/api/evidence/*</t>
        </is>
      </c>
      <c r="C15" s="21" t="inlineStr">
        <is>
          <t>현장사진·열화상·알람 이미지 로컬 저장</t>
        </is>
      </c>
      <c r="D15" s="19" t="inlineStr">
        <is>
          <t>MVP-0.2.0</t>
        </is>
      </c>
      <c r="E15" s="21" t="inlineStr">
        <is>
          <t>권한·용량·확장자 테스트</t>
        </is>
      </c>
      <c r="F15" s="21" t="inlineStr">
        <is>
          <t>PNG/JPG, 10MB 제한</t>
        </is>
      </c>
      <c r="G15" s="21" t="inlineStr">
        <is>
          <t>문서/IV Curve 파일 지원</t>
        </is>
      </c>
    </row>
  </sheetData>
  <mergeCells count="3">
    <mergeCell ref="A2:G2"/>
    <mergeCell ref="A1:G1"/>
    <mergeCell ref="A4:G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T34"/>
  <sheetViews>
    <sheetView zoomScale="10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22" customWidth="1" min="5" max="5"/>
    <col width="13" customWidth="1" min="6" max="6"/>
    <col width="11" customWidth="1" min="7" max="7"/>
    <col width="12" customWidth="1" min="8" max="8"/>
    <col width="12" customWidth="1" min="9" max="9"/>
    <col width="12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1" customWidth="1" min="17" max="17"/>
    <col width="13" customWidth="1" min="18" max="18"/>
    <col width="12" customWidth="1" min="19" max="19"/>
    <col width="13" customWidth="1" min="20" max="20"/>
  </cols>
  <sheetData>
    <row r="1" ht="30" customHeight="1">
      <c r="A1" s="1" t="inlineStr">
        <is>
          <t>경사면 일사량 및 발전량 계산 모델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3" t="inlineStr">
        <is>
          <t>지역별 월 수평면 일사량을 직달·산란으로 분리하고, 경사각·방위각·지면반사를 반영한 POA와 발전량을 계산합니다.</t>
        </is>
      </c>
    </row>
    <row r="4" ht="20" customHeight="1">
      <c r="A4" s="4" t="inlineStr">
        <is>
          <t>① 분석 입력</t>
        </is>
      </c>
      <c r="B4" s="5" t="n"/>
      <c r="C4" s="5" t="n"/>
      <c r="D4" s="5" t="n"/>
      <c r="E4" s="4" t="inlineStr">
        <is>
          <t>② 주요 결과</t>
        </is>
      </c>
      <c r="F4" s="5" t="n"/>
      <c r="G4" s="5" t="n"/>
      <c r="I4" s="4" t="inlineStr">
        <is>
          <t>③ 계산 절차 및 주의사항</t>
        </is>
      </c>
      <c r="J4" s="5" t="n"/>
      <c r="K4" s="5" t="n"/>
      <c r="L4" s="5" t="n"/>
      <c r="M4" s="5" t="n"/>
      <c r="N4" s="5" t="n"/>
    </row>
    <row r="5" ht="18" customHeight="1">
      <c r="A5" s="6" t="inlineStr">
        <is>
          <t>분석 지역</t>
        </is>
      </c>
      <c r="B5" s="30" t="inlineStr">
        <is>
          <t>서울경기</t>
        </is>
      </c>
      <c r="C5" s="9" t="inlineStr">
        <is>
          <t>광역권 10개 중 선택</t>
        </is>
      </c>
      <c r="D5" s="8" t="n"/>
      <c r="E5" s="6" t="inlineStr">
        <is>
          <t>연간 수평면 일사량</t>
        </is>
      </c>
      <c r="F5" s="11">
        <f>SUM(C22:C33)</f>
        <v/>
      </c>
      <c r="G5" s="31" t="inlineStr">
        <is>
          <t>kWh/m²/년</t>
        </is>
      </c>
      <c r="I5" s="23" t="inlineStr">
        <is>
          <t>① 월 수평면 일사량(원자료)을 월 일평균 H로 환산합니다.</t>
        </is>
      </c>
    </row>
    <row r="6" ht="18" customHeight="1">
      <c r="A6" s="6" t="inlineStr">
        <is>
          <t>분석 기준</t>
        </is>
      </c>
      <c r="B6" s="30" t="inlineStr">
        <is>
          <t>10년평균</t>
        </is>
      </c>
      <c r="C6" s="9" t="inlineStr">
        <is>
          <t>10년평균 또는 개별연도(2016~2025)</t>
        </is>
      </c>
      <c r="D6" s="8" t="n"/>
      <c r="E6" s="6" t="inlineStr">
        <is>
          <t>연간 경사면 일사량 POA</t>
        </is>
      </c>
      <c r="F6" s="11">
        <f>SUM(P22:P33)</f>
        <v/>
      </c>
      <c r="G6" s="31" t="inlineStr">
        <is>
          <t>kWh/m²/년</t>
        </is>
      </c>
      <c r="I6" s="23" t="inlineStr">
        <is>
          <t>② 대기권외 일사량 H0와 청명도지수 Kt = H/H0 를 계산합니다.</t>
        </is>
      </c>
    </row>
    <row r="7" ht="18" customHeight="1">
      <c r="A7" s="6" t="inlineStr">
        <is>
          <t>경사각 β (°)</t>
        </is>
      </c>
      <c r="B7" s="32" t="n">
        <v>30</v>
      </c>
      <c r="C7" s="9" t="inlineStr">
        <is>
          <t>0° = 수평, 90° = 수직</t>
        </is>
      </c>
      <c r="D7" s="8" t="n"/>
      <c r="E7" s="6" t="inlineStr">
        <is>
          <t>경사면/수평면 FACTOR</t>
        </is>
      </c>
      <c r="F7" s="33">
        <f>IF(F5=0,0,F6/F5)</f>
        <v/>
      </c>
      <c r="G7" s="31" t="inlineStr">
        <is>
          <t>배</t>
        </is>
      </c>
      <c r="I7" s="23" t="inlineStr">
        <is>
          <t>③ Erbs 월평균 상관식으로 산란 성분 Hd 를 추정합니다.</t>
        </is>
      </c>
    </row>
    <row r="8" ht="18" customHeight="1">
      <c r="A8" s="6" t="inlineStr">
        <is>
          <t>방위각 A (°)</t>
        </is>
      </c>
      <c r="B8" s="32" t="n">
        <v>180</v>
      </c>
      <c r="C8" s="9" t="inlineStr">
        <is>
          <t>0° 북 / 90° 동 / 180° 남 / 270° 서</t>
        </is>
      </c>
      <c r="D8" s="8" t="n"/>
      <c r="E8" s="6" t="inlineStr">
        <is>
          <t>연간 특성발전량</t>
        </is>
      </c>
      <c r="F8" s="11">
        <f>SUM(R22:R33)</f>
        <v/>
      </c>
      <c r="G8" s="31" t="inlineStr">
        <is>
          <t>kWh/kWp</t>
        </is>
      </c>
      <c r="I8" s="23" t="inlineStr">
        <is>
          <t>④ 15분 태양기하 적분으로 방위·경사 직달계수 Rb 를 계산합니다.</t>
        </is>
      </c>
    </row>
    <row r="9" ht="18" customHeight="1">
      <c r="A9" s="6" t="inlineStr">
        <is>
          <t>지면반사율 ρg</t>
        </is>
      </c>
      <c r="B9" s="25" t="n">
        <v>0.2</v>
      </c>
      <c r="C9" s="9" t="inlineStr">
        <is>
          <t>일반 토지 기본 0.20 (기본값 출처: 05_FACTOR_기준값)</t>
        </is>
      </c>
      <c r="D9" s="8" t="n"/>
      <c r="E9" s="6" t="inlineStr">
        <is>
          <t>연간 발전량</t>
        </is>
      </c>
      <c r="F9" s="11">
        <f>SUM(S22:S33)</f>
        <v/>
      </c>
      <c r="G9" s="31" t="inlineStr">
        <is>
          <t>MWh/년</t>
        </is>
      </c>
      <c r="I9" s="23" t="inlineStr">
        <is>
          <t>⑤ POA = Hb×Rb + Hd×(1+cosβ)/2 + H×ρg×(1-cosβ)/2</t>
        </is>
      </c>
    </row>
    <row r="10" ht="18" customHeight="1">
      <c r="A10" s="6" t="inlineStr">
        <is>
          <t>DC 설비용량 (kWp)</t>
        </is>
      </c>
      <c r="B10" s="34" t="n">
        <v>1000</v>
      </c>
      <c r="C10" s="9" t="inlineStr">
        <is>
          <t>발전량·특성발전량 환산 기준</t>
        </is>
      </c>
      <c r="D10" s="8" t="n"/>
      <c r="E10" s="6" t="inlineStr">
        <is>
          <t>설비이용률</t>
        </is>
      </c>
      <c r="F10" s="35">
        <f>IF(B10=0,0,F9/(B10*8.76))</f>
        <v/>
      </c>
      <c r="G10" s="31" t="inlineStr">
        <is>
          <t>%</t>
        </is>
      </c>
      <c r="I10" s="23" t="inlineStr">
        <is>
          <t>⑥ 발전량 = POA × DC용량 × PR × 가동률 × (1-출력제한) × 기타계수</t>
        </is>
      </c>
    </row>
    <row r="11" ht="18" customHeight="1">
      <c r="A11" s="6" t="inlineStr">
        <is>
          <t>기준 PR</t>
        </is>
      </c>
      <c r="B11" s="25" t="n">
        <v>0.8</v>
      </c>
      <c r="C11" s="9" t="inlineStr">
        <is>
          <t>온도·인버터·배선·오염 등 종합손실 포함</t>
        </is>
      </c>
      <c r="D11" s="8" t="n"/>
      <c r="E11" s="6" t="inlineStr">
        <is>
          <t>경사면 증가율</t>
        </is>
      </c>
      <c r="F11" s="35">
        <f>IF(F5=0,0,F6/F5-1)</f>
        <v/>
      </c>
      <c r="G11" s="31" t="inlineStr">
        <is>
          <t>%</t>
        </is>
      </c>
      <c r="I11" s="23" t="inlineStr"/>
    </row>
    <row r="12" ht="18" customHeight="1">
      <c r="A12" s="6" t="inlineStr">
        <is>
          <t>가동률</t>
        </is>
      </c>
      <c r="B12" s="25" t="n">
        <v>0.995</v>
      </c>
      <c r="C12" s="9" t="inlineStr">
        <is>
          <t>고장·정비로 발전 불가능한 시간 반영</t>
        </is>
      </c>
      <c r="D12" s="8" t="n"/>
      <c r="E12" s="6" t="inlineStr">
        <is>
          <t>검토 상태</t>
        </is>
      </c>
      <c r="F12" s="36">
        <f>IF(COUNTIF(T22:T33,"&lt;&gt;정상")=0,"정상","검토 필요")</f>
        <v/>
      </c>
      <c r="G12" s="31" t="inlineStr">
        <is>
          <t>-</t>
        </is>
      </c>
      <c r="I12" s="23" t="inlineStr">
        <is>
          <t>※ 광역권 월자료 기반의 예비·타당성 분석용입니다.</t>
        </is>
      </c>
    </row>
    <row r="13" ht="18" customHeight="1">
      <c r="A13" s="6" t="inlineStr">
        <is>
          <t>출력제한/계통손실률</t>
        </is>
      </c>
      <c r="B13" s="25" t="n">
        <v>0</v>
      </c>
      <c r="C13" s="9" t="inlineStr">
        <is>
          <t>의도적 감발(고장·정비 제외)</t>
        </is>
      </c>
      <c r="D13" s="8" t="n"/>
      <c r="I13" s="23" t="inlineStr">
        <is>
          <t>※ 금융·성능보증용은 현장 좌표, 시간별 DNI/DHI, 음영, 온도, 출력제한 자료를 적용하세요.</t>
        </is>
      </c>
    </row>
    <row r="14" ht="18" customHeight="1">
      <c r="A14" s="6" t="inlineStr">
        <is>
          <t>기타 보정계수</t>
        </is>
      </c>
      <c r="B14" s="25" t="n">
        <v>1</v>
      </c>
      <c r="C14" s="9" t="inlineStr">
        <is>
          <t>프로젝트 특수보정 (PR과 중복 금지)</t>
        </is>
      </c>
      <c r="D14" s="8" t="n"/>
      <c r="I14" s="23" t="inlineStr">
        <is>
          <t>※ 노란 배경·파란 글씨 셀만 입력값이며, 상세 한계는 '16_적용한계·참고' 시트를 참고하세요.</t>
        </is>
      </c>
    </row>
    <row r="15" ht="18" customHeight="1">
      <c r="A15" s="6" t="inlineStr">
        <is>
          <t>지역 대표 위도 (°N)</t>
        </is>
      </c>
      <c r="B15" s="37">
        <f>INDEX('14_지역·상수'!$C$5:$C$14,MATCH(B5,'14_지역·상수'!$A$5:$A$14,0))</f>
        <v/>
      </c>
      <c r="C15" s="9" t="inlineStr">
        <is>
          <t>선택 지역의 대표 도시 위도(자동)</t>
        </is>
      </c>
      <c r="D15" s="8" t="n"/>
    </row>
    <row r="16" ht="18" customHeight="1">
      <c r="A16" s="6" t="inlineStr">
        <is>
          <t>현장 위도 수동입력 (선택)</t>
        </is>
      </c>
      <c r="B16" s="38" t="n"/>
      <c r="C16" s="9" t="inlineStr">
        <is>
          <t>실제 발전소 위도를 알면 입력(권장)</t>
        </is>
      </c>
      <c r="D16" s="8" t="n"/>
    </row>
    <row r="17" ht="18" customHeight="1">
      <c r="A17" s="6" t="inlineStr">
        <is>
          <t>적용 위도 φ (°N)</t>
        </is>
      </c>
      <c r="B17" s="39">
        <f>IF(B16="",B15,B16)</f>
        <v/>
      </c>
      <c r="C17" s="9" t="inlineStr">
        <is>
          <t>수동입력이 있으면 우선 적용</t>
        </is>
      </c>
      <c r="D17" s="8" t="n"/>
    </row>
    <row r="20" ht="20" customHeight="1">
      <c r="A20" s="4" t="inlineStr">
        <is>
          <t>④ 월별 계산 결과 (1~12월)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 ht="42" customHeight="1">
      <c r="A21" s="14" t="inlineStr">
        <is>
          <t>월</t>
        </is>
      </c>
      <c r="B21" s="14" t="inlineStr">
        <is>
          <t>일수
[일]</t>
        </is>
      </c>
      <c r="C21" s="14" t="inlineStr">
        <is>
          <t>수평면
월일사량
[kWh/m²]</t>
        </is>
      </c>
      <c r="D21" s="14" t="inlineStr">
        <is>
          <t>수평면
일평균 H
[kWh/m²/일]</t>
        </is>
      </c>
      <c r="E21" s="14" t="inlineStr">
        <is>
          <t>대기권외
H0
[kWh/m²/일]</t>
        </is>
      </c>
      <c r="F21" s="14" t="inlineStr">
        <is>
          <t>Kt</t>
        </is>
      </c>
      <c r="G21" s="14" t="inlineStr">
        <is>
          <t>Kt
적용값</t>
        </is>
      </c>
      <c r="H21" s="14" t="inlineStr">
        <is>
          <t>산란비
Hd/H</t>
        </is>
      </c>
      <c r="I21" s="14" t="inlineStr">
        <is>
          <t>산란 H_d
[kWh/m²/일]</t>
        </is>
      </c>
      <c r="J21" s="14" t="inlineStr">
        <is>
          <t>직달 H_b
[kWh/m²/일]</t>
        </is>
      </c>
      <c r="K21" s="14" t="inlineStr">
        <is>
          <t>Rb</t>
        </is>
      </c>
      <c r="L21" s="14" t="inlineStr">
        <is>
          <t>직달 POA
[kWh/m²/일]</t>
        </is>
      </c>
      <c r="M21" s="14" t="inlineStr">
        <is>
          <t>천공산란
POA
[kWh/m²/일]</t>
        </is>
      </c>
      <c r="N21" s="14" t="inlineStr">
        <is>
          <t>지면반사
POA
[kWh/m²/일]</t>
        </is>
      </c>
      <c r="O21" s="14" t="inlineStr">
        <is>
          <t>POA
일평균
[kWh/m²/일]</t>
        </is>
      </c>
      <c r="P21" s="14" t="inlineStr">
        <is>
          <t>POA
월일사량
[kWh/m²]</t>
        </is>
      </c>
      <c r="Q21" s="14" t="inlineStr">
        <is>
          <t>POA
FACTOR
[배]</t>
        </is>
      </c>
      <c r="R21" s="14" t="inlineStr">
        <is>
          <t>특성발전량
[kWh/kWp]</t>
        </is>
      </c>
      <c r="S21" s="14" t="inlineStr">
        <is>
          <t>발전량
[MWh]</t>
        </is>
      </c>
      <c r="T21" s="14" t="inlineStr">
        <is>
          <t>검토</t>
        </is>
      </c>
    </row>
    <row r="22" ht="17" customHeight="1">
      <c r="A22" s="40" t="n">
        <v>1</v>
      </c>
      <c r="B22" s="41">
        <f>IF($B$6="10년평균",AVERAGEIFS(RawDataKWh[일수],RawDataKWh[월],$A22,RawDataKWh[지역명],$B$5),SUMIFS(RawDataKWh[일수],RawDataKWh[월],$A22,RawDataKWh[연도],VALUE($B$6),RawDataKWh[지역명],$B$5))</f>
        <v/>
      </c>
      <c r="C22" s="41">
        <f>IF($B$6="10년평균",AVERAGEIFS(RawDataKWh[일사합_kWh_m2],RawDataKWh[월],$A22,RawDataKWh[지역명],$B$5),SUMIFS(RawDataKWh[일사합_kWh_m2],RawDataKWh[월],$A22,RawDataKWh[연도],VALUE($B$6),RawDataKWh[지역명],$B$5))</f>
        <v/>
      </c>
      <c r="D22" s="42">
        <f>IF(B22=0,0,C22/B22)</f>
        <v/>
      </c>
      <c r="E22" s="42">
        <f>INDEX('15_태양기하'!$H$4:$H$15,MATCH(A22,'15_태양기하'!$A$4:$A$15,0))</f>
        <v/>
      </c>
      <c r="F22" s="43">
        <f>IF(E22=0,0,D22/E22)</f>
        <v/>
      </c>
      <c r="G22" s="43">
        <f>MAX('14_지역·상수'!$H$7,MIN('14_지역·상수'!$H$8,F22))</f>
        <v/>
      </c>
      <c r="H22" s="43">
        <f>MAX(0.05,MIN(1,IF(INDEX('15_태양기하'!$D$4:$D$15,MATCH(A22,'15_태양기하'!$A$4:$A$15,0))&lt;=81.4,1.391-3.56*G22+4.189*G22^2-2.137*G22^3,1.311-3.022*G22+3.427*G22^2-1.821*G22^3)))</f>
        <v/>
      </c>
      <c r="I22" s="42">
        <f>D22*H22</f>
        <v/>
      </c>
      <c r="J22" s="42">
        <f>D22-I22</f>
        <v/>
      </c>
      <c r="K22" s="43">
        <f>INDEX('15_태양기하'!$G$4:$G$15,MATCH(A22,'15_태양기하'!$A$4:$A$15,0))</f>
        <v/>
      </c>
      <c r="L22" s="43">
        <f>J22*K22</f>
        <v/>
      </c>
      <c r="M22" s="43">
        <f>I22*(1+COS(RADIANS($B$7)))/2</f>
        <v/>
      </c>
      <c r="N22" s="43">
        <f>D22*$B$9*(1-COS(RADIANS($B$7)))/2</f>
        <v/>
      </c>
      <c r="O22" s="42">
        <f>L22+M22+N22</f>
        <v/>
      </c>
      <c r="P22" s="41">
        <f>O22*B22</f>
        <v/>
      </c>
      <c r="Q22" s="43">
        <f>IF(C22=0,0,P22/C22)</f>
        <v/>
      </c>
      <c r="R22" s="41">
        <f>P22*$B$11*$B$12*(1-$B$13)*$B$14</f>
        <v/>
      </c>
      <c r="S22" s="41">
        <f>R22*$B$10/1000</f>
        <v/>
      </c>
      <c r="T22" s="17">
        <f>IF(OR(F22&lt;'14_지역·상수'!$H$7,F22&gt;'14_지역·상수'!$H$8),"Kt 범위 검토",IF(OR(K22&lt;0,K22&gt;5),"Rb 검토","정상"))</f>
        <v/>
      </c>
    </row>
    <row r="23" ht="17" customHeight="1">
      <c r="A23" s="44" t="n">
        <v>2</v>
      </c>
      <c r="B23" s="45">
        <f>IF($B$6="10년평균",AVERAGEIFS(RawDataKWh[일수],RawDataKWh[월],$A23,RawDataKWh[지역명],$B$5),SUMIFS(RawDataKWh[일수],RawDataKWh[월],$A23,RawDataKWh[연도],VALUE($B$6),RawDataKWh[지역명],$B$5))</f>
        <v/>
      </c>
      <c r="C23" s="45">
        <f>IF($B$6="10년평균",AVERAGEIFS(RawDataKWh[일사합_kWh_m2],RawDataKWh[월],$A23,RawDataKWh[지역명],$B$5),SUMIFS(RawDataKWh[일사합_kWh_m2],RawDataKWh[월],$A23,RawDataKWh[연도],VALUE($B$6),RawDataKWh[지역명],$B$5))</f>
        <v/>
      </c>
      <c r="D23" s="46">
        <f>IF(B23=0,0,C23/B23)</f>
        <v/>
      </c>
      <c r="E23" s="46">
        <f>INDEX('15_태양기하'!$H$4:$H$15,MATCH(A23,'15_태양기하'!$A$4:$A$15,0))</f>
        <v/>
      </c>
      <c r="F23" s="47">
        <f>IF(E23=0,0,D23/E23)</f>
        <v/>
      </c>
      <c r="G23" s="47">
        <f>MAX('14_지역·상수'!$H$7,MIN('14_지역·상수'!$H$8,F23))</f>
        <v/>
      </c>
      <c r="H23" s="47">
        <f>MAX(0.05,MIN(1,IF(INDEX('15_태양기하'!$D$4:$D$15,MATCH(A23,'15_태양기하'!$A$4:$A$15,0))&lt;=81.4,1.391-3.56*G23+4.189*G23^2-2.137*G23^3,1.311-3.022*G23+3.427*G23^2-1.821*G23^3)))</f>
        <v/>
      </c>
      <c r="I23" s="46">
        <f>D23*H23</f>
        <v/>
      </c>
      <c r="J23" s="46">
        <f>D23-I23</f>
        <v/>
      </c>
      <c r="K23" s="47">
        <f>INDEX('15_태양기하'!$G$4:$G$15,MATCH(A23,'15_태양기하'!$A$4:$A$15,0))</f>
        <v/>
      </c>
      <c r="L23" s="47">
        <f>J23*K23</f>
        <v/>
      </c>
      <c r="M23" s="47">
        <f>I23*(1+COS(RADIANS($B$7)))/2</f>
        <v/>
      </c>
      <c r="N23" s="47">
        <f>D23*$B$9*(1-COS(RADIANS($B$7)))/2</f>
        <v/>
      </c>
      <c r="O23" s="46">
        <f>L23+M23+N23</f>
        <v/>
      </c>
      <c r="P23" s="45">
        <f>O23*B23</f>
        <v/>
      </c>
      <c r="Q23" s="47">
        <f>IF(C23=0,0,P23/C23)</f>
        <v/>
      </c>
      <c r="R23" s="45">
        <f>P23*$B$11*$B$12*(1-$B$13)*$B$14</f>
        <v/>
      </c>
      <c r="S23" s="45">
        <f>R23*$B$10/1000</f>
        <v/>
      </c>
      <c r="T23" s="19">
        <f>IF(OR(F23&lt;'14_지역·상수'!$H$7,F23&gt;'14_지역·상수'!$H$8),"Kt 범위 검토",IF(OR(K23&lt;0,K23&gt;5),"Rb 검토","정상"))</f>
        <v/>
      </c>
    </row>
    <row r="24" ht="17" customHeight="1">
      <c r="A24" s="40" t="n">
        <v>3</v>
      </c>
      <c r="B24" s="41">
        <f>IF($B$6="10년평균",AVERAGEIFS(RawDataKWh[일수],RawDataKWh[월],$A24,RawDataKWh[지역명],$B$5),SUMIFS(RawDataKWh[일수],RawDataKWh[월],$A24,RawDataKWh[연도],VALUE($B$6),RawDataKWh[지역명],$B$5))</f>
        <v/>
      </c>
      <c r="C24" s="41">
        <f>IF($B$6="10년평균",AVERAGEIFS(RawDataKWh[일사합_kWh_m2],RawDataKWh[월],$A24,RawDataKWh[지역명],$B$5),SUMIFS(RawDataKWh[일사합_kWh_m2],RawDataKWh[월],$A24,RawDataKWh[연도],VALUE($B$6),RawDataKWh[지역명],$B$5))</f>
        <v/>
      </c>
      <c r="D24" s="42">
        <f>IF(B24=0,0,C24/B24)</f>
        <v/>
      </c>
      <c r="E24" s="42">
        <f>INDEX('15_태양기하'!$H$4:$H$15,MATCH(A24,'15_태양기하'!$A$4:$A$15,0))</f>
        <v/>
      </c>
      <c r="F24" s="43">
        <f>IF(E24=0,0,D24/E24)</f>
        <v/>
      </c>
      <c r="G24" s="43">
        <f>MAX('14_지역·상수'!$H$7,MIN('14_지역·상수'!$H$8,F24))</f>
        <v/>
      </c>
      <c r="H24" s="43">
        <f>MAX(0.05,MIN(1,IF(INDEX('15_태양기하'!$D$4:$D$15,MATCH(A24,'15_태양기하'!$A$4:$A$15,0))&lt;=81.4,1.391-3.56*G24+4.189*G24^2-2.137*G24^3,1.311-3.022*G24+3.427*G24^2-1.821*G24^3)))</f>
        <v/>
      </c>
      <c r="I24" s="42">
        <f>D24*H24</f>
        <v/>
      </c>
      <c r="J24" s="42">
        <f>D24-I24</f>
        <v/>
      </c>
      <c r="K24" s="43">
        <f>INDEX('15_태양기하'!$G$4:$G$15,MATCH(A24,'15_태양기하'!$A$4:$A$15,0))</f>
        <v/>
      </c>
      <c r="L24" s="43">
        <f>J24*K24</f>
        <v/>
      </c>
      <c r="M24" s="43">
        <f>I24*(1+COS(RADIANS($B$7)))/2</f>
        <v/>
      </c>
      <c r="N24" s="43">
        <f>D24*$B$9*(1-COS(RADIANS($B$7)))/2</f>
        <v/>
      </c>
      <c r="O24" s="42">
        <f>L24+M24+N24</f>
        <v/>
      </c>
      <c r="P24" s="41">
        <f>O24*B24</f>
        <v/>
      </c>
      <c r="Q24" s="43">
        <f>IF(C24=0,0,P24/C24)</f>
        <v/>
      </c>
      <c r="R24" s="41">
        <f>P24*$B$11*$B$12*(1-$B$13)*$B$14</f>
        <v/>
      </c>
      <c r="S24" s="41">
        <f>R24*$B$10/1000</f>
        <v/>
      </c>
      <c r="T24" s="17">
        <f>IF(OR(F24&lt;'14_지역·상수'!$H$7,F24&gt;'14_지역·상수'!$H$8),"Kt 범위 검토",IF(OR(K24&lt;0,K24&gt;5),"Rb 검토","정상"))</f>
        <v/>
      </c>
    </row>
    <row r="25" ht="17" customHeight="1">
      <c r="A25" s="44" t="n">
        <v>4</v>
      </c>
      <c r="B25" s="45">
        <f>IF($B$6="10년평균",AVERAGEIFS(RawDataKWh[일수],RawDataKWh[월],$A25,RawDataKWh[지역명],$B$5),SUMIFS(RawDataKWh[일수],RawDataKWh[월],$A25,RawDataKWh[연도],VALUE($B$6),RawDataKWh[지역명],$B$5))</f>
        <v/>
      </c>
      <c r="C25" s="45">
        <f>IF($B$6="10년평균",AVERAGEIFS(RawDataKWh[일사합_kWh_m2],RawDataKWh[월],$A25,RawDataKWh[지역명],$B$5),SUMIFS(RawDataKWh[일사합_kWh_m2],RawDataKWh[월],$A25,RawDataKWh[연도],VALUE($B$6),RawDataKWh[지역명],$B$5))</f>
        <v/>
      </c>
      <c r="D25" s="46">
        <f>IF(B25=0,0,C25/B25)</f>
        <v/>
      </c>
      <c r="E25" s="46">
        <f>INDEX('15_태양기하'!$H$4:$H$15,MATCH(A25,'15_태양기하'!$A$4:$A$15,0))</f>
        <v/>
      </c>
      <c r="F25" s="47">
        <f>IF(E25=0,0,D25/E25)</f>
        <v/>
      </c>
      <c r="G25" s="47">
        <f>MAX('14_지역·상수'!$H$7,MIN('14_지역·상수'!$H$8,F25))</f>
        <v/>
      </c>
      <c r="H25" s="47">
        <f>MAX(0.05,MIN(1,IF(INDEX('15_태양기하'!$D$4:$D$15,MATCH(A25,'15_태양기하'!$A$4:$A$15,0))&lt;=81.4,1.391-3.56*G25+4.189*G25^2-2.137*G25^3,1.311-3.022*G25+3.427*G25^2-1.821*G25^3)))</f>
        <v/>
      </c>
      <c r="I25" s="46">
        <f>D25*H25</f>
        <v/>
      </c>
      <c r="J25" s="46">
        <f>D25-I25</f>
        <v/>
      </c>
      <c r="K25" s="47">
        <f>INDEX('15_태양기하'!$G$4:$G$15,MATCH(A25,'15_태양기하'!$A$4:$A$15,0))</f>
        <v/>
      </c>
      <c r="L25" s="47">
        <f>J25*K25</f>
        <v/>
      </c>
      <c r="M25" s="47">
        <f>I25*(1+COS(RADIANS($B$7)))/2</f>
        <v/>
      </c>
      <c r="N25" s="47">
        <f>D25*$B$9*(1-COS(RADIANS($B$7)))/2</f>
        <v/>
      </c>
      <c r="O25" s="46">
        <f>L25+M25+N25</f>
        <v/>
      </c>
      <c r="P25" s="45">
        <f>O25*B25</f>
        <v/>
      </c>
      <c r="Q25" s="47">
        <f>IF(C25=0,0,P25/C25)</f>
        <v/>
      </c>
      <c r="R25" s="45">
        <f>P25*$B$11*$B$12*(1-$B$13)*$B$14</f>
        <v/>
      </c>
      <c r="S25" s="45">
        <f>R25*$B$10/1000</f>
        <v/>
      </c>
      <c r="T25" s="19">
        <f>IF(OR(F25&lt;'14_지역·상수'!$H$7,F25&gt;'14_지역·상수'!$H$8),"Kt 범위 검토",IF(OR(K25&lt;0,K25&gt;5),"Rb 검토","정상"))</f>
        <v/>
      </c>
    </row>
    <row r="26" ht="17" customHeight="1">
      <c r="A26" s="40" t="n">
        <v>5</v>
      </c>
      <c r="B26" s="41">
        <f>IF($B$6="10년평균",AVERAGEIFS(RawDataKWh[일수],RawDataKWh[월],$A26,RawDataKWh[지역명],$B$5),SUMIFS(RawDataKWh[일수],RawDataKWh[월],$A26,RawDataKWh[연도],VALUE($B$6),RawDataKWh[지역명],$B$5))</f>
        <v/>
      </c>
      <c r="C26" s="41">
        <f>IF($B$6="10년평균",AVERAGEIFS(RawDataKWh[일사합_kWh_m2],RawDataKWh[월],$A26,RawDataKWh[지역명],$B$5),SUMIFS(RawDataKWh[일사합_kWh_m2],RawDataKWh[월],$A26,RawDataKWh[연도],VALUE($B$6),RawDataKWh[지역명],$B$5))</f>
        <v/>
      </c>
      <c r="D26" s="42">
        <f>IF(B26=0,0,C26/B26)</f>
        <v/>
      </c>
      <c r="E26" s="42">
        <f>INDEX('15_태양기하'!$H$4:$H$15,MATCH(A26,'15_태양기하'!$A$4:$A$15,0))</f>
        <v/>
      </c>
      <c r="F26" s="43">
        <f>IF(E26=0,0,D26/E26)</f>
        <v/>
      </c>
      <c r="G26" s="43">
        <f>MAX('14_지역·상수'!$H$7,MIN('14_지역·상수'!$H$8,F26))</f>
        <v/>
      </c>
      <c r="H26" s="43">
        <f>MAX(0.05,MIN(1,IF(INDEX('15_태양기하'!$D$4:$D$15,MATCH(A26,'15_태양기하'!$A$4:$A$15,0))&lt;=81.4,1.391-3.56*G26+4.189*G26^2-2.137*G26^3,1.311-3.022*G26+3.427*G26^2-1.821*G26^3)))</f>
        <v/>
      </c>
      <c r="I26" s="42">
        <f>D26*H26</f>
        <v/>
      </c>
      <c r="J26" s="42">
        <f>D26-I26</f>
        <v/>
      </c>
      <c r="K26" s="43">
        <f>INDEX('15_태양기하'!$G$4:$G$15,MATCH(A26,'15_태양기하'!$A$4:$A$15,0))</f>
        <v/>
      </c>
      <c r="L26" s="43">
        <f>J26*K26</f>
        <v/>
      </c>
      <c r="M26" s="43">
        <f>I26*(1+COS(RADIANS($B$7)))/2</f>
        <v/>
      </c>
      <c r="N26" s="43">
        <f>D26*$B$9*(1-COS(RADIANS($B$7)))/2</f>
        <v/>
      </c>
      <c r="O26" s="42">
        <f>L26+M26+N26</f>
        <v/>
      </c>
      <c r="P26" s="41">
        <f>O26*B26</f>
        <v/>
      </c>
      <c r="Q26" s="43">
        <f>IF(C26=0,0,P26/C26)</f>
        <v/>
      </c>
      <c r="R26" s="41">
        <f>P26*$B$11*$B$12*(1-$B$13)*$B$14</f>
        <v/>
      </c>
      <c r="S26" s="41">
        <f>R26*$B$10/1000</f>
        <v/>
      </c>
      <c r="T26" s="17">
        <f>IF(OR(F26&lt;'14_지역·상수'!$H$7,F26&gt;'14_지역·상수'!$H$8),"Kt 범위 검토",IF(OR(K26&lt;0,K26&gt;5),"Rb 검토","정상"))</f>
        <v/>
      </c>
    </row>
    <row r="27" ht="17" customHeight="1">
      <c r="A27" s="44" t="n">
        <v>6</v>
      </c>
      <c r="B27" s="45">
        <f>IF($B$6="10년평균",AVERAGEIFS(RawDataKWh[일수],RawDataKWh[월],$A27,RawDataKWh[지역명],$B$5),SUMIFS(RawDataKWh[일수],RawDataKWh[월],$A27,RawDataKWh[연도],VALUE($B$6),RawDataKWh[지역명],$B$5))</f>
        <v/>
      </c>
      <c r="C27" s="45">
        <f>IF($B$6="10년평균",AVERAGEIFS(RawDataKWh[일사합_kWh_m2],RawDataKWh[월],$A27,RawDataKWh[지역명],$B$5),SUMIFS(RawDataKWh[일사합_kWh_m2],RawDataKWh[월],$A27,RawDataKWh[연도],VALUE($B$6),RawDataKWh[지역명],$B$5))</f>
        <v/>
      </c>
      <c r="D27" s="46">
        <f>IF(B27=0,0,C27/B27)</f>
        <v/>
      </c>
      <c r="E27" s="46">
        <f>INDEX('15_태양기하'!$H$4:$H$15,MATCH(A27,'15_태양기하'!$A$4:$A$15,0))</f>
        <v/>
      </c>
      <c r="F27" s="47">
        <f>IF(E27=0,0,D27/E27)</f>
        <v/>
      </c>
      <c r="G27" s="47">
        <f>MAX('14_지역·상수'!$H$7,MIN('14_지역·상수'!$H$8,F27))</f>
        <v/>
      </c>
      <c r="H27" s="47">
        <f>MAX(0.05,MIN(1,IF(INDEX('15_태양기하'!$D$4:$D$15,MATCH(A27,'15_태양기하'!$A$4:$A$15,0))&lt;=81.4,1.391-3.56*G27+4.189*G27^2-2.137*G27^3,1.311-3.022*G27+3.427*G27^2-1.821*G27^3)))</f>
        <v/>
      </c>
      <c r="I27" s="46">
        <f>D27*H27</f>
        <v/>
      </c>
      <c r="J27" s="46">
        <f>D27-I27</f>
        <v/>
      </c>
      <c r="K27" s="47">
        <f>INDEX('15_태양기하'!$G$4:$G$15,MATCH(A27,'15_태양기하'!$A$4:$A$15,0))</f>
        <v/>
      </c>
      <c r="L27" s="47">
        <f>J27*K27</f>
        <v/>
      </c>
      <c r="M27" s="47">
        <f>I27*(1+COS(RADIANS($B$7)))/2</f>
        <v/>
      </c>
      <c r="N27" s="47">
        <f>D27*$B$9*(1-COS(RADIANS($B$7)))/2</f>
        <v/>
      </c>
      <c r="O27" s="46">
        <f>L27+M27+N27</f>
        <v/>
      </c>
      <c r="P27" s="45">
        <f>O27*B27</f>
        <v/>
      </c>
      <c r="Q27" s="47">
        <f>IF(C27=0,0,P27/C27)</f>
        <v/>
      </c>
      <c r="R27" s="45">
        <f>P27*$B$11*$B$12*(1-$B$13)*$B$14</f>
        <v/>
      </c>
      <c r="S27" s="45">
        <f>R27*$B$10/1000</f>
        <v/>
      </c>
      <c r="T27" s="19">
        <f>IF(OR(F27&lt;'14_지역·상수'!$H$7,F27&gt;'14_지역·상수'!$H$8),"Kt 범위 검토",IF(OR(K27&lt;0,K27&gt;5),"Rb 검토","정상"))</f>
        <v/>
      </c>
    </row>
    <row r="28" ht="17" customHeight="1">
      <c r="A28" s="40" t="n">
        <v>7</v>
      </c>
      <c r="B28" s="41">
        <f>IF($B$6="10년평균",AVERAGEIFS(RawDataKWh[일수],RawDataKWh[월],$A28,RawDataKWh[지역명],$B$5),SUMIFS(RawDataKWh[일수],RawDataKWh[월],$A28,RawDataKWh[연도],VALUE($B$6),RawDataKWh[지역명],$B$5))</f>
        <v/>
      </c>
      <c r="C28" s="41">
        <f>IF($B$6="10년평균",AVERAGEIFS(RawDataKWh[일사합_kWh_m2],RawDataKWh[월],$A28,RawDataKWh[지역명],$B$5),SUMIFS(RawDataKWh[일사합_kWh_m2],RawDataKWh[월],$A28,RawDataKWh[연도],VALUE($B$6),RawDataKWh[지역명],$B$5))</f>
        <v/>
      </c>
      <c r="D28" s="42">
        <f>IF(B28=0,0,C28/B28)</f>
        <v/>
      </c>
      <c r="E28" s="42">
        <f>INDEX('15_태양기하'!$H$4:$H$15,MATCH(A28,'15_태양기하'!$A$4:$A$15,0))</f>
        <v/>
      </c>
      <c r="F28" s="43">
        <f>IF(E28=0,0,D28/E28)</f>
        <v/>
      </c>
      <c r="G28" s="43">
        <f>MAX('14_지역·상수'!$H$7,MIN('14_지역·상수'!$H$8,F28))</f>
        <v/>
      </c>
      <c r="H28" s="43">
        <f>MAX(0.05,MIN(1,IF(INDEX('15_태양기하'!$D$4:$D$15,MATCH(A28,'15_태양기하'!$A$4:$A$15,0))&lt;=81.4,1.391-3.56*G28+4.189*G28^2-2.137*G28^3,1.311-3.022*G28+3.427*G28^2-1.821*G28^3)))</f>
        <v/>
      </c>
      <c r="I28" s="42">
        <f>D28*H28</f>
        <v/>
      </c>
      <c r="J28" s="42">
        <f>D28-I28</f>
        <v/>
      </c>
      <c r="K28" s="43">
        <f>INDEX('15_태양기하'!$G$4:$G$15,MATCH(A28,'15_태양기하'!$A$4:$A$15,0))</f>
        <v/>
      </c>
      <c r="L28" s="43">
        <f>J28*K28</f>
        <v/>
      </c>
      <c r="M28" s="43">
        <f>I28*(1+COS(RADIANS($B$7)))/2</f>
        <v/>
      </c>
      <c r="N28" s="43">
        <f>D28*$B$9*(1-COS(RADIANS($B$7)))/2</f>
        <v/>
      </c>
      <c r="O28" s="42">
        <f>L28+M28+N28</f>
        <v/>
      </c>
      <c r="P28" s="41">
        <f>O28*B28</f>
        <v/>
      </c>
      <c r="Q28" s="43">
        <f>IF(C28=0,0,P28/C28)</f>
        <v/>
      </c>
      <c r="R28" s="41">
        <f>P28*$B$11*$B$12*(1-$B$13)*$B$14</f>
        <v/>
      </c>
      <c r="S28" s="41">
        <f>R28*$B$10/1000</f>
        <v/>
      </c>
      <c r="T28" s="17">
        <f>IF(OR(F28&lt;'14_지역·상수'!$H$7,F28&gt;'14_지역·상수'!$H$8),"Kt 범위 검토",IF(OR(K28&lt;0,K28&gt;5),"Rb 검토","정상"))</f>
        <v/>
      </c>
    </row>
    <row r="29" ht="17" customHeight="1">
      <c r="A29" s="44" t="n">
        <v>8</v>
      </c>
      <c r="B29" s="45">
        <f>IF($B$6="10년평균",AVERAGEIFS(RawDataKWh[일수],RawDataKWh[월],$A29,RawDataKWh[지역명],$B$5),SUMIFS(RawDataKWh[일수],RawDataKWh[월],$A29,RawDataKWh[연도],VALUE($B$6),RawDataKWh[지역명],$B$5))</f>
        <v/>
      </c>
      <c r="C29" s="45">
        <f>IF($B$6="10년평균",AVERAGEIFS(RawDataKWh[일사합_kWh_m2],RawDataKWh[월],$A29,RawDataKWh[지역명],$B$5),SUMIFS(RawDataKWh[일사합_kWh_m2],RawDataKWh[월],$A29,RawDataKWh[연도],VALUE($B$6),RawDataKWh[지역명],$B$5))</f>
        <v/>
      </c>
      <c r="D29" s="46">
        <f>IF(B29=0,0,C29/B29)</f>
        <v/>
      </c>
      <c r="E29" s="46">
        <f>INDEX('15_태양기하'!$H$4:$H$15,MATCH(A29,'15_태양기하'!$A$4:$A$15,0))</f>
        <v/>
      </c>
      <c r="F29" s="47">
        <f>IF(E29=0,0,D29/E29)</f>
        <v/>
      </c>
      <c r="G29" s="47">
        <f>MAX('14_지역·상수'!$H$7,MIN('14_지역·상수'!$H$8,F29))</f>
        <v/>
      </c>
      <c r="H29" s="47">
        <f>MAX(0.05,MIN(1,IF(INDEX('15_태양기하'!$D$4:$D$15,MATCH(A29,'15_태양기하'!$A$4:$A$15,0))&lt;=81.4,1.391-3.56*G29+4.189*G29^2-2.137*G29^3,1.311-3.022*G29+3.427*G29^2-1.821*G29^3)))</f>
        <v/>
      </c>
      <c r="I29" s="46">
        <f>D29*H29</f>
        <v/>
      </c>
      <c r="J29" s="46">
        <f>D29-I29</f>
        <v/>
      </c>
      <c r="K29" s="47">
        <f>INDEX('15_태양기하'!$G$4:$G$15,MATCH(A29,'15_태양기하'!$A$4:$A$15,0))</f>
        <v/>
      </c>
      <c r="L29" s="47">
        <f>J29*K29</f>
        <v/>
      </c>
      <c r="M29" s="47">
        <f>I29*(1+COS(RADIANS($B$7)))/2</f>
        <v/>
      </c>
      <c r="N29" s="47">
        <f>D29*$B$9*(1-COS(RADIANS($B$7)))/2</f>
        <v/>
      </c>
      <c r="O29" s="46">
        <f>L29+M29+N29</f>
        <v/>
      </c>
      <c r="P29" s="45">
        <f>O29*B29</f>
        <v/>
      </c>
      <c r="Q29" s="47">
        <f>IF(C29=0,0,P29/C29)</f>
        <v/>
      </c>
      <c r="R29" s="45">
        <f>P29*$B$11*$B$12*(1-$B$13)*$B$14</f>
        <v/>
      </c>
      <c r="S29" s="45">
        <f>R29*$B$10/1000</f>
        <v/>
      </c>
      <c r="T29" s="19">
        <f>IF(OR(F29&lt;'14_지역·상수'!$H$7,F29&gt;'14_지역·상수'!$H$8),"Kt 범위 검토",IF(OR(K29&lt;0,K29&gt;5),"Rb 검토","정상"))</f>
        <v/>
      </c>
    </row>
    <row r="30" ht="17" customHeight="1">
      <c r="A30" s="40" t="n">
        <v>9</v>
      </c>
      <c r="B30" s="41">
        <f>IF($B$6="10년평균",AVERAGEIFS(RawDataKWh[일수],RawDataKWh[월],$A30,RawDataKWh[지역명],$B$5),SUMIFS(RawDataKWh[일수],RawDataKWh[월],$A30,RawDataKWh[연도],VALUE($B$6),RawDataKWh[지역명],$B$5))</f>
        <v/>
      </c>
      <c r="C30" s="41">
        <f>IF($B$6="10년평균",AVERAGEIFS(RawDataKWh[일사합_kWh_m2],RawDataKWh[월],$A30,RawDataKWh[지역명],$B$5),SUMIFS(RawDataKWh[일사합_kWh_m2],RawDataKWh[월],$A30,RawDataKWh[연도],VALUE($B$6),RawDataKWh[지역명],$B$5))</f>
        <v/>
      </c>
      <c r="D30" s="42">
        <f>IF(B30=0,0,C30/B30)</f>
        <v/>
      </c>
      <c r="E30" s="42">
        <f>INDEX('15_태양기하'!$H$4:$H$15,MATCH(A30,'15_태양기하'!$A$4:$A$15,0))</f>
        <v/>
      </c>
      <c r="F30" s="43">
        <f>IF(E30=0,0,D30/E30)</f>
        <v/>
      </c>
      <c r="G30" s="43">
        <f>MAX('14_지역·상수'!$H$7,MIN('14_지역·상수'!$H$8,F30))</f>
        <v/>
      </c>
      <c r="H30" s="43">
        <f>MAX(0.05,MIN(1,IF(INDEX('15_태양기하'!$D$4:$D$15,MATCH(A30,'15_태양기하'!$A$4:$A$15,0))&lt;=81.4,1.391-3.56*G30+4.189*G30^2-2.137*G30^3,1.311-3.022*G30+3.427*G30^2-1.821*G30^3)))</f>
        <v/>
      </c>
      <c r="I30" s="42">
        <f>D30*H30</f>
        <v/>
      </c>
      <c r="J30" s="42">
        <f>D30-I30</f>
        <v/>
      </c>
      <c r="K30" s="43">
        <f>INDEX('15_태양기하'!$G$4:$G$15,MATCH(A30,'15_태양기하'!$A$4:$A$15,0))</f>
        <v/>
      </c>
      <c r="L30" s="43">
        <f>J30*K30</f>
        <v/>
      </c>
      <c r="M30" s="43">
        <f>I30*(1+COS(RADIANS($B$7)))/2</f>
        <v/>
      </c>
      <c r="N30" s="43">
        <f>D30*$B$9*(1-COS(RADIANS($B$7)))/2</f>
        <v/>
      </c>
      <c r="O30" s="42">
        <f>L30+M30+N30</f>
        <v/>
      </c>
      <c r="P30" s="41">
        <f>O30*B30</f>
        <v/>
      </c>
      <c r="Q30" s="43">
        <f>IF(C30=0,0,P30/C30)</f>
        <v/>
      </c>
      <c r="R30" s="41">
        <f>P30*$B$11*$B$12*(1-$B$13)*$B$14</f>
        <v/>
      </c>
      <c r="S30" s="41">
        <f>R30*$B$10/1000</f>
        <v/>
      </c>
      <c r="T30" s="17">
        <f>IF(OR(F30&lt;'14_지역·상수'!$H$7,F30&gt;'14_지역·상수'!$H$8),"Kt 범위 검토",IF(OR(K30&lt;0,K30&gt;5),"Rb 검토","정상"))</f>
        <v/>
      </c>
    </row>
    <row r="31" ht="17" customHeight="1">
      <c r="A31" s="44" t="n">
        <v>10</v>
      </c>
      <c r="B31" s="45">
        <f>IF($B$6="10년평균",AVERAGEIFS(RawDataKWh[일수],RawDataKWh[월],$A31,RawDataKWh[지역명],$B$5),SUMIFS(RawDataKWh[일수],RawDataKWh[월],$A31,RawDataKWh[연도],VALUE($B$6),RawDataKWh[지역명],$B$5))</f>
        <v/>
      </c>
      <c r="C31" s="45">
        <f>IF($B$6="10년평균",AVERAGEIFS(RawDataKWh[일사합_kWh_m2],RawDataKWh[월],$A31,RawDataKWh[지역명],$B$5),SUMIFS(RawDataKWh[일사합_kWh_m2],RawDataKWh[월],$A31,RawDataKWh[연도],VALUE($B$6),RawDataKWh[지역명],$B$5))</f>
        <v/>
      </c>
      <c r="D31" s="46">
        <f>IF(B31=0,0,C31/B31)</f>
        <v/>
      </c>
      <c r="E31" s="46">
        <f>INDEX('15_태양기하'!$H$4:$H$15,MATCH(A31,'15_태양기하'!$A$4:$A$15,0))</f>
        <v/>
      </c>
      <c r="F31" s="47">
        <f>IF(E31=0,0,D31/E31)</f>
        <v/>
      </c>
      <c r="G31" s="47">
        <f>MAX('14_지역·상수'!$H$7,MIN('14_지역·상수'!$H$8,F31))</f>
        <v/>
      </c>
      <c r="H31" s="47">
        <f>MAX(0.05,MIN(1,IF(INDEX('15_태양기하'!$D$4:$D$15,MATCH(A31,'15_태양기하'!$A$4:$A$15,0))&lt;=81.4,1.391-3.56*G31+4.189*G31^2-2.137*G31^3,1.311-3.022*G31+3.427*G31^2-1.821*G31^3)))</f>
        <v/>
      </c>
      <c r="I31" s="46">
        <f>D31*H31</f>
        <v/>
      </c>
      <c r="J31" s="46">
        <f>D31-I31</f>
        <v/>
      </c>
      <c r="K31" s="47">
        <f>INDEX('15_태양기하'!$G$4:$G$15,MATCH(A31,'15_태양기하'!$A$4:$A$15,0))</f>
        <v/>
      </c>
      <c r="L31" s="47">
        <f>J31*K31</f>
        <v/>
      </c>
      <c r="M31" s="47">
        <f>I31*(1+COS(RADIANS($B$7)))/2</f>
        <v/>
      </c>
      <c r="N31" s="47">
        <f>D31*$B$9*(1-COS(RADIANS($B$7)))/2</f>
        <v/>
      </c>
      <c r="O31" s="46">
        <f>L31+M31+N31</f>
        <v/>
      </c>
      <c r="P31" s="45">
        <f>O31*B31</f>
        <v/>
      </c>
      <c r="Q31" s="47">
        <f>IF(C31=0,0,P31/C31)</f>
        <v/>
      </c>
      <c r="R31" s="45">
        <f>P31*$B$11*$B$12*(1-$B$13)*$B$14</f>
        <v/>
      </c>
      <c r="S31" s="45">
        <f>R31*$B$10/1000</f>
        <v/>
      </c>
      <c r="T31" s="19">
        <f>IF(OR(F31&lt;'14_지역·상수'!$H$7,F31&gt;'14_지역·상수'!$H$8),"Kt 범위 검토",IF(OR(K31&lt;0,K31&gt;5),"Rb 검토","정상"))</f>
        <v/>
      </c>
    </row>
    <row r="32" ht="17" customHeight="1">
      <c r="A32" s="40" t="n">
        <v>11</v>
      </c>
      <c r="B32" s="41">
        <f>IF($B$6="10년평균",AVERAGEIFS(RawDataKWh[일수],RawDataKWh[월],$A32,RawDataKWh[지역명],$B$5),SUMIFS(RawDataKWh[일수],RawDataKWh[월],$A32,RawDataKWh[연도],VALUE($B$6),RawDataKWh[지역명],$B$5))</f>
        <v/>
      </c>
      <c r="C32" s="41">
        <f>IF($B$6="10년평균",AVERAGEIFS(RawDataKWh[일사합_kWh_m2],RawDataKWh[월],$A32,RawDataKWh[지역명],$B$5),SUMIFS(RawDataKWh[일사합_kWh_m2],RawDataKWh[월],$A32,RawDataKWh[연도],VALUE($B$6),RawDataKWh[지역명],$B$5))</f>
        <v/>
      </c>
      <c r="D32" s="42">
        <f>IF(B32=0,0,C32/B32)</f>
        <v/>
      </c>
      <c r="E32" s="42">
        <f>INDEX('15_태양기하'!$H$4:$H$15,MATCH(A32,'15_태양기하'!$A$4:$A$15,0))</f>
        <v/>
      </c>
      <c r="F32" s="43">
        <f>IF(E32=0,0,D32/E32)</f>
        <v/>
      </c>
      <c r="G32" s="43">
        <f>MAX('14_지역·상수'!$H$7,MIN('14_지역·상수'!$H$8,F32))</f>
        <v/>
      </c>
      <c r="H32" s="43">
        <f>MAX(0.05,MIN(1,IF(INDEX('15_태양기하'!$D$4:$D$15,MATCH(A32,'15_태양기하'!$A$4:$A$15,0))&lt;=81.4,1.391-3.56*G32+4.189*G32^2-2.137*G32^3,1.311-3.022*G32+3.427*G32^2-1.821*G32^3)))</f>
        <v/>
      </c>
      <c r="I32" s="42">
        <f>D32*H32</f>
        <v/>
      </c>
      <c r="J32" s="42">
        <f>D32-I32</f>
        <v/>
      </c>
      <c r="K32" s="43">
        <f>INDEX('15_태양기하'!$G$4:$G$15,MATCH(A32,'15_태양기하'!$A$4:$A$15,0))</f>
        <v/>
      </c>
      <c r="L32" s="43">
        <f>J32*K32</f>
        <v/>
      </c>
      <c r="M32" s="43">
        <f>I32*(1+COS(RADIANS($B$7)))/2</f>
        <v/>
      </c>
      <c r="N32" s="43">
        <f>D32*$B$9*(1-COS(RADIANS($B$7)))/2</f>
        <v/>
      </c>
      <c r="O32" s="42">
        <f>L32+M32+N32</f>
        <v/>
      </c>
      <c r="P32" s="41">
        <f>O32*B32</f>
        <v/>
      </c>
      <c r="Q32" s="43">
        <f>IF(C32=0,0,P32/C32)</f>
        <v/>
      </c>
      <c r="R32" s="41">
        <f>P32*$B$11*$B$12*(1-$B$13)*$B$14</f>
        <v/>
      </c>
      <c r="S32" s="41">
        <f>R32*$B$10/1000</f>
        <v/>
      </c>
      <c r="T32" s="17">
        <f>IF(OR(F32&lt;'14_지역·상수'!$H$7,F32&gt;'14_지역·상수'!$H$8),"Kt 범위 검토",IF(OR(K32&lt;0,K32&gt;5),"Rb 검토","정상"))</f>
        <v/>
      </c>
    </row>
    <row r="33" ht="17" customHeight="1">
      <c r="A33" s="44" t="n">
        <v>12</v>
      </c>
      <c r="B33" s="45">
        <f>IF($B$6="10년평균",AVERAGEIFS(RawDataKWh[일수],RawDataKWh[월],$A33,RawDataKWh[지역명],$B$5),SUMIFS(RawDataKWh[일수],RawDataKWh[월],$A33,RawDataKWh[연도],VALUE($B$6),RawDataKWh[지역명],$B$5))</f>
        <v/>
      </c>
      <c r="C33" s="45">
        <f>IF($B$6="10년평균",AVERAGEIFS(RawDataKWh[일사합_kWh_m2],RawDataKWh[월],$A33,RawDataKWh[지역명],$B$5),SUMIFS(RawDataKWh[일사합_kWh_m2],RawDataKWh[월],$A33,RawDataKWh[연도],VALUE($B$6),RawDataKWh[지역명],$B$5))</f>
        <v/>
      </c>
      <c r="D33" s="46">
        <f>IF(B33=0,0,C33/B33)</f>
        <v/>
      </c>
      <c r="E33" s="46">
        <f>INDEX('15_태양기하'!$H$4:$H$15,MATCH(A33,'15_태양기하'!$A$4:$A$15,0))</f>
        <v/>
      </c>
      <c r="F33" s="47">
        <f>IF(E33=0,0,D33/E33)</f>
        <v/>
      </c>
      <c r="G33" s="47">
        <f>MAX('14_지역·상수'!$H$7,MIN('14_지역·상수'!$H$8,F33))</f>
        <v/>
      </c>
      <c r="H33" s="47">
        <f>MAX(0.05,MIN(1,IF(INDEX('15_태양기하'!$D$4:$D$15,MATCH(A33,'15_태양기하'!$A$4:$A$15,0))&lt;=81.4,1.391-3.56*G33+4.189*G33^2-2.137*G33^3,1.311-3.022*G33+3.427*G33^2-1.821*G33^3)))</f>
        <v/>
      </c>
      <c r="I33" s="46">
        <f>D33*H33</f>
        <v/>
      </c>
      <c r="J33" s="46">
        <f>D33-I33</f>
        <v/>
      </c>
      <c r="K33" s="47">
        <f>INDEX('15_태양기하'!$G$4:$G$15,MATCH(A33,'15_태양기하'!$A$4:$A$15,0))</f>
        <v/>
      </c>
      <c r="L33" s="47">
        <f>J33*K33</f>
        <v/>
      </c>
      <c r="M33" s="47">
        <f>I33*(1+COS(RADIANS($B$7)))/2</f>
        <v/>
      </c>
      <c r="N33" s="47">
        <f>D33*$B$9*(1-COS(RADIANS($B$7)))/2</f>
        <v/>
      </c>
      <c r="O33" s="46">
        <f>L33+M33+N33</f>
        <v/>
      </c>
      <c r="P33" s="45">
        <f>O33*B33</f>
        <v/>
      </c>
      <c r="Q33" s="47">
        <f>IF(C33=0,0,P33/C33)</f>
        <v/>
      </c>
      <c r="R33" s="45">
        <f>P33*$B$11*$B$12*(1-$B$13)*$B$14</f>
        <v/>
      </c>
      <c r="S33" s="45">
        <f>R33*$B$10/1000</f>
        <v/>
      </c>
      <c r="T33" s="19">
        <f>IF(OR(F33&lt;'14_지역·상수'!$H$7,F33&gt;'14_지역·상수'!$H$8),"Kt 범위 검토",IF(OR(K33&lt;0,K33&gt;5),"Rb 검토","정상"))</f>
        <v/>
      </c>
    </row>
    <row r="34" ht="20" customHeight="1">
      <c r="A34" s="48" t="inlineStr">
        <is>
          <t>연간/평균</t>
        </is>
      </c>
      <c r="B34" s="49">
        <f>SUM(B22:B33)</f>
        <v/>
      </c>
      <c r="C34" s="49">
        <f>SUM(C22:C33)</f>
        <v/>
      </c>
      <c r="D34" s="50">
        <f>C34/B34</f>
        <v/>
      </c>
      <c r="E34" s="50">
        <f>AVERAGE(E22:E33)</f>
        <v/>
      </c>
      <c r="F34" s="51">
        <f>AVERAGE(F22:F33)</f>
        <v/>
      </c>
      <c r="G34" s="51">
        <f>AVERAGE(G22:G33)</f>
        <v/>
      </c>
      <c r="H34" s="51">
        <f>SUMPRODUCT(C22:C33,H22:H33)/SUM(C22:C33)</f>
        <v/>
      </c>
      <c r="I34" s="50">
        <f>SUMPRODUCT(B22:B33,I22:I33)/SUM(B22:B33)</f>
        <v/>
      </c>
      <c r="J34" s="50">
        <f>SUMPRODUCT(B22:B33,J22:J33)/SUM(B22:B33)</f>
        <v/>
      </c>
      <c r="K34" s="51">
        <f>SUMPRODUCT(C22:C33,K22:K33)/SUM(C22:C33)</f>
        <v/>
      </c>
      <c r="L34" s="51">
        <f>SUMPRODUCT(B22:B33,L22:L33)/SUM(B22:B33)</f>
        <v/>
      </c>
      <c r="M34" s="51">
        <f>SUMPRODUCT(B22:B33,M22:M33)/SUM(B22:B33)</f>
        <v/>
      </c>
      <c r="N34" s="51">
        <f>SUMPRODUCT(B22:B33,N22:N33)/SUM(B22:B33)</f>
        <v/>
      </c>
      <c r="O34" s="50">
        <f>SUM(P22:P33)/SUM(B22:B33)</f>
        <v/>
      </c>
      <c r="P34" s="49">
        <f>SUM(P22:P33)</f>
        <v/>
      </c>
      <c r="Q34" s="51">
        <f>P34/C34</f>
        <v/>
      </c>
      <c r="R34" s="49">
        <f>SUM(R22:R33)</f>
        <v/>
      </c>
      <c r="S34" s="49">
        <f>SUM(S22:S33)</f>
        <v/>
      </c>
      <c r="T34" s="52">
        <f>IF(COUNTIF(T22:T33,"&lt;&gt;정상")=0,"정상","검토 필요")</f>
        <v/>
      </c>
    </row>
  </sheetData>
  <mergeCells count="29">
    <mergeCell ref="I7:N7"/>
    <mergeCell ref="C6:D6"/>
    <mergeCell ref="C15:D15"/>
    <mergeCell ref="A4:D4"/>
    <mergeCell ref="C5:D5"/>
    <mergeCell ref="C14:D14"/>
    <mergeCell ref="I12:N12"/>
    <mergeCell ref="A1:T1"/>
    <mergeCell ref="C10:D10"/>
    <mergeCell ref="C16:D16"/>
    <mergeCell ref="I5:N5"/>
    <mergeCell ref="I14:N14"/>
    <mergeCell ref="I8:N8"/>
    <mergeCell ref="C9:D9"/>
    <mergeCell ref="I4:N4"/>
    <mergeCell ref="C12:D12"/>
    <mergeCell ref="I10:N10"/>
    <mergeCell ref="C11:D11"/>
    <mergeCell ref="I13:N13"/>
    <mergeCell ref="I9:N9"/>
    <mergeCell ref="A2:T2"/>
    <mergeCell ref="C17:D17"/>
    <mergeCell ref="I6:N6"/>
    <mergeCell ref="C8:D8"/>
    <mergeCell ref="C7:D7"/>
    <mergeCell ref="I11:N11"/>
    <mergeCell ref="A20:T20"/>
    <mergeCell ref="E4:G4"/>
    <mergeCell ref="C13:D13"/>
  </mergeCells>
  <conditionalFormatting sqref="T22:T34">
    <cfRule type="cellIs" priority="1" operator="notEqual" dxfId="0">
      <formula>"정상"</formula>
    </cfRule>
  </conditionalFormatting>
  <dataValidations count="5">
    <dataValidation sqref="B5" showDropDown="0" showInputMessage="0" showErrorMessage="0" allowBlank="0" type="list">
      <formula1>='14_지역·상수'!$A$5:$A$14</formula1>
    </dataValidation>
    <dataValidation sqref="B6" showDropDown="0" showInputMessage="0" showErrorMessage="0" allowBlank="0" type="list">
      <formula1>='14_지역·상수'!$M$5:$M$15</formula1>
    </dataValidation>
    <dataValidation sqref="B7" showDropDown="0" showInputMessage="0" showErrorMessage="0" allowBlank="0" errorTitle="입력 범위 오류" error="경사각은 0~90° 범위로 입력하세요." type="decimal" operator="between">
      <formula1>0</formula1>
      <formula2>90</formula2>
    </dataValidation>
    <dataValidation sqref="B8" showDropDown="0" showInputMessage="0" showErrorMessage="0" allowBlank="0" errorTitle="입력 범위 오류" error="방위각은 0~360° 범위로 입력하세요." type="decimal" operator="between">
      <formula1>0</formula1>
      <formula2>360</formula2>
    </dataValidation>
    <dataValidation sqref="B9 B11 B12 B13 B14" showDropDown="0" showInputMessage="0" showErrorMessage="0" allowBlank="0" errorTitle="입력 범위 오류" error="0~1.05 범위의 계수로 입력하세요." type="decimal" operator="between">
      <formula1>0</formula1>
      <formula2>1.05</formula2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P44"/>
  <sheetViews>
    <sheetView zoomScale="10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1" t="inlineStr">
        <is>
          <t>월별 경사면 일사량 계산 FACTOR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'11_발전량_모델' 시트에서 사용되는 주요 계수와 월별 값을 한 화면에서 확인합니다. 모든 값은 참조식이며 직접 입력하지 않습니다.</t>
        </is>
      </c>
    </row>
    <row r="4" ht="20" customHeight="1">
      <c r="A4" s="4" t="inlineStr">
        <is>
          <t>■ 현재 적용 입력 FACTOR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17" customHeight="1">
      <c r="A5" s="6" t="inlineStr">
        <is>
          <t>지역</t>
        </is>
      </c>
      <c r="B5" s="53">
        <f>'11_발전량_모델'!B5</f>
        <v/>
      </c>
      <c r="C5" s="31" t="inlineStr">
        <is>
          <t>-</t>
        </is>
      </c>
      <c r="D5" s="9" t="inlineStr">
        <is>
          <t>선택 수평면 일사량 권역</t>
        </is>
      </c>
      <c r="E5" s="8" t="n"/>
      <c r="F5" s="8" t="n"/>
    </row>
    <row r="6" ht="17" customHeight="1">
      <c r="A6" s="6" t="inlineStr">
        <is>
          <t>분석 기준</t>
        </is>
      </c>
      <c r="B6" s="53">
        <f>'11_발전량_모델'!B6</f>
        <v/>
      </c>
      <c r="C6" s="31" t="inlineStr">
        <is>
          <t>-</t>
        </is>
      </c>
      <c r="D6" s="9" t="inlineStr">
        <is>
          <t>10년평균 또는 개별연도</t>
        </is>
      </c>
      <c r="E6" s="8" t="n"/>
      <c r="F6" s="8" t="n"/>
    </row>
    <row r="7" ht="17" customHeight="1">
      <c r="A7" s="6" t="inlineStr">
        <is>
          <t>위도 φ</t>
        </is>
      </c>
      <c r="B7" s="54">
        <f>'11_발전량_모델'!B17</f>
        <v/>
      </c>
      <c r="C7" s="31" t="inlineStr">
        <is>
          <t>°N</t>
        </is>
      </c>
      <c r="D7" s="9" t="inlineStr">
        <is>
          <t>태양위치 및 H0 계산</t>
        </is>
      </c>
      <c r="E7" s="8" t="n"/>
      <c r="F7" s="8" t="n"/>
    </row>
    <row r="8" ht="17" customHeight="1">
      <c r="A8" s="6" t="inlineStr">
        <is>
          <t>경사각 β</t>
        </is>
      </c>
      <c r="B8" s="54">
        <f>'11_발전량_모델'!B7</f>
        <v/>
      </c>
      <c r="C8" s="31" t="inlineStr">
        <is>
          <t>°</t>
        </is>
      </c>
      <c r="D8" s="9" t="inlineStr">
        <is>
          <t>모듈면 경사</t>
        </is>
      </c>
      <c r="E8" s="8" t="n"/>
      <c r="F8" s="8" t="n"/>
    </row>
    <row r="9" ht="17" customHeight="1">
      <c r="A9" s="6" t="inlineStr">
        <is>
          <t>방위각 A</t>
        </is>
      </c>
      <c r="B9" s="54">
        <f>'11_발전량_모델'!B8</f>
        <v/>
      </c>
      <c r="C9" s="31" t="inlineStr">
        <is>
          <t>°</t>
        </is>
      </c>
      <c r="D9" s="9" t="inlineStr">
        <is>
          <t>북0 / 동90 / 남180 / 서270</t>
        </is>
      </c>
      <c r="E9" s="8" t="n"/>
      <c r="F9" s="8" t="n"/>
    </row>
    <row r="10" ht="17" customHeight="1">
      <c r="A10" s="6" t="inlineStr">
        <is>
          <t>지면반사율 ρg</t>
        </is>
      </c>
      <c r="B10" s="53">
        <f>'11_발전량_모델'!B9</f>
        <v/>
      </c>
      <c r="C10" s="31" t="inlineStr">
        <is>
          <t>-</t>
        </is>
      </c>
      <c r="D10" s="9" t="inlineStr">
        <is>
          <t>지면반사 성분</t>
        </is>
      </c>
      <c r="E10" s="8" t="n"/>
      <c r="F10" s="8" t="n"/>
    </row>
    <row r="11" ht="17" customHeight="1">
      <c r="A11" s="6" t="inlineStr">
        <is>
          <t>기준 PR</t>
        </is>
      </c>
      <c r="B11" s="53">
        <f>'11_발전량_모델'!B11</f>
        <v/>
      </c>
      <c r="C11" s="31" t="inlineStr">
        <is>
          <t>-</t>
        </is>
      </c>
      <c r="D11" s="9" t="inlineStr">
        <is>
          <t>종합 시스템 성능계수</t>
        </is>
      </c>
      <c r="E11" s="8" t="n"/>
      <c r="F11" s="8" t="n"/>
    </row>
    <row r="12" ht="17" customHeight="1">
      <c r="A12" s="6" t="inlineStr">
        <is>
          <t>가동률</t>
        </is>
      </c>
      <c r="B12" s="53">
        <f>'11_발전량_모델'!B12</f>
        <v/>
      </c>
      <c r="C12" s="31" t="inlineStr">
        <is>
          <t>-</t>
        </is>
      </c>
      <c r="D12" s="9" t="inlineStr">
        <is>
          <t>가동 가능률</t>
        </is>
      </c>
      <c r="E12" s="8" t="n"/>
      <c r="F12" s="8" t="n"/>
    </row>
    <row r="13" ht="17" customHeight="1">
      <c r="A13" s="6" t="inlineStr">
        <is>
          <t>출력제한률</t>
        </is>
      </c>
      <c r="B13" s="53">
        <f>'11_발전량_모델'!B13</f>
        <v/>
      </c>
      <c r="C13" s="31" t="inlineStr">
        <is>
          <t>-</t>
        </is>
      </c>
      <c r="D13" s="9" t="inlineStr">
        <is>
          <t>계통/출력 제한</t>
        </is>
      </c>
      <c r="E13" s="8" t="n"/>
      <c r="F13" s="8" t="n"/>
    </row>
    <row r="14" ht="17" customHeight="1">
      <c r="A14" s="6" t="inlineStr">
        <is>
          <t>기타 보정</t>
        </is>
      </c>
      <c r="B14" s="53">
        <f>'11_발전량_모델'!B14</f>
        <v/>
      </c>
      <c r="C14" s="31" t="inlineStr">
        <is>
          <t>-</t>
        </is>
      </c>
      <c r="D14" s="9" t="inlineStr">
        <is>
          <t>추가 보정계수</t>
        </is>
      </c>
      <c r="E14" s="8" t="n"/>
      <c r="F14" s="8" t="n"/>
    </row>
    <row r="17" ht="20" customHeight="1">
      <c r="A17" s="4" t="inlineStr">
        <is>
          <t>■ 월별 계산계수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 ht="34" customHeight="1">
      <c r="A18" s="14" t="inlineStr">
        <is>
          <t>월</t>
        </is>
      </c>
      <c r="B18" s="14" t="inlineStr">
        <is>
          <t>대표일
(DOY)</t>
        </is>
      </c>
      <c r="C18" s="14" t="inlineStr">
        <is>
          <t>H 수평면
일평균</t>
        </is>
      </c>
      <c r="D18" s="14" t="inlineStr">
        <is>
          <t>H0 대기권외</t>
        </is>
      </c>
      <c r="E18" s="14" t="inlineStr">
        <is>
          <t>Kt</t>
        </is>
      </c>
      <c r="F18" s="14" t="inlineStr">
        <is>
          <t>Kt 적용값</t>
        </is>
      </c>
      <c r="G18" s="14" t="inlineStr">
        <is>
          <t>산란비</t>
        </is>
      </c>
      <c r="H18" s="14" t="inlineStr">
        <is>
          <t>직달비</t>
        </is>
      </c>
      <c r="I18" s="14" t="inlineStr">
        <is>
          <t>Rb</t>
        </is>
      </c>
      <c r="J18" s="14" t="inlineStr">
        <is>
          <t>천공 View
Factor</t>
        </is>
      </c>
      <c r="K18" s="14" t="inlineStr">
        <is>
          <t>지면 View
Factor</t>
        </is>
      </c>
      <c r="L18" s="14" t="inlineStr">
        <is>
          <t>POA
FACTOR</t>
        </is>
      </c>
      <c r="M18" s="14" t="inlineStr">
        <is>
          <t>수평면
월일사량</t>
        </is>
      </c>
      <c r="N18" s="14" t="inlineStr">
        <is>
          <t>경사면
월일사량</t>
        </is>
      </c>
      <c r="O18" s="14" t="inlineStr">
        <is>
          <t>특성발전량</t>
        </is>
      </c>
      <c r="P18" s="14" t="inlineStr">
        <is>
          <t>검토</t>
        </is>
      </c>
    </row>
    <row r="19" ht="17" customHeight="1">
      <c r="A19" s="40" t="n">
        <v>1</v>
      </c>
      <c r="B19" s="40">
        <f>INDEX('15_태양기하'!$B$4:$B$15,MATCH(A19,'15_태양기하'!$A$4:$A$15,0))</f>
        <v/>
      </c>
      <c r="C19" s="55">
        <f>'11_발전량_모델'!D22</f>
        <v/>
      </c>
      <c r="D19" s="55">
        <f>'11_발전량_모델'!E22</f>
        <v/>
      </c>
      <c r="E19" s="53">
        <f>'11_발전량_모델'!F22</f>
        <v/>
      </c>
      <c r="F19" s="53">
        <f>'11_발전량_모델'!G22</f>
        <v/>
      </c>
      <c r="G19" s="53">
        <f>'11_발전량_모델'!H22</f>
        <v/>
      </c>
      <c r="H19" s="43">
        <f>1-G19</f>
        <v/>
      </c>
      <c r="I19" s="53">
        <f>'11_발전량_모델'!K22</f>
        <v/>
      </c>
      <c r="J19" s="43">
        <f>(1+COS(RADIANS('11_발전량_모델'!$B$7)))/2</f>
        <v/>
      </c>
      <c r="K19" s="43">
        <f>(1-COS(RADIANS('11_발전량_모델'!$B$7)))/2</f>
        <v/>
      </c>
      <c r="L19" s="53">
        <f>'11_발전량_모델'!Q22</f>
        <v/>
      </c>
      <c r="M19" s="56">
        <f>'11_발전량_모델'!C22</f>
        <v/>
      </c>
      <c r="N19" s="56">
        <f>'11_발전량_모델'!P22</f>
        <v/>
      </c>
      <c r="O19" s="56">
        <f>'11_발전량_모델'!R22</f>
        <v/>
      </c>
      <c r="P19" s="57">
        <f>'11_발전량_모델'!T22</f>
        <v/>
      </c>
    </row>
    <row r="20" ht="17" customHeight="1">
      <c r="A20" s="44" t="n">
        <v>2</v>
      </c>
      <c r="B20" s="44">
        <f>INDEX('15_태양기하'!$B$4:$B$15,MATCH(A20,'15_태양기하'!$A$4:$A$15,0))</f>
        <v/>
      </c>
      <c r="C20" s="58">
        <f>'11_발전량_모델'!D23</f>
        <v/>
      </c>
      <c r="D20" s="58">
        <f>'11_발전량_모델'!E23</f>
        <v/>
      </c>
      <c r="E20" s="59">
        <f>'11_발전량_모델'!F23</f>
        <v/>
      </c>
      <c r="F20" s="59">
        <f>'11_발전량_모델'!G23</f>
        <v/>
      </c>
      <c r="G20" s="59">
        <f>'11_발전량_모델'!H23</f>
        <v/>
      </c>
      <c r="H20" s="47">
        <f>1-G20</f>
        <v/>
      </c>
      <c r="I20" s="59">
        <f>'11_발전량_모델'!K23</f>
        <v/>
      </c>
      <c r="J20" s="47">
        <f>(1+COS(RADIANS('11_발전량_모델'!$B$7)))/2</f>
        <v/>
      </c>
      <c r="K20" s="47">
        <f>(1-COS(RADIANS('11_발전량_모델'!$B$7)))/2</f>
        <v/>
      </c>
      <c r="L20" s="59">
        <f>'11_발전량_모델'!Q23</f>
        <v/>
      </c>
      <c r="M20" s="60">
        <f>'11_발전량_모델'!C23</f>
        <v/>
      </c>
      <c r="N20" s="60">
        <f>'11_발전량_모델'!P23</f>
        <v/>
      </c>
      <c r="O20" s="60">
        <f>'11_발전량_모델'!R23</f>
        <v/>
      </c>
      <c r="P20" s="61">
        <f>'11_발전량_모델'!T23</f>
        <v/>
      </c>
    </row>
    <row r="21" ht="17" customHeight="1">
      <c r="A21" s="40" t="n">
        <v>3</v>
      </c>
      <c r="B21" s="40">
        <f>INDEX('15_태양기하'!$B$4:$B$15,MATCH(A21,'15_태양기하'!$A$4:$A$15,0))</f>
        <v/>
      </c>
      <c r="C21" s="55">
        <f>'11_발전량_모델'!D24</f>
        <v/>
      </c>
      <c r="D21" s="55">
        <f>'11_발전량_모델'!E24</f>
        <v/>
      </c>
      <c r="E21" s="53">
        <f>'11_발전량_모델'!F24</f>
        <v/>
      </c>
      <c r="F21" s="53">
        <f>'11_발전량_모델'!G24</f>
        <v/>
      </c>
      <c r="G21" s="53">
        <f>'11_발전량_모델'!H24</f>
        <v/>
      </c>
      <c r="H21" s="43">
        <f>1-G21</f>
        <v/>
      </c>
      <c r="I21" s="53">
        <f>'11_발전량_모델'!K24</f>
        <v/>
      </c>
      <c r="J21" s="43">
        <f>(1+COS(RADIANS('11_발전량_모델'!$B$7)))/2</f>
        <v/>
      </c>
      <c r="K21" s="43">
        <f>(1-COS(RADIANS('11_발전량_모델'!$B$7)))/2</f>
        <v/>
      </c>
      <c r="L21" s="53">
        <f>'11_발전량_모델'!Q24</f>
        <v/>
      </c>
      <c r="M21" s="56">
        <f>'11_발전량_모델'!C24</f>
        <v/>
      </c>
      <c r="N21" s="56">
        <f>'11_발전량_모델'!P24</f>
        <v/>
      </c>
      <c r="O21" s="56">
        <f>'11_발전량_모델'!R24</f>
        <v/>
      </c>
      <c r="P21" s="57">
        <f>'11_발전량_모델'!T24</f>
        <v/>
      </c>
    </row>
    <row r="22" ht="17" customHeight="1">
      <c r="A22" s="44" t="n">
        <v>4</v>
      </c>
      <c r="B22" s="44">
        <f>INDEX('15_태양기하'!$B$4:$B$15,MATCH(A22,'15_태양기하'!$A$4:$A$15,0))</f>
        <v/>
      </c>
      <c r="C22" s="58">
        <f>'11_발전량_모델'!D25</f>
        <v/>
      </c>
      <c r="D22" s="58">
        <f>'11_발전량_모델'!E25</f>
        <v/>
      </c>
      <c r="E22" s="59">
        <f>'11_발전량_모델'!F25</f>
        <v/>
      </c>
      <c r="F22" s="59">
        <f>'11_발전량_모델'!G25</f>
        <v/>
      </c>
      <c r="G22" s="59">
        <f>'11_발전량_모델'!H25</f>
        <v/>
      </c>
      <c r="H22" s="47">
        <f>1-G22</f>
        <v/>
      </c>
      <c r="I22" s="59">
        <f>'11_발전량_모델'!K25</f>
        <v/>
      </c>
      <c r="J22" s="47">
        <f>(1+COS(RADIANS('11_발전량_모델'!$B$7)))/2</f>
        <v/>
      </c>
      <c r="K22" s="47">
        <f>(1-COS(RADIANS('11_발전량_모델'!$B$7)))/2</f>
        <v/>
      </c>
      <c r="L22" s="59">
        <f>'11_발전량_모델'!Q25</f>
        <v/>
      </c>
      <c r="M22" s="60">
        <f>'11_발전량_모델'!C25</f>
        <v/>
      </c>
      <c r="N22" s="60">
        <f>'11_발전량_모델'!P25</f>
        <v/>
      </c>
      <c r="O22" s="60">
        <f>'11_발전량_모델'!R25</f>
        <v/>
      </c>
      <c r="P22" s="61">
        <f>'11_발전량_모델'!T25</f>
        <v/>
      </c>
    </row>
    <row r="23" ht="17" customHeight="1">
      <c r="A23" s="40" t="n">
        <v>5</v>
      </c>
      <c r="B23" s="40">
        <f>INDEX('15_태양기하'!$B$4:$B$15,MATCH(A23,'15_태양기하'!$A$4:$A$15,0))</f>
        <v/>
      </c>
      <c r="C23" s="55">
        <f>'11_발전량_모델'!D26</f>
        <v/>
      </c>
      <c r="D23" s="55">
        <f>'11_발전량_모델'!E26</f>
        <v/>
      </c>
      <c r="E23" s="53">
        <f>'11_발전량_모델'!F26</f>
        <v/>
      </c>
      <c r="F23" s="53">
        <f>'11_발전량_모델'!G26</f>
        <v/>
      </c>
      <c r="G23" s="53">
        <f>'11_발전량_모델'!H26</f>
        <v/>
      </c>
      <c r="H23" s="43">
        <f>1-G23</f>
        <v/>
      </c>
      <c r="I23" s="53">
        <f>'11_발전량_모델'!K26</f>
        <v/>
      </c>
      <c r="J23" s="43">
        <f>(1+COS(RADIANS('11_발전량_모델'!$B$7)))/2</f>
        <v/>
      </c>
      <c r="K23" s="43">
        <f>(1-COS(RADIANS('11_발전량_모델'!$B$7)))/2</f>
        <v/>
      </c>
      <c r="L23" s="53">
        <f>'11_발전량_모델'!Q26</f>
        <v/>
      </c>
      <c r="M23" s="56">
        <f>'11_발전량_모델'!C26</f>
        <v/>
      </c>
      <c r="N23" s="56">
        <f>'11_발전량_모델'!P26</f>
        <v/>
      </c>
      <c r="O23" s="56">
        <f>'11_발전량_모델'!R26</f>
        <v/>
      </c>
      <c r="P23" s="57">
        <f>'11_발전량_모델'!T26</f>
        <v/>
      </c>
    </row>
    <row r="24" ht="17" customHeight="1">
      <c r="A24" s="44" t="n">
        <v>6</v>
      </c>
      <c r="B24" s="44">
        <f>INDEX('15_태양기하'!$B$4:$B$15,MATCH(A24,'15_태양기하'!$A$4:$A$15,0))</f>
        <v/>
      </c>
      <c r="C24" s="58">
        <f>'11_발전량_모델'!D27</f>
        <v/>
      </c>
      <c r="D24" s="58">
        <f>'11_발전량_모델'!E27</f>
        <v/>
      </c>
      <c r="E24" s="59">
        <f>'11_발전량_모델'!F27</f>
        <v/>
      </c>
      <c r="F24" s="59">
        <f>'11_발전량_모델'!G27</f>
        <v/>
      </c>
      <c r="G24" s="59">
        <f>'11_발전량_모델'!H27</f>
        <v/>
      </c>
      <c r="H24" s="47">
        <f>1-G24</f>
        <v/>
      </c>
      <c r="I24" s="59">
        <f>'11_발전량_모델'!K27</f>
        <v/>
      </c>
      <c r="J24" s="47">
        <f>(1+COS(RADIANS('11_발전량_모델'!$B$7)))/2</f>
        <v/>
      </c>
      <c r="K24" s="47">
        <f>(1-COS(RADIANS('11_발전량_모델'!$B$7)))/2</f>
        <v/>
      </c>
      <c r="L24" s="59">
        <f>'11_발전량_모델'!Q27</f>
        <v/>
      </c>
      <c r="M24" s="60">
        <f>'11_발전량_모델'!C27</f>
        <v/>
      </c>
      <c r="N24" s="60">
        <f>'11_발전량_모델'!P27</f>
        <v/>
      </c>
      <c r="O24" s="60">
        <f>'11_발전량_모델'!R27</f>
        <v/>
      </c>
      <c r="P24" s="61">
        <f>'11_발전량_모델'!T27</f>
        <v/>
      </c>
    </row>
    <row r="25" ht="17" customHeight="1">
      <c r="A25" s="40" t="n">
        <v>7</v>
      </c>
      <c r="B25" s="40">
        <f>INDEX('15_태양기하'!$B$4:$B$15,MATCH(A25,'15_태양기하'!$A$4:$A$15,0))</f>
        <v/>
      </c>
      <c r="C25" s="55">
        <f>'11_발전량_모델'!D28</f>
        <v/>
      </c>
      <c r="D25" s="55">
        <f>'11_발전량_모델'!E28</f>
        <v/>
      </c>
      <c r="E25" s="53">
        <f>'11_발전량_모델'!F28</f>
        <v/>
      </c>
      <c r="F25" s="53">
        <f>'11_발전량_모델'!G28</f>
        <v/>
      </c>
      <c r="G25" s="53">
        <f>'11_발전량_모델'!H28</f>
        <v/>
      </c>
      <c r="H25" s="43">
        <f>1-G25</f>
        <v/>
      </c>
      <c r="I25" s="53">
        <f>'11_발전량_모델'!K28</f>
        <v/>
      </c>
      <c r="J25" s="43">
        <f>(1+COS(RADIANS('11_발전량_모델'!$B$7)))/2</f>
        <v/>
      </c>
      <c r="K25" s="43">
        <f>(1-COS(RADIANS('11_발전량_모델'!$B$7)))/2</f>
        <v/>
      </c>
      <c r="L25" s="53">
        <f>'11_발전량_모델'!Q28</f>
        <v/>
      </c>
      <c r="M25" s="56">
        <f>'11_발전량_모델'!C28</f>
        <v/>
      </c>
      <c r="N25" s="56">
        <f>'11_발전량_모델'!P28</f>
        <v/>
      </c>
      <c r="O25" s="56">
        <f>'11_발전량_모델'!R28</f>
        <v/>
      </c>
      <c r="P25" s="57">
        <f>'11_발전량_모델'!T28</f>
        <v/>
      </c>
    </row>
    <row r="26" ht="17" customHeight="1">
      <c r="A26" s="44" t="n">
        <v>8</v>
      </c>
      <c r="B26" s="44">
        <f>INDEX('15_태양기하'!$B$4:$B$15,MATCH(A26,'15_태양기하'!$A$4:$A$15,0))</f>
        <v/>
      </c>
      <c r="C26" s="58">
        <f>'11_발전량_모델'!D29</f>
        <v/>
      </c>
      <c r="D26" s="58">
        <f>'11_발전량_모델'!E29</f>
        <v/>
      </c>
      <c r="E26" s="59">
        <f>'11_발전량_모델'!F29</f>
        <v/>
      </c>
      <c r="F26" s="59">
        <f>'11_발전량_모델'!G29</f>
        <v/>
      </c>
      <c r="G26" s="59">
        <f>'11_발전량_모델'!H29</f>
        <v/>
      </c>
      <c r="H26" s="47">
        <f>1-G26</f>
        <v/>
      </c>
      <c r="I26" s="59">
        <f>'11_발전량_모델'!K29</f>
        <v/>
      </c>
      <c r="J26" s="47">
        <f>(1+COS(RADIANS('11_발전량_모델'!$B$7)))/2</f>
        <v/>
      </c>
      <c r="K26" s="47">
        <f>(1-COS(RADIANS('11_발전량_모델'!$B$7)))/2</f>
        <v/>
      </c>
      <c r="L26" s="59">
        <f>'11_발전량_모델'!Q29</f>
        <v/>
      </c>
      <c r="M26" s="60">
        <f>'11_발전량_모델'!C29</f>
        <v/>
      </c>
      <c r="N26" s="60">
        <f>'11_발전량_모델'!P29</f>
        <v/>
      </c>
      <c r="O26" s="60">
        <f>'11_발전량_모델'!R29</f>
        <v/>
      </c>
      <c r="P26" s="61">
        <f>'11_발전량_모델'!T29</f>
        <v/>
      </c>
    </row>
    <row r="27" ht="17" customHeight="1">
      <c r="A27" s="40" t="n">
        <v>9</v>
      </c>
      <c r="B27" s="40">
        <f>INDEX('15_태양기하'!$B$4:$B$15,MATCH(A27,'15_태양기하'!$A$4:$A$15,0))</f>
        <v/>
      </c>
      <c r="C27" s="55">
        <f>'11_발전량_모델'!D30</f>
        <v/>
      </c>
      <c r="D27" s="55">
        <f>'11_발전량_모델'!E30</f>
        <v/>
      </c>
      <c r="E27" s="53">
        <f>'11_발전량_모델'!F30</f>
        <v/>
      </c>
      <c r="F27" s="53">
        <f>'11_발전량_모델'!G30</f>
        <v/>
      </c>
      <c r="G27" s="53">
        <f>'11_발전량_모델'!H30</f>
        <v/>
      </c>
      <c r="H27" s="43">
        <f>1-G27</f>
        <v/>
      </c>
      <c r="I27" s="53">
        <f>'11_발전량_모델'!K30</f>
        <v/>
      </c>
      <c r="J27" s="43">
        <f>(1+COS(RADIANS('11_발전량_모델'!$B$7)))/2</f>
        <v/>
      </c>
      <c r="K27" s="43">
        <f>(1-COS(RADIANS('11_발전량_모델'!$B$7)))/2</f>
        <v/>
      </c>
      <c r="L27" s="53">
        <f>'11_발전량_모델'!Q30</f>
        <v/>
      </c>
      <c r="M27" s="56">
        <f>'11_발전량_모델'!C30</f>
        <v/>
      </c>
      <c r="N27" s="56">
        <f>'11_발전량_모델'!P30</f>
        <v/>
      </c>
      <c r="O27" s="56">
        <f>'11_발전량_모델'!R30</f>
        <v/>
      </c>
      <c r="P27" s="57">
        <f>'11_발전량_모델'!T30</f>
        <v/>
      </c>
    </row>
    <row r="28" ht="17" customHeight="1">
      <c r="A28" s="44" t="n">
        <v>10</v>
      </c>
      <c r="B28" s="44">
        <f>INDEX('15_태양기하'!$B$4:$B$15,MATCH(A28,'15_태양기하'!$A$4:$A$15,0))</f>
        <v/>
      </c>
      <c r="C28" s="58">
        <f>'11_발전량_모델'!D31</f>
        <v/>
      </c>
      <c r="D28" s="58">
        <f>'11_발전량_모델'!E31</f>
        <v/>
      </c>
      <c r="E28" s="59">
        <f>'11_발전량_모델'!F31</f>
        <v/>
      </c>
      <c r="F28" s="59">
        <f>'11_발전량_모델'!G31</f>
        <v/>
      </c>
      <c r="G28" s="59">
        <f>'11_발전량_모델'!H31</f>
        <v/>
      </c>
      <c r="H28" s="47">
        <f>1-G28</f>
        <v/>
      </c>
      <c r="I28" s="59">
        <f>'11_발전량_모델'!K31</f>
        <v/>
      </c>
      <c r="J28" s="47">
        <f>(1+COS(RADIANS('11_발전량_모델'!$B$7)))/2</f>
        <v/>
      </c>
      <c r="K28" s="47">
        <f>(1-COS(RADIANS('11_발전량_모델'!$B$7)))/2</f>
        <v/>
      </c>
      <c r="L28" s="59">
        <f>'11_발전량_모델'!Q31</f>
        <v/>
      </c>
      <c r="M28" s="60">
        <f>'11_발전량_모델'!C31</f>
        <v/>
      </c>
      <c r="N28" s="60">
        <f>'11_발전량_모델'!P31</f>
        <v/>
      </c>
      <c r="O28" s="60">
        <f>'11_발전량_모델'!R31</f>
        <v/>
      </c>
      <c r="P28" s="61">
        <f>'11_발전량_모델'!T31</f>
        <v/>
      </c>
    </row>
    <row r="29" ht="17" customHeight="1">
      <c r="A29" s="40" t="n">
        <v>11</v>
      </c>
      <c r="B29" s="40">
        <f>INDEX('15_태양기하'!$B$4:$B$15,MATCH(A29,'15_태양기하'!$A$4:$A$15,0))</f>
        <v/>
      </c>
      <c r="C29" s="55">
        <f>'11_발전량_모델'!D32</f>
        <v/>
      </c>
      <c r="D29" s="55">
        <f>'11_발전량_모델'!E32</f>
        <v/>
      </c>
      <c r="E29" s="53">
        <f>'11_발전량_모델'!F32</f>
        <v/>
      </c>
      <c r="F29" s="53">
        <f>'11_발전량_모델'!G32</f>
        <v/>
      </c>
      <c r="G29" s="53">
        <f>'11_발전량_모델'!H32</f>
        <v/>
      </c>
      <c r="H29" s="43">
        <f>1-G29</f>
        <v/>
      </c>
      <c r="I29" s="53">
        <f>'11_발전량_모델'!K32</f>
        <v/>
      </c>
      <c r="J29" s="43">
        <f>(1+COS(RADIANS('11_발전량_모델'!$B$7)))/2</f>
        <v/>
      </c>
      <c r="K29" s="43">
        <f>(1-COS(RADIANS('11_발전량_모델'!$B$7)))/2</f>
        <v/>
      </c>
      <c r="L29" s="53">
        <f>'11_발전량_모델'!Q32</f>
        <v/>
      </c>
      <c r="M29" s="56">
        <f>'11_발전량_모델'!C32</f>
        <v/>
      </c>
      <c r="N29" s="56">
        <f>'11_발전량_모델'!P32</f>
        <v/>
      </c>
      <c r="O29" s="56">
        <f>'11_발전량_모델'!R32</f>
        <v/>
      </c>
      <c r="P29" s="57">
        <f>'11_발전량_모델'!T32</f>
        <v/>
      </c>
    </row>
    <row r="30" ht="17" customHeight="1">
      <c r="A30" s="44" t="n">
        <v>12</v>
      </c>
      <c r="B30" s="44">
        <f>INDEX('15_태양기하'!$B$4:$B$15,MATCH(A30,'15_태양기하'!$A$4:$A$15,0))</f>
        <v/>
      </c>
      <c r="C30" s="58">
        <f>'11_발전량_모델'!D33</f>
        <v/>
      </c>
      <c r="D30" s="58">
        <f>'11_발전량_모델'!E33</f>
        <v/>
      </c>
      <c r="E30" s="59">
        <f>'11_발전량_모델'!F33</f>
        <v/>
      </c>
      <c r="F30" s="59">
        <f>'11_발전량_모델'!G33</f>
        <v/>
      </c>
      <c r="G30" s="59">
        <f>'11_발전량_모델'!H33</f>
        <v/>
      </c>
      <c r="H30" s="47">
        <f>1-G30</f>
        <v/>
      </c>
      <c r="I30" s="59">
        <f>'11_발전량_모델'!K33</f>
        <v/>
      </c>
      <c r="J30" s="47">
        <f>(1+COS(RADIANS('11_발전량_모델'!$B$7)))/2</f>
        <v/>
      </c>
      <c r="K30" s="47">
        <f>(1-COS(RADIANS('11_발전량_모델'!$B$7)))/2</f>
        <v/>
      </c>
      <c r="L30" s="59">
        <f>'11_발전량_모델'!Q33</f>
        <v/>
      </c>
      <c r="M30" s="60">
        <f>'11_발전량_모델'!C33</f>
        <v/>
      </c>
      <c r="N30" s="60">
        <f>'11_발전량_모델'!P33</f>
        <v/>
      </c>
      <c r="O30" s="60">
        <f>'11_발전량_모델'!R33</f>
        <v/>
      </c>
      <c r="P30" s="61">
        <f>'11_발전량_모델'!T33</f>
        <v/>
      </c>
    </row>
    <row r="33" ht="20" customHeight="1">
      <c r="A33" s="4" t="inlineStr">
        <is>
          <t>■ FACTOR 정의 및 계산식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 ht="20" customHeight="1">
      <c r="A34" s="14" t="inlineStr">
        <is>
          <t>기호</t>
        </is>
      </c>
      <c r="B34" s="14" t="inlineStr">
        <is>
          <t>계산식</t>
        </is>
      </c>
      <c r="C34" s="14" t="inlineStr">
        <is>
          <t>단위</t>
        </is>
      </c>
      <c r="D34" s="14" t="inlineStr">
        <is>
          <t>설명</t>
        </is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</row>
    <row r="35" ht="17" customHeight="1">
      <c r="A35" s="62" t="inlineStr">
        <is>
          <t>H</t>
        </is>
      </c>
      <c r="B35" s="62" t="inlineStr">
        <is>
          <t>수평면 월일사량 ÷ 일수</t>
        </is>
      </c>
      <c r="C35" s="17" t="inlineStr">
        <is>
          <t>kWh/m²/일</t>
        </is>
      </c>
      <c r="D35" s="62" t="inlineStr">
        <is>
          <t>지역별 원자료</t>
        </is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17" customHeight="1">
      <c r="A36" s="63" t="inlineStr">
        <is>
          <t>H0</t>
        </is>
      </c>
      <c r="B36" s="63" t="inlineStr">
        <is>
          <t>(24×60/π)·Gsc·E0·[cosφ cosδ sinωs + ωs sinφ sinδ]</t>
        </is>
      </c>
      <c r="C36" s="19" t="inlineStr">
        <is>
          <t>kWh/m²/일</t>
        </is>
      </c>
      <c r="D36" s="63" t="inlineStr">
        <is>
          <t>대기권외 일사량</t>
        </is>
      </c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</row>
    <row r="37" ht="17" customHeight="1">
      <c r="A37" s="62" t="inlineStr">
        <is>
          <t>Kt</t>
        </is>
      </c>
      <c r="B37" s="62" t="inlineStr">
        <is>
          <t>H / H0</t>
        </is>
      </c>
      <c r="C37" s="17" t="inlineStr">
        <is>
          <t>-</t>
        </is>
      </c>
      <c r="D37" s="62" t="inlineStr">
        <is>
          <t>대기 투과 수준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17" customHeight="1">
      <c r="A38" s="63" t="inlineStr">
        <is>
          <t>Hd/H</t>
        </is>
      </c>
      <c r="B38" s="63" t="inlineStr">
        <is>
          <t>Erbs 월평균 상관식</t>
        </is>
      </c>
      <c r="C38" s="19" t="inlineStr">
        <is>
          <t>-</t>
        </is>
      </c>
      <c r="D38" s="63" t="inlineStr">
        <is>
          <t>산란 성분 비율</t>
        </is>
      </c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</row>
    <row r="39" ht="17" customHeight="1">
      <c r="A39" s="62" t="inlineStr">
        <is>
          <t>Rb</t>
        </is>
      </c>
      <c r="B39" s="62" t="inlineStr">
        <is>
          <t>Σmax(cosAOI,0) / Σmax(cosθz,0)</t>
        </is>
      </c>
      <c r="C39" s="17" t="inlineStr">
        <is>
          <t>-</t>
        </is>
      </c>
      <c r="D39" s="62" t="inlineStr">
        <is>
          <t>직달 성분의 경사·방위 기하계수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17" customHeight="1">
      <c r="A40" s="63" t="inlineStr">
        <is>
          <t>F_sky</t>
        </is>
      </c>
      <c r="B40" s="63" t="inlineStr">
        <is>
          <t>(1+cosβ)/2</t>
        </is>
      </c>
      <c r="C40" s="19" t="inlineStr">
        <is>
          <t>-</t>
        </is>
      </c>
      <c r="D40" s="63" t="inlineStr">
        <is>
          <t>등방성 천공산란 View Factor</t>
        </is>
      </c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</row>
    <row r="41" ht="17" customHeight="1">
      <c r="A41" s="62" t="inlineStr">
        <is>
          <t>F_ground</t>
        </is>
      </c>
      <c r="B41" s="62" t="inlineStr">
        <is>
          <t>(1-cosβ)/2</t>
        </is>
      </c>
      <c r="C41" s="17" t="inlineStr">
        <is>
          <t>-</t>
        </is>
      </c>
      <c r="D41" s="62" t="inlineStr">
        <is>
          <t>지면 View Factor</t>
        </is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17" customHeight="1">
      <c r="A42" s="63" t="inlineStr">
        <is>
          <t>POA</t>
        </is>
      </c>
      <c r="B42" s="63" t="inlineStr">
        <is>
          <t>Hb×Rb + Hd×F_sky + H×ρg×F_ground</t>
        </is>
      </c>
      <c r="C42" s="19" t="inlineStr">
        <is>
          <t>kWh/m²/일</t>
        </is>
      </c>
      <c r="D42" s="63" t="inlineStr">
        <is>
          <t>경사면 일사량</t>
        </is>
      </c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</row>
    <row r="43" ht="17" customHeight="1">
      <c r="A43" s="62" t="inlineStr">
        <is>
          <t>POA FACTOR</t>
        </is>
      </c>
      <c r="B43" s="62" t="inlineStr">
        <is>
          <t>POA 월일사량 / 수평면 월일사량</t>
        </is>
      </c>
      <c r="C43" s="17" t="inlineStr">
        <is>
          <t>배</t>
        </is>
      </c>
      <c r="D43" s="62" t="inlineStr">
        <is>
          <t>경사·방위 효과</t>
        </is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17" customHeight="1">
      <c r="A44" s="63" t="inlineStr">
        <is>
          <t>특성발전량</t>
        </is>
      </c>
      <c r="B44" s="63" t="inlineStr">
        <is>
          <t>POA × PR × 가동률 × (1-출력제한) × 기타</t>
        </is>
      </c>
      <c r="C44" s="19" t="inlineStr">
        <is>
          <t>kWh/kWp</t>
        </is>
      </c>
      <c r="D44" s="63" t="inlineStr">
        <is>
          <t>DC 1 kWp 기준</t>
        </is>
      </c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</row>
  </sheetData>
  <mergeCells count="26">
    <mergeCell ref="D11:F11"/>
    <mergeCell ref="D13:F13"/>
    <mergeCell ref="D37:P37"/>
    <mergeCell ref="A17:P17"/>
    <mergeCell ref="A4:P4"/>
    <mergeCell ref="D39:P39"/>
    <mergeCell ref="D7:F7"/>
    <mergeCell ref="D42:P42"/>
    <mergeCell ref="D38:P38"/>
    <mergeCell ref="D35:P35"/>
    <mergeCell ref="D12:F12"/>
    <mergeCell ref="D44:P44"/>
    <mergeCell ref="D9:F9"/>
    <mergeCell ref="D8:F8"/>
    <mergeCell ref="D34:P34"/>
    <mergeCell ref="D14:F14"/>
    <mergeCell ref="D40:P40"/>
    <mergeCell ref="D5:F5"/>
    <mergeCell ref="A1:P1"/>
    <mergeCell ref="A2:P2"/>
    <mergeCell ref="D36:P36"/>
    <mergeCell ref="D10:F10"/>
    <mergeCell ref="D41:P41"/>
    <mergeCell ref="D6:F6"/>
    <mergeCell ref="D43:P43"/>
    <mergeCell ref="A33:P33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26" customWidth="1" min="10" max="10"/>
  </cols>
  <sheetData>
    <row r="1" ht="30" customHeight="1">
      <c r="A1" s="1" t="inlineStr">
        <is>
          <t>경사각·방위각 시나리오 비교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지역·분석기준·PR 등은 '11_발전량_모델' 입력을 공통으로 사용하며, 시나리오별 경사각과 방위각만 바꾸어 비교합니다.</t>
        </is>
      </c>
    </row>
    <row r="3" ht="20" customHeight="1">
      <c r="A3" s="4" t="inlineStr">
        <is>
          <t>■ 시나리오별 연간 결과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6" customHeight="1">
      <c r="A4" s="14" t="inlineStr">
        <is>
          <t>시나리오</t>
        </is>
      </c>
      <c r="B4" s="14" t="inlineStr">
        <is>
          <t>경사각 β
[°]</t>
        </is>
      </c>
      <c r="C4" s="14" t="inlineStr">
        <is>
          <t>방위각 A
[°]</t>
        </is>
      </c>
      <c r="D4" s="14" t="inlineStr">
        <is>
          <t>연간 수평면
[kWh/m²]</t>
        </is>
      </c>
      <c r="E4" s="14" t="inlineStr">
        <is>
          <t>연간 POA
[kWh/m²]</t>
        </is>
      </c>
      <c r="F4" s="14" t="inlineStr">
        <is>
          <t>POA FACTOR
[배]</t>
        </is>
      </c>
      <c r="G4" s="14" t="inlineStr">
        <is>
          <t>특성발전량
[kWh/kWp]</t>
        </is>
      </c>
      <c r="H4" s="14" t="inlineStr">
        <is>
          <t>발전량
[MWh]</t>
        </is>
      </c>
      <c r="I4" s="14" t="inlineStr">
        <is>
          <t>기본 대비
[%]</t>
        </is>
      </c>
      <c r="J4" s="14" t="inlineStr">
        <is>
          <t>설명</t>
        </is>
      </c>
    </row>
    <row r="5" ht="18" customHeight="1">
      <c r="A5" s="64" t="inlineStr">
        <is>
          <t>현재 입력</t>
        </is>
      </c>
      <c r="B5" s="65">
        <f>'11_발전량_모델'!B7</f>
        <v/>
      </c>
      <c r="C5" s="65">
        <f>'11_발전량_모델'!B8</f>
        <v/>
      </c>
      <c r="D5" s="66">
        <f>'11_발전량_모델'!F5</f>
        <v/>
      </c>
      <c r="E5" s="66">
        <f>SUMIFS('_시나리오계산'!$O$2:$O$121,'_시나리오계산'!$A$2:$A$121,1)</f>
        <v/>
      </c>
      <c r="F5" s="67">
        <f>IF(D5=0,0,E5/D5)</f>
        <v/>
      </c>
      <c r="G5" s="66">
        <f>SUMIFS('_시나리오계산'!$P$2:$P$121,'_시나리오계산'!$A$2:$A$121,1)</f>
        <v/>
      </c>
      <c r="H5" s="66">
        <f>SUMIFS('_시나리오계산'!$Q$2:$Q$121,'_시나리오계산'!$A$2:$A$121,1)</f>
        <v/>
      </c>
      <c r="I5" s="68">
        <f>IF($H$5=0,0,H5/$H$5-1)</f>
        <v/>
      </c>
      <c r="J5" s="64" t="inlineStr">
        <is>
          <t>'11_발전량_모델' 시트 입력값</t>
        </is>
      </c>
    </row>
    <row r="6" ht="18" customHeight="1">
      <c r="A6" s="69" t="inlineStr">
        <is>
          <t>남향 15°</t>
        </is>
      </c>
      <c r="B6" s="44" t="n">
        <v>15</v>
      </c>
      <c r="C6" s="44" t="n">
        <v>180</v>
      </c>
      <c r="D6" s="45">
        <f>'11_발전량_모델'!F5</f>
        <v/>
      </c>
      <c r="E6" s="45">
        <f>SUMIFS('_시나리오계산'!$O$2:$O$121,'_시나리오계산'!$A$2:$A$121,2)</f>
        <v/>
      </c>
      <c r="F6" s="47">
        <f>IF(D6=0,0,E6/D6)</f>
        <v/>
      </c>
      <c r="G6" s="45">
        <f>SUMIFS('_시나리오계산'!$P$2:$P$121,'_시나리오계산'!$A$2:$A$121,2)</f>
        <v/>
      </c>
      <c r="H6" s="45">
        <f>SUMIFS('_시나리오계산'!$Q$2:$Q$121,'_시나리오계산'!$A$2:$A$121,2)</f>
        <v/>
      </c>
      <c r="I6" s="70">
        <f>IF($H$5=0,0,H6/$H$5-1)</f>
        <v/>
      </c>
      <c r="J6" s="63" t="inlineStr">
        <is>
          <t>저경사 남향</t>
        </is>
      </c>
    </row>
    <row r="7" ht="18" customHeight="1">
      <c r="A7" s="6" t="inlineStr">
        <is>
          <t>남향 20°</t>
        </is>
      </c>
      <c r="B7" s="40" t="n">
        <v>20</v>
      </c>
      <c r="C7" s="40" t="n">
        <v>180</v>
      </c>
      <c r="D7" s="41">
        <f>'11_발전량_모델'!F5</f>
        <v/>
      </c>
      <c r="E7" s="41">
        <f>SUMIFS('_시나리오계산'!$O$2:$O$121,'_시나리오계산'!$A$2:$A$121,3)</f>
        <v/>
      </c>
      <c r="F7" s="43">
        <f>IF(D7=0,0,E7/D7)</f>
        <v/>
      </c>
      <c r="G7" s="41">
        <f>SUMIFS('_시나리오계산'!$P$2:$P$121,'_시나리오계산'!$A$2:$A$121,3)</f>
        <v/>
      </c>
      <c r="H7" s="41">
        <f>SUMIFS('_시나리오계산'!$Q$2:$Q$121,'_시나리오계산'!$A$2:$A$121,3)</f>
        <v/>
      </c>
      <c r="I7" s="71">
        <f>IF($H$5=0,0,H7/$H$5-1)</f>
        <v/>
      </c>
      <c r="J7" s="62" t="inlineStr">
        <is>
          <t>저경사 남향</t>
        </is>
      </c>
    </row>
    <row r="8" ht="18" customHeight="1">
      <c r="A8" s="69" t="inlineStr">
        <is>
          <t>남향 25°</t>
        </is>
      </c>
      <c r="B8" s="44" t="n">
        <v>25</v>
      </c>
      <c r="C8" s="44" t="n">
        <v>180</v>
      </c>
      <c r="D8" s="45">
        <f>'11_발전량_모델'!F5</f>
        <v/>
      </c>
      <c r="E8" s="45">
        <f>SUMIFS('_시나리오계산'!$O$2:$O$121,'_시나리오계산'!$A$2:$A$121,4)</f>
        <v/>
      </c>
      <c r="F8" s="47">
        <f>IF(D8=0,0,E8/D8)</f>
        <v/>
      </c>
      <c r="G8" s="45">
        <f>SUMIFS('_시나리오계산'!$P$2:$P$121,'_시나리오계산'!$A$2:$A$121,4)</f>
        <v/>
      </c>
      <c r="H8" s="45">
        <f>SUMIFS('_시나리오계산'!$Q$2:$Q$121,'_시나리오계산'!$A$2:$A$121,4)</f>
        <v/>
      </c>
      <c r="I8" s="70">
        <f>IF($H$5=0,0,H8/$H$5-1)</f>
        <v/>
      </c>
      <c r="J8" s="63" t="inlineStr">
        <is>
          <t>국내 일반 고정식 예시</t>
        </is>
      </c>
    </row>
    <row r="9" ht="18" customHeight="1">
      <c r="A9" s="6" t="inlineStr">
        <is>
          <t>남향 30°</t>
        </is>
      </c>
      <c r="B9" s="40" t="n">
        <v>30</v>
      </c>
      <c r="C9" s="40" t="n">
        <v>180</v>
      </c>
      <c r="D9" s="41">
        <f>'11_발전량_모델'!F5</f>
        <v/>
      </c>
      <c r="E9" s="41">
        <f>SUMIFS('_시나리오계산'!$O$2:$O$121,'_시나리오계산'!$A$2:$A$121,5)</f>
        <v/>
      </c>
      <c r="F9" s="43">
        <f>IF(D9=0,0,E9/D9)</f>
        <v/>
      </c>
      <c r="G9" s="41">
        <f>SUMIFS('_시나리오계산'!$P$2:$P$121,'_시나리오계산'!$A$2:$A$121,5)</f>
        <v/>
      </c>
      <c r="H9" s="41">
        <f>SUMIFS('_시나리오계산'!$Q$2:$Q$121,'_시나리오계산'!$A$2:$A$121,5)</f>
        <v/>
      </c>
      <c r="I9" s="71">
        <f>IF($H$5=0,0,H9/$H$5-1)</f>
        <v/>
      </c>
      <c r="J9" s="62" t="inlineStr">
        <is>
          <t>중경사 남향</t>
        </is>
      </c>
    </row>
    <row r="10" ht="18" customHeight="1">
      <c r="A10" s="69" t="inlineStr">
        <is>
          <t>남향 35°</t>
        </is>
      </c>
      <c r="B10" s="44" t="n">
        <v>35</v>
      </c>
      <c r="C10" s="44" t="n">
        <v>180</v>
      </c>
      <c r="D10" s="45">
        <f>'11_발전량_모델'!F5</f>
        <v/>
      </c>
      <c r="E10" s="45">
        <f>SUMIFS('_시나리오계산'!$O$2:$O$121,'_시나리오계산'!$A$2:$A$121,6)</f>
        <v/>
      </c>
      <c r="F10" s="47">
        <f>IF(D10=0,0,E10/D10)</f>
        <v/>
      </c>
      <c r="G10" s="45">
        <f>SUMIFS('_시나리오계산'!$P$2:$P$121,'_시나리오계산'!$A$2:$A$121,6)</f>
        <v/>
      </c>
      <c r="H10" s="45">
        <f>SUMIFS('_시나리오계산'!$Q$2:$Q$121,'_시나리오계산'!$A$2:$A$121,6)</f>
        <v/>
      </c>
      <c r="I10" s="70">
        <f>IF($H$5=0,0,H10/$H$5-1)</f>
        <v/>
      </c>
      <c r="J10" s="63" t="inlineStr">
        <is>
          <t>고경사 남향</t>
        </is>
      </c>
    </row>
    <row r="11" ht="18" customHeight="1">
      <c r="A11" s="6" t="inlineStr">
        <is>
          <t>남동향 25°</t>
        </is>
      </c>
      <c r="B11" s="40" t="n">
        <v>25</v>
      </c>
      <c r="C11" s="40" t="n">
        <v>135</v>
      </c>
      <c r="D11" s="41">
        <f>'11_발전량_모델'!F5</f>
        <v/>
      </c>
      <c r="E11" s="41">
        <f>SUMIFS('_시나리오계산'!$O$2:$O$121,'_시나리오계산'!$A$2:$A$121,7)</f>
        <v/>
      </c>
      <c r="F11" s="43">
        <f>IF(D11=0,0,E11/D11)</f>
        <v/>
      </c>
      <c r="G11" s="41">
        <f>SUMIFS('_시나리오계산'!$P$2:$P$121,'_시나리오계산'!$A$2:$A$121,7)</f>
        <v/>
      </c>
      <c r="H11" s="41">
        <f>SUMIFS('_시나리오계산'!$Q$2:$Q$121,'_시나리오계산'!$A$2:$A$121,7)</f>
        <v/>
      </c>
      <c r="I11" s="71">
        <f>IF($H$5=0,0,H11/$H$5-1)</f>
        <v/>
      </c>
      <c r="J11" s="62" t="inlineStr">
        <is>
          <t>오전 발전 비중 확대</t>
        </is>
      </c>
    </row>
    <row r="12" ht="18" customHeight="1">
      <c r="A12" s="69" t="inlineStr">
        <is>
          <t>남서향 25°</t>
        </is>
      </c>
      <c r="B12" s="44" t="n">
        <v>25</v>
      </c>
      <c r="C12" s="44" t="n">
        <v>225</v>
      </c>
      <c r="D12" s="45">
        <f>'11_발전량_모델'!F5</f>
        <v/>
      </c>
      <c r="E12" s="45">
        <f>SUMIFS('_시나리오계산'!$O$2:$O$121,'_시나리오계산'!$A$2:$A$121,8)</f>
        <v/>
      </c>
      <c r="F12" s="47">
        <f>IF(D12=0,0,E12/D12)</f>
        <v/>
      </c>
      <c r="G12" s="45">
        <f>SUMIFS('_시나리오계산'!$P$2:$P$121,'_시나리오계산'!$A$2:$A$121,8)</f>
        <v/>
      </c>
      <c r="H12" s="45">
        <f>SUMIFS('_시나리오계산'!$Q$2:$Q$121,'_시나리오계산'!$A$2:$A$121,8)</f>
        <v/>
      </c>
      <c r="I12" s="70">
        <f>IF($H$5=0,0,H12/$H$5-1)</f>
        <v/>
      </c>
      <c r="J12" s="63" t="inlineStr">
        <is>
          <t>오후 발전 비중 확대</t>
        </is>
      </c>
    </row>
    <row r="13" ht="18" customHeight="1">
      <c r="A13" s="6" t="inlineStr">
        <is>
          <t>동향 20°</t>
        </is>
      </c>
      <c r="B13" s="40" t="n">
        <v>20</v>
      </c>
      <c r="C13" s="40" t="n">
        <v>90</v>
      </c>
      <c r="D13" s="41">
        <f>'11_발전량_모델'!F5</f>
        <v/>
      </c>
      <c r="E13" s="41">
        <f>SUMIFS('_시나리오계산'!$O$2:$O$121,'_시나리오계산'!$A$2:$A$121,9)</f>
        <v/>
      </c>
      <c r="F13" s="43">
        <f>IF(D13=0,0,E13/D13)</f>
        <v/>
      </c>
      <c r="G13" s="41">
        <f>SUMIFS('_시나리오계산'!$P$2:$P$121,'_시나리오계산'!$A$2:$A$121,9)</f>
        <v/>
      </c>
      <c r="H13" s="41">
        <f>SUMIFS('_시나리오계산'!$Q$2:$Q$121,'_시나리오계산'!$A$2:$A$121,9)</f>
        <v/>
      </c>
      <c r="I13" s="71">
        <f>IF($H$5=0,0,H13/$H$5-1)</f>
        <v/>
      </c>
      <c r="J13" s="62" t="inlineStr">
        <is>
          <t>동향 예시</t>
        </is>
      </c>
    </row>
    <row r="14" ht="18" customHeight="1">
      <c r="A14" s="69" t="inlineStr">
        <is>
          <t>서향 20°</t>
        </is>
      </c>
      <c r="B14" s="44" t="n">
        <v>20</v>
      </c>
      <c r="C14" s="44" t="n">
        <v>270</v>
      </c>
      <c r="D14" s="45">
        <f>'11_발전량_모델'!F5</f>
        <v/>
      </c>
      <c r="E14" s="45">
        <f>SUMIFS('_시나리오계산'!$O$2:$O$121,'_시나리오계산'!$A$2:$A$121,10)</f>
        <v/>
      </c>
      <c r="F14" s="47">
        <f>IF(D14=0,0,E14/D14)</f>
        <v/>
      </c>
      <c r="G14" s="45">
        <f>SUMIFS('_시나리오계산'!$P$2:$P$121,'_시나리오계산'!$A$2:$A$121,10)</f>
        <v/>
      </c>
      <c r="H14" s="45">
        <f>SUMIFS('_시나리오계산'!$Q$2:$Q$121,'_시나리오계산'!$A$2:$A$121,10)</f>
        <v/>
      </c>
      <c r="I14" s="70">
        <f>IF($H$5=0,0,H14/$H$5-1)</f>
        <v/>
      </c>
      <c r="J14" s="63" t="inlineStr">
        <is>
          <t>서향 예시</t>
        </is>
      </c>
    </row>
    <row r="16">
      <c r="A16" s="23" t="inlineStr">
        <is>
          <t>※ '기본 대비'는 첫 행(현재 입력) 발전량 대비 증감률입니다. 지역·PR·용량 등 나머지 조건은 모든 시나리오가 동일합니다.</t>
        </is>
      </c>
    </row>
  </sheetData>
  <mergeCells count="4">
    <mergeCell ref="A16:J16"/>
    <mergeCell ref="A1:J1"/>
    <mergeCell ref="A3:J3"/>
    <mergeCell ref="A2:J2"/>
  </mergeCells>
  <conditionalFormatting sqref="I6:I14">
    <cfRule type="cellIs" priority="1" operator="lessThan" dxfId="1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M18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30" customWidth="1" min="4" max="4"/>
    <col width="40" customWidth="1" min="5" max="5"/>
    <col width="2" customWidth="1" min="6" max="6"/>
    <col width="18" customWidth="1" min="7" max="7"/>
    <col width="11" customWidth="1" min="8" max="8"/>
    <col width="12" customWidth="1" min="9" max="9"/>
    <col width="34" customWidth="1" min="10" max="10"/>
    <col width="18" customWidth="1" min="11" max="11"/>
    <col width="2" customWidth="1" min="12" max="12"/>
    <col width="15" customWidth="1" min="13" max="13"/>
  </cols>
  <sheetData>
    <row r="1" ht="30" customHeight="1">
      <c r="A1" s="1" t="inlineStr">
        <is>
          <t>지역 대표 위도 및 모델 상수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>지역별 수평면 일사량은 광역권 평균이므로 대표 위도는 초기 검토용입니다. 실제 발전소 위도로 보정하는 것을 권장합니다.</t>
        </is>
      </c>
    </row>
    <row r="3" ht="20" customHeight="1">
      <c r="A3" s="4" t="inlineStr">
        <is>
          <t>■ 지역 대표 위도 / ■ 모델 상수·기본값 / ■ 분석 기준 목록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 ht="32" customHeight="1">
      <c r="A4" s="14" t="inlineStr">
        <is>
          <t>지역명</t>
        </is>
      </c>
      <c r="B4" s="14" t="inlineStr">
        <is>
          <t>대표 도시</t>
        </is>
      </c>
      <c r="C4" s="14" t="inlineStr">
        <is>
          <t>대표 위도
[°N]</t>
        </is>
      </c>
      <c r="D4" s="14" t="inlineStr">
        <is>
          <t>위도 적용 설명</t>
        </is>
      </c>
      <c r="E4" s="14" t="inlineStr">
        <is>
          <t>비고</t>
        </is>
      </c>
      <c r="G4" s="14" t="inlineStr">
        <is>
          <t>상수/기본값</t>
        </is>
      </c>
      <c r="H4" s="14" t="inlineStr">
        <is>
          <t>값</t>
        </is>
      </c>
      <c r="I4" s="14" t="inlineStr">
        <is>
          <t>단위</t>
        </is>
      </c>
      <c r="J4" s="14" t="inlineStr">
        <is>
          <t>설명</t>
        </is>
      </c>
      <c r="K4" s="14" t="inlineStr">
        <is>
          <t>수정 권장</t>
        </is>
      </c>
      <c r="M4" s="14" t="inlineStr">
        <is>
          <t>분석 기준 목록</t>
        </is>
      </c>
    </row>
    <row r="5" ht="17" customHeight="1">
      <c r="A5" s="7" t="inlineStr">
        <is>
          <t>서울경기</t>
        </is>
      </c>
      <c r="B5" s="17" t="inlineStr">
        <is>
          <t>서울</t>
        </is>
      </c>
      <c r="C5" s="72" t="n">
        <v>37.5665</v>
      </c>
      <c r="D5" s="7" t="inlineStr">
        <is>
          <t>서울 좌표를 대표값으로 적용</t>
        </is>
      </c>
      <c r="E5" s="7" t="inlineStr">
        <is>
          <t>현장 위도 입력 권장</t>
        </is>
      </c>
      <c r="G5" s="6" t="inlineStr">
        <is>
          <t>태양상수 Gsc</t>
        </is>
      </c>
      <c r="H5" s="73" t="n">
        <v>0.082</v>
      </c>
      <c r="I5" s="17" t="inlineStr">
        <is>
          <t>MJ/m²/min</t>
        </is>
      </c>
      <c r="J5" s="62" t="inlineStr">
        <is>
          <t>일별 대기권외 수평면 일사량 계산</t>
        </is>
      </c>
      <c r="K5" s="62" t="inlineStr">
        <is>
          <t>고정</t>
        </is>
      </c>
      <c r="M5" s="40" t="inlineStr">
        <is>
          <t>10년평균</t>
        </is>
      </c>
    </row>
    <row r="6" ht="17" customHeight="1">
      <c r="A6" s="21" t="inlineStr">
        <is>
          <t>강원영동</t>
        </is>
      </c>
      <c r="B6" s="19" t="inlineStr">
        <is>
          <t>강릉</t>
        </is>
      </c>
      <c r="C6" s="74" t="n">
        <v>37.7519</v>
      </c>
      <c r="D6" s="21" t="inlineStr">
        <is>
          <t>영동권 대표 도시</t>
        </is>
      </c>
      <c r="E6" s="21" t="inlineStr">
        <is>
          <t>해안/산악 지형 차이 유의</t>
        </is>
      </c>
      <c r="G6" s="69" t="inlineStr">
        <is>
          <t>시간 간격</t>
        </is>
      </c>
      <c r="H6" s="75" t="n">
        <v>0.25</v>
      </c>
      <c r="I6" s="19" t="inlineStr">
        <is>
          <t>hour</t>
        </is>
      </c>
      <c r="J6" s="63" t="inlineStr">
        <is>
          <t>Rb 적분용 15분 간격</t>
        </is>
      </c>
      <c r="K6" s="63" t="inlineStr">
        <is>
          <t>고정</t>
        </is>
      </c>
      <c r="M6" s="44" t="n">
        <v>2016</v>
      </c>
    </row>
    <row r="7" ht="17" customHeight="1">
      <c r="A7" s="7" t="inlineStr">
        <is>
          <t>강원영서</t>
        </is>
      </c>
      <c r="B7" s="17" t="inlineStr">
        <is>
          <t>춘천</t>
        </is>
      </c>
      <c r="C7" s="72" t="n">
        <v>37.8813</v>
      </c>
      <c r="D7" s="7" t="inlineStr">
        <is>
          <t>영서권 대표 도시</t>
        </is>
      </c>
      <c r="E7" s="7" t="inlineStr">
        <is>
          <t>현장 위도 입력 권장</t>
        </is>
      </c>
      <c r="G7" s="6" t="inlineStr">
        <is>
          <t>Erbs Kt 하한</t>
        </is>
      </c>
      <c r="H7" s="73" t="n">
        <v>0.3</v>
      </c>
      <c r="I7" s="17" t="inlineStr">
        <is>
          <t>-</t>
        </is>
      </c>
      <c r="J7" s="62" t="inlineStr">
        <is>
          <t>월평균 확산분리식 적용 범위 보정</t>
        </is>
      </c>
      <c r="K7" s="62" t="inlineStr">
        <is>
          <t>고정</t>
        </is>
      </c>
      <c r="M7" s="40" t="n">
        <v>2017</v>
      </c>
    </row>
    <row r="8" ht="17" customHeight="1">
      <c r="A8" s="21" t="inlineStr">
        <is>
          <t>충북</t>
        </is>
      </c>
      <c r="B8" s="19" t="inlineStr">
        <is>
          <t>청주</t>
        </is>
      </c>
      <c r="C8" s="74" t="n">
        <v>36.6424</v>
      </c>
      <c r="D8" s="21" t="inlineStr">
        <is>
          <t>충북 대표 도시</t>
        </is>
      </c>
      <c r="E8" s="21" t="inlineStr">
        <is>
          <t>현장 위도 입력 권장</t>
        </is>
      </c>
      <c r="G8" s="69" t="inlineStr">
        <is>
          <t>Erbs Kt 상한</t>
        </is>
      </c>
      <c r="H8" s="75" t="n">
        <v>0.8</v>
      </c>
      <c r="I8" s="19" t="inlineStr">
        <is>
          <t>-</t>
        </is>
      </c>
      <c r="J8" s="63" t="inlineStr">
        <is>
          <t>월평균 확산분리식 적용 범위 보정</t>
        </is>
      </c>
      <c r="K8" s="63" t="inlineStr">
        <is>
          <t>고정</t>
        </is>
      </c>
      <c r="M8" s="44" t="n">
        <v>2018</v>
      </c>
    </row>
    <row r="9" ht="17" customHeight="1">
      <c r="A9" s="7" t="inlineStr">
        <is>
          <t>충남</t>
        </is>
      </c>
      <c r="B9" s="17" t="inlineStr">
        <is>
          <t>대전</t>
        </is>
      </c>
      <c r="C9" s="72" t="n">
        <v>36.3504</v>
      </c>
      <c r="D9" s="7" t="inlineStr">
        <is>
          <t>충남권 대표값</t>
        </is>
      </c>
      <c r="E9" s="7" t="inlineStr">
        <is>
          <t>대전은 행정구역상 별도이나 위도 대표값으로 사용</t>
        </is>
      </c>
      <c r="G9" s="6" t="inlineStr">
        <is>
          <t>기본 지면반사율</t>
        </is>
      </c>
      <c r="H9" s="53">
        <f>'05_FACTOR_기준값'!C11</f>
        <v/>
      </c>
      <c r="I9" s="17" t="inlineStr">
        <is>
          <t>-</t>
        </is>
      </c>
      <c r="J9" s="62" t="inlineStr">
        <is>
          <t>일반 토지/잔디 가정</t>
        </is>
      </c>
      <c r="K9" s="62" t="inlineStr">
        <is>
          <t>05_FACTOR_기준값 참조</t>
        </is>
      </c>
      <c r="M9" s="40" t="n">
        <v>2019</v>
      </c>
    </row>
    <row r="10" ht="17" customHeight="1">
      <c r="A10" s="21" t="inlineStr">
        <is>
          <t>경북</t>
        </is>
      </c>
      <c r="B10" s="19" t="inlineStr">
        <is>
          <t>대구</t>
        </is>
      </c>
      <c r="C10" s="74" t="n">
        <v>35.8714</v>
      </c>
      <c r="D10" s="21" t="inlineStr">
        <is>
          <t>경북권 대표값</t>
        </is>
      </c>
      <c r="E10" s="21" t="inlineStr">
        <is>
          <t>대구는 행정구역상 별도이나 위도 대표값으로 사용</t>
        </is>
      </c>
      <c r="G10" s="69" t="inlineStr">
        <is>
          <t>기본 PR</t>
        </is>
      </c>
      <c r="H10" s="59">
        <f>'05_FACTOR_기준값'!C6</f>
        <v/>
      </c>
      <c r="I10" s="19" t="inlineStr">
        <is>
          <t>-</t>
        </is>
      </c>
      <c r="J10" s="63" t="inlineStr">
        <is>
          <t>온도·인버터·배선·오염·불일치 등 통합</t>
        </is>
      </c>
      <c r="K10" s="63" t="inlineStr">
        <is>
          <t>05_FACTOR_기준값 참조</t>
        </is>
      </c>
      <c r="M10" s="44" t="n">
        <v>2020</v>
      </c>
    </row>
    <row r="11" ht="17" customHeight="1">
      <c r="A11" s="7" t="inlineStr">
        <is>
          <t>경남</t>
        </is>
      </c>
      <c r="B11" s="17" t="inlineStr">
        <is>
          <t>부산</t>
        </is>
      </c>
      <c r="C11" s="72" t="n">
        <v>35.1796</v>
      </c>
      <c r="D11" s="7" t="inlineStr">
        <is>
          <t>경남권 대표값</t>
        </is>
      </c>
      <c r="E11" s="7" t="inlineStr">
        <is>
          <t>부산은 행정구역상 별도이나 위도 대표값으로 사용</t>
        </is>
      </c>
      <c r="G11" s="6" t="inlineStr">
        <is>
          <t>기본 가동률</t>
        </is>
      </c>
      <c r="H11" s="53">
        <f>'05_FACTOR_기준값'!C7</f>
        <v/>
      </c>
      <c r="I11" s="17" t="inlineStr">
        <is>
          <t>-</t>
        </is>
      </c>
      <c r="J11" s="62" t="inlineStr">
        <is>
          <t>설비 및 계통 가동 가능률</t>
        </is>
      </c>
      <c r="K11" s="62" t="inlineStr">
        <is>
          <t>05_FACTOR_기준값 참조</t>
        </is>
      </c>
      <c r="M11" s="40" t="n">
        <v>2021</v>
      </c>
    </row>
    <row r="12" ht="17" customHeight="1">
      <c r="A12" s="21" t="inlineStr">
        <is>
          <t>전북</t>
        </is>
      </c>
      <c r="B12" s="19" t="inlineStr">
        <is>
          <t>전주</t>
        </is>
      </c>
      <c r="C12" s="74" t="n">
        <v>35.8242</v>
      </c>
      <c r="D12" s="21" t="inlineStr">
        <is>
          <t>전북 대표 도시</t>
        </is>
      </c>
      <c r="E12" s="21" t="inlineStr">
        <is>
          <t>현장 위도 입력 권장</t>
        </is>
      </c>
      <c r="G12" s="69" t="inlineStr">
        <is>
          <t>기준 일사강도</t>
        </is>
      </c>
      <c r="H12" s="75" t="n">
        <v>1</v>
      </c>
      <c r="I12" s="19" t="inlineStr">
        <is>
          <t>kW/m²</t>
        </is>
      </c>
      <c r="J12" s="63" t="inlineStr">
        <is>
          <t>특성발전량 환산 기준</t>
        </is>
      </c>
      <c r="K12" s="63" t="inlineStr">
        <is>
          <t>고정</t>
        </is>
      </c>
      <c r="M12" s="44" t="n">
        <v>2022</v>
      </c>
    </row>
    <row r="13" ht="17" customHeight="1">
      <c r="A13" s="7" t="inlineStr">
        <is>
          <t>전남</t>
        </is>
      </c>
      <c r="B13" s="17" t="inlineStr">
        <is>
          <t>광주</t>
        </is>
      </c>
      <c r="C13" s="72" t="n">
        <v>35.1595</v>
      </c>
      <c r="D13" s="7" t="inlineStr">
        <is>
          <t>전남권 대표값</t>
        </is>
      </c>
      <c r="E13" s="7" t="inlineStr">
        <is>
          <t>광주는 행정구역상 별도이나 위도 대표값으로 사용</t>
        </is>
      </c>
      <c r="M13" s="40" t="n">
        <v>2023</v>
      </c>
    </row>
    <row r="14" ht="17" customHeight="1">
      <c r="A14" s="21" t="inlineStr">
        <is>
          <t>제주</t>
        </is>
      </c>
      <c r="B14" s="19" t="inlineStr">
        <is>
          <t>제주</t>
        </is>
      </c>
      <c r="C14" s="74" t="n">
        <v>33.4996</v>
      </c>
      <c r="D14" s="21" t="inlineStr">
        <is>
          <t>제주권 대표 도시</t>
        </is>
      </c>
      <c r="E14" s="21" t="inlineStr">
        <is>
          <t>제주 남북부 차이 유의</t>
        </is>
      </c>
      <c r="M14" s="44" t="n">
        <v>2024</v>
      </c>
    </row>
    <row r="15">
      <c r="M15" s="40" t="n">
        <v>2025</v>
      </c>
    </row>
    <row r="17">
      <c r="A17" s="23" t="inlineStr">
        <is>
          <t>※ 지면반사율·PR·가동률의 기본값은 '05_FACTOR_기준값' 시트를 참조합니다(값을 두 곳에서 따로 관리하지 않습니다).</t>
        </is>
      </c>
    </row>
    <row r="18">
      <c r="A18" s="23" t="inlineStr">
        <is>
          <t>※ 지역명 목록(A5:A14)과 분석 기준 목록(M5:M15)은 '11_발전량_모델' 시트 입력 셀의 선택 목록으로 사용됩니다.</t>
        </is>
      </c>
    </row>
  </sheetData>
  <mergeCells count="5">
    <mergeCell ref="A1:M1"/>
    <mergeCell ref="A17:M17"/>
    <mergeCell ref="A18:M18"/>
    <mergeCell ref="A3:M3"/>
    <mergeCell ref="A2:M2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Y1172"/>
  <sheetViews>
    <sheetView zoomScale="10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2" customWidth="1" min="5" max="5"/>
    <col width="12" customWidth="1" min="6" max="6"/>
    <col width="11" customWidth="1" min="7" max="7"/>
    <col width="14" customWidth="1" min="8" max="8"/>
    <col width="4" customWidth="1" min="9" max="9"/>
    <col width="13" customWidth="1" min="10" max="10"/>
    <col width="12" customWidth="1" min="11" max="11"/>
    <col width="8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태양기하 및 방위·경사 FACTOR 산출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월 대표일 기준 15분 간격 태양벡터를 적분하여 월별 Rb(경사면/수평면 직달 기하계수)와 대기권외 일사량 H0를 계산합니다.</t>
        </is>
      </c>
    </row>
    <row r="3" ht="32" customHeight="1">
      <c r="A3" s="14" t="inlineStr">
        <is>
          <t>월</t>
        </is>
      </c>
      <c r="B3" s="14" t="inlineStr">
        <is>
          <t>대표일
(DOY)</t>
        </is>
      </c>
      <c r="C3" s="14" t="inlineStr">
        <is>
          <t>적위 δ
[°]</t>
        </is>
      </c>
      <c r="D3" s="14" t="inlineStr">
        <is>
          <t>일몰시간각 ωs
[°]</t>
        </is>
      </c>
      <c r="E3" s="14" t="inlineStr">
        <is>
          <t>Σ cosθz</t>
        </is>
      </c>
      <c r="F3" s="14" t="inlineStr">
        <is>
          <t>Σ cosAOI</t>
        </is>
      </c>
      <c r="G3" s="14" t="inlineStr">
        <is>
          <t>Rb</t>
        </is>
      </c>
      <c r="H3" s="14" t="inlineStr">
        <is>
          <t>H0
[kWh/m²/일]</t>
        </is>
      </c>
      <c r="J3" s="4" t="inlineStr">
        <is>
          <t>적용 입력값</t>
        </is>
      </c>
      <c r="K3" s="5" t="n"/>
      <c r="L3" s="5" t="n"/>
    </row>
    <row r="4" ht="17" customHeight="1">
      <c r="A4" s="40" t="n">
        <v>1</v>
      </c>
      <c r="B4" s="40" t="n">
        <v>17</v>
      </c>
      <c r="C4" s="42">
        <f>23.45*SIN(RADIANS(360*(284+B4)/365))</f>
        <v/>
      </c>
      <c r="D4" s="42">
        <f>DEGREES(ACOS(MAX(-1,MIN(1,-TAN(RADIANS('11_발전량_모델'!$B$17))*TAN(RADIANS(C4))))))</f>
        <v/>
      </c>
      <c r="E4" s="42">
        <f>SUMIFS($N$21:$N$1172,$A$21:$A$1172,A4)</f>
        <v/>
      </c>
      <c r="F4" s="42">
        <f>SUMIFS($O$21:$O$1172,$A$21:$A$1172,A4)</f>
        <v/>
      </c>
      <c r="G4" s="43">
        <f>IF(E4=0,0,F4/E4)</f>
        <v/>
      </c>
      <c r="H4" s="42">
        <f>(24*60/PI())*'14_지역·상수'!$H$5*(1+0.033*COS(RADIANS(360*B4/365)))*(COS(RADIANS('11_발전량_모델'!$B$17))*COS(RADIANS(C4))*SIN(RADIANS(D4))+RADIANS(D4)*SIN(RADIANS('11_발전량_모델'!$B$17))*SIN(RADIANS(C4)))/3.6</f>
        <v/>
      </c>
      <c r="J4" s="76" t="inlineStr">
        <is>
          <t>위도 φ</t>
        </is>
      </c>
      <c r="K4" s="37">
        <f>'11_발전량_모델'!B17</f>
        <v/>
      </c>
      <c r="L4" s="77" t="inlineStr">
        <is>
          <t>°N</t>
        </is>
      </c>
    </row>
    <row r="5" ht="17" customHeight="1">
      <c r="A5" s="44" t="n">
        <v>2</v>
      </c>
      <c r="B5" s="44" t="n">
        <v>47</v>
      </c>
      <c r="C5" s="46">
        <f>23.45*SIN(RADIANS(360*(284+B5)/365))</f>
        <v/>
      </c>
      <c r="D5" s="46">
        <f>DEGREES(ACOS(MAX(-1,MIN(1,-TAN(RADIANS('11_발전량_모델'!$B$17))*TAN(RADIANS(C5))))))</f>
        <v/>
      </c>
      <c r="E5" s="46">
        <f>SUMIFS($N$21:$N$1172,$A$21:$A$1172,A5)</f>
        <v/>
      </c>
      <c r="F5" s="46">
        <f>SUMIFS($O$21:$O$1172,$A$21:$A$1172,A5)</f>
        <v/>
      </c>
      <c r="G5" s="47">
        <f>IF(E5=0,0,F5/E5)</f>
        <v/>
      </c>
      <c r="H5" s="46">
        <f>(24*60/PI())*'14_지역·상수'!$H$5*(1+0.033*COS(RADIANS(360*B5/365)))*(COS(RADIANS('11_발전량_모델'!$B$17))*COS(RADIANS(C5))*SIN(RADIANS(D5))+RADIANS(D5)*SIN(RADIANS('11_발전량_모델'!$B$17))*SIN(RADIANS(C5)))/3.6</f>
        <v/>
      </c>
      <c r="J5" s="76" t="inlineStr">
        <is>
          <t>경사각 β</t>
        </is>
      </c>
      <c r="K5" s="37">
        <f>'11_발전량_모델'!B7</f>
        <v/>
      </c>
      <c r="L5" s="77" t="inlineStr">
        <is>
          <t>°</t>
        </is>
      </c>
    </row>
    <row r="6" ht="17" customHeight="1">
      <c r="A6" s="40" t="n">
        <v>3</v>
      </c>
      <c r="B6" s="40" t="n">
        <v>75</v>
      </c>
      <c r="C6" s="42">
        <f>23.45*SIN(RADIANS(360*(284+B6)/365))</f>
        <v/>
      </c>
      <c r="D6" s="42">
        <f>DEGREES(ACOS(MAX(-1,MIN(1,-TAN(RADIANS('11_발전량_모델'!$B$17))*TAN(RADIANS(C6))))))</f>
        <v/>
      </c>
      <c r="E6" s="42">
        <f>SUMIFS($N$21:$N$1172,$A$21:$A$1172,A6)</f>
        <v/>
      </c>
      <c r="F6" s="42">
        <f>SUMIFS($O$21:$O$1172,$A$21:$A$1172,A6)</f>
        <v/>
      </c>
      <c r="G6" s="43">
        <f>IF(E6=0,0,F6/E6)</f>
        <v/>
      </c>
      <c r="H6" s="42">
        <f>(24*60/PI())*'14_지역·상수'!$H$5*(1+0.033*COS(RADIANS(360*B6/365)))*(COS(RADIANS('11_발전량_모델'!$B$17))*COS(RADIANS(C6))*SIN(RADIANS(D6))+RADIANS(D6)*SIN(RADIANS('11_발전량_모델'!$B$17))*SIN(RADIANS(C6)))/3.6</f>
        <v/>
      </c>
      <c r="J6" s="76" t="inlineStr">
        <is>
          <t>방위각 A</t>
        </is>
      </c>
      <c r="K6" s="37">
        <f>'11_발전량_모델'!B8</f>
        <v/>
      </c>
      <c r="L6" s="77" t="inlineStr">
        <is>
          <t>°</t>
        </is>
      </c>
    </row>
    <row r="7" ht="17" customHeight="1">
      <c r="A7" s="44" t="n">
        <v>4</v>
      </c>
      <c r="B7" s="44" t="n">
        <v>105</v>
      </c>
      <c r="C7" s="46">
        <f>23.45*SIN(RADIANS(360*(284+B7)/365))</f>
        <v/>
      </c>
      <c r="D7" s="46">
        <f>DEGREES(ACOS(MAX(-1,MIN(1,-TAN(RADIANS('11_발전량_모델'!$B$17))*TAN(RADIANS(C7))))))</f>
        <v/>
      </c>
      <c r="E7" s="46">
        <f>SUMIFS($N$21:$N$1172,$A$21:$A$1172,A7)</f>
        <v/>
      </c>
      <c r="F7" s="46">
        <f>SUMIFS($O$21:$O$1172,$A$21:$A$1172,A7)</f>
        <v/>
      </c>
      <c r="G7" s="47">
        <f>IF(E7=0,0,F7/E7)</f>
        <v/>
      </c>
      <c r="H7" s="46">
        <f>(24*60/PI())*'14_지역·상수'!$H$5*(1+0.033*COS(RADIANS(360*B7/365)))*(COS(RADIANS('11_발전량_모델'!$B$17))*COS(RADIANS(C7))*SIN(RADIANS(D7))+RADIANS(D7)*SIN(RADIANS('11_발전량_모델'!$B$17))*SIN(RADIANS(C7)))/3.6</f>
        <v/>
      </c>
    </row>
    <row r="8" ht="17" customHeight="1">
      <c r="A8" s="40" t="n">
        <v>5</v>
      </c>
      <c r="B8" s="40" t="n">
        <v>135</v>
      </c>
      <c r="C8" s="42">
        <f>23.45*SIN(RADIANS(360*(284+B8)/365))</f>
        <v/>
      </c>
      <c r="D8" s="42">
        <f>DEGREES(ACOS(MAX(-1,MIN(1,-TAN(RADIANS('11_발전량_모델'!$B$17))*TAN(RADIANS(C8))))))</f>
        <v/>
      </c>
      <c r="E8" s="42">
        <f>SUMIFS($N$21:$N$1172,$A$21:$A$1172,A8)</f>
        <v/>
      </c>
      <c r="F8" s="42">
        <f>SUMIFS($O$21:$O$1172,$A$21:$A$1172,A8)</f>
        <v/>
      </c>
      <c r="G8" s="43">
        <f>IF(E8=0,0,F8/E8)</f>
        <v/>
      </c>
      <c r="H8" s="42">
        <f>(24*60/PI())*'14_지역·상수'!$H$5*(1+0.033*COS(RADIANS(360*B8/365)))*(COS(RADIANS('11_발전량_모델'!$B$17))*COS(RADIANS(C8))*SIN(RADIANS(D8))+RADIANS(D8)*SIN(RADIANS('11_발전량_모델'!$B$17))*SIN(RADIANS(C8)))/3.6</f>
        <v/>
      </c>
    </row>
    <row r="9" ht="17" customHeight="1">
      <c r="A9" s="44" t="n">
        <v>6</v>
      </c>
      <c r="B9" s="44" t="n">
        <v>162</v>
      </c>
      <c r="C9" s="46">
        <f>23.45*SIN(RADIANS(360*(284+B9)/365))</f>
        <v/>
      </c>
      <c r="D9" s="46">
        <f>DEGREES(ACOS(MAX(-1,MIN(1,-TAN(RADIANS('11_발전량_모델'!$B$17))*TAN(RADIANS(C9))))))</f>
        <v/>
      </c>
      <c r="E9" s="46">
        <f>SUMIFS($N$21:$N$1172,$A$21:$A$1172,A9)</f>
        <v/>
      </c>
      <c r="F9" s="46">
        <f>SUMIFS($O$21:$O$1172,$A$21:$A$1172,A9)</f>
        <v/>
      </c>
      <c r="G9" s="47">
        <f>IF(E9=0,0,F9/E9)</f>
        <v/>
      </c>
      <c r="H9" s="46">
        <f>(24*60/PI())*'14_지역·상수'!$H$5*(1+0.033*COS(RADIANS(360*B9/365)))*(COS(RADIANS('11_발전량_모델'!$B$17))*COS(RADIANS(C9))*SIN(RADIANS(D9))+RADIANS(D9)*SIN(RADIANS('11_발전량_모델'!$B$17))*SIN(RADIANS(C9)))/3.6</f>
        <v/>
      </c>
    </row>
    <row r="10" ht="17" customHeight="1">
      <c r="A10" s="40" t="n">
        <v>7</v>
      </c>
      <c r="B10" s="40" t="n">
        <v>198</v>
      </c>
      <c r="C10" s="42">
        <f>23.45*SIN(RADIANS(360*(284+B10)/365))</f>
        <v/>
      </c>
      <c r="D10" s="42">
        <f>DEGREES(ACOS(MAX(-1,MIN(1,-TAN(RADIANS('11_발전량_모델'!$B$17))*TAN(RADIANS(C10))))))</f>
        <v/>
      </c>
      <c r="E10" s="42">
        <f>SUMIFS($N$21:$N$1172,$A$21:$A$1172,A10)</f>
        <v/>
      </c>
      <c r="F10" s="42">
        <f>SUMIFS($O$21:$O$1172,$A$21:$A$1172,A10)</f>
        <v/>
      </c>
      <c r="G10" s="43">
        <f>IF(E10=0,0,F10/E10)</f>
        <v/>
      </c>
      <c r="H10" s="42">
        <f>(24*60/PI())*'14_지역·상수'!$H$5*(1+0.033*COS(RADIANS(360*B10/365)))*(COS(RADIANS('11_발전량_모델'!$B$17))*COS(RADIANS(C10))*SIN(RADIANS(D10))+RADIANS(D10)*SIN(RADIANS('11_발전량_모델'!$B$17))*SIN(RADIANS(C10)))/3.6</f>
        <v/>
      </c>
    </row>
    <row r="11" ht="17" customHeight="1">
      <c r="A11" s="44" t="n">
        <v>8</v>
      </c>
      <c r="B11" s="44" t="n">
        <v>228</v>
      </c>
      <c r="C11" s="46">
        <f>23.45*SIN(RADIANS(360*(284+B11)/365))</f>
        <v/>
      </c>
      <c r="D11" s="46">
        <f>DEGREES(ACOS(MAX(-1,MIN(1,-TAN(RADIANS('11_발전량_모델'!$B$17))*TAN(RADIANS(C11))))))</f>
        <v/>
      </c>
      <c r="E11" s="46">
        <f>SUMIFS($N$21:$N$1172,$A$21:$A$1172,A11)</f>
        <v/>
      </c>
      <c r="F11" s="46">
        <f>SUMIFS($O$21:$O$1172,$A$21:$A$1172,A11)</f>
        <v/>
      </c>
      <c r="G11" s="47">
        <f>IF(E11=0,0,F11/E11)</f>
        <v/>
      </c>
      <c r="H11" s="46">
        <f>(24*60/PI())*'14_지역·상수'!$H$5*(1+0.033*COS(RADIANS(360*B11/365)))*(COS(RADIANS('11_발전량_모델'!$B$17))*COS(RADIANS(C11))*SIN(RADIANS(D11))+RADIANS(D11)*SIN(RADIANS('11_발전량_모델'!$B$17))*SIN(RADIANS(C11)))/3.6</f>
        <v/>
      </c>
    </row>
    <row r="12" ht="17" customHeight="1">
      <c r="A12" s="40" t="n">
        <v>9</v>
      </c>
      <c r="B12" s="40" t="n">
        <v>258</v>
      </c>
      <c r="C12" s="42">
        <f>23.45*SIN(RADIANS(360*(284+B12)/365))</f>
        <v/>
      </c>
      <c r="D12" s="42">
        <f>DEGREES(ACOS(MAX(-1,MIN(1,-TAN(RADIANS('11_발전량_모델'!$B$17))*TAN(RADIANS(C12))))))</f>
        <v/>
      </c>
      <c r="E12" s="42">
        <f>SUMIFS($N$21:$N$1172,$A$21:$A$1172,A12)</f>
        <v/>
      </c>
      <c r="F12" s="42">
        <f>SUMIFS($O$21:$O$1172,$A$21:$A$1172,A12)</f>
        <v/>
      </c>
      <c r="G12" s="43">
        <f>IF(E12=0,0,F12/E12)</f>
        <v/>
      </c>
      <c r="H12" s="42">
        <f>(24*60/PI())*'14_지역·상수'!$H$5*(1+0.033*COS(RADIANS(360*B12/365)))*(COS(RADIANS('11_발전량_모델'!$B$17))*COS(RADIANS(C12))*SIN(RADIANS(D12))+RADIANS(D12)*SIN(RADIANS('11_발전량_모델'!$B$17))*SIN(RADIANS(C12)))/3.6</f>
        <v/>
      </c>
    </row>
    <row r="13" ht="17" customHeight="1">
      <c r="A13" s="44" t="n">
        <v>10</v>
      </c>
      <c r="B13" s="44" t="n">
        <v>288</v>
      </c>
      <c r="C13" s="46">
        <f>23.45*SIN(RADIANS(360*(284+B13)/365))</f>
        <v/>
      </c>
      <c r="D13" s="46">
        <f>DEGREES(ACOS(MAX(-1,MIN(1,-TAN(RADIANS('11_발전량_모델'!$B$17))*TAN(RADIANS(C13))))))</f>
        <v/>
      </c>
      <c r="E13" s="46">
        <f>SUMIFS($N$21:$N$1172,$A$21:$A$1172,A13)</f>
        <v/>
      </c>
      <c r="F13" s="46">
        <f>SUMIFS($O$21:$O$1172,$A$21:$A$1172,A13)</f>
        <v/>
      </c>
      <c r="G13" s="47">
        <f>IF(E13=0,0,F13/E13)</f>
        <v/>
      </c>
      <c r="H13" s="46">
        <f>(24*60/PI())*'14_지역·상수'!$H$5*(1+0.033*COS(RADIANS(360*B13/365)))*(COS(RADIANS('11_발전량_모델'!$B$17))*COS(RADIANS(C13))*SIN(RADIANS(D13))+RADIANS(D13)*SIN(RADIANS('11_발전량_모델'!$B$17))*SIN(RADIANS(C13)))/3.6</f>
        <v/>
      </c>
    </row>
    <row r="14" ht="17" customHeight="1">
      <c r="A14" s="40" t="n">
        <v>11</v>
      </c>
      <c r="B14" s="40" t="n">
        <v>318</v>
      </c>
      <c r="C14" s="42">
        <f>23.45*SIN(RADIANS(360*(284+B14)/365))</f>
        <v/>
      </c>
      <c r="D14" s="42">
        <f>DEGREES(ACOS(MAX(-1,MIN(1,-TAN(RADIANS('11_발전량_모델'!$B$17))*TAN(RADIANS(C14))))))</f>
        <v/>
      </c>
      <c r="E14" s="42">
        <f>SUMIFS($N$21:$N$1172,$A$21:$A$1172,A14)</f>
        <v/>
      </c>
      <c r="F14" s="42">
        <f>SUMIFS($O$21:$O$1172,$A$21:$A$1172,A14)</f>
        <v/>
      </c>
      <c r="G14" s="43">
        <f>IF(E14=0,0,F14/E14)</f>
        <v/>
      </c>
      <c r="H14" s="42">
        <f>(24*60/PI())*'14_지역·상수'!$H$5*(1+0.033*COS(RADIANS(360*B14/365)))*(COS(RADIANS('11_발전량_모델'!$B$17))*COS(RADIANS(C14))*SIN(RADIANS(D14))+RADIANS(D14)*SIN(RADIANS('11_발전량_모델'!$B$17))*SIN(RADIANS(C14)))/3.6</f>
        <v/>
      </c>
    </row>
    <row r="15" ht="17" customHeight="1">
      <c r="A15" s="44" t="n">
        <v>12</v>
      </c>
      <c r="B15" s="44" t="n">
        <v>344</v>
      </c>
      <c r="C15" s="46">
        <f>23.45*SIN(RADIANS(360*(284+B15)/365))</f>
        <v/>
      </c>
      <c r="D15" s="46">
        <f>DEGREES(ACOS(MAX(-1,MIN(1,-TAN(RADIANS('11_발전량_모델'!$B$17))*TAN(RADIANS(C15))))))</f>
        <v/>
      </c>
      <c r="E15" s="46">
        <f>SUMIFS($N$21:$N$1172,$A$21:$A$1172,A15)</f>
        <v/>
      </c>
      <c r="F15" s="46">
        <f>SUMIFS($O$21:$O$1172,$A$21:$A$1172,A15)</f>
        <v/>
      </c>
      <c r="G15" s="47">
        <f>IF(E15=0,0,F15/E15)</f>
        <v/>
      </c>
      <c r="H15" s="46">
        <f>(24*60/PI())*'14_지역·상수'!$H$5*(1+0.033*COS(RADIANS(360*B15/365)))*(COS(RADIANS('11_발전량_모델'!$B$17))*COS(RADIANS(C15))*SIN(RADIANS(D15))+RADIANS(D15)*SIN(RADIANS('11_발전량_모델'!$B$17))*SIN(RADIANS(C15)))/3.6</f>
        <v/>
      </c>
    </row>
    <row r="18" ht="20" customHeight="1">
      <c r="A18" s="4" t="inlineStr">
        <is>
          <t>■ 15분 간격 태양벡터 적분 상세 (근거 자료 · 행 그룹으로 접혀 있음)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P19" s="78" t="inlineStr">
        <is>
          <t>↓ '13_시나리오비교' 시나리오별 cosAOI⁺ (시나리오 경사각·방위각 적용)</t>
        </is>
      </c>
    </row>
    <row r="20" ht="30" customHeight="1">
      <c r="A20" s="14" t="inlineStr">
        <is>
          <t>월</t>
        </is>
      </c>
      <c r="B20" s="14" t="inlineStr">
        <is>
          <t>Step</t>
        </is>
      </c>
      <c r="C20" s="14" t="inlineStr">
        <is>
          <t>태양시
[hour]</t>
        </is>
      </c>
      <c r="D20" s="14" t="inlineStr">
        <is>
          <t>DOY</t>
        </is>
      </c>
      <c r="E20" s="14" t="inlineStr">
        <is>
          <t>적위 δ</t>
        </is>
      </c>
      <c r="F20" s="14" t="inlineStr">
        <is>
          <t>시각각 ω</t>
        </is>
      </c>
      <c r="G20" s="14" t="inlineStr">
        <is>
          <t>Sun_E</t>
        </is>
      </c>
      <c r="H20" s="14" t="inlineStr">
        <is>
          <t>Sun_N</t>
        </is>
      </c>
      <c r="I20" s="14" t="inlineStr">
        <is>
          <t>Sun_U=cosθz</t>
        </is>
      </c>
      <c r="J20" s="14" t="inlineStr">
        <is>
          <t>Normal_E</t>
        </is>
      </c>
      <c r="K20" s="14" t="inlineStr">
        <is>
          <t>Normal_N</t>
        </is>
      </c>
      <c r="L20" s="14" t="inlineStr">
        <is>
          <t>Normal_U</t>
        </is>
      </c>
      <c r="M20" s="14" t="inlineStr">
        <is>
          <t>cosAOI</t>
        </is>
      </c>
      <c r="N20" s="14" t="inlineStr">
        <is>
          <t>cosθz⁺</t>
        </is>
      </c>
      <c r="O20" s="14" t="inlineStr">
        <is>
          <t>cosAOI⁺</t>
        </is>
      </c>
      <c r="P20" s="14" t="inlineStr">
        <is>
          <t>cosAOI⁺
S1</t>
        </is>
      </c>
      <c r="Q20" s="14" t="inlineStr">
        <is>
          <t>cosAOI⁺
S2</t>
        </is>
      </c>
      <c r="R20" s="14" t="inlineStr">
        <is>
          <t>cosAOI⁺
S3</t>
        </is>
      </c>
      <c r="S20" s="14" t="inlineStr">
        <is>
          <t>cosAOI⁺
S4</t>
        </is>
      </c>
      <c r="T20" s="14" t="inlineStr">
        <is>
          <t>cosAOI⁺
S5</t>
        </is>
      </c>
      <c r="U20" s="14" t="inlineStr">
        <is>
          <t>cosAOI⁺
S6</t>
        </is>
      </c>
      <c r="V20" s="14" t="inlineStr">
        <is>
          <t>cosAOI⁺
S7</t>
        </is>
      </c>
      <c r="W20" s="14" t="inlineStr">
        <is>
          <t>cosAOI⁺
S8</t>
        </is>
      </c>
      <c r="X20" s="14" t="inlineStr">
        <is>
          <t>cosAOI⁺
S9</t>
        </is>
      </c>
      <c r="Y20" s="14" t="inlineStr">
        <is>
          <t>cosAOI⁺
S10</t>
        </is>
      </c>
    </row>
    <row r="21" hidden="1" outlineLevel="1">
      <c r="A21" s="79" t="n">
        <v>1</v>
      </c>
      <c r="B21" s="79" t="n">
        <v>1</v>
      </c>
      <c r="C21" s="80">
        <f>(B21-0.5)*'14_지역·상수'!$H$6</f>
        <v/>
      </c>
      <c r="D21" s="79" t="n">
        <v>17</v>
      </c>
      <c r="E21" s="80">
        <f>INDEX($C$4:$C$15,MATCH(A21,$A$4:$A$15,0))</f>
        <v/>
      </c>
      <c r="F21" s="80">
        <f>15*(C21-12)</f>
        <v/>
      </c>
      <c r="G21" s="80">
        <f>-COS(RADIANS(E21))*SIN(RADIANS(F21))</f>
        <v/>
      </c>
      <c r="H21" s="80">
        <f>COS(RADIANS('11_발전량_모델'!$B$17))*SIN(RADIANS(E21))-SIN(RADIANS('11_발전량_모델'!$B$17))*COS(RADIANS(E21))*COS(RADIANS(F21))</f>
        <v/>
      </c>
      <c r="I21" s="80">
        <f>SIN(RADIANS('11_발전량_모델'!$B$17))*SIN(RADIANS(E21))+COS(RADIANS('11_발전량_모델'!$B$17))*COS(RADIANS(E21))*COS(RADIANS(F21))</f>
        <v/>
      </c>
      <c r="J21" s="80">
        <f>SIN(RADIANS('11_발전량_모델'!$B$7))*SIN(RADIANS('11_발전량_모델'!$B$8))</f>
        <v/>
      </c>
      <c r="K21" s="80">
        <f>SIN(RADIANS('11_발전량_모델'!$B$7))*COS(RADIANS('11_발전량_모델'!$B$8))</f>
        <v/>
      </c>
      <c r="L21" s="80">
        <f>COS(RADIANS('11_발전량_모델'!$B$7))</f>
        <v/>
      </c>
      <c r="M21" s="80">
        <f>G21*J21+H21*K21+I21*L21</f>
        <v/>
      </c>
      <c r="N21" s="80">
        <f>MAX(0,I21)</f>
        <v/>
      </c>
      <c r="O21" s="80">
        <f>IF(I21&gt;0,MAX(0,M21),0)</f>
        <v/>
      </c>
      <c r="P21" s="80">
        <f>IF($I21&gt;0,MAX(0,$G21*SIN(RADIANS('13_시나리오비교'!$B$5))*SIN(RADIANS('13_시나리오비교'!$C$5))+$H21*SIN(RADIANS('13_시나리오비교'!$B$5))*COS(RADIANS('13_시나리오비교'!$C$5))+$I21*COS(RADIANS('13_시나리오비교'!$B$5))),0)</f>
        <v/>
      </c>
      <c r="Q21" s="80">
        <f>IF($I21&gt;0,MAX(0,$G21*SIN(RADIANS('13_시나리오비교'!$B$6))*SIN(RADIANS('13_시나리오비교'!$C$6))+$H21*SIN(RADIANS('13_시나리오비교'!$B$6))*COS(RADIANS('13_시나리오비교'!$C$6))+$I21*COS(RADIANS('13_시나리오비교'!$B$6))),0)</f>
        <v/>
      </c>
      <c r="R21" s="80">
        <f>IF($I21&gt;0,MAX(0,$G21*SIN(RADIANS('13_시나리오비교'!$B$7))*SIN(RADIANS('13_시나리오비교'!$C$7))+$H21*SIN(RADIANS('13_시나리오비교'!$B$7))*COS(RADIANS('13_시나리오비교'!$C$7))+$I21*COS(RADIANS('13_시나리오비교'!$B$7))),0)</f>
        <v/>
      </c>
      <c r="S21" s="80">
        <f>IF($I21&gt;0,MAX(0,$G21*SIN(RADIANS('13_시나리오비교'!$B$8))*SIN(RADIANS('13_시나리오비교'!$C$8))+$H21*SIN(RADIANS('13_시나리오비교'!$B$8))*COS(RADIANS('13_시나리오비교'!$C$8))+$I21*COS(RADIANS('13_시나리오비교'!$B$8))),0)</f>
        <v/>
      </c>
      <c r="T21" s="80">
        <f>IF($I21&gt;0,MAX(0,$G21*SIN(RADIANS('13_시나리오비교'!$B$9))*SIN(RADIANS('13_시나리오비교'!$C$9))+$H21*SIN(RADIANS('13_시나리오비교'!$B$9))*COS(RADIANS('13_시나리오비교'!$C$9))+$I21*COS(RADIANS('13_시나리오비교'!$B$9))),0)</f>
        <v/>
      </c>
      <c r="U21" s="80">
        <f>IF($I21&gt;0,MAX(0,$G21*SIN(RADIANS('13_시나리오비교'!$B$10))*SIN(RADIANS('13_시나리오비교'!$C$10))+$H21*SIN(RADIANS('13_시나리오비교'!$B$10))*COS(RADIANS('13_시나리오비교'!$C$10))+$I21*COS(RADIANS('13_시나리오비교'!$B$10))),0)</f>
        <v/>
      </c>
      <c r="V21" s="80">
        <f>IF($I21&gt;0,MAX(0,$G21*SIN(RADIANS('13_시나리오비교'!$B$11))*SIN(RADIANS('13_시나리오비교'!$C$11))+$H21*SIN(RADIANS('13_시나리오비교'!$B$11))*COS(RADIANS('13_시나리오비교'!$C$11))+$I21*COS(RADIANS('13_시나리오비교'!$B$11))),0)</f>
        <v/>
      </c>
      <c r="W21" s="80">
        <f>IF($I21&gt;0,MAX(0,$G21*SIN(RADIANS('13_시나리오비교'!$B$12))*SIN(RADIANS('13_시나리오비교'!$C$12))+$H21*SIN(RADIANS('13_시나리오비교'!$B$12))*COS(RADIANS('13_시나리오비교'!$C$12))+$I21*COS(RADIANS('13_시나리오비교'!$B$12))),0)</f>
        <v/>
      </c>
      <c r="X21" s="80">
        <f>IF($I21&gt;0,MAX(0,$G21*SIN(RADIANS('13_시나리오비교'!$B$13))*SIN(RADIANS('13_시나리오비교'!$C$13))+$H21*SIN(RADIANS('13_시나리오비교'!$B$13))*COS(RADIANS('13_시나리오비교'!$C$13))+$I21*COS(RADIANS('13_시나리오비교'!$B$13))),0)</f>
        <v/>
      </c>
      <c r="Y21" s="80">
        <f>IF($I21&gt;0,MAX(0,$G21*SIN(RADIANS('13_시나리오비교'!$B$14))*SIN(RADIANS('13_시나리오비교'!$C$14))+$H21*SIN(RADIANS('13_시나리오비교'!$B$14))*COS(RADIANS('13_시나리오비교'!$C$14))+$I21*COS(RADIANS('13_시나리오비교'!$B$14))),0)</f>
        <v/>
      </c>
    </row>
    <row r="22" hidden="1" outlineLevel="1">
      <c r="A22" s="79" t="n">
        <v>1</v>
      </c>
      <c r="B22" s="79" t="n">
        <v>2</v>
      </c>
      <c r="C22" s="80">
        <f>(B22-0.5)*'14_지역·상수'!$H$6</f>
        <v/>
      </c>
      <c r="D22" s="79" t="n">
        <v>17</v>
      </c>
      <c r="E22" s="80">
        <f>INDEX($C$4:$C$15,MATCH(A22,$A$4:$A$15,0))</f>
        <v/>
      </c>
      <c r="F22" s="80">
        <f>15*(C22-12)</f>
        <v/>
      </c>
      <c r="G22" s="80">
        <f>-COS(RADIANS(E22))*SIN(RADIANS(F22))</f>
        <v/>
      </c>
      <c r="H22" s="80">
        <f>COS(RADIANS('11_발전량_모델'!$B$17))*SIN(RADIANS(E22))-SIN(RADIANS('11_발전량_모델'!$B$17))*COS(RADIANS(E22))*COS(RADIANS(F22))</f>
        <v/>
      </c>
      <c r="I22" s="80">
        <f>SIN(RADIANS('11_발전량_모델'!$B$17))*SIN(RADIANS(E22))+COS(RADIANS('11_발전량_모델'!$B$17))*COS(RADIANS(E22))*COS(RADIANS(F22))</f>
        <v/>
      </c>
      <c r="J22" s="80">
        <f>SIN(RADIANS('11_발전량_모델'!$B$7))*SIN(RADIANS('11_발전량_모델'!$B$8))</f>
        <v/>
      </c>
      <c r="K22" s="80">
        <f>SIN(RADIANS('11_발전량_모델'!$B$7))*COS(RADIANS('11_발전량_모델'!$B$8))</f>
        <v/>
      </c>
      <c r="L22" s="80">
        <f>COS(RADIANS('11_발전량_모델'!$B$7))</f>
        <v/>
      </c>
      <c r="M22" s="80">
        <f>G22*J22+H22*K22+I22*L22</f>
        <v/>
      </c>
      <c r="N22" s="80">
        <f>MAX(0,I22)</f>
        <v/>
      </c>
      <c r="O22" s="80">
        <f>IF(I22&gt;0,MAX(0,M22),0)</f>
        <v/>
      </c>
      <c r="P22" s="80">
        <f>IF($I22&gt;0,MAX(0,$G22*SIN(RADIANS('13_시나리오비교'!$B$5))*SIN(RADIANS('13_시나리오비교'!$C$5))+$H22*SIN(RADIANS('13_시나리오비교'!$B$5))*COS(RADIANS('13_시나리오비교'!$C$5))+$I22*COS(RADIANS('13_시나리오비교'!$B$5))),0)</f>
        <v/>
      </c>
      <c r="Q22" s="80">
        <f>IF($I22&gt;0,MAX(0,$G22*SIN(RADIANS('13_시나리오비교'!$B$6))*SIN(RADIANS('13_시나리오비교'!$C$6))+$H22*SIN(RADIANS('13_시나리오비교'!$B$6))*COS(RADIANS('13_시나리오비교'!$C$6))+$I22*COS(RADIANS('13_시나리오비교'!$B$6))),0)</f>
        <v/>
      </c>
      <c r="R22" s="80">
        <f>IF($I22&gt;0,MAX(0,$G22*SIN(RADIANS('13_시나리오비교'!$B$7))*SIN(RADIANS('13_시나리오비교'!$C$7))+$H22*SIN(RADIANS('13_시나리오비교'!$B$7))*COS(RADIANS('13_시나리오비교'!$C$7))+$I22*COS(RADIANS('13_시나리오비교'!$B$7))),0)</f>
        <v/>
      </c>
      <c r="S22" s="80">
        <f>IF($I22&gt;0,MAX(0,$G22*SIN(RADIANS('13_시나리오비교'!$B$8))*SIN(RADIANS('13_시나리오비교'!$C$8))+$H22*SIN(RADIANS('13_시나리오비교'!$B$8))*COS(RADIANS('13_시나리오비교'!$C$8))+$I22*COS(RADIANS('13_시나리오비교'!$B$8))),0)</f>
        <v/>
      </c>
      <c r="T22" s="80">
        <f>IF($I22&gt;0,MAX(0,$G22*SIN(RADIANS('13_시나리오비교'!$B$9))*SIN(RADIANS('13_시나리오비교'!$C$9))+$H22*SIN(RADIANS('13_시나리오비교'!$B$9))*COS(RADIANS('13_시나리오비교'!$C$9))+$I22*COS(RADIANS('13_시나리오비교'!$B$9))),0)</f>
        <v/>
      </c>
      <c r="U22" s="80">
        <f>IF($I22&gt;0,MAX(0,$G22*SIN(RADIANS('13_시나리오비교'!$B$10))*SIN(RADIANS('13_시나리오비교'!$C$10))+$H22*SIN(RADIANS('13_시나리오비교'!$B$10))*COS(RADIANS('13_시나리오비교'!$C$10))+$I22*COS(RADIANS('13_시나리오비교'!$B$10))),0)</f>
        <v/>
      </c>
      <c r="V22" s="80">
        <f>IF($I22&gt;0,MAX(0,$G22*SIN(RADIANS('13_시나리오비교'!$B$11))*SIN(RADIANS('13_시나리오비교'!$C$11))+$H22*SIN(RADIANS('13_시나리오비교'!$B$11))*COS(RADIANS('13_시나리오비교'!$C$11))+$I22*COS(RADIANS('13_시나리오비교'!$B$11))),0)</f>
        <v/>
      </c>
      <c r="W22" s="80">
        <f>IF($I22&gt;0,MAX(0,$G22*SIN(RADIANS('13_시나리오비교'!$B$12))*SIN(RADIANS('13_시나리오비교'!$C$12))+$H22*SIN(RADIANS('13_시나리오비교'!$B$12))*COS(RADIANS('13_시나리오비교'!$C$12))+$I22*COS(RADIANS('13_시나리오비교'!$B$12))),0)</f>
        <v/>
      </c>
      <c r="X22" s="80">
        <f>IF($I22&gt;0,MAX(0,$G22*SIN(RADIANS('13_시나리오비교'!$B$13))*SIN(RADIANS('13_시나리오비교'!$C$13))+$H22*SIN(RADIANS('13_시나리오비교'!$B$13))*COS(RADIANS('13_시나리오비교'!$C$13))+$I22*COS(RADIANS('13_시나리오비교'!$B$13))),0)</f>
        <v/>
      </c>
      <c r="Y22" s="80">
        <f>IF($I22&gt;0,MAX(0,$G22*SIN(RADIANS('13_시나리오비교'!$B$14))*SIN(RADIANS('13_시나리오비교'!$C$14))+$H22*SIN(RADIANS('13_시나리오비교'!$B$14))*COS(RADIANS('13_시나리오비교'!$C$14))+$I22*COS(RADIANS('13_시나리오비교'!$B$14))),0)</f>
        <v/>
      </c>
    </row>
    <row r="23" hidden="1" outlineLevel="1">
      <c r="A23" s="79" t="n">
        <v>1</v>
      </c>
      <c r="B23" s="79" t="n">
        <v>3</v>
      </c>
      <c r="C23" s="80">
        <f>(B23-0.5)*'14_지역·상수'!$H$6</f>
        <v/>
      </c>
      <c r="D23" s="79" t="n">
        <v>17</v>
      </c>
      <c r="E23" s="80">
        <f>INDEX($C$4:$C$15,MATCH(A23,$A$4:$A$15,0))</f>
        <v/>
      </c>
      <c r="F23" s="80">
        <f>15*(C23-12)</f>
        <v/>
      </c>
      <c r="G23" s="80">
        <f>-COS(RADIANS(E23))*SIN(RADIANS(F23))</f>
        <v/>
      </c>
      <c r="H23" s="80">
        <f>COS(RADIANS('11_발전량_모델'!$B$17))*SIN(RADIANS(E23))-SIN(RADIANS('11_발전량_모델'!$B$17))*COS(RADIANS(E23))*COS(RADIANS(F23))</f>
        <v/>
      </c>
      <c r="I23" s="80">
        <f>SIN(RADIANS('11_발전량_모델'!$B$17))*SIN(RADIANS(E23))+COS(RADIANS('11_발전량_모델'!$B$17))*COS(RADIANS(E23))*COS(RADIANS(F23))</f>
        <v/>
      </c>
      <c r="J23" s="80">
        <f>SIN(RADIANS('11_발전량_모델'!$B$7))*SIN(RADIANS('11_발전량_모델'!$B$8))</f>
        <v/>
      </c>
      <c r="K23" s="80">
        <f>SIN(RADIANS('11_발전량_모델'!$B$7))*COS(RADIANS('11_발전량_모델'!$B$8))</f>
        <v/>
      </c>
      <c r="L23" s="80">
        <f>COS(RADIANS('11_발전량_모델'!$B$7))</f>
        <v/>
      </c>
      <c r="M23" s="80">
        <f>G23*J23+H23*K23+I23*L23</f>
        <v/>
      </c>
      <c r="N23" s="80">
        <f>MAX(0,I23)</f>
        <v/>
      </c>
      <c r="O23" s="80">
        <f>IF(I23&gt;0,MAX(0,M23),0)</f>
        <v/>
      </c>
      <c r="P23" s="80">
        <f>IF($I23&gt;0,MAX(0,$G23*SIN(RADIANS('13_시나리오비교'!$B$5))*SIN(RADIANS('13_시나리오비교'!$C$5))+$H23*SIN(RADIANS('13_시나리오비교'!$B$5))*COS(RADIANS('13_시나리오비교'!$C$5))+$I23*COS(RADIANS('13_시나리오비교'!$B$5))),0)</f>
        <v/>
      </c>
      <c r="Q23" s="80">
        <f>IF($I23&gt;0,MAX(0,$G23*SIN(RADIANS('13_시나리오비교'!$B$6))*SIN(RADIANS('13_시나리오비교'!$C$6))+$H23*SIN(RADIANS('13_시나리오비교'!$B$6))*COS(RADIANS('13_시나리오비교'!$C$6))+$I23*COS(RADIANS('13_시나리오비교'!$B$6))),0)</f>
        <v/>
      </c>
      <c r="R23" s="80">
        <f>IF($I23&gt;0,MAX(0,$G23*SIN(RADIANS('13_시나리오비교'!$B$7))*SIN(RADIANS('13_시나리오비교'!$C$7))+$H23*SIN(RADIANS('13_시나리오비교'!$B$7))*COS(RADIANS('13_시나리오비교'!$C$7))+$I23*COS(RADIANS('13_시나리오비교'!$B$7))),0)</f>
        <v/>
      </c>
      <c r="S23" s="80">
        <f>IF($I23&gt;0,MAX(0,$G23*SIN(RADIANS('13_시나리오비교'!$B$8))*SIN(RADIANS('13_시나리오비교'!$C$8))+$H23*SIN(RADIANS('13_시나리오비교'!$B$8))*COS(RADIANS('13_시나리오비교'!$C$8))+$I23*COS(RADIANS('13_시나리오비교'!$B$8))),0)</f>
        <v/>
      </c>
      <c r="T23" s="80">
        <f>IF($I23&gt;0,MAX(0,$G23*SIN(RADIANS('13_시나리오비교'!$B$9))*SIN(RADIANS('13_시나리오비교'!$C$9))+$H23*SIN(RADIANS('13_시나리오비교'!$B$9))*COS(RADIANS('13_시나리오비교'!$C$9))+$I23*COS(RADIANS('13_시나리오비교'!$B$9))),0)</f>
        <v/>
      </c>
      <c r="U23" s="80">
        <f>IF($I23&gt;0,MAX(0,$G23*SIN(RADIANS('13_시나리오비교'!$B$10))*SIN(RADIANS('13_시나리오비교'!$C$10))+$H23*SIN(RADIANS('13_시나리오비교'!$B$10))*COS(RADIANS('13_시나리오비교'!$C$10))+$I23*COS(RADIANS('13_시나리오비교'!$B$10))),0)</f>
        <v/>
      </c>
      <c r="V23" s="80">
        <f>IF($I23&gt;0,MAX(0,$G23*SIN(RADIANS('13_시나리오비교'!$B$11))*SIN(RADIANS('13_시나리오비교'!$C$11))+$H23*SIN(RADIANS('13_시나리오비교'!$B$11))*COS(RADIANS('13_시나리오비교'!$C$11))+$I23*COS(RADIANS('13_시나리오비교'!$B$11))),0)</f>
        <v/>
      </c>
      <c r="W23" s="80">
        <f>IF($I23&gt;0,MAX(0,$G23*SIN(RADIANS('13_시나리오비교'!$B$12))*SIN(RADIANS('13_시나리오비교'!$C$12))+$H23*SIN(RADIANS('13_시나리오비교'!$B$12))*COS(RADIANS('13_시나리오비교'!$C$12))+$I23*COS(RADIANS('13_시나리오비교'!$B$12))),0)</f>
        <v/>
      </c>
      <c r="X23" s="80">
        <f>IF($I23&gt;0,MAX(0,$G23*SIN(RADIANS('13_시나리오비교'!$B$13))*SIN(RADIANS('13_시나리오비교'!$C$13))+$H23*SIN(RADIANS('13_시나리오비교'!$B$13))*COS(RADIANS('13_시나리오비교'!$C$13))+$I23*COS(RADIANS('13_시나리오비교'!$B$13))),0)</f>
        <v/>
      </c>
      <c r="Y23" s="80">
        <f>IF($I23&gt;0,MAX(0,$G23*SIN(RADIANS('13_시나리오비교'!$B$14))*SIN(RADIANS('13_시나리오비교'!$C$14))+$H23*SIN(RADIANS('13_시나리오비교'!$B$14))*COS(RADIANS('13_시나리오비교'!$C$14))+$I23*COS(RADIANS('13_시나리오비교'!$B$14))),0)</f>
        <v/>
      </c>
    </row>
    <row r="24" hidden="1" outlineLevel="1">
      <c r="A24" s="79" t="n">
        <v>1</v>
      </c>
      <c r="B24" s="79" t="n">
        <v>4</v>
      </c>
      <c r="C24" s="80">
        <f>(B24-0.5)*'14_지역·상수'!$H$6</f>
        <v/>
      </c>
      <c r="D24" s="79" t="n">
        <v>17</v>
      </c>
      <c r="E24" s="80">
        <f>INDEX($C$4:$C$15,MATCH(A24,$A$4:$A$15,0))</f>
        <v/>
      </c>
      <c r="F24" s="80">
        <f>15*(C24-12)</f>
        <v/>
      </c>
      <c r="G24" s="80">
        <f>-COS(RADIANS(E24))*SIN(RADIANS(F24))</f>
        <v/>
      </c>
      <c r="H24" s="80">
        <f>COS(RADIANS('11_발전량_모델'!$B$17))*SIN(RADIANS(E24))-SIN(RADIANS('11_발전량_모델'!$B$17))*COS(RADIANS(E24))*COS(RADIANS(F24))</f>
        <v/>
      </c>
      <c r="I24" s="80">
        <f>SIN(RADIANS('11_발전량_모델'!$B$17))*SIN(RADIANS(E24))+COS(RADIANS('11_발전량_모델'!$B$17))*COS(RADIANS(E24))*COS(RADIANS(F24))</f>
        <v/>
      </c>
      <c r="J24" s="80">
        <f>SIN(RADIANS('11_발전량_모델'!$B$7))*SIN(RADIANS('11_발전량_모델'!$B$8))</f>
        <v/>
      </c>
      <c r="K24" s="80">
        <f>SIN(RADIANS('11_발전량_모델'!$B$7))*COS(RADIANS('11_발전량_모델'!$B$8))</f>
        <v/>
      </c>
      <c r="L24" s="80">
        <f>COS(RADIANS('11_발전량_모델'!$B$7))</f>
        <v/>
      </c>
      <c r="M24" s="80">
        <f>G24*J24+H24*K24+I24*L24</f>
        <v/>
      </c>
      <c r="N24" s="80">
        <f>MAX(0,I24)</f>
        <v/>
      </c>
      <c r="O24" s="80">
        <f>IF(I24&gt;0,MAX(0,M24),0)</f>
        <v/>
      </c>
      <c r="P24" s="80">
        <f>IF($I24&gt;0,MAX(0,$G24*SIN(RADIANS('13_시나리오비교'!$B$5))*SIN(RADIANS('13_시나리오비교'!$C$5))+$H24*SIN(RADIANS('13_시나리오비교'!$B$5))*COS(RADIANS('13_시나리오비교'!$C$5))+$I24*COS(RADIANS('13_시나리오비교'!$B$5))),0)</f>
        <v/>
      </c>
      <c r="Q24" s="80">
        <f>IF($I24&gt;0,MAX(0,$G24*SIN(RADIANS('13_시나리오비교'!$B$6))*SIN(RADIANS('13_시나리오비교'!$C$6))+$H24*SIN(RADIANS('13_시나리오비교'!$B$6))*COS(RADIANS('13_시나리오비교'!$C$6))+$I24*COS(RADIANS('13_시나리오비교'!$B$6))),0)</f>
        <v/>
      </c>
      <c r="R24" s="80">
        <f>IF($I24&gt;0,MAX(0,$G24*SIN(RADIANS('13_시나리오비교'!$B$7))*SIN(RADIANS('13_시나리오비교'!$C$7))+$H24*SIN(RADIANS('13_시나리오비교'!$B$7))*COS(RADIANS('13_시나리오비교'!$C$7))+$I24*COS(RADIANS('13_시나리오비교'!$B$7))),0)</f>
        <v/>
      </c>
      <c r="S24" s="80">
        <f>IF($I24&gt;0,MAX(0,$G24*SIN(RADIANS('13_시나리오비교'!$B$8))*SIN(RADIANS('13_시나리오비교'!$C$8))+$H24*SIN(RADIANS('13_시나리오비교'!$B$8))*COS(RADIANS('13_시나리오비교'!$C$8))+$I24*COS(RADIANS('13_시나리오비교'!$B$8))),0)</f>
        <v/>
      </c>
      <c r="T24" s="80">
        <f>IF($I24&gt;0,MAX(0,$G24*SIN(RADIANS('13_시나리오비교'!$B$9))*SIN(RADIANS('13_시나리오비교'!$C$9))+$H24*SIN(RADIANS('13_시나리오비교'!$B$9))*COS(RADIANS('13_시나리오비교'!$C$9))+$I24*COS(RADIANS('13_시나리오비교'!$B$9))),0)</f>
        <v/>
      </c>
      <c r="U24" s="80">
        <f>IF($I24&gt;0,MAX(0,$G24*SIN(RADIANS('13_시나리오비교'!$B$10))*SIN(RADIANS('13_시나리오비교'!$C$10))+$H24*SIN(RADIANS('13_시나리오비교'!$B$10))*COS(RADIANS('13_시나리오비교'!$C$10))+$I24*COS(RADIANS('13_시나리오비교'!$B$10))),0)</f>
        <v/>
      </c>
      <c r="V24" s="80">
        <f>IF($I24&gt;0,MAX(0,$G24*SIN(RADIANS('13_시나리오비교'!$B$11))*SIN(RADIANS('13_시나리오비교'!$C$11))+$H24*SIN(RADIANS('13_시나리오비교'!$B$11))*COS(RADIANS('13_시나리오비교'!$C$11))+$I24*COS(RADIANS('13_시나리오비교'!$B$11))),0)</f>
        <v/>
      </c>
      <c r="W24" s="80">
        <f>IF($I24&gt;0,MAX(0,$G24*SIN(RADIANS('13_시나리오비교'!$B$12))*SIN(RADIANS('13_시나리오비교'!$C$12))+$H24*SIN(RADIANS('13_시나리오비교'!$B$12))*COS(RADIANS('13_시나리오비교'!$C$12))+$I24*COS(RADIANS('13_시나리오비교'!$B$12))),0)</f>
        <v/>
      </c>
      <c r="X24" s="80">
        <f>IF($I24&gt;0,MAX(0,$G24*SIN(RADIANS('13_시나리오비교'!$B$13))*SIN(RADIANS('13_시나리오비교'!$C$13))+$H24*SIN(RADIANS('13_시나리오비교'!$B$13))*COS(RADIANS('13_시나리오비교'!$C$13))+$I24*COS(RADIANS('13_시나리오비교'!$B$13))),0)</f>
        <v/>
      </c>
      <c r="Y24" s="80">
        <f>IF($I24&gt;0,MAX(0,$G24*SIN(RADIANS('13_시나리오비교'!$B$14))*SIN(RADIANS('13_시나리오비교'!$C$14))+$H24*SIN(RADIANS('13_시나리오비교'!$B$14))*COS(RADIANS('13_시나리오비교'!$C$14))+$I24*COS(RADIANS('13_시나리오비교'!$B$14))),0)</f>
        <v/>
      </c>
    </row>
    <row r="25" hidden="1" outlineLevel="1">
      <c r="A25" s="79" t="n">
        <v>1</v>
      </c>
      <c r="B25" s="79" t="n">
        <v>5</v>
      </c>
      <c r="C25" s="80">
        <f>(B25-0.5)*'14_지역·상수'!$H$6</f>
        <v/>
      </c>
      <c r="D25" s="79" t="n">
        <v>17</v>
      </c>
      <c r="E25" s="80">
        <f>INDEX($C$4:$C$15,MATCH(A25,$A$4:$A$15,0))</f>
        <v/>
      </c>
      <c r="F25" s="80">
        <f>15*(C25-12)</f>
        <v/>
      </c>
      <c r="G25" s="80">
        <f>-COS(RADIANS(E25))*SIN(RADIANS(F25))</f>
        <v/>
      </c>
      <c r="H25" s="80">
        <f>COS(RADIANS('11_발전량_모델'!$B$17))*SIN(RADIANS(E25))-SIN(RADIANS('11_발전량_모델'!$B$17))*COS(RADIANS(E25))*COS(RADIANS(F25))</f>
        <v/>
      </c>
      <c r="I25" s="80">
        <f>SIN(RADIANS('11_발전량_모델'!$B$17))*SIN(RADIANS(E25))+COS(RADIANS('11_발전량_모델'!$B$17))*COS(RADIANS(E25))*COS(RADIANS(F25))</f>
        <v/>
      </c>
      <c r="J25" s="80">
        <f>SIN(RADIANS('11_발전량_모델'!$B$7))*SIN(RADIANS('11_발전량_모델'!$B$8))</f>
        <v/>
      </c>
      <c r="K25" s="80">
        <f>SIN(RADIANS('11_발전량_모델'!$B$7))*COS(RADIANS('11_발전량_모델'!$B$8))</f>
        <v/>
      </c>
      <c r="L25" s="80">
        <f>COS(RADIANS('11_발전량_모델'!$B$7))</f>
        <v/>
      </c>
      <c r="M25" s="80">
        <f>G25*J25+H25*K25+I25*L25</f>
        <v/>
      </c>
      <c r="N25" s="80">
        <f>MAX(0,I25)</f>
        <v/>
      </c>
      <c r="O25" s="80">
        <f>IF(I25&gt;0,MAX(0,M25),0)</f>
        <v/>
      </c>
      <c r="P25" s="80">
        <f>IF($I25&gt;0,MAX(0,$G25*SIN(RADIANS('13_시나리오비교'!$B$5))*SIN(RADIANS('13_시나리오비교'!$C$5))+$H25*SIN(RADIANS('13_시나리오비교'!$B$5))*COS(RADIANS('13_시나리오비교'!$C$5))+$I25*COS(RADIANS('13_시나리오비교'!$B$5))),0)</f>
        <v/>
      </c>
      <c r="Q25" s="80">
        <f>IF($I25&gt;0,MAX(0,$G25*SIN(RADIANS('13_시나리오비교'!$B$6))*SIN(RADIANS('13_시나리오비교'!$C$6))+$H25*SIN(RADIANS('13_시나리오비교'!$B$6))*COS(RADIANS('13_시나리오비교'!$C$6))+$I25*COS(RADIANS('13_시나리오비교'!$B$6))),0)</f>
        <v/>
      </c>
      <c r="R25" s="80">
        <f>IF($I25&gt;0,MAX(0,$G25*SIN(RADIANS('13_시나리오비교'!$B$7))*SIN(RADIANS('13_시나리오비교'!$C$7))+$H25*SIN(RADIANS('13_시나리오비교'!$B$7))*COS(RADIANS('13_시나리오비교'!$C$7))+$I25*COS(RADIANS('13_시나리오비교'!$B$7))),0)</f>
        <v/>
      </c>
      <c r="S25" s="80">
        <f>IF($I25&gt;0,MAX(0,$G25*SIN(RADIANS('13_시나리오비교'!$B$8))*SIN(RADIANS('13_시나리오비교'!$C$8))+$H25*SIN(RADIANS('13_시나리오비교'!$B$8))*COS(RADIANS('13_시나리오비교'!$C$8))+$I25*COS(RADIANS('13_시나리오비교'!$B$8))),0)</f>
        <v/>
      </c>
      <c r="T25" s="80">
        <f>IF($I25&gt;0,MAX(0,$G25*SIN(RADIANS('13_시나리오비교'!$B$9))*SIN(RADIANS('13_시나리오비교'!$C$9))+$H25*SIN(RADIANS('13_시나리오비교'!$B$9))*COS(RADIANS('13_시나리오비교'!$C$9))+$I25*COS(RADIANS('13_시나리오비교'!$B$9))),0)</f>
        <v/>
      </c>
      <c r="U25" s="80">
        <f>IF($I25&gt;0,MAX(0,$G25*SIN(RADIANS('13_시나리오비교'!$B$10))*SIN(RADIANS('13_시나리오비교'!$C$10))+$H25*SIN(RADIANS('13_시나리오비교'!$B$10))*COS(RADIANS('13_시나리오비교'!$C$10))+$I25*COS(RADIANS('13_시나리오비교'!$B$10))),0)</f>
        <v/>
      </c>
      <c r="V25" s="80">
        <f>IF($I25&gt;0,MAX(0,$G25*SIN(RADIANS('13_시나리오비교'!$B$11))*SIN(RADIANS('13_시나리오비교'!$C$11))+$H25*SIN(RADIANS('13_시나리오비교'!$B$11))*COS(RADIANS('13_시나리오비교'!$C$11))+$I25*COS(RADIANS('13_시나리오비교'!$B$11))),0)</f>
        <v/>
      </c>
      <c r="W25" s="80">
        <f>IF($I25&gt;0,MAX(0,$G25*SIN(RADIANS('13_시나리오비교'!$B$12))*SIN(RADIANS('13_시나리오비교'!$C$12))+$H25*SIN(RADIANS('13_시나리오비교'!$B$12))*COS(RADIANS('13_시나리오비교'!$C$12))+$I25*COS(RADIANS('13_시나리오비교'!$B$12))),0)</f>
        <v/>
      </c>
      <c r="X25" s="80">
        <f>IF($I25&gt;0,MAX(0,$G25*SIN(RADIANS('13_시나리오비교'!$B$13))*SIN(RADIANS('13_시나리오비교'!$C$13))+$H25*SIN(RADIANS('13_시나리오비교'!$B$13))*COS(RADIANS('13_시나리오비교'!$C$13))+$I25*COS(RADIANS('13_시나리오비교'!$B$13))),0)</f>
        <v/>
      </c>
      <c r="Y25" s="80">
        <f>IF($I25&gt;0,MAX(0,$G25*SIN(RADIANS('13_시나리오비교'!$B$14))*SIN(RADIANS('13_시나리오비교'!$C$14))+$H25*SIN(RADIANS('13_시나리오비교'!$B$14))*COS(RADIANS('13_시나리오비교'!$C$14))+$I25*COS(RADIANS('13_시나리오비교'!$B$14))),0)</f>
        <v/>
      </c>
    </row>
    <row r="26" hidden="1" outlineLevel="1">
      <c r="A26" s="79" t="n">
        <v>1</v>
      </c>
      <c r="B26" s="79" t="n">
        <v>6</v>
      </c>
      <c r="C26" s="80">
        <f>(B26-0.5)*'14_지역·상수'!$H$6</f>
        <v/>
      </c>
      <c r="D26" s="79" t="n">
        <v>17</v>
      </c>
      <c r="E26" s="80">
        <f>INDEX($C$4:$C$15,MATCH(A26,$A$4:$A$15,0))</f>
        <v/>
      </c>
      <c r="F26" s="80">
        <f>15*(C26-12)</f>
        <v/>
      </c>
      <c r="G26" s="80">
        <f>-COS(RADIANS(E26))*SIN(RADIANS(F26))</f>
        <v/>
      </c>
      <c r="H26" s="80">
        <f>COS(RADIANS('11_발전량_모델'!$B$17))*SIN(RADIANS(E26))-SIN(RADIANS('11_발전량_모델'!$B$17))*COS(RADIANS(E26))*COS(RADIANS(F26))</f>
        <v/>
      </c>
      <c r="I26" s="80">
        <f>SIN(RADIANS('11_발전량_모델'!$B$17))*SIN(RADIANS(E26))+COS(RADIANS('11_발전량_모델'!$B$17))*COS(RADIANS(E26))*COS(RADIANS(F26))</f>
        <v/>
      </c>
      <c r="J26" s="80">
        <f>SIN(RADIANS('11_발전량_모델'!$B$7))*SIN(RADIANS('11_발전량_모델'!$B$8))</f>
        <v/>
      </c>
      <c r="K26" s="80">
        <f>SIN(RADIANS('11_발전량_모델'!$B$7))*COS(RADIANS('11_발전량_모델'!$B$8))</f>
        <v/>
      </c>
      <c r="L26" s="80">
        <f>COS(RADIANS('11_발전량_모델'!$B$7))</f>
        <v/>
      </c>
      <c r="M26" s="80">
        <f>G26*J26+H26*K26+I26*L26</f>
        <v/>
      </c>
      <c r="N26" s="80">
        <f>MAX(0,I26)</f>
        <v/>
      </c>
      <c r="O26" s="80">
        <f>IF(I26&gt;0,MAX(0,M26),0)</f>
        <v/>
      </c>
      <c r="P26" s="80">
        <f>IF($I26&gt;0,MAX(0,$G26*SIN(RADIANS('13_시나리오비교'!$B$5))*SIN(RADIANS('13_시나리오비교'!$C$5))+$H26*SIN(RADIANS('13_시나리오비교'!$B$5))*COS(RADIANS('13_시나리오비교'!$C$5))+$I26*COS(RADIANS('13_시나리오비교'!$B$5))),0)</f>
        <v/>
      </c>
      <c r="Q26" s="80">
        <f>IF($I26&gt;0,MAX(0,$G26*SIN(RADIANS('13_시나리오비교'!$B$6))*SIN(RADIANS('13_시나리오비교'!$C$6))+$H26*SIN(RADIANS('13_시나리오비교'!$B$6))*COS(RADIANS('13_시나리오비교'!$C$6))+$I26*COS(RADIANS('13_시나리오비교'!$B$6))),0)</f>
        <v/>
      </c>
      <c r="R26" s="80">
        <f>IF($I26&gt;0,MAX(0,$G26*SIN(RADIANS('13_시나리오비교'!$B$7))*SIN(RADIANS('13_시나리오비교'!$C$7))+$H26*SIN(RADIANS('13_시나리오비교'!$B$7))*COS(RADIANS('13_시나리오비교'!$C$7))+$I26*COS(RADIANS('13_시나리오비교'!$B$7))),0)</f>
        <v/>
      </c>
      <c r="S26" s="80">
        <f>IF($I26&gt;0,MAX(0,$G26*SIN(RADIANS('13_시나리오비교'!$B$8))*SIN(RADIANS('13_시나리오비교'!$C$8))+$H26*SIN(RADIANS('13_시나리오비교'!$B$8))*COS(RADIANS('13_시나리오비교'!$C$8))+$I26*COS(RADIANS('13_시나리오비교'!$B$8))),0)</f>
        <v/>
      </c>
      <c r="T26" s="80">
        <f>IF($I26&gt;0,MAX(0,$G26*SIN(RADIANS('13_시나리오비교'!$B$9))*SIN(RADIANS('13_시나리오비교'!$C$9))+$H26*SIN(RADIANS('13_시나리오비교'!$B$9))*COS(RADIANS('13_시나리오비교'!$C$9))+$I26*COS(RADIANS('13_시나리오비교'!$B$9))),0)</f>
        <v/>
      </c>
      <c r="U26" s="80">
        <f>IF($I26&gt;0,MAX(0,$G26*SIN(RADIANS('13_시나리오비교'!$B$10))*SIN(RADIANS('13_시나리오비교'!$C$10))+$H26*SIN(RADIANS('13_시나리오비교'!$B$10))*COS(RADIANS('13_시나리오비교'!$C$10))+$I26*COS(RADIANS('13_시나리오비교'!$B$10))),0)</f>
        <v/>
      </c>
      <c r="V26" s="80">
        <f>IF($I26&gt;0,MAX(0,$G26*SIN(RADIANS('13_시나리오비교'!$B$11))*SIN(RADIANS('13_시나리오비교'!$C$11))+$H26*SIN(RADIANS('13_시나리오비교'!$B$11))*COS(RADIANS('13_시나리오비교'!$C$11))+$I26*COS(RADIANS('13_시나리오비교'!$B$11))),0)</f>
        <v/>
      </c>
      <c r="W26" s="80">
        <f>IF($I26&gt;0,MAX(0,$G26*SIN(RADIANS('13_시나리오비교'!$B$12))*SIN(RADIANS('13_시나리오비교'!$C$12))+$H26*SIN(RADIANS('13_시나리오비교'!$B$12))*COS(RADIANS('13_시나리오비교'!$C$12))+$I26*COS(RADIANS('13_시나리오비교'!$B$12))),0)</f>
        <v/>
      </c>
      <c r="X26" s="80">
        <f>IF($I26&gt;0,MAX(0,$G26*SIN(RADIANS('13_시나리오비교'!$B$13))*SIN(RADIANS('13_시나리오비교'!$C$13))+$H26*SIN(RADIANS('13_시나리오비교'!$B$13))*COS(RADIANS('13_시나리오비교'!$C$13))+$I26*COS(RADIANS('13_시나리오비교'!$B$13))),0)</f>
        <v/>
      </c>
      <c r="Y26" s="80">
        <f>IF($I26&gt;0,MAX(0,$G26*SIN(RADIANS('13_시나리오비교'!$B$14))*SIN(RADIANS('13_시나리오비교'!$C$14))+$H26*SIN(RADIANS('13_시나리오비교'!$B$14))*COS(RADIANS('13_시나리오비교'!$C$14))+$I26*COS(RADIANS('13_시나리오비교'!$B$14))),0)</f>
        <v/>
      </c>
    </row>
    <row r="27" hidden="1" outlineLevel="1">
      <c r="A27" s="79" t="n">
        <v>1</v>
      </c>
      <c r="B27" s="79" t="n">
        <v>7</v>
      </c>
      <c r="C27" s="80">
        <f>(B27-0.5)*'14_지역·상수'!$H$6</f>
        <v/>
      </c>
      <c r="D27" s="79" t="n">
        <v>17</v>
      </c>
      <c r="E27" s="80">
        <f>INDEX($C$4:$C$15,MATCH(A27,$A$4:$A$15,0))</f>
        <v/>
      </c>
      <c r="F27" s="80">
        <f>15*(C27-12)</f>
        <v/>
      </c>
      <c r="G27" s="80">
        <f>-COS(RADIANS(E27))*SIN(RADIANS(F27))</f>
        <v/>
      </c>
      <c r="H27" s="80">
        <f>COS(RADIANS('11_발전량_모델'!$B$17))*SIN(RADIANS(E27))-SIN(RADIANS('11_발전량_모델'!$B$17))*COS(RADIANS(E27))*COS(RADIANS(F27))</f>
        <v/>
      </c>
      <c r="I27" s="80">
        <f>SIN(RADIANS('11_발전량_모델'!$B$17))*SIN(RADIANS(E27))+COS(RADIANS('11_발전량_모델'!$B$17))*COS(RADIANS(E27))*COS(RADIANS(F27))</f>
        <v/>
      </c>
      <c r="J27" s="80">
        <f>SIN(RADIANS('11_발전량_모델'!$B$7))*SIN(RADIANS('11_발전량_모델'!$B$8))</f>
        <v/>
      </c>
      <c r="K27" s="80">
        <f>SIN(RADIANS('11_발전량_모델'!$B$7))*COS(RADIANS('11_발전량_모델'!$B$8))</f>
        <v/>
      </c>
      <c r="L27" s="80">
        <f>COS(RADIANS('11_발전량_모델'!$B$7))</f>
        <v/>
      </c>
      <c r="M27" s="80">
        <f>G27*J27+H27*K27+I27*L27</f>
        <v/>
      </c>
      <c r="N27" s="80">
        <f>MAX(0,I27)</f>
        <v/>
      </c>
      <c r="O27" s="80">
        <f>IF(I27&gt;0,MAX(0,M27),0)</f>
        <v/>
      </c>
      <c r="P27" s="80">
        <f>IF($I27&gt;0,MAX(0,$G27*SIN(RADIANS('13_시나리오비교'!$B$5))*SIN(RADIANS('13_시나리오비교'!$C$5))+$H27*SIN(RADIANS('13_시나리오비교'!$B$5))*COS(RADIANS('13_시나리오비교'!$C$5))+$I27*COS(RADIANS('13_시나리오비교'!$B$5))),0)</f>
        <v/>
      </c>
      <c r="Q27" s="80">
        <f>IF($I27&gt;0,MAX(0,$G27*SIN(RADIANS('13_시나리오비교'!$B$6))*SIN(RADIANS('13_시나리오비교'!$C$6))+$H27*SIN(RADIANS('13_시나리오비교'!$B$6))*COS(RADIANS('13_시나리오비교'!$C$6))+$I27*COS(RADIANS('13_시나리오비교'!$B$6))),0)</f>
        <v/>
      </c>
      <c r="R27" s="80">
        <f>IF($I27&gt;0,MAX(0,$G27*SIN(RADIANS('13_시나리오비교'!$B$7))*SIN(RADIANS('13_시나리오비교'!$C$7))+$H27*SIN(RADIANS('13_시나리오비교'!$B$7))*COS(RADIANS('13_시나리오비교'!$C$7))+$I27*COS(RADIANS('13_시나리오비교'!$B$7))),0)</f>
        <v/>
      </c>
      <c r="S27" s="80">
        <f>IF($I27&gt;0,MAX(0,$G27*SIN(RADIANS('13_시나리오비교'!$B$8))*SIN(RADIANS('13_시나리오비교'!$C$8))+$H27*SIN(RADIANS('13_시나리오비교'!$B$8))*COS(RADIANS('13_시나리오비교'!$C$8))+$I27*COS(RADIANS('13_시나리오비교'!$B$8))),0)</f>
        <v/>
      </c>
      <c r="T27" s="80">
        <f>IF($I27&gt;0,MAX(0,$G27*SIN(RADIANS('13_시나리오비교'!$B$9))*SIN(RADIANS('13_시나리오비교'!$C$9))+$H27*SIN(RADIANS('13_시나리오비교'!$B$9))*COS(RADIANS('13_시나리오비교'!$C$9))+$I27*COS(RADIANS('13_시나리오비교'!$B$9))),0)</f>
        <v/>
      </c>
      <c r="U27" s="80">
        <f>IF($I27&gt;0,MAX(0,$G27*SIN(RADIANS('13_시나리오비교'!$B$10))*SIN(RADIANS('13_시나리오비교'!$C$10))+$H27*SIN(RADIANS('13_시나리오비교'!$B$10))*COS(RADIANS('13_시나리오비교'!$C$10))+$I27*COS(RADIANS('13_시나리오비교'!$B$10))),0)</f>
        <v/>
      </c>
      <c r="V27" s="80">
        <f>IF($I27&gt;0,MAX(0,$G27*SIN(RADIANS('13_시나리오비교'!$B$11))*SIN(RADIANS('13_시나리오비교'!$C$11))+$H27*SIN(RADIANS('13_시나리오비교'!$B$11))*COS(RADIANS('13_시나리오비교'!$C$11))+$I27*COS(RADIANS('13_시나리오비교'!$B$11))),0)</f>
        <v/>
      </c>
      <c r="W27" s="80">
        <f>IF($I27&gt;0,MAX(0,$G27*SIN(RADIANS('13_시나리오비교'!$B$12))*SIN(RADIANS('13_시나리오비교'!$C$12))+$H27*SIN(RADIANS('13_시나리오비교'!$B$12))*COS(RADIANS('13_시나리오비교'!$C$12))+$I27*COS(RADIANS('13_시나리오비교'!$B$12))),0)</f>
        <v/>
      </c>
      <c r="X27" s="80">
        <f>IF($I27&gt;0,MAX(0,$G27*SIN(RADIANS('13_시나리오비교'!$B$13))*SIN(RADIANS('13_시나리오비교'!$C$13))+$H27*SIN(RADIANS('13_시나리오비교'!$B$13))*COS(RADIANS('13_시나리오비교'!$C$13))+$I27*COS(RADIANS('13_시나리오비교'!$B$13))),0)</f>
        <v/>
      </c>
      <c r="Y27" s="80">
        <f>IF($I27&gt;0,MAX(0,$G27*SIN(RADIANS('13_시나리오비교'!$B$14))*SIN(RADIANS('13_시나리오비교'!$C$14))+$H27*SIN(RADIANS('13_시나리오비교'!$B$14))*COS(RADIANS('13_시나리오비교'!$C$14))+$I27*COS(RADIANS('13_시나리오비교'!$B$14))),0)</f>
        <v/>
      </c>
    </row>
    <row r="28" hidden="1" outlineLevel="1">
      <c r="A28" s="79" t="n">
        <v>1</v>
      </c>
      <c r="B28" s="79" t="n">
        <v>8</v>
      </c>
      <c r="C28" s="80">
        <f>(B28-0.5)*'14_지역·상수'!$H$6</f>
        <v/>
      </c>
      <c r="D28" s="79" t="n">
        <v>17</v>
      </c>
      <c r="E28" s="80">
        <f>INDEX($C$4:$C$15,MATCH(A28,$A$4:$A$15,0))</f>
        <v/>
      </c>
      <c r="F28" s="80">
        <f>15*(C28-12)</f>
        <v/>
      </c>
      <c r="G28" s="80">
        <f>-COS(RADIANS(E28))*SIN(RADIANS(F28))</f>
        <v/>
      </c>
      <c r="H28" s="80">
        <f>COS(RADIANS('11_발전량_모델'!$B$17))*SIN(RADIANS(E28))-SIN(RADIANS('11_발전량_모델'!$B$17))*COS(RADIANS(E28))*COS(RADIANS(F28))</f>
        <v/>
      </c>
      <c r="I28" s="80">
        <f>SIN(RADIANS('11_발전량_모델'!$B$17))*SIN(RADIANS(E28))+COS(RADIANS('11_발전량_모델'!$B$17))*COS(RADIANS(E28))*COS(RADIANS(F28))</f>
        <v/>
      </c>
      <c r="J28" s="80">
        <f>SIN(RADIANS('11_발전량_모델'!$B$7))*SIN(RADIANS('11_발전량_모델'!$B$8))</f>
        <v/>
      </c>
      <c r="K28" s="80">
        <f>SIN(RADIANS('11_발전량_모델'!$B$7))*COS(RADIANS('11_발전량_모델'!$B$8))</f>
        <v/>
      </c>
      <c r="L28" s="80">
        <f>COS(RADIANS('11_발전량_모델'!$B$7))</f>
        <v/>
      </c>
      <c r="M28" s="80">
        <f>G28*J28+H28*K28+I28*L28</f>
        <v/>
      </c>
      <c r="N28" s="80">
        <f>MAX(0,I28)</f>
        <v/>
      </c>
      <c r="O28" s="80">
        <f>IF(I28&gt;0,MAX(0,M28),0)</f>
        <v/>
      </c>
      <c r="P28" s="80">
        <f>IF($I28&gt;0,MAX(0,$G28*SIN(RADIANS('13_시나리오비교'!$B$5))*SIN(RADIANS('13_시나리오비교'!$C$5))+$H28*SIN(RADIANS('13_시나리오비교'!$B$5))*COS(RADIANS('13_시나리오비교'!$C$5))+$I28*COS(RADIANS('13_시나리오비교'!$B$5))),0)</f>
        <v/>
      </c>
      <c r="Q28" s="80">
        <f>IF($I28&gt;0,MAX(0,$G28*SIN(RADIANS('13_시나리오비교'!$B$6))*SIN(RADIANS('13_시나리오비교'!$C$6))+$H28*SIN(RADIANS('13_시나리오비교'!$B$6))*COS(RADIANS('13_시나리오비교'!$C$6))+$I28*COS(RADIANS('13_시나리오비교'!$B$6))),0)</f>
        <v/>
      </c>
      <c r="R28" s="80">
        <f>IF($I28&gt;0,MAX(0,$G28*SIN(RADIANS('13_시나리오비교'!$B$7))*SIN(RADIANS('13_시나리오비교'!$C$7))+$H28*SIN(RADIANS('13_시나리오비교'!$B$7))*COS(RADIANS('13_시나리오비교'!$C$7))+$I28*COS(RADIANS('13_시나리오비교'!$B$7))),0)</f>
        <v/>
      </c>
      <c r="S28" s="80">
        <f>IF($I28&gt;0,MAX(0,$G28*SIN(RADIANS('13_시나리오비교'!$B$8))*SIN(RADIANS('13_시나리오비교'!$C$8))+$H28*SIN(RADIANS('13_시나리오비교'!$B$8))*COS(RADIANS('13_시나리오비교'!$C$8))+$I28*COS(RADIANS('13_시나리오비교'!$B$8))),0)</f>
        <v/>
      </c>
      <c r="T28" s="80">
        <f>IF($I28&gt;0,MAX(0,$G28*SIN(RADIANS('13_시나리오비교'!$B$9))*SIN(RADIANS('13_시나리오비교'!$C$9))+$H28*SIN(RADIANS('13_시나리오비교'!$B$9))*COS(RADIANS('13_시나리오비교'!$C$9))+$I28*COS(RADIANS('13_시나리오비교'!$B$9))),0)</f>
        <v/>
      </c>
      <c r="U28" s="80">
        <f>IF($I28&gt;0,MAX(0,$G28*SIN(RADIANS('13_시나리오비교'!$B$10))*SIN(RADIANS('13_시나리오비교'!$C$10))+$H28*SIN(RADIANS('13_시나리오비교'!$B$10))*COS(RADIANS('13_시나리오비교'!$C$10))+$I28*COS(RADIANS('13_시나리오비교'!$B$10))),0)</f>
        <v/>
      </c>
      <c r="V28" s="80">
        <f>IF($I28&gt;0,MAX(0,$G28*SIN(RADIANS('13_시나리오비교'!$B$11))*SIN(RADIANS('13_시나리오비교'!$C$11))+$H28*SIN(RADIANS('13_시나리오비교'!$B$11))*COS(RADIANS('13_시나리오비교'!$C$11))+$I28*COS(RADIANS('13_시나리오비교'!$B$11))),0)</f>
        <v/>
      </c>
      <c r="W28" s="80">
        <f>IF($I28&gt;0,MAX(0,$G28*SIN(RADIANS('13_시나리오비교'!$B$12))*SIN(RADIANS('13_시나리오비교'!$C$12))+$H28*SIN(RADIANS('13_시나리오비교'!$B$12))*COS(RADIANS('13_시나리오비교'!$C$12))+$I28*COS(RADIANS('13_시나리오비교'!$B$12))),0)</f>
        <v/>
      </c>
      <c r="X28" s="80">
        <f>IF($I28&gt;0,MAX(0,$G28*SIN(RADIANS('13_시나리오비교'!$B$13))*SIN(RADIANS('13_시나리오비교'!$C$13))+$H28*SIN(RADIANS('13_시나리오비교'!$B$13))*COS(RADIANS('13_시나리오비교'!$C$13))+$I28*COS(RADIANS('13_시나리오비교'!$B$13))),0)</f>
        <v/>
      </c>
      <c r="Y28" s="80">
        <f>IF($I28&gt;0,MAX(0,$G28*SIN(RADIANS('13_시나리오비교'!$B$14))*SIN(RADIANS('13_시나리오비교'!$C$14))+$H28*SIN(RADIANS('13_시나리오비교'!$B$14))*COS(RADIANS('13_시나리오비교'!$C$14))+$I28*COS(RADIANS('13_시나리오비교'!$B$14))),0)</f>
        <v/>
      </c>
    </row>
    <row r="29" hidden="1" outlineLevel="1">
      <c r="A29" s="79" t="n">
        <v>1</v>
      </c>
      <c r="B29" s="79" t="n">
        <v>9</v>
      </c>
      <c r="C29" s="80">
        <f>(B29-0.5)*'14_지역·상수'!$H$6</f>
        <v/>
      </c>
      <c r="D29" s="79" t="n">
        <v>17</v>
      </c>
      <c r="E29" s="80">
        <f>INDEX($C$4:$C$15,MATCH(A29,$A$4:$A$15,0))</f>
        <v/>
      </c>
      <c r="F29" s="80">
        <f>15*(C29-12)</f>
        <v/>
      </c>
      <c r="G29" s="80">
        <f>-COS(RADIANS(E29))*SIN(RADIANS(F29))</f>
        <v/>
      </c>
      <c r="H29" s="80">
        <f>COS(RADIANS('11_발전량_모델'!$B$17))*SIN(RADIANS(E29))-SIN(RADIANS('11_발전량_모델'!$B$17))*COS(RADIANS(E29))*COS(RADIANS(F29))</f>
        <v/>
      </c>
      <c r="I29" s="80">
        <f>SIN(RADIANS('11_발전량_모델'!$B$17))*SIN(RADIANS(E29))+COS(RADIANS('11_발전량_모델'!$B$17))*COS(RADIANS(E29))*COS(RADIANS(F29))</f>
        <v/>
      </c>
      <c r="J29" s="80">
        <f>SIN(RADIANS('11_발전량_모델'!$B$7))*SIN(RADIANS('11_발전량_모델'!$B$8))</f>
        <v/>
      </c>
      <c r="K29" s="80">
        <f>SIN(RADIANS('11_발전량_모델'!$B$7))*COS(RADIANS('11_발전량_모델'!$B$8))</f>
        <v/>
      </c>
      <c r="L29" s="80">
        <f>COS(RADIANS('11_발전량_모델'!$B$7))</f>
        <v/>
      </c>
      <c r="M29" s="80">
        <f>G29*J29+H29*K29+I29*L29</f>
        <v/>
      </c>
      <c r="N29" s="80">
        <f>MAX(0,I29)</f>
        <v/>
      </c>
      <c r="O29" s="80">
        <f>IF(I29&gt;0,MAX(0,M29),0)</f>
        <v/>
      </c>
      <c r="P29" s="80">
        <f>IF($I29&gt;0,MAX(0,$G29*SIN(RADIANS('13_시나리오비교'!$B$5))*SIN(RADIANS('13_시나리오비교'!$C$5))+$H29*SIN(RADIANS('13_시나리오비교'!$B$5))*COS(RADIANS('13_시나리오비교'!$C$5))+$I29*COS(RADIANS('13_시나리오비교'!$B$5))),0)</f>
        <v/>
      </c>
      <c r="Q29" s="80">
        <f>IF($I29&gt;0,MAX(0,$G29*SIN(RADIANS('13_시나리오비교'!$B$6))*SIN(RADIANS('13_시나리오비교'!$C$6))+$H29*SIN(RADIANS('13_시나리오비교'!$B$6))*COS(RADIANS('13_시나리오비교'!$C$6))+$I29*COS(RADIANS('13_시나리오비교'!$B$6))),0)</f>
        <v/>
      </c>
      <c r="R29" s="80">
        <f>IF($I29&gt;0,MAX(0,$G29*SIN(RADIANS('13_시나리오비교'!$B$7))*SIN(RADIANS('13_시나리오비교'!$C$7))+$H29*SIN(RADIANS('13_시나리오비교'!$B$7))*COS(RADIANS('13_시나리오비교'!$C$7))+$I29*COS(RADIANS('13_시나리오비교'!$B$7))),0)</f>
        <v/>
      </c>
      <c r="S29" s="80">
        <f>IF($I29&gt;0,MAX(0,$G29*SIN(RADIANS('13_시나리오비교'!$B$8))*SIN(RADIANS('13_시나리오비교'!$C$8))+$H29*SIN(RADIANS('13_시나리오비교'!$B$8))*COS(RADIANS('13_시나리오비교'!$C$8))+$I29*COS(RADIANS('13_시나리오비교'!$B$8))),0)</f>
        <v/>
      </c>
      <c r="T29" s="80">
        <f>IF($I29&gt;0,MAX(0,$G29*SIN(RADIANS('13_시나리오비교'!$B$9))*SIN(RADIANS('13_시나리오비교'!$C$9))+$H29*SIN(RADIANS('13_시나리오비교'!$B$9))*COS(RADIANS('13_시나리오비교'!$C$9))+$I29*COS(RADIANS('13_시나리오비교'!$B$9))),0)</f>
        <v/>
      </c>
      <c r="U29" s="80">
        <f>IF($I29&gt;0,MAX(0,$G29*SIN(RADIANS('13_시나리오비교'!$B$10))*SIN(RADIANS('13_시나리오비교'!$C$10))+$H29*SIN(RADIANS('13_시나리오비교'!$B$10))*COS(RADIANS('13_시나리오비교'!$C$10))+$I29*COS(RADIANS('13_시나리오비교'!$B$10))),0)</f>
        <v/>
      </c>
      <c r="V29" s="80">
        <f>IF($I29&gt;0,MAX(0,$G29*SIN(RADIANS('13_시나리오비교'!$B$11))*SIN(RADIANS('13_시나리오비교'!$C$11))+$H29*SIN(RADIANS('13_시나리오비교'!$B$11))*COS(RADIANS('13_시나리오비교'!$C$11))+$I29*COS(RADIANS('13_시나리오비교'!$B$11))),0)</f>
        <v/>
      </c>
      <c r="W29" s="80">
        <f>IF($I29&gt;0,MAX(0,$G29*SIN(RADIANS('13_시나리오비교'!$B$12))*SIN(RADIANS('13_시나리오비교'!$C$12))+$H29*SIN(RADIANS('13_시나리오비교'!$B$12))*COS(RADIANS('13_시나리오비교'!$C$12))+$I29*COS(RADIANS('13_시나리오비교'!$B$12))),0)</f>
        <v/>
      </c>
      <c r="X29" s="80">
        <f>IF($I29&gt;0,MAX(0,$G29*SIN(RADIANS('13_시나리오비교'!$B$13))*SIN(RADIANS('13_시나리오비교'!$C$13))+$H29*SIN(RADIANS('13_시나리오비교'!$B$13))*COS(RADIANS('13_시나리오비교'!$C$13))+$I29*COS(RADIANS('13_시나리오비교'!$B$13))),0)</f>
        <v/>
      </c>
      <c r="Y29" s="80">
        <f>IF($I29&gt;0,MAX(0,$G29*SIN(RADIANS('13_시나리오비교'!$B$14))*SIN(RADIANS('13_시나리오비교'!$C$14))+$H29*SIN(RADIANS('13_시나리오비교'!$B$14))*COS(RADIANS('13_시나리오비교'!$C$14))+$I29*COS(RADIANS('13_시나리오비교'!$B$14))),0)</f>
        <v/>
      </c>
    </row>
    <row r="30" hidden="1" outlineLevel="1">
      <c r="A30" s="79" t="n">
        <v>1</v>
      </c>
      <c r="B30" s="79" t="n">
        <v>10</v>
      </c>
      <c r="C30" s="80">
        <f>(B30-0.5)*'14_지역·상수'!$H$6</f>
        <v/>
      </c>
      <c r="D30" s="79" t="n">
        <v>17</v>
      </c>
      <c r="E30" s="80">
        <f>INDEX($C$4:$C$15,MATCH(A30,$A$4:$A$15,0))</f>
        <v/>
      </c>
      <c r="F30" s="80">
        <f>15*(C30-12)</f>
        <v/>
      </c>
      <c r="G30" s="80">
        <f>-COS(RADIANS(E30))*SIN(RADIANS(F30))</f>
        <v/>
      </c>
      <c r="H30" s="80">
        <f>COS(RADIANS('11_발전량_모델'!$B$17))*SIN(RADIANS(E30))-SIN(RADIANS('11_발전량_모델'!$B$17))*COS(RADIANS(E30))*COS(RADIANS(F30))</f>
        <v/>
      </c>
      <c r="I30" s="80">
        <f>SIN(RADIANS('11_발전량_모델'!$B$17))*SIN(RADIANS(E30))+COS(RADIANS('11_발전량_모델'!$B$17))*COS(RADIANS(E30))*COS(RADIANS(F30))</f>
        <v/>
      </c>
      <c r="J30" s="80">
        <f>SIN(RADIANS('11_발전량_모델'!$B$7))*SIN(RADIANS('11_발전량_모델'!$B$8))</f>
        <v/>
      </c>
      <c r="K30" s="80">
        <f>SIN(RADIANS('11_발전량_모델'!$B$7))*COS(RADIANS('11_발전량_모델'!$B$8))</f>
        <v/>
      </c>
      <c r="L30" s="80">
        <f>COS(RADIANS('11_발전량_모델'!$B$7))</f>
        <v/>
      </c>
      <c r="M30" s="80">
        <f>G30*J30+H30*K30+I30*L30</f>
        <v/>
      </c>
      <c r="N30" s="80">
        <f>MAX(0,I30)</f>
        <v/>
      </c>
      <c r="O30" s="80">
        <f>IF(I30&gt;0,MAX(0,M30),0)</f>
        <v/>
      </c>
      <c r="P30" s="80">
        <f>IF($I30&gt;0,MAX(0,$G30*SIN(RADIANS('13_시나리오비교'!$B$5))*SIN(RADIANS('13_시나리오비교'!$C$5))+$H30*SIN(RADIANS('13_시나리오비교'!$B$5))*COS(RADIANS('13_시나리오비교'!$C$5))+$I30*COS(RADIANS('13_시나리오비교'!$B$5))),0)</f>
        <v/>
      </c>
      <c r="Q30" s="80">
        <f>IF($I30&gt;0,MAX(0,$G30*SIN(RADIANS('13_시나리오비교'!$B$6))*SIN(RADIANS('13_시나리오비교'!$C$6))+$H30*SIN(RADIANS('13_시나리오비교'!$B$6))*COS(RADIANS('13_시나리오비교'!$C$6))+$I30*COS(RADIANS('13_시나리오비교'!$B$6))),0)</f>
        <v/>
      </c>
      <c r="R30" s="80">
        <f>IF($I30&gt;0,MAX(0,$G30*SIN(RADIANS('13_시나리오비교'!$B$7))*SIN(RADIANS('13_시나리오비교'!$C$7))+$H30*SIN(RADIANS('13_시나리오비교'!$B$7))*COS(RADIANS('13_시나리오비교'!$C$7))+$I30*COS(RADIANS('13_시나리오비교'!$B$7))),0)</f>
        <v/>
      </c>
      <c r="S30" s="80">
        <f>IF($I30&gt;0,MAX(0,$G30*SIN(RADIANS('13_시나리오비교'!$B$8))*SIN(RADIANS('13_시나리오비교'!$C$8))+$H30*SIN(RADIANS('13_시나리오비교'!$B$8))*COS(RADIANS('13_시나리오비교'!$C$8))+$I30*COS(RADIANS('13_시나리오비교'!$B$8))),0)</f>
        <v/>
      </c>
      <c r="T30" s="80">
        <f>IF($I30&gt;0,MAX(0,$G30*SIN(RADIANS('13_시나리오비교'!$B$9))*SIN(RADIANS('13_시나리오비교'!$C$9))+$H30*SIN(RADIANS('13_시나리오비교'!$B$9))*COS(RADIANS('13_시나리오비교'!$C$9))+$I30*COS(RADIANS('13_시나리오비교'!$B$9))),0)</f>
        <v/>
      </c>
      <c r="U30" s="80">
        <f>IF($I30&gt;0,MAX(0,$G30*SIN(RADIANS('13_시나리오비교'!$B$10))*SIN(RADIANS('13_시나리오비교'!$C$10))+$H30*SIN(RADIANS('13_시나리오비교'!$B$10))*COS(RADIANS('13_시나리오비교'!$C$10))+$I30*COS(RADIANS('13_시나리오비교'!$B$10))),0)</f>
        <v/>
      </c>
      <c r="V30" s="80">
        <f>IF($I30&gt;0,MAX(0,$G30*SIN(RADIANS('13_시나리오비교'!$B$11))*SIN(RADIANS('13_시나리오비교'!$C$11))+$H30*SIN(RADIANS('13_시나리오비교'!$B$11))*COS(RADIANS('13_시나리오비교'!$C$11))+$I30*COS(RADIANS('13_시나리오비교'!$B$11))),0)</f>
        <v/>
      </c>
      <c r="W30" s="80">
        <f>IF($I30&gt;0,MAX(0,$G30*SIN(RADIANS('13_시나리오비교'!$B$12))*SIN(RADIANS('13_시나리오비교'!$C$12))+$H30*SIN(RADIANS('13_시나리오비교'!$B$12))*COS(RADIANS('13_시나리오비교'!$C$12))+$I30*COS(RADIANS('13_시나리오비교'!$B$12))),0)</f>
        <v/>
      </c>
      <c r="X30" s="80">
        <f>IF($I30&gt;0,MAX(0,$G30*SIN(RADIANS('13_시나리오비교'!$B$13))*SIN(RADIANS('13_시나리오비교'!$C$13))+$H30*SIN(RADIANS('13_시나리오비교'!$B$13))*COS(RADIANS('13_시나리오비교'!$C$13))+$I30*COS(RADIANS('13_시나리오비교'!$B$13))),0)</f>
        <v/>
      </c>
      <c r="Y30" s="80">
        <f>IF($I30&gt;0,MAX(0,$G30*SIN(RADIANS('13_시나리오비교'!$B$14))*SIN(RADIANS('13_시나리오비교'!$C$14))+$H30*SIN(RADIANS('13_시나리오비교'!$B$14))*COS(RADIANS('13_시나리오비교'!$C$14))+$I30*COS(RADIANS('13_시나리오비교'!$B$14))),0)</f>
        <v/>
      </c>
    </row>
    <row r="31" hidden="1" outlineLevel="1">
      <c r="A31" s="79" t="n">
        <v>1</v>
      </c>
      <c r="B31" s="79" t="n">
        <v>11</v>
      </c>
      <c r="C31" s="80">
        <f>(B31-0.5)*'14_지역·상수'!$H$6</f>
        <v/>
      </c>
      <c r="D31" s="79" t="n">
        <v>17</v>
      </c>
      <c r="E31" s="80">
        <f>INDEX($C$4:$C$15,MATCH(A31,$A$4:$A$15,0))</f>
        <v/>
      </c>
      <c r="F31" s="80">
        <f>15*(C31-12)</f>
        <v/>
      </c>
      <c r="G31" s="80">
        <f>-COS(RADIANS(E31))*SIN(RADIANS(F31))</f>
        <v/>
      </c>
      <c r="H31" s="80">
        <f>COS(RADIANS('11_발전량_모델'!$B$17))*SIN(RADIANS(E31))-SIN(RADIANS('11_발전량_모델'!$B$17))*COS(RADIANS(E31))*COS(RADIANS(F31))</f>
        <v/>
      </c>
      <c r="I31" s="80">
        <f>SIN(RADIANS('11_발전량_모델'!$B$17))*SIN(RADIANS(E31))+COS(RADIANS('11_발전량_모델'!$B$17))*COS(RADIANS(E31))*COS(RADIANS(F31))</f>
        <v/>
      </c>
      <c r="J31" s="80">
        <f>SIN(RADIANS('11_발전량_모델'!$B$7))*SIN(RADIANS('11_발전량_모델'!$B$8))</f>
        <v/>
      </c>
      <c r="K31" s="80">
        <f>SIN(RADIANS('11_발전량_모델'!$B$7))*COS(RADIANS('11_발전량_모델'!$B$8))</f>
        <v/>
      </c>
      <c r="L31" s="80">
        <f>COS(RADIANS('11_발전량_모델'!$B$7))</f>
        <v/>
      </c>
      <c r="M31" s="80">
        <f>G31*J31+H31*K31+I31*L31</f>
        <v/>
      </c>
      <c r="N31" s="80">
        <f>MAX(0,I31)</f>
        <v/>
      </c>
      <c r="O31" s="80">
        <f>IF(I31&gt;0,MAX(0,M31),0)</f>
        <v/>
      </c>
      <c r="P31" s="80">
        <f>IF($I31&gt;0,MAX(0,$G31*SIN(RADIANS('13_시나리오비교'!$B$5))*SIN(RADIANS('13_시나리오비교'!$C$5))+$H31*SIN(RADIANS('13_시나리오비교'!$B$5))*COS(RADIANS('13_시나리오비교'!$C$5))+$I31*COS(RADIANS('13_시나리오비교'!$B$5))),0)</f>
        <v/>
      </c>
      <c r="Q31" s="80">
        <f>IF($I31&gt;0,MAX(0,$G31*SIN(RADIANS('13_시나리오비교'!$B$6))*SIN(RADIANS('13_시나리오비교'!$C$6))+$H31*SIN(RADIANS('13_시나리오비교'!$B$6))*COS(RADIANS('13_시나리오비교'!$C$6))+$I31*COS(RADIANS('13_시나리오비교'!$B$6))),0)</f>
        <v/>
      </c>
      <c r="R31" s="80">
        <f>IF($I31&gt;0,MAX(0,$G31*SIN(RADIANS('13_시나리오비교'!$B$7))*SIN(RADIANS('13_시나리오비교'!$C$7))+$H31*SIN(RADIANS('13_시나리오비교'!$B$7))*COS(RADIANS('13_시나리오비교'!$C$7))+$I31*COS(RADIANS('13_시나리오비교'!$B$7))),0)</f>
        <v/>
      </c>
      <c r="S31" s="80">
        <f>IF($I31&gt;0,MAX(0,$G31*SIN(RADIANS('13_시나리오비교'!$B$8))*SIN(RADIANS('13_시나리오비교'!$C$8))+$H31*SIN(RADIANS('13_시나리오비교'!$B$8))*COS(RADIANS('13_시나리오비교'!$C$8))+$I31*COS(RADIANS('13_시나리오비교'!$B$8))),0)</f>
        <v/>
      </c>
      <c r="T31" s="80">
        <f>IF($I31&gt;0,MAX(0,$G31*SIN(RADIANS('13_시나리오비교'!$B$9))*SIN(RADIANS('13_시나리오비교'!$C$9))+$H31*SIN(RADIANS('13_시나리오비교'!$B$9))*COS(RADIANS('13_시나리오비교'!$C$9))+$I31*COS(RADIANS('13_시나리오비교'!$B$9))),0)</f>
        <v/>
      </c>
      <c r="U31" s="80">
        <f>IF($I31&gt;0,MAX(0,$G31*SIN(RADIANS('13_시나리오비교'!$B$10))*SIN(RADIANS('13_시나리오비교'!$C$10))+$H31*SIN(RADIANS('13_시나리오비교'!$B$10))*COS(RADIANS('13_시나리오비교'!$C$10))+$I31*COS(RADIANS('13_시나리오비교'!$B$10))),0)</f>
        <v/>
      </c>
      <c r="V31" s="80">
        <f>IF($I31&gt;0,MAX(0,$G31*SIN(RADIANS('13_시나리오비교'!$B$11))*SIN(RADIANS('13_시나리오비교'!$C$11))+$H31*SIN(RADIANS('13_시나리오비교'!$B$11))*COS(RADIANS('13_시나리오비교'!$C$11))+$I31*COS(RADIANS('13_시나리오비교'!$B$11))),0)</f>
        <v/>
      </c>
      <c r="W31" s="80">
        <f>IF($I31&gt;0,MAX(0,$G31*SIN(RADIANS('13_시나리오비교'!$B$12))*SIN(RADIANS('13_시나리오비교'!$C$12))+$H31*SIN(RADIANS('13_시나리오비교'!$B$12))*COS(RADIANS('13_시나리오비교'!$C$12))+$I31*COS(RADIANS('13_시나리오비교'!$B$12))),0)</f>
        <v/>
      </c>
      <c r="X31" s="80">
        <f>IF($I31&gt;0,MAX(0,$G31*SIN(RADIANS('13_시나리오비교'!$B$13))*SIN(RADIANS('13_시나리오비교'!$C$13))+$H31*SIN(RADIANS('13_시나리오비교'!$B$13))*COS(RADIANS('13_시나리오비교'!$C$13))+$I31*COS(RADIANS('13_시나리오비교'!$B$13))),0)</f>
        <v/>
      </c>
      <c r="Y31" s="80">
        <f>IF($I31&gt;0,MAX(0,$G31*SIN(RADIANS('13_시나리오비교'!$B$14))*SIN(RADIANS('13_시나리오비교'!$C$14))+$H31*SIN(RADIANS('13_시나리오비교'!$B$14))*COS(RADIANS('13_시나리오비교'!$C$14))+$I31*COS(RADIANS('13_시나리오비교'!$B$14))),0)</f>
        <v/>
      </c>
    </row>
    <row r="32" hidden="1" outlineLevel="1">
      <c r="A32" s="79" t="n">
        <v>1</v>
      </c>
      <c r="B32" s="79" t="n">
        <v>12</v>
      </c>
      <c r="C32" s="80">
        <f>(B32-0.5)*'14_지역·상수'!$H$6</f>
        <v/>
      </c>
      <c r="D32" s="79" t="n">
        <v>17</v>
      </c>
      <c r="E32" s="80">
        <f>INDEX($C$4:$C$15,MATCH(A32,$A$4:$A$15,0))</f>
        <v/>
      </c>
      <c r="F32" s="80">
        <f>15*(C32-12)</f>
        <v/>
      </c>
      <c r="G32" s="80">
        <f>-COS(RADIANS(E32))*SIN(RADIANS(F32))</f>
        <v/>
      </c>
      <c r="H32" s="80">
        <f>COS(RADIANS('11_발전량_모델'!$B$17))*SIN(RADIANS(E32))-SIN(RADIANS('11_발전량_모델'!$B$17))*COS(RADIANS(E32))*COS(RADIANS(F32))</f>
        <v/>
      </c>
      <c r="I32" s="80">
        <f>SIN(RADIANS('11_발전량_모델'!$B$17))*SIN(RADIANS(E32))+COS(RADIANS('11_발전량_모델'!$B$17))*COS(RADIANS(E32))*COS(RADIANS(F32))</f>
        <v/>
      </c>
      <c r="J32" s="80">
        <f>SIN(RADIANS('11_발전량_모델'!$B$7))*SIN(RADIANS('11_발전량_모델'!$B$8))</f>
        <v/>
      </c>
      <c r="K32" s="80">
        <f>SIN(RADIANS('11_발전량_모델'!$B$7))*COS(RADIANS('11_발전량_모델'!$B$8))</f>
        <v/>
      </c>
      <c r="L32" s="80">
        <f>COS(RADIANS('11_발전량_모델'!$B$7))</f>
        <v/>
      </c>
      <c r="M32" s="80">
        <f>G32*J32+H32*K32+I32*L32</f>
        <v/>
      </c>
      <c r="N32" s="80">
        <f>MAX(0,I32)</f>
        <v/>
      </c>
      <c r="O32" s="80">
        <f>IF(I32&gt;0,MAX(0,M32),0)</f>
        <v/>
      </c>
      <c r="P32" s="80">
        <f>IF($I32&gt;0,MAX(0,$G32*SIN(RADIANS('13_시나리오비교'!$B$5))*SIN(RADIANS('13_시나리오비교'!$C$5))+$H32*SIN(RADIANS('13_시나리오비교'!$B$5))*COS(RADIANS('13_시나리오비교'!$C$5))+$I32*COS(RADIANS('13_시나리오비교'!$B$5))),0)</f>
        <v/>
      </c>
      <c r="Q32" s="80">
        <f>IF($I32&gt;0,MAX(0,$G32*SIN(RADIANS('13_시나리오비교'!$B$6))*SIN(RADIANS('13_시나리오비교'!$C$6))+$H32*SIN(RADIANS('13_시나리오비교'!$B$6))*COS(RADIANS('13_시나리오비교'!$C$6))+$I32*COS(RADIANS('13_시나리오비교'!$B$6))),0)</f>
        <v/>
      </c>
      <c r="R32" s="80">
        <f>IF($I32&gt;0,MAX(0,$G32*SIN(RADIANS('13_시나리오비교'!$B$7))*SIN(RADIANS('13_시나리오비교'!$C$7))+$H32*SIN(RADIANS('13_시나리오비교'!$B$7))*COS(RADIANS('13_시나리오비교'!$C$7))+$I32*COS(RADIANS('13_시나리오비교'!$B$7))),0)</f>
        <v/>
      </c>
      <c r="S32" s="80">
        <f>IF($I32&gt;0,MAX(0,$G32*SIN(RADIANS('13_시나리오비교'!$B$8))*SIN(RADIANS('13_시나리오비교'!$C$8))+$H32*SIN(RADIANS('13_시나리오비교'!$B$8))*COS(RADIANS('13_시나리오비교'!$C$8))+$I32*COS(RADIANS('13_시나리오비교'!$B$8))),0)</f>
        <v/>
      </c>
      <c r="T32" s="80">
        <f>IF($I32&gt;0,MAX(0,$G32*SIN(RADIANS('13_시나리오비교'!$B$9))*SIN(RADIANS('13_시나리오비교'!$C$9))+$H32*SIN(RADIANS('13_시나리오비교'!$B$9))*COS(RADIANS('13_시나리오비교'!$C$9))+$I32*COS(RADIANS('13_시나리오비교'!$B$9))),0)</f>
        <v/>
      </c>
      <c r="U32" s="80">
        <f>IF($I32&gt;0,MAX(0,$G32*SIN(RADIANS('13_시나리오비교'!$B$10))*SIN(RADIANS('13_시나리오비교'!$C$10))+$H32*SIN(RADIANS('13_시나리오비교'!$B$10))*COS(RADIANS('13_시나리오비교'!$C$10))+$I32*COS(RADIANS('13_시나리오비교'!$B$10))),0)</f>
        <v/>
      </c>
      <c r="V32" s="80">
        <f>IF($I32&gt;0,MAX(0,$G32*SIN(RADIANS('13_시나리오비교'!$B$11))*SIN(RADIANS('13_시나리오비교'!$C$11))+$H32*SIN(RADIANS('13_시나리오비교'!$B$11))*COS(RADIANS('13_시나리오비교'!$C$11))+$I32*COS(RADIANS('13_시나리오비교'!$B$11))),0)</f>
        <v/>
      </c>
      <c r="W32" s="80">
        <f>IF($I32&gt;0,MAX(0,$G32*SIN(RADIANS('13_시나리오비교'!$B$12))*SIN(RADIANS('13_시나리오비교'!$C$12))+$H32*SIN(RADIANS('13_시나리오비교'!$B$12))*COS(RADIANS('13_시나리오비교'!$C$12))+$I32*COS(RADIANS('13_시나리오비교'!$B$12))),0)</f>
        <v/>
      </c>
      <c r="X32" s="80">
        <f>IF($I32&gt;0,MAX(0,$G32*SIN(RADIANS('13_시나리오비교'!$B$13))*SIN(RADIANS('13_시나리오비교'!$C$13))+$H32*SIN(RADIANS('13_시나리오비교'!$B$13))*COS(RADIANS('13_시나리오비교'!$C$13))+$I32*COS(RADIANS('13_시나리오비교'!$B$13))),0)</f>
        <v/>
      </c>
      <c r="Y32" s="80">
        <f>IF($I32&gt;0,MAX(0,$G32*SIN(RADIANS('13_시나리오비교'!$B$14))*SIN(RADIANS('13_시나리오비교'!$C$14))+$H32*SIN(RADIANS('13_시나리오비교'!$B$14))*COS(RADIANS('13_시나리오비교'!$C$14))+$I32*COS(RADIANS('13_시나리오비교'!$B$14))),0)</f>
        <v/>
      </c>
    </row>
    <row r="33" hidden="1" outlineLevel="1">
      <c r="A33" s="79" t="n">
        <v>1</v>
      </c>
      <c r="B33" s="79" t="n">
        <v>13</v>
      </c>
      <c r="C33" s="80">
        <f>(B33-0.5)*'14_지역·상수'!$H$6</f>
        <v/>
      </c>
      <c r="D33" s="79" t="n">
        <v>17</v>
      </c>
      <c r="E33" s="80">
        <f>INDEX($C$4:$C$15,MATCH(A33,$A$4:$A$15,0))</f>
        <v/>
      </c>
      <c r="F33" s="80">
        <f>15*(C33-12)</f>
        <v/>
      </c>
      <c r="G33" s="80">
        <f>-COS(RADIANS(E33))*SIN(RADIANS(F33))</f>
        <v/>
      </c>
      <c r="H33" s="80">
        <f>COS(RADIANS('11_발전량_모델'!$B$17))*SIN(RADIANS(E33))-SIN(RADIANS('11_발전량_모델'!$B$17))*COS(RADIANS(E33))*COS(RADIANS(F33))</f>
        <v/>
      </c>
      <c r="I33" s="80">
        <f>SIN(RADIANS('11_발전량_모델'!$B$17))*SIN(RADIANS(E33))+COS(RADIANS('11_발전량_모델'!$B$17))*COS(RADIANS(E33))*COS(RADIANS(F33))</f>
        <v/>
      </c>
      <c r="J33" s="80">
        <f>SIN(RADIANS('11_발전량_모델'!$B$7))*SIN(RADIANS('11_발전량_모델'!$B$8))</f>
        <v/>
      </c>
      <c r="K33" s="80">
        <f>SIN(RADIANS('11_발전량_모델'!$B$7))*COS(RADIANS('11_발전량_모델'!$B$8))</f>
        <v/>
      </c>
      <c r="L33" s="80">
        <f>COS(RADIANS('11_발전량_모델'!$B$7))</f>
        <v/>
      </c>
      <c r="M33" s="80">
        <f>G33*J33+H33*K33+I33*L33</f>
        <v/>
      </c>
      <c r="N33" s="80">
        <f>MAX(0,I33)</f>
        <v/>
      </c>
      <c r="O33" s="80">
        <f>IF(I33&gt;0,MAX(0,M33),0)</f>
        <v/>
      </c>
      <c r="P33" s="80">
        <f>IF($I33&gt;0,MAX(0,$G33*SIN(RADIANS('13_시나리오비교'!$B$5))*SIN(RADIANS('13_시나리오비교'!$C$5))+$H33*SIN(RADIANS('13_시나리오비교'!$B$5))*COS(RADIANS('13_시나리오비교'!$C$5))+$I33*COS(RADIANS('13_시나리오비교'!$B$5))),0)</f>
        <v/>
      </c>
      <c r="Q33" s="80">
        <f>IF($I33&gt;0,MAX(0,$G33*SIN(RADIANS('13_시나리오비교'!$B$6))*SIN(RADIANS('13_시나리오비교'!$C$6))+$H33*SIN(RADIANS('13_시나리오비교'!$B$6))*COS(RADIANS('13_시나리오비교'!$C$6))+$I33*COS(RADIANS('13_시나리오비교'!$B$6))),0)</f>
        <v/>
      </c>
      <c r="R33" s="80">
        <f>IF($I33&gt;0,MAX(0,$G33*SIN(RADIANS('13_시나리오비교'!$B$7))*SIN(RADIANS('13_시나리오비교'!$C$7))+$H33*SIN(RADIANS('13_시나리오비교'!$B$7))*COS(RADIANS('13_시나리오비교'!$C$7))+$I33*COS(RADIANS('13_시나리오비교'!$B$7))),0)</f>
        <v/>
      </c>
      <c r="S33" s="80">
        <f>IF($I33&gt;0,MAX(0,$G33*SIN(RADIANS('13_시나리오비교'!$B$8))*SIN(RADIANS('13_시나리오비교'!$C$8))+$H33*SIN(RADIANS('13_시나리오비교'!$B$8))*COS(RADIANS('13_시나리오비교'!$C$8))+$I33*COS(RADIANS('13_시나리오비교'!$B$8))),0)</f>
        <v/>
      </c>
      <c r="T33" s="80">
        <f>IF($I33&gt;0,MAX(0,$G33*SIN(RADIANS('13_시나리오비교'!$B$9))*SIN(RADIANS('13_시나리오비교'!$C$9))+$H33*SIN(RADIANS('13_시나리오비교'!$B$9))*COS(RADIANS('13_시나리오비교'!$C$9))+$I33*COS(RADIANS('13_시나리오비교'!$B$9))),0)</f>
        <v/>
      </c>
      <c r="U33" s="80">
        <f>IF($I33&gt;0,MAX(0,$G33*SIN(RADIANS('13_시나리오비교'!$B$10))*SIN(RADIANS('13_시나리오비교'!$C$10))+$H33*SIN(RADIANS('13_시나리오비교'!$B$10))*COS(RADIANS('13_시나리오비교'!$C$10))+$I33*COS(RADIANS('13_시나리오비교'!$B$10))),0)</f>
        <v/>
      </c>
      <c r="V33" s="80">
        <f>IF($I33&gt;0,MAX(0,$G33*SIN(RADIANS('13_시나리오비교'!$B$11))*SIN(RADIANS('13_시나리오비교'!$C$11))+$H33*SIN(RADIANS('13_시나리오비교'!$B$11))*COS(RADIANS('13_시나리오비교'!$C$11))+$I33*COS(RADIANS('13_시나리오비교'!$B$11))),0)</f>
        <v/>
      </c>
      <c r="W33" s="80">
        <f>IF($I33&gt;0,MAX(0,$G33*SIN(RADIANS('13_시나리오비교'!$B$12))*SIN(RADIANS('13_시나리오비교'!$C$12))+$H33*SIN(RADIANS('13_시나리오비교'!$B$12))*COS(RADIANS('13_시나리오비교'!$C$12))+$I33*COS(RADIANS('13_시나리오비교'!$B$12))),0)</f>
        <v/>
      </c>
      <c r="X33" s="80">
        <f>IF($I33&gt;0,MAX(0,$G33*SIN(RADIANS('13_시나리오비교'!$B$13))*SIN(RADIANS('13_시나리오비교'!$C$13))+$H33*SIN(RADIANS('13_시나리오비교'!$B$13))*COS(RADIANS('13_시나리오비교'!$C$13))+$I33*COS(RADIANS('13_시나리오비교'!$B$13))),0)</f>
        <v/>
      </c>
      <c r="Y33" s="80">
        <f>IF($I33&gt;0,MAX(0,$G33*SIN(RADIANS('13_시나리오비교'!$B$14))*SIN(RADIANS('13_시나리오비교'!$C$14))+$H33*SIN(RADIANS('13_시나리오비교'!$B$14))*COS(RADIANS('13_시나리오비교'!$C$14))+$I33*COS(RADIANS('13_시나리오비교'!$B$14))),0)</f>
        <v/>
      </c>
    </row>
    <row r="34" hidden="1" outlineLevel="1">
      <c r="A34" s="79" t="n">
        <v>1</v>
      </c>
      <c r="B34" s="79" t="n">
        <v>14</v>
      </c>
      <c r="C34" s="80">
        <f>(B34-0.5)*'14_지역·상수'!$H$6</f>
        <v/>
      </c>
      <c r="D34" s="79" t="n">
        <v>17</v>
      </c>
      <c r="E34" s="80">
        <f>INDEX($C$4:$C$15,MATCH(A34,$A$4:$A$15,0))</f>
        <v/>
      </c>
      <c r="F34" s="80">
        <f>15*(C34-12)</f>
        <v/>
      </c>
      <c r="G34" s="80">
        <f>-COS(RADIANS(E34))*SIN(RADIANS(F34))</f>
        <v/>
      </c>
      <c r="H34" s="80">
        <f>COS(RADIANS('11_발전량_모델'!$B$17))*SIN(RADIANS(E34))-SIN(RADIANS('11_발전량_모델'!$B$17))*COS(RADIANS(E34))*COS(RADIANS(F34))</f>
        <v/>
      </c>
      <c r="I34" s="80">
        <f>SIN(RADIANS('11_발전량_모델'!$B$17))*SIN(RADIANS(E34))+COS(RADIANS('11_발전량_모델'!$B$17))*COS(RADIANS(E34))*COS(RADIANS(F34))</f>
        <v/>
      </c>
      <c r="J34" s="80">
        <f>SIN(RADIANS('11_발전량_모델'!$B$7))*SIN(RADIANS('11_발전량_모델'!$B$8))</f>
        <v/>
      </c>
      <c r="K34" s="80">
        <f>SIN(RADIANS('11_발전량_모델'!$B$7))*COS(RADIANS('11_발전량_모델'!$B$8))</f>
        <v/>
      </c>
      <c r="L34" s="80">
        <f>COS(RADIANS('11_발전량_모델'!$B$7))</f>
        <v/>
      </c>
      <c r="M34" s="80">
        <f>G34*J34+H34*K34+I34*L34</f>
        <v/>
      </c>
      <c r="N34" s="80">
        <f>MAX(0,I34)</f>
        <v/>
      </c>
      <c r="O34" s="80">
        <f>IF(I34&gt;0,MAX(0,M34),0)</f>
        <v/>
      </c>
      <c r="P34" s="80">
        <f>IF($I34&gt;0,MAX(0,$G34*SIN(RADIANS('13_시나리오비교'!$B$5))*SIN(RADIANS('13_시나리오비교'!$C$5))+$H34*SIN(RADIANS('13_시나리오비교'!$B$5))*COS(RADIANS('13_시나리오비교'!$C$5))+$I34*COS(RADIANS('13_시나리오비교'!$B$5))),0)</f>
        <v/>
      </c>
      <c r="Q34" s="80">
        <f>IF($I34&gt;0,MAX(0,$G34*SIN(RADIANS('13_시나리오비교'!$B$6))*SIN(RADIANS('13_시나리오비교'!$C$6))+$H34*SIN(RADIANS('13_시나리오비교'!$B$6))*COS(RADIANS('13_시나리오비교'!$C$6))+$I34*COS(RADIANS('13_시나리오비교'!$B$6))),0)</f>
        <v/>
      </c>
      <c r="R34" s="80">
        <f>IF($I34&gt;0,MAX(0,$G34*SIN(RADIANS('13_시나리오비교'!$B$7))*SIN(RADIANS('13_시나리오비교'!$C$7))+$H34*SIN(RADIANS('13_시나리오비교'!$B$7))*COS(RADIANS('13_시나리오비교'!$C$7))+$I34*COS(RADIANS('13_시나리오비교'!$B$7))),0)</f>
        <v/>
      </c>
      <c r="S34" s="80">
        <f>IF($I34&gt;0,MAX(0,$G34*SIN(RADIANS('13_시나리오비교'!$B$8))*SIN(RADIANS('13_시나리오비교'!$C$8))+$H34*SIN(RADIANS('13_시나리오비교'!$B$8))*COS(RADIANS('13_시나리오비교'!$C$8))+$I34*COS(RADIANS('13_시나리오비교'!$B$8))),0)</f>
        <v/>
      </c>
      <c r="T34" s="80">
        <f>IF($I34&gt;0,MAX(0,$G34*SIN(RADIANS('13_시나리오비교'!$B$9))*SIN(RADIANS('13_시나리오비교'!$C$9))+$H34*SIN(RADIANS('13_시나리오비교'!$B$9))*COS(RADIANS('13_시나리오비교'!$C$9))+$I34*COS(RADIANS('13_시나리오비교'!$B$9))),0)</f>
        <v/>
      </c>
      <c r="U34" s="80">
        <f>IF($I34&gt;0,MAX(0,$G34*SIN(RADIANS('13_시나리오비교'!$B$10))*SIN(RADIANS('13_시나리오비교'!$C$10))+$H34*SIN(RADIANS('13_시나리오비교'!$B$10))*COS(RADIANS('13_시나리오비교'!$C$10))+$I34*COS(RADIANS('13_시나리오비교'!$B$10))),0)</f>
        <v/>
      </c>
      <c r="V34" s="80">
        <f>IF($I34&gt;0,MAX(0,$G34*SIN(RADIANS('13_시나리오비교'!$B$11))*SIN(RADIANS('13_시나리오비교'!$C$11))+$H34*SIN(RADIANS('13_시나리오비교'!$B$11))*COS(RADIANS('13_시나리오비교'!$C$11))+$I34*COS(RADIANS('13_시나리오비교'!$B$11))),0)</f>
        <v/>
      </c>
      <c r="W34" s="80">
        <f>IF($I34&gt;0,MAX(0,$G34*SIN(RADIANS('13_시나리오비교'!$B$12))*SIN(RADIANS('13_시나리오비교'!$C$12))+$H34*SIN(RADIANS('13_시나리오비교'!$B$12))*COS(RADIANS('13_시나리오비교'!$C$12))+$I34*COS(RADIANS('13_시나리오비교'!$B$12))),0)</f>
        <v/>
      </c>
      <c r="X34" s="80">
        <f>IF($I34&gt;0,MAX(0,$G34*SIN(RADIANS('13_시나리오비교'!$B$13))*SIN(RADIANS('13_시나리오비교'!$C$13))+$H34*SIN(RADIANS('13_시나리오비교'!$B$13))*COS(RADIANS('13_시나리오비교'!$C$13))+$I34*COS(RADIANS('13_시나리오비교'!$B$13))),0)</f>
        <v/>
      </c>
      <c r="Y34" s="80">
        <f>IF($I34&gt;0,MAX(0,$G34*SIN(RADIANS('13_시나리오비교'!$B$14))*SIN(RADIANS('13_시나리오비교'!$C$14))+$H34*SIN(RADIANS('13_시나리오비교'!$B$14))*COS(RADIANS('13_시나리오비교'!$C$14))+$I34*COS(RADIANS('13_시나리오비교'!$B$14))),0)</f>
        <v/>
      </c>
    </row>
    <row r="35" hidden="1" outlineLevel="1">
      <c r="A35" s="79" t="n">
        <v>1</v>
      </c>
      <c r="B35" s="79" t="n">
        <v>15</v>
      </c>
      <c r="C35" s="80">
        <f>(B35-0.5)*'14_지역·상수'!$H$6</f>
        <v/>
      </c>
      <c r="D35" s="79" t="n">
        <v>17</v>
      </c>
      <c r="E35" s="80">
        <f>INDEX($C$4:$C$15,MATCH(A35,$A$4:$A$15,0))</f>
        <v/>
      </c>
      <c r="F35" s="80">
        <f>15*(C35-12)</f>
        <v/>
      </c>
      <c r="G35" s="80">
        <f>-COS(RADIANS(E35))*SIN(RADIANS(F35))</f>
        <v/>
      </c>
      <c r="H35" s="80">
        <f>COS(RADIANS('11_발전량_모델'!$B$17))*SIN(RADIANS(E35))-SIN(RADIANS('11_발전량_모델'!$B$17))*COS(RADIANS(E35))*COS(RADIANS(F35))</f>
        <v/>
      </c>
      <c r="I35" s="80">
        <f>SIN(RADIANS('11_발전량_모델'!$B$17))*SIN(RADIANS(E35))+COS(RADIANS('11_발전량_모델'!$B$17))*COS(RADIANS(E35))*COS(RADIANS(F35))</f>
        <v/>
      </c>
      <c r="J35" s="80">
        <f>SIN(RADIANS('11_발전량_모델'!$B$7))*SIN(RADIANS('11_발전량_모델'!$B$8))</f>
        <v/>
      </c>
      <c r="K35" s="80">
        <f>SIN(RADIANS('11_발전량_모델'!$B$7))*COS(RADIANS('11_발전량_모델'!$B$8))</f>
        <v/>
      </c>
      <c r="L35" s="80">
        <f>COS(RADIANS('11_발전량_모델'!$B$7))</f>
        <v/>
      </c>
      <c r="M35" s="80">
        <f>G35*J35+H35*K35+I35*L35</f>
        <v/>
      </c>
      <c r="N35" s="80">
        <f>MAX(0,I35)</f>
        <v/>
      </c>
      <c r="O35" s="80">
        <f>IF(I35&gt;0,MAX(0,M35),0)</f>
        <v/>
      </c>
      <c r="P35" s="80">
        <f>IF($I35&gt;0,MAX(0,$G35*SIN(RADIANS('13_시나리오비교'!$B$5))*SIN(RADIANS('13_시나리오비교'!$C$5))+$H35*SIN(RADIANS('13_시나리오비교'!$B$5))*COS(RADIANS('13_시나리오비교'!$C$5))+$I35*COS(RADIANS('13_시나리오비교'!$B$5))),0)</f>
        <v/>
      </c>
      <c r="Q35" s="80">
        <f>IF($I35&gt;0,MAX(0,$G35*SIN(RADIANS('13_시나리오비교'!$B$6))*SIN(RADIANS('13_시나리오비교'!$C$6))+$H35*SIN(RADIANS('13_시나리오비교'!$B$6))*COS(RADIANS('13_시나리오비교'!$C$6))+$I35*COS(RADIANS('13_시나리오비교'!$B$6))),0)</f>
        <v/>
      </c>
      <c r="R35" s="80">
        <f>IF($I35&gt;0,MAX(0,$G35*SIN(RADIANS('13_시나리오비교'!$B$7))*SIN(RADIANS('13_시나리오비교'!$C$7))+$H35*SIN(RADIANS('13_시나리오비교'!$B$7))*COS(RADIANS('13_시나리오비교'!$C$7))+$I35*COS(RADIANS('13_시나리오비교'!$B$7))),0)</f>
        <v/>
      </c>
      <c r="S35" s="80">
        <f>IF($I35&gt;0,MAX(0,$G35*SIN(RADIANS('13_시나리오비교'!$B$8))*SIN(RADIANS('13_시나리오비교'!$C$8))+$H35*SIN(RADIANS('13_시나리오비교'!$B$8))*COS(RADIANS('13_시나리오비교'!$C$8))+$I35*COS(RADIANS('13_시나리오비교'!$B$8))),0)</f>
        <v/>
      </c>
      <c r="T35" s="80">
        <f>IF($I35&gt;0,MAX(0,$G35*SIN(RADIANS('13_시나리오비교'!$B$9))*SIN(RADIANS('13_시나리오비교'!$C$9))+$H35*SIN(RADIANS('13_시나리오비교'!$B$9))*COS(RADIANS('13_시나리오비교'!$C$9))+$I35*COS(RADIANS('13_시나리오비교'!$B$9))),0)</f>
        <v/>
      </c>
      <c r="U35" s="80">
        <f>IF($I35&gt;0,MAX(0,$G35*SIN(RADIANS('13_시나리오비교'!$B$10))*SIN(RADIANS('13_시나리오비교'!$C$10))+$H35*SIN(RADIANS('13_시나리오비교'!$B$10))*COS(RADIANS('13_시나리오비교'!$C$10))+$I35*COS(RADIANS('13_시나리오비교'!$B$10))),0)</f>
        <v/>
      </c>
      <c r="V35" s="80">
        <f>IF($I35&gt;0,MAX(0,$G35*SIN(RADIANS('13_시나리오비교'!$B$11))*SIN(RADIANS('13_시나리오비교'!$C$11))+$H35*SIN(RADIANS('13_시나리오비교'!$B$11))*COS(RADIANS('13_시나리오비교'!$C$11))+$I35*COS(RADIANS('13_시나리오비교'!$B$11))),0)</f>
        <v/>
      </c>
      <c r="W35" s="80">
        <f>IF($I35&gt;0,MAX(0,$G35*SIN(RADIANS('13_시나리오비교'!$B$12))*SIN(RADIANS('13_시나리오비교'!$C$12))+$H35*SIN(RADIANS('13_시나리오비교'!$B$12))*COS(RADIANS('13_시나리오비교'!$C$12))+$I35*COS(RADIANS('13_시나리오비교'!$B$12))),0)</f>
        <v/>
      </c>
      <c r="X35" s="80">
        <f>IF($I35&gt;0,MAX(0,$G35*SIN(RADIANS('13_시나리오비교'!$B$13))*SIN(RADIANS('13_시나리오비교'!$C$13))+$H35*SIN(RADIANS('13_시나리오비교'!$B$13))*COS(RADIANS('13_시나리오비교'!$C$13))+$I35*COS(RADIANS('13_시나리오비교'!$B$13))),0)</f>
        <v/>
      </c>
      <c r="Y35" s="80">
        <f>IF($I35&gt;0,MAX(0,$G35*SIN(RADIANS('13_시나리오비교'!$B$14))*SIN(RADIANS('13_시나리오비교'!$C$14))+$H35*SIN(RADIANS('13_시나리오비교'!$B$14))*COS(RADIANS('13_시나리오비교'!$C$14))+$I35*COS(RADIANS('13_시나리오비교'!$B$14))),0)</f>
        <v/>
      </c>
    </row>
    <row r="36" hidden="1" outlineLevel="1">
      <c r="A36" s="79" t="n">
        <v>1</v>
      </c>
      <c r="B36" s="79" t="n">
        <v>16</v>
      </c>
      <c r="C36" s="80">
        <f>(B36-0.5)*'14_지역·상수'!$H$6</f>
        <v/>
      </c>
      <c r="D36" s="79" t="n">
        <v>17</v>
      </c>
      <c r="E36" s="80">
        <f>INDEX($C$4:$C$15,MATCH(A36,$A$4:$A$15,0))</f>
        <v/>
      </c>
      <c r="F36" s="80">
        <f>15*(C36-12)</f>
        <v/>
      </c>
      <c r="G36" s="80">
        <f>-COS(RADIANS(E36))*SIN(RADIANS(F36))</f>
        <v/>
      </c>
      <c r="H36" s="80">
        <f>COS(RADIANS('11_발전량_모델'!$B$17))*SIN(RADIANS(E36))-SIN(RADIANS('11_발전량_모델'!$B$17))*COS(RADIANS(E36))*COS(RADIANS(F36))</f>
        <v/>
      </c>
      <c r="I36" s="80">
        <f>SIN(RADIANS('11_발전량_모델'!$B$17))*SIN(RADIANS(E36))+COS(RADIANS('11_발전량_모델'!$B$17))*COS(RADIANS(E36))*COS(RADIANS(F36))</f>
        <v/>
      </c>
      <c r="J36" s="80">
        <f>SIN(RADIANS('11_발전량_모델'!$B$7))*SIN(RADIANS('11_발전량_모델'!$B$8))</f>
        <v/>
      </c>
      <c r="K36" s="80">
        <f>SIN(RADIANS('11_발전량_모델'!$B$7))*COS(RADIANS('11_발전량_모델'!$B$8))</f>
        <v/>
      </c>
      <c r="L36" s="80">
        <f>COS(RADIANS('11_발전량_모델'!$B$7))</f>
        <v/>
      </c>
      <c r="M36" s="80">
        <f>G36*J36+H36*K36+I36*L36</f>
        <v/>
      </c>
      <c r="N36" s="80">
        <f>MAX(0,I36)</f>
        <v/>
      </c>
      <c r="O36" s="80">
        <f>IF(I36&gt;0,MAX(0,M36),0)</f>
        <v/>
      </c>
      <c r="P36" s="80">
        <f>IF($I36&gt;0,MAX(0,$G36*SIN(RADIANS('13_시나리오비교'!$B$5))*SIN(RADIANS('13_시나리오비교'!$C$5))+$H36*SIN(RADIANS('13_시나리오비교'!$B$5))*COS(RADIANS('13_시나리오비교'!$C$5))+$I36*COS(RADIANS('13_시나리오비교'!$B$5))),0)</f>
        <v/>
      </c>
      <c r="Q36" s="80">
        <f>IF($I36&gt;0,MAX(0,$G36*SIN(RADIANS('13_시나리오비교'!$B$6))*SIN(RADIANS('13_시나리오비교'!$C$6))+$H36*SIN(RADIANS('13_시나리오비교'!$B$6))*COS(RADIANS('13_시나리오비교'!$C$6))+$I36*COS(RADIANS('13_시나리오비교'!$B$6))),0)</f>
        <v/>
      </c>
      <c r="R36" s="80">
        <f>IF($I36&gt;0,MAX(0,$G36*SIN(RADIANS('13_시나리오비교'!$B$7))*SIN(RADIANS('13_시나리오비교'!$C$7))+$H36*SIN(RADIANS('13_시나리오비교'!$B$7))*COS(RADIANS('13_시나리오비교'!$C$7))+$I36*COS(RADIANS('13_시나리오비교'!$B$7))),0)</f>
        <v/>
      </c>
      <c r="S36" s="80">
        <f>IF($I36&gt;0,MAX(0,$G36*SIN(RADIANS('13_시나리오비교'!$B$8))*SIN(RADIANS('13_시나리오비교'!$C$8))+$H36*SIN(RADIANS('13_시나리오비교'!$B$8))*COS(RADIANS('13_시나리오비교'!$C$8))+$I36*COS(RADIANS('13_시나리오비교'!$B$8))),0)</f>
        <v/>
      </c>
      <c r="T36" s="80">
        <f>IF($I36&gt;0,MAX(0,$G36*SIN(RADIANS('13_시나리오비교'!$B$9))*SIN(RADIANS('13_시나리오비교'!$C$9))+$H36*SIN(RADIANS('13_시나리오비교'!$B$9))*COS(RADIANS('13_시나리오비교'!$C$9))+$I36*COS(RADIANS('13_시나리오비교'!$B$9))),0)</f>
        <v/>
      </c>
      <c r="U36" s="80">
        <f>IF($I36&gt;0,MAX(0,$G36*SIN(RADIANS('13_시나리오비교'!$B$10))*SIN(RADIANS('13_시나리오비교'!$C$10))+$H36*SIN(RADIANS('13_시나리오비교'!$B$10))*COS(RADIANS('13_시나리오비교'!$C$10))+$I36*COS(RADIANS('13_시나리오비교'!$B$10))),0)</f>
        <v/>
      </c>
      <c r="V36" s="80">
        <f>IF($I36&gt;0,MAX(0,$G36*SIN(RADIANS('13_시나리오비교'!$B$11))*SIN(RADIANS('13_시나리오비교'!$C$11))+$H36*SIN(RADIANS('13_시나리오비교'!$B$11))*COS(RADIANS('13_시나리오비교'!$C$11))+$I36*COS(RADIANS('13_시나리오비교'!$B$11))),0)</f>
        <v/>
      </c>
      <c r="W36" s="80">
        <f>IF($I36&gt;0,MAX(0,$G36*SIN(RADIANS('13_시나리오비교'!$B$12))*SIN(RADIANS('13_시나리오비교'!$C$12))+$H36*SIN(RADIANS('13_시나리오비교'!$B$12))*COS(RADIANS('13_시나리오비교'!$C$12))+$I36*COS(RADIANS('13_시나리오비교'!$B$12))),0)</f>
        <v/>
      </c>
      <c r="X36" s="80">
        <f>IF($I36&gt;0,MAX(0,$G36*SIN(RADIANS('13_시나리오비교'!$B$13))*SIN(RADIANS('13_시나리오비교'!$C$13))+$H36*SIN(RADIANS('13_시나리오비교'!$B$13))*COS(RADIANS('13_시나리오비교'!$C$13))+$I36*COS(RADIANS('13_시나리오비교'!$B$13))),0)</f>
        <v/>
      </c>
      <c r="Y36" s="80">
        <f>IF($I36&gt;0,MAX(0,$G36*SIN(RADIANS('13_시나리오비교'!$B$14))*SIN(RADIANS('13_시나리오비교'!$C$14))+$H36*SIN(RADIANS('13_시나리오비교'!$B$14))*COS(RADIANS('13_시나리오비교'!$C$14))+$I36*COS(RADIANS('13_시나리오비교'!$B$14))),0)</f>
        <v/>
      </c>
    </row>
    <row r="37" hidden="1" outlineLevel="1">
      <c r="A37" s="79" t="n">
        <v>1</v>
      </c>
      <c r="B37" s="79" t="n">
        <v>17</v>
      </c>
      <c r="C37" s="80">
        <f>(B37-0.5)*'14_지역·상수'!$H$6</f>
        <v/>
      </c>
      <c r="D37" s="79" t="n">
        <v>17</v>
      </c>
      <c r="E37" s="80">
        <f>INDEX($C$4:$C$15,MATCH(A37,$A$4:$A$15,0))</f>
        <v/>
      </c>
      <c r="F37" s="80">
        <f>15*(C37-12)</f>
        <v/>
      </c>
      <c r="G37" s="80">
        <f>-COS(RADIANS(E37))*SIN(RADIANS(F37))</f>
        <v/>
      </c>
      <c r="H37" s="80">
        <f>COS(RADIANS('11_발전량_모델'!$B$17))*SIN(RADIANS(E37))-SIN(RADIANS('11_발전량_모델'!$B$17))*COS(RADIANS(E37))*COS(RADIANS(F37))</f>
        <v/>
      </c>
      <c r="I37" s="80">
        <f>SIN(RADIANS('11_발전량_모델'!$B$17))*SIN(RADIANS(E37))+COS(RADIANS('11_발전량_모델'!$B$17))*COS(RADIANS(E37))*COS(RADIANS(F37))</f>
        <v/>
      </c>
      <c r="J37" s="80">
        <f>SIN(RADIANS('11_발전량_모델'!$B$7))*SIN(RADIANS('11_발전량_모델'!$B$8))</f>
        <v/>
      </c>
      <c r="K37" s="80">
        <f>SIN(RADIANS('11_발전량_모델'!$B$7))*COS(RADIANS('11_발전량_모델'!$B$8))</f>
        <v/>
      </c>
      <c r="L37" s="80">
        <f>COS(RADIANS('11_발전량_모델'!$B$7))</f>
        <v/>
      </c>
      <c r="M37" s="80">
        <f>G37*J37+H37*K37+I37*L37</f>
        <v/>
      </c>
      <c r="N37" s="80">
        <f>MAX(0,I37)</f>
        <v/>
      </c>
      <c r="O37" s="80">
        <f>IF(I37&gt;0,MAX(0,M37),0)</f>
        <v/>
      </c>
      <c r="P37" s="80">
        <f>IF($I37&gt;0,MAX(0,$G37*SIN(RADIANS('13_시나리오비교'!$B$5))*SIN(RADIANS('13_시나리오비교'!$C$5))+$H37*SIN(RADIANS('13_시나리오비교'!$B$5))*COS(RADIANS('13_시나리오비교'!$C$5))+$I37*COS(RADIANS('13_시나리오비교'!$B$5))),0)</f>
        <v/>
      </c>
      <c r="Q37" s="80">
        <f>IF($I37&gt;0,MAX(0,$G37*SIN(RADIANS('13_시나리오비교'!$B$6))*SIN(RADIANS('13_시나리오비교'!$C$6))+$H37*SIN(RADIANS('13_시나리오비교'!$B$6))*COS(RADIANS('13_시나리오비교'!$C$6))+$I37*COS(RADIANS('13_시나리오비교'!$B$6))),0)</f>
        <v/>
      </c>
      <c r="R37" s="80">
        <f>IF($I37&gt;0,MAX(0,$G37*SIN(RADIANS('13_시나리오비교'!$B$7))*SIN(RADIANS('13_시나리오비교'!$C$7))+$H37*SIN(RADIANS('13_시나리오비교'!$B$7))*COS(RADIANS('13_시나리오비교'!$C$7))+$I37*COS(RADIANS('13_시나리오비교'!$B$7))),0)</f>
        <v/>
      </c>
      <c r="S37" s="80">
        <f>IF($I37&gt;0,MAX(0,$G37*SIN(RADIANS('13_시나리오비교'!$B$8))*SIN(RADIANS('13_시나리오비교'!$C$8))+$H37*SIN(RADIANS('13_시나리오비교'!$B$8))*COS(RADIANS('13_시나리오비교'!$C$8))+$I37*COS(RADIANS('13_시나리오비교'!$B$8))),0)</f>
        <v/>
      </c>
      <c r="T37" s="80">
        <f>IF($I37&gt;0,MAX(0,$G37*SIN(RADIANS('13_시나리오비교'!$B$9))*SIN(RADIANS('13_시나리오비교'!$C$9))+$H37*SIN(RADIANS('13_시나리오비교'!$B$9))*COS(RADIANS('13_시나리오비교'!$C$9))+$I37*COS(RADIANS('13_시나리오비교'!$B$9))),0)</f>
        <v/>
      </c>
      <c r="U37" s="80">
        <f>IF($I37&gt;0,MAX(0,$G37*SIN(RADIANS('13_시나리오비교'!$B$10))*SIN(RADIANS('13_시나리오비교'!$C$10))+$H37*SIN(RADIANS('13_시나리오비교'!$B$10))*COS(RADIANS('13_시나리오비교'!$C$10))+$I37*COS(RADIANS('13_시나리오비교'!$B$10))),0)</f>
        <v/>
      </c>
      <c r="V37" s="80">
        <f>IF($I37&gt;0,MAX(0,$G37*SIN(RADIANS('13_시나리오비교'!$B$11))*SIN(RADIANS('13_시나리오비교'!$C$11))+$H37*SIN(RADIANS('13_시나리오비교'!$B$11))*COS(RADIANS('13_시나리오비교'!$C$11))+$I37*COS(RADIANS('13_시나리오비교'!$B$11))),0)</f>
        <v/>
      </c>
      <c r="W37" s="80">
        <f>IF($I37&gt;0,MAX(0,$G37*SIN(RADIANS('13_시나리오비교'!$B$12))*SIN(RADIANS('13_시나리오비교'!$C$12))+$H37*SIN(RADIANS('13_시나리오비교'!$B$12))*COS(RADIANS('13_시나리오비교'!$C$12))+$I37*COS(RADIANS('13_시나리오비교'!$B$12))),0)</f>
        <v/>
      </c>
      <c r="X37" s="80">
        <f>IF($I37&gt;0,MAX(0,$G37*SIN(RADIANS('13_시나리오비교'!$B$13))*SIN(RADIANS('13_시나리오비교'!$C$13))+$H37*SIN(RADIANS('13_시나리오비교'!$B$13))*COS(RADIANS('13_시나리오비교'!$C$13))+$I37*COS(RADIANS('13_시나리오비교'!$B$13))),0)</f>
        <v/>
      </c>
      <c r="Y37" s="80">
        <f>IF($I37&gt;0,MAX(0,$G37*SIN(RADIANS('13_시나리오비교'!$B$14))*SIN(RADIANS('13_시나리오비교'!$C$14))+$H37*SIN(RADIANS('13_시나리오비교'!$B$14))*COS(RADIANS('13_시나리오비교'!$C$14))+$I37*COS(RADIANS('13_시나리오비교'!$B$14))),0)</f>
        <v/>
      </c>
    </row>
    <row r="38" hidden="1" outlineLevel="1">
      <c r="A38" s="79" t="n">
        <v>1</v>
      </c>
      <c r="B38" s="79" t="n">
        <v>18</v>
      </c>
      <c r="C38" s="80">
        <f>(B38-0.5)*'14_지역·상수'!$H$6</f>
        <v/>
      </c>
      <c r="D38" s="79" t="n">
        <v>17</v>
      </c>
      <c r="E38" s="80">
        <f>INDEX($C$4:$C$15,MATCH(A38,$A$4:$A$15,0))</f>
        <v/>
      </c>
      <c r="F38" s="80">
        <f>15*(C38-12)</f>
        <v/>
      </c>
      <c r="G38" s="80">
        <f>-COS(RADIANS(E38))*SIN(RADIANS(F38))</f>
        <v/>
      </c>
      <c r="H38" s="80">
        <f>COS(RADIANS('11_발전량_모델'!$B$17))*SIN(RADIANS(E38))-SIN(RADIANS('11_발전량_모델'!$B$17))*COS(RADIANS(E38))*COS(RADIANS(F38))</f>
        <v/>
      </c>
      <c r="I38" s="80">
        <f>SIN(RADIANS('11_발전량_모델'!$B$17))*SIN(RADIANS(E38))+COS(RADIANS('11_발전량_모델'!$B$17))*COS(RADIANS(E38))*COS(RADIANS(F38))</f>
        <v/>
      </c>
      <c r="J38" s="80">
        <f>SIN(RADIANS('11_발전량_모델'!$B$7))*SIN(RADIANS('11_발전량_모델'!$B$8))</f>
        <v/>
      </c>
      <c r="K38" s="80">
        <f>SIN(RADIANS('11_발전량_모델'!$B$7))*COS(RADIANS('11_발전량_모델'!$B$8))</f>
        <v/>
      </c>
      <c r="L38" s="80">
        <f>COS(RADIANS('11_발전량_모델'!$B$7))</f>
        <v/>
      </c>
      <c r="M38" s="80">
        <f>G38*J38+H38*K38+I38*L38</f>
        <v/>
      </c>
      <c r="N38" s="80">
        <f>MAX(0,I38)</f>
        <v/>
      </c>
      <c r="O38" s="80">
        <f>IF(I38&gt;0,MAX(0,M38),0)</f>
        <v/>
      </c>
      <c r="P38" s="80">
        <f>IF($I38&gt;0,MAX(0,$G38*SIN(RADIANS('13_시나리오비교'!$B$5))*SIN(RADIANS('13_시나리오비교'!$C$5))+$H38*SIN(RADIANS('13_시나리오비교'!$B$5))*COS(RADIANS('13_시나리오비교'!$C$5))+$I38*COS(RADIANS('13_시나리오비교'!$B$5))),0)</f>
        <v/>
      </c>
      <c r="Q38" s="80">
        <f>IF($I38&gt;0,MAX(0,$G38*SIN(RADIANS('13_시나리오비교'!$B$6))*SIN(RADIANS('13_시나리오비교'!$C$6))+$H38*SIN(RADIANS('13_시나리오비교'!$B$6))*COS(RADIANS('13_시나리오비교'!$C$6))+$I38*COS(RADIANS('13_시나리오비교'!$B$6))),0)</f>
        <v/>
      </c>
      <c r="R38" s="80">
        <f>IF($I38&gt;0,MAX(0,$G38*SIN(RADIANS('13_시나리오비교'!$B$7))*SIN(RADIANS('13_시나리오비교'!$C$7))+$H38*SIN(RADIANS('13_시나리오비교'!$B$7))*COS(RADIANS('13_시나리오비교'!$C$7))+$I38*COS(RADIANS('13_시나리오비교'!$B$7))),0)</f>
        <v/>
      </c>
      <c r="S38" s="80">
        <f>IF($I38&gt;0,MAX(0,$G38*SIN(RADIANS('13_시나리오비교'!$B$8))*SIN(RADIANS('13_시나리오비교'!$C$8))+$H38*SIN(RADIANS('13_시나리오비교'!$B$8))*COS(RADIANS('13_시나리오비교'!$C$8))+$I38*COS(RADIANS('13_시나리오비교'!$B$8))),0)</f>
        <v/>
      </c>
      <c r="T38" s="80">
        <f>IF($I38&gt;0,MAX(0,$G38*SIN(RADIANS('13_시나리오비교'!$B$9))*SIN(RADIANS('13_시나리오비교'!$C$9))+$H38*SIN(RADIANS('13_시나리오비교'!$B$9))*COS(RADIANS('13_시나리오비교'!$C$9))+$I38*COS(RADIANS('13_시나리오비교'!$B$9))),0)</f>
        <v/>
      </c>
      <c r="U38" s="80">
        <f>IF($I38&gt;0,MAX(0,$G38*SIN(RADIANS('13_시나리오비교'!$B$10))*SIN(RADIANS('13_시나리오비교'!$C$10))+$H38*SIN(RADIANS('13_시나리오비교'!$B$10))*COS(RADIANS('13_시나리오비교'!$C$10))+$I38*COS(RADIANS('13_시나리오비교'!$B$10))),0)</f>
        <v/>
      </c>
      <c r="V38" s="80">
        <f>IF($I38&gt;0,MAX(0,$G38*SIN(RADIANS('13_시나리오비교'!$B$11))*SIN(RADIANS('13_시나리오비교'!$C$11))+$H38*SIN(RADIANS('13_시나리오비교'!$B$11))*COS(RADIANS('13_시나리오비교'!$C$11))+$I38*COS(RADIANS('13_시나리오비교'!$B$11))),0)</f>
        <v/>
      </c>
      <c r="W38" s="80">
        <f>IF($I38&gt;0,MAX(0,$G38*SIN(RADIANS('13_시나리오비교'!$B$12))*SIN(RADIANS('13_시나리오비교'!$C$12))+$H38*SIN(RADIANS('13_시나리오비교'!$B$12))*COS(RADIANS('13_시나리오비교'!$C$12))+$I38*COS(RADIANS('13_시나리오비교'!$B$12))),0)</f>
        <v/>
      </c>
      <c r="X38" s="80">
        <f>IF($I38&gt;0,MAX(0,$G38*SIN(RADIANS('13_시나리오비교'!$B$13))*SIN(RADIANS('13_시나리오비교'!$C$13))+$H38*SIN(RADIANS('13_시나리오비교'!$B$13))*COS(RADIANS('13_시나리오비교'!$C$13))+$I38*COS(RADIANS('13_시나리오비교'!$B$13))),0)</f>
        <v/>
      </c>
      <c r="Y38" s="80">
        <f>IF($I38&gt;0,MAX(0,$G38*SIN(RADIANS('13_시나리오비교'!$B$14))*SIN(RADIANS('13_시나리오비교'!$C$14))+$H38*SIN(RADIANS('13_시나리오비교'!$B$14))*COS(RADIANS('13_시나리오비교'!$C$14))+$I38*COS(RADIANS('13_시나리오비교'!$B$14))),0)</f>
        <v/>
      </c>
    </row>
    <row r="39" hidden="1" outlineLevel="1">
      <c r="A39" s="79" t="n">
        <v>1</v>
      </c>
      <c r="B39" s="79" t="n">
        <v>19</v>
      </c>
      <c r="C39" s="80">
        <f>(B39-0.5)*'14_지역·상수'!$H$6</f>
        <v/>
      </c>
      <c r="D39" s="79" t="n">
        <v>17</v>
      </c>
      <c r="E39" s="80">
        <f>INDEX($C$4:$C$15,MATCH(A39,$A$4:$A$15,0))</f>
        <v/>
      </c>
      <c r="F39" s="80">
        <f>15*(C39-12)</f>
        <v/>
      </c>
      <c r="G39" s="80">
        <f>-COS(RADIANS(E39))*SIN(RADIANS(F39))</f>
        <v/>
      </c>
      <c r="H39" s="80">
        <f>COS(RADIANS('11_발전량_모델'!$B$17))*SIN(RADIANS(E39))-SIN(RADIANS('11_발전량_모델'!$B$17))*COS(RADIANS(E39))*COS(RADIANS(F39))</f>
        <v/>
      </c>
      <c r="I39" s="80">
        <f>SIN(RADIANS('11_발전량_모델'!$B$17))*SIN(RADIANS(E39))+COS(RADIANS('11_발전량_모델'!$B$17))*COS(RADIANS(E39))*COS(RADIANS(F39))</f>
        <v/>
      </c>
      <c r="J39" s="80">
        <f>SIN(RADIANS('11_발전량_모델'!$B$7))*SIN(RADIANS('11_발전량_모델'!$B$8))</f>
        <v/>
      </c>
      <c r="K39" s="80">
        <f>SIN(RADIANS('11_발전량_모델'!$B$7))*COS(RADIANS('11_발전량_모델'!$B$8))</f>
        <v/>
      </c>
      <c r="L39" s="80">
        <f>COS(RADIANS('11_발전량_모델'!$B$7))</f>
        <v/>
      </c>
      <c r="M39" s="80">
        <f>G39*J39+H39*K39+I39*L39</f>
        <v/>
      </c>
      <c r="N39" s="80">
        <f>MAX(0,I39)</f>
        <v/>
      </c>
      <c r="O39" s="80">
        <f>IF(I39&gt;0,MAX(0,M39),0)</f>
        <v/>
      </c>
      <c r="P39" s="80">
        <f>IF($I39&gt;0,MAX(0,$G39*SIN(RADIANS('13_시나리오비교'!$B$5))*SIN(RADIANS('13_시나리오비교'!$C$5))+$H39*SIN(RADIANS('13_시나리오비교'!$B$5))*COS(RADIANS('13_시나리오비교'!$C$5))+$I39*COS(RADIANS('13_시나리오비교'!$B$5))),0)</f>
        <v/>
      </c>
      <c r="Q39" s="80">
        <f>IF($I39&gt;0,MAX(0,$G39*SIN(RADIANS('13_시나리오비교'!$B$6))*SIN(RADIANS('13_시나리오비교'!$C$6))+$H39*SIN(RADIANS('13_시나리오비교'!$B$6))*COS(RADIANS('13_시나리오비교'!$C$6))+$I39*COS(RADIANS('13_시나리오비교'!$B$6))),0)</f>
        <v/>
      </c>
      <c r="R39" s="80">
        <f>IF($I39&gt;0,MAX(0,$G39*SIN(RADIANS('13_시나리오비교'!$B$7))*SIN(RADIANS('13_시나리오비교'!$C$7))+$H39*SIN(RADIANS('13_시나리오비교'!$B$7))*COS(RADIANS('13_시나리오비교'!$C$7))+$I39*COS(RADIANS('13_시나리오비교'!$B$7))),0)</f>
        <v/>
      </c>
      <c r="S39" s="80">
        <f>IF($I39&gt;0,MAX(0,$G39*SIN(RADIANS('13_시나리오비교'!$B$8))*SIN(RADIANS('13_시나리오비교'!$C$8))+$H39*SIN(RADIANS('13_시나리오비교'!$B$8))*COS(RADIANS('13_시나리오비교'!$C$8))+$I39*COS(RADIANS('13_시나리오비교'!$B$8))),0)</f>
        <v/>
      </c>
      <c r="T39" s="80">
        <f>IF($I39&gt;0,MAX(0,$G39*SIN(RADIANS('13_시나리오비교'!$B$9))*SIN(RADIANS('13_시나리오비교'!$C$9))+$H39*SIN(RADIANS('13_시나리오비교'!$B$9))*COS(RADIANS('13_시나리오비교'!$C$9))+$I39*COS(RADIANS('13_시나리오비교'!$B$9))),0)</f>
        <v/>
      </c>
      <c r="U39" s="80">
        <f>IF($I39&gt;0,MAX(0,$G39*SIN(RADIANS('13_시나리오비교'!$B$10))*SIN(RADIANS('13_시나리오비교'!$C$10))+$H39*SIN(RADIANS('13_시나리오비교'!$B$10))*COS(RADIANS('13_시나리오비교'!$C$10))+$I39*COS(RADIANS('13_시나리오비교'!$B$10))),0)</f>
        <v/>
      </c>
      <c r="V39" s="80">
        <f>IF($I39&gt;0,MAX(0,$G39*SIN(RADIANS('13_시나리오비교'!$B$11))*SIN(RADIANS('13_시나리오비교'!$C$11))+$H39*SIN(RADIANS('13_시나리오비교'!$B$11))*COS(RADIANS('13_시나리오비교'!$C$11))+$I39*COS(RADIANS('13_시나리오비교'!$B$11))),0)</f>
        <v/>
      </c>
      <c r="W39" s="80">
        <f>IF($I39&gt;0,MAX(0,$G39*SIN(RADIANS('13_시나리오비교'!$B$12))*SIN(RADIANS('13_시나리오비교'!$C$12))+$H39*SIN(RADIANS('13_시나리오비교'!$B$12))*COS(RADIANS('13_시나리오비교'!$C$12))+$I39*COS(RADIANS('13_시나리오비교'!$B$12))),0)</f>
        <v/>
      </c>
      <c r="X39" s="80">
        <f>IF($I39&gt;0,MAX(0,$G39*SIN(RADIANS('13_시나리오비교'!$B$13))*SIN(RADIANS('13_시나리오비교'!$C$13))+$H39*SIN(RADIANS('13_시나리오비교'!$B$13))*COS(RADIANS('13_시나리오비교'!$C$13))+$I39*COS(RADIANS('13_시나리오비교'!$B$13))),0)</f>
        <v/>
      </c>
      <c r="Y39" s="80">
        <f>IF($I39&gt;0,MAX(0,$G39*SIN(RADIANS('13_시나리오비교'!$B$14))*SIN(RADIANS('13_시나리오비교'!$C$14))+$H39*SIN(RADIANS('13_시나리오비교'!$B$14))*COS(RADIANS('13_시나리오비교'!$C$14))+$I39*COS(RADIANS('13_시나리오비교'!$B$14))),0)</f>
        <v/>
      </c>
    </row>
    <row r="40" hidden="1" outlineLevel="1">
      <c r="A40" s="79" t="n">
        <v>1</v>
      </c>
      <c r="B40" s="79" t="n">
        <v>20</v>
      </c>
      <c r="C40" s="80">
        <f>(B40-0.5)*'14_지역·상수'!$H$6</f>
        <v/>
      </c>
      <c r="D40" s="79" t="n">
        <v>17</v>
      </c>
      <c r="E40" s="80">
        <f>INDEX($C$4:$C$15,MATCH(A40,$A$4:$A$15,0))</f>
        <v/>
      </c>
      <c r="F40" s="80">
        <f>15*(C40-12)</f>
        <v/>
      </c>
      <c r="G40" s="80">
        <f>-COS(RADIANS(E40))*SIN(RADIANS(F40))</f>
        <v/>
      </c>
      <c r="H40" s="80">
        <f>COS(RADIANS('11_발전량_모델'!$B$17))*SIN(RADIANS(E40))-SIN(RADIANS('11_발전량_모델'!$B$17))*COS(RADIANS(E40))*COS(RADIANS(F40))</f>
        <v/>
      </c>
      <c r="I40" s="80">
        <f>SIN(RADIANS('11_발전량_모델'!$B$17))*SIN(RADIANS(E40))+COS(RADIANS('11_발전량_모델'!$B$17))*COS(RADIANS(E40))*COS(RADIANS(F40))</f>
        <v/>
      </c>
      <c r="J40" s="80">
        <f>SIN(RADIANS('11_발전량_모델'!$B$7))*SIN(RADIANS('11_발전량_모델'!$B$8))</f>
        <v/>
      </c>
      <c r="K40" s="80">
        <f>SIN(RADIANS('11_발전량_모델'!$B$7))*COS(RADIANS('11_발전량_모델'!$B$8))</f>
        <v/>
      </c>
      <c r="L40" s="80">
        <f>COS(RADIANS('11_발전량_모델'!$B$7))</f>
        <v/>
      </c>
      <c r="M40" s="80">
        <f>G40*J40+H40*K40+I40*L40</f>
        <v/>
      </c>
      <c r="N40" s="80">
        <f>MAX(0,I40)</f>
        <v/>
      </c>
      <c r="O40" s="80">
        <f>IF(I40&gt;0,MAX(0,M40),0)</f>
        <v/>
      </c>
      <c r="P40" s="80">
        <f>IF($I40&gt;0,MAX(0,$G40*SIN(RADIANS('13_시나리오비교'!$B$5))*SIN(RADIANS('13_시나리오비교'!$C$5))+$H40*SIN(RADIANS('13_시나리오비교'!$B$5))*COS(RADIANS('13_시나리오비교'!$C$5))+$I40*COS(RADIANS('13_시나리오비교'!$B$5))),0)</f>
        <v/>
      </c>
      <c r="Q40" s="80">
        <f>IF($I40&gt;0,MAX(0,$G40*SIN(RADIANS('13_시나리오비교'!$B$6))*SIN(RADIANS('13_시나리오비교'!$C$6))+$H40*SIN(RADIANS('13_시나리오비교'!$B$6))*COS(RADIANS('13_시나리오비교'!$C$6))+$I40*COS(RADIANS('13_시나리오비교'!$B$6))),0)</f>
        <v/>
      </c>
      <c r="R40" s="80">
        <f>IF($I40&gt;0,MAX(0,$G40*SIN(RADIANS('13_시나리오비교'!$B$7))*SIN(RADIANS('13_시나리오비교'!$C$7))+$H40*SIN(RADIANS('13_시나리오비교'!$B$7))*COS(RADIANS('13_시나리오비교'!$C$7))+$I40*COS(RADIANS('13_시나리오비교'!$B$7))),0)</f>
        <v/>
      </c>
      <c r="S40" s="80">
        <f>IF($I40&gt;0,MAX(0,$G40*SIN(RADIANS('13_시나리오비교'!$B$8))*SIN(RADIANS('13_시나리오비교'!$C$8))+$H40*SIN(RADIANS('13_시나리오비교'!$B$8))*COS(RADIANS('13_시나리오비교'!$C$8))+$I40*COS(RADIANS('13_시나리오비교'!$B$8))),0)</f>
        <v/>
      </c>
      <c r="T40" s="80">
        <f>IF($I40&gt;0,MAX(0,$G40*SIN(RADIANS('13_시나리오비교'!$B$9))*SIN(RADIANS('13_시나리오비교'!$C$9))+$H40*SIN(RADIANS('13_시나리오비교'!$B$9))*COS(RADIANS('13_시나리오비교'!$C$9))+$I40*COS(RADIANS('13_시나리오비교'!$B$9))),0)</f>
        <v/>
      </c>
      <c r="U40" s="80">
        <f>IF($I40&gt;0,MAX(0,$G40*SIN(RADIANS('13_시나리오비교'!$B$10))*SIN(RADIANS('13_시나리오비교'!$C$10))+$H40*SIN(RADIANS('13_시나리오비교'!$B$10))*COS(RADIANS('13_시나리오비교'!$C$10))+$I40*COS(RADIANS('13_시나리오비교'!$B$10))),0)</f>
        <v/>
      </c>
      <c r="V40" s="80">
        <f>IF($I40&gt;0,MAX(0,$G40*SIN(RADIANS('13_시나리오비교'!$B$11))*SIN(RADIANS('13_시나리오비교'!$C$11))+$H40*SIN(RADIANS('13_시나리오비교'!$B$11))*COS(RADIANS('13_시나리오비교'!$C$11))+$I40*COS(RADIANS('13_시나리오비교'!$B$11))),0)</f>
        <v/>
      </c>
      <c r="W40" s="80">
        <f>IF($I40&gt;0,MAX(0,$G40*SIN(RADIANS('13_시나리오비교'!$B$12))*SIN(RADIANS('13_시나리오비교'!$C$12))+$H40*SIN(RADIANS('13_시나리오비교'!$B$12))*COS(RADIANS('13_시나리오비교'!$C$12))+$I40*COS(RADIANS('13_시나리오비교'!$B$12))),0)</f>
        <v/>
      </c>
      <c r="X40" s="80">
        <f>IF($I40&gt;0,MAX(0,$G40*SIN(RADIANS('13_시나리오비교'!$B$13))*SIN(RADIANS('13_시나리오비교'!$C$13))+$H40*SIN(RADIANS('13_시나리오비교'!$B$13))*COS(RADIANS('13_시나리오비교'!$C$13))+$I40*COS(RADIANS('13_시나리오비교'!$B$13))),0)</f>
        <v/>
      </c>
      <c r="Y40" s="80">
        <f>IF($I40&gt;0,MAX(0,$G40*SIN(RADIANS('13_시나리오비교'!$B$14))*SIN(RADIANS('13_시나리오비교'!$C$14))+$H40*SIN(RADIANS('13_시나리오비교'!$B$14))*COS(RADIANS('13_시나리오비교'!$C$14))+$I40*COS(RADIANS('13_시나리오비교'!$B$14))),0)</f>
        <v/>
      </c>
    </row>
    <row r="41" hidden="1" outlineLevel="1">
      <c r="A41" s="79" t="n">
        <v>1</v>
      </c>
      <c r="B41" s="79" t="n">
        <v>21</v>
      </c>
      <c r="C41" s="80">
        <f>(B41-0.5)*'14_지역·상수'!$H$6</f>
        <v/>
      </c>
      <c r="D41" s="79" t="n">
        <v>17</v>
      </c>
      <c r="E41" s="80">
        <f>INDEX($C$4:$C$15,MATCH(A41,$A$4:$A$15,0))</f>
        <v/>
      </c>
      <c r="F41" s="80">
        <f>15*(C41-12)</f>
        <v/>
      </c>
      <c r="G41" s="80">
        <f>-COS(RADIANS(E41))*SIN(RADIANS(F41))</f>
        <v/>
      </c>
      <c r="H41" s="80">
        <f>COS(RADIANS('11_발전량_모델'!$B$17))*SIN(RADIANS(E41))-SIN(RADIANS('11_발전량_모델'!$B$17))*COS(RADIANS(E41))*COS(RADIANS(F41))</f>
        <v/>
      </c>
      <c r="I41" s="80">
        <f>SIN(RADIANS('11_발전량_모델'!$B$17))*SIN(RADIANS(E41))+COS(RADIANS('11_발전량_모델'!$B$17))*COS(RADIANS(E41))*COS(RADIANS(F41))</f>
        <v/>
      </c>
      <c r="J41" s="80">
        <f>SIN(RADIANS('11_발전량_모델'!$B$7))*SIN(RADIANS('11_발전량_모델'!$B$8))</f>
        <v/>
      </c>
      <c r="K41" s="80">
        <f>SIN(RADIANS('11_발전량_모델'!$B$7))*COS(RADIANS('11_발전량_모델'!$B$8))</f>
        <v/>
      </c>
      <c r="L41" s="80">
        <f>COS(RADIANS('11_발전량_모델'!$B$7))</f>
        <v/>
      </c>
      <c r="M41" s="80">
        <f>G41*J41+H41*K41+I41*L41</f>
        <v/>
      </c>
      <c r="N41" s="80">
        <f>MAX(0,I41)</f>
        <v/>
      </c>
      <c r="O41" s="80">
        <f>IF(I41&gt;0,MAX(0,M41),0)</f>
        <v/>
      </c>
      <c r="P41" s="80">
        <f>IF($I41&gt;0,MAX(0,$G41*SIN(RADIANS('13_시나리오비교'!$B$5))*SIN(RADIANS('13_시나리오비교'!$C$5))+$H41*SIN(RADIANS('13_시나리오비교'!$B$5))*COS(RADIANS('13_시나리오비교'!$C$5))+$I41*COS(RADIANS('13_시나리오비교'!$B$5))),0)</f>
        <v/>
      </c>
      <c r="Q41" s="80">
        <f>IF($I41&gt;0,MAX(0,$G41*SIN(RADIANS('13_시나리오비교'!$B$6))*SIN(RADIANS('13_시나리오비교'!$C$6))+$H41*SIN(RADIANS('13_시나리오비교'!$B$6))*COS(RADIANS('13_시나리오비교'!$C$6))+$I41*COS(RADIANS('13_시나리오비교'!$B$6))),0)</f>
        <v/>
      </c>
      <c r="R41" s="80">
        <f>IF($I41&gt;0,MAX(0,$G41*SIN(RADIANS('13_시나리오비교'!$B$7))*SIN(RADIANS('13_시나리오비교'!$C$7))+$H41*SIN(RADIANS('13_시나리오비교'!$B$7))*COS(RADIANS('13_시나리오비교'!$C$7))+$I41*COS(RADIANS('13_시나리오비교'!$B$7))),0)</f>
        <v/>
      </c>
      <c r="S41" s="80">
        <f>IF($I41&gt;0,MAX(0,$G41*SIN(RADIANS('13_시나리오비교'!$B$8))*SIN(RADIANS('13_시나리오비교'!$C$8))+$H41*SIN(RADIANS('13_시나리오비교'!$B$8))*COS(RADIANS('13_시나리오비교'!$C$8))+$I41*COS(RADIANS('13_시나리오비교'!$B$8))),0)</f>
        <v/>
      </c>
      <c r="T41" s="80">
        <f>IF($I41&gt;0,MAX(0,$G41*SIN(RADIANS('13_시나리오비교'!$B$9))*SIN(RADIANS('13_시나리오비교'!$C$9))+$H41*SIN(RADIANS('13_시나리오비교'!$B$9))*COS(RADIANS('13_시나리오비교'!$C$9))+$I41*COS(RADIANS('13_시나리오비교'!$B$9))),0)</f>
        <v/>
      </c>
      <c r="U41" s="80">
        <f>IF($I41&gt;0,MAX(0,$G41*SIN(RADIANS('13_시나리오비교'!$B$10))*SIN(RADIANS('13_시나리오비교'!$C$10))+$H41*SIN(RADIANS('13_시나리오비교'!$B$10))*COS(RADIANS('13_시나리오비교'!$C$10))+$I41*COS(RADIANS('13_시나리오비교'!$B$10))),0)</f>
        <v/>
      </c>
      <c r="V41" s="80">
        <f>IF($I41&gt;0,MAX(0,$G41*SIN(RADIANS('13_시나리오비교'!$B$11))*SIN(RADIANS('13_시나리오비교'!$C$11))+$H41*SIN(RADIANS('13_시나리오비교'!$B$11))*COS(RADIANS('13_시나리오비교'!$C$11))+$I41*COS(RADIANS('13_시나리오비교'!$B$11))),0)</f>
        <v/>
      </c>
      <c r="W41" s="80">
        <f>IF($I41&gt;0,MAX(0,$G41*SIN(RADIANS('13_시나리오비교'!$B$12))*SIN(RADIANS('13_시나리오비교'!$C$12))+$H41*SIN(RADIANS('13_시나리오비교'!$B$12))*COS(RADIANS('13_시나리오비교'!$C$12))+$I41*COS(RADIANS('13_시나리오비교'!$B$12))),0)</f>
        <v/>
      </c>
      <c r="X41" s="80">
        <f>IF($I41&gt;0,MAX(0,$G41*SIN(RADIANS('13_시나리오비교'!$B$13))*SIN(RADIANS('13_시나리오비교'!$C$13))+$H41*SIN(RADIANS('13_시나리오비교'!$B$13))*COS(RADIANS('13_시나리오비교'!$C$13))+$I41*COS(RADIANS('13_시나리오비교'!$B$13))),0)</f>
        <v/>
      </c>
      <c r="Y41" s="80">
        <f>IF($I41&gt;0,MAX(0,$G41*SIN(RADIANS('13_시나리오비교'!$B$14))*SIN(RADIANS('13_시나리오비교'!$C$14))+$H41*SIN(RADIANS('13_시나리오비교'!$B$14))*COS(RADIANS('13_시나리오비교'!$C$14))+$I41*COS(RADIANS('13_시나리오비교'!$B$14))),0)</f>
        <v/>
      </c>
    </row>
    <row r="42" hidden="1" outlineLevel="1">
      <c r="A42" s="79" t="n">
        <v>1</v>
      </c>
      <c r="B42" s="79" t="n">
        <v>22</v>
      </c>
      <c r="C42" s="80">
        <f>(B42-0.5)*'14_지역·상수'!$H$6</f>
        <v/>
      </c>
      <c r="D42" s="79" t="n">
        <v>17</v>
      </c>
      <c r="E42" s="80">
        <f>INDEX($C$4:$C$15,MATCH(A42,$A$4:$A$15,0))</f>
        <v/>
      </c>
      <c r="F42" s="80">
        <f>15*(C42-12)</f>
        <v/>
      </c>
      <c r="G42" s="80">
        <f>-COS(RADIANS(E42))*SIN(RADIANS(F42))</f>
        <v/>
      </c>
      <c r="H42" s="80">
        <f>COS(RADIANS('11_발전량_모델'!$B$17))*SIN(RADIANS(E42))-SIN(RADIANS('11_발전량_모델'!$B$17))*COS(RADIANS(E42))*COS(RADIANS(F42))</f>
        <v/>
      </c>
      <c r="I42" s="80">
        <f>SIN(RADIANS('11_발전량_모델'!$B$17))*SIN(RADIANS(E42))+COS(RADIANS('11_발전량_모델'!$B$17))*COS(RADIANS(E42))*COS(RADIANS(F42))</f>
        <v/>
      </c>
      <c r="J42" s="80">
        <f>SIN(RADIANS('11_발전량_모델'!$B$7))*SIN(RADIANS('11_발전량_모델'!$B$8))</f>
        <v/>
      </c>
      <c r="K42" s="80">
        <f>SIN(RADIANS('11_발전량_모델'!$B$7))*COS(RADIANS('11_발전량_모델'!$B$8))</f>
        <v/>
      </c>
      <c r="L42" s="80">
        <f>COS(RADIANS('11_발전량_모델'!$B$7))</f>
        <v/>
      </c>
      <c r="M42" s="80">
        <f>G42*J42+H42*K42+I42*L42</f>
        <v/>
      </c>
      <c r="N42" s="80">
        <f>MAX(0,I42)</f>
        <v/>
      </c>
      <c r="O42" s="80">
        <f>IF(I42&gt;0,MAX(0,M42),0)</f>
        <v/>
      </c>
      <c r="P42" s="80">
        <f>IF($I42&gt;0,MAX(0,$G42*SIN(RADIANS('13_시나리오비교'!$B$5))*SIN(RADIANS('13_시나리오비교'!$C$5))+$H42*SIN(RADIANS('13_시나리오비교'!$B$5))*COS(RADIANS('13_시나리오비교'!$C$5))+$I42*COS(RADIANS('13_시나리오비교'!$B$5))),0)</f>
        <v/>
      </c>
      <c r="Q42" s="80">
        <f>IF($I42&gt;0,MAX(0,$G42*SIN(RADIANS('13_시나리오비교'!$B$6))*SIN(RADIANS('13_시나리오비교'!$C$6))+$H42*SIN(RADIANS('13_시나리오비교'!$B$6))*COS(RADIANS('13_시나리오비교'!$C$6))+$I42*COS(RADIANS('13_시나리오비교'!$B$6))),0)</f>
        <v/>
      </c>
      <c r="R42" s="80">
        <f>IF($I42&gt;0,MAX(0,$G42*SIN(RADIANS('13_시나리오비교'!$B$7))*SIN(RADIANS('13_시나리오비교'!$C$7))+$H42*SIN(RADIANS('13_시나리오비교'!$B$7))*COS(RADIANS('13_시나리오비교'!$C$7))+$I42*COS(RADIANS('13_시나리오비교'!$B$7))),0)</f>
        <v/>
      </c>
      <c r="S42" s="80">
        <f>IF($I42&gt;0,MAX(0,$G42*SIN(RADIANS('13_시나리오비교'!$B$8))*SIN(RADIANS('13_시나리오비교'!$C$8))+$H42*SIN(RADIANS('13_시나리오비교'!$B$8))*COS(RADIANS('13_시나리오비교'!$C$8))+$I42*COS(RADIANS('13_시나리오비교'!$B$8))),0)</f>
        <v/>
      </c>
      <c r="T42" s="80">
        <f>IF($I42&gt;0,MAX(0,$G42*SIN(RADIANS('13_시나리오비교'!$B$9))*SIN(RADIANS('13_시나리오비교'!$C$9))+$H42*SIN(RADIANS('13_시나리오비교'!$B$9))*COS(RADIANS('13_시나리오비교'!$C$9))+$I42*COS(RADIANS('13_시나리오비교'!$B$9))),0)</f>
        <v/>
      </c>
      <c r="U42" s="80">
        <f>IF($I42&gt;0,MAX(0,$G42*SIN(RADIANS('13_시나리오비교'!$B$10))*SIN(RADIANS('13_시나리오비교'!$C$10))+$H42*SIN(RADIANS('13_시나리오비교'!$B$10))*COS(RADIANS('13_시나리오비교'!$C$10))+$I42*COS(RADIANS('13_시나리오비교'!$B$10))),0)</f>
        <v/>
      </c>
      <c r="V42" s="80">
        <f>IF($I42&gt;0,MAX(0,$G42*SIN(RADIANS('13_시나리오비교'!$B$11))*SIN(RADIANS('13_시나리오비교'!$C$11))+$H42*SIN(RADIANS('13_시나리오비교'!$B$11))*COS(RADIANS('13_시나리오비교'!$C$11))+$I42*COS(RADIANS('13_시나리오비교'!$B$11))),0)</f>
        <v/>
      </c>
      <c r="W42" s="80">
        <f>IF($I42&gt;0,MAX(0,$G42*SIN(RADIANS('13_시나리오비교'!$B$12))*SIN(RADIANS('13_시나리오비교'!$C$12))+$H42*SIN(RADIANS('13_시나리오비교'!$B$12))*COS(RADIANS('13_시나리오비교'!$C$12))+$I42*COS(RADIANS('13_시나리오비교'!$B$12))),0)</f>
        <v/>
      </c>
      <c r="X42" s="80">
        <f>IF($I42&gt;0,MAX(0,$G42*SIN(RADIANS('13_시나리오비교'!$B$13))*SIN(RADIANS('13_시나리오비교'!$C$13))+$H42*SIN(RADIANS('13_시나리오비교'!$B$13))*COS(RADIANS('13_시나리오비교'!$C$13))+$I42*COS(RADIANS('13_시나리오비교'!$B$13))),0)</f>
        <v/>
      </c>
      <c r="Y42" s="80">
        <f>IF($I42&gt;0,MAX(0,$G42*SIN(RADIANS('13_시나리오비교'!$B$14))*SIN(RADIANS('13_시나리오비교'!$C$14))+$H42*SIN(RADIANS('13_시나리오비교'!$B$14))*COS(RADIANS('13_시나리오비교'!$C$14))+$I42*COS(RADIANS('13_시나리오비교'!$B$14))),0)</f>
        <v/>
      </c>
    </row>
    <row r="43" hidden="1" outlineLevel="1">
      <c r="A43" s="79" t="n">
        <v>1</v>
      </c>
      <c r="B43" s="79" t="n">
        <v>23</v>
      </c>
      <c r="C43" s="80">
        <f>(B43-0.5)*'14_지역·상수'!$H$6</f>
        <v/>
      </c>
      <c r="D43" s="79" t="n">
        <v>17</v>
      </c>
      <c r="E43" s="80">
        <f>INDEX($C$4:$C$15,MATCH(A43,$A$4:$A$15,0))</f>
        <v/>
      </c>
      <c r="F43" s="80">
        <f>15*(C43-12)</f>
        <v/>
      </c>
      <c r="G43" s="80">
        <f>-COS(RADIANS(E43))*SIN(RADIANS(F43))</f>
        <v/>
      </c>
      <c r="H43" s="80">
        <f>COS(RADIANS('11_발전량_모델'!$B$17))*SIN(RADIANS(E43))-SIN(RADIANS('11_발전량_모델'!$B$17))*COS(RADIANS(E43))*COS(RADIANS(F43))</f>
        <v/>
      </c>
      <c r="I43" s="80">
        <f>SIN(RADIANS('11_발전량_모델'!$B$17))*SIN(RADIANS(E43))+COS(RADIANS('11_발전량_모델'!$B$17))*COS(RADIANS(E43))*COS(RADIANS(F43))</f>
        <v/>
      </c>
      <c r="J43" s="80">
        <f>SIN(RADIANS('11_발전량_모델'!$B$7))*SIN(RADIANS('11_발전량_모델'!$B$8))</f>
        <v/>
      </c>
      <c r="K43" s="80">
        <f>SIN(RADIANS('11_발전량_모델'!$B$7))*COS(RADIANS('11_발전량_모델'!$B$8))</f>
        <v/>
      </c>
      <c r="L43" s="80">
        <f>COS(RADIANS('11_발전량_모델'!$B$7))</f>
        <v/>
      </c>
      <c r="M43" s="80">
        <f>G43*J43+H43*K43+I43*L43</f>
        <v/>
      </c>
      <c r="N43" s="80">
        <f>MAX(0,I43)</f>
        <v/>
      </c>
      <c r="O43" s="80">
        <f>IF(I43&gt;0,MAX(0,M43),0)</f>
        <v/>
      </c>
      <c r="P43" s="80">
        <f>IF($I43&gt;0,MAX(0,$G43*SIN(RADIANS('13_시나리오비교'!$B$5))*SIN(RADIANS('13_시나리오비교'!$C$5))+$H43*SIN(RADIANS('13_시나리오비교'!$B$5))*COS(RADIANS('13_시나리오비교'!$C$5))+$I43*COS(RADIANS('13_시나리오비교'!$B$5))),0)</f>
        <v/>
      </c>
      <c r="Q43" s="80">
        <f>IF($I43&gt;0,MAX(0,$G43*SIN(RADIANS('13_시나리오비교'!$B$6))*SIN(RADIANS('13_시나리오비교'!$C$6))+$H43*SIN(RADIANS('13_시나리오비교'!$B$6))*COS(RADIANS('13_시나리오비교'!$C$6))+$I43*COS(RADIANS('13_시나리오비교'!$B$6))),0)</f>
        <v/>
      </c>
      <c r="R43" s="80">
        <f>IF($I43&gt;0,MAX(0,$G43*SIN(RADIANS('13_시나리오비교'!$B$7))*SIN(RADIANS('13_시나리오비교'!$C$7))+$H43*SIN(RADIANS('13_시나리오비교'!$B$7))*COS(RADIANS('13_시나리오비교'!$C$7))+$I43*COS(RADIANS('13_시나리오비교'!$B$7))),0)</f>
        <v/>
      </c>
      <c r="S43" s="80">
        <f>IF($I43&gt;0,MAX(0,$G43*SIN(RADIANS('13_시나리오비교'!$B$8))*SIN(RADIANS('13_시나리오비교'!$C$8))+$H43*SIN(RADIANS('13_시나리오비교'!$B$8))*COS(RADIANS('13_시나리오비교'!$C$8))+$I43*COS(RADIANS('13_시나리오비교'!$B$8))),0)</f>
        <v/>
      </c>
      <c r="T43" s="80">
        <f>IF($I43&gt;0,MAX(0,$G43*SIN(RADIANS('13_시나리오비교'!$B$9))*SIN(RADIANS('13_시나리오비교'!$C$9))+$H43*SIN(RADIANS('13_시나리오비교'!$B$9))*COS(RADIANS('13_시나리오비교'!$C$9))+$I43*COS(RADIANS('13_시나리오비교'!$B$9))),0)</f>
        <v/>
      </c>
      <c r="U43" s="80">
        <f>IF($I43&gt;0,MAX(0,$G43*SIN(RADIANS('13_시나리오비교'!$B$10))*SIN(RADIANS('13_시나리오비교'!$C$10))+$H43*SIN(RADIANS('13_시나리오비교'!$B$10))*COS(RADIANS('13_시나리오비교'!$C$10))+$I43*COS(RADIANS('13_시나리오비교'!$B$10))),0)</f>
        <v/>
      </c>
      <c r="V43" s="80">
        <f>IF($I43&gt;0,MAX(0,$G43*SIN(RADIANS('13_시나리오비교'!$B$11))*SIN(RADIANS('13_시나리오비교'!$C$11))+$H43*SIN(RADIANS('13_시나리오비교'!$B$11))*COS(RADIANS('13_시나리오비교'!$C$11))+$I43*COS(RADIANS('13_시나리오비교'!$B$11))),0)</f>
        <v/>
      </c>
      <c r="W43" s="80">
        <f>IF($I43&gt;0,MAX(0,$G43*SIN(RADIANS('13_시나리오비교'!$B$12))*SIN(RADIANS('13_시나리오비교'!$C$12))+$H43*SIN(RADIANS('13_시나리오비교'!$B$12))*COS(RADIANS('13_시나리오비교'!$C$12))+$I43*COS(RADIANS('13_시나리오비교'!$B$12))),0)</f>
        <v/>
      </c>
      <c r="X43" s="80">
        <f>IF($I43&gt;0,MAX(0,$G43*SIN(RADIANS('13_시나리오비교'!$B$13))*SIN(RADIANS('13_시나리오비교'!$C$13))+$H43*SIN(RADIANS('13_시나리오비교'!$B$13))*COS(RADIANS('13_시나리오비교'!$C$13))+$I43*COS(RADIANS('13_시나리오비교'!$B$13))),0)</f>
        <v/>
      </c>
      <c r="Y43" s="80">
        <f>IF($I43&gt;0,MAX(0,$G43*SIN(RADIANS('13_시나리오비교'!$B$14))*SIN(RADIANS('13_시나리오비교'!$C$14))+$H43*SIN(RADIANS('13_시나리오비교'!$B$14))*COS(RADIANS('13_시나리오비교'!$C$14))+$I43*COS(RADIANS('13_시나리오비교'!$B$14))),0)</f>
        <v/>
      </c>
    </row>
    <row r="44" hidden="1" outlineLevel="1">
      <c r="A44" s="79" t="n">
        <v>1</v>
      </c>
      <c r="B44" s="79" t="n">
        <v>24</v>
      </c>
      <c r="C44" s="80">
        <f>(B44-0.5)*'14_지역·상수'!$H$6</f>
        <v/>
      </c>
      <c r="D44" s="79" t="n">
        <v>17</v>
      </c>
      <c r="E44" s="80">
        <f>INDEX($C$4:$C$15,MATCH(A44,$A$4:$A$15,0))</f>
        <v/>
      </c>
      <c r="F44" s="80">
        <f>15*(C44-12)</f>
        <v/>
      </c>
      <c r="G44" s="80">
        <f>-COS(RADIANS(E44))*SIN(RADIANS(F44))</f>
        <v/>
      </c>
      <c r="H44" s="80">
        <f>COS(RADIANS('11_발전량_모델'!$B$17))*SIN(RADIANS(E44))-SIN(RADIANS('11_발전량_모델'!$B$17))*COS(RADIANS(E44))*COS(RADIANS(F44))</f>
        <v/>
      </c>
      <c r="I44" s="80">
        <f>SIN(RADIANS('11_발전량_모델'!$B$17))*SIN(RADIANS(E44))+COS(RADIANS('11_발전량_모델'!$B$17))*COS(RADIANS(E44))*COS(RADIANS(F44))</f>
        <v/>
      </c>
      <c r="J44" s="80">
        <f>SIN(RADIANS('11_발전량_모델'!$B$7))*SIN(RADIANS('11_발전량_모델'!$B$8))</f>
        <v/>
      </c>
      <c r="K44" s="80">
        <f>SIN(RADIANS('11_발전량_모델'!$B$7))*COS(RADIANS('11_발전량_모델'!$B$8))</f>
        <v/>
      </c>
      <c r="L44" s="80">
        <f>COS(RADIANS('11_발전량_모델'!$B$7))</f>
        <v/>
      </c>
      <c r="M44" s="80">
        <f>G44*J44+H44*K44+I44*L44</f>
        <v/>
      </c>
      <c r="N44" s="80">
        <f>MAX(0,I44)</f>
        <v/>
      </c>
      <c r="O44" s="80">
        <f>IF(I44&gt;0,MAX(0,M44),0)</f>
        <v/>
      </c>
      <c r="P44" s="80">
        <f>IF($I44&gt;0,MAX(0,$G44*SIN(RADIANS('13_시나리오비교'!$B$5))*SIN(RADIANS('13_시나리오비교'!$C$5))+$H44*SIN(RADIANS('13_시나리오비교'!$B$5))*COS(RADIANS('13_시나리오비교'!$C$5))+$I44*COS(RADIANS('13_시나리오비교'!$B$5))),0)</f>
        <v/>
      </c>
      <c r="Q44" s="80">
        <f>IF($I44&gt;0,MAX(0,$G44*SIN(RADIANS('13_시나리오비교'!$B$6))*SIN(RADIANS('13_시나리오비교'!$C$6))+$H44*SIN(RADIANS('13_시나리오비교'!$B$6))*COS(RADIANS('13_시나리오비교'!$C$6))+$I44*COS(RADIANS('13_시나리오비교'!$B$6))),0)</f>
        <v/>
      </c>
      <c r="R44" s="80">
        <f>IF($I44&gt;0,MAX(0,$G44*SIN(RADIANS('13_시나리오비교'!$B$7))*SIN(RADIANS('13_시나리오비교'!$C$7))+$H44*SIN(RADIANS('13_시나리오비교'!$B$7))*COS(RADIANS('13_시나리오비교'!$C$7))+$I44*COS(RADIANS('13_시나리오비교'!$B$7))),0)</f>
        <v/>
      </c>
      <c r="S44" s="80">
        <f>IF($I44&gt;0,MAX(0,$G44*SIN(RADIANS('13_시나리오비교'!$B$8))*SIN(RADIANS('13_시나리오비교'!$C$8))+$H44*SIN(RADIANS('13_시나리오비교'!$B$8))*COS(RADIANS('13_시나리오비교'!$C$8))+$I44*COS(RADIANS('13_시나리오비교'!$B$8))),0)</f>
        <v/>
      </c>
      <c r="T44" s="80">
        <f>IF($I44&gt;0,MAX(0,$G44*SIN(RADIANS('13_시나리오비교'!$B$9))*SIN(RADIANS('13_시나리오비교'!$C$9))+$H44*SIN(RADIANS('13_시나리오비교'!$B$9))*COS(RADIANS('13_시나리오비교'!$C$9))+$I44*COS(RADIANS('13_시나리오비교'!$B$9))),0)</f>
        <v/>
      </c>
      <c r="U44" s="80">
        <f>IF($I44&gt;0,MAX(0,$G44*SIN(RADIANS('13_시나리오비교'!$B$10))*SIN(RADIANS('13_시나리오비교'!$C$10))+$H44*SIN(RADIANS('13_시나리오비교'!$B$10))*COS(RADIANS('13_시나리오비교'!$C$10))+$I44*COS(RADIANS('13_시나리오비교'!$B$10))),0)</f>
        <v/>
      </c>
      <c r="V44" s="80">
        <f>IF($I44&gt;0,MAX(0,$G44*SIN(RADIANS('13_시나리오비교'!$B$11))*SIN(RADIANS('13_시나리오비교'!$C$11))+$H44*SIN(RADIANS('13_시나리오비교'!$B$11))*COS(RADIANS('13_시나리오비교'!$C$11))+$I44*COS(RADIANS('13_시나리오비교'!$B$11))),0)</f>
        <v/>
      </c>
      <c r="W44" s="80">
        <f>IF($I44&gt;0,MAX(0,$G44*SIN(RADIANS('13_시나리오비교'!$B$12))*SIN(RADIANS('13_시나리오비교'!$C$12))+$H44*SIN(RADIANS('13_시나리오비교'!$B$12))*COS(RADIANS('13_시나리오비교'!$C$12))+$I44*COS(RADIANS('13_시나리오비교'!$B$12))),0)</f>
        <v/>
      </c>
      <c r="X44" s="80">
        <f>IF($I44&gt;0,MAX(0,$G44*SIN(RADIANS('13_시나리오비교'!$B$13))*SIN(RADIANS('13_시나리오비교'!$C$13))+$H44*SIN(RADIANS('13_시나리오비교'!$B$13))*COS(RADIANS('13_시나리오비교'!$C$13))+$I44*COS(RADIANS('13_시나리오비교'!$B$13))),0)</f>
        <v/>
      </c>
      <c r="Y44" s="80">
        <f>IF($I44&gt;0,MAX(0,$G44*SIN(RADIANS('13_시나리오비교'!$B$14))*SIN(RADIANS('13_시나리오비교'!$C$14))+$H44*SIN(RADIANS('13_시나리오비교'!$B$14))*COS(RADIANS('13_시나리오비교'!$C$14))+$I44*COS(RADIANS('13_시나리오비교'!$B$14))),0)</f>
        <v/>
      </c>
    </row>
    <row r="45" hidden="1" outlineLevel="1">
      <c r="A45" s="79" t="n">
        <v>1</v>
      </c>
      <c r="B45" s="79" t="n">
        <v>25</v>
      </c>
      <c r="C45" s="80">
        <f>(B45-0.5)*'14_지역·상수'!$H$6</f>
        <v/>
      </c>
      <c r="D45" s="79" t="n">
        <v>17</v>
      </c>
      <c r="E45" s="80">
        <f>INDEX($C$4:$C$15,MATCH(A45,$A$4:$A$15,0))</f>
        <v/>
      </c>
      <c r="F45" s="80">
        <f>15*(C45-12)</f>
        <v/>
      </c>
      <c r="G45" s="80">
        <f>-COS(RADIANS(E45))*SIN(RADIANS(F45))</f>
        <v/>
      </c>
      <c r="H45" s="80">
        <f>COS(RADIANS('11_발전량_모델'!$B$17))*SIN(RADIANS(E45))-SIN(RADIANS('11_발전량_모델'!$B$17))*COS(RADIANS(E45))*COS(RADIANS(F45))</f>
        <v/>
      </c>
      <c r="I45" s="80">
        <f>SIN(RADIANS('11_발전량_모델'!$B$17))*SIN(RADIANS(E45))+COS(RADIANS('11_발전량_모델'!$B$17))*COS(RADIANS(E45))*COS(RADIANS(F45))</f>
        <v/>
      </c>
      <c r="J45" s="80">
        <f>SIN(RADIANS('11_발전량_모델'!$B$7))*SIN(RADIANS('11_발전량_모델'!$B$8))</f>
        <v/>
      </c>
      <c r="K45" s="80">
        <f>SIN(RADIANS('11_발전량_모델'!$B$7))*COS(RADIANS('11_발전량_모델'!$B$8))</f>
        <v/>
      </c>
      <c r="L45" s="80">
        <f>COS(RADIANS('11_발전량_모델'!$B$7))</f>
        <v/>
      </c>
      <c r="M45" s="80">
        <f>G45*J45+H45*K45+I45*L45</f>
        <v/>
      </c>
      <c r="N45" s="80">
        <f>MAX(0,I45)</f>
        <v/>
      </c>
      <c r="O45" s="80">
        <f>IF(I45&gt;0,MAX(0,M45),0)</f>
        <v/>
      </c>
      <c r="P45" s="80">
        <f>IF($I45&gt;0,MAX(0,$G45*SIN(RADIANS('13_시나리오비교'!$B$5))*SIN(RADIANS('13_시나리오비교'!$C$5))+$H45*SIN(RADIANS('13_시나리오비교'!$B$5))*COS(RADIANS('13_시나리오비교'!$C$5))+$I45*COS(RADIANS('13_시나리오비교'!$B$5))),0)</f>
        <v/>
      </c>
      <c r="Q45" s="80">
        <f>IF($I45&gt;0,MAX(0,$G45*SIN(RADIANS('13_시나리오비교'!$B$6))*SIN(RADIANS('13_시나리오비교'!$C$6))+$H45*SIN(RADIANS('13_시나리오비교'!$B$6))*COS(RADIANS('13_시나리오비교'!$C$6))+$I45*COS(RADIANS('13_시나리오비교'!$B$6))),0)</f>
        <v/>
      </c>
      <c r="R45" s="80">
        <f>IF($I45&gt;0,MAX(0,$G45*SIN(RADIANS('13_시나리오비교'!$B$7))*SIN(RADIANS('13_시나리오비교'!$C$7))+$H45*SIN(RADIANS('13_시나리오비교'!$B$7))*COS(RADIANS('13_시나리오비교'!$C$7))+$I45*COS(RADIANS('13_시나리오비교'!$B$7))),0)</f>
        <v/>
      </c>
      <c r="S45" s="80">
        <f>IF($I45&gt;0,MAX(0,$G45*SIN(RADIANS('13_시나리오비교'!$B$8))*SIN(RADIANS('13_시나리오비교'!$C$8))+$H45*SIN(RADIANS('13_시나리오비교'!$B$8))*COS(RADIANS('13_시나리오비교'!$C$8))+$I45*COS(RADIANS('13_시나리오비교'!$B$8))),0)</f>
        <v/>
      </c>
      <c r="T45" s="80">
        <f>IF($I45&gt;0,MAX(0,$G45*SIN(RADIANS('13_시나리오비교'!$B$9))*SIN(RADIANS('13_시나리오비교'!$C$9))+$H45*SIN(RADIANS('13_시나리오비교'!$B$9))*COS(RADIANS('13_시나리오비교'!$C$9))+$I45*COS(RADIANS('13_시나리오비교'!$B$9))),0)</f>
        <v/>
      </c>
      <c r="U45" s="80">
        <f>IF($I45&gt;0,MAX(0,$G45*SIN(RADIANS('13_시나리오비교'!$B$10))*SIN(RADIANS('13_시나리오비교'!$C$10))+$H45*SIN(RADIANS('13_시나리오비교'!$B$10))*COS(RADIANS('13_시나리오비교'!$C$10))+$I45*COS(RADIANS('13_시나리오비교'!$B$10))),0)</f>
        <v/>
      </c>
      <c r="V45" s="80">
        <f>IF($I45&gt;0,MAX(0,$G45*SIN(RADIANS('13_시나리오비교'!$B$11))*SIN(RADIANS('13_시나리오비교'!$C$11))+$H45*SIN(RADIANS('13_시나리오비교'!$B$11))*COS(RADIANS('13_시나리오비교'!$C$11))+$I45*COS(RADIANS('13_시나리오비교'!$B$11))),0)</f>
        <v/>
      </c>
      <c r="W45" s="80">
        <f>IF($I45&gt;0,MAX(0,$G45*SIN(RADIANS('13_시나리오비교'!$B$12))*SIN(RADIANS('13_시나리오비교'!$C$12))+$H45*SIN(RADIANS('13_시나리오비교'!$B$12))*COS(RADIANS('13_시나리오비교'!$C$12))+$I45*COS(RADIANS('13_시나리오비교'!$B$12))),0)</f>
        <v/>
      </c>
      <c r="X45" s="80">
        <f>IF($I45&gt;0,MAX(0,$G45*SIN(RADIANS('13_시나리오비교'!$B$13))*SIN(RADIANS('13_시나리오비교'!$C$13))+$H45*SIN(RADIANS('13_시나리오비교'!$B$13))*COS(RADIANS('13_시나리오비교'!$C$13))+$I45*COS(RADIANS('13_시나리오비교'!$B$13))),0)</f>
        <v/>
      </c>
      <c r="Y45" s="80">
        <f>IF($I45&gt;0,MAX(0,$G45*SIN(RADIANS('13_시나리오비교'!$B$14))*SIN(RADIANS('13_시나리오비교'!$C$14))+$H45*SIN(RADIANS('13_시나리오비교'!$B$14))*COS(RADIANS('13_시나리오비교'!$C$14))+$I45*COS(RADIANS('13_시나리오비교'!$B$14))),0)</f>
        <v/>
      </c>
    </row>
    <row r="46" hidden="1" outlineLevel="1">
      <c r="A46" s="79" t="n">
        <v>1</v>
      </c>
      <c r="B46" s="79" t="n">
        <v>26</v>
      </c>
      <c r="C46" s="80">
        <f>(B46-0.5)*'14_지역·상수'!$H$6</f>
        <v/>
      </c>
      <c r="D46" s="79" t="n">
        <v>17</v>
      </c>
      <c r="E46" s="80">
        <f>INDEX($C$4:$C$15,MATCH(A46,$A$4:$A$15,0))</f>
        <v/>
      </c>
      <c r="F46" s="80">
        <f>15*(C46-12)</f>
        <v/>
      </c>
      <c r="G46" s="80">
        <f>-COS(RADIANS(E46))*SIN(RADIANS(F46))</f>
        <v/>
      </c>
      <c r="H46" s="80">
        <f>COS(RADIANS('11_발전량_모델'!$B$17))*SIN(RADIANS(E46))-SIN(RADIANS('11_발전량_모델'!$B$17))*COS(RADIANS(E46))*COS(RADIANS(F46))</f>
        <v/>
      </c>
      <c r="I46" s="80">
        <f>SIN(RADIANS('11_발전량_모델'!$B$17))*SIN(RADIANS(E46))+COS(RADIANS('11_발전량_모델'!$B$17))*COS(RADIANS(E46))*COS(RADIANS(F46))</f>
        <v/>
      </c>
      <c r="J46" s="80">
        <f>SIN(RADIANS('11_발전량_모델'!$B$7))*SIN(RADIANS('11_발전량_모델'!$B$8))</f>
        <v/>
      </c>
      <c r="K46" s="80">
        <f>SIN(RADIANS('11_발전량_모델'!$B$7))*COS(RADIANS('11_발전량_모델'!$B$8))</f>
        <v/>
      </c>
      <c r="L46" s="80">
        <f>COS(RADIANS('11_발전량_모델'!$B$7))</f>
        <v/>
      </c>
      <c r="M46" s="80">
        <f>G46*J46+H46*K46+I46*L46</f>
        <v/>
      </c>
      <c r="N46" s="80">
        <f>MAX(0,I46)</f>
        <v/>
      </c>
      <c r="O46" s="80">
        <f>IF(I46&gt;0,MAX(0,M46),0)</f>
        <v/>
      </c>
      <c r="P46" s="80">
        <f>IF($I46&gt;0,MAX(0,$G46*SIN(RADIANS('13_시나리오비교'!$B$5))*SIN(RADIANS('13_시나리오비교'!$C$5))+$H46*SIN(RADIANS('13_시나리오비교'!$B$5))*COS(RADIANS('13_시나리오비교'!$C$5))+$I46*COS(RADIANS('13_시나리오비교'!$B$5))),0)</f>
        <v/>
      </c>
      <c r="Q46" s="80">
        <f>IF($I46&gt;0,MAX(0,$G46*SIN(RADIANS('13_시나리오비교'!$B$6))*SIN(RADIANS('13_시나리오비교'!$C$6))+$H46*SIN(RADIANS('13_시나리오비교'!$B$6))*COS(RADIANS('13_시나리오비교'!$C$6))+$I46*COS(RADIANS('13_시나리오비교'!$B$6))),0)</f>
        <v/>
      </c>
      <c r="R46" s="80">
        <f>IF($I46&gt;0,MAX(0,$G46*SIN(RADIANS('13_시나리오비교'!$B$7))*SIN(RADIANS('13_시나리오비교'!$C$7))+$H46*SIN(RADIANS('13_시나리오비교'!$B$7))*COS(RADIANS('13_시나리오비교'!$C$7))+$I46*COS(RADIANS('13_시나리오비교'!$B$7))),0)</f>
        <v/>
      </c>
      <c r="S46" s="80">
        <f>IF($I46&gt;0,MAX(0,$G46*SIN(RADIANS('13_시나리오비교'!$B$8))*SIN(RADIANS('13_시나리오비교'!$C$8))+$H46*SIN(RADIANS('13_시나리오비교'!$B$8))*COS(RADIANS('13_시나리오비교'!$C$8))+$I46*COS(RADIANS('13_시나리오비교'!$B$8))),0)</f>
        <v/>
      </c>
      <c r="T46" s="80">
        <f>IF($I46&gt;0,MAX(0,$G46*SIN(RADIANS('13_시나리오비교'!$B$9))*SIN(RADIANS('13_시나리오비교'!$C$9))+$H46*SIN(RADIANS('13_시나리오비교'!$B$9))*COS(RADIANS('13_시나리오비교'!$C$9))+$I46*COS(RADIANS('13_시나리오비교'!$B$9))),0)</f>
        <v/>
      </c>
      <c r="U46" s="80">
        <f>IF($I46&gt;0,MAX(0,$G46*SIN(RADIANS('13_시나리오비교'!$B$10))*SIN(RADIANS('13_시나리오비교'!$C$10))+$H46*SIN(RADIANS('13_시나리오비교'!$B$10))*COS(RADIANS('13_시나리오비교'!$C$10))+$I46*COS(RADIANS('13_시나리오비교'!$B$10))),0)</f>
        <v/>
      </c>
      <c r="V46" s="80">
        <f>IF($I46&gt;0,MAX(0,$G46*SIN(RADIANS('13_시나리오비교'!$B$11))*SIN(RADIANS('13_시나리오비교'!$C$11))+$H46*SIN(RADIANS('13_시나리오비교'!$B$11))*COS(RADIANS('13_시나리오비교'!$C$11))+$I46*COS(RADIANS('13_시나리오비교'!$B$11))),0)</f>
        <v/>
      </c>
      <c r="W46" s="80">
        <f>IF($I46&gt;0,MAX(0,$G46*SIN(RADIANS('13_시나리오비교'!$B$12))*SIN(RADIANS('13_시나리오비교'!$C$12))+$H46*SIN(RADIANS('13_시나리오비교'!$B$12))*COS(RADIANS('13_시나리오비교'!$C$12))+$I46*COS(RADIANS('13_시나리오비교'!$B$12))),0)</f>
        <v/>
      </c>
      <c r="X46" s="80">
        <f>IF($I46&gt;0,MAX(0,$G46*SIN(RADIANS('13_시나리오비교'!$B$13))*SIN(RADIANS('13_시나리오비교'!$C$13))+$H46*SIN(RADIANS('13_시나리오비교'!$B$13))*COS(RADIANS('13_시나리오비교'!$C$13))+$I46*COS(RADIANS('13_시나리오비교'!$B$13))),0)</f>
        <v/>
      </c>
      <c r="Y46" s="80">
        <f>IF($I46&gt;0,MAX(0,$G46*SIN(RADIANS('13_시나리오비교'!$B$14))*SIN(RADIANS('13_시나리오비교'!$C$14))+$H46*SIN(RADIANS('13_시나리오비교'!$B$14))*COS(RADIANS('13_시나리오비교'!$C$14))+$I46*COS(RADIANS('13_시나리오비교'!$B$14))),0)</f>
        <v/>
      </c>
    </row>
    <row r="47" hidden="1" outlineLevel="1">
      <c r="A47" s="79" t="n">
        <v>1</v>
      </c>
      <c r="B47" s="79" t="n">
        <v>27</v>
      </c>
      <c r="C47" s="80">
        <f>(B47-0.5)*'14_지역·상수'!$H$6</f>
        <v/>
      </c>
      <c r="D47" s="79" t="n">
        <v>17</v>
      </c>
      <c r="E47" s="80">
        <f>INDEX($C$4:$C$15,MATCH(A47,$A$4:$A$15,0))</f>
        <v/>
      </c>
      <c r="F47" s="80">
        <f>15*(C47-12)</f>
        <v/>
      </c>
      <c r="G47" s="80">
        <f>-COS(RADIANS(E47))*SIN(RADIANS(F47))</f>
        <v/>
      </c>
      <c r="H47" s="80">
        <f>COS(RADIANS('11_발전량_모델'!$B$17))*SIN(RADIANS(E47))-SIN(RADIANS('11_발전량_모델'!$B$17))*COS(RADIANS(E47))*COS(RADIANS(F47))</f>
        <v/>
      </c>
      <c r="I47" s="80">
        <f>SIN(RADIANS('11_발전량_모델'!$B$17))*SIN(RADIANS(E47))+COS(RADIANS('11_발전량_모델'!$B$17))*COS(RADIANS(E47))*COS(RADIANS(F47))</f>
        <v/>
      </c>
      <c r="J47" s="80">
        <f>SIN(RADIANS('11_발전량_모델'!$B$7))*SIN(RADIANS('11_발전량_모델'!$B$8))</f>
        <v/>
      </c>
      <c r="K47" s="80">
        <f>SIN(RADIANS('11_발전량_모델'!$B$7))*COS(RADIANS('11_발전량_모델'!$B$8))</f>
        <v/>
      </c>
      <c r="L47" s="80">
        <f>COS(RADIANS('11_발전량_모델'!$B$7))</f>
        <v/>
      </c>
      <c r="M47" s="80">
        <f>G47*J47+H47*K47+I47*L47</f>
        <v/>
      </c>
      <c r="N47" s="80">
        <f>MAX(0,I47)</f>
        <v/>
      </c>
      <c r="O47" s="80">
        <f>IF(I47&gt;0,MAX(0,M47),0)</f>
        <v/>
      </c>
      <c r="P47" s="80">
        <f>IF($I47&gt;0,MAX(0,$G47*SIN(RADIANS('13_시나리오비교'!$B$5))*SIN(RADIANS('13_시나리오비교'!$C$5))+$H47*SIN(RADIANS('13_시나리오비교'!$B$5))*COS(RADIANS('13_시나리오비교'!$C$5))+$I47*COS(RADIANS('13_시나리오비교'!$B$5))),0)</f>
        <v/>
      </c>
      <c r="Q47" s="80">
        <f>IF($I47&gt;0,MAX(0,$G47*SIN(RADIANS('13_시나리오비교'!$B$6))*SIN(RADIANS('13_시나리오비교'!$C$6))+$H47*SIN(RADIANS('13_시나리오비교'!$B$6))*COS(RADIANS('13_시나리오비교'!$C$6))+$I47*COS(RADIANS('13_시나리오비교'!$B$6))),0)</f>
        <v/>
      </c>
      <c r="R47" s="80">
        <f>IF($I47&gt;0,MAX(0,$G47*SIN(RADIANS('13_시나리오비교'!$B$7))*SIN(RADIANS('13_시나리오비교'!$C$7))+$H47*SIN(RADIANS('13_시나리오비교'!$B$7))*COS(RADIANS('13_시나리오비교'!$C$7))+$I47*COS(RADIANS('13_시나리오비교'!$B$7))),0)</f>
        <v/>
      </c>
      <c r="S47" s="80">
        <f>IF($I47&gt;0,MAX(0,$G47*SIN(RADIANS('13_시나리오비교'!$B$8))*SIN(RADIANS('13_시나리오비교'!$C$8))+$H47*SIN(RADIANS('13_시나리오비교'!$B$8))*COS(RADIANS('13_시나리오비교'!$C$8))+$I47*COS(RADIANS('13_시나리오비교'!$B$8))),0)</f>
        <v/>
      </c>
      <c r="T47" s="80">
        <f>IF($I47&gt;0,MAX(0,$G47*SIN(RADIANS('13_시나리오비교'!$B$9))*SIN(RADIANS('13_시나리오비교'!$C$9))+$H47*SIN(RADIANS('13_시나리오비교'!$B$9))*COS(RADIANS('13_시나리오비교'!$C$9))+$I47*COS(RADIANS('13_시나리오비교'!$B$9))),0)</f>
        <v/>
      </c>
      <c r="U47" s="80">
        <f>IF($I47&gt;0,MAX(0,$G47*SIN(RADIANS('13_시나리오비교'!$B$10))*SIN(RADIANS('13_시나리오비교'!$C$10))+$H47*SIN(RADIANS('13_시나리오비교'!$B$10))*COS(RADIANS('13_시나리오비교'!$C$10))+$I47*COS(RADIANS('13_시나리오비교'!$B$10))),0)</f>
        <v/>
      </c>
      <c r="V47" s="80">
        <f>IF($I47&gt;0,MAX(0,$G47*SIN(RADIANS('13_시나리오비교'!$B$11))*SIN(RADIANS('13_시나리오비교'!$C$11))+$H47*SIN(RADIANS('13_시나리오비교'!$B$11))*COS(RADIANS('13_시나리오비교'!$C$11))+$I47*COS(RADIANS('13_시나리오비교'!$B$11))),0)</f>
        <v/>
      </c>
      <c r="W47" s="80">
        <f>IF($I47&gt;0,MAX(0,$G47*SIN(RADIANS('13_시나리오비교'!$B$12))*SIN(RADIANS('13_시나리오비교'!$C$12))+$H47*SIN(RADIANS('13_시나리오비교'!$B$12))*COS(RADIANS('13_시나리오비교'!$C$12))+$I47*COS(RADIANS('13_시나리오비교'!$B$12))),0)</f>
        <v/>
      </c>
      <c r="X47" s="80">
        <f>IF($I47&gt;0,MAX(0,$G47*SIN(RADIANS('13_시나리오비교'!$B$13))*SIN(RADIANS('13_시나리오비교'!$C$13))+$H47*SIN(RADIANS('13_시나리오비교'!$B$13))*COS(RADIANS('13_시나리오비교'!$C$13))+$I47*COS(RADIANS('13_시나리오비교'!$B$13))),0)</f>
        <v/>
      </c>
      <c r="Y47" s="80">
        <f>IF($I47&gt;0,MAX(0,$G47*SIN(RADIANS('13_시나리오비교'!$B$14))*SIN(RADIANS('13_시나리오비교'!$C$14))+$H47*SIN(RADIANS('13_시나리오비교'!$B$14))*COS(RADIANS('13_시나리오비교'!$C$14))+$I47*COS(RADIANS('13_시나리오비교'!$B$14))),0)</f>
        <v/>
      </c>
    </row>
    <row r="48" hidden="1" outlineLevel="1">
      <c r="A48" s="79" t="n">
        <v>1</v>
      </c>
      <c r="B48" s="79" t="n">
        <v>28</v>
      </c>
      <c r="C48" s="80">
        <f>(B48-0.5)*'14_지역·상수'!$H$6</f>
        <v/>
      </c>
      <c r="D48" s="79" t="n">
        <v>17</v>
      </c>
      <c r="E48" s="80">
        <f>INDEX($C$4:$C$15,MATCH(A48,$A$4:$A$15,0))</f>
        <v/>
      </c>
      <c r="F48" s="80">
        <f>15*(C48-12)</f>
        <v/>
      </c>
      <c r="G48" s="80">
        <f>-COS(RADIANS(E48))*SIN(RADIANS(F48))</f>
        <v/>
      </c>
      <c r="H48" s="80">
        <f>COS(RADIANS('11_발전량_모델'!$B$17))*SIN(RADIANS(E48))-SIN(RADIANS('11_발전량_모델'!$B$17))*COS(RADIANS(E48))*COS(RADIANS(F48))</f>
        <v/>
      </c>
      <c r="I48" s="80">
        <f>SIN(RADIANS('11_발전량_모델'!$B$17))*SIN(RADIANS(E48))+COS(RADIANS('11_발전량_모델'!$B$17))*COS(RADIANS(E48))*COS(RADIANS(F48))</f>
        <v/>
      </c>
      <c r="J48" s="80">
        <f>SIN(RADIANS('11_발전량_모델'!$B$7))*SIN(RADIANS('11_발전량_모델'!$B$8))</f>
        <v/>
      </c>
      <c r="K48" s="80">
        <f>SIN(RADIANS('11_발전량_모델'!$B$7))*COS(RADIANS('11_발전량_모델'!$B$8))</f>
        <v/>
      </c>
      <c r="L48" s="80">
        <f>COS(RADIANS('11_발전량_모델'!$B$7))</f>
        <v/>
      </c>
      <c r="M48" s="80">
        <f>G48*J48+H48*K48+I48*L48</f>
        <v/>
      </c>
      <c r="N48" s="80">
        <f>MAX(0,I48)</f>
        <v/>
      </c>
      <c r="O48" s="80">
        <f>IF(I48&gt;0,MAX(0,M48),0)</f>
        <v/>
      </c>
      <c r="P48" s="80">
        <f>IF($I48&gt;0,MAX(0,$G48*SIN(RADIANS('13_시나리오비교'!$B$5))*SIN(RADIANS('13_시나리오비교'!$C$5))+$H48*SIN(RADIANS('13_시나리오비교'!$B$5))*COS(RADIANS('13_시나리오비교'!$C$5))+$I48*COS(RADIANS('13_시나리오비교'!$B$5))),0)</f>
        <v/>
      </c>
      <c r="Q48" s="80">
        <f>IF($I48&gt;0,MAX(0,$G48*SIN(RADIANS('13_시나리오비교'!$B$6))*SIN(RADIANS('13_시나리오비교'!$C$6))+$H48*SIN(RADIANS('13_시나리오비교'!$B$6))*COS(RADIANS('13_시나리오비교'!$C$6))+$I48*COS(RADIANS('13_시나리오비교'!$B$6))),0)</f>
        <v/>
      </c>
      <c r="R48" s="80">
        <f>IF($I48&gt;0,MAX(0,$G48*SIN(RADIANS('13_시나리오비교'!$B$7))*SIN(RADIANS('13_시나리오비교'!$C$7))+$H48*SIN(RADIANS('13_시나리오비교'!$B$7))*COS(RADIANS('13_시나리오비교'!$C$7))+$I48*COS(RADIANS('13_시나리오비교'!$B$7))),0)</f>
        <v/>
      </c>
      <c r="S48" s="80">
        <f>IF($I48&gt;0,MAX(0,$G48*SIN(RADIANS('13_시나리오비교'!$B$8))*SIN(RADIANS('13_시나리오비교'!$C$8))+$H48*SIN(RADIANS('13_시나리오비교'!$B$8))*COS(RADIANS('13_시나리오비교'!$C$8))+$I48*COS(RADIANS('13_시나리오비교'!$B$8))),0)</f>
        <v/>
      </c>
      <c r="T48" s="80">
        <f>IF($I48&gt;0,MAX(0,$G48*SIN(RADIANS('13_시나리오비교'!$B$9))*SIN(RADIANS('13_시나리오비교'!$C$9))+$H48*SIN(RADIANS('13_시나리오비교'!$B$9))*COS(RADIANS('13_시나리오비교'!$C$9))+$I48*COS(RADIANS('13_시나리오비교'!$B$9))),0)</f>
        <v/>
      </c>
      <c r="U48" s="80">
        <f>IF($I48&gt;0,MAX(0,$G48*SIN(RADIANS('13_시나리오비교'!$B$10))*SIN(RADIANS('13_시나리오비교'!$C$10))+$H48*SIN(RADIANS('13_시나리오비교'!$B$10))*COS(RADIANS('13_시나리오비교'!$C$10))+$I48*COS(RADIANS('13_시나리오비교'!$B$10))),0)</f>
        <v/>
      </c>
      <c r="V48" s="80">
        <f>IF($I48&gt;0,MAX(0,$G48*SIN(RADIANS('13_시나리오비교'!$B$11))*SIN(RADIANS('13_시나리오비교'!$C$11))+$H48*SIN(RADIANS('13_시나리오비교'!$B$11))*COS(RADIANS('13_시나리오비교'!$C$11))+$I48*COS(RADIANS('13_시나리오비교'!$B$11))),0)</f>
        <v/>
      </c>
      <c r="W48" s="80">
        <f>IF($I48&gt;0,MAX(0,$G48*SIN(RADIANS('13_시나리오비교'!$B$12))*SIN(RADIANS('13_시나리오비교'!$C$12))+$H48*SIN(RADIANS('13_시나리오비교'!$B$12))*COS(RADIANS('13_시나리오비교'!$C$12))+$I48*COS(RADIANS('13_시나리오비교'!$B$12))),0)</f>
        <v/>
      </c>
      <c r="X48" s="80">
        <f>IF($I48&gt;0,MAX(0,$G48*SIN(RADIANS('13_시나리오비교'!$B$13))*SIN(RADIANS('13_시나리오비교'!$C$13))+$H48*SIN(RADIANS('13_시나리오비교'!$B$13))*COS(RADIANS('13_시나리오비교'!$C$13))+$I48*COS(RADIANS('13_시나리오비교'!$B$13))),0)</f>
        <v/>
      </c>
      <c r="Y48" s="80">
        <f>IF($I48&gt;0,MAX(0,$G48*SIN(RADIANS('13_시나리오비교'!$B$14))*SIN(RADIANS('13_시나리오비교'!$C$14))+$H48*SIN(RADIANS('13_시나리오비교'!$B$14))*COS(RADIANS('13_시나리오비교'!$C$14))+$I48*COS(RADIANS('13_시나리오비교'!$B$14))),0)</f>
        <v/>
      </c>
    </row>
    <row r="49" hidden="1" outlineLevel="1">
      <c r="A49" s="79" t="n">
        <v>1</v>
      </c>
      <c r="B49" s="79" t="n">
        <v>29</v>
      </c>
      <c r="C49" s="80">
        <f>(B49-0.5)*'14_지역·상수'!$H$6</f>
        <v/>
      </c>
      <c r="D49" s="79" t="n">
        <v>17</v>
      </c>
      <c r="E49" s="80">
        <f>INDEX($C$4:$C$15,MATCH(A49,$A$4:$A$15,0))</f>
        <v/>
      </c>
      <c r="F49" s="80">
        <f>15*(C49-12)</f>
        <v/>
      </c>
      <c r="G49" s="80">
        <f>-COS(RADIANS(E49))*SIN(RADIANS(F49))</f>
        <v/>
      </c>
      <c r="H49" s="80">
        <f>COS(RADIANS('11_발전량_모델'!$B$17))*SIN(RADIANS(E49))-SIN(RADIANS('11_발전량_모델'!$B$17))*COS(RADIANS(E49))*COS(RADIANS(F49))</f>
        <v/>
      </c>
      <c r="I49" s="80">
        <f>SIN(RADIANS('11_발전량_모델'!$B$17))*SIN(RADIANS(E49))+COS(RADIANS('11_발전량_모델'!$B$17))*COS(RADIANS(E49))*COS(RADIANS(F49))</f>
        <v/>
      </c>
      <c r="J49" s="80">
        <f>SIN(RADIANS('11_발전량_모델'!$B$7))*SIN(RADIANS('11_발전량_모델'!$B$8))</f>
        <v/>
      </c>
      <c r="K49" s="80">
        <f>SIN(RADIANS('11_발전량_모델'!$B$7))*COS(RADIANS('11_발전량_모델'!$B$8))</f>
        <v/>
      </c>
      <c r="L49" s="80">
        <f>COS(RADIANS('11_발전량_모델'!$B$7))</f>
        <v/>
      </c>
      <c r="M49" s="80">
        <f>G49*J49+H49*K49+I49*L49</f>
        <v/>
      </c>
      <c r="N49" s="80">
        <f>MAX(0,I49)</f>
        <v/>
      </c>
      <c r="O49" s="80">
        <f>IF(I49&gt;0,MAX(0,M49),0)</f>
        <v/>
      </c>
      <c r="P49" s="80">
        <f>IF($I49&gt;0,MAX(0,$G49*SIN(RADIANS('13_시나리오비교'!$B$5))*SIN(RADIANS('13_시나리오비교'!$C$5))+$H49*SIN(RADIANS('13_시나리오비교'!$B$5))*COS(RADIANS('13_시나리오비교'!$C$5))+$I49*COS(RADIANS('13_시나리오비교'!$B$5))),0)</f>
        <v/>
      </c>
      <c r="Q49" s="80">
        <f>IF($I49&gt;0,MAX(0,$G49*SIN(RADIANS('13_시나리오비교'!$B$6))*SIN(RADIANS('13_시나리오비교'!$C$6))+$H49*SIN(RADIANS('13_시나리오비교'!$B$6))*COS(RADIANS('13_시나리오비교'!$C$6))+$I49*COS(RADIANS('13_시나리오비교'!$B$6))),0)</f>
        <v/>
      </c>
      <c r="R49" s="80">
        <f>IF($I49&gt;0,MAX(0,$G49*SIN(RADIANS('13_시나리오비교'!$B$7))*SIN(RADIANS('13_시나리오비교'!$C$7))+$H49*SIN(RADIANS('13_시나리오비교'!$B$7))*COS(RADIANS('13_시나리오비교'!$C$7))+$I49*COS(RADIANS('13_시나리오비교'!$B$7))),0)</f>
        <v/>
      </c>
      <c r="S49" s="80">
        <f>IF($I49&gt;0,MAX(0,$G49*SIN(RADIANS('13_시나리오비교'!$B$8))*SIN(RADIANS('13_시나리오비교'!$C$8))+$H49*SIN(RADIANS('13_시나리오비교'!$B$8))*COS(RADIANS('13_시나리오비교'!$C$8))+$I49*COS(RADIANS('13_시나리오비교'!$B$8))),0)</f>
        <v/>
      </c>
      <c r="T49" s="80">
        <f>IF($I49&gt;0,MAX(0,$G49*SIN(RADIANS('13_시나리오비교'!$B$9))*SIN(RADIANS('13_시나리오비교'!$C$9))+$H49*SIN(RADIANS('13_시나리오비교'!$B$9))*COS(RADIANS('13_시나리오비교'!$C$9))+$I49*COS(RADIANS('13_시나리오비교'!$B$9))),0)</f>
        <v/>
      </c>
      <c r="U49" s="80">
        <f>IF($I49&gt;0,MAX(0,$G49*SIN(RADIANS('13_시나리오비교'!$B$10))*SIN(RADIANS('13_시나리오비교'!$C$10))+$H49*SIN(RADIANS('13_시나리오비교'!$B$10))*COS(RADIANS('13_시나리오비교'!$C$10))+$I49*COS(RADIANS('13_시나리오비교'!$B$10))),0)</f>
        <v/>
      </c>
      <c r="V49" s="80">
        <f>IF($I49&gt;0,MAX(0,$G49*SIN(RADIANS('13_시나리오비교'!$B$11))*SIN(RADIANS('13_시나리오비교'!$C$11))+$H49*SIN(RADIANS('13_시나리오비교'!$B$11))*COS(RADIANS('13_시나리오비교'!$C$11))+$I49*COS(RADIANS('13_시나리오비교'!$B$11))),0)</f>
        <v/>
      </c>
      <c r="W49" s="80">
        <f>IF($I49&gt;0,MAX(0,$G49*SIN(RADIANS('13_시나리오비교'!$B$12))*SIN(RADIANS('13_시나리오비교'!$C$12))+$H49*SIN(RADIANS('13_시나리오비교'!$B$12))*COS(RADIANS('13_시나리오비교'!$C$12))+$I49*COS(RADIANS('13_시나리오비교'!$B$12))),0)</f>
        <v/>
      </c>
      <c r="X49" s="80">
        <f>IF($I49&gt;0,MAX(0,$G49*SIN(RADIANS('13_시나리오비교'!$B$13))*SIN(RADIANS('13_시나리오비교'!$C$13))+$H49*SIN(RADIANS('13_시나리오비교'!$B$13))*COS(RADIANS('13_시나리오비교'!$C$13))+$I49*COS(RADIANS('13_시나리오비교'!$B$13))),0)</f>
        <v/>
      </c>
      <c r="Y49" s="80">
        <f>IF($I49&gt;0,MAX(0,$G49*SIN(RADIANS('13_시나리오비교'!$B$14))*SIN(RADIANS('13_시나리오비교'!$C$14))+$H49*SIN(RADIANS('13_시나리오비교'!$B$14))*COS(RADIANS('13_시나리오비교'!$C$14))+$I49*COS(RADIANS('13_시나리오비교'!$B$14))),0)</f>
        <v/>
      </c>
    </row>
    <row r="50" hidden="1" outlineLevel="1">
      <c r="A50" s="79" t="n">
        <v>1</v>
      </c>
      <c r="B50" s="79" t="n">
        <v>30</v>
      </c>
      <c r="C50" s="80">
        <f>(B50-0.5)*'14_지역·상수'!$H$6</f>
        <v/>
      </c>
      <c r="D50" s="79" t="n">
        <v>17</v>
      </c>
      <c r="E50" s="80">
        <f>INDEX($C$4:$C$15,MATCH(A50,$A$4:$A$15,0))</f>
        <v/>
      </c>
      <c r="F50" s="80">
        <f>15*(C50-12)</f>
        <v/>
      </c>
      <c r="G50" s="80">
        <f>-COS(RADIANS(E50))*SIN(RADIANS(F50))</f>
        <v/>
      </c>
      <c r="H50" s="80">
        <f>COS(RADIANS('11_발전량_모델'!$B$17))*SIN(RADIANS(E50))-SIN(RADIANS('11_발전량_모델'!$B$17))*COS(RADIANS(E50))*COS(RADIANS(F50))</f>
        <v/>
      </c>
      <c r="I50" s="80">
        <f>SIN(RADIANS('11_발전량_모델'!$B$17))*SIN(RADIANS(E50))+COS(RADIANS('11_발전량_모델'!$B$17))*COS(RADIANS(E50))*COS(RADIANS(F50))</f>
        <v/>
      </c>
      <c r="J50" s="80">
        <f>SIN(RADIANS('11_발전량_모델'!$B$7))*SIN(RADIANS('11_발전량_모델'!$B$8))</f>
        <v/>
      </c>
      <c r="K50" s="80">
        <f>SIN(RADIANS('11_발전량_모델'!$B$7))*COS(RADIANS('11_발전량_모델'!$B$8))</f>
        <v/>
      </c>
      <c r="L50" s="80">
        <f>COS(RADIANS('11_발전량_모델'!$B$7))</f>
        <v/>
      </c>
      <c r="M50" s="80">
        <f>G50*J50+H50*K50+I50*L50</f>
        <v/>
      </c>
      <c r="N50" s="80">
        <f>MAX(0,I50)</f>
        <v/>
      </c>
      <c r="O50" s="80">
        <f>IF(I50&gt;0,MAX(0,M50),0)</f>
        <v/>
      </c>
      <c r="P50" s="80">
        <f>IF($I50&gt;0,MAX(0,$G50*SIN(RADIANS('13_시나리오비교'!$B$5))*SIN(RADIANS('13_시나리오비교'!$C$5))+$H50*SIN(RADIANS('13_시나리오비교'!$B$5))*COS(RADIANS('13_시나리오비교'!$C$5))+$I50*COS(RADIANS('13_시나리오비교'!$B$5))),0)</f>
        <v/>
      </c>
      <c r="Q50" s="80">
        <f>IF($I50&gt;0,MAX(0,$G50*SIN(RADIANS('13_시나리오비교'!$B$6))*SIN(RADIANS('13_시나리오비교'!$C$6))+$H50*SIN(RADIANS('13_시나리오비교'!$B$6))*COS(RADIANS('13_시나리오비교'!$C$6))+$I50*COS(RADIANS('13_시나리오비교'!$B$6))),0)</f>
        <v/>
      </c>
      <c r="R50" s="80">
        <f>IF($I50&gt;0,MAX(0,$G50*SIN(RADIANS('13_시나리오비교'!$B$7))*SIN(RADIANS('13_시나리오비교'!$C$7))+$H50*SIN(RADIANS('13_시나리오비교'!$B$7))*COS(RADIANS('13_시나리오비교'!$C$7))+$I50*COS(RADIANS('13_시나리오비교'!$B$7))),0)</f>
        <v/>
      </c>
      <c r="S50" s="80">
        <f>IF($I50&gt;0,MAX(0,$G50*SIN(RADIANS('13_시나리오비교'!$B$8))*SIN(RADIANS('13_시나리오비교'!$C$8))+$H50*SIN(RADIANS('13_시나리오비교'!$B$8))*COS(RADIANS('13_시나리오비교'!$C$8))+$I50*COS(RADIANS('13_시나리오비교'!$B$8))),0)</f>
        <v/>
      </c>
      <c r="T50" s="80">
        <f>IF($I50&gt;0,MAX(0,$G50*SIN(RADIANS('13_시나리오비교'!$B$9))*SIN(RADIANS('13_시나리오비교'!$C$9))+$H50*SIN(RADIANS('13_시나리오비교'!$B$9))*COS(RADIANS('13_시나리오비교'!$C$9))+$I50*COS(RADIANS('13_시나리오비교'!$B$9))),0)</f>
        <v/>
      </c>
      <c r="U50" s="80">
        <f>IF($I50&gt;0,MAX(0,$G50*SIN(RADIANS('13_시나리오비교'!$B$10))*SIN(RADIANS('13_시나리오비교'!$C$10))+$H50*SIN(RADIANS('13_시나리오비교'!$B$10))*COS(RADIANS('13_시나리오비교'!$C$10))+$I50*COS(RADIANS('13_시나리오비교'!$B$10))),0)</f>
        <v/>
      </c>
      <c r="V50" s="80">
        <f>IF($I50&gt;0,MAX(0,$G50*SIN(RADIANS('13_시나리오비교'!$B$11))*SIN(RADIANS('13_시나리오비교'!$C$11))+$H50*SIN(RADIANS('13_시나리오비교'!$B$11))*COS(RADIANS('13_시나리오비교'!$C$11))+$I50*COS(RADIANS('13_시나리오비교'!$B$11))),0)</f>
        <v/>
      </c>
      <c r="W50" s="80">
        <f>IF($I50&gt;0,MAX(0,$G50*SIN(RADIANS('13_시나리오비교'!$B$12))*SIN(RADIANS('13_시나리오비교'!$C$12))+$H50*SIN(RADIANS('13_시나리오비교'!$B$12))*COS(RADIANS('13_시나리오비교'!$C$12))+$I50*COS(RADIANS('13_시나리오비교'!$B$12))),0)</f>
        <v/>
      </c>
      <c r="X50" s="80">
        <f>IF($I50&gt;0,MAX(0,$G50*SIN(RADIANS('13_시나리오비교'!$B$13))*SIN(RADIANS('13_시나리오비교'!$C$13))+$H50*SIN(RADIANS('13_시나리오비교'!$B$13))*COS(RADIANS('13_시나리오비교'!$C$13))+$I50*COS(RADIANS('13_시나리오비교'!$B$13))),0)</f>
        <v/>
      </c>
      <c r="Y50" s="80">
        <f>IF($I50&gt;0,MAX(0,$G50*SIN(RADIANS('13_시나리오비교'!$B$14))*SIN(RADIANS('13_시나리오비교'!$C$14))+$H50*SIN(RADIANS('13_시나리오비교'!$B$14))*COS(RADIANS('13_시나리오비교'!$C$14))+$I50*COS(RADIANS('13_시나리오비교'!$B$14))),0)</f>
        <v/>
      </c>
    </row>
    <row r="51" hidden="1" outlineLevel="1">
      <c r="A51" s="79" t="n">
        <v>1</v>
      </c>
      <c r="B51" s="79" t="n">
        <v>31</v>
      </c>
      <c r="C51" s="80">
        <f>(B51-0.5)*'14_지역·상수'!$H$6</f>
        <v/>
      </c>
      <c r="D51" s="79" t="n">
        <v>17</v>
      </c>
      <c r="E51" s="80">
        <f>INDEX($C$4:$C$15,MATCH(A51,$A$4:$A$15,0))</f>
        <v/>
      </c>
      <c r="F51" s="80">
        <f>15*(C51-12)</f>
        <v/>
      </c>
      <c r="G51" s="80">
        <f>-COS(RADIANS(E51))*SIN(RADIANS(F51))</f>
        <v/>
      </c>
      <c r="H51" s="80">
        <f>COS(RADIANS('11_발전량_모델'!$B$17))*SIN(RADIANS(E51))-SIN(RADIANS('11_발전량_모델'!$B$17))*COS(RADIANS(E51))*COS(RADIANS(F51))</f>
        <v/>
      </c>
      <c r="I51" s="80">
        <f>SIN(RADIANS('11_발전량_모델'!$B$17))*SIN(RADIANS(E51))+COS(RADIANS('11_발전량_모델'!$B$17))*COS(RADIANS(E51))*COS(RADIANS(F51))</f>
        <v/>
      </c>
      <c r="J51" s="80">
        <f>SIN(RADIANS('11_발전량_모델'!$B$7))*SIN(RADIANS('11_발전량_모델'!$B$8))</f>
        <v/>
      </c>
      <c r="K51" s="80">
        <f>SIN(RADIANS('11_발전량_모델'!$B$7))*COS(RADIANS('11_발전량_모델'!$B$8))</f>
        <v/>
      </c>
      <c r="L51" s="80">
        <f>COS(RADIANS('11_발전량_모델'!$B$7))</f>
        <v/>
      </c>
      <c r="M51" s="80">
        <f>G51*J51+H51*K51+I51*L51</f>
        <v/>
      </c>
      <c r="N51" s="80">
        <f>MAX(0,I51)</f>
        <v/>
      </c>
      <c r="O51" s="80">
        <f>IF(I51&gt;0,MAX(0,M51),0)</f>
        <v/>
      </c>
      <c r="P51" s="80">
        <f>IF($I51&gt;0,MAX(0,$G51*SIN(RADIANS('13_시나리오비교'!$B$5))*SIN(RADIANS('13_시나리오비교'!$C$5))+$H51*SIN(RADIANS('13_시나리오비교'!$B$5))*COS(RADIANS('13_시나리오비교'!$C$5))+$I51*COS(RADIANS('13_시나리오비교'!$B$5))),0)</f>
        <v/>
      </c>
      <c r="Q51" s="80">
        <f>IF($I51&gt;0,MAX(0,$G51*SIN(RADIANS('13_시나리오비교'!$B$6))*SIN(RADIANS('13_시나리오비교'!$C$6))+$H51*SIN(RADIANS('13_시나리오비교'!$B$6))*COS(RADIANS('13_시나리오비교'!$C$6))+$I51*COS(RADIANS('13_시나리오비교'!$B$6))),0)</f>
        <v/>
      </c>
      <c r="R51" s="80">
        <f>IF($I51&gt;0,MAX(0,$G51*SIN(RADIANS('13_시나리오비교'!$B$7))*SIN(RADIANS('13_시나리오비교'!$C$7))+$H51*SIN(RADIANS('13_시나리오비교'!$B$7))*COS(RADIANS('13_시나리오비교'!$C$7))+$I51*COS(RADIANS('13_시나리오비교'!$B$7))),0)</f>
        <v/>
      </c>
      <c r="S51" s="80">
        <f>IF($I51&gt;0,MAX(0,$G51*SIN(RADIANS('13_시나리오비교'!$B$8))*SIN(RADIANS('13_시나리오비교'!$C$8))+$H51*SIN(RADIANS('13_시나리오비교'!$B$8))*COS(RADIANS('13_시나리오비교'!$C$8))+$I51*COS(RADIANS('13_시나리오비교'!$B$8))),0)</f>
        <v/>
      </c>
      <c r="T51" s="80">
        <f>IF($I51&gt;0,MAX(0,$G51*SIN(RADIANS('13_시나리오비교'!$B$9))*SIN(RADIANS('13_시나리오비교'!$C$9))+$H51*SIN(RADIANS('13_시나리오비교'!$B$9))*COS(RADIANS('13_시나리오비교'!$C$9))+$I51*COS(RADIANS('13_시나리오비교'!$B$9))),0)</f>
        <v/>
      </c>
      <c r="U51" s="80">
        <f>IF($I51&gt;0,MAX(0,$G51*SIN(RADIANS('13_시나리오비교'!$B$10))*SIN(RADIANS('13_시나리오비교'!$C$10))+$H51*SIN(RADIANS('13_시나리오비교'!$B$10))*COS(RADIANS('13_시나리오비교'!$C$10))+$I51*COS(RADIANS('13_시나리오비교'!$B$10))),0)</f>
        <v/>
      </c>
      <c r="V51" s="80">
        <f>IF($I51&gt;0,MAX(0,$G51*SIN(RADIANS('13_시나리오비교'!$B$11))*SIN(RADIANS('13_시나리오비교'!$C$11))+$H51*SIN(RADIANS('13_시나리오비교'!$B$11))*COS(RADIANS('13_시나리오비교'!$C$11))+$I51*COS(RADIANS('13_시나리오비교'!$B$11))),0)</f>
        <v/>
      </c>
      <c r="W51" s="80">
        <f>IF($I51&gt;0,MAX(0,$G51*SIN(RADIANS('13_시나리오비교'!$B$12))*SIN(RADIANS('13_시나리오비교'!$C$12))+$H51*SIN(RADIANS('13_시나리오비교'!$B$12))*COS(RADIANS('13_시나리오비교'!$C$12))+$I51*COS(RADIANS('13_시나리오비교'!$B$12))),0)</f>
        <v/>
      </c>
      <c r="X51" s="80">
        <f>IF($I51&gt;0,MAX(0,$G51*SIN(RADIANS('13_시나리오비교'!$B$13))*SIN(RADIANS('13_시나리오비교'!$C$13))+$H51*SIN(RADIANS('13_시나리오비교'!$B$13))*COS(RADIANS('13_시나리오비교'!$C$13))+$I51*COS(RADIANS('13_시나리오비교'!$B$13))),0)</f>
        <v/>
      </c>
      <c r="Y51" s="80">
        <f>IF($I51&gt;0,MAX(0,$G51*SIN(RADIANS('13_시나리오비교'!$B$14))*SIN(RADIANS('13_시나리오비교'!$C$14))+$H51*SIN(RADIANS('13_시나리오비교'!$B$14))*COS(RADIANS('13_시나리오비교'!$C$14))+$I51*COS(RADIANS('13_시나리오비교'!$B$14))),0)</f>
        <v/>
      </c>
    </row>
    <row r="52" hidden="1" outlineLevel="1">
      <c r="A52" s="79" t="n">
        <v>1</v>
      </c>
      <c r="B52" s="79" t="n">
        <v>32</v>
      </c>
      <c r="C52" s="80">
        <f>(B52-0.5)*'14_지역·상수'!$H$6</f>
        <v/>
      </c>
      <c r="D52" s="79" t="n">
        <v>17</v>
      </c>
      <c r="E52" s="80">
        <f>INDEX($C$4:$C$15,MATCH(A52,$A$4:$A$15,0))</f>
        <v/>
      </c>
      <c r="F52" s="80">
        <f>15*(C52-12)</f>
        <v/>
      </c>
      <c r="G52" s="80">
        <f>-COS(RADIANS(E52))*SIN(RADIANS(F52))</f>
        <v/>
      </c>
      <c r="H52" s="80">
        <f>COS(RADIANS('11_발전량_모델'!$B$17))*SIN(RADIANS(E52))-SIN(RADIANS('11_발전량_모델'!$B$17))*COS(RADIANS(E52))*COS(RADIANS(F52))</f>
        <v/>
      </c>
      <c r="I52" s="80">
        <f>SIN(RADIANS('11_발전량_모델'!$B$17))*SIN(RADIANS(E52))+COS(RADIANS('11_발전량_모델'!$B$17))*COS(RADIANS(E52))*COS(RADIANS(F52))</f>
        <v/>
      </c>
      <c r="J52" s="80">
        <f>SIN(RADIANS('11_발전량_모델'!$B$7))*SIN(RADIANS('11_발전량_모델'!$B$8))</f>
        <v/>
      </c>
      <c r="K52" s="80">
        <f>SIN(RADIANS('11_발전량_모델'!$B$7))*COS(RADIANS('11_발전량_모델'!$B$8))</f>
        <v/>
      </c>
      <c r="L52" s="80">
        <f>COS(RADIANS('11_발전량_모델'!$B$7))</f>
        <v/>
      </c>
      <c r="M52" s="80">
        <f>G52*J52+H52*K52+I52*L52</f>
        <v/>
      </c>
      <c r="N52" s="80">
        <f>MAX(0,I52)</f>
        <v/>
      </c>
      <c r="O52" s="80">
        <f>IF(I52&gt;0,MAX(0,M52),0)</f>
        <v/>
      </c>
      <c r="P52" s="80">
        <f>IF($I52&gt;0,MAX(0,$G52*SIN(RADIANS('13_시나리오비교'!$B$5))*SIN(RADIANS('13_시나리오비교'!$C$5))+$H52*SIN(RADIANS('13_시나리오비교'!$B$5))*COS(RADIANS('13_시나리오비교'!$C$5))+$I52*COS(RADIANS('13_시나리오비교'!$B$5))),0)</f>
        <v/>
      </c>
      <c r="Q52" s="80">
        <f>IF($I52&gt;0,MAX(0,$G52*SIN(RADIANS('13_시나리오비교'!$B$6))*SIN(RADIANS('13_시나리오비교'!$C$6))+$H52*SIN(RADIANS('13_시나리오비교'!$B$6))*COS(RADIANS('13_시나리오비교'!$C$6))+$I52*COS(RADIANS('13_시나리오비교'!$B$6))),0)</f>
        <v/>
      </c>
      <c r="R52" s="80">
        <f>IF($I52&gt;0,MAX(0,$G52*SIN(RADIANS('13_시나리오비교'!$B$7))*SIN(RADIANS('13_시나리오비교'!$C$7))+$H52*SIN(RADIANS('13_시나리오비교'!$B$7))*COS(RADIANS('13_시나리오비교'!$C$7))+$I52*COS(RADIANS('13_시나리오비교'!$B$7))),0)</f>
        <v/>
      </c>
      <c r="S52" s="80">
        <f>IF($I52&gt;0,MAX(0,$G52*SIN(RADIANS('13_시나리오비교'!$B$8))*SIN(RADIANS('13_시나리오비교'!$C$8))+$H52*SIN(RADIANS('13_시나리오비교'!$B$8))*COS(RADIANS('13_시나리오비교'!$C$8))+$I52*COS(RADIANS('13_시나리오비교'!$B$8))),0)</f>
        <v/>
      </c>
      <c r="T52" s="80">
        <f>IF($I52&gt;0,MAX(0,$G52*SIN(RADIANS('13_시나리오비교'!$B$9))*SIN(RADIANS('13_시나리오비교'!$C$9))+$H52*SIN(RADIANS('13_시나리오비교'!$B$9))*COS(RADIANS('13_시나리오비교'!$C$9))+$I52*COS(RADIANS('13_시나리오비교'!$B$9))),0)</f>
        <v/>
      </c>
      <c r="U52" s="80">
        <f>IF($I52&gt;0,MAX(0,$G52*SIN(RADIANS('13_시나리오비교'!$B$10))*SIN(RADIANS('13_시나리오비교'!$C$10))+$H52*SIN(RADIANS('13_시나리오비교'!$B$10))*COS(RADIANS('13_시나리오비교'!$C$10))+$I52*COS(RADIANS('13_시나리오비교'!$B$10))),0)</f>
        <v/>
      </c>
      <c r="V52" s="80">
        <f>IF($I52&gt;0,MAX(0,$G52*SIN(RADIANS('13_시나리오비교'!$B$11))*SIN(RADIANS('13_시나리오비교'!$C$11))+$H52*SIN(RADIANS('13_시나리오비교'!$B$11))*COS(RADIANS('13_시나리오비교'!$C$11))+$I52*COS(RADIANS('13_시나리오비교'!$B$11))),0)</f>
        <v/>
      </c>
      <c r="W52" s="80">
        <f>IF($I52&gt;0,MAX(0,$G52*SIN(RADIANS('13_시나리오비교'!$B$12))*SIN(RADIANS('13_시나리오비교'!$C$12))+$H52*SIN(RADIANS('13_시나리오비교'!$B$12))*COS(RADIANS('13_시나리오비교'!$C$12))+$I52*COS(RADIANS('13_시나리오비교'!$B$12))),0)</f>
        <v/>
      </c>
      <c r="X52" s="80">
        <f>IF($I52&gt;0,MAX(0,$G52*SIN(RADIANS('13_시나리오비교'!$B$13))*SIN(RADIANS('13_시나리오비교'!$C$13))+$H52*SIN(RADIANS('13_시나리오비교'!$B$13))*COS(RADIANS('13_시나리오비교'!$C$13))+$I52*COS(RADIANS('13_시나리오비교'!$B$13))),0)</f>
        <v/>
      </c>
      <c r="Y52" s="80">
        <f>IF($I52&gt;0,MAX(0,$G52*SIN(RADIANS('13_시나리오비교'!$B$14))*SIN(RADIANS('13_시나리오비교'!$C$14))+$H52*SIN(RADIANS('13_시나리오비교'!$B$14))*COS(RADIANS('13_시나리오비교'!$C$14))+$I52*COS(RADIANS('13_시나리오비교'!$B$14))),0)</f>
        <v/>
      </c>
    </row>
    <row r="53" hidden="1" outlineLevel="1">
      <c r="A53" s="79" t="n">
        <v>1</v>
      </c>
      <c r="B53" s="79" t="n">
        <v>33</v>
      </c>
      <c r="C53" s="80">
        <f>(B53-0.5)*'14_지역·상수'!$H$6</f>
        <v/>
      </c>
      <c r="D53" s="79" t="n">
        <v>17</v>
      </c>
      <c r="E53" s="80">
        <f>INDEX($C$4:$C$15,MATCH(A53,$A$4:$A$15,0))</f>
        <v/>
      </c>
      <c r="F53" s="80">
        <f>15*(C53-12)</f>
        <v/>
      </c>
      <c r="G53" s="80">
        <f>-COS(RADIANS(E53))*SIN(RADIANS(F53))</f>
        <v/>
      </c>
      <c r="H53" s="80">
        <f>COS(RADIANS('11_발전량_모델'!$B$17))*SIN(RADIANS(E53))-SIN(RADIANS('11_발전량_모델'!$B$17))*COS(RADIANS(E53))*COS(RADIANS(F53))</f>
        <v/>
      </c>
      <c r="I53" s="80">
        <f>SIN(RADIANS('11_발전량_모델'!$B$17))*SIN(RADIANS(E53))+COS(RADIANS('11_발전량_모델'!$B$17))*COS(RADIANS(E53))*COS(RADIANS(F53))</f>
        <v/>
      </c>
      <c r="J53" s="80">
        <f>SIN(RADIANS('11_발전량_모델'!$B$7))*SIN(RADIANS('11_발전량_모델'!$B$8))</f>
        <v/>
      </c>
      <c r="K53" s="80">
        <f>SIN(RADIANS('11_발전량_모델'!$B$7))*COS(RADIANS('11_발전량_모델'!$B$8))</f>
        <v/>
      </c>
      <c r="L53" s="80">
        <f>COS(RADIANS('11_발전량_모델'!$B$7))</f>
        <v/>
      </c>
      <c r="M53" s="80">
        <f>G53*J53+H53*K53+I53*L53</f>
        <v/>
      </c>
      <c r="N53" s="80">
        <f>MAX(0,I53)</f>
        <v/>
      </c>
      <c r="O53" s="80">
        <f>IF(I53&gt;0,MAX(0,M53),0)</f>
        <v/>
      </c>
      <c r="P53" s="80">
        <f>IF($I53&gt;0,MAX(0,$G53*SIN(RADIANS('13_시나리오비교'!$B$5))*SIN(RADIANS('13_시나리오비교'!$C$5))+$H53*SIN(RADIANS('13_시나리오비교'!$B$5))*COS(RADIANS('13_시나리오비교'!$C$5))+$I53*COS(RADIANS('13_시나리오비교'!$B$5))),0)</f>
        <v/>
      </c>
      <c r="Q53" s="80">
        <f>IF($I53&gt;0,MAX(0,$G53*SIN(RADIANS('13_시나리오비교'!$B$6))*SIN(RADIANS('13_시나리오비교'!$C$6))+$H53*SIN(RADIANS('13_시나리오비교'!$B$6))*COS(RADIANS('13_시나리오비교'!$C$6))+$I53*COS(RADIANS('13_시나리오비교'!$B$6))),0)</f>
        <v/>
      </c>
      <c r="R53" s="80">
        <f>IF($I53&gt;0,MAX(0,$G53*SIN(RADIANS('13_시나리오비교'!$B$7))*SIN(RADIANS('13_시나리오비교'!$C$7))+$H53*SIN(RADIANS('13_시나리오비교'!$B$7))*COS(RADIANS('13_시나리오비교'!$C$7))+$I53*COS(RADIANS('13_시나리오비교'!$B$7))),0)</f>
        <v/>
      </c>
      <c r="S53" s="80">
        <f>IF($I53&gt;0,MAX(0,$G53*SIN(RADIANS('13_시나리오비교'!$B$8))*SIN(RADIANS('13_시나리오비교'!$C$8))+$H53*SIN(RADIANS('13_시나리오비교'!$B$8))*COS(RADIANS('13_시나리오비교'!$C$8))+$I53*COS(RADIANS('13_시나리오비교'!$B$8))),0)</f>
        <v/>
      </c>
      <c r="T53" s="80">
        <f>IF($I53&gt;0,MAX(0,$G53*SIN(RADIANS('13_시나리오비교'!$B$9))*SIN(RADIANS('13_시나리오비교'!$C$9))+$H53*SIN(RADIANS('13_시나리오비교'!$B$9))*COS(RADIANS('13_시나리오비교'!$C$9))+$I53*COS(RADIANS('13_시나리오비교'!$B$9))),0)</f>
        <v/>
      </c>
      <c r="U53" s="80">
        <f>IF($I53&gt;0,MAX(0,$G53*SIN(RADIANS('13_시나리오비교'!$B$10))*SIN(RADIANS('13_시나리오비교'!$C$10))+$H53*SIN(RADIANS('13_시나리오비교'!$B$10))*COS(RADIANS('13_시나리오비교'!$C$10))+$I53*COS(RADIANS('13_시나리오비교'!$B$10))),0)</f>
        <v/>
      </c>
      <c r="V53" s="80">
        <f>IF($I53&gt;0,MAX(0,$G53*SIN(RADIANS('13_시나리오비교'!$B$11))*SIN(RADIANS('13_시나리오비교'!$C$11))+$H53*SIN(RADIANS('13_시나리오비교'!$B$11))*COS(RADIANS('13_시나리오비교'!$C$11))+$I53*COS(RADIANS('13_시나리오비교'!$B$11))),0)</f>
        <v/>
      </c>
      <c r="W53" s="80">
        <f>IF($I53&gt;0,MAX(0,$G53*SIN(RADIANS('13_시나리오비교'!$B$12))*SIN(RADIANS('13_시나리오비교'!$C$12))+$H53*SIN(RADIANS('13_시나리오비교'!$B$12))*COS(RADIANS('13_시나리오비교'!$C$12))+$I53*COS(RADIANS('13_시나리오비교'!$B$12))),0)</f>
        <v/>
      </c>
      <c r="X53" s="80">
        <f>IF($I53&gt;0,MAX(0,$G53*SIN(RADIANS('13_시나리오비교'!$B$13))*SIN(RADIANS('13_시나리오비교'!$C$13))+$H53*SIN(RADIANS('13_시나리오비교'!$B$13))*COS(RADIANS('13_시나리오비교'!$C$13))+$I53*COS(RADIANS('13_시나리오비교'!$B$13))),0)</f>
        <v/>
      </c>
      <c r="Y53" s="80">
        <f>IF($I53&gt;0,MAX(0,$G53*SIN(RADIANS('13_시나리오비교'!$B$14))*SIN(RADIANS('13_시나리오비교'!$C$14))+$H53*SIN(RADIANS('13_시나리오비교'!$B$14))*COS(RADIANS('13_시나리오비교'!$C$14))+$I53*COS(RADIANS('13_시나리오비교'!$B$14))),0)</f>
        <v/>
      </c>
    </row>
    <row r="54" hidden="1" outlineLevel="1">
      <c r="A54" s="79" t="n">
        <v>1</v>
      </c>
      <c r="B54" s="79" t="n">
        <v>34</v>
      </c>
      <c r="C54" s="80">
        <f>(B54-0.5)*'14_지역·상수'!$H$6</f>
        <v/>
      </c>
      <c r="D54" s="79" t="n">
        <v>17</v>
      </c>
      <c r="E54" s="80">
        <f>INDEX($C$4:$C$15,MATCH(A54,$A$4:$A$15,0))</f>
        <v/>
      </c>
      <c r="F54" s="80">
        <f>15*(C54-12)</f>
        <v/>
      </c>
      <c r="G54" s="80">
        <f>-COS(RADIANS(E54))*SIN(RADIANS(F54))</f>
        <v/>
      </c>
      <c r="H54" s="80">
        <f>COS(RADIANS('11_발전량_모델'!$B$17))*SIN(RADIANS(E54))-SIN(RADIANS('11_발전량_모델'!$B$17))*COS(RADIANS(E54))*COS(RADIANS(F54))</f>
        <v/>
      </c>
      <c r="I54" s="80">
        <f>SIN(RADIANS('11_발전량_모델'!$B$17))*SIN(RADIANS(E54))+COS(RADIANS('11_발전량_모델'!$B$17))*COS(RADIANS(E54))*COS(RADIANS(F54))</f>
        <v/>
      </c>
      <c r="J54" s="80">
        <f>SIN(RADIANS('11_발전량_모델'!$B$7))*SIN(RADIANS('11_발전량_모델'!$B$8))</f>
        <v/>
      </c>
      <c r="K54" s="80">
        <f>SIN(RADIANS('11_발전량_모델'!$B$7))*COS(RADIANS('11_발전량_모델'!$B$8))</f>
        <v/>
      </c>
      <c r="L54" s="80">
        <f>COS(RADIANS('11_발전량_모델'!$B$7))</f>
        <v/>
      </c>
      <c r="M54" s="80">
        <f>G54*J54+H54*K54+I54*L54</f>
        <v/>
      </c>
      <c r="N54" s="80">
        <f>MAX(0,I54)</f>
        <v/>
      </c>
      <c r="O54" s="80">
        <f>IF(I54&gt;0,MAX(0,M54),0)</f>
        <v/>
      </c>
      <c r="P54" s="80">
        <f>IF($I54&gt;0,MAX(0,$G54*SIN(RADIANS('13_시나리오비교'!$B$5))*SIN(RADIANS('13_시나리오비교'!$C$5))+$H54*SIN(RADIANS('13_시나리오비교'!$B$5))*COS(RADIANS('13_시나리오비교'!$C$5))+$I54*COS(RADIANS('13_시나리오비교'!$B$5))),0)</f>
        <v/>
      </c>
      <c r="Q54" s="80">
        <f>IF($I54&gt;0,MAX(0,$G54*SIN(RADIANS('13_시나리오비교'!$B$6))*SIN(RADIANS('13_시나리오비교'!$C$6))+$H54*SIN(RADIANS('13_시나리오비교'!$B$6))*COS(RADIANS('13_시나리오비교'!$C$6))+$I54*COS(RADIANS('13_시나리오비교'!$B$6))),0)</f>
        <v/>
      </c>
      <c r="R54" s="80">
        <f>IF($I54&gt;0,MAX(0,$G54*SIN(RADIANS('13_시나리오비교'!$B$7))*SIN(RADIANS('13_시나리오비교'!$C$7))+$H54*SIN(RADIANS('13_시나리오비교'!$B$7))*COS(RADIANS('13_시나리오비교'!$C$7))+$I54*COS(RADIANS('13_시나리오비교'!$B$7))),0)</f>
        <v/>
      </c>
      <c r="S54" s="80">
        <f>IF($I54&gt;0,MAX(0,$G54*SIN(RADIANS('13_시나리오비교'!$B$8))*SIN(RADIANS('13_시나리오비교'!$C$8))+$H54*SIN(RADIANS('13_시나리오비교'!$B$8))*COS(RADIANS('13_시나리오비교'!$C$8))+$I54*COS(RADIANS('13_시나리오비교'!$B$8))),0)</f>
        <v/>
      </c>
      <c r="T54" s="80">
        <f>IF($I54&gt;0,MAX(0,$G54*SIN(RADIANS('13_시나리오비교'!$B$9))*SIN(RADIANS('13_시나리오비교'!$C$9))+$H54*SIN(RADIANS('13_시나리오비교'!$B$9))*COS(RADIANS('13_시나리오비교'!$C$9))+$I54*COS(RADIANS('13_시나리오비교'!$B$9))),0)</f>
        <v/>
      </c>
      <c r="U54" s="80">
        <f>IF($I54&gt;0,MAX(0,$G54*SIN(RADIANS('13_시나리오비교'!$B$10))*SIN(RADIANS('13_시나리오비교'!$C$10))+$H54*SIN(RADIANS('13_시나리오비교'!$B$10))*COS(RADIANS('13_시나리오비교'!$C$10))+$I54*COS(RADIANS('13_시나리오비교'!$B$10))),0)</f>
        <v/>
      </c>
      <c r="V54" s="80">
        <f>IF($I54&gt;0,MAX(0,$G54*SIN(RADIANS('13_시나리오비교'!$B$11))*SIN(RADIANS('13_시나리오비교'!$C$11))+$H54*SIN(RADIANS('13_시나리오비교'!$B$11))*COS(RADIANS('13_시나리오비교'!$C$11))+$I54*COS(RADIANS('13_시나리오비교'!$B$11))),0)</f>
        <v/>
      </c>
      <c r="W54" s="80">
        <f>IF($I54&gt;0,MAX(0,$G54*SIN(RADIANS('13_시나리오비교'!$B$12))*SIN(RADIANS('13_시나리오비교'!$C$12))+$H54*SIN(RADIANS('13_시나리오비교'!$B$12))*COS(RADIANS('13_시나리오비교'!$C$12))+$I54*COS(RADIANS('13_시나리오비교'!$B$12))),0)</f>
        <v/>
      </c>
      <c r="X54" s="80">
        <f>IF($I54&gt;0,MAX(0,$G54*SIN(RADIANS('13_시나리오비교'!$B$13))*SIN(RADIANS('13_시나리오비교'!$C$13))+$H54*SIN(RADIANS('13_시나리오비교'!$B$13))*COS(RADIANS('13_시나리오비교'!$C$13))+$I54*COS(RADIANS('13_시나리오비교'!$B$13))),0)</f>
        <v/>
      </c>
      <c r="Y54" s="80">
        <f>IF($I54&gt;0,MAX(0,$G54*SIN(RADIANS('13_시나리오비교'!$B$14))*SIN(RADIANS('13_시나리오비교'!$C$14))+$H54*SIN(RADIANS('13_시나리오비교'!$B$14))*COS(RADIANS('13_시나리오비교'!$C$14))+$I54*COS(RADIANS('13_시나리오비교'!$B$14))),0)</f>
        <v/>
      </c>
    </row>
    <row r="55" hidden="1" outlineLevel="1">
      <c r="A55" s="79" t="n">
        <v>1</v>
      </c>
      <c r="B55" s="79" t="n">
        <v>35</v>
      </c>
      <c r="C55" s="80">
        <f>(B55-0.5)*'14_지역·상수'!$H$6</f>
        <v/>
      </c>
      <c r="D55" s="79" t="n">
        <v>17</v>
      </c>
      <c r="E55" s="80">
        <f>INDEX($C$4:$C$15,MATCH(A55,$A$4:$A$15,0))</f>
        <v/>
      </c>
      <c r="F55" s="80">
        <f>15*(C55-12)</f>
        <v/>
      </c>
      <c r="G55" s="80">
        <f>-COS(RADIANS(E55))*SIN(RADIANS(F55))</f>
        <v/>
      </c>
      <c r="H55" s="80">
        <f>COS(RADIANS('11_발전량_모델'!$B$17))*SIN(RADIANS(E55))-SIN(RADIANS('11_발전량_모델'!$B$17))*COS(RADIANS(E55))*COS(RADIANS(F55))</f>
        <v/>
      </c>
      <c r="I55" s="80">
        <f>SIN(RADIANS('11_발전량_모델'!$B$17))*SIN(RADIANS(E55))+COS(RADIANS('11_발전량_모델'!$B$17))*COS(RADIANS(E55))*COS(RADIANS(F55))</f>
        <v/>
      </c>
      <c r="J55" s="80">
        <f>SIN(RADIANS('11_발전량_모델'!$B$7))*SIN(RADIANS('11_발전량_모델'!$B$8))</f>
        <v/>
      </c>
      <c r="K55" s="80">
        <f>SIN(RADIANS('11_발전량_모델'!$B$7))*COS(RADIANS('11_발전량_모델'!$B$8))</f>
        <v/>
      </c>
      <c r="L55" s="80">
        <f>COS(RADIANS('11_발전량_모델'!$B$7))</f>
        <v/>
      </c>
      <c r="M55" s="80">
        <f>G55*J55+H55*K55+I55*L55</f>
        <v/>
      </c>
      <c r="N55" s="80">
        <f>MAX(0,I55)</f>
        <v/>
      </c>
      <c r="O55" s="80">
        <f>IF(I55&gt;0,MAX(0,M55),0)</f>
        <v/>
      </c>
      <c r="P55" s="80">
        <f>IF($I55&gt;0,MAX(0,$G55*SIN(RADIANS('13_시나리오비교'!$B$5))*SIN(RADIANS('13_시나리오비교'!$C$5))+$H55*SIN(RADIANS('13_시나리오비교'!$B$5))*COS(RADIANS('13_시나리오비교'!$C$5))+$I55*COS(RADIANS('13_시나리오비교'!$B$5))),0)</f>
        <v/>
      </c>
      <c r="Q55" s="80">
        <f>IF($I55&gt;0,MAX(0,$G55*SIN(RADIANS('13_시나리오비교'!$B$6))*SIN(RADIANS('13_시나리오비교'!$C$6))+$H55*SIN(RADIANS('13_시나리오비교'!$B$6))*COS(RADIANS('13_시나리오비교'!$C$6))+$I55*COS(RADIANS('13_시나리오비교'!$B$6))),0)</f>
        <v/>
      </c>
      <c r="R55" s="80">
        <f>IF($I55&gt;0,MAX(0,$G55*SIN(RADIANS('13_시나리오비교'!$B$7))*SIN(RADIANS('13_시나리오비교'!$C$7))+$H55*SIN(RADIANS('13_시나리오비교'!$B$7))*COS(RADIANS('13_시나리오비교'!$C$7))+$I55*COS(RADIANS('13_시나리오비교'!$B$7))),0)</f>
        <v/>
      </c>
      <c r="S55" s="80">
        <f>IF($I55&gt;0,MAX(0,$G55*SIN(RADIANS('13_시나리오비교'!$B$8))*SIN(RADIANS('13_시나리오비교'!$C$8))+$H55*SIN(RADIANS('13_시나리오비교'!$B$8))*COS(RADIANS('13_시나리오비교'!$C$8))+$I55*COS(RADIANS('13_시나리오비교'!$B$8))),0)</f>
        <v/>
      </c>
      <c r="T55" s="80">
        <f>IF($I55&gt;0,MAX(0,$G55*SIN(RADIANS('13_시나리오비교'!$B$9))*SIN(RADIANS('13_시나리오비교'!$C$9))+$H55*SIN(RADIANS('13_시나리오비교'!$B$9))*COS(RADIANS('13_시나리오비교'!$C$9))+$I55*COS(RADIANS('13_시나리오비교'!$B$9))),0)</f>
        <v/>
      </c>
      <c r="U55" s="80">
        <f>IF($I55&gt;0,MAX(0,$G55*SIN(RADIANS('13_시나리오비교'!$B$10))*SIN(RADIANS('13_시나리오비교'!$C$10))+$H55*SIN(RADIANS('13_시나리오비교'!$B$10))*COS(RADIANS('13_시나리오비교'!$C$10))+$I55*COS(RADIANS('13_시나리오비교'!$B$10))),0)</f>
        <v/>
      </c>
      <c r="V55" s="80">
        <f>IF($I55&gt;0,MAX(0,$G55*SIN(RADIANS('13_시나리오비교'!$B$11))*SIN(RADIANS('13_시나리오비교'!$C$11))+$H55*SIN(RADIANS('13_시나리오비교'!$B$11))*COS(RADIANS('13_시나리오비교'!$C$11))+$I55*COS(RADIANS('13_시나리오비교'!$B$11))),0)</f>
        <v/>
      </c>
      <c r="W55" s="80">
        <f>IF($I55&gt;0,MAX(0,$G55*SIN(RADIANS('13_시나리오비교'!$B$12))*SIN(RADIANS('13_시나리오비교'!$C$12))+$H55*SIN(RADIANS('13_시나리오비교'!$B$12))*COS(RADIANS('13_시나리오비교'!$C$12))+$I55*COS(RADIANS('13_시나리오비교'!$B$12))),0)</f>
        <v/>
      </c>
      <c r="X55" s="80">
        <f>IF($I55&gt;0,MAX(0,$G55*SIN(RADIANS('13_시나리오비교'!$B$13))*SIN(RADIANS('13_시나리오비교'!$C$13))+$H55*SIN(RADIANS('13_시나리오비교'!$B$13))*COS(RADIANS('13_시나리오비교'!$C$13))+$I55*COS(RADIANS('13_시나리오비교'!$B$13))),0)</f>
        <v/>
      </c>
      <c r="Y55" s="80">
        <f>IF($I55&gt;0,MAX(0,$G55*SIN(RADIANS('13_시나리오비교'!$B$14))*SIN(RADIANS('13_시나리오비교'!$C$14))+$H55*SIN(RADIANS('13_시나리오비교'!$B$14))*COS(RADIANS('13_시나리오비교'!$C$14))+$I55*COS(RADIANS('13_시나리오비교'!$B$14))),0)</f>
        <v/>
      </c>
    </row>
    <row r="56" hidden="1" outlineLevel="1">
      <c r="A56" s="79" t="n">
        <v>1</v>
      </c>
      <c r="B56" s="79" t="n">
        <v>36</v>
      </c>
      <c r="C56" s="80">
        <f>(B56-0.5)*'14_지역·상수'!$H$6</f>
        <v/>
      </c>
      <c r="D56" s="79" t="n">
        <v>17</v>
      </c>
      <c r="E56" s="80">
        <f>INDEX($C$4:$C$15,MATCH(A56,$A$4:$A$15,0))</f>
        <v/>
      </c>
      <c r="F56" s="80">
        <f>15*(C56-12)</f>
        <v/>
      </c>
      <c r="G56" s="80">
        <f>-COS(RADIANS(E56))*SIN(RADIANS(F56))</f>
        <v/>
      </c>
      <c r="H56" s="80">
        <f>COS(RADIANS('11_발전량_모델'!$B$17))*SIN(RADIANS(E56))-SIN(RADIANS('11_발전량_모델'!$B$17))*COS(RADIANS(E56))*COS(RADIANS(F56))</f>
        <v/>
      </c>
      <c r="I56" s="80">
        <f>SIN(RADIANS('11_발전량_모델'!$B$17))*SIN(RADIANS(E56))+COS(RADIANS('11_발전량_모델'!$B$17))*COS(RADIANS(E56))*COS(RADIANS(F56))</f>
        <v/>
      </c>
      <c r="J56" s="80">
        <f>SIN(RADIANS('11_발전량_모델'!$B$7))*SIN(RADIANS('11_발전량_모델'!$B$8))</f>
        <v/>
      </c>
      <c r="K56" s="80">
        <f>SIN(RADIANS('11_발전량_모델'!$B$7))*COS(RADIANS('11_발전량_모델'!$B$8))</f>
        <v/>
      </c>
      <c r="L56" s="80">
        <f>COS(RADIANS('11_발전량_모델'!$B$7))</f>
        <v/>
      </c>
      <c r="M56" s="80">
        <f>G56*J56+H56*K56+I56*L56</f>
        <v/>
      </c>
      <c r="N56" s="80">
        <f>MAX(0,I56)</f>
        <v/>
      </c>
      <c r="O56" s="80">
        <f>IF(I56&gt;0,MAX(0,M56),0)</f>
        <v/>
      </c>
      <c r="P56" s="80">
        <f>IF($I56&gt;0,MAX(0,$G56*SIN(RADIANS('13_시나리오비교'!$B$5))*SIN(RADIANS('13_시나리오비교'!$C$5))+$H56*SIN(RADIANS('13_시나리오비교'!$B$5))*COS(RADIANS('13_시나리오비교'!$C$5))+$I56*COS(RADIANS('13_시나리오비교'!$B$5))),0)</f>
        <v/>
      </c>
      <c r="Q56" s="80">
        <f>IF($I56&gt;0,MAX(0,$G56*SIN(RADIANS('13_시나리오비교'!$B$6))*SIN(RADIANS('13_시나리오비교'!$C$6))+$H56*SIN(RADIANS('13_시나리오비교'!$B$6))*COS(RADIANS('13_시나리오비교'!$C$6))+$I56*COS(RADIANS('13_시나리오비교'!$B$6))),0)</f>
        <v/>
      </c>
      <c r="R56" s="80">
        <f>IF($I56&gt;0,MAX(0,$G56*SIN(RADIANS('13_시나리오비교'!$B$7))*SIN(RADIANS('13_시나리오비교'!$C$7))+$H56*SIN(RADIANS('13_시나리오비교'!$B$7))*COS(RADIANS('13_시나리오비교'!$C$7))+$I56*COS(RADIANS('13_시나리오비교'!$B$7))),0)</f>
        <v/>
      </c>
      <c r="S56" s="80">
        <f>IF($I56&gt;0,MAX(0,$G56*SIN(RADIANS('13_시나리오비교'!$B$8))*SIN(RADIANS('13_시나리오비교'!$C$8))+$H56*SIN(RADIANS('13_시나리오비교'!$B$8))*COS(RADIANS('13_시나리오비교'!$C$8))+$I56*COS(RADIANS('13_시나리오비교'!$B$8))),0)</f>
        <v/>
      </c>
      <c r="T56" s="80">
        <f>IF($I56&gt;0,MAX(0,$G56*SIN(RADIANS('13_시나리오비교'!$B$9))*SIN(RADIANS('13_시나리오비교'!$C$9))+$H56*SIN(RADIANS('13_시나리오비교'!$B$9))*COS(RADIANS('13_시나리오비교'!$C$9))+$I56*COS(RADIANS('13_시나리오비교'!$B$9))),0)</f>
        <v/>
      </c>
      <c r="U56" s="80">
        <f>IF($I56&gt;0,MAX(0,$G56*SIN(RADIANS('13_시나리오비교'!$B$10))*SIN(RADIANS('13_시나리오비교'!$C$10))+$H56*SIN(RADIANS('13_시나리오비교'!$B$10))*COS(RADIANS('13_시나리오비교'!$C$10))+$I56*COS(RADIANS('13_시나리오비교'!$B$10))),0)</f>
        <v/>
      </c>
      <c r="V56" s="80">
        <f>IF($I56&gt;0,MAX(0,$G56*SIN(RADIANS('13_시나리오비교'!$B$11))*SIN(RADIANS('13_시나리오비교'!$C$11))+$H56*SIN(RADIANS('13_시나리오비교'!$B$11))*COS(RADIANS('13_시나리오비교'!$C$11))+$I56*COS(RADIANS('13_시나리오비교'!$B$11))),0)</f>
        <v/>
      </c>
      <c r="W56" s="80">
        <f>IF($I56&gt;0,MAX(0,$G56*SIN(RADIANS('13_시나리오비교'!$B$12))*SIN(RADIANS('13_시나리오비교'!$C$12))+$H56*SIN(RADIANS('13_시나리오비교'!$B$12))*COS(RADIANS('13_시나리오비교'!$C$12))+$I56*COS(RADIANS('13_시나리오비교'!$B$12))),0)</f>
        <v/>
      </c>
      <c r="X56" s="80">
        <f>IF($I56&gt;0,MAX(0,$G56*SIN(RADIANS('13_시나리오비교'!$B$13))*SIN(RADIANS('13_시나리오비교'!$C$13))+$H56*SIN(RADIANS('13_시나리오비교'!$B$13))*COS(RADIANS('13_시나리오비교'!$C$13))+$I56*COS(RADIANS('13_시나리오비교'!$B$13))),0)</f>
        <v/>
      </c>
      <c r="Y56" s="80">
        <f>IF($I56&gt;0,MAX(0,$G56*SIN(RADIANS('13_시나리오비교'!$B$14))*SIN(RADIANS('13_시나리오비교'!$C$14))+$H56*SIN(RADIANS('13_시나리오비교'!$B$14))*COS(RADIANS('13_시나리오비교'!$C$14))+$I56*COS(RADIANS('13_시나리오비교'!$B$14))),0)</f>
        <v/>
      </c>
    </row>
    <row r="57" hidden="1" outlineLevel="1">
      <c r="A57" s="79" t="n">
        <v>1</v>
      </c>
      <c r="B57" s="79" t="n">
        <v>37</v>
      </c>
      <c r="C57" s="80">
        <f>(B57-0.5)*'14_지역·상수'!$H$6</f>
        <v/>
      </c>
      <c r="D57" s="79" t="n">
        <v>17</v>
      </c>
      <c r="E57" s="80">
        <f>INDEX($C$4:$C$15,MATCH(A57,$A$4:$A$15,0))</f>
        <v/>
      </c>
      <c r="F57" s="80">
        <f>15*(C57-12)</f>
        <v/>
      </c>
      <c r="G57" s="80">
        <f>-COS(RADIANS(E57))*SIN(RADIANS(F57))</f>
        <v/>
      </c>
      <c r="H57" s="80">
        <f>COS(RADIANS('11_발전량_모델'!$B$17))*SIN(RADIANS(E57))-SIN(RADIANS('11_발전량_모델'!$B$17))*COS(RADIANS(E57))*COS(RADIANS(F57))</f>
        <v/>
      </c>
      <c r="I57" s="80">
        <f>SIN(RADIANS('11_발전량_모델'!$B$17))*SIN(RADIANS(E57))+COS(RADIANS('11_발전량_모델'!$B$17))*COS(RADIANS(E57))*COS(RADIANS(F57))</f>
        <v/>
      </c>
      <c r="J57" s="80">
        <f>SIN(RADIANS('11_발전량_모델'!$B$7))*SIN(RADIANS('11_발전량_모델'!$B$8))</f>
        <v/>
      </c>
      <c r="K57" s="80">
        <f>SIN(RADIANS('11_발전량_모델'!$B$7))*COS(RADIANS('11_발전량_모델'!$B$8))</f>
        <v/>
      </c>
      <c r="L57" s="80">
        <f>COS(RADIANS('11_발전량_모델'!$B$7))</f>
        <v/>
      </c>
      <c r="M57" s="80">
        <f>G57*J57+H57*K57+I57*L57</f>
        <v/>
      </c>
      <c r="N57" s="80">
        <f>MAX(0,I57)</f>
        <v/>
      </c>
      <c r="O57" s="80">
        <f>IF(I57&gt;0,MAX(0,M57),0)</f>
        <v/>
      </c>
      <c r="P57" s="80">
        <f>IF($I57&gt;0,MAX(0,$G57*SIN(RADIANS('13_시나리오비교'!$B$5))*SIN(RADIANS('13_시나리오비교'!$C$5))+$H57*SIN(RADIANS('13_시나리오비교'!$B$5))*COS(RADIANS('13_시나리오비교'!$C$5))+$I57*COS(RADIANS('13_시나리오비교'!$B$5))),0)</f>
        <v/>
      </c>
      <c r="Q57" s="80">
        <f>IF($I57&gt;0,MAX(0,$G57*SIN(RADIANS('13_시나리오비교'!$B$6))*SIN(RADIANS('13_시나리오비교'!$C$6))+$H57*SIN(RADIANS('13_시나리오비교'!$B$6))*COS(RADIANS('13_시나리오비교'!$C$6))+$I57*COS(RADIANS('13_시나리오비교'!$B$6))),0)</f>
        <v/>
      </c>
      <c r="R57" s="80">
        <f>IF($I57&gt;0,MAX(0,$G57*SIN(RADIANS('13_시나리오비교'!$B$7))*SIN(RADIANS('13_시나리오비교'!$C$7))+$H57*SIN(RADIANS('13_시나리오비교'!$B$7))*COS(RADIANS('13_시나리오비교'!$C$7))+$I57*COS(RADIANS('13_시나리오비교'!$B$7))),0)</f>
        <v/>
      </c>
      <c r="S57" s="80">
        <f>IF($I57&gt;0,MAX(0,$G57*SIN(RADIANS('13_시나리오비교'!$B$8))*SIN(RADIANS('13_시나리오비교'!$C$8))+$H57*SIN(RADIANS('13_시나리오비교'!$B$8))*COS(RADIANS('13_시나리오비교'!$C$8))+$I57*COS(RADIANS('13_시나리오비교'!$B$8))),0)</f>
        <v/>
      </c>
      <c r="T57" s="80">
        <f>IF($I57&gt;0,MAX(0,$G57*SIN(RADIANS('13_시나리오비교'!$B$9))*SIN(RADIANS('13_시나리오비교'!$C$9))+$H57*SIN(RADIANS('13_시나리오비교'!$B$9))*COS(RADIANS('13_시나리오비교'!$C$9))+$I57*COS(RADIANS('13_시나리오비교'!$B$9))),0)</f>
        <v/>
      </c>
      <c r="U57" s="80">
        <f>IF($I57&gt;0,MAX(0,$G57*SIN(RADIANS('13_시나리오비교'!$B$10))*SIN(RADIANS('13_시나리오비교'!$C$10))+$H57*SIN(RADIANS('13_시나리오비교'!$B$10))*COS(RADIANS('13_시나리오비교'!$C$10))+$I57*COS(RADIANS('13_시나리오비교'!$B$10))),0)</f>
        <v/>
      </c>
      <c r="V57" s="80">
        <f>IF($I57&gt;0,MAX(0,$G57*SIN(RADIANS('13_시나리오비교'!$B$11))*SIN(RADIANS('13_시나리오비교'!$C$11))+$H57*SIN(RADIANS('13_시나리오비교'!$B$11))*COS(RADIANS('13_시나리오비교'!$C$11))+$I57*COS(RADIANS('13_시나리오비교'!$B$11))),0)</f>
        <v/>
      </c>
      <c r="W57" s="80">
        <f>IF($I57&gt;0,MAX(0,$G57*SIN(RADIANS('13_시나리오비교'!$B$12))*SIN(RADIANS('13_시나리오비교'!$C$12))+$H57*SIN(RADIANS('13_시나리오비교'!$B$12))*COS(RADIANS('13_시나리오비교'!$C$12))+$I57*COS(RADIANS('13_시나리오비교'!$B$12))),0)</f>
        <v/>
      </c>
      <c r="X57" s="80">
        <f>IF($I57&gt;0,MAX(0,$G57*SIN(RADIANS('13_시나리오비교'!$B$13))*SIN(RADIANS('13_시나리오비교'!$C$13))+$H57*SIN(RADIANS('13_시나리오비교'!$B$13))*COS(RADIANS('13_시나리오비교'!$C$13))+$I57*COS(RADIANS('13_시나리오비교'!$B$13))),0)</f>
        <v/>
      </c>
      <c r="Y57" s="80">
        <f>IF($I57&gt;0,MAX(0,$G57*SIN(RADIANS('13_시나리오비교'!$B$14))*SIN(RADIANS('13_시나리오비교'!$C$14))+$H57*SIN(RADIANS('13_시나리오비교'!$B$14))*COS(RADIANS('13_시나리오비교'!$C$14))+$I57*COS(RADIANS('13_시나리오비교'!$B$14))),0)</f>
        <v/>
      </c>
    </row>
    <row r="58" hidden="1" outlineLevel="1">
      <c r="A58" s="79" t="n">
        <v>1</v>
      </c>
      <c r="B58" s="79" t="n">
        <v>38</v>
      </c>
      <c r="C58" s="80">
        <f>(B58-0.5)*'14_지역·상수'!$H$6</f>
        <v/>
      </c>
      <c r="D58" s="79" t="n">
        <v>17</v>
      </c>
      <c r="E58" s="80">
        <f>INDEX($C$4:$C$15,MATCH(A58,$A$4:$A$15,0))</f>
        <v/>
      </c>
      <c r="F58" s="80">
        <f>15*(C58-12)</f>
        <v/>
      </c>
      <c r="G58" s="80">
        <f>-COS(RADIANS(E58))*SIN(RADIANS(F58))</f>
        <v/>
      </c>
      <c r="H58" s="80">
        <f>COS(RADIANS('11_발전량_모델'!$B$17))*SIN(RADIANS(E58))-SIN(RADIANS('11_발전량_모델'!$B$17))*COS(RADIANS(E58))*COS(RADIANS(F58))</f>
        <v/>
      </c>
      <c r="I58" s="80">
        <f>SIN(RADIANS('11_발전량_모델'!$B$17))*SIN(RADIANS(E58))+COS(RADIANS('11_발전량_모델'!$B$17))*COS(RADIANS(E58))*COS(RADIANS(F58))</f>
        <v/>
      </c>
      <c r="J58" s="80">
        <f>SIN(RADIANS('11_발전량_모델'!$B$7))*SIN(RADIANS('11_발전량_모델'!$B$8))</f>
        <v/>
      </c>
      <c r="K58" s="80">
        <f>SIN(RADIANS('11_발전량_모델'!$B$7))*COS(RADIANS('11_발전량_모델'!$B$8))</f>
        <v/>
      </c>
      <c r="L58" s="80">
        <f>COS(RADIANS('11_발전량_모델'!$B$7))</f>
        <v/>
      </c>
      <c r="M58" s="80">
        <f>G58*J58+H58*K58+I58*L58</f>
        <v/>
      </c>
      <c r="N58" s="80">
        <f>MAX(0,I58)</f>
        <v/>
      </c>
      <c r="O58" s="80">
        <f>IF(I58&gt;0,MAX(0,M58),0)</f>
        <v/>
      </c>
      <c r="P58" s="80">
        <f>IF($I58&gt;0,MAX(0,$G58*SIN(RADIANS('13_시나리오비교'!$B$5))*SIN(RADIANS('13_시나리오비교'!$C$5))+$H58*SIN(RADIANS('13_시나리오비교'!$B$5))*COS(RADIANS('13_시나리오비교'!$C$5))+$I58*COS(RADIANS('13_시나리오비교'!$B$5))),0)</f>
        <v/>
      </c>
      <c r="Q58" s="80">
        <f>IF($I58&gt;0,MAX(0,$G58*SIN(RADIANS('13_시나리오비교'!$B$6))*SIN(RADIANS('13_시나리오비교'!$C$6))+$H58*SIN(RADIANS('13_시나리오비교'!$B$6))*COS(RADIANS('13_시나리오비교'!$C$6))+$I58*COS(RADIANS('13_시나리오비교'!$B$6))),0)</f>
        <v/>
      </c>
      <c r="R58" s="80">
        <f>IF($I58&gt;0,MAX(0,$G58*SIN(RADIANS('13_시나리오비교'!$B$7))*SIN(RADIANS('13_시나리오비교'!$C$7))+$H58*SIN(RADIANS('13_시나리오비교'!$B$7))*COS(RADIANS('13_시나리오비교'!$C$7))+$I58*COS(RADIANS('13_시나리오비교'!$B$7))),0)</f>
        <v/>
      </c>
      <c r="S58" s="80">
        <f>IF($I58&gt;0,MAX(0,$G58*SIN(RADIANS('13_시나리오비교'!$B$8))*SIN(RADIANS('13_시나리오비교'!$C$8))+$H58*SIN(RADIANS('13_시나리오비교'!$B$8))*COS(RADIANS('13_시나리오비교'!$C$8))+$I58*COS(RADIANS('13_시나리오비교'!$B$8))),0)</f>
        <v/>
      </c>
      <c r="T58" s="80">
        <f>IF($I58&gt;0,MAX(0,$G58*SIN(RADIANS('13_시나리오비교'!$B$9))*SIN(RADIANS('13_시나리오비교'!$C$9))+$H58*SIN(RADIANS('13_시나리오비교'!$B$9))*COS(RADIANS('13_시나리오비교'!$C$9))+$I58*COS(RADIANS('13_시나리오비교'!$B$9))),0)</f>
        <v/>
      </c>
      <c r="U58" s="80">
        <f>IF($I58&gt;0,MAX(0,$G58*SIN(RADIANS('13_시나리오비교'!$B$10))*SIN(RADIANS('13_시나리오비교'!$C$10))+$H58*SIN(RADIANS('13_시나리오비교'!$B$10))*COS(RADIANS('13_시나리오비교'!$C$10))+$I58*COS(RADIANS('13_시나리오비교'!$B$10))),0)</f>
        <v/>
      </c>
      <c r="V58" s="80">
        <f>IF($I58&gt;0,MAX(0,$G58*SIN(RADIANS('13_시나리오비교'!$B$11))*SIN(RADIANS('13_시나리오비교'!$C$11))+$H58*SIN(RADIANS('13_시나리오비교'!$B$11))*COS(RADIANS('13_시나리오비교'!$C$11))+$I58*COS(RADIANS('13_시나리오비교'!$B$11))),0)</f>
        <v/>
      </c>
      <c r="W58" s="80">
        <f>IF($I58&gt;0,MAX(0,$G58*SIN(RADIANS('13_시나리오비교'!$B$12))*SIN(RADIANS('13_시나리오비교'!$C$12))+$H58*SIN(RADIANS('13_시나리오비교'!$B$12))*COS(RADIANS('13_시나리오비교'!$C$12))+$I58*COS(RADIANS('13_시나리오비교'!$B$12))),0)</f>
        <v/>
      </c>
      <c r="X58" s="80">
        <f>IF($I58&gt;0,MAX(0,$G58*SIN(RADIANS('13_시나리오비교'!$B$13))*SIN(RADIANS('13_시나리오비교'!$C$13))+$H58*SIN(RADIANS('13_시나리오비교'!$B$13))*COS(RADIANS('13_시나리오비교'!$C$13))+$I58*COS(RADIANS('13_시나리오비교'!$B$13))),0)</f>
        <v/>
      </c>
      <c r="Y58" s="80">
        <f>IF($I58&gt;0,MAX(0,$G58*SIN(RADIANS('13_시나리오비교'!$B$14))*SIN(RADIANS('13_시나리오비교'!$C$14))+$H58*SIN(RADIANS('13_시나리오비교'!$B$14))*COS(RADIANS('13_시나리오비교'!$C$14))+$I58*COS(RADIANS('13_시나리오비교'!$B$14))),0)</f>
        <v/>
      </c>
    </row>
    <row r="59" hidden="1" outlineLevel="1">
      <c r="A59" s="79" t="n">
        <v>1</v>
      </c>
      <c r="B59" s="79" t="n">
        <v>39</v>
      </c>
      <c r="C59" s="80">
        <f>(B59-0.5)*'14_지역·상수'!$H$6</f>
        <v/>
      </c>
      <c r="D59" s="79" t="n">
        <v>17</v>
      </c>
      <c r="E59" s="80">
        <f>INDEX($C$4:$C$15,MATCH(A59,$A$4:$A$15,0))</f>
        <v/>
      </c>
      <c r="F59" s="80">
        <f>15*(C59-12)</f>
        <v/>
      </c>
      <c r="G59" s="80">
        <f>-COS(RADIANS(E59))*SIN(RADIANS(F59))</f>
        <v/>
      </c>
      <c r="H59" s="80">
        <f>COS(RADIANS('11_발전량_모델'!$B$17))*SIN(RADIANS(E59))-SIN(RADIANS('11_발전량_모델'!$B$17))*COS(RADIANS(E59))*COS(RADIANS(F59))</f>
        <v/>
      </c>
      <c r="I59" s="80">
        <f>SIN(RADIANS('11_발전량_모델'!$B$17))*SIN(RADIANS(E59))+COS(RADIANS('11_발전량_모델'!$B$17))*COS(RADIANS(E59))*COS(RADIANS(F59))</f>
        <v/>
      </c>
      <c r="J59" s="80">
        <f>SIN(RADIANS('11_발전량_모델'!$B$7))*SIN(RADIANS('11_발전량_모델'!$B$8))</f>
        <v/>
      </c>
      <c r="K59" s="80">
        <f>SIN(RADIANS('11_발전량_모델'!$B$7))*COS(RADIANS('11_발전량_모델'!$B$8))</f>
        <v/>
      </c>
      <c r="L59" s="80">
        <f>COS(RADIANS('11_발전량_모델'!$B$7))</f>
        <v/>
      </c>
      <c r="M59" s="80">
        <f>G59*J59+H59*K59+I59*L59</f>
        <v/>
      </c>
      <c r="N59" s="80">
        <f>MAX(0,I59)</f>
        <v/>
      </c>
      <c r="O59" s="80">
        <f>IF(I59&gt;0,MAX(0,M59),0)</f>
        <v/>
      </c>
      <c r="P59" s="80">
        <f>IF($I59&gt;0,MAX(0,$G59*SIN(RADIANS('13_시나리오비교'!$B$5))*SIN(RADIANS('13_시나리오비교'!$C$5))+$H59*SIN(RADIANS('13_시나리오비교'!$B$5))*COS(RADIANS('13_시나리오비교'!$C$5))+$I59*COS(RADIANS('13_시나리오비교'!$B$5))),0)</f>
        <v/>
      </c>
      <c r="Q59" s="80">
        <f>IF($I59&gt;0,MAX(0,$G59*SIN(RADIANS('13_시나리오비교'!$B$6))*SIN(RADIANS('13_시나리오비교'!$C$6))+$H59*SIN(RADIANS('13_시나리오비교'!$B$6))*COS(RADIANS('13_시나리오비교'!$C$6))+$I59*COS(RADIANS('13_시나리오비교'!$B$6))),0)</f>
        <v/>
      </c>
      <c r="R59" s="80">
        <f>IF($I59&gt;0,MAX(0,$G59*SIN(RADIANS('13_시나리오비교'!$B$7))*SIN(RADIANS('13_시나리오비교'!$C$7))+$H59*SIN(RADIANS('13_시나리오비교'!$B$7))*COS(RADIANS('13_시나리오비교'!$C$7))+$I59*COS(RADIANS('13_시나리오비교'!$B$7))),0)</f>
        <v/>
      </c>
      <c r="S59" s="80">
        <f>IF($I59&gt;0,MAX(0,$G59*SIN(RADIANS('13_시나리오비교'!$B$8))*SIN(RADIANS('13_시나리오비교'!$C$8))+$H59*SIN(RADIANS('13_시나리오비교'!$B$8))*COS(RADIANS('13_시나리오비교'!$C$8))+$I59*COS(RADIANS('13_시나리오비교'!$B$8))),0)</f>
        <v/>
      </c>
      <c r="T59" s="80">
        <f>IF($I59&gt;0,MAX(0,$G59*SIN(RADIANS('13_시나리오비교'!$B$9))*SIN(RADIANS('13_시나리오비교'!$C$9))+$H59*SIN(RADIANS('13_시나리오비교'!$B$9))*COS(RADIANS('13_시나리오비교'!$C$9))+$I59*COS(RADIANS('13_시나리오비교'!$B$9))),0)</f>
        <v/>
      </c>
      <c r="U59" s="80">
        <f>IF($I59&gt;0,MAX(0,$G59*SIN(RADIANS('13_시나리오비교'!$B$10))*SIN(RADIANS('13_시나리오비교'!$C$10))+$H59*SIN(RADIANS('13_시나리오비교'!$B$10))*COS(RADIANS('13_시나리오비교'!$C$10))+$I59*COS(RADIANS('13_시나리오비교'!$B$10))),0)</f>
        <v/>
      </c>
      <c r="V59" s="80">
        <f>IF($I59&gt;0,MAX(0,$G59*SIN(RADIANS('13_시나리오비교'!$B$11))*SIN(RADIANS('13_시나리오비교'!$C$11))+$H59*SIN(RADIANS('13_시나리오비교'!$B$11))*COS(RADIANS('13_시나리오비교'!$C$11))+$I59*COS(RADIANS('13_시나리오비교'!$B$11))),0)</f>
        <v/>
      </c>
      <c r="W59" s="80">
        <f>IF($I59&gt;0,MAX(0,$G59*SIN(RADIANS('13_시나리오비교'!$B$12))*SIN(RADIANS('13_시나리오비교'!$C$12))+$H59*SIN(RADIANS('13_시나리오비교'!$B$12))*COS(RADIANS('13_시나리오비교'!$C$12))+$I59*COS(RADIANS('13_시나리오비교'!$B$12))),0)</f>
        <v/>
      </c>
      <c r="X59" s="80">
        <f>IF($I59&gt;0,MAX(0,$G59*SIN(RADIANS('13_시나리오비교'!$B$13))*SIN(RADIANS('13_시나리오비교'!$C$13))+$H59*SIN(RADIANS('13_시나리오비교'!$B$13))*COS(RADIANS('13_시나리오비교'!$C$13))+$I59*COS(RADIANS('13_시나리오비교'!$B$13))),0)</f>
        <v/>
      </c>
      <c r="Y59" s="80">
        <f>IF($I59&gt;0,MAX(0,$G59*SIN(RADIANS('13_시나리오비교'!$B$14))*SIN(RADIANS('13_시나리오비교'!$C$14))+$H59*SIN(RADIANS('13_시나리오비교'!$B$14))*COS(RADIANS('13_시나리오비교'!$C$14))+$I59*COS(RADIANS('13_시나리오비교'!$B$14))),0)</f>
        <v/>
      </c>
    </row>
    <row r="60" hidden="1" outlineLevel="1">
      <c r="A60" s="79" t="n">
        <v>1</v>
      </c>
      <c r="B60" s="79" t="n">
        <v>40</v>
      </c>
      <c r="C60" s="80">
        <f>(B60-0.5)*'14_지역·상수'!$H$6</f>
        <v/>
      </c>
      <c r="D60" s="79" t="n">
        <v>17</v>
      </c>
      <c r="E60" s="80">
        <f>INDEX($C$4:$C$15,MATCH(A60,$A$4:$A$15,0))</f>
        <v/>
      </c>
      <c r="F60" s="80">
        <f>15*(C60-12)</f>
        <v/>
      </c>
      <c r="G60" s="80">
        <f>-COS(RADIANS(E60))*SIN(RADIANS(F60))</f>
        <v/>
      </c>
      <c r="H60" s="80">
        <f>COS(RADIANS('11_발전량_모델'!$B$17))*SIN(RADIANS(E60))-SIN(RADIANS('11_발전량_모델'!$B$17))*COS(RADIANS(E60))*COS(RADIANS(F60))</f>
        <v/>
      </c>
      <c r="I60" s="80">
        <f>SIN(RADIANS('11_발전량_모델'!$B$17))*SIN(RADIANS(E60))+COS(RADIANS('11_발전량_모델'!$B$17))*COS(RADIANS(E60))*COS(RADIANS(F60))</f>
        <v/>
      </c>
      <c r="J60" s="80">
        <f>SIN(RADIANS('11_발전량_모델'!$B$7))*SIN(RADIANS('11_발전량_모델'!$B$8))</f>
        <v/>
      </c>
      <c r="K60" s="80">
        <f>SIN(RADIANS('11_발전량_모델'!$B$7))*COS(RADIANS('11_발전량_모델'!$B$8))</f>
        <v/>
      </c>
      <c r="L60" s="80">
        <f>COS(RADIANS('11_발전량_모델'!$B$7))</f>
        <v/>
      </c>
      <c r="M60" s="80">
        <f>G60*J60+H60*K60+I60*L60</f>
        <v/>
      </c>
      <c r="N60" s="80">
        <f>MAX(0,I60)</f>
        <v/>
      </c>
      <c r="O60" s="80">
        <f>IF(I60&gt;0,MAX(0,M60),0)</f>
        <v/>
      </c>
      <c r="P60" s="80">
        <f>IF($I60&gt;0,MAX(0,$G60*SIN(RADIANS('13_시나리오비교'!$B$5))*SIN(RADIANS('13_시나리오비교'!$C$5))+$H60*SIN(RADIANS('13_시나리오비교'!$B$5))*COS(RADIANS('13_시나리오비교'!$C$5))+$I60*COS(RADIANS('13_시나리오비교'!$B$5))),0)</f>
        <v/>
      </c>
      <c r="Q60" s="80">
        <f>IF($I60&gt;0,MAX(0,$G60*SIN(RADIANS('13_시나리오비교'!$B$6))*SIN(RADIANS('13_시나리오비교'!$C$6))+$H60*SIN(RADIANS('13_시나리오비교'!$B$6))*COS(RADIANS('13_시나리오비교'!$C$6))+$I60*COS(RADIANS('13_시나리오비교'!$B$6))),0)</f>
        <v/>
      </c>
      <c r="R60" s="80">
        <f>IF($I60&gt;0,MAX(0,$G60*SIN(RADIANS('13_시나리오비교'!$B$7))*SIN(RADIANS('13_시나리오비교'!$C$7))+$H60*SIN(RADIANS('13_시나리오비교'!$B$7))*COS(RADIANS('13_시나리오비교'!$C$7))+$I60*COS(RADIANS('13_시나리오비교'!$B$7))),0)</f>
        <v/>
      </c>
      <c r="S60" s="80">
        <f>IF($I60&gt;0,MAX(0,$G60*SIN(RADIANS('13_시나리오비교'!$B$8))*SIN(RADIANS('13_시나리오비교'!$C$8))+$H60*SIN(RADIANS('13_시나리오비교'!$B$8))*COS(RADIANS('13_시나리오비교'!$C$8))+$I60*COS(RADIANS('13_시나리오비교'!$B$8))),0)</f>
        <v/>
      </c>
      <c r="T60" s="80">
        <f>IF($I60&gt;0,MAX(0,$G60*SIN(RADIANS('13_시나리오비교'!$B$9))*SIN(RADIANS('13_시나리오비교'!$C$9))+$H60*SIN(RADIANS('13_시나리오비교'!$B$9))*COS(RADIANS('13_시나리오비교'!$C$9))+$I60*COS(RADIANS('13_시나리오비교'!$B$9))),0)</f>
        <v/>
      </c>
      <c r="U60" s="80">
        <f>IF($I60&gt;0,MAX(0,$G60*SIN(RADIANS('13_시나리오비교'!$B$10))*SIN(RADIANS('13_시나리오비교'!$C$10))+$H60*SIN(RADIANS('13_시나리오비교'!$B$10))*COS(RADIANS('13_시나리오비교'!$C$10))+$I60*COS(RADIANS('13_시나리오비교'!$B$10))),0)</f>
        <v/>
      </c>
      <c r="V60" s="80">
        <f>IF($I60&gt;0,MAX(0,$G60*SIN(RADIANS('13_시나리오비교'!$B$11))*SIN(RADIANS('13_시나리오비교'!$C$11))+$H60*SIN(RADIANS('13_시나리오비교'!$B$11))*COS(RADIANS('13_시나리오비교'!$C$11))+$I60*COS(RADIANS('13_시나리오비교'!$B$11))),0)</f>
        <v/>
      </c>
      <c r="W60" s="80">
        <f>IF($I60&gt;0,MAX(0,$G60*SIN(RADIANS('13_시나리오비교'!$B$12))*SIN(RADIANS('13_시나리오비교'!$C$12))+$H60*SIN(RADIANS('13_시나리오비교'!$B$12))*COS(RADIANS('13_시나리오비교'!$C$12))+$I60*COS(RADIANS('13_시나리오비교'!$B$12))),0)</f>
        <v/>
      </c>
      <c r="X60" s="80">
        <f>IF($I60&gt;0,MAX(0,$G60*SIN(RADIANS('13_시나리오비교'!$B$13))*SIN(RADIANS('13_시나리오비교'!$C$13))+$H60*SIN(RADIANS('13_시나리오비교'!$B$13))*COS(RADIANS('13_시나리오비교'!$C$13))+$I60*COS(RADIANS('13_시나리오비교'!$B$13))),0)</f>
        <v/>
      </c>
      <c r="Y60" s="80">
        <f>IF($I60&gt;0,MAX(0,$G60*SIN(RADIANS('13_시나리오비교'!$B$14))*SIN(RADIANS('13_시나리오비교'!$C$14))+$H60*SIN(RADIANS('13_시나리오비교'!$B$14))*COS(RADIANS('13_시나리오비교'!$C$14))+$I60*COS(RADIANS('13_시나리오비교'!$B$14))),0)</f>
        <v/>
      </c>
    </row>
    <row r="61" hidden="1" outlineLevel="1">
      <c r="A61" s="79" t="n">
        <v>1</v>
      </c>
      <c r="B61" s="79" t="n">
        <v>41</v>
      </c>
      <c r="C61" s="80">
        <f>(B61-0.5)*'14_지역·상수'!$H$6</f>
        <v/>
      </c>
      <c r="D61" s="79" t="n">
        <v>17</v>
      </c>
      <c r="E61" s="80">
        <f>INDEX($C$4:$C$15,MATCH(A61,$A$4:$A$15,0))</f>
        <v/>
      </c>
      <c r="F61" s="80">
        <f>15*(C61-12)</f>
        <v/>
      </c>
      <c r="G61" s="80">
        <f>-COS(RADIANS(E61))*SIN(RADIANS(F61))</f>
        <v/>
      </c>
      <c r="H61" s="80">
        <f>COS(RADIANS('11_발전량_모델'!$B$17))*SIN(RADIANS(E61))-SIN(RADIANS('11_발전량_모델'!$B$17))*COS(RADIANS(E61))*COS(RADIANS(F61))</f>
        <v/>
      </c>
      <c r="I61" s="80">
        <f>SIN(RADIANS('11_발전량_모델'!$B$17))*SIN(RADIANS(E61))+COS(RADIANS('11_발전량_모델'!$B$17))*COS(RADIANS(E61))*COS(RADIANS(F61))</f>
        <v/>
      </c>
      <c r="J61" s="80">
        <f>SIN(RADIANS('11_발전량_모델'!$B$7))*SIN(RADIANS('11_발전량_모델'!$B$8))</f>
        <v/>
      </c>
      <c r="K61" s="80">
        <f>SIN(RADIANS('11_발전량_모델'!$B$7))*COS(RADIANS('11_발전량_모델'!$B$8))</f>
        <v/>
      </c>
      <c r="L61" s="80">
        <f>COS(RADIANS('11_발전량_모델'!$B$7))</f>
        <v/>
      </c>
      <c r="M61" s="80">
        <f>G61*J61+H61*K61+I61*L61</f>
        <v/>
      </c>
      <c r="N61" s="80">
        <f>MAX(0,I61)</f>
        <v/>
      </c>
      <c r="O61" s="80">
        <f>IF(I61&gt;0,MAX(0,M61),0)</f>
        <v/>
      </c>
      <c r="P61" s="80">
        <f>IF($I61&gt;0,MAX(0,$G61*SIN(RADIANS('13_시나리오비교'!$B$5))*SIN(RADIANS('13_시나리오비교'!$C$5))+$H61*SIN(RADIANS('13_시나리오비교'!$B$5))*COS(RADIANS('13_시나리오비교'!$C$5))+$I61*COS(RADIANS('13_시나리오비교'!$B$5))),0)</f>
        <v/>
      </c>
      <c r="Q61" s="80">
        <f>IF($I61&gt;0,MAX(0,$G61*SIN(RADIANS('13_시나리오비교'!$B$6))*SIN(RADIANS('13_시나리오비교'!$C$6))+$H61*SIN(RADIANS('13_시나리오비교'!$B$6))*COS(RADIANS('13_시나리오비교'!$C$6))+$I61*COS(RADIANS('13_시나리오비교'!$B$6))),0)</f>
        <v/>
      </c>
      <c r="R61" s="80">
        <f>IF($I61&gt;0,MAX(0,$G61*SIN(RADIANS('13_시나리오비교'!$B$7))*SIN(RADIANS('13_시나리오비교'!$C$7))+$H61*SIN(RADIANS('13_시나리오비교'!$B$7))*COS(RADIANS('13_시나리오비교'!$C$7))+$I61*COS(RADIANS('13_시나리오비교'!$B$7))),0)</f>
        <v/>
      </c>
      <c r="S61" s="80">
        <f>IF($I61&gt;0,MAX(0,$G61*SIN(RADIANS('13_시나리오비교'!$B$8))*SIN(RADIANS('13_시나리오비교'!$C$8))+$H61*SIN(RADIANS('13_시나리오비교'!$B$8))*COS(RADIANS('13_시나리오비교'!$C$8))+$I61*COS(RADIANS('13_시나리오비교'!$B$8))),0)</f>
        <v/>
      </c>
      <c r="T61" s="80">
        <f>IF($I61&gt;0,MAX(0,$G61*SIN(RADIANS('13_시나리오비교'!$B$9))*SIN(RADIANS('13_시나리오비교'!$C$9))+$H61*SIN(RADIANS('13_시나리오비교'!$B$9))*COS(RADIANS('13_시나리오비교'!$C$9))+$I61*COS(RADIANS('13_시나리오비교'!$B$9))),0)</f>
        <v/>
      </c>
      <c r="U61" s="80">
        <f>IF($I61&gt;0,MAX(0,$G61*SIN(RADIANS('13_시나리오비교'!$B$10))*SIN(RADIANS('13_시나리오비교'!$C$10))+$H61*SIN(RADIANS('13_시나리오비교'!$B$10))*COS(RADIANS('13_시나리오비교'!$C$10))+$I61*COS(RADIANS('13_시나리오비교'!$B$10))),0)</f>
        <v/>
      </c>
      <c r="V61" s="80">
        <f>IF($I61&gt;0,MAX(0,$G61*SIN(RADIANS('13_시나리오비교'!$B$11))*SIN(RADIANS('13_시나리오비교'!$C$11))+$H61*SIN(RADIANS('13_시나리오비교'!$B$11))*COS(RADIANS('13_시나리오비교'!$C$11))+$I61*COS(RADIANS('13_시나리오비교'!$B$11))),0)</f>
        <v/>
      </c>
      <c r="W61" s="80">
        <f>IF($I61&gt;0,MAX(0,$G61*SIN(RADIANS('13_시나리오비교'!$B$12))*SIN(RADIANS('13_시나리오비교'!$C$12))+$H61*SIN(RADIANS('13_시나리오비교'!$B$12))*COS(RADIANS('13_시나리오비교'!$C$12))+$I61*COS(RADIANS('13_시나리오비교'!$B$12))),0)</f>
        <v/>
      </c>
      <c r="X61" s="80">
        <f>IF($I61&gt;0,MAX(0,$G61*SIN(RADIANS('13_시나리오비교'!$B$13))*SIN(RADIANS('13_시나리오비교'!$C$13))+$H61*SIN(RADIANS('13_시나리오비교'!$B$13))*COS(RADIANS('13_시나리오비교'!$C$13))+$I61*COS(RADIANS('13_시나리오비교'!$B$13))),0)</f>
        <v/>
      </c>
      <c r="Y61" s="80">
        <f>IF($I61&gt;0,MAX(0,$G61*SIN(RADIANS('13_시나리오비교'!$B$14))*SIN(RADIANS('13_시나리오비교'!$C$14))+$H61*SIN(RADIANS('13_시나리오비교'!$B$14))*COS(RADIANS('13_시나리오비교'!$C$14))+$I61*COS(RADIANS('13_시나리오비교'!$B$14))),0)</f>
        <v/>
      </c>
    </row>
    <row r="62" hidden="1" outlineLevel="1">
      <c r="A62" s="79" t="n">
        <v>1</v>
      </c>
      <c r="B62" s="79" t="n">
        <v>42</v>
      </c>
      <c r="C62" s="80">
        <f>(B62-0.5)*'14_지역·상수'!$H$6</f>
        <v/>
      </c>
      <c r="D62" s="79" t="n">
        <v>17</v>
      </c>
      <c r="E62" s="80">
        <f>INDEX($C$4:$C$15,MATCH(A62,$A$4:$A$15,0))</f>
        <v/>
      </c>
      <c r="F62" s="80">
        <f>15*(C62-12)</f>
        <v/>
      </c>
      <c r="G62" s="80">
        <f>-COS(RADIANS(E62))*SIN(RADIANS(F62))</f>
        <v/>
      </c>
      <c r="H62" s="80">
        <f>COS(RADIANS('11_발전량_모델'!$B$17))*SIN(RADIANS(E62))-SIN(RADIANS('11_발전량_모델'!$B$17))*COS(RADIANS(E62))*COS(RADIANS(F62))</f>
        <v/>
      </c>
      <c r="I62" s="80">
        <f>SIN(RADIANS('11_발전량_모델'!$B$17))*SIN(RADIANS(E62))+COS(RADIANS('11_발전량_모델'!$B$17))*COS(RADIANS(E62))*COS(RADIANS(F62))</f>
        <v/>
      </c>
      <c r="J62" s="80">
        <f>SIN(RADIANS('11_발전량_모델'!$B$7))*SIN(RADIANS('11_발전량_모델'!$B$8))</f>
        <v/>
      </c>
      <c r="K62" s="80">
        <f>SIN(RADIANS('11_발전량_모델'!$B$7))*COS(RADIANS('11_발전량_모델'!$B$8))</f>
        <v/>
      </c>
      <c r="L62" s="80">
        <f>COS(RADIANS('11_발전량_모델'!$B$7))</f>
        <v/>
      </c>
      <c r="M62" s="80">
        <f>G62*J62+H62*K62+I62*L62</f>
        <v/>
      </c>
      <c r="N62" s="80">
        <f>MAX(0,I62)</f>
        <v/>
      </c>
      <c r="O62" s="80">
        <f>IF(I62&gt;0,MAX(0,M62),0)</f>
        <v/>
      </c>
      <c r="P62" s="80">
        <f>IF($I62&gt;0,MAX(0,$G62*SIN(RADIANS('13_시나리오비교'!$B$5))*SIN(RADIANS('13_시나리오비교'!$C$5))+$H62*SIN(RADIANS('13_시나리오비교'!$B$5))*COS(RADIANS('13_시나리오비교'!$C$5))+$I62*COS(RADIANS('13_시나리오비교'!$B$5))),0)</f>
        <v/>
      </c>
      <c r="Q62" s="80">
        <f>IF($I62&gt;0,MAX(0,$G62*SIN(RADIANS('13_시나리오비교'!$B$6))*SIN(RADIANS('13_시나리오비교'!$C$6))+$H62*SIN(RADIANS('13_시나리오비교'!$B$6))*COS(RADIANS('13_시나리오비교'!$C$6))+$I62*COS(RADIANS('13_시나리오비교'!$B$6))),0)</f>
        <v/>
      </c>
      <c r="R62" s="80">
        <f>IF($I62&gt;0,MAX(0,$G62*SIN(RADIANS('13_시나리오비교'!$B$7))*SIN(RADIANS('13_시나리오비교'!$C$7))+$H62*SIN(RADIANS('13_시나리오비교'!$B$7))*COS(RADIANS('13_시나리오비교'!$C$7))+$I62*COS(RADIANS('13_시나리오비교'!$B$7))),0)</f>
        <v/>
      </c>
      <c r="S62" s="80">
        <f>IF($I62&gt;0,MAX(0,$G62*SIN(RADIANS('13_시나리오비교'!$B$8))*SIN(RADIANS('13_시나리오비교'!$C$8))+$H62*SIN(RADIANS('13_시나리오비교'!$B$8))*COS(RADIANS('13_시나리오비교'!$C$8))+$I62*COS(RADIANS('13_시나리오비교'!$B$8))),0)</f>
        <v/>
      </c>
      <c r="T62" s="80">
        <f>IF($I62&gt;0,MAX(0,$G62*SIN(RADIANS('13_시나리오비교'!$B$9))*SIN(RADIANS('13_시나리오비교'!$C$9))+$H62*SIN(RADIANS('13_시나리오비교'!$B$9))*COS(RADIANS('13_시나리오비교'!$C$9))+$I62*COS(RADIANS('13_시나리오비교'!$B$9))),0)</f>
        <v/>
      </c>
      <c r="U62" s="80">
        <f>IF($I62&gt;0,MAX(0,$G62*SIN(RADIANS('13_시나리오비교'!$B$10))*SIN(RADIANS('13_시나리오비교'!$C$10))+$H62*SIN(RADIANS('13_시나리오비교'!$B$10))*COS(RADIANS('13_시나리오비교'!$C$10))+$I62*COS(RADIANS('13_시나리오비교'!$B$10))),0)</f>
        <v/>
      </c>
      <c r="V62" s="80">
        <f>IF($I62&gt;0,MAX(0,$G62*SIN(RADIANS('13_시나리오비교'!$B$11))*SIN(RADIANS('13_시나리오비교'!$C$11))+$H62*SIN(RADIANS('13_시나리오비교'!$B$11))*COS(RADIANS('13_시나리오비교'!$C$11))+$I62*COS(RADIANS('13_시나리오비교'!$B$11))),0)</f>
        <v/>
      </c>
      <c r="W62" s="80">
        <f>IF($I62&gt;0,MAX(0,$G62*SIN(RADIANS('13_시나리오비교'!$B$12))*SIN(RADIANS('13_시나리오비교'!$C$12))+$H62*SIN(RADIANS('13_시나리오비교'!$B$12))*COS(RADIANS('13_시나리오비교'!$C$12))+$I62*COS(RADIANS('13_시나리오비교'!$B$12))),0)</f>
        <v/>
      </c>
      <c r="X62" s="80">
        <f>IF($I62&gt;0,MAX(0,$G62*SIN(RADIANS('13_시나리오비교'!$B$13))*SIN(RADIANS('13_시나리오비교'!$C$13))+$H62*SIN(RADIANS('13_시나리오비교'!$B$13))*COS(RADIANS('13_시나리오비교'!$C$13))+$I62*COS(RADIANS('13_시나리오비교'!$B$13))),0)</f>
        <v/>
      </c>
      <c r="Y62" s="80">
        <f>IF($I62&gt;0,MAX(0,$G62*SIN(RADIANS('13_시나리오비교'!$B$14))*SIN(RADIANS('13_시나리오비교'!$C$14))+$H62*SIN(RADIANS('13_시나리오비교'!$B$14))*COS(RADIANS('13_시나리오비교'!$C$14))+$I62*COS(RADIANS('13_시나리오비교'!$B$14))),0)</f>
        <v/>
      </c>
    </row>
    <row r="63" hidden="1" outlineLevel="1">
      <c r="A63" s="79" t="n">
        <v>1</v>
      </c>
      <c r="B63" s="79" t="n">
        <v>43</v>
      </c>
      <c r="C63" s="80">
        <f>(B63-0.5)*'14_지역·상수'!$H$6</f>
        <v/>
      </c>
      <c r="D63" s="79" t="n">
        <v>17</v>
      </c>
      <c r="E63" s="80">
        <f>INDEX($C$4:$C$15,MATCH(A63,$A$4:$A$15,0))</f>
        <v/>
      </c>
      <c r="F63" s="80">
        <f>15*(C63-12)</f>
        <v/>
      </c>
      <c r="G63" s="80">
        <f>-COS(RADIANS(E63))*SIN(RADIANS(F63))</f>
        <v/>
      </c>
      <c r="H63" s="80">
        <f>COS(RADIANS('11_발전량_모델'!$B$17))*SIN(RADIANS(E63))-SIN(RADIANS('11_발전량_모델'!$B$17))*COS(RADIANS(E63))*COS(RADIANS(F63))</f>
        <v/>
      </c>
      <c r="I63" s="80">
        <f>SIN(RADIANS('11_발전량_모델'!$B$17))*SIN(RADIANS(E63))+COS(RADIANS('11_발전량_모델'!$B$17))*COS(RADIANS(E63))*COS(RADIANS(F63))</f>
        <v/>
      </c>
      <c r="J63" s="80">
        <f>SIN(RADIANS('11_발전량_모델'!$B$7))*SIN(RADIANS('11_발전량_모델'!$B$8))</f>
        <v/>
      </c>
      <c r="K63" s="80">
        <f>SIN(RADIANS('11_발전량_모델'!$B$7))*COS(RADIANS('11_발전량_모델'!$B$8))</f>
        <v/>
      </c>
      <c r="L63" s="80">
        <f>COS(RADIANS('11_발전량_모델'!$B$7))</f>
        <v/>
      </c>
      <c r="M63" s="80">
        <f>G63*J63+H63*K63+I63*L63</f>
        <v/>
      </c>
      <c r="N63" s="80">
        <f>MAX(0,I63)</f>
        <v/>
      </c>
      <c r="O63" s="80">
        <f>IF(I63&gt;0,MAX(0,M63),0)</f>
        <v/>
      </c>
      <c r="P63" s="80">
        <f>IF($I63&gt;0,MAX(0,$G63*SIN(RADIANS('13_시나리오비교'!$B$5))*SIN(RADIANS('13_시나리오비교'!$C$5))+$H63*SIN(RADIANS('13_시나리오비교'!$B$5))*COS(RADIANS('13_시나리오비교'!$C$5))+$I63*COS(RADIANS('13_시나리오비교'!$B$5))),0)</f>
        <v/>
      </c>
      <c r="Q63" s="80">
        <f>IF($I63&gt;0,MAX(0,$G63*SIN(RADIANS('13_시나리오비교'!$B$6))*SIN(RADIANS('13_시나리오비교'!$C$6))+$H63*SIN(RADIANS('13_시나리오비교'!$B$6))*COS(RADIANS('13_시나리오비교'!$C$6))+$I63*COS(RADIANS('13_시나리오비교'!$B$6))),0)</f>
        <v/>
      </c>
      <c r="R63" s="80">
        <f>IF($I63&gt;0,MAX(0,$G63*SIN(RADIANS('13_시나리오비교'!$B$7))*SIN(RADIANS('13_시나리오비교'!$C$7))+$H63*SIN(RADIANS('13_시나리오비교'!$B$7))*COS(RADIANS('13_시나리오비교'!$C$7))+$I63*COS(RADIANS('13_시나리오비교'!$B$7))),0)</f>
        <v/>
      </c>
      <c r="S63" s="80">
        <f>IF($I63&gt;0,MAX(0,$G63*SIN(RADIANS('13_시나리오비교'!$B$8))*SIN(RADIANS('13_시나리오비교'!$C$8))+$H63*SIN(RADIANS('13_시나리오비교'!$B$8))*COS(RADIANS('13_시나리오비교'!$C$8))+$I63*COS(RADIANS('13_시나리오비교'!$B$8))),0)</f>
        <v/>
      </c>
      <c r="T63" s="80">
        <f>IF($I63&gt;0,MAX(0,$G63*SIN(RADIANS('13_시나리오비교'!$B$9))*SIN(RADIANS('13_시나리오비교'!$C$9))+$H63*SIN(RADIANS('13_시나리오비교'!$B$9))*COS(RADIANS('13_시나리오비교'!$C$9))+$I63*COS(RADIANS('13_시나리오비교'!$B$9))),0)</f>
        <v/>
      </c>
      <c r="U63" s="80">
        <f>IF($I63&gt;0,MAX(0,$G63*SIN(RADIANS('13_시나리오비교'!$B$10))*SIN(RADIANS('13_시나리오비교'!$C$10))+$H63*SIN(RADIANS('13_시나리오비교'!$B$10))*COS(RADIANS('13_시나리오비교'!$C$10))+$I63*COS(RADIANS('13_시나리오비교'!$B$10))),0)</f>
        <v/>
      </c>
      <c r="V63" s="80">
        <f>IF($I63&gt;0,MAX(0,$G63*SIN(RADIANS('13_시나리오비교'!$B$11))*SIN(RADIANS('13_시나리오비교'!$C$11))+$H63*SIN(RADIANS('13_시나리오비교'!$B$11))*COS(RADIANS('13_시나리오비교'!$C$11))+$I63*COS(RADIANS('13_시나리오비교'!$B$11))),0)</f>
        <v/>
      </c>
      <c r="W63" s="80">
        <f>IF($I63&gt;0,MAX(0,$G63*SIN(RADIANS('13_시나리오비교'!$B$12))*SIN(RADIANS('13_시나리오비교'!$C$12))+$H63*SIN(RADIANS('13_시나리오비교'!$B$12))*COS(RADIANS('13_시나리오비교'!$C$12))+$I63*COS(RADIANS('13_시나리오비교'!$B$12))),0)</f>
        <v/>
      </c>
      <c r="X63" s="80">
        <f>IF($I63&gt;0,MAX(0,$G63*SIN(RADIANS('13_시나리오비교'!$B$13))*SIN(RADIANS('13_시나리오비교'!$C$13))+$H63*SIN(RADIANS('13_시나리오비교'!$B$13))*COS(RADIANS('13_시나리오비교'!$C$13))+$I63*COS(RADIANS('13_시나리오비교'!$B$13))),0)</f>
        <v/>
      </c>
      <c r="Y63" s="80">
        <f>IF($I63&gt;0,MAX(0,$G63*SIN(RADIANS('13_시나리오비교'!$B$14))*SIN(RADIANS('13_시나리오비교'!$C$14))+$H63*SIN(RADIANS('13_시나리오비교'!$B$14))*COS(RADIANS('13_시나리오비교'!$C$14))+$I63*COS(RADIANS('13_시나리오비교'!$B$14))),0)</f>
        <v/>
      </c>
    </row>
    <row r="64" hidden="1" outlineLevel="1">
      <c r="A64" s="79" t="n">
        <v>1</v>
      </c>
      <c r="B64" s="79" t="n">
        <v>44</v>
      </c>
      <c r="C64" s="80">
        <f>(B64-0.5)*'14_지역·상수'!$H$6</f>
        <v/>
      </c>
      <c r="D64" s="79" t="n">
        <v>17</v>
      </c>
      <c r="E64" s="80">
        <f>INDEX($C$4:$C$15,MATCH(A64,$A$4:$A$15,0))</f>
        <v/>
      </c>
      <c r="F64" s="80">
        <f>15*(C64-12)</f>
        <v/>
      </c>
      <c r="G64" s="80">
        <f>-COS(RADIANS(E64))*SIN(RADIANS(F64))</f>
        <v/>
      </c>
      <c r="H64" s="80">
        <f>COS(RADIANS('11_발전량_모델'!$B$17))*SIN(RADIANS(E64))-SIN(RADIANS('11_발전량_모델'!$B$17))*COS(RADIANS(E64))*COS(RADIANS(F64))</f>
        <v/>
      </c>
      <c r="I64" s="80">
        <f>SIN(RADIANS('11_발전량_모델'!$B$17))*SIN(RADIANS(E64))+COS(RADIANS('11_발전량_모델'!$B$17))*COS(RADIANS(E64))*COS(RADIANS(F64))</f>
        <v/>
      </c>
      <c r="J64" s="80">
        <f>SIN(RADIANS('11_발전량_모델'!$B$7))*SIN(RADIANS('11_발전량_모델'!$B$8))</f>
        <v/>
      </c>
      <c r="K64" s="80">
        <f>SIN(RADIANS('11_발전량_모델'!$B$7))*COS(RADIANS('11_발전량_모델'!$B$8))</f>
        <v/>
      </c>
      <c r="L64" s="80">
        <f>COS(RADIANS('11_발전량_모델'!$B$7))</f>
        <v/>
      </c>
      <c r="M64" s="80">
        <f>G64*J64+H64*K64+I64*L64</f>
        <v/>
      </c>
      <c r="N64" s="80">
        <f>MAX(0,I64)</f>
        <v/>
      </c>
      <c r="O64" s="80">
        <f>IF(I64&gt;0,MAX(0,M64),0)</f>
        <v/>
      </c>
      <c r="P64" s="80">
        <f>IF($I64&gt;0,MAX(0,$G64*SIN(RADIANS('13_시나리오비교'!$B$5))*SIN(RADIANS('13_시나리오비교'!$C$5))+$H64*SIN(RADIANS('13_시나리오비교'!$B$5))*COS(RADIANS('13_시나리오비교'!$C$5))+$I64*COS(RADIANS('13_시나리오비교'!$B$5))),0)</f>
        <v/>
      </c>
      <c r="Q64" s="80">
        <f>IF($I64&gt;0,MAX(0,$G64*SIN(RADIANS('13_시나리오비교'!$B$6))*SIN(RADIANS('13_시나리오비교'!$C$6))+$H64*SIN(RADIANS('13_시나리오비교'!$B$6))*COS(RADIANS('13_시나리오비교'!$C$6))+$I64*COS(RADIANS('13_시나리오비교'!$B$6))),0)</f>
        <v/>
      </c>
      <c r="R64" s="80">
        <f>IF($I64&gt;0,MAX(0,$G64*SIN(RADIANS('13_시나리오비교'!$B$7))*SIN(RADIANS('13_시나리오비교'!$C$7))+$H64*SIN(RADIANS('13_시나리오비교'!$B$7))*COS(RADIANS('13_시나리오비교'!$C$7))+$I64*COS(RADIANS('13_시나리오비교'!$B$7))),0)</f>
        <v/>
      </c>
      <c r="S64" s="80">
        <f>IF($I64&gt;0,MAX(0,$G64*SIN(RADIANS('13_시나리오비교'!$B$8))*SIN(RADIANS('13_시나리오비교'!$C$8))+$H64*SIN(RADIANS('13_시나리오비교'!$B$8))*COS(RADIANS('13_시나리오비교'!$C$8))+$I64*COS(RADIANS('13_시나리오비교'!$B$8))),0)</f>
        <v/>
      </c>
      <c r="T64" s="80">
        <f>IF($I64&gt;0,MAX(0,$G64*SIN(RADIANS('13_시나리오비교'!$B$9))*SIN(RADIANS('13_시나리오비교'!$C$9))+$H64*SIN(RADIANS('13_시나리오비교'!$B$9))*COS(RADIANS('13_시나리오비교'!$C$9))+$I64*COS(RADIANS('13_시나리오비교'!$B$9))),0)</f>
        <v/>
      </c>
      <c r="U64" s="80">
        <f>IF($I64&gt;0,MAX(0,$G64*SIN(RADIANS('13_시나리오비교'!$B$10))*SIN(RADIANS('13_시나리오비교'!$C$10))+$H64*SIN(RADIANS('13_시나리오비교'!$B$10))*COS(RADIANS('13_시나리오비교'!$C$10))+$I64*COS(RADIANS('13_시나리오비교'!$B$10))),0)</f>
        <v/>
      </c>
      <c r="V64" s="80">
        <f>IF($I64&gt;0,MAX(0,$G64*SIN(RADIANS('13_시나리오비교'!$B$11))*SIN(RADIANS('13_시나리오비교'!$C$11))+$H64*SIN(RADIANS('13_시나리오비교'!$B$11))*COS(RADIANS('13_시나리오비교'!$C$11))+$I64*COS(RADIANS('13_시나리오비교'!$B$11))),0)</f>
        <v/>
      </c>
      <c r="W64" s="80">
        <f>IF($I64&gt;0,MAX(0,$G64*SIN(RADIANS('13_시나리오비교'!$B$12))*SIN(RADIANS('13_시나리오비교'!$C$12))+$H64*SIN(RADIANS('13_시나리오비교'!$B$12))*COS(RADIANS('13_시나리오비교'!$C$12))+$I64*COS(RADIANS('13_시나리오비교'!$B$12))),0)</f>
        <v/>
      </c>
      <c r="X64" s="80">
        <f>IF($I64&gt;0,MAX(0,$G64*SIN(RADIANS('13_시나리오비교'!$B$13))*SIN(RADIANS('13_시나리오비교'!$C$13))+$H64*SIN(RADIANS('13_시나리오비교'!$B$13))*COS(RADIANS('13_시나리오비교'!$C$13))+$I64*COS(RADIANS('13_시나리오비교'!$B$13))),0)</f>
        <v/>
      </c>
      <c r="Y64" s="80">
        <f>IF($I64&gt;0,MAX(0,$G64*SIN(RADIANS('13_시나리오비교'!$B$14))*SIN(RADIANS('13_시나리오비교'!$C$14))+$H64*SIN(RADIANS('13_시나리오비교'!$B$14))*COS(RADIANS('13_시나리오비교'!$C$14))+$I64*COS(RADIANS('13_시나리오비교'!$B$14))),0)</f>
        <v/>
      </c>
    </row>
    <row r="65" hidden="1" outlineLevel="1">
      <c r="A65" s="79" t="n">
        <v>1</v>
      </c>
      <c r="B65" s="79" t="n">
        <v>45</v>
      </c>
      <c r="C65" s="80">
        <f>(B65-0.5)*'14_지역·상수'!$H$6</f>
        <v/>
      </c>
      <c r="D65" s="79" t="n">
        <v>17</v>
      </c>
      <c r="E65" s="80">
        <f>INDEX($C$4:$C$15,MATCH(A65,$A$4:$A$15,0))</f>
        <v/>
      </c>
      <c r="F65" s="80">
        <f>15*(C65-12)</f>
        <v/>
      </c>
      <c r="G65" s="80">
        <f>-COS(RADIANS(E65))*SIN(RADIANS(F65))</f>
        <v/>
      </c>
      <c r="H65" s="80">
        <f>COS(RADIANS('11_발전량_모델'!$B$17))*SIN(RADIANS(E65))-SIN(RADIANS('11_발전량_모델'!$B$17))*COS(RADIANS(E65))*COS(RADIANS(F65))</f>
        <v/>
      </c>
      <c r="I65" s="80">
        <f>SIN(RADIANS('11_발전량_모델'!$B$17))*SIN(RADIANS(E65))+COS(RADIANS('11_발전량_모델'!$B$17))*COS(RADIANS(E65))*COS(RADIANS(F65))</f>
        <v/>
      </c>
      <c r="J65" s="80">
        <f>SIN(RADIANS('11_발전량_모델'!$B$7))*SIN(RADIANS('11_발전량_모델'!$B$8))</f>
        <v/>
      </c>
      <c r="K65" s="80">
        <f>SIN(RADIANS('11_발전량_모델'!$B$7))*COS(RADIANS('11_발전량_모델'!$B$8))</f>
        <v/>
      </c>
      <c r="L65" s="80">
        <f>COS(RADIANS('11_발전량_모델'!$B$7))</f>
        <v/>
      </c>
      <c r="M65" s="80">
        <f>G65*J65+H65*K65+I65*L65</f>
        <v/>
      </c>
      <c r="N65" s="80">
        <f>MAX(0,I65)</f>
        <v/>
      </c>
      <c r="O65" s="80">
        <f>IF(I65&gt;0,MAX(0,M65),0)</f>
        <v/>
      </c>
      <c r="P65" s="80">
        <f>IF($I65&gt;0,MAX(0,$G65*SIN(RADIANS('13_시나리오비교'!$B$5))*SIN(RADIANS('13_시나리오비교'!$C$5))+$H65*SIN(RADIANS('13_시나리오비교'!$B$5))*COS(RADIANS('13_시나리오비교'!$C$5))+$I65*COS(RADIANS('13_시나리오비교'!$B$5))),0)</f>
        <v/>
      </c>
      <c r="Q65" s="80">
        <f>IF($I65&gt;0,MAX(0,$G65*SIN(RADIANS('13_시나리오비교'!$B$6))*SIN(RADIANS('13_시나리오비교'!$C$6))+$H65*SIN(RADIANS('13_시나리오비교'!$B$6))*COS(RADIANS('13_시나리오비교'!$C$6))+$I65*COS(RADIANS('13_시나리오비교'!$B$6))),0)</f>
        <v/>
      </c>
      <c r="R65" s="80">
        <f>IF($I65&gt;0,MAX(0,$G65*SIN(RADIANS('13_시나리오비교'!$B$7))*SIN(RADIANS('13_시나리오비교'!$C$7))+$H65*SIN(RADIANS('13_시나리오비교'!$B$7))*COS(RADIANS('13_시나리오비교'!$C$7))+$I65*COS(RADIANS('13_시나리오비교'!$B$7))),0)</f>
        <v/>
      </c>
      <c r="S65" s="80">
        <f>IF($I65&gt;0,MAX(0,$G65*SIN(RADIANS('13_시나리오비교'!$B$8))*SIN(RADIANS('13_시나리오비교'!$C$8))+$H65*SIN(RADIANS('13_시나리오비교'!$B$8))*COS(RADIANS('13_시나리오비교'!$C$8))+$I65*COS(RADIANS('13_시나리오비교'!$B$8))),0)</f>
        <v/>
      </c>
      <c r="T65" s="80">
        <f>IF($I65&gt;0,MAX(0,$G65*SIN(RADIANS('13_시나리오비교'!$B$9))*SIN(RADIANS('13_시나리오비교'!$C$9))+$H65*SIN(RADIANS('13_시나리오비교'!$B$9))*COS(RADIANS('13_시나리오비교'!$C$9))+$I65*COS(RADIANS('13_시나리오비교'!$B$9))),0)</f>
        <v/>
      </c>
      <c r="U65" s="80">
        <f>IF($I65&gt;0,MAX(0,$G65*SIN(RADIANS('13_시나리오비교'!$B$10))*SIN(RADIANS('13_시나리오비교'!$C$10))+$H65*SIN(RADIANS('13_시나리오비교'!$B$10))*COS(RADIANS('13_시나리오비교'!$C$10))+$I65*COS(RADIANS('13_시나리오비교'!$B$10))),0)</f>
        <v/>
      </c>
      <c r="V65" s="80">
        <f>IF($I65&gt;0,MAX(0,$G65*SIN(RADIANS('13_시나리오비교'!$B$11))*SIN(RADIANS('13_시나리오비교'!$C$11))+$H65*SIN(RADIANS('13_시나리오비교'!$B$11))*COS(RADIANS('13_시나리오비교'!$C$11))+$I65*COS(RADIANS('13_시나리오비교'!$B$11))),0)</f>
        <v/>
      </c>
      <c r="W65" s="80">
        <f>IF($I65&gt;0,MAX(0,$G65*SIN(RADIANS('13_시나리오비교'!$B$12))*SIN(RADIANS('13_시나리오비교'!$C$12))+$H65*SIN(RADIANS('13_시나리오비교'!$B$12))*COS(RADIANS('13_시나리오비교'!$C$12))+$I65*COS(RADIANS('13_시나리오비교'!$B$12))),0)</f>
        <v/>
      </c>
      <c r="X65" s="80">
        <f>IF($I65&gt;0,MAX(0,$G65*SIN(RADIANS('13_시나리오비교'!$B$13))*SIN(RADIANS('13_시나리오비교'!$C$13))+$H65*SIN(RADIANS('13_시나리오비교'!$B$13))*COS(RADIANS('13_시나리오비교'!$C$13))+$I65*COS(RADIANS('13_시나리오비교'!$B$13))),0)</f>
        <v/>
      </c>
      <c r="Y65" s="80">
        <f>IF($I65&gt;0,MAX(0,$G65*SIN(RADIANS('13_시나리오비교'!$B$14))*SIN(RADIANS('13_시나리오비교'!$C$14))+$H65*SIN(RADIANS('13_시나리오비교'!$B$14))*COS(RADIANS('13_시나리오비교'!$C$14))+$I65*COS(RADIANS('13_시나리오비교'!$B$14))),0)</f>
        <v/>
      </c>
    </row>
    <row r="66" hidden="1" outlineLevel="1">
      <c r="A66" s="79" t="n">
        <v>1</v>
      </c>
      <c r="B66" s="79" t="n">
        <v>46</v>
      </c>
      <c r="C66" s="80">
        <f>(B66-0.5)*'14_지역·상수'!$H$6</f>
        <v/>
      </c>
      <c r="D66" s="79" t="n">
        <v>17</v>
      </c>
      <c r="E66" s="80">
        <f>INDEX($C$4:$C$15,MATCH(A66,$A$4:$A$15,0))</f>
        <v/>
      </c>
      <c r="F66" s="80">
        <f>15*(C66-12)</f>
        <v/>
      </c>
      <c r="G66" s="80">
        <f>-COS(RADIANS(E66))*SIN(RADIANS(F66))</f>
        <v/>
      </c>
      <c r="H66" s="80">
        <f>COS(RADIANS('11_발전량_모델'!$B$17))*SIN(RADIANS(E66))-SIN(RADIANS('11_발전량_모델'!$B$17))*COS(RADIANS(E66))*COS(RADIANS(F66))</f>
        <v/>
      </c>
      <c r="I66" s="80">
        <f>SIN(RADIANS('11_발전량_모델'!$B$17))*SIN(RADIANS(E66))+COS(RADIANS('11_발전량_모델'!$B$17))*COS(RADIANS(E66))*COS(RADIANS(F66))</f>
        <v/>
      </c>
      <c r="J66" s="80">
        <f>SIN(RADIANS('11_발전량_모델'!$B$7))*SIN(RADIANS('11_발전량_모델'!$B$8))</f>
        <v/>
      </c>
      <c r="K66" s="80">
        <f>SIN(RADIANS('11_발전량_모델'!$B$7))*COS(RADIANS('11_발전량_모델'!$B$8))</f>
        <v/>
      </c>
      <c r="L66" s="80">
        <f>COS(RADIANS('11_발전량_모델'!$B$7))</f>
        <v/>
      </c>
      <c r="M66" s="80">
        <f>G66*J66+H66*K66+I66*L66</f>
        <v/>
      </c>
      <c r="N66" s="80">
        <f>MAX(0,I66)</f>
        <v/>
      </c>
      <c r="O66" s="80">
        <f>IF(I66&gt;0,MAX(0,M66),0)</f>
        <v/>
      </c>
      <c r="P66" s="80">
        <f>IF($I66&gt;0,MAX(0,$G66*SIN(RADIANS('13_시나리오비교'!$B$5))*SIN(RADIANS('13_시나리오비교'!$C$5))+$H66*SIN(RADIANS('13_시나리오비교'!$B$5))*COS(RADIANS('13_시나리오비교'!$C$5))+$I66*COS(RADIANS('13_시나리오비교'!$B$5))),0)</f>
        <v/>
      </c>
      <c r="Q66" s="80">
        <f>IF($I66&gt;0,MAX(0,$G66*SIN(RADIANS('13_시나리오비교'!$B$6))*SIN(RADIANS('13_시나리오비교'!$C$6))+$H66*SIN(RADIANS('13_시나리오비교'!$B$6))*COS(RADIANS('13_시나리오비교'!$C$6))+$I66*COS(RADIANS('13_시나리오비교'!$B$6))),0)</f>
        <v/>
      </c>
      <c r="R66" s="80">
        <f>IF($I66&gt;0,MAX(0,$G66*SIN(RADIANS('13_시나리오비교'!$B$7))*SIN(RADIANS('13_시나리오비교'!$C$7))+$H66*SIN(RADIANS('13_시나리오비교'!$B$7))*COS(RADIANS('13_시나리오비교'!$C$7))+$I66*COS(RADIANS('13_시나리오비교'!$B$7))),0)</f>
        <v/>
      </c>
      <c r="S66" s="80">
        <f>IF($I66&gt;0,MAX(0,$G66*SIN(RADIANS('13_시나리오비교'!$B$8))*SIN(RADIANS('13_시나리오비교'!$C$8))+$H66*SIN(RADIANS('13_시나리오비교'!$B$8))*COS(RADIANS('13_시나리오비교'!$C$8))+$I66*COS(RADIANS('13_시나리오비교'!$B$8))),0)</f>
        <v/>
      </c>
      <c r="T66" s="80">
        <f>IF($I66&gt;0,MAX(0,$G66*SIN(RADIANS('13_시나리오비교'!$B$9))*SIN(RADIANS('13_시나리오비교'!$C$9))+$H66*SIN(RADIANS('13_시나리오비교'!$B$9))*COS(RADIANS('13_시나리오비교'!$C$9))+$I66*COS(RADIANS('13_시나리오비교'!$B$9))),0)</f>
        <v/>
      </c>
      <c r="U66" s="80">
        <f>IF($I66&gt;0,MAX(0,$G66*SIN(RADIANS('13_시나리오비교'!$B$10))*SIN(RADIANS('13_시나리오비교'!$C$10))+$H66*SIN(RADIANS('13_시나리오비교'!$B$10))*COS(RADIANS('13_시나리오비교'!$C$10))+$I66*COS(RADIANS('13_시나리오비교'!$B$10))),0)</f>
        <v/>
      </c>
      <c r="V66" s="80">
        <f>IF($I66&gt;0,MAX(0,$G66*SIN(RADIANS('13_시나리오비교'!$B$11))*SIN(RADIANS('13_시나리오비교'!$C$11))+$H66*SIN(RADIANS('13_시나리오비교'!$B$11))*COS(RADIANS('13_시나리오비교'!$C$11))+$I66*COS(RADIANS('13_시나리오비교'!$B$11))),0)</f>
        <v/>
      </c>
      <c r="W66" s="80">
        <f>IF($I66&gt;0,MAX(0,$G66*SIN(RADIANS('13_시나리오비교'!$B$12))*SIN(RADIANS('13_시나리오비교'!$C$12))+$H66*SIN(RADIANS('13_시나리오비교'!$B$12))*COS(RADIANS('13_시나리오비교'!$C$12))+$I66*COS(RADIANS('13_시나리오비교'!$B$12))),0)</f>
        <v/>
      </c>
      <c r="X66" s="80">
        <f>IF($I66&gt;0,MAX(0,$G66*SIN(RADIANS('13_시나리오비교'!$B$13))*SIN(RADIANS('13_시나리오비교'!$C$13))+$H66*SIN(RADIANS('13_시나리오비교'!$B$13))*COS(RADIANS('13_시나리오비교'!$C$13))+$I66*COS(RADIANS('13_시나리오비교'!$B$13))),0)</f>
        <v/>
      </c>
      <c r="Y66" s="80">
        <f>IF($I66&gt;0,MAX(0,$G66*SIN(RADIANS('13_시나리오비교'!$B$14))*SIN(RADIANS('13_시나리오비교'!$C$14))+$H66*SIN(RADIANS('13_시나리오비교'!$B$14))*COS(RADIANS('13_시나리오비교'!$C$14))+$I66*COS(RADIANS('13_시나리오비교'!$B$14))),0)</f>
        <v/>
      </c>
    </row>
    <row r="67" hidden="1" outlineLevel="1">
      <c r="A67" s="79" t="n">
        <v>1</v>
      </c>
      <c r="B67" s="79" t="n">
        <v>47</v>
      </c>
      <c r="C67" s="80">
        <f>(B67-0.5)*'14_지역·상수'!$H$6</f>
        <v/>
      </c>
      <c r="D67" s="79" t="n">
        <v>17</v>
      </c>
      <c r="E67" s="80">
        <f>INDEX($C$4:$C$15,MATCH(A67,$A$4:$A$15,0))</f>
        <v/>
      </c>
      <c r="F67" s="80">
        <f>15*(C67-12)</f>
        <v/>
      </c>
      <c r="G67" s="80">
        <f>-COS(RADIANS(E67))*SIN(RADIANS(F67))</f>
        <v/>
      </c>
      <c r="H67" s="80">
        <f>COS(RADIANS('11_발전량_모델'!$B$17))*SIN(RADIANS(E67))-SIN(RADIANS('11_발전량_모델'!$B$17))*COS(RADIANS(E67))*COS(RADIANS(F67))</f>
        <v/>
      </c>
      <c r="I67" s="80">
        <f>SIN(RADIANS('11_발전량_모델'!$B$17))*SIN(RADIANS(E67))+COS(RADIANS('11_발전량_모델'!$B$17))*COS(RADIANS(E67))*COS(RADIANS(F67))</f>
        <v/>
      </c>
      <c r="J67" s="80">
        <f>SIN(RADIANS('11_발전량_모델'!$B$7))*SIN(RADIANS('11_발전량_모델'!$B$8))</f>
        <v/>
      </c>
      <c r="K67" s="80">
        <f>SIN(RADIANS('11_발전량_모델'!$B$7))*COS(RADIANS('11_발전량_모델'!$B$8))</f>
        <v/>
      </c>
      <c r="L67" s="80">
        <f>COS(RADIANS('11_발전량_모델'!$B$7))</f>
        <v/>
      </c>
      <c r="M67" s="80">
        <f>G67*J67+H67*K67+I67*L67</f>
        <v/>
      </c>
      <c r="N67" s="80">
        <f>MAX(0,I67)</f>
        <v/>
      </c>
      <c r="O67" s="80">
        <f>IF(I67&gt;0,MAX(0,M67),0)</f>
        <v/>
      </c>
      <c r="P67" s="80">
        <f>IF($I67&gt;0,MAX(0,$G67*SIN(RADIANS('13_시나리오비교'!$B$5))*SIN(RADIANS('13_시나리오비교'!$C$5))+$H67*SIN(RADIANS('13_시나리오비교'!$B$5))*COS(RADIANS('13_시나리오비교'!$C$5))+$I67*COS(RADIANS('13_시나리오비교'!$B$5))),0)</f>
        <v/>
      </c>
      <c r="Q67" s="80">
        <f>IF($I67&gt;0,MAX(0,$G67*SIN(RADIANS('13_시나리오비교'!$B$6))*SIN(RADIANS('13_시나리오비교'!$C$6))+$H67*SIN(RADIANS('13_시나리오비교'!$B$6))*COS(RADIANS('13_시나리오비교'!$C$6))+$I67*COS(RADIANS('13_시나리오비교'!$B$6))),0)</f>
        <v/>
      </c>
      <c r="R67" s="80">
        <f>IF($I67&gt;0,MAX(0,$G67*SIN(RADIANS('13_시나리오비교'!$B$7))*SIN(RADIANS('13_시나리오비교'!$C$7))+$H67*SIN(RADIANS('13_시나리오비교'!$B$7))*COS(RADIANS('13_시나리오비교'!$C$7))+$I67*COS(RADIANS('13_시나리오비교'!$B$7))),0)</f>
        <v/>
      </c>
      <c r="S67" s="80">
        <f>IF($I67&gt;0,MAX(0,$G67*SIN(RADIANS('13_시나리오비교'!$B$8))*SIN(RADIANS('13_시나리오비교'!$C$8))+$H67*SIN(RADIANS('13_시나리오비교'!$B$8))*COS(RADIANS('13_시나리오비교'!$C$8))+$I67*COS(RADIANS('13_시나리오비교'!$B$8))),0)</f>
        <v/>
      </c>
      <c r="T67" s="80">
        <f>IF($I67&gt;0,MAX(0,$G67*SIN(RADIANS('13_시나리오비교'!$B$9))*SIN(RADIANS('13_시나리오비교'!$C$9))+$H67*SIN(RADIANS('13_시나리오비교'!$B$9))*COS(RADIANS('13_시나리오비교'!$C$9))+$I67*COS(RADIANS('13_시나리오비교'!$B$9))),0)</f>
        <v/>
      </c>
      <c r="U67" s="80">
        <f>IF($I67&gt;0,MAX(0,$G67*SIN(RADIANS('13_시나리오비교'!$B$10))*SIN(RADIANS('13_시나리오비교'!$C$10))+$H67*SIN(RADIANS('13_시나리오비교'!$B$10))*COS(RADIANS('13_시나리오비교'!$C$10))+$I67*COS(RADIANS('13_시나리오비교'!$B$10))),0)</f>
        <v/>
      </c>
      <c r="V67" s="80">
        <f>IF($I67&gt;0,MAX(0,$G67*SIN(RADIANS('13_시나리오비교'!$B$11))*SIN(RADIANS('13_시나리오비교'!$C$11))+$H67*SIN(RADIANS('13_시나리오비교'!$B$11))*COS(RADIANS('13_시나리오비교'!$C$11))+$I67*COS(RADIANS('13_시나리오비교'!$B$11))),0)</f>
        <v/>
      </c>
      <c r="W67" s="80">
        <f>IF($I67&gt;0,MAX(0,$G67*SIN(RADIANS('13_시나리오비교'!$B$12))*SIN(RADIANS('13_시나리오비교'!$C$12))+$H67*SIN(RADIANS('13_시나리오비교'!$B$12))*COS(RADIANS('13_시나리오비교'!$C$12))+$I67*COS(RADIANS('13_시나리오비교'!$B$12))),0)</f>
        <v/>
      </c>
      <c r="X67" s="80">
        <f>IF($I67&gt;0,MAX(0,$G67*SIN(RADIANS('13_시나리오비교'!$B$13))*SIN(RADIANS('13_시나리오비교'!$C$13))+$H67*SIN(RADIANS('13_시나리오비교'!$B$13))*COS(RADIANS('13_시나리오비교'!$C$13))+$I67*COS(RADIANS('13_시나리오비교'!$B$13))),0)</f>
        <v/>
      </c>
      <c r="Y67" s="80">
        <f>IF($I67&gt;0,MAX(0,$G67*SIN(RADIANS('13_시나리오비교'!$B$14))*SIN(RADIANS('13_시나리오비교'!$C$14))+$H67*SIN(RADIANS('13_시나리오비교'!$B$14))*COS(RADIANS('13_시나리오비교'!$C$14))+$I67*COS(RADIANS('13_시나리오비교'!$B$14))),0)</f>
        <v/>
      </c>
    </row>
    <row r="68" hidden="1" outlineLevel="1">
      <c r="A68" s="79" t="n">
        <v>1</v>
      </c>
      <c r="B68" s="79" t="n">
        <v>48</v>
      </c>
      <c r="C68" s="80">
        <f>(B68-0.5)*'14_지역·상수'!$H$6</f>
        <v/>
      </c>
      <c r="D68" s="79" t="n">
        <v>17</v>
      </c>
      <c r="E68" s="80">
        <f>INDEX($C$4:$C$15,MATCH(A68,$A$4:$A$15,0))</f>
        <v/>
      </c>
      <c r="F68" s="80">
        <f>15*(C68-12)</f>
        <v/>
      </c>
      <c r="G68" s="80">
        <f>-COS(RADIANS(E68))*SIN(RADIANS(F68))</f>
        <v/>
      </c>
      <c r="H68" s="80">
        <f>COS(RADIANS('11_발전량_모델'!$B$17))*SIN(RADIANS(E68))-SIN(RADIANS('11_발전량_모델'!$B$17))*COS(RADIANS(E68))*COS(RADIANS(F68))</f>
        <v/>
      </c>
      <c r="I68" s="80">
        <f>SIN(RADIANS('11_발전량_모델'!$B$17))*SIN(RADIANS(E68))+COS(RADIANS('11_발전량_모델'!$B$17))*COS(RADIANS(E68))*COS(RADIANS(F68))</f>
        <v/>
      </c>
      <c r="J68" s="80">
        <f>SIN(RADIANS('11_발전량_모델'!$B$7))*SIN(RADIANS('11_발전량_모델'!$B$8))</f>
        <v/>
      </c>
      <c r="K68" s="80">
        <f>SIN(RADIANS('11_발전량_모델'!$B$7))*COS(RADIANS('11_발전량_모델'!$B$8))</f>
        <v/>
      </c>
      <c r="L68" s="80">
        <f>COS(RADIANS('11_발전량_모델'!$B$7))</f>
        <v/>
      </c>
      <c r="M68" s="80">
        <f>G68*J68+H68*K68+I68*L68</f>
        <v/>
      </c>
      <c r="N68" s="80">
        <f>MAX(0,I68)</f>
        <v/>
      </c>
      <c r="O68" s="80">
        <f>IF(I68&gt;0,MAX(0,M68),0)</f>
        <v/>
      </c>
      <c r="P68" s="80">
        <f>IF($I68&gt;0,MAX(0,$G68*SIN(RADIANS('13_시나리오비교'!$B$5))*SIN(RADIANS('13_시나리오비교'!$C$5))+$H68*SIN(RADIANS('13_시나리오비교'!$B$5))*COS(RADIANS('13_시나리오비교'!$C$5))+$I68*COS(RADIANS('13_시나리오비교'!$B$5))),0)</f>
        <v/>
      </c>
      <c r="Q68" s="80">
        <f>IF($I68&gt;0,MAX(0,$G68*SIN(RADIANS('13_시나리오비교'!$B$6))*SIN(RADIANS('13_시나리오비교'!$C$6))+$H68*SIN(RADIANS('13_시나리오비교'!$B$6))*COS(RADIANS('13_시나리오비교'!$C$6))+$I68*COS(RADIANS('13_시나리오비교'!$B$6))),0)</f>
        <v/>
      </c>
      <c r="R68" s="80">
        <f>IF($I68&gt;0,MAX(0,$G68*SIN(RADIANS('13_시나리오비교'!$B$7))*SIN(RADIANS('13_시나리오비교'!$C$7))+$H68*SIN(RADIANS('13_시나리오비교'!$B$7))*COS(RADIANS('13_시나리오비교'!$C$7))+$I68*COS(RADIANS('13_시나리오비교'!$B$7))),0)</f>
        <v/>
      </c>
      <c r="S68" s="80">
        <f>IF($I68&gt;0,MAX(0,$G68*SIN(RADIANS('13_시나리오비교'!$B$8))*SIN(RADIANS('13_시나리오비교'!$C$8))+$H68*SIN(RADIANS('13_시나리오비교'!$B$8))*COS(RADIANS('13_시나리오비교'!$C$8))+$I68*COS(RADIANS('13_시나리오비교'!$B$8))),0)</f>
        <v/>
      </c>
      <c r="T68" s="80">
        <f>IF($I68&gt;0,MAX(0,$G68*SIN(RADIANS('13_시나리오비교'!$B$9))*SIN(RADIANS('13_시나리오비교'!$C$9))+$H68*SIN(RADIANS('13_시나리오비교'!$B$9))*COS(RADIANS('13_시나리오비교'!$C$9))+$I68*COS(RADIANS('13_시나리오비교'!$B$9))),0)</f>
        <v/>
      </c>
      <c r="U68" s="80">
        <f>IF($I68&gt;0,MAX(0,$G68*SIN(RADIANS('13_시나리오비교'!$B$10))*SIN(RADIANS('13_시나리오비교'!$C$10))+$H68*SIN(RADIANS('13_시나리오비교'!$B$10))*COS(RADIANS('13_시나리오비교'!$C$10))+$I68*COS(RADIANS('13_시나리오비교'!$B$10))),0)</f>
        <v/>
      </c>
      <c r="V68" s="80">
        <f>IF($I68&gt;0,MAX(0,$G68*SIN(RADIANS('13_시나리오비교'!$B$11))*SIN(RADIANS('13_시나리오비교'!$C$11))+$H68*SIN(RADIANS('13_시나리오비교'!$B$11))*COS(RADIANS('13_시나리오비교'!$C$11))+$I68*COS(RADIANS('13_시나리오비교'!$B$11))),0)</f>
        <v/>
      </c>
      <c r="W68" s="80">
        <f>IF($I68&gt;0,MAX(0,$G68*SIN(RADIANS('13_시나리오비교'!$B$12))*SIN(RADIANS('13_시나리오비교'!$C$12))+$H68*SIN(RADIANS('13_시나리오비교'!$B$12))*COS(RADIANS('13_시나리오비교'!$C$12))+$I68*COS(RADIANS('13_시나리오비교'!$B$12))),0)</f>
        <v/>
      </c>
      <c r="X68" s="80">
        <f>IF($I68&gt;0,MAX(0,$G68*SIN(RADIANS('13_시나리오비교'!$B$13))*SIN(RADIANS('13_시나리오비교'!$C$13))+$H68*SIN(RADIANS('13_시나리오비교'!$B$13))*COS(RADIANS('13_시나리오비교'!$C$13))+$I68*COS(RADIANS('13_시나리오비교'!$B$13))),0)</f>
        <v/>
      </c>
      <c r="Y68" s="80">
        <f>IF($I68&gt;0,MAX(0,$G68*SIN(RADIANS('13_시나리오비교'!$B$14))*SIN(RADIANS('13_시나리오비교'!$C$14))+$H68*SIN(RADIANS('13_시나리오비교'!$B$14))*COS(RADIANS('13_시나리오비교'!$C$14))+$I68*COS(RADIANS('13_시나리오비교'!$B$14))),0)</f>
        <v/>
      </c>
    </row>
    <row r="69" hidden="1" outlineLevel="1">
      <c r="A69" s="79" t="n">
        <v>1</v>
      </c>
      <c r="B69" s="79" t="n">
        <v>49</v>
      </c>
      <c r="C69" s="80">
        <f>(B69-0.5)*'14_지역·상수'!$H$6</f>
        <v/>
      </c>
      <c r="D69" s="79" t="n">
        <v>17</v>
      </c>
      <c r="E69" s="80">
        <f>INDEX($C$4:$C$15,MATCH(A69,$A$4:$A$15,0))</f>
        <v/>
      </c>
      <c r="F69" s="80">
        <f>15*(C69-12)</f>
        <v/>
      </c>
      <c r="G69" s="80">
        <f>-COS(RADIANS(E69))*SIN(RADIANS(F69))</f>
        <v/>
      </c>
      <c r="H69" s="80">
        <f>COS(RADIANS('11_발전량_모델'!$B$17))*SIN(RADIANS(E69))-SIN(RADIANS('11_발전량_모델'!$B$17))*COS(RADIANS(E69))*COS(RADIANS(F69))</f>
        <v/>
      </c>
      <c r="I69" s="80">
        <f>SIN(RADIANS('11_발전량_모델'!$B$17))*SIN(RADIANS(E69))+COS(RADIANS('11_발전량_모델'!$B$17))*COS(RADIANS(E69))*COS(RADIANS(F69))</f>
        <v/>
      </c>
      <c r="J69" s="80">
        <f>SIN(RADIANS('11_발전량_모델'!$B$7))*SIN(RADIANS('11_발전량_모델'!$B$8))</f>
        <v/>
      </c>
      <c r="K69" s="80">
        <f>SIN(RADIANS('11_발전량_모델'!$B$7))*COS(RADIANS('11_발전량_모델'!$B$8))</f>
        <v/>
      </c>
      <c r="L69" s="80">
        <f>COS(RADIANS('11_발전량_모델'!$B$7))</f>
        <v/>
      </c>
      <c r="M69" s="80">
        <f>G69*J69+H69*K69+I69*L69</f>
        <v/>
      </c>
      <c r="N69" s="80">
        <f>MAX(0,I69)</f>
        <v/>
      </c>
      <c r="O69" s="80">
        <f>IF(I69&gt;0,MAX(0,M69),0)</f>
        <v/>
      </c>
      <c r="P69" s="80">
        <f>IF($I69&gt;0,MAX(0,$G69*SIN(RADIANS('13_시나리오비교'!$B$5))*SIN(RADIANS('13_시나리오비교'!$C$5))+$H69*SIN(RADIANS('13_시나리오비교'!$B$5))*COS(RADIANS('13_시나리오비교'!$C$5))+$I69*COS(RADIANS('13_시나리오비교'!$B$5))),0)</f>
        <v/>
      </c>
      <c r="Q69" s="80">
        <f>IF($I69&gt;0,MAX(0,$G69*SIN(RADIANS('13_시나리오비교'!$B$6))*SIN(RADIANS('13_시나리오비교'!$C$6))+$H69*SIN(RADIANS('13_시나리오비교'!$B$6))*COS(RADIANS('13_시나리오비교'!$C$6))+$I69*COS(RADIANS('13_시나리오비교'!$B$6))),0)</f>
        <v/>
      </c>
      <c r="R69" s="80">
        <f>IF($I69&gt;0,MAX(0,$G69*SIN(RADIANS('13_시나리오비교'!$B$7))*SIN(RADIANS('13_시나리오비교'!$C$7))+$H69*SIN(RADIANS('13_시나리오비교'!$B$7))*COS(RADIANS('13_시나리오비교'!$C$7))+$I69*COS(RADIANS('13_시나리오비교'!$B$7))),0)</f>
        <v/>
      </c>
      <c r="S69" s="80">
        <f>IF($I69&gt;0,MAX(0,$G69*SIN(RADIANS('13_시나리오비교'!$B$8))*SIN(RADIANS('13_시나리오비교'!$C$8))+$H69*SIN(RADIANS('13_시나리오비교'!$B$8))*COS(RADIANS('13_시나리오비교'!$C$8))+$I69*COS(RADIANS('13_시나리오비교'!$B$8))),0)</f>
        <v/>
      </c>
      <c r="T69" s="80">
        <f>IF($I69&gt;0,MAX(0,$G69*SIN(RADIANS('13_시나리오비교'!$B$9))*SIN(RADIANS('13_시나리오비교'!$C$9))+$H69*SIN(RADIANS('13_시나리오비교'!$B$9))*COS(RADIANS('13_시나리오비교'!$C$9))+$I69*COS(RADIANS('13_시나리오비교'!$B$9))),0)</f>
        <v/>
      </c>
      <c r="U69" s="80">
        <f>IF($I69&gt;0,MAX(0,$G69*SIN(RADIANS('13_시나리오비교'!$B$10))*SIN(RADIANS('13_시나리오비교'!$C$10))+$H69*SIN(RADIANS('13_시나리오비교'!$B$10))*COS(RADIANS('13_시나리오비교'!$C$10))+$I69*COS(RADIANS('13_시나리오비교'!$B$10))),0)</f>
        <v/>
      </c>
      <c r="V69" s="80">
        <f>IF($I69&gt;0,MAX(0,$G69*SIN(RADIANS('13_시나리오비교'!$B$11))*SIN(RADIANS('13_시나리오비교'!$C$11))+$H69*SIN(RADIANS('13_시나리오비교'!$B$11))*COS(RADIANS('13_시나리오비교'!$C$11))+$I69*COS(RADIANS('13_시나리오비교'!$B$11))),0)</f>
        <v/>
      </c>
      <c r="W69" s="80">
        <f>IF($I69&gt;0,MAX(0,$G69*SIN(RADIANS('13_시나리오비교'!$B$12))*SIN(RADIANS('13_시나리오비교'!$C$12))+$H69*SIN(RADIANS('13_시나리오비교'!$B$12))*COS(RADIANS('13_시나리오비교'!$C$12))+$I69*COS(RADIANS('13_시나리오비교'!$B$12))),0)</f>
        <v/>
      </c>
      <c r="X69" s="80">
        <f>IF($I69&gt;0,MAX(0,$G69*SIN(RADIANS('13_시나리오비교'!$B$13))*SIN(RADIANS('13_시나리오비교'!$C$13))+$H69*SIN(RADIANS('13_시나리오비교'!$B$13))*COS(RADIANS('13_시나리오비교'!$C$13))+$I69*COS(RADIANS('13_시나리오비교'!$B$13))),0)</f>
        <v/>
      </c>
      <c r="Y69" s="80">
        <f>IF($I69&gt;0,MAX(0,$G69*SIN(RADIANS('13_시나리오비교'!$B$14))*SIN(RADIANS('13_시나리오비교'!$C$14))+$H69*SIN(RADIANS('13_시나리오비교'!$B$14))*COS(RADIANS('13_시나리오비교'!$C$14))+$I69*COS(RADIANS('13_시나리오비교'!$B$14))),0)</f>
        <v/>
      </c>
    </row>
    <row r="70" hidden="1" outlineLevel="1">
      <c r="A70" s="79" t="n">
        <v>1</v>
      </c>
      <c r="B70" s="79" t="n">
        <v>50</v>
      </c>
      <c r="C70" s="80">
        <f>(B70-0.5)*'14_지역·상수'!$H$6</f>
        <v/>
      </c>
      <c r="D70" s="79" t="n">
        <v>17</v>
      </c>
      <c r="E70" s="80">
        <f>INDEX($C$4:$C$15,MATCH(A70,$A$4:$A$15,0))</f>
        <v/>
      </c>
      <c r="F70" s="80">
        <f>15*(C70-12)</f>
        <v/>
      </c>
      <c r="G70" s="80">
        <f>-COS(RADIANS(E70))*SIN(RADIANS(F70))</f>
        <v/>
      </c>
      <c r="H70" s="80">
        <f>COS(RADIANS('11_발전량_모델'!$B$17))*SIN(RADIANS(E70))-SIN(RADIANS('11_발전량_모델'!$B$17))*COS(RADIANS(E70))*COS(RADIANS(F70))</f>
        <v/>
      </c>
      <c r="I70" s="80">
        <f>SIN(RADIANS('11_발전량_모델'!$B$17))*SIN(RADIANS(E70))+COS(RADIANS('11_발전량_모델'!$B$17))*COS(RADIANS(E70))*COS(RADIANS(F70))</f>
        <v/>
      </c>
      <c r="J70" s="80">
        <f>SIN(RADIANS('11_발전량_모델'!$B$7))*SIN(RADIANS('11_발전량_모델'!$B$8))</f>
        <v/>
      </c>
      <c r="K70" s="80">
        <f>SIN(RADIANS('11_발전량_모델'!$B$7))*COS(RADIANS('11_발전량_모델'!$B$8))</f>
        <v/>
      </c>
      <c r="L70" s="80">
        <f>COS(RADIANS('11_발전량_모델'!$B$7))</f>
        <v/>
      </c>
      <c r="M70" s="80">
        <f>G70*J70+H70*K70+I70*L70</f>
        <v/>
      </c>
      <c r="N70" s="80">
        <f>MAX(0,I70)</f>
        <v/>
      </c>
      <c r="O70" s="80">
        <f>IF(I70&gt;0,MAX(0,M70),0)</f>
        <v/>
      </c>
      <c r="P70" s="80">
        <f>IF($I70&gt;0,MAX(0,$G70*SIN(RADIANS('13_시나리오비교'!$B$5))*SIN(RADIANS('13_시나리오비교'!$C$5))+$H70*SIN(RADIANS('13_시나리오비교'!$B$5))*COS(RADIANS('13_시나리오비교'!$C$5))+$I70*COS(RADIANS('13_시나리오비교'!$B$5))),0)</f>
        <v/>
      </c>
      <c r="Q70" s="80">
        <f>IF($I70&gt;0,MAX(0,$G70*SIN(RADIANS('13_시나리오비교'!$B$6))*SIN(RADIANS('13_시나리오비교'!$C$6))+$H70*SIN(RADIANS('13_시나리오비교'!$B$6))*COS(RADIANS('13_시나리오비교'!$C$6))+$I70*COS(RADIANS('13_시나리오비교'!$B$6))),0)</f>
        <v/>
      </c>
      <c r="R70" s="80">
        <f>IF($I70&gt;0,MAX(0,$G70*SIN(RADIANS('13_시나리오비교'!$B$7))*SIN(RADIANS('13_시나리오비교'!$C$7))+$H70*SIN(RADIANS('13_시나리오비교'!$B$7))*COS(RADIANS('13_시나리오비교'!$C$7))+$I70*COS(RADIANS('13_시나리오비교'!$B$7))),0)</f>
        <v/>
      </c>
      <c r="S70" s="80">
        <f>IF($I70&gt;0,MAX(0,$G70*SIN(RADIANS('13_시나리오비교'!$B$8))*SIN(RADIANS('13_시나리오비교'!$C$8))+$H70*SIN(RADIANS('13_시나리오비교'!$B$8))*COS(RADIANS('13_시나리오비교'!$C$8))+$I70*COS(RADIANS('13_시나리오비교'!$B$8))),0)</f>
        <v/>
      </c>
      <c r="T70" s="80">
        <f>IF($I70&gt;0,MAX(0,$G70*SIN(RADIANS('13_시나리오비교'!$B$9))*SIN(RADIANS('13_시나리오비교'!$C$9))+$H70*SIN(RADIANS('13_시나리오비교'!$B$9))*COS(RADIANS('13_시나리오비교'!$C$9))+$I70*COS(RADIANS('13_시나리오비교'!$B$9))),0)</f>
        <v/>
      </c>
      <c r="U70" s="80">
        <f>IF($I70&gt;0,MAX(0,$G70*SIN(RADIANS('13_시나리오비교'!$B$10))*SIN(RADIANS('13_시나리오비교'!$C$10))+$H70*SIN(RADIANS('13_시나리오비교'!$B$10))*COS(RADIANS('13_시나리오비교'!$C$10))+$I70*COS(RADIANS('13_시나리오비교'!$B$10))),0)</f>
        <v/>
      </c>
      <c r="V70" s="80">
        <f>IF($I70&gt;0,MAX(0,$G70*SIN(RADIANS('13_시나리오비교'!$B$11))*SIN(RADIANS('13_시나리오비교'!$C$11))+$H70*SIN(RADIANS('13_시나리오비교'!$B$11))*COS(RADIANS('13_시나리오비교'!$C$11))+$I70*COS(RADIANS('13_시나리오비교'!$B$11))),0)</f>
        <v/>
      </c>
      <c r="W70" s="80">
        <f>IF($I70&gt;0,MAX(0,$G70*SIN(RADIANS('13_시나리오비교'!$B$12))*SIN(RADIANS('13_시나리오비교'!$C$12))+$H70*SIN(RADIANS('13_시나리오비교'!$B$12))*COS(RADIANS('13_시나리오비교'!$C$12))+$I70*COS(RADIANS('13_시나리오비교'!$B$12))),0)</f>
        <v/>
      </c>
      <c r="X70" s="80">
        <f>IF($I70&gt;0,MAX(0,$G70*SIN(RADIANS('13_시나리오비교'!$B$13))*SIN(RADIANS('13_시나리오비교'!$C$13))+$H70*SIN(RADIANS('13_시나리오비교'!$B$13))*COS(RADIANS('13_시나리오비교'!$C$13))+$I70*COS(RADIANS('13_시나리오비교'!$B$13))),0)</f>
        <v/>
      </c>
      <c r="Y70" s="80">
        <f>IF($I70&gt;0,MAX(0,$G70*SIN(RADIANS('13_시나리오비교'!$B$14))*SIN(RADIANS('13_시나리오비교'!$C$14))+$H70*SIN(RADIANS('13_시나리오비교'!$B$14))*COS(RADIANS('13_시나리오비교'!$C$14))+$I70*COS(RADIANS('13_시나리오비교'!$B$14))),0)</f>
        <v/>
      </c>
    </row>
    <row r="71" hidden="1" outlineLevel="1">
      <c r="A71" s="79" t="n">
        <v>1</v>
      </c>
      <c r="B71" s="79" t="n">
        <v>51</v>
      </c>
      <c r="C71" s="80">
        <f>(B71-0.5)*'14_지역·상수'!$H$6</f>
        <v/>
      </c>
      <c r="D71" s="79" t="n">
        <v>17</v>
      </c>
      <c r="E71" s="80">
        <f>INDEX($C$4:$C$15,MATCH(A71,$A$4:$A$15,0))</f>
        <v/>
      </c>
      <c r="F71" s="80">
        <f>15*(C71-12)</f>
        <v/>
      </c>
      <c r="G71" s="80">
        <f>-COS(RADIANS(E71))*SIN(RADIANS(F71))</f>
        <v/>
      </c>
      <c r="H71" s="80">
        <f>COS(RADIANS('11_발전량_모델'!$B$17))*SIN(RADIANS(E71))-SIN(RADIANS('11_발전량_모델'!$B$17))*COS(RADIANS(E71))*COS(RADIANS(F71))</f>
        <v/>
      </c>
      <c r="I71" s="80">
        <f>SIN(RADIANS('11_발전량_모델'!$B$17))*SIN(RADIANS(E71))+COS(RADIANS('11_발전량_모델'!$B$17))*COS(RADIANS(E71))*COS(RADIANS(F71))</f>
        <v/>
      </c>
      <c r="J71" s="80">
        <f>SIN(RADIANS('11_발전량_모델'!$B$7))*SIN(RADIANS('11_발전량_모델'!$B$8))</f>
        <v/>
      </c>
      <c r="K71" s="80">
        <f>SIN(RADIANS('11_발전량_모델'!$B$7))*COS(RADIANS('11_발전량_모델'!$B$8))</f>
        <v/>
      </c>
      <c r="L71" s="80">
        <f>COS(RADIANS('11_발전량_모델'!$B$7))</f>
        <v/>
      </c>
      <c r="M71" s="80">
        <f>G71*J71+H71*K71+I71*L71</f>
        <v/>
      </c>
      <c r="N71" s="80">
        <f>MAX(0,I71)</f>
        <v/>
      </c>
      <c r="O71" s="80">
        <f>IF(I71&gt;0,MAX(0,M71),0)</f>
        <v/>
      </c>
      <c r="P71" s="80">
        <f>IF($I71&gt;0,MAX(0,$G71*SIN(RADIANS('13_시나리오비교'!$B$5))*SIN(RADIANS('13_시나리오비교'!$C$5))+$H71*SIN(RADIANS('13_시나리오비교'!$B$5))*COS(RADIANS('13_시나리오비교'!$C$5))+$I71*COS(RADIANS('13_시나리오비교'!$B$5))),0)</f>
        <v/>
      </c>
      <c r="Q71" s="80">
        <f>IF($I71&gt;0,MAX(0,$G71*SIN(RADIANS('13_시나리오비교'!$B$6))*SIN(RADIANS('13_시나리오비교'!$C$6))+$H71*SIN(RADIANS('13_시나리오비교'!$B$6))*COS(RADIANS('13_시나리오비교'!$C$6))+$I71*COS(RADIANS('13_시나리오비교'!$B$6))),0)</f>
        <v/>
      </c>
      <c r="R71" s="80">
        <f>IF($I71&gt;0,MAX(0,$G71*SIN(RADIANS('13_시나리오비교'!$B$7))*SIN(RADIANS('13_시나리오비교'!$C$7))+$H71*SIN(RADIANS('13_시나리오비교'!$B$7))*COS(RADIANS('13_시나리오비교'!$C$7))+$I71*COS(RADIANS('13_시나리오비교'!$B$7))),0)</f>
        <v/>
      </c>
      <c r="S71" s="80">
        <f>IF($I71&gt;0,MAX(0,$G71*SIN(RADIANS('13_시나리오비교'!$B$8))*SIN(RADIANS('13_시나리오비교'!$C$8))+$H71*SIN(RADIANS('13_시나리오비교'!$B$8))*COS(RADIANS('13_시나리오비교'!$C$8))+$I71*COS(RADIANS('13_시나리오비교'!$B$8))),0)</f>
        <v/>
      </c>
      <c r="T71" s="80">
        <f>IF($I71&gt;0,MAX(0,$G71*SIN(RADIANS('13_시나리오비교'!$B$9))*SIN(RADIANS('13_시나리오비교'!$C$9))+$H71*SIN(RADIANS('13_시나리오비교'!$B$9))*COS(RADIANS('13_시나리오비교'!$C$9))+$I71*COS(RADIANS('13_시나리오비교'!$B$9))),0)</f>
        <v/>
      </c>
      <c r="U71" s="80">
        <f>IF($I71&gt;0,MAX(0,$G71*SIN(RADIANS('13_시나리오비교'!$B$10))*SIN(RADIANS('13_시나리오비교'!$C$10))+$H71*SIN(RADIANS('13_시나리오비교'!$B$10))*COS(RADIANS('13_시나리오비교'!$C$10))+$I71*COS(RADIANS('13_시나리오비교'!$B$10))),0)</f>
        <v/>
      </c>
      <c r="V71" s="80">
        <f>IF($I71&gt;0,MAX(0,$G71*SIN(RADIANS('13_시나리오비교'!$B$11))*SIN(RADIANS('13_시나리오비교'!$C$11))+$H71*SIN(RADIANS('13_시나리오비교'!$B$11))*COS(RADIANS('13_시나리오비교'!$C$11))+$I71*COS(RADIANS('13_시나리오비교'!$B$11))),0)</f>
        <v/>
      </c>
      <c r="W71" s="80">
        <f>IF($I71&gt;0,MAX(0,$G71*SIN(RADIANS('13_시나리오비교'!$B$12))*SIN(RADIANS('13_시나리오비교'!$C$12))+$H71*SIN(RADIANS('13_시나리오비교'!$B$12))*COS(RADIANS('13_시나리오비교'!$C$12))+$I71*COS(RADIANS('13_시나리오비교'!$B$12))),0)</f>
        <v/>
      </c>
      <c r="X71" s="80">
        <f>IF($I71&gt;0,MAX(0,$G71*SIN(RADIANS('13_시나리오비교'!$B$13))*SIN(RADIANS('13_시나리오비교'!$C$13))+$H71*SIN(RADIANS('13_시나리오비교'!$B$13))*COS(RADIANS('13_시나리오비교'!$C$13))+$I71*COS(RADIANS('13_시나리오비교'!$B$13))),0)</f>
        <v/>
      </c>
      <c r="Y71" s="80">
        <f>IF($I71&gt;0,MAX(0,$G71*SIN(RADIANS('13_시나리오비교'!$B$14))*SIN(RADIANS('13_시나리오비교'!$C$14))+$H71*SIN(RADIANS('13_시나리오비교'!$B$14))*COS(RADIANS('13_시나리오비교'!$C$14))+$I71*COS(RADIANS('13_시나리오비교'!$B$14))),0)</f>
        <v/>
      </c>
    </row>
    <row r="72" hidden="1" outlineLevel="1">
      <c r="A72" s="79" t="n">
        <v>1</v>
      </c>
      <c r="B72" s="79" t="n">
        <v>52</v>
      </c>
      <c r="C72" s="80">
        <f>(B72-0.5)*'14_지역·상수'!$H$6</f>
        <v/>
      </c>
      <c r="D72" s="79" t="n">
        <v>17</v>
      </c>
      <c r="E72" s="80">
        <f>INDEX($C$4:$C$15,MATCH(A72,$A$4:$A$15,0))</f>
        <v/>
      </c>
      <c r="F72" s="80">
        <f>15*(C72-12)</f>
        <v/>
      </c>
      <c r="G72" s="80">
        <f>-COS(RADIANS(E72))*SIN(RADIANS(F72))</f>
        <v/>
      </c>
      <c r="H72" s="80">
        <f>COS(RADIANS('11_발전량_모델'!$B$17))*SIN(RADIANS(E72))-SIN(RADIANS('11_발전량_모델'!$B$17))*COS(RADIANS(E72))*COS(RADIANS(F72))</f>
        <v/>
      </c>
      <c r="I72" s="80">
        <f>SIN(RADIANS('11_발전량_모델'!$B$17))*SIN(RADIANS(E72))+COS(RADIANS('11_발전량_모델'!$B$17))*COS(RADIANS(E72))*COS(RADIANS(F72))</f>
        <v/>
      </c>
      <c r="J72" s="80">
        <f>SIN(RADIANS('11_발전량_모델'!$B$7))*SIN(RADIANS('11_발전량_모델'!$B$8))</f>
        <v/>
      </c>
      <c r="K72" s="80">
        <f>SIN(RADIANS('11_발전량_모델'!$B$7))*COS(RADIANS('11_발전량_모델'!$B$8))</f>
        <v/>
      </c>
      <c r="L72" s="80">
        <f>COS(RADIANS('11_발전량_모델'!$B$7))</f>
        <v/>
      </c>
      <c r="M72" s="80">
        <f>G72*J72+H72*K72+I72*L72</f>
        <v/>
      </c>
      <c r="N72" s="80">
        <f>MAX(0,I72)</f>
        <v/>
      </c>
      <c r="O72" s="80">
        <f>IF(I72&gt;0,MAX(0,M72),0)</f>
        <v/>
      </c>
      <c r="P72" s="80">
        <f>IF($I72&gt;0,MAX(0,$G72*SIN(RADIANS('13_시나리오비교'!$B$5))*SIN(RADIANS('13_시나리오비교'!$C$5))+$H72*SIN(RADIANS('13_시나리오비교'!$B$5))*COS(RADIANS('13_시나리오비교'!$C$5))+$I72*COS(RADIANS('13_시나리오비교'!$B$5))),0)</f>
        <v/>
      </c>
      <c r="Q72" s="80">
        <f>IF($I72&gt;0,MAX(0,$G72*SIN(RADIANS('13_시나리오비교'!$B$6))*SIN(RADIANS('13_시나리오비교'!$C$6))+$H72*SIN(RADIANS('13_시나리오비교'!$B$6))*COS(RADIANS('13_시나리오비교'!$C$6))+$I72*COS(RADIANS('13_시나리오비교'!$B$6))),0)</f>
        <v/>
      </c>
      <c r="R72" s="80">
        <f>IF($I72&gt;0,MAX(0,$G72*SIN(RADIANS('13_시나리오비교'!$B$7))*SIN(RADIANS('13_시나리오비교'!$C$7))+$H72*SIN(RADIANS('13_시나리오비교'!$B$7))*COS(RADIANS('13_시나리오비교'!$C$7))+$I72*COS(RADIANS('13_시나리오비교'!$B$7))),0)</f>
        <v/>
      </c>
      <c r="S72" s="80">
        <f>IF($I72&gt;0,MAX(0,$G72*SIN(RADIANS('13_시나리오비교'!$B$8))*SIN(RADIANS('13_시나리오비교'!$C$8))+$H72*SIN(RADIANS('13_시나리오비교'!$B$8))*COS(RADIANS('13_시나리오비교'!$C$8))+$I72*COS(RADIANS('13_시나리오비교'!$B$8))),0)</f>
        <v/>
      </c>
      <c r="T72" s="80">
        <f>IF($I72&gt;0,MAX(0,$G72*SIN(RADIANS('13_시나리오비교'!$B$9))*SIN(RADIANS('13_시나리오비교'!$C$9))+$H72*SIN(RADIANS('13_시나리오비교'!$B$9))*COS(RADIANS('13_시나리오비교'!$C$9))+$I72*COS(RADIANS('13_시나리오비교'!$B$9))),0)</f>
        <v/>
      </c>
      <c r="U72" s="80">
        <f>IF($I72&gt;0,MAX(0,$G72*SIN(RADIANS('13_시나리오비교'!$B$10))*SIN(RADIANS('13_시나리오비교'!$C$10))+$H72*SIN(RADIANS('13_시나리오비교'!$B$10))*COS(RADIANS('13_시나리오비교'!$C$10))+$I72*COS(RADIANS('13_시나리오비교'!$B$10))),0)</f>
        <v/>
      </c>
      <c r="V72" s="80">
        <f>IF($I72&gt;0,MAX(0,$G72*SIN(RADIANS('13_시나리오비교'!$B$11))*SIN(RADIANS('13_시나리오비교'!$C$11))+$H72*SIN(RADIANS('13_시나리오비교'!$B$11))*COS(RADIANS('13_시나리오비교'!$C$11))+$I72*COS(RADIANS('13_시나리오비교'!$B$11))),0)</f>
        <v/>
      </c>
      <c r="W72" s="80">
        <f>IF($I72&gt;0,MAX(0,$G72*SIN(RADIANS('13_시나리오비교'!$B$12))*SIN(RADIANS('13_시나리오비교'!$C$12))+$H72*SIN(RADIANS('13_시나리오비교'!$B$12))*COS(RADIANS('13_시나리오비교'!$C$12))+$I72*COS(RADIANS('13_시나리오비교'!$B$12))),0)</f>
        <v/>
      </c>
      <c r="X72" s="80">
        <f>IF($I72&gt;0,MAX(0,$G72*SIN(RADIANS('13_시나리오비교'!$B$13))*SIN(RADIANS('13_시나리오비교'!$C$13))+$H72*SIN(RADIANS('13_시나리오비교'!$B$13))*COS(RADIANS('13_시나리오비교'!$C$13))+$I72*COS(RADIANS('13_시나리오비교'!$B$13))),0)</f>
        <v/>
      </c>
      <c r="Y72" s="80">
        <f>IF($I72&gt;0,MAX(0,$G72*SIN(RADIANS('13_시나리오비교'!$B$14))*SIN(RADIANS('13_시나리오비교'!$C$14))+$H72*SIN(RADIANS('13_시나리오비교'!$B$14))*COS(RADIANS('13_시나리오비교'!$C$14))+$I72*COS(RADIANS('13_시나리오비교'!$B$14))),0)</f>
        <v/>
      </c>
    </row>
    <row r="73" hidden="1" outlineLevel="1">
      <c r="A73" s="79" t="n">
        <v>1</v>
      </c>
      <c r="B73" s="79" t="n">
        <v>53</v>
      </c>
      <c r="C73" s="80">
        <f>(B73-0.5)*'14_지역·상수'!$H$6</f>
        <v/>
      </c>
      <c r="D73" s="79" t="n">
        <v>17</v>
      </c>
      <c r="E73" s="80">
        <f>INDEX($C$4:$C$15,MATCH(A73,$A$4:$A$15,0))</f>
        <v/>
      </c>
      <c r="F73" s="80">
        <f>15*(C73-12)</f>
        <v/>
      </c>
      <c r="G73" s="80">
        <f>-COS(RADIANS(E73))*SIN(RADIANS(F73))</f>
        <v/>
      </c>
      <c r="H73" s="80">
        <f>COS(RADIANS('11_발전량_모델'!$B$17))*SIN(RADIANS(E73))-SIN(RADIANS('11_발전량_모델'!$B$17))*COS(RADIANS(E73))*COS(RADIANS(F73))</f>
        <v/>
      </c>
      <c r="I73" s="80">
        <f>SIN(RADIANS('11_발전량_모델'!$B$17))*SIN(RADIANS(E73))+COS(RADIANS('11_발전량_모델'!$B$17))*COS(RADIANS(E73))*COS(RADIANS(F73))</f>
        <v/>
      </c>
      <c r="J73" s="80">
        <f>SIN(RADIANS('11_발전량_모델'!$B$7))*SIN(RADIANS('11_발전량_모델'!$B$8))</f>
        <v/>
      </c>
      <c r="K73" s="80">
        <f>SIN(RADIANS('11_발전량_모델'!$B$7))*COS(RADIANS('11_발전량_모델'!$B$8))</f>
        <v/>
      </c>
      <c r="L73" s="80">
        <f>COS(RADIANS('11_발전량_모델'!$B$7))</f>
        <v/>
      </c>
      <c r="M73" s="80">
        <f>G73*J73+H73*K73+I73*L73</f>
        <v/>
      </c>
      <c r="N73" s="80">
        <f>MAX(0,I73)</f>
        <v/>
      </c>
      <c r="O73" s="80">
        <f>IF(I73&gt;0,MAX(0,M73),0)</f>
        <v/>
      </c>
      <c r="P73" s="80">
        <f>IF($I73&gt;0,MAX(0,$G73*SIN(RADIANS('13_시나리오비교'!$B$5))*SIN(RADIANS('13_시나리오비교'!$C$5))+$H73*SIN(RADIANS('13_시나리오비교'!$B$5))*COS(RADIANS('13_시나리오비교'!$C$5))+$I73*COS(RADIANS('13_시나리오비교'!$B$5))),0)</f>
        <v/>
      </c>
      <c r="Q73" s="80">
        <f>IF($I73&gt;0,MAX(0,$G73*SIN(RADIANS('13_시나리오비교'!$B$6))*SIN(RADIANS('13_시나리오비교'!$C$6))+$H73*SIN(RADIANS('13_시나리오비교'!$B$6))*COS(RADIANS('13_시나리오비교'!$C$6))+$I73*COS(RADIANS('13_시나리오비교'!$B$6))),0)</f>
        <v/>
      </c>
      <c r="R73" s="80">
        <f>IF($I73&gt;0,MAX(0,$G73*SIN(RADIANS('13_시나리오비교'!$B$7))*SIN(RADIANS('13_시나리오비교'!$C$7))+$H73*SIN(RADIANS('13_시나리오비교'!$B$7))*COS(RADIANS('13_시나리오비교'!$C$7))+$I73*COS(RADIANS('13_시나리오비교'!$B$7))),0)</f>
        <v/>
      </c>
      <c r="S73" s="80">
        <f>IF($I73&gt;0,MAX(0,$G73*SIN(RADIANS('13_시나리오비교'!$B$8))*SIN(RADIANS('13_시나리오비교'!$C$8))+$H73*SIN(RADIANS('13_시나리오비교'!$B$8))*COS(RADIANS('13_시나리오비교'!$C$8))+$I73*COS(RADIANS('13_시나리오비교'!$B$8))),0)</f>
        <v/>
      </c>
      <c r="T73" s="80">
        <f>IF($I73&gt;0,MAX(0,$G73*SIN(RADIANS('13_시나리오비교'!$B$9))*SIN(RADIANS('13_시나리오비교'!$C$9))+$H73*SIN(RADIANS('13_시나리오비교'!$B$9))*COS(RADIANS('13_시나리오비교'!$C$9))+$I73*COS(RADIANS('13_시나리오비교'!$B$9))),0)</f>
        <v/>
      </c>
      <c r="U73" s="80">
        <f>IF($I73&gt;0,MAX(0,$G73*SIN(RADIANS('13_시나리오비교'!$B$10))*SIN(RADIANS('13_시나리오비교'!$C$10))+$H73*SIN(RADIANS('13_시나리오비교'!$B$10))*COS(RADIANS('13_시나리오비교'!$C$10))+$I73*COS(RADIANS('13_시나리오비교'!$B$10))),0)</f>
        <v/>
      </c>
      <c r="V73" s="80">
        <f>IF($I73&gt;0,MAX(0,$G73*SIN(RADIANS('13_시나리오비교'!$B$11))*SIN(RADIANS('13_시나리오비교'!$C$11))+$H73*SIN(RADIANS('13_시나리오비교'!$B$11))*COS(RADIANS('13_시나리오비교'!$C$11))+$I73*COS(RADIANS('13_시나리오비교'!$B$11))),0)</f>
        <v/>
      </c>
      <c r="W73" s="80">
        <f>IF($I73&gt;0,MAX(0,$G73*SIN(RADIANS('13_시나리오비교'!$B$12))*SIN(RADIANS('13_시나리오비교'!$C$12))+$H73*SIN(RADIANS('13_시나리오비교'!$B$12))*COS(RADIANS('13_시나리오비교'!$C$12))+$I73*COS(RADIANS('13_시나리오비교'!$B$12))),0)</f>
        <v/>
      </c>
      <c r="X73" s="80">
        <f>IF($I73&gt;0,MAX(0,$G73*SIN(RADIANS('13_시나리오비교'!$B$13))*SIN(RADIANS('13_시나리오비교'!$C$13))+$H73*SIN(RADIANS('13_시나리오비교'!$B$13))*COS(RADIANS('13_시나리오비교'!$C$13))+$I73*COS(RADIANS('13_시나리오비교'!$B$13))),0)</f>
        <v/>
      </c>
      <c r="Y73" s="80">
        <f>IF($I73&gt;0,MAX(0,$G73*SIN(RADIANS('13_시나리오비교'!$B$14))*SIN(RADIANS('13_시나리오비교'!$C$14))+$H73*SIN(RADIANS('13_시나리오비교'!$B$14))*COS(RADIANS('13_시나리오비교'!$C$14))+$I73*COS(RADIANS('13_시나리오비교'!$B$14))),0)</f>
        <v/>
      </c>
    </row>
    <row r="74" hidden="1" outlineLevel="1">
      <c r="A74" s="79" t="n">
        <v>1</v>
      </c>
      <c r="B74" s="79" t="n">
        <v>54</v>
      </c>
      <c r="C74" s="80">
        <f>(B74-0.5)*'14_지역·상수'!$H$6</f>
        <v/>
      </c>
      <c r="D74" s="79" t="n">
        <v>17</v>
      </c>
      <c r="E74" s="80">
        <f>INDEX($C$4:$C$15,MATCH(A74,$A$4:$A$15,0))</f>
        <v/>
      </c>
      <c r="F74" s="80">
        <f>15*(C74-12)</f>
        <v/>
      </c>
      <c r="G74" s="80">
        <f>-COS(RADIANS(E74))*SIN(RADIANS(F74))</f>
        <v/>
      </c>
      <c r="H74" s="80">
        <f>COS(RADIANS('11_발전량_모델'!$B$17))*SIN(RADIANS(E74))-SIN(RADIANS('11_발전량_모델'!$B$17))*COS(RADIANS(E74))*COS(RADIANS(F74))</f>
        <v/>
      </c>
      <c r="I74" s="80">
        <f>SIN(RADIANS('11_발전량_모델'!$B$17))*SIN(RADIANS(E74))+COS(RADIANS('11_발전량_모델'!$B$17))*COS(RADIANS(E74))*COS(RADIANS(F74))</f>
        <v/>
      </c>
      <c r="J74" s="80">
        <f>SIN(RADIANS('11_발전량_모델'!$B$7))*SIN(RADIANS('11_발전량_모델'!$B$8))</f>
        <v/>
      </c>
      <c r="K74" s="80">
        <f>SIN(RADIANS('11_발전량_모델'!$B$7))*COS(RADIANS('11_발전량_모델'!$B$8))</f>
        <v/>
      </c>
      <c r="L74" s="80">
        <f>COS(RADIANS('11_발전량_모델'!$B$7))</f>
        <v/>
      </c>
      <c r="M74" s="80">
        <f>G74*J74+H74*K74+I74*L74</f>
        <v/>
      </c>
      <c r="N74" s="80">
        <f>MAX(0,I74)</f>
        <v/>
      </c>
      <c r="O74" s="80">
        <f>IF(I74&gt;0,MAX(0,M74),0)</f>
        <v/>
      </c>
      <c r="P74" s="80">
        <f>IF($I74&gt;0,MAX(0,$G74*SIN(RADIANS('13_시나리오비교'!$B$5))*SIN(RADIANS('13_시나리오비교'!$C$5))+$H74*SIN(RADIANS('13_시나리오비교'!$B$5))*COS(RADIANS('13_시나리오비교'!$C$5))+$I74*COS(RADIANS('13_시나리오비교'!$B$5))),0)</f>
        <v/>
      </c>
      <c r="Q74" s="80">
        <f>IF($I74&gt;0,MAX(0,$G74*SIN(RADIANS('13_시나리오비교'!$B$6))*SIN(RADIANS('13_시나리오비교'!$C$6))+$H74*SIN(RADIANS('13_시나리오비교'!$B$6))*COS(RADIANS('13_시나리오비교'!$C$6))+$I74*COS(RADIANS('13_시나리오비교'!$B$6))),0)</f>
        <v/>
      </c>
      <c r="R74" s="80">
        <f>IF($I74&gt;0,MAX(0,$G74*SIN(RADIANS('13_시나리오비교'!$B$7))*SIN(RADIANS('13_시나리오비교'!$C$7))+$H74*SIN(RADIANS('13_시나리오비교'!$B$7))*COS(RADIANS('13_시나리오비교'!$C$7))+$I74*COS(RADIANS('13_시나리오비교'!$B$7))),0)</f>
        <v/>
      </c>
      <c r="S74" s="80">
        <f>IF($I74&gt;0,MAX(0,$G74*SIN(RADIANS('13_시나리오비교'!$B$8))*SIN(RADIANS('13_시나리오비교'!$C$8))+$H74*SIN(RADIANS('13_시나리오비교'!$B$8))*COS(RADIANS('13_시나리오비교'!$C$8))+$I74*COS(RADIANS('13_시나리오비교'!$B$8))),0)</f>
        <v/>
      </c>
      <c r="T74" s="80">
        <f>IF($I74&gt;0,MAX(0,$G74*SIN(RADIANS('13_시나리오비교'!$B$9))*SIN(RADIANS('13_시나리오비교'!$C$9))+$H74*SIN(RADIANS('13_시나리오비교'!$B$9))*COS(RADIANS('13_시나리오비교'!$C$9))+$I74*COS(RADIANS('13_시나리오비교'!$B$9))),0)</f>
        <v/>
      </c>
      <c r="U74" s="80">
        <f>IF($I74&gt;0,MAX(0,$G74*SIN(RADIANS('13_시나리오비교'!$B$10))*SIN(RADIANS('13_시나리오비교'!$C$10))+$H74*SIN(RADIANS('13_시나리오비교'!$B$10))*COS(RADIANS('13_시나리오비교'!$C$10))+$I74*COS(RADIANS('13_시나리오비교'!$B$10))),0)</f>
        <v/>
      </c>
      <c r="V74" s="80">
        <f>IF($I74&gt;0,MAX(0,$G74*SIN(RADIANS('13_시나리오비교'!$B$11))*SIN(RADIANS('13_시나리오비교'!$C$11))+$H74*SIN(RADIANS('13_시나리오비교'!$B$11))*COS(RADIANS('13_시나리오비교'!$C$11))+$I74*COS(RADIANS('13_시나리오비교'!$B$11))),0)</f>
        <v/>
      </c>
      <c r="W74" s="80">
        <f>IF($I74&gt;0,MAX(0,$G74*SIN(RADIANS('13_시나리오비교'!$B$12))*SIN(RADIANS('13_시나리오비교'!$C$12))+$H74*SIN(RADIANS('13_시나리오비교'!$B$12))*COS(RADIANS('13_시나리오비교'!$C$12))+$I74*COS(RADIANS('13_시나리오비교'!$B$12))),0)</f>
        <v/>
      </c>
      <c r="X74" s="80">
        <f>IF($I74&gt;0,MAX(0,$G74*SIN(RADIANS('13_시나리오비교'!$B$13))*SIN(RADIANS('13_시나리오비교'!$C$13))+$H74*SIN(RADIANS('13_시나리오비교'!$B$13))*COS(RADIANS('13_시나리오비교'!$C$13))+$I74*COS(RADIANS('13_시나리오비교'!$B$13))),0)</f>
        <v/>
      </c>
      <c r="Y74" s="80">
        <f>IF($I74&gt;0,MAX(0,$G74*SIN(RADIANS('13_시나리오비교'!$B$14))*SIN(RADIANS('13_시나리오비교'!$C$14))+$H74*SIN(RADIANS('13_시나리오비교'!$B$14))*COS(RADIANS('13_시나리오비교'!$C$14))+$I74*COS(RADIANS('13_시나리오비교'!$B$14))),0)</f>
        <v/>
      </c>
    </row>
    <row r="75" hidden="1" outlineLevel="1">
      <c r="A75" s="79" t="n">
        <v>1</v>
      </c>
      <c r="B75" s="79" t="n">
        <v>55</v>
      </c>
      <c r="C75" s="80">
        <f>(B75-0.5)*'14_지역·상수'!$H$6</f>
        <v/>
      </c>
      <c r="D75" s="79" t="n">
        <v>17</v>
      </c>
      <c r="E75" s="80">
        <f>INDEX($C$4:$C$15,MATCH(A75,$A$4:$A$15,0))</f>
        <v/>
      </c>
      <c r="F75" s="80">
        <f>15*(C75-12)</f>
        <v/>
      </c>
      <c r="G75" s="80">
        <f>-COS(RADIANS(E75))*SIN(RADIANS(F75))</f>
        <v/>
      </c>
      <c r="H75" s="80">
        <f>COS(RADIANS('11_발전량_모델'!$B$17))*SIN(RADIANS(E75))-SIN(RADIANS('11_발전량_모델'!$B$17))*COS(RADIANS(E75))*COS(RADIANS(F75))</f>
        <v/>
      </c>
      <c r="I75" s="80">
        <f>SIN(RADIANS('11_발전량_모델'!$B$17))*SIN(RADIANS(E75))+COS(RADIANS('11_발전량_모델'!$B$17))*COS(RADIANS(E75))*COS(RADIANS(F75))</f>
        <v/>
      </c>
      <c r="J75" s="80">
        <f>SIN(RADIANS('11_발전량_모델'!$B$7))*SIN(RADIANS('11_발전량_모델'!$B$8))</f>
        <v/>
      </c>
      <c r="K75" s="80">
        <f>SIN(RADIANS('11_발전량_모델'!$B$7))*COS(RADIANS('11_발전량_모델'!$B$8))</f>
        <v/>
      </c>
      <c r="L75" s="80">
        <f>COS(RADIANS('11_발전량_모델'!$B$7))</f>
        <v/>
      </c>
      <c r="M75" s="80">
        <f>G75*J75+H75*K75+I75*L75</f>
        <v/>
      </c>
      <c r="N75" s="80">
        <f>MAX(0,I75)</f>
        <v/>
      </c>
      <c r="O75" s="80">
        <f>IF(I75&gt;0,MAX(0,M75),0)</f>
        <v/>
      </c>
      <c r="P75" s="80">
        <f>IF($I75&gt;0,MAX(0,$G75*SIN(RADIANS('13_시나리오비교'!$B$5))*SIN(RADIANS('13_시나리오비교'!$C$5))+$H75*SIN(RADIANS('13_시나리오비교'!$B$5))*COS(RADIANS('13_시나리오비교'!$C$5))+$I75*COS(RADIANS('13_시나리오비교'!$B$5))),0)</f>
        <v/>
      </c>
      <c r="Q75" s="80">
        <f>IF($I75&gt;0,MAX(0,$G75*SIN(RADIANS('13_시나리오비교'!$B$6))*SIN(RADIANS('13_시나리오비교'!$C$6))+$H75*SIN(RADIANS('13_시나리오비교'!$B$6))*COS(RADIANS('13_시나리오비교'!$C$6))+$I75*COS(RADIANS('13_시나리오비교'!$B$6))),0)</f>
        <v/>
      </c>
      <c r="R75" s="80">
        <f>IF($I75&gt;0,MAX(0,$G75*SIN(RADIANS('13_시나리오비교'!$B$7))*SIN(RADIANS('13_시나리오비교'!$C$7))+$H75*SIN(RADIANS('13_시나리오비교'!$B$7))*COS(RADIANS('13_시나리오비교'!$C$7))+$I75*COS(RADIANS('13_시나리오비교'!$B$7))),0)</f>
        <v/>
      </c>
      <c r="S75" s="80">
        <f>IF($I75&gt;0,MAX(0,$G75*SIN(RADIANS('13_시나리오비교'!$B$8))*SIN(RADIANS('13_시나리오비교'!$C$8))+$H75*SIN(RADIANS('13_시나리오비교'!$B$8))*COS(RADIANS('13_시나리오비교'!$C$8))+$I75*COS(RADIANS('13_시나리오비교'!$B$8))),0)</f>
        <v/>
      </c>
      <c r="T75" s="80">
        <f>IF($I75&gt;0,MAX(0,$G75*SIN(RADIANS('13_시나리오비교'!$B$9))*SIN(RADIANS('13_시나리오비교'!$C$9))+$H75*SIN(RADIANS('13_시나리오비교'!$B$9))*COS(RADIANS('13_시나리오비교'!$C$9))+$I75*COS(RADIANS('13_시나리오비교'!$B$9))),0)</f>
        <v/>
      </c>
      <c r="U75" s="80">
        <f>IF($I75&gt;0,MAX(0,$G75*SIN(RADIANS('13_시나리오비교'!$B$10))*SIN(RADIANS('13_시나리오비교'!$C$10))+$H75*SIN(RADIANS('13_시나리오비교'!$B$10))*COS(RADIANS('13_시나리오비교'!$C$10))+$I75*COS(RADIANS('13_시나리오비교'!$B$10))),0)</f>
        <v/>
      </c>
      <c r="V75" s="80">
        <f>IF($I75&gt;0,MAX(0,$G75*SIN(RADIANS('13_시나리오비교'!$B$11))*SIN(RADIANS('13_시나리오비교'!$C$11))+$H75*SIN(RADIANS('13_시나리오비교'!$B$11))*COS(RADIANS('13_시나리오비교'!$C$11))+$I75*COS(RADIANS('13_시나리오비교'!$B$11))),0)</f>
        <v/>
      </c>
      <c r="W75" s="80">
        <f>IF($I75&gt;0,MAX(0,$G75*SIN(RADIANS('13_시나리오비교'!$B$12))*SIN(RADIANS('13_시나리오비교'!$C$12))+$H75*SIN(RADIANS('13_시나리오비교'!$B$12))*COS(RADIANS('13_시나리오비교'!$C$12))+$I75*COS(RADIANS('13_시나리오비교'!$B$12))),0)</f>
        <v/>
      </c>
      <c r="X75" s="80">
        <f>IF($I75&gt;0,MAX(0,$G75*SIN(RADIANS('13_시나리오비교'!$B$13))*SIN(RADIANS('13_시나리오비교'!$C$13))+$H75*SIN(RADIANS('13_시나리오비교'!$B$13))*COS(RADIANS('13_시나리오비교'!$C$13))+$I75*COS(RADIANS('13_시나리오비교'!$B$13))),0)</f>
        <v/>
      </c>
      <c r="Y75" s="80">
        <f>IF($I75&gt;0,MAX(0,$G75*SIN(RADIANS('13_시나리오비교'!$B$14))*SIN(RADIANS('13_시나리오비교'!$C$14))+$H75*SIN(RADIANS('13_시나리오비교'!$B$14))*COS(RADIANS('13_시나리오비교'!$C$14))+$I75*COS(RADIANS('13_시나리오비교'!$B$14))),0)</f>
        <v/>
      </c>
    </row>
    <row r="76" hidden="1" outlineLevel="1">
      <c r="A76" s="79" t="n">
        <v>1</v>
      </c>
      <c r="B76" s="79" t="n">
        <v>56</v>
      </c>
      <c r="C76" s="80">
        <f>(B76-0.5)*'14_지역·상수'!$H$6</f>
        <v/>
      </c>
      <c r="D76" s="79" t="n">
        <v>17</v>
      </c>
      <c r="E76" s="80">
        <f>INDEX($C$4:$C$15,MATCH(A76,$A$4:$A$15,0))</f>
        <v/>
      </c>
      <c r="F76" s="80">
        <f>15*(C76-12)</f>
        <v/>
      </c>
      <c r="G76" s="80">
        <f>-COS(RADIANS(E76))*SIN(RADIANS(F76))</f>
        <v/>
      </c>
      <c r="H76" s="80">
        <f>COS(RADIANS('11_발전량_모델'!$B$17))*SIN(RADIANS(E76))-SIN(RADIANS('11_발전량_모델'!$B$17))*COS(RADIANS(E76))*COS(RADIANS(F76))</f>
        <v/>
      </c>
      <c r="I76" s="80">
        <f>SIN(RADIANS('11_발전량_모델'!$B$17))*SIN(RADIANS(E76))+COS(RADIANS('11_발전량_모델'!$B$17))*COS(RADIANS(E76))*COS(RADIANS(F76))</f>
        <v/>
      </c>
      <c r="J76" s="80">
        <f>SIN(RADIANS('11_발전량_모델'!$B$7))*SIN(RADIANS('11_발전량_모델'!$B$8))</f>
        <v/>
      </c>
      <c r="K76" s="80">
        <f>SIN(RADIANS('11_발전량_모델'!$B$7))*COS(RADIANS('11_발전량_모델'!$B$8))</f>
        <v/>
      </c>
      <c r="L76" s="80">
        <f>COS(RADIANS('11_발전량_모델'!$B$7))</f>
        <v/>
      </c>
      <c r="M76" s="80">
        <f>G76*J76+H76*K76+I76*L76</f>
        <v/>
      </c>
      <c r="N76" s="80">
        <f>MAX(0,I76)</f>
        <v/>
      </c>
      <c r="O76" s="80">
        <f>IF(I76&gt;0,MAX(0,M76),0)</f>
        <v/>
      </c>
      <c r="P76" s="80">
        <f>IF($I76&gt;0,MAX(0,$G76*SIN(RADIANS('13_시나리오비교'!$B$5))*SIN(RADIANS('13_시나리오비교'!$C$5))+$H76*SIN(RADIANS('13_시나리오비교'!$B$5))*COS(RADIANS('13_시나리오비교'!$C$5))+$I76*COS(RADIANS('13_시나리오비교'!$B$5))),0)</f>
        <v/>
      </c>
      <c r="Q76" s="80">
        <f>IF($I76&gt;0,MAX(0,$G76*SIN(RADIANS('13_시나리오비교'!$B$6))*SIN(RADIANS('13_시나리오비교'!$C$6))+$H76*SIN(RADIANS('13_시나리오비교'!$B$6))*COS(RADIANS('13_시나리오비교'!$C$6))+$I76*COS(RADIANS('13_시나리오비교'!$B$6))),0)</f>
        <v/>
      </c>
      <c r="R76" s="80">
        <f>IF($I76&gt;0,MAX(0,$G76*SIN(RADIANS('13_시나리오비교'!$B$7))*SIN(RADIANS('13_시나리오비교'!$C$7))+$H76*SIN(RADIANS('13_시나리오비교'!$B$7))*COS(RADIANS('13_시나리오비교'!$C$7))+$I76*COS(RADIANS('13_시나리오비교'!$B$7))),0)</f>
        <v/>
      </c>
      <c r="S76" s="80">
        <f>IF($I76&gt;0,MAX(0,$G76*SIN(RADIANS('13_시나리오비교'!$B$8))*SIN(RADIANS('13_시나리오비교'!$C$8))+$H76*SIN(RADIANS('13_시나리오비교'!$B$8))*COS(RADIANS('13_시나리오비교'!$C$8))+$I76*COS(RADIANS('13_시나리오비교'!$B$8))),0)</f>
        <v/>
      </c>
      <c r="T76" s="80">
        <f>IF($I76&gt;0,MAX(0,$G76*SIN(RADIANS('13_시나리오비교'!$B$9))*SIN(RADIANS('13_시나리오비교'!$C$9))+$H76*SIN(RADIANS('13_시나리오비교'!$B$9))*COS(RADIANS('13_시나리오비교'!$C$9))+$I76*COS(RADIANS('13_시나리오비교'!$B$9))),0)</f>
        <v/>
      </c>
      <c r="U76" s="80">
        <f>IF($I76&gt;0,MAX(0,$G76*SIN(RADIANS('13_시나리오비교'!$B$10))*SIN(RADIANS('13_시나리오비교'!$C$10))+$H76*SIN(RADIANS('13_시나리오비교'!$B$10))*COS(RADIANS('13_시나리오비교'!$C$10))+$I76*COS(RADIANS('13_시나리오비교'!$B$10))),0)</f>
        <v/>
      </c>
      <c r="V76" s="80">
        <f>IF($I76&gt;0,MAX(0,$G76*SIN(RADIANS('13_시나리오비교'!$B$11))*SIN(RADIANS('13_시나리오비교'!$C$11))+$H76*SIN(RADIANS('13_시나리오비교'!$B$11))*COS(RADIANS('13_시나리오비교'!$C$11))+$I76*COS(RADIANS('13_시나리오비교'!$B$11))),0)</f>
        <v/>
      </c>
      <c r="W76" s="80">
        <f>IF($I76&gt;0,MAX(0,$G76*SIN(RADIANS('13_시나리오비교'!$B$12))*SIN(RADIANS('13_시나리오비교'!$C$12))+$H76*SIN(RADIANS('13_시나리오비교'!$B$12))*COS(RADIANS('13_시나리오비교'!$C$12))+$I76*COS(RADIANS('13_시나리오비교'!$B$12))),0)</f>
        <v/>
      </c>
      <c r="X76" s="80">
        <f>IF($I76&gt;0,MAX(0,$G76*SIN(RADIANS('13_시나리오비교'!$B$13))*SIN(RADIANS('13_시나리오비교'!$C$13))+$H76*SIN(RADIANS('13_시나리오비교'!$B$13))*COS(RADIANS('13_시나리오비교'!$C$13))+$I76*COS(RADIANS('13_시나리오비교'!$B$13))),0)</f>
        <v/>
      </c>
      <c r="Y76" s="80">
        <f>IF($I76&gt;0,MAX(0,$G76*SIN(RADIANS('13_시나리오비교'!$B$14))*SIN(RADIANS('13_시나리오비교'!$C$14))+$H76*SIN(RADIANS('13_시나리오비교'!$B$14))*COS(RADIANS('13_시나리오비교'!$C$14))+$I76*COS(RADIANS('13_시나리오비교'!$B$14))),0)</f>
        <v/>
      </c>
    </row>
    <row r="77" hidden="1" outlineLevel="1">
      <c r="A77" s="79" t="n">
        <v>1</v>
      </c>
      <c r="B77" s="79" t="n">
        <v>57</v>
      </c>
      <c r="C77" s="80">
        <f>(B77-0.5)*'14_지역·상수'!$H$6</f>
        <v/>
      </c>
      <c r="D77" s="79" t="n">
        <v>17</v>
      </c>
      <c r="E77" s="80">
        <f>INDEX($C$4:$C$15,MATCH(A77,$A$4:$A$15,0))</f>
        <v/>
      </c>
      <c r="F77" s="80">
        <f>15*(C77-12)</f>
        <v/>
      </c>
      <c r="G77" s="80">
        <f>-COS(RADIANS(E77))*SIN(RADIANS(F77))</f>
        <v/>
      </c>
      <c r="H77" s="80">
        <f>COS(RADIANS('11_발전량_모델'!$B$17))*SIN(RADIANS(E77))-SIN(RADIANS('11_발전량_모델'!$B$17))*COS(RADIANS(E77))*COS(RADIANS(F77))</f>
        <v/>
      </c>
      <c r="I77" s="80">
        <f>SIN(RADIANS('11_발전량_모델'!$B$17))*SIN(RADIANS(E77))+COS(RADIANS('11_발전량_모델'!$B$17))*COS(RADIANS(E77))*COS(RADIANS(F77))</f>
        <v/>
      </c>
      <c r="J77" s="80">
        <f>SIN(RADIANS('11_발전량_모델'!$B$7))*SIN(RADIANS('11_발전량_모델'!$B$8))</f>
        <v/>
      </c>
      <c r="K77" s="80">
        <f>SIN(RADIANS('11_발전량_모델'!$B$7))*COS(RADIANS('11_발전량_모델'!$B$8))</f>
        <v/>
      </c>
      <c r="L77" s="80">
        <f>COS(RADIANS('11_발전량_모델'!$B$7))</f>
        <v/>
      </c>
      <c r="M77" s="80">
        <f>G77*J77+H77*K77+I77*L77</f>
        <v/>
      </c>
      <c r="N77" s="80">
        <f>MAX(0,I77)</f>
        <v/>
      </c>
      <c r="O77" s="80">
        <f>IF(I77&gt;0,MAX(0,M77),0)</f>
        <v/>
      </c>
      <c r="P77" s="80">
        <f>IF($I77&gt;0,MAX(0,$G77*SIN(RADIANS('13_시나리오비교'!$B$5))*SIN(RADIANS('13_시나리오비교'!$C$5))+$H77*SIN(RADIANS('13_시나리오비교'!$B$5))*COS(RADIANS('13_시나리오비교'!$C$5))+$I77*COS(RADIANS('13_시나리오비교'!$B$5))),0)</f>
        <v/>
      </c>
      <c r="Q77" s="80">
        <f>IF($I77&gt;0,MAX(0,$G77*SIN(RADIANS('13_시나리오비교'!$B$6))*SIN(RADIANS('13_시나리오비교'!$C$6))+$H77*SIN(RADIANS('13_시나리오비교'!$B$6))*COS(RADIANS('13_시나리오비교'!$C$6))+$I77*COS(RADIANS('13_시나리오비교'!$B$6))),0)</f>
        <v/>
      </c>
      <c r="R77" s="80">
        <f>IF($I77&gt;0,MAX(0,$G77*SIN(RADIANS('13_시나리오비교'!$B$7))*SIN(RADIANS('13_시나리오비교'!$C$7))+$H77*SIN(RADIANS('13_시나리오비교'!$B$7))*COS(RADIANS('13_시나리오비교'!$C$7))+$I77*COS(RADIANS('13_시나리오비교'!$B$7))),0)</f>
        <v/>
      </c>
      <c r="S77" s="80">
        <f>IF($I77&gt;0,MAX(0,$G77*SIN(RADIANS('13_시나리오비교'!$B$8))*SIN(RADIANS('13_시나리오비교'!$C$8))+$H77*SIN(RADIANS('13_시나리오비교'!$B$8))*COS(RADIANS('13_시나리오비교'!$C$8))+$I77*COS(RADIANS('13_시나리오비교'!$B$8))),0)</f>
        <v/>
      </c>
      <c r="T77" s="80">
        <f>IF($I77&gt;0,MAX(0,$G77*SIN(RADIANS('13_시나리오비교'!$B$9))*SIN(RADIANS('13_시나리오비교'!$C$9))+$H77*SIN(RADIANS('13_시나리오비교'!$B$9))*COS(RADIANS('13_시나리오비교'!$C$9))+$I77*COS(RADIANS('13_시나리오비교'!$B$9))),0)</f>
        <v/>
      </c>
      <c r="U77" s="80">
        <f>IF($I77&gt;0,MAX(0,$G77*SIN(RADIANS('13_시나리오비교'!$B$10))*SIN(RADIANS('13_시나리오비교'!$C$10))+$H77*SIN(RADIANS('13_시나리오비교'!$B$10))*COS(RADIANS('13_시나리오비교'!$C$10))+$I77*COS(RADIANS('13_시나리오비교'!$B$10))),0)</f>
        <v/>
      </c>
      <c r="V77" s="80">
        <f>IF($I77&gt;0,MAX(0,$G77*SIN(RADIANS('13_시나리오비교'!$B$11))*SIN(RADIANS('13_시나리오비교'!$C$11))+$H77*SIN(RADIANS('13_시나리오비교'!$B$11))*COS(RADIANS('13_시나리오비교'!$C$11))+$I77*COS(RADIANS('13_시나리오비교'!$B$11))),0)</f>
        <v/>
      </c>
      <c r="W77" s="80">
        <f>IF($I77&gt;0,MAX(0,$G77*SIN(RADIANS('13_시나리오비교'!$B$12))*SIN(RADIANS('13_시나리오비교'!$C$12))+$H77*SIN(RADIANS('13_시나리오비교'!$B$12))*COS(RADIANS('13_시나리오비교'!$C$12))+$I77*COS(RADIANS('13_시나리오비교'!$B$12))),0)</f>
        <v/>
      </c>
      <c r="X77" s="80">
        <f>IF($I77&gt;0,MAX(0,$G77*SIN(RADIANS('13_시나리오비교'!$B$13))*SIN(RADIANS('13_시나리오비교'!$C$13))+$H77*SIN(RADIANS('13_시나리오비교'!$B$13))*COS(RADIANS('13_시나리오비교'!$C$13))+$I77*COS(RADIANS('13_시나리오비교'!$B$13))),0)</f>
        <v/>
      </c>
      <c r="Y77" s="80">
        <f>IF($I77&gt;0,MAX(0,$G77*SIN(RADIANS('13_시나리오비교'!$B$14))*SIN(RADIANS('13_시나리오비교'!$C$14))+$H77*SIN(RADIANS('13_시나리오비교'!$B$14))*COS(RADIANS('13_시나리오비교'!$C$14))+$I77*COS(RADIANS('13_시나리오비교'!$B$14))),0)</f>
        <v/>
      </c>
    </row>
    <row r="78" hidden="1" outlineLevel="1">
      <c r="A78" s="79" t="n">
        <v>1</v>
      </c>
      <c r="B78" s="79" t="n">
        <v>58</v>
      </c>
      <c r="C78" s="80">
        <f>(B78-0.5)*'14_지역·상수'!$H$6</f>
        <v/>
      </c>
      <c r="D78" s="79" t="n">
        <v>17</v>
      </c>
      <c r="E78" s="80">
        <f>INDEX($C$4:$C$15,MATCH(A78,$A$4:$A$15,0))</f>
        <v/>
      </c>
      <c r="F78" s="80">
        <f>15*(C78-12)</f>
        <v/>
      </c>
      <c r="G78" s="80">
        <f>-COS(RADIANS(E78))*SIN(RADIANS(F78))</f>
        <v/>
      </c>
      <c r="H78" s="80">
        <f>COS(RADIANS('11_발전량_모델'!$B$17))*SIN(RADIANS(E78))-SIN(RADIANS('11_발전량_모델'!$B$17))*COS(RADIANS(E78))*COS(RADIANS(F78))</f>
        <v/>
      </c>
      <c r="I78" s="80">
        <f>SIN(RADIANS('11_발전량_모델'!$B$17))*SIN(RADIANS(E78))+COS(RADIANS('11_발전량_모델'!$B$17))*COS(RADIANS(E78))*COS(RADIANS(F78))</f>
        <v/>
      </c>
      <c r="J78" s="80">
        <f>SIN(RADIANS('11_발전량_모델'!$B$7))*SIN(RADIANS('11_발전량_모델'!$B$8))</f>
        <v/>
      </c>
      <c r="K78" s="80">
        <f>SIN(RADIANS('11_발전량_모델'!$B$7))*COS(RADIANS('11_발전량_모델'!$B$8))</f>
        <v/>
      </c>
      <c r="L78" s="80">
        <f>COS(RADIANS('11_발전량_모델'!$B$7))</f>
        <v/>
      </c>
      <c r="M78" s="80">
        <f>G78*J78+H78*K78+I78*L78</f>
        <v/>
      </c>
      <c r="N78" s="80">
        <f>MAX(0,I78)</f>
        <v/>
      </c>
      <c r="O78" s="80">
        <f>IF(I78&gt;0,MAX(0,M78),0)</f>
        <v/>
      </c>
      <c r="P78" s="80">
        <f>IF($I78&gt;0,MAX(0,$G78*SIN(RADIANS('13_시나리오비교'!$B$5))*SIN(RADIANS('13_시나리오비교'!$C$5))+$H78*SIN(RADIANS('13_시나리오비교'!$B$5))*COS(RADIANS('13_시나리오비교'!$C$5))+$I78*COS(RADIANS('13_시나리오비교'!$B$5))),0)</f>
        <v/>
      </c>
      <c r="Q78" s="80">
        <f>IF($I78&gt;0,MAX(0,$G78*SIN(RADIANS('13_시나리오비교'!$B$6))*SIN(RADIANS('13_시나리오비교'!$C$6))+$H78*SIN(RADIANS('13_시나리오비교'!$B$6))*COS(RADIANS('13_시나리오비교'!$C$6))+$I78*COS(RADIANS('13_시나리오비교'!$B$6))),0)</f>
        <v/>
      </c>
      <c r="R78" s="80">
        <f>IF($I78&gt;0,MAX(0,$G78*SIN(RADIANS('13_시나리오비교'!$B$7))*SIN(RADIANS('13_시나리오비교'!$C$7))+$H78*SIN(RADIANS('13_시나리오비교'!$B$7))*COS(RADIANS('13_시나리오비교'!$C$7))+$I78*COS(RADIANS('13_시나리오비교'!$B$7))),0)</f>
        <v/>
      </c>
      <c r="S78" s="80">
        <f>IF($I78&gt;0,MAX(0,$G78*SIN(RADIANS('13_시나리오비교'!$B$8))*SIN(RADIANS('13_시나리오비교'!$C$8))+$H78*SIN(RADIANS('13_시나리오비교'!$B$8))*COS(RADIANS('13_시나리오비교'!$C$8))+$I78*COS(RADIANS('13_시나리오비교'!$B$8))),0)</f>
        <v/>
      </c>
      <c r="T78" s="80">
        <f>IF($I78&gt;0,MAX(0,$G78*SIN(RADIANS('13_시나리오비교'!$B$9))*SIN(RADIANS('13_시나리오비교'!$C$9))+$H78*SIN(RADIANS('13_시나리오비교'!$B$9))*COS(RADIANS('13_시나리오비교'!$C$9))+$I78*COS(RADIANS('13_시나리오비교'!$B$9))),0)</f>
        <v/>
      </c>
      <c r="U78" s="80">
        <f>IF($I78&gt;0,MAX(0,$G78*SIN(RADIANS('13_시나리오비교'!$B$10))*SIN(RADIANS('13_시나리오비교'!$C$10))+$H78*SIN(RADIANS('13_시나리오비교'!$B$10))*COS(RADIANS('13_시나리오비교'!$C$10))+$I78*COS(RADIANS('13_시나리오비교'!$B$10))),0)</f>
        <v/>
      </c>
      <c r="V78" s="80">
        <f>IF($I78&gt;0,MAX(0,$G78*SIN(RADIANS('13_시나리오비교'!$B$11))*SIN(RADIANS('13_시나리오비교'!$C$11))+$H78*SIN(RADIANS('13_시나리오비교'!$B$11))*COS(RADIANS('13_시나리오비교'!$C$11))+$I78*COS(RADIANS('13_시나리오비교'!$B$11))),0)</f>
        <v/>
      </c>
      <c r="W78" s="80">
        <f>IF($I78&gt;0,MAX(0,$G78*SIN(RADIANS('13_시나리오비교'!$B$12))*SIN(RADIANS('13_시나리오비교'!$C$12))+$H78*SIN(RADIANS('13_시나리오비교'!$B$12))*COS(RADIANS('13_시나리오비교'!$C$12))+$I78*COS(RADIANS('13_시나리오비교'!$B$12))),0)</f>
        <v/>
      </c>
      <c r="X78" s="80">
        <f>IF($I78&gt;0,MAX(0,$G78*SIN(RADIANS('13_시나리오비교'!$B$13))*SIN(RADIANS('13_시나리오비교'!$C$13))+$H78*SIN(RADIANS('13_시나리오비교'!$B$13))*COS(RADIANS('13_시나리오비교'!$C$13))+$I78*COS(RADIANS('13_시나리오비교'!$B$13))),0)</f>
        <v/>
      </c>
      <c r="Y78" s="80">
        <f>IF($I78&gt;0,MAX(0,$G78*SIN(RADIANS('13_시나리오비교'!$B$14))*SIN(RADIANS('13_시나리오비교'!$C$14))+$H78*SIN(RADIANS('13_시나리오비교'!$B$14))*COS(RADIANS('13_시나리오비교'!$C$14))+$I78*COS(RADIANS('13_시나리오비교'!$B$14))),0)</f>
        <v/>
      </c>
    </row>
    <row r="79" hidden="1" outlineLevel="1">
      <c r="A79" s="79" t="n">
        <v>1</v>
      </c>
      <c r="B79" s="79" t="n">
        <v>59</v>
      </c>
      <c r="C79" s="80">
        <f>(B79-0.5)*'14_지역·상수'!$H$6</f>
        <v/>
      </c>
      <c r="D79" s="79" t="n">
        <v>17</v>
      </c>
      <c r="E79" s="80">
        <f>INDEX($C$4:$C$15,MATCH(A79,$A$4:$A$15,0))</f>
        <v/>
      </c>
      <c r="F79" s="80">
        <f>15*(C79-12)</f>
        <v/>
      </c>
      <c r="G79" s="80">
        <f>-COS(RADIANS(E79))*SIN(RADIANS(F79))</f>
        <v/>
      </c>
      <c r="H79" s="80">
        <f>COS(RADIANS('11_발전량_모델'!$B$17))*SIN(RADIANS(E79))-SIN(RADIANS('11_발전량_모델'!$B$17))*COS(RADIANS(E79))*COS(RADIANS(F79))</f>
        <v/>
      </c>
      <c r="I79" s="80">
        <f>SIN(RADIANS('11_발전량_모델'!$B$17))*SIN(RADIANS(E79))+COS(RADIANS('11_발전량_모델'!$B$17))*COS(RADIANS(E79))*COS(RADIANS(F79))</f>
        <v/>
      </c>
      <c r="J79" s="80">
        <f>SIN(RADIANS('11_발전량_모델'!$B$7))*SIN(RADIANS('11_발전량_모델'!$B$8))</f>
        <v/>
      </c>
      <c r="K79" s="80">
        <f>SIN(RADIANS('11_발전량_모델'!$B$7))*COS(RADIANS('11_발전량_모델'!$B$8))</f>
        <v/>
      </c>
      <c r="L79" s="80">
        <f>COS(RADIANS('11_발전량_모델'!$B$7))</f>
        <v/>
      </c>
      <c r="M79" s="80">
        <f>G79*J79+H79*K79+I79*L79</f>
        <v/>
      </c>
      <c r="N79" s="80">
        <f>MAX(0,I79)</f>
        <v/>
      </c>
      <c r="O79" s="80">
        <f>IF(I79&gt;0,MAX(0,M79),0)</f>
        <v/>
      </c>
      <c r="P79" s="80">
        <f>IF($I79&gt;0,MAX(0,$G79*SIN(RADIANS('13_시나리오비교'!$B$5))*SIN(RADIANS('13_시나리오비교'!$C$5))+$H79*SIN(RADIANS('13_시나리오비교'!$B$5))*COS(RADIANS('13_시나리오비교'!$C$5))+$I79*COS(RADIANS('13_시나리오비교'!$B$5))),0)</f>
        <v/>
      </c>
      <c r="Q79" s="80">
        <f>IF($I79&gt;0,MAX(0,$G79*SIN(RADIANS('13_시나리오비교'!$B$6))*SIN(RADIANS('13_시나리오비교'!$C$6))+$H79*SIN(RADIANS('13_시나리오비교'!$B$6))*COS(RADIANS('13_시나리오비교'!$C$6))+$I79*COS(RADIANS('13_시나리오비교'!$B$6))),0)</f>
        <v/>
      </c>
      <c r="R79" s="80">
        <f>IF($I79&gt;0,MAX(0,$G79*SIN(RADIANS('13_시나리오비교'!$B$7))*SIN(RADIANS('13_시나리오비교'!$C$7))+$H79*SIN(RADIANS('13_시나리오비교'!$B$7))*COS(RADIANS('13_시나리오비교'!$C$7))+$I79*COS(RADIANS('13_시나리오비교'!$B$7))),0)</f>
        <v/>
      </c>
      <c r="S79" s="80">
        <f>IF($I79&gt;0,MAX(0,$G79*SIN(RADIANS('13_시나리오비교'!$B$8))*SIN(RADIANS('13_시나리오비교'!$C$8))+$H79*SIN(RADIANS('13_시나리오비교'!$B$8))*COS(RADIANS('13_시나리오비교'!$C$8))+$I79*COS(RADIANS('13_시나리오비교'!$B$8))),0)</f>
        <v/>
      </c>
      <c r="T79" s="80">
        <f>IF($I79&gt;0,MAX(0,$G79*SIN(RADIANS('13_시나리오비교'!$B$9))*SIN(RADIANS('13_시나리오비교'!$C$9))+$H79*SIN(RADIANS('13_시나리오비교'!$B$9))*COS(RADIANS('13_시나리오비교'!$C$9))+$I79*COS(RADIANS('13_시나리오비교'!$B$9))),0)</f>
        <v/>
      </c>
      <c r="U79" s="80">
        <f>IF($I79&gt;0,MAX(0,$G79*SIN(RADIANS('13_시나리오비교'!$B$10))*SIN(RADIANS('13_시나리오비교'!$C$10))+$H79*SIN(RADIANS('13_시나리오비교'!$B$10))*COS(RADIANS('13_시나리오비교'!$C$10))+$I79*COS(RADIANS('13_시나리오비교'!$B$10))),0)</f>
        <v/>
      </c>
      <c r="V79" s="80">
        <f>IF($I79&gt;0,MAX(0,$G79*SIN(RADIANS('13_시나리오비교'!$B$11))*SIN(RADIANS('13_시나리오비교'!$C$11))+$H79*SIN(RADIANS('13_시나리오비교'!$B$11))*COS(RADIANS('13_시나리오비교'!$C$11))+$I79*COS(RADIANS('13_시나리오비교'!$B$11))),0)</f>
        <v/>
      </c>
      <c r="W79" s="80">
        <f>IF($I79&gt;0,MAX(0,$G79*SIN(RADIANS('13_시나리오비교'!$B$12))*SIN(RADIANS('13_시나리오비교'!$C$12))+$H79*SIN(RADIANS('13_시나리오비교'!$B$12))*COS(RADIANS('13_시나리오비교'!$C$12))+$I79*COS(RADIANS('13_시나리오비교'!$B$12))),0)</f>
        <v/>
      </c>
      <c r="X79" s="80">
        <f>IF($I79&gt;0,MAX(0,$G79*SIN(RADIANS('13_시나리오비교'!$B$13))*SIN(RADIANS('13_시나리오비교'!$C$13))+$H79*SIN(RADIANS('13_시나리오비교'!$B$13))*COS(RADIANS('13_시나리오비교'!$C$13))+$I79*COS(RADIANS('13_시나리오비교'!$B$13))),0)</f>
        <v/>
      </c>
      <c r="Y79" s="80">
        <f>IF($I79&gt;0,MAX(0,$G79*SIN(RADIANS('13_시나리오비교'!$B$14))*SIN(RADIANS('13_시나리오비교'!$C$14))+$H79*SIN(RADIANS('13_시나리오비교'!$B$14))*COS(RADIANS('13_시나리오비교'!$C$14))+$I79*COS(RADIANS('13_시나리오비교'!$B$14))),0)</f>
        <v/>
      </c>
    </row>
    <row r="80" hidden="1" outlineLevel="1">
      <c r="A80" s="79" t="n">
        <v>1</v>
      </c>
      <c r="B80" s="79" t="n">
        <v>60</v>
      </c>
      <c r="C80" s="80">
        <f>(B80-0.5)*'14_지역·상수'!$H$6</f>
        <v/>
      </c>
      <c r="D80" s="79" t="n">
        <v>17</v>
      </c>
      <c r="E80" s="80">
        <f>INDEX($C$4:$C$15,MATCH(A80,$A$4:$A$15,0))</f>
        <v/>
      </c>
      <c r="F80" s="80">
        <f>15*(C80-12)</f>
        <v/>
      </c>
      <c r="G80" s="80">
        <f>-COS(RADIANS(E80))*SIN(RADIANS(F80))</f>
        <v/>
      </c>
      <c r="H80" s="80">
        <f>COS(RADIANS('11_발전량_모델'!$B$17))*SIN(RADIANS(E80))-SIN(RADIANS('11_발전량_모델'!$B$17))*COS(RADIANS(E80))*COS(RADIANS(F80))</f>
        <v/>
      </c>
      <c r="I80" s="80">
        <f>SIN(RADIANS('11_발전량_모델'!$B$17))*SIN(RADIANS(E80))+COS(RADIANS('11_발전량_모델'!$B$17))*COS(RADIANS(E80))*COS(RADIANS(F80))</f>
        <v/>
      </c>
      <c r="J80" s="80">
        <f>SIN(RADIANS('11_발전량_모델'!$B$7))*SIN(RADIANS('11_발전량_모델'!$B$8))</f>
        <v/>
      </c>
      <c r="K80" s="80">
        <f>SIN(RADIANS('11_발전량_모델'!$B$7))*COS(RADIANS('11_발전량_모델'!$B$8))</f>
        <v/>
      </c>
      <c r="L80" s="80">
        <f>COS(RADIANS('11_발전량_모델'!$B$7))</f>
        <v/>
      </c>
      <c r="M80" s="80">
        <f>G80*J80+H80*K80+I80*L80</f>
        <v/>
      </c>
      <c r="N80" s="80">
        <f>MAX(0,I80)</f>
        <v/>
      </c>
      <c r="O80" s="80">
        <f>IF(I80&gt;0,MAX(0,M80),0)</f>
        <v/>
      </c>
      <c r="P80" s="80">
        <f>IF($I80&gt;0,MAX(0,$G80*SIN(RADIANS('13_시나리오비교'!$B$5))*SIN(RADIANS('13_시나리오비교'!$C$5))+$H80*SIN(RADIANS('13_시나리오비교'!$B$5))*COS(RADIANS('13_시나리오비교'!$C$5))+$I80*COS(RADIANS('13_시나리오비교'!$B$5))),0)</f>
        <v/>
      </c>
      <c r="Q80" s="80">
        <f>IF($I80&gt;0,MAX(0,$G80*SIN(RADIANS('13_시나리오비교'!$B$6))*SIN(RADIANS('13_시나리오비교'!$C$6))+$H80*SIN(RADIANS('13_시나리오비교'!$B$6))*COS(RADIANS('13_시나리오비교'!$C$6))+$I80*COS(RADIANS('13_시나리오비교'!$B$6))),0)</f>
        <v/>
      </c>
      <c r="R80" s="80">
        <f>IF($I80&gt;0,MAX(0,$G80*SIN(RADIANS('13_시나리오비교'!$B$7))*SIN(RADIANS('13_시나리오비교'!$C$7))+$H80*SIN(RADIANS('13_시나리오비교'!$B$7))*COS(RADIANS('13_시나리오비교'!$C$7))+$I80*COS(RADIANS('13_시나리오비교'!$B$7))),0)</f>
        <v/>
      </c>
      <c r="S80" s="80">
        <f>IF($I80&gt;0,MAX(0,$G80*SIN(RADIANS('13_시나리오비교'!$B$8))*SIN(RADIANS('13_시나리오비교'!$C$8))+$H80*SIN(RADIANS('13_시나리오비교'!$B$8))*COS(RADIANS('13_시나리오비교'!$C$8))+$I80*COS(RADIANS('13_시나리오비교'!$B$8))),0)</f>
        <v/>
      </c>
      <c r="T80" s="80">
        <f>IF($I80&gt;0,MAX(0,$G80*SIN(RADIANS('13_시나리오비교'!$B$9))*SIN(RADIANS('13_시나리오비교'!$C$9))+$H80*SIN(RADIANS('13_시나리오비교'!$B$9))*COS(RADIANS('13_시나리오비교'!$C$9))+$I80*COS(RADIANS('13_시나리오비교'!$B$9))),0)</f>
        <v/>
      </c>
      <c r="U80" s="80">
        <f>IF($I80&gt;0,MAX(0,$G80*SIN(RADIANS('13_시나리오비교'!$B$10))*SIN(RADIANS('13_시나리오비교'!$C$10))+$H80*SIN(RADIANS('13_시나리오비교'!$B$10))*COS(RADIANS('13_시나리오비교'!$C$10))+$I80*COS(RADIANS('13_시나리오비교'!$B$10))),0)</f>
        <v/>
      </c>
      <c r="V80" s="80">
        <f>IF($I80&gt;0,MAX(0,$G80*SIN(RADIANS('13_시나리오비교'!$B$11))*SIN(RADIANS('13_시나리오비교'!$C$11))+$H80*SIN(RADIANS('13_시나리오비교'!$B$11))*COS(RADIANS('13_시나리오비교'!$C$11))+$I80*COS(RADIANS('13_시나리오비교'!$B$11))),0)</f>
        <v/>
      </c>
      <c r="W80" s="80">
        <f>IF($I80&gt;0,MAX(0,$G80*SIN(RADIANS('13_시나리오비교'!$B$12))*SIN(RADIANS('13_시나리오비교'!$C$12))+$H80*SIN(RADIANS('13_시나리오비교'!$B$12))*COS(RADIANS('13_시나리오비교'!$C$12))+$I80*COS(RADIANS('13_시나리오비교'!$B$12))),0)</f>
        <v/>
      </c>
      <c r="X80" s="80">
        <f>IF($I80&gt;0,MAX(0,$G80*SIN(RADIANS('13_시나리오비교'!$B$13))*SIN(RADIANS('13_시나리오비교'!$C$13))+$H80*SIN(RADIANS('13_시나리오비교'!$B$13))*COS(RADIANS('13_시나리오비교'!$C$13))+$I80*COS(RADIANS('13_시나리오비교'!$B$13))),0)</f>
        <v/>
      </c>
      <c r="Y80" s="80">
        <f>IF($I80&gt;0,MAX(0,$G80*SIN(RADIANS('13_시나리오비교'!$B$14))*SIN(RADIANS('13_시나리오비교'!$C$14))+$H80*SIN(RADIANS('13_시나리오비교'!$B$14))*COS(RADIANS('13_시나리오비교'!$C$14))+$I80*COS(RADIANS('13_시나리오비교'!$B$14))),0)</f>
        <v/>
      </c>
    </row>
    <row r="81" hidden="1" outlineLevel="1">
      <c r="A81" s="79" t="n">
        <v>1</v>
      </c>
      <c r="B81" s="79" t="n">
        <v>61</v>
      </c>
      <c r="C81" s="80">
        <f>(B81-0.5)*'14_지역·상수'!$H$6</f>
        <v/>
      </c>
      <c r="D81" s="79" t="n">
        <v>17</v>
      </c>
      <c r="E81" s="80">
        <f>INDEX($C$4:$C$15,MATCH(A81,$A$4:$A$15,0))</f>
        <v/>
      </c>
      <c r="F81" s="80">
        <f>15*(C81-12)</f>
        <v/>
      </c>
      <c r="G81" s="80">
        <f>-COS(RADIANS(E81))*SIN(RADIANS(F81))</f>
        <v/>
      </c>
      <c r="H81" s="80">
        <f>COS(RADIANS('11_발전량_모델'!$B$17))*SIN(RADIANS(E81))-SIN(RADIANS('11_발전량_모델'!$B$17))*COS(RADIANS(E81))*COS(RADIANS(F81))</f>
        <v/>
      </c>
      <c r="I81" s="80">
        <f>SIN(RADIANS('11_발전량_모델'!$B$17))*SIN(RADIANS(E81))+COS(RADIANS('11_발전량_모델'!$B$17))*COS(RADIANS(E81))*COS(RADIANS(F81))</f>
        <v/>
      </c>
      <c r="J81" s="80">
        <f>SIN(RADIANS('11_발전량_모델'!$B$7))*SIN(RADIANS('11_발전량_모델'!$B$8))</f>
        <v/>
      </c>
      <c r="K81" s="80">
        <f>SIN(RADIANS('11_발전량_모델'!$B$7))*COS(RADIANS('11_발전량_모델'!$B$8))</f>
        <v/>
      </c>
      <c r="L81" s="80">
        <f>COS(RADIANS('11_발전량_모델'!$B$7))</f>
        <v/>
      </c>
      <c r="M81" s="80">
        <f>G81*J81+H81*K81+I81*L81</f>
        <v/>
      </c>
      <c r="N81" s="80">
        <f>MAX(0,I81)</f>
        <v/>
      </c>
      <c r="O81" s="80">
        <f>IF(I81&gt;0,MAX(0,M81),0)</f>
        <v/>
      </c>
      <c r="P81" s="80">
        <f>IF($I81&gt;0,MAX(0,$G81*SIN(RADIANS('13_시나리오비교'!$B$5))*SIN(RADIANS('13_시나리오비교'!$C$5))+$H81*SIN(RADIANS('13_시나리오비교'!$B$5))*COS(RADIANS('13_시나리오비교'!$C$5))+$I81*COS(RADIANS('13_시나리오비교'!$B$5))),0)</f>
        <v/>
      </c>
      <c r="Q81" s="80">
        <f>IF($I81&gt;0,MAX(0,$G81*SIN(RADIANS('13_시나리오비교'!$B$6))*SIN(RADIANS('13_시나리오비교'!$C$6))+$H81*SIN(RADIANS('13_시나리오비교'!$B$6))*COS(RADIANS('13_시나리오비교'!$C$6))+$I81*COS(RADIANS('13_시나리오비교'!$B$6))),0)</f>
        <v/>
      </c>
      <c r="R81" s="80">
        <f>IF($I81&gt;0,MAX(0,$G81*SIN(RADIANS('13_시나리오비교'!$B$7))*SIN(RADIANS('13_시나리오비교'!$C$7))+$H81*SIN(RADIANS('13_시나리오비교'!$B$7))*COS(RADIANS('13_시나리오비교'!$C$7))+$I81*COS(RADIANS('13_시나리오비교'!$B$7))),0)</f>
        <v/>
      </c>
      <c r="S81" s="80">
        <f>IF($I81&gt;0,MAX(0,$G81*SIN(RADIANS('13_시나리오비교'!$B$8))*SIN(RADIANS('13_시나리오비교'!$C$8))+$H81*SIN(RADIANS('13_시나리오비교'!$B$8))*COS(RADIANS('13_시나리오비교'!$C$8))+$I81*COS(RADIANS('13_시나리오비교'!$B$8))),0)</f>
        <v/>
      </c>
      <c r="T81" s="80">
        <f>IF($I81&gt;0,MAX(0,$G81*SIN(RADIANS('13_시나리오비교'!$B$9))*SIN(RADIANS('13_시나리오비교'!$C$9))+$H81*SIN(RADIANS('13_시나리오비교'!$B$9))*COS(RADIANS('13_시나리오비교'!$C$9))+$I81*COS(RADIANS('13_시나리오비교'!$B$9))),0)</f>
        <v/>
      </c>
      <c r="U81" s="80">
        <f>IF($I81&gt;0,MAX(0,$G81*SIN(RADIANS('13_시나리오비교'!$B$10))*SIN(RADIANS('13_시나리오비교'!$C$10))+$H81*SIN(RADIANS('13_시나리오비교'!$B$10))*COS(RADIANS('13_시나리오비교'!$C$10))+$I81*COS(RADIANS('13_시나리오비교'!$B$10))),0)</f>
        <v/>
      </c>
      <c r="V81" s="80">
        <f>IF($I81&gt;0,MAX(0,$G81*SIN(RADIANS('13_시나리오비교'!$B$11))*SIN(RADIANS('13_시나리오비교'!$C$11))+$H81*SIN(RADIANS('13_시나리오비교'!$B$11))*COS(RADIANS('13_시나리오비교'!$C$11))+$I81*COS(RADIANS('13_시나리오비교'!$B$11))),0)</f>
        <v/>
      </c>
      <c r="W81" s="80">
        <f>IF($I81&gt;0,MAX(0,$G81*SIN(RADIANS('13_시나리오비교'!$B$12))*SIN(RADIANS('13_시나리오비교'!$C$12))+$H81*SIN(RADIANS('13_시나리오비교'!$B$12))*COS(RADIANS('13_시나리오비교'!$C$12))+$I81*COS(RADIANS('13_시나리오비교'!$B$12))),0)</f>
        <v/>
      </c>
      <c r="X81" s="80">
        <f>IF($I81&gt;0,MAX(0,$G81*SIN(RADIANS('13_시나리오비교'!$B$13))*SIN(RADIANS('13_시나리오비교'!$C$13))+$H81*SIN(RADIANS('13_시나리오비교'!$B$13))*COS(RADIANS('13_시나리오비교'!$C$13))+$I81*COS(RADIANS('13_시나리오비교'!$B$13))),0)</f>
        <v/>
      </c>
      <c r="Y81" s="80">
        <f>IF($I81&gt;0,MAX(0,$G81*SIN(RADIANS('13_시나리오비교'!$B$14))*SIN(RADIANS('13_시나리오비교'!$C$14))+$H81*SIN(RADIANS('13_시나리오비교'!$B$14))*COS(RADIANS('13_시나리오비교'!$C$14))+$I81*COS(RADIANS('13_시나리오비교'!$B$14))),0)</f>
        <v/>
      </c>
    </row>
    <row r="82" hidden="1" outlineLevel="1">
      <c r="A82" s="79" t="n">
        <v>1</v>
      </c>
      <c r="B82" s="79" t="n">
        <v>62</v>
      </c>
      <c r="C82" s="80">
        <f>(B82-0.5)*'14_지역·상수'!$H$6</f>
        <v/>
      </c>
      <c r="D82" s="79" t="n">
        <v>17</v>
      </c>
      <c r="E82" s="80">
        <f>INDEX($C$4:$C$15,MATCH(A82,$A$4:$A$15,0))</f>
        <v/>
      </c>
      <c r="F82" s="80">
        <f>15*(C82-12)</f>
        <v/>
      </c>
      <c r="G82" s="80">
        <f>-COS(RADIANS(E82))*SIN(RADIANS(F82))</f>
        <v/>
      </c>
      <c r="H82" s="80">
        <f>COS(RADIANS('11_발전량_모델'!$B$17))*SIN(RADIANS(E82))-SIN(RADIANS('11_발전량_모델'!$B$17))*COS(RADIANS(E82))*COS(RADIANS(F82))</f>
        <v/>
      </c>
      <c r="I82" s="80">
        <f>SIN(RADIANS('11_발전량_모델'!$B$17))*SIN(RADIANS(E82))+COS(RADIANS('11_발전량_모델'!$B$17))*COS(RADIANS(E82))*COS(RADIANS(F82))</f>
        <v/>
      </c>
      <c r="J82" s="80">
        <f>SIN(RADIANS('11_발전량_모델'!$B$7))*SIN(RADIANS('11_발전량_모델'!$B$8))</f>
        <v/>
      </c>
      <c r="K82" s="80">
        <f>SIN(RADIANS('11_발전량_모델'!$B$7))*COS(RADIANS('11_발전량_모델'!$B$8))</f>
        <v/>
      </c>
      <c r="L82" s="80">
        <f>COS(RADIANS('11_발전량_모델'!$B$7))</f>
        <v/>
      </c>
      <c r="M82" s="80">
        <f>G82*J82+H82*K82+I82*L82</f>
        <v/>
      </c>
      <c r="N82" s="80">
        <f>MAX(0,I82)</f>
        <v/>
      </c>
      <c r="O82" s="80">
        <f>IF(I82&gt;0,MAX(0,M82),0)</f>
        <v/>
      </c>
      <c r="P82" s="80">
        <f>IF($I82&gt;0,MAX(0,$G82*SIN(RADIANS('13_시나리오비교'!$B$5))*SIN(RADIANS('13_시나리오비교'!$C$5))+$H82*SIN(RADIANS('13_시나리오비교'!$B$5))*COS(RADIANS('13_시나리오비교'!$C$5))+$I82*COS(RADIANS('13_시나리오비교'!$B$5))),0)</f>
        <v/>
      </c>
      <c r="Q82" s="80">
        <f>IF($I82&gt;0,MAX(0,$G82*SIN(RADIANS('13_시나리오비교'!$B$6))*SIN(RADIANS('13_시나리오비교'!$C$6))+$H82*SIN(RADIANS('13_시나리오비교'!$B$6))*COS(RADIANS('13_시나리오비교'!$C$6))+$I82*COS(RADIANS('13_시나리오비교'!$B$6))),0)</f>
        <v/>
      </c>
      <c r="R82" s="80">
        <f>IF($I82&gt;0,MAX(0,$G82*SIN(RADIANS('13_시나리오비교'!$B$7))*SIN(RADIANS('13_시나리오비교'!$C$7))+$H82*SIN(RADIANS('13_시나리오비교'!$B$7))*COS(RADIANS('13_시나리오비교'!$C$7))+$I82*COS(RADIANS('13_시나리오비교'!$B$7))),0)</f>
        <v/>
      </c>
      <c r="S82" s="80">
        <f>IF($I82&gt;0,MAX(0,$G82*SIN(RADIANS('13_시나리오비교'!$B$8))*SIN(RADIANS('13_시나리오비교'!$C$8))+$H82*SIN(RADIANS('13_시나리오비교'!$B$8))*COS(RADIANS('13_시나리오비교'!$C$8))+$I82*COS(RADIANS('13_시나리오비교'!$B$8))),0)</f>
        <v/>
      </c>
      <c r="T82" s="80">
        <f>IF($I82&gt;0,MAX(0,$G82*SIN(RADIANS('13_시나리오비교'!$B$9))*SIN(RADIANS('13_시나리오비교'!$C$9))+$H82*SIN(RADIANS('13_시나리오비교'!$B$9))*COS(RADIANS('13_시나리오비교'!$C$9))+$I82*COS(RADIANS('13_시나리오비교'!$B$9))),0)</f>
        <v/>
      </c>
      <c r="U82" s="80">
        <f>IF($I82&gt;0,MAX(0,$G82*SIN(RADIANS('13_시나리오비교'!$B$10))*SIN(RADIANS('13_시나리오비교'!$C$10))+$H82*SIN(RADIANS('13_시나리오비교'!$B$10))*COS(RADIANS('13_시나리오비교'!$C$10))+$I82*COS(RADIANS('13_시나리오비교'!$B$10))),0)</f>
        <v/>
      </c>
      <c r="V82" s="80">
        <f>IF($I82&gt;0,MAX(0,$G82*SIN(RADIANS('13_시나리오비교'!$B$11))*SIN(RADIANS('13_시나리오비교'!$C$11))+$H82*SIN(RADIANS('13_시나리오비교'!$B$11))*COS(RADIANS('13_시나리오비교'!$C$11))+$I82*COS(RADIANS('13_시나리오비교'!$B$11))),0)</f>
        <v/>
      </c>
      <c r="W82" s="80">
        <f>IF($I82&gt;0,MAX(0,$G82*SIN(RADIANS('13_시나리오비교'!$B$12))*SIN(RADIANS('13_시나리오비교'!$C$12))+$H82*SIN(RADIANS('13_시나리오비교'!$B$12))*COS(RADIANS('13_시나리오비교'!$C$12))+$I82*COS(RADIANS('13_시나리오비교'!$B$12))),0)</f>
        <v/>
      </c>
      <c r="X82" s="80">
        <f>IF($I82&gt;0,MAX(0,$G82*SIN(RADIANS('13_시나리오비교'!$B$13))*SIN(RADIANS('13_시나리오비교'!$C$13))+$H82*SIN(RADIANS('13_시나리오비교'!$B$13))*COS(RADIANS('13_시나리오비교'!$C$13))+$I82*COS(RADIANS('13_시나리오비교'!$B$13))),0)</f>
        <v/>
      </c>
      <c r="Y82" s="80">
        <f>IF($I82&gt;0,MAX(0,$G82*SIN(RADIANS('13_시나리오비교'!$B$14))*SIN(RADIANS('13_시나리오비교'!$C$14))+$H82*SIN(RADIANS('13_시나리오비교'!$B$14))*COS(RADIANS('13_시나리오비교'!$C$14))+$I82*COS(RADIANS('13_시나리오비교'!$B$14))),0)</f>
        <v/>
      </c>
    </row>
    <row r="83" hidden="1" outlineLevel="1">
      <c r="A83" s="79" t="n">
        <v>1</v>
      </c>
      <c r="B83" s="79" t="n">
        <v>63</v>
      </c>
      <c r="C83" s="80">
        <f>(B83-0.5)*'14_지역·상수'!$H$6</f>
        <v/>
      </c>
      <c r="D83" s="79" t="n">
        <v>17</v>
      </c>
      <c r="E83" s="80">
        <f>INDEX($C$4:$C$15,MATCH(A83,$A$4:$A$15,0))</f>
        <v/>
      </c>
      <c r="F83" s="80">
        <f>15*(C83-12)</f>
        <v/>
      </c>
      <c r="G83" s="80">
        <f>-COS(RADIANS(E83))*SIN(RADIANS(F83))</f>
        <v/>
      </c>
      <c r="H83" s="80">
        <f>COS(RADIANS('11_발전량_모델'!$B$17))*SIN(RADIANS(E83))-SIN(RADIANS('11_발전량_모델'!$B$17))*COS(RADIANS(E83))*COS(RADIANS(F83))</f>
        <v/>
      </c>
      <c r="I83" s="80">
        <f>SIN(RADIANS('11_발전량_모델'!$B$17))*SIN(RADIANS(E83))+COS(RADIANS('11_발전량_모델'!$B$17))*COS(RADIANS(E83))*COS(RADIANS(F83))</f>
        <v/>
      </c>
      <c r="J83" s="80">
        <f>SIN(RADIANS('11_발전량_모델'!$B$7))*SIN(RADIANS('11_발전량_모델'!$B$8))</f>
        <v/>
      </c>
      <c r="K83" s="80">
        <f>SIN(RADIANS('11_발전량_모델'!$B$7))*COS(RADIANS('11_발전량_모델'!$B$8))</f>
        <v/>
      </c>
      <c r="L83" s="80">
        <f>COS(RADIANS('11_발전량_모델'!$B$7))</f>
        <v/>
      </c>
      <c r="M83" s="80">
        <f>G83*J83+H83*K83+I83*L83</f>
        <v/>
      </c>
      <c r="N83" s="80">
        <f>MAX(0,I83)</f>
        <v/>
      </c>
      <c r="O83" s="80">
        <f>IF(I83&gt;0,MAX(0,M83),0)</f>
        <v/>
      </c>
      <c r="P83" s="80">
        <f>IF($I83&gt;0,MAX(0,$G83*SIN(RADIANS('13_시나리오비교'!$B$5))*SIN(RADIANS('13_시나리오비교'!$C$5))+$H83*SIN(RADIANS('13_시나리오비교'!$B$5))*COS(RADIANS('13_시나리오비교'!$C$5))+$I83*COS(RADIANS('13_시나리오비교'!$B$5))),0)</f>
        <v/>
      </c>
      <c r="Q83" s="80">
        <f>IF($I83&gt;0,MAX(0,$G83*SIN(RADIANS('13_시나리오비교'!$B$6))*SIN(RADIANS('13_시나리오비교'!$C$6))+$H83*SIN(RADIANS('13_시나리오비교'!$B$6))*COS(RADIANS('13_시나리오비교'!$C$6))+$I83*COS(RADIANS('13_시나리오비교'!$B$6))),0)</f>
        <v/>
      </c>
      <c r="R83" s="80">
        <f>IF($I83&gt;0,MAX(0,$G83*SIN(RADIANS('13_시나리오비교'!$B$7))*SIN(RADIANS('13_시나리오비교'!$C$7))+$H83*SIN(RADIANS('13_시나리오비교'!$B$7))*COS(RADIANS('13_시나리오비교'!$C$7))+$I83*COS(RADIANS('13_시나리오비교'!$B$7))),0)</f>
        <v/>
      </c>
      <c r="S83" s="80">
        <f>IF($I83&gt;0,MAX(0,$G83*SIN(RADIANS('13_시나리오비교'!$B$8))*SIN(RADIANS('13_시나리오비교'!$C$8))+$H83*SIN(RADIANS('13_시나리오비교'!$B$8))*COS(RADIANS('13_시나리오비교'!$C$8))+$I83*COS(RADIANS('13_시나리오비교'!$B$8))),0)</f>
        <v/>
      </c>
      <c r="T83" s="80">
        <f>IF($I83&gt;0,MAX(0,$G83*SIN(RADIANS('13_시나리오비교'!$B$9))*SIN(RADIANS('13_시나리오비교'!$C$9))+$H83*SIN(RADIANS('13_시나리오비교'!$B$9))*COS(RADIANS('13_시나리오비교'!$C$9))+$I83*COS(RADIANS('13_시나리오비교'!$B$9))),0)</f>
        <v/>
      </c>
      <c r="U83" s="80">
        <f>IF($I83&gt;0,MAX(0,$G83*SIN(RADIANS('13_시나리오비교'!$B$10))*SIN(RADIANS('13_시나리오비교'!$C$10))+$H83*SIN(RADIANS('13_시나리오비교'!$B$10))*COS(RADIANS('13_시나리오비교'!$C$10))+$I83*COS(RADIANS('13_시나리오비교'!$B$10))),0)</f>
        <v/>
      </c>
      <c r="V83" s="80">
        <f>IF($I83&gt;0,MAX(0,$G83*SIN(RADIANS('13_시나리오비교'!$B$11))*SIN(RADIANS('13_시나리오비교'!$C$11))+$H83*SIN(RADIANS('13_시나리오비교'!$B$11))*COS(RADIANS('13_시나리오비교'!$C$11))+$I83*COS(RADIANS('13_시나리오비교'!$B$11))),0)</f>
        <v/>
      </c>
      <c r="W83" s="80">
        <f>IF($I83&gt;0,MAX(0,$G83*SIN(RADIANS('13_시나리오비교'!$B$12))*SIN(RADIANS('13_시나리오비교'!$C$12))+$H83*SIN(RADIANS('13_시나리오비교'!$B$12))*COS(RADIANS('13_시나리오비교'!$C$12))+$I83*COS(RADIANS('13_시나리오비교'!$B$12))),0)</f>
        <v/>
      </c>
      <c r="X83" s="80">
        <f>IF($I83&gt;0,MAX(0,$G83*SIN(RADIANS('13_시나리오비교'!$B$13))*SIN(RADIANS('13_시나리오비교'!$C$13))+$H83*SIN(RADIANS('13_시나리오비교'!$B$13))*COS(RADIANS('13_시나리오비교'!$C$13))+$I83*COS(RADIANS('13_시나리오비교'!$B$13))),0)</f>
        <v/>
      </c>
      <c r="Y83" s="80">
        <f>IF($I83&gt;0,MAX(0,$G83*SIN(RADIANS('13_시나리오비교'!$B$14))*SIN(RADIANS('13_시나리오비교'!$C$14))+$H83*SIN(RADIANS('13_시나리오비교'!$B$14))*COS(RADIANS('13_시나리오비교'!$C$14))+$I83*COS(RADIANS('13_시나리오비교'!$B$14))),0)</f>
        <v/>
      </c>
    </row>
    <row r="84" hidden="1" outlineLevel="1">
      <c r="A84" s="79" t="n">
        <v>1</v>
      </c>
      <c r="B84" s="79" t="n">
        <v>64</v>
      </c>
      <c r="C84" s="80">
        <f>(B84-0.5)*'14_지역·상수'!$H$6</f>
        <v/>
      </c>
      <c r="D84" s="79" t="n">
        <v>17</v>
      </c>
      <c r="E84" s="80">
        <f>INDEX($C$4:$C$15,MATCH(A84,$A$4:$A$15,0))</f>
        <v/>
      </c>
      <c r="F84" s="80">
        <f>15*(C84-12)</f>
        <v/>
      </c>
      <c r="G84" s="80">
        <f>-COS(RADIANS(E84))*SIN(RADIANS(F84))</f>
        <v/>
      </c>
      <c r="H84" s="80">
        <f>COS(RADIANS('11_발전량_모델'!$B$17))*SIN(RADIANS(E84))-SIN(RADIANS('11_발전량_모델'!$B$17))*COS(RADIANS(E84))*COS(RADIANS(F84))</f>
        <v/>
      </c>
      <c r="I84" s="80">
        <f>SIN(RADIANS('11_발전량_모델'!$B$17))*SIN(RADIANS(E84))+COS(RADIANS('11_발전량_모델'!$B$17))*COS(RADIANS(E84))*COS(RADIANS(F84))</f>
        <v/>
      </c>
      <c r="J84" s="80">
        <f>SIN(RADIANS('11_발전량_모델'!$B$7))*SIN(RADIANS('11_발전량_모델'!$B$8))</f>
        <v/>
      </c>
      <c r="K84" s="80">
        <f>SIN(RADIANS('11_발전량_모델'!$B$7))*COS(RADIANS('11_발전량_모델'!$B$8))</f>
        <v/>
      </c>
      <c r="L84" s="80">
        <f>COS(RADIANS('11_발전량_모델'!$B$7))</f>
        <v/>
      </c>
      <c r="M84" s="80">
        <f>G84*J84+H84*K84+I84*L84</f>
        <v/>
      </c>
      <c r="N84" s="80">
        <f>MAX(0,I84)</f>
        <v/>
      </c>
      <c r="O84" s="80">
        <f>IF(I84&gt;0,MAX(0,M84),0)</f>
        <v/>
      </c>
      <c r="P84" s="80">
        <f>IF($I84&gt;0,MAX(0,$G84*SIN(RADIANS('13_시나리오비교'!$B$5))*SIN(RADIANS('13_시나리오비교'!$C$5))+$H84*SIN(RADIANS('13_시나리오비교'!$B$5))*COS(RADIANS('13_시나리오비교'!$C$5))+$I84*COS(RADIANS('13_시나리오비교'!$B$5))),0)</f>
        <v/>
      </c>
      <c r="Q84" s="80">
        <f>IF($I84&gt;0,MAX(0,$G84*SIN(RADIANS('13_시나리오비교'!$B$6))*SIN(RADIANS('13_시나리오비교'!$C$6))+$H84*SIN(RADIANS('13_시나리오비교'!$B$6))*COS(RADIANS('13_시나리오비교'!$C$6))+$I84*COS(RADIANS('13_시나리오비교'!$B$6))),0)</f>
        <v/>
      </c>
      <c r="R84" s="80">
        <f>IF($I84&gt;0,MAX(0,$G84*SIN(RADIANS('13_시나리오비교'!$B$7))*SIN(RADIANS('13_시나리오비교'!$C$7))+$H84*SIN(RADIANS('13_시나리오비교'!$B$7))*COS(RADIANS('13_시나리오비교'!$C$7))+$I84*COS(RADIANS('13_시나리오비교'!$B$7))),0)</f>
        <v/>
      </c>
      <c r="S84" s="80">
        <f>IF($I84&gt;0,MAX(0,$G84*SIN(RADIANS('13_시나리오비교'!$B$8))*SIN(RADIANS('13_시나리오비교'!$C$8))+$H84*SIN(RADIANS('13_시나리오비교'!$B$8))*COS(RADIANS('13_시나리오비교'!$C$8))+$I84*COS(RADIANS('13_시나리오비교'!$B$8))),0)</f>
        <v/>
      </c>
      <c r="T84" s="80">
        <f>IF($I84&gt;0,MAX(0,$G84*SIN(RADIANS('13_시나리오비교'!$B$9))*SIN(RADIANS('13_시나리오비교'!$C$9))+$H84*SIN(RADIANS('13_시나리오비교'!$B$9))*COS(RADIANS('13_시나리오비교'!$C$9))+$I84*COS(RADIANS('13_시나리오비교'!$B$9))),0)</f>
        <v/>
      </c>
      <c r="U84" s="80">
        <f>IF($I84&gt;0,MAX(0,$G84*SIN(RADIANS('13_시나리오비교'!$B$10))*SIN(RADIANS('13_시나리오비교'!$C$10))+$H84*SIN(RADIANS('13_시나리오비교'!$B$10))*COS(RADIANS('13_시나리오비교'!$C$10))+$I84*COS(RADIANS('13_시나리오비교'!$B$10))),0)</f>
        <v/>
      </c>
      <c r="V84" s="80">
        <f>IF($I84&gt;0,MAX(0,$G84*SIN(RADIANS('13_시나리오비교'!$B$11))*SIN(RADIANS('13_시나리오비교'!$C$11))+$H84*SIN(RADIANS('13_시나리오비교'!$B$11))*COS(RADIANS('13_시나리오비교'!$C$11))+$I84*COS(RADIANS('13_시나리오비교'!$B$11))),0)</f>
        <v/>
      </c>
      <c r="W84" s="80">
        <f>IF($I84&gt;0,MAX(0,$G84*SIN(RADIANS('13_시나리오비교'!$B$12))*SIN(RADIANS('13_시나리오비교'!$C$12))+$H84*SIN(RADIANS('13_시나리오비교'!$B$12))*COS(RADIANS('13_시나리오비교'!$C$12))+$I84*COS(RADIANS('13_시나리오비교'!$B$12))),0)</f>
        <v/>
      </c>
      <c r="X84" s="80">
        <f>IF($I84&gt;0,MAX(0,$G84*SIN(RADIANS('13_시나리오비교'!$B$13))*SIN(RADIANS('13_시나리오비교'!$C$13))+$H84*SIN(RADIANS('13_시나리오비교'!$B$13))*COS(RADIANS('13_시나리오비교'!$C$13))+$I84*COS(RADIANS('13_시나리오비교'!$B$13))),0)</f>
        <v/>
      </c>
      <c r="Y84" s="80">
        <f>IF($I84&gt;0,MAX(0,$G84*SIN(RADIANS('13_시나리오비교'!$B$14))*SIN(RADIANS('13_시나리오비교'!$C$14))+$H84*SIN(RADIANS('13_시나리오비교'!$B$14))*COS(RADIANS('13_시나리오비교'!$C$14))+$I84*COS(RADIANS('13_시나리오비교'!$B$14))),0)</f>
        <v/>
      </c>
    </row>
    <row r="85" hidden="1" outlineLevel="1">
      <c r="A85" s="79" t="n">
        <v>1</v>
      </c>
      <c r="B85" s="79" t="n">
        <v>65</v>
      </c>
      <c r="C85" s="80">
        <f>(B85-0.5)*'14_지역·상수'!$H$6</f>
        <v/>
      </c>
      <c r="D85" s="79" t="n">
        <v>17</v>
      </c>
      <c r="E85" s="80">
        <f>INDEX($C$4:$C$15,MATCH(A85,$A$4:$A$15,0))</f>
        <v/>
      </c>
      <c r="F85" s="80">
        <f>15*(C85-12)</f>
        <v/>
      </c>
      <c r="G85" s="80">
        <f>-COS(RADIANS(E85))*SIN(RADIANS(F85))</f>
        <v/>
      </c>
      <c r="H85" s="80">
        <f>COS(RADIANS('11_발전량_모델'!$B$17))*SIN(RADIANS(E85))-SIN(RADIANS('11_발전량_모델'!$B$17))*COS(RADIANS(E85))*COS(RADIANS(F85))</f>
        <v/>
      </c>
      <c r="I85" s="80">
        <f>SIN(RADIANS('11_발전량_모델'!$B$17))*SIN(RADIANS(E85))+COS(RADIANS('11_발전량_모델'!$B$17))*COS(RADIANS(E85))*COS(RADIANS(F85))</f>
        <v/>
      </c>
      <c r="J85" s="80">
        <f>SIN(RADIANS('11_발전량_모델'!$B$7))*SIN(RADIANS('11_발전량_모델'!$B$8))</f>
        <v/>
      </c>
      <c r="K85" s="80">
        <f>SIN(RADIANS('11_발전량_모델'!$B$7))*COS(RADIANS('11_발전량_모델'!$B$8))</f>
        <v/>
      </c>
      <c r="L85" s="80">
        <f>COS(RADIANS('11_발전량_모델'!$B$7))</f>
        <v/>
      </c>
      <c r="M85" s="80">
        <f>G85*J85+H85*K85+I85*L85</f>
        <v/>
      </c>
      <c r="N85" s="80">
        <f>MAX(0,I85)</f>
        <v/>
      </c>
      <c r="O85" s="80">
        <f>IF(I85&gt;0,MAX(0,M85),0)</f>
        <v/>
      </c>
      <c r="P85" s="80">
        <f>IF($I85&gt;0,MAX(0,$G85*SIN(RADIANS('13_시나리오비교'!$B$5))*SIN(RADIANS('13_시나리오비교'!$C$5))+$H85*SIN(RADIANS('13_시나리오비교'!$B$5))*COS(RADIANS('13_시나리오비교'!$C$5))+$I85*COS(RADIANS('13_시나리오비교'!$B$5))),0)</f>
        <v/>
      </c>
      <c r="Q85" s="80">
        <f>IF($I85&gt;0,MAX(0,$G85*SIN(RADIANS('13_시나리오비교'!$B$6))*SIN(RADIANS('13_시나리오비교'!$C$6))+$H85*SIN(RADIANS('13_시나리오비교'!$B$6))*COS(RADIANS('13_시나리오비교'!$C$6))+$I85*COS(RADIANS('13_시나리오비교'!$B$6))),0)</f>
        <v/>
      </c>
      <c r="R85" s="80">
        <f>IF($I85&gt;0,MAX(0,$G85*SIN(RADIANS('13_시나리오비교'!$B$7))*SIN(RADIANS('13_시나리오비교'!$C$7))+$H85*SIN(RADIANS('13_시나리오비교'!$B$7))*COS(RADIANS('13_시나리오비교'!$C$7))+$I85*COS(RADIANS('13_시나리오비교'!$B$7))),0)</f>
        <v/>
      </c>
      <c r="S85" s="80">
        <f>IF($I85&gt;0,MAX(0,$G85*SIN(RADIANS('13_시나리오비교'!$B$8))*SIN(RADIANS('13_시나리오비교'!$C$8))+$H85*SIN(RADIANS('13_시나리오비교'!$B$8))*COS(RADIANS('13_시나리오비교'!$C$8))+$I85*COS(RADIANS('13_시나리오비교'!$B$8))),0)</f>
        <v/>
      </c>
      <c r="T85" s="80">
        <f>IF($I85&gt;0,MAX(0,$G85*SIN(RADIANS('13_시나리오비교'!$B$9))*SIN(RADIANS('13_시나리오비교'!$C$9))+$H85*SIN(RADIANS('13_시나리오비교'!$B$9))*COS(RADIANS('13_시나리오비교'!$C$9))+$I85*COS(RADIANS('13_시나리오비교'!$B$9))),0)</f>
        <v/>
      </c>
      <c r="U85" s="80">
        <f>IF($I85&gt;0,MAX(0,$G85*SIN(RADIANS('13_시나리오비교'!$B$10))*SIN(RADIANS('13_시나리오비교'!$C$10))+$H85*SIN(RADIANS('13_시나리오비교'!$B$10))*COS(RADIANS('13_시나리오비교'!$C$10))+$I85*COS(RADIANS('13_시나리오비교'!$B$10))),0)</f>
        <v/>
      </c>
      <c r="V85" s="80">
        <f>IF($I85&gt;0,MAX(0,$G85*SIN(RADIANS('13_시나리오비교'!$B$11))*SIN(RADIANS('13_시나리오비교'!$C$11))+$H85*SIN(RADIANS('13_시나리오비교'!$B$11))*COS(RADIANS('13_시나리오비교'!$C$11))+$I85*COS(RADIANS('13_시나리오비교'!$B$11))),0)</f>
        <v/>
      </c>
      <c r="W85" s="80">
        <f>IF($I85&gt;0,MAX(0,$G85*SIN(RADIANS('13_시나리오비교'!$B$12))*SIN(RADIANS('13_시나리오비교'!$C$12))+$H85*SIN(RADIANS('13_시나리오비교'!$B$12))*COS(RADIANS('13_시나리오비교'!$C$12))+$I85*COS(RADIANS('13_시나리오비교'!$B$12))),0)</f>
        <v/>
      </c>
      <c r="X85" s="80">
        <f>IF($I85&gt;0,MAX(0,$G85*SIN(RADIANS('13_시나리오비교'!$B$13))*SIN(RADIANS('13_시나리오비교'!$C$13))+$H85*SIN(RADIANS('13_시나리오비교'!$B$13))*COS(RADIANS('13_시나리오비교'!$C$13))+$I85*COS(RADIANS('13_시나리오비교'!$B$13))),0)</f>
        <v/>
      </c>
      <c r="Y85" s="80">
        <f>IF($I85&gt;0,MAX(0,$G85*SIN(RADIANS('13_시나리오비교'!$B$14))*SIN(RADIANS('13_시나리오비교'!$C$14))+$H85*SIN(RADIANS('13_시나리오비교'!$B$14))*COS(RADIANS('13_시나리오비교'!$C$14))+$I85*COS(RADIANS('13_시나리오비교'!$B$14))),0)</f>
        <v/>
      </c>
    </row>
    <row r="86" hidden="1" outlineLevel="1">
      <c r="A86" s="79" t="n">
        <v>1</v>
      </c>
      <c r="B86" s="79" t="n">
        <v>66</v>
      </c>
      <c r="C86" s="80">
        <f>(B86-0.5)*'14_지역·상수'!$H$6</f>
        <v/>
      </c>
      <c r="D86" s="79" t="n">
        <v>17</v>
      </c>
      <c r="E86" s="80">
        <f>INDEX($C$4:$C$15,MATCH(A86,$A$4:$A$15,0))</f>
        <v/>
      </c>
      <c r="F86" s="80">
        <f>15*(C86-12)</f>
        <v/>
      </c>
      <c r="G86" s="80">
        <f>-COS(RADIANS(E86))*SIN(RADIANS(F86))</f>
        <v/>
      </c>
      <c r="H86" s="80">
        <f>COS(RADIANS('11_발전량_모델'!$B$17))*SIN(RADIANS(E86))-SIN(RADIANS('11_발전량_모델'!$B$17))*COS(RADIANS(E86))*COS(RADIANS(F86))</f>
        <v/>
      </c>
      <c r="I86" s="80">
        <f>SIN(RADIANS('11_발전량_모델'!$B$17))*SIN(RADIANS(E86))+COS(RADIANS('11_발전량_모델'!$B$17))*COS(RADIANS(E86))*COS(RADIANS(F86))</f>
        <v/>
      </c>
      <c r="J86" s="80">
        <f>SIN(RADIANS('11_발전량_모델'!$B$7))*SIN(RADIANS('11_발전량_모델'!$B$8))</f>
        <v/>
      </c>
      <c r="K86" s="80">
        <f>SIN(RADIANS('11_발전량_모델'!$B$7))*COS(RADIANS('11_발전량_모델'!$B$8))</f>
        <v/>
      </c>
      <c r="L86" s="80">
        <f>COS(RADIANS('11_발전량_모델'!$B$7))</f>
        <v/>
      </c>
      <c r="M86" s="80">
        <f>G86*J86+H86*K86+I86*L86</f>
        <v/>
      </c>
      <c r="N86" s="80">
        <f>MAX(0,I86)</f>
        <v/>
      </c>
      <c r="O86" s="80">
        <f>IF(I86&gt;0,MAX(0,M86),0)</f>
        <v/>
      </c>
      <c r="P86" s="80">
        <f>IF($I86&gt;0,MAX(0,$G86*SIN(RADIANS('13_시나리오비교'!$B$5))*SIN(RADIANS('13_시나리오비교'!$C$5))+$H86*SIN(RADIANS('13_시나리오비교'!$B$5))*COS(RADIANS('13_시나리오비교'!$C$5))+$I86*COS(RADIANS('13_시나리오비교'!$B$5))),0)</f>
        <v/>
      </c>
      <c r="Q86" s="80">
        <f>IF($I86&gt;0,MAX(0,$G86*SIN(RADIANS('13_시나리오비교'!$B$6))*SIN(RADIANS('13_시나리오비교'!$C$6))+$H86*SIN(RADIANS('13_시나리오비교'!$B$6))*COS(RADIANS('13_시나리오비교'!$C$6))+$I86*COS(RADIANS('13_시나리오비교'!$B$6))),0)</f>
        <v/>
      </c>
      <c r="R86" s="80">
        <f>IF($I86&gt;0,MAX(0,$G86*SIN(RADIANS('13_시나리오비교'!$B$7))*SIN(RADIANS('13_시나리오비교'!$C$7))+$H86*SIN(RADIANS('13_시나리오비교'!$B$7))*COS(RADIANS('13_시나리오비교'!$C$7))+$I86*COS(RADIANS('13_시나리오비교'!$B$7))),0)</f>
        <v/>
      </c>
      <c r="S86" s="80">
        <f>IF($I86&gt;0,MAX(0,$G86*SIN(RADIANS('13_시나리오비교'!$B$8))*SIN(RADIANS('13_시나리오비교'!$C$8))+$H86*SIN(RADIANS('13_시나리오비교'!$B$8))*COS(RADIANS('13_시나리오비교'!$C$8))+$I86*COS(RADIANS('13_시나리오비교'!$B$8))),0)</f>
        <v/>
      </c>
      <c r="T86" s="80">
        <f>IF($I86&gt;0,MAX(0,$G86*SIN(RADIANS('13_시나리오비교'!$B$9))*SIN(RADIANS('13_시나리오비교'!$C$9))+$H86*SIN(RADIANS('13_시나리오비교'!$B$9))*COS(RADIANS('13_시나리오비교'!$C$9))+$I86*COS(RADIANS('13_시나리오비교'!$B$9))),0)</f>
        <v/>
      </c>
      <c r="U86" s="80">
        <f>IF($I86&gt;0,MAX(0,$G86*SIN(RADIANS('13_시나리오비교'!$B$10))*SIN(RADIANS('13_시나리오비교'!$C$10))+$H86*SIN(RADIANS('13_시나리오비교'!$B$10))*COS(RADIANS('13_시나리오비교'!$C$10))+$I86*COS(RADIANS('13_시나리오비교'!$B$10))),0)</f>
        <v/>
      </c>
      <c r="V86" s="80">
        <f>IF($I86&gt;0,MAX(0,$G86*SIN(RADIANS('13_시나리오비교'!$B$11))*SIN(RADIANS('13_시나리오비교'!$C$11))+$H86*SIN(RADIANS('13_시나리오비교'!$B$11))*COS(RADIANS('13_시나리오비교'!$C$11))+$I86*COS(RADIANS('13_시나리오비교'!$B$11))),0)</f>
        <v/>
      </c>
      <c r="W86" s="80">
        <f>IF($I86&gt;0,MAX(0,$G86*SIN(RADIANS('13_시나리오비교'!$B$12))*SIN(RADIANS('13_시나리오비교'!$C$12))+$H86*SIN(RADIANS('13_시나리오비교'!$B$12))*COS(RADIANS('13_시나리오비교'!$C$12))+$I86*COS(RADIANS('13_시나리오비교'!$B$12))),0)</f>
        <v/>
      </c>
      <c r="X86" s="80">
        <f>IF($I86&gt;0,MAX(0,$G86*SIN(RADIANS('13_시나리오비교'!$B$13))*SIN(RADIANS('13_시나리오비교'!$C$13))+$H86*SIN(RADIANS('13_시나리오비교'!$B$13))*COS(RADIANS('13_시나리오비교'!$C$13))+$I86*COS(RADIANS('13_시나리오비교'!$B$13))),0)</f>
        <v/>
      </c>
      <c r="Y86" s="80">
        <f>IF($I86&gt;0,MAX(0,$G86*SIN(RADIANS('13_시나리오비교'!$B$14))*SIN(RADIANS('13_시나리오비교'!$C$14))+$H86*SIN(RADIANS('13_시나리오비교'!$B$14))*COS(RADIANS('13_시나리오비교'!$C$14))+$I86*COS(RADIANS('13_시나리오비교'!$B$14))),0)</f>
        <v/>
      </c>
    </row>
    <row r="87" hidden="1" outlineLevel="1">
      <c r="A87" s="79" t="n">
        <v>1</v>
      </c>
      <c r="B87" s="79" t="n">
        <v>67</v>
      </c>
      <c r="C87" s="80">
        <f>(B87-0.5)*'14_지역·상수'!$H$6</f>
        <v/>
      </c>
      <c r="D87" s="79" t="n">
        <v>17</v>
      </c>
      <c r="E87" s="80">
        <f>INDEX($C$4:$C$15,MATCH(A87,$A$4:$A$15,0))</f>
        <v/>
      </c>
      <c r="F87" s="80">
        <f>15*(C87-12)</f>
        <v/>
      </c>
      <c r="G87" s="80">
        <f>-COS(RADIANS(E87))*SIN(RADIANS(F87))</f>
        <v/>
      </c>
      <c r="H87" s="80">
        <f>COS(RADIANS('11_발전량_모델'!$B$17))*SIN(RADIANS(E87))-SIN(RADIANS('11_발전량_모델'!$B$17))*COS(RADIANS(E87))*COS(RADIANS(F87))</f>
        <v/>
      </c>
      <c r="I87" s="80">
        <f>SIN(RADIANS('11_발전량_모델'!$B$17))*SIN(RADIANS(E87))+COS(RADIANS('11_발전량_모델'!$B$17))*COS(RADIANS(E87))*COS(RADIANS(F87))</f>
        <v/>
      </c>
      <c r="J87" s="80">
        <f>SIN(RADIANS('11_발전량_모델'!$B$7))*SIN(RADIANS('11_발전량_모델'!$B$8))</f>
        <v/>
      </c>
      <c r="K87" s="80">
        <f>SIN(RADIANS('11_발전량_모델'!$B$7))*COS(RADIANS('11_발전량_모델'!$B$8))</f>
        <v/>
      </c>
      <c r="L87" s="80">
        <f>COS(RADIANS('11_발전량_모델'!$B$7))</f>
        <v/>
      </c>
      <c r="M87" s="80">
        <f>G87*J87+H87*K87+I87*L87</f>
        <v/>
      </c>
      <c r="N87" s="80">
        <f>MAX(0,I87)</f>
        <v/>
      </c>
      <c r="O87" s="80">
        <f>IF(I87&gt;0,MAX(0,M87),0)</f>
        <v/>
      </c>
      <c r="P87" s="80">
        <f>IF($I87&gt;0,MAX(0,$G87*SIN(RADIANS('13_시나리오비교'!$B$5))*SIN(RADIANS('13_시나리오비교'!$C$5))+$H87*SIN(RADIANS('13_시나리오비교'!$B$5))*COS(RADIANS('13_시나리오비교'!$C$5))+$I87*COS(RADIANS('13_시나리오비교'!$B$5))),0)</f>
        <v/>
      </c>
      <c r="Q87" s="80">
        <f>IF($I87&gt;0,MAX(0,$G87*SIN(RADIANS('13_시나리오비교'!$B$6))*SIN(RADIANS('13_시나리오비교'!$C$6))+$H87*SIN(RADIANS('13_시나리오비교'!$B$6))*COS(RADIANS('13_시나리오비교'!$C$6))+$I87*COS(RADIANS('13_시나리오비교'!$B$6))),0)</f>
        <v/>
      </c>
      <c r="R87" s="80">
        <f>IF($I87&gt;0,MAX(0,$G87*SIN(RADIANS('13_시나리오비교'!$B$7))*SIN(RADIANS('13_시나리오비교'!$C$7))+$H87*SIN(RADIANS('13_시나리오비교'!$B$7))*COS(RADIANS('13_시나리오비교'!$C$7))+$I87*COS(RADIANS('13_시나리오비교'!$B$7))),0)</f>
        <v/>
      </c>
      <c r="S87" s="80">
        <f>IF($I87&gt;0,MAX(0,$G87*SIN(RADIANS('13_시나리오비교'!$B$8))*SIN(RADIANS('13_시나리오비교'!$C$8))+$H87*SIN(RADIANS('13_시나리오비교'!$B$8))*COS(RADIANS('13_시나리오비교'!$C$8))+$I87*COS(RADIANS('13_시나리오비교'!$B$8))),0)</f>
        <v/>
      </c>
      <c r="T87" s="80">
        <f>IF($I87&gt;0,MAX(0,$G87*SIN(RADIANS('13_시나리오비교'!$B$9))*SIN(RADIANS('13_시나리오비교'!$C$9))+$H87*SIN(RADIANS('13_시나리오비교'!$B$9))*COS(RADIANS('13_시나리오비교'!$C$9))+$I87*COS(RADIANS('13_시나리오비교'!$B$9))),0)</f>
        <v/>
      </c>
      <c r="U87" s="80">
        <f>IF($I87&gt;0,MAX(0,$G87*SIN(RADIANS('13_시나리오비교'!$B$10))*SIN(RADIANS('13_시나리오비교'!$C$10))+$H87*SIN(RADIANS('13_시나리오비교'!$B$10))*COS(RADIANS('13_시나리오비교'!$C$10))+$I87*COS(RADIANS('13_시나리오비교'!$B$10))),0)</f>
        <v/>
      </c>
      <c r="V87" s="80">
        <f>IF($I87&gt;0,MAX(0,$G87*SIN(RADIANS('13_시나리오비교'!$B$11))*SIN(RADIANS('13_시나리오비교'!$C$11))+$H87*SIN(RADIANS('13_시나리오비교'!$B$11))*COS(RADIANS('13_시나리오비교'!$C$11))+$I87*COS(RADIANS('13_시나리오비교'!$B$11))),0)</f>
        <v/>
      </c>
      <c r="W87" s="80">
        <f>IF($I87&gt;0,MAX(0,$G87*SIN(RADIANS('13_시나리오비교'!$B$12))*SIN(RADIANS('13_시나리오비교'!$C$12))+$H87*SIN(RADIANS('13_시나리오비교'!$B$12))*COS(RADIANS('13_시나리오비교'!$C$12))+$I87*COS(RADIANS('13_시나리오비교'!$B$12))),0)</f>
        <v/>
      </c>
      <c r="X87" s="80">
        <f>IF($I87&gt;0,MAX(0,$G87*SIN(RADIANS('13_시나리오비교'!$B$13))*SIN(RADIANS('13_시나리오비교'!$C$13))+$H87*SIN(RADIANS('13_시나리오비교'!$B$13))*COS(RADIANS('13_시나리오비교'!$C$13))+$I87*COS(RADIANS('13_시나리오비교'!$B$13))),0)</f>
        <v/>
      </c>
      <c r="Y87" s="80">
        <f>IF($I87&gt;0,MAX(0,$G87*SIN(RADIANS('13_시나리오비교'!$B$14))*SIN(RADIANS('13_시나리오비교'!$C$14))+$H87*SIN(RADIANS('13_시나리오비교'!$B$14))*COS(RADIANS('13_시나리오비교'!$C$14))+$I87*COS(RADIANS('13_시나리오비교'!$B$14))),0)</f>
        <v/>
      </c>
    </row>
    <row r="88" hidden="1" outlineLevel="1">
      <c r="A88" s="79" t="n">
        <v>1</v>
      </c>
      <c r="B88" s="79" t="n">
        <v>68</v>
      </c>
      <c r="C88" s="80">
        <f>(B88-0.5)*'14_지역·상수'!$H$6</f>
        <v/>
      </c>
      <c r="D88" s="79" t="n">
        <v>17</v>
      </c>
      <c r="E88" s="80">
        <f>INDEX($C$4:$C$15,MATCH(A88,$A$4:$A$15,0))</f>
        <v/>
      </c>
      <c r="F88" s="80">
        <f>15*(C88-12)</f>
        <v/>
      </c>
      <c r="G88" s="80">
        <f>-COS(RADIANS(E88))*SIN(RADIANS(F88))</f>
        <v/>
      </c>
      <c r="H88" s="80">
        <f>COS(RADIANS('11_발전량_모델'!$B$17))*SIN(RADIANS(E88))-SIN(RADIANS('11_발전량_모델'!$B$17))*COS(RADIANS(E88))*COS(RADIANS(F88))</f>
        <v/>
      </c>
      <c r="I88" s="80">
        <f>SIN(RADIANS('11_발전량_모델'!$B$17))*SIN(RADIANS(E88))+COS(RADIANS('11_발전량_모델'!$B$17))*COS(RADIANS(E88))*COS(RADIANS(F88))</f>
        <v/>
      </c>
      <c r="J88" s="80">
        <f>SIN(RADIANS('11_발전량_모델'!$B$7))*SIN(RADIANS('11_발전량_모델'!$B$8))</f>
        <v/>
      </c>
      <c r="K88" s="80">
        <f>SIN(RADIANS('11_발전량_모델'!$B$7))*COS(RADIANS('11_발전량_모델'!$B$8))</f>
        <v/>
      </c>
      <c r="L88" s="80">
        <f>COS(RADIANS('11_발전량_모델'!$B$7))</f>
        <v/>
      </c>
      <c r="M88" s="80">
        <f>G88*J88+H88*K88+I88*L88</f>
        <v/>
      </c>
      <c r="N88" s="80">
        <f>MAX(0,I88)</f>
        <v/>
      </c>
      <c r="O88" s="80">
        <f>IF(I88&gt;0,MAX(0,M88),0)</f>
        <v/>
      </c>
      <c r="P88" s="80">
        <f>IF($I88&gt;0,MAX(0,$G88*SIN(RADIANS('13_시나리오비교'!$B$5))*SIN(RADIANS('13_시나리오비교'!$C$5))+$H88*SIN(RADIANS('13_시나리오비교'!$B$5))*COS(RADIANS('13_시나리오비교'!$C$5))+$I88*COS(RADIANS('13_시나리오비교'!$B$5))),0)</f>
        <v/>
      </c>
      <c r="Q88" s="80">
        <f>IF($I88&gt;0,MAX(0,$G88*SIN(RADIANS('13_시나리오비교'!$B$6))*SIN(RADIANS('13_시나리오비교'!$C$6))+$H88*SIN(RADIANS('13_시나리오비교'!$B$6))*COS(RADIANS('13_시나리오비교'!$C$6))+$I88*COS(RADIANS('13_시나리오비교'!$B$6))),0)</f>
        <v/>
      </c>
      <c r="R88" s="80">
        <f>IF($I88&gt;0,MAX(0,$G88*SIN(RADIANS('13_시나리오비교'!$B$7))*SIN(RADIANS('13_시나리오비교'!$C$7))+$H88*SIN(RADIANS('13_시나리오비교'!$B$7))*COS(RADIANS('13_시나리오비교'!$C$7))+$I88*COS(RADIANS('13_시나리오비교'!$B$7))),0)</f>
        <v/>
      </c>
      <c r="S88" s="80">
        <f>IF($I88&gt;0,MAX(0,$G88*SIN(RADIANS('13_시나리오비교'!$B$8))*SIN(RADIANS('13_시나리오비교'!$C$8))+$H88*SIN(RADIANS('13_시나리오비교'!$B$8))*COS(RADIANS('13_시나리오비교'!$C$8))+$I88*COS(RADIANS('13_시나리오비교'!$B$8))),0)</f>
        <v/>
      </c>
      <c r="T88" s="80">
        <f>IF($I88&gt;0,MAX(0,$G88*SIN(RADIANS('13_시나리오비교'!$B$9))*SIN(RADIANS('13_시나리오비교'!$C$9))+$H88*SIN(RADIANS('13_시나리오비교'!$B$9))*COS(RADIANS('13_시나리오비교'!$C$9))+$I88*COS(RADIANS('13_시나리오비교'!$B$9))),0)</f>
        <v/>
      </c>
      <c r="U88" s="80">
        <f>IF($I88&gt;0,MAX(0,$G88*SIN(RADIANS('13_시나리오비교'!$B$10))*SIN(RADIANS('13_시나리오비교'!$C$10))+$H88*SIN(RADIANS('13_시나리오비교'!$B$10))*COS(RADIANS('13_시나리오비교'!$C$10))+$I88*COS(RADIANS('13_시나리오비교'!$B$10))),0)</f>
        <v/>
      </c>
      <c r="V88" s="80">
        <f>IF($I88&gt;0,MAX(0,$G88*SIN(RADIANS('13_시나리오비교'!$B$11))*SIN(RADIANS('13_시나리오비교'!$C$11))+$H88*SIN(RADIANS('13_시나리오비교'!$B$11))*COS(RADIANS('13_시나리오비교'!$C$11))+$I88*COS(RADIANS('13_시나리오비교'!$B$11))),0)</f>
        <v/>
      </c>
      <c r="W88" s="80">
        <f>IF($I88&gt;0,MAX(0,$G88*SIN(RADIANS('13_시나리오비교'!$B$12))*SIN(RADIANS('13_시나리오비교'!$C$12))+$H88*SIN(RADIANS('13_시나리오비교'!$B$12))*COS(RADIANS('13_시나리오비교'!$C$12))+$I88*COS(RADIANS('13_시나리오비교'!$B$12))),0)</f>
        <v/>
      </c>
      <c r="X88" s="80">
        <f>IF($I88&gt;0,MAX(0,$G88*SIN(RADIANS('13_시나리오비교'!$B$13))*SIN(RADIANS('13_시나리오비교'!$C$13))+$H88*SIN(RADIANS('13_시나리오비교'!$B$13))*COS(RADIANS('13_시나리오비교'!$C$13))+$I88*COS(RADIANS('13_시나리오비교'!$B$13))),0)</f>
        <v/>
      </c>
      <c r="Y88" s="80">
        <f>IF($I88&gt;0,MAX(0,$G88*SIN(RADIANS('13_시나리오비교'!$B$14))*SIN(RADIANS('13_시나리오비교'!$C$14))+$H88*SIN(RADIANS('13_시나리오비교'!$B$14))*COS(RADIANS('13_시나리오비교'!$C$14))+$I88*COS(RADIANS('13_시나리오비교'!$B$14))),0)</f>
        <v/>
      </c>
    </row>
    <row r="89" hidden="1" outlineLevel="1">
      <c r="A89" s="79" t="n">
        <v>1</v>
      </c>
      <c r="B89" s="79" t="n">
        <v>69</v>
      </c>
      <c r="C89" s="80">
        <f>(B89-0.5)*'14_지역·상수'!$H$6</f>
        <v/>
      </c>
      <c r="D89" s="79" t="n">
        <v>17</v>
      </c>
      <c r="E89" s="80">
        <f>INDEX($C$4:$C$15,MATCH(A89,$A$4:$A$15,0))</f>
        <v/>
      </c>
      <c r="F89" s="80">
        <f>15*(C89-12)</f>
        <v/>
      </c>
      <c r="G89" s="80">
        <f>-COS(RADIANS(E89))*SIN(RADIANS(F89))</f>
        <v/>
      </c>
      <c r="H89" s="80">
        <f>COS(RADIANS('11_발전량_모델'!$B$17))*SIN(RADIANS(E89))-SIN(RADIANS('11_발전량_모델'!$B$17))*COS(RADIANS(E89))*COS(RADIANS(F89))</f>
        <v/>
      </c>
      <c r="I89" s="80">
        <f>SIN(RADIANS('11_발전량_모델'!$B$17))*SIN(RADIANS(E89))+COS(RADIANS('11_발전량_모델'!$B$17))*COS(RADIANS(E89))*COS(RADIANS(F89))</f>
        <v/>
      </c>
      <c r="J89" s="80">
        <f>SIN(RADIANS('11_발전량_모델'!$B$7))*SIN(RADIANS('11_발전량_모델'!$B$8))</f>
        <v/>
      </c>
      <c r="K89" s="80">
        <f>SIN(RADIANS('11_발전량_모델'!$B$7))*COS(RADIANS('11_발전량_모델'!$B$8))</f>
        <v/>
      </c>
      <c r="L89" s="80">
        <f>COS(RADIANS('11_발전량_모델'!$B$7))</f>
        <v/>
      </c>
      <c r="M89" s="80">
        <f>G89*J89+H89*K89+I89*L89</f>
        <v/>
      </c>
      <c r="N89" s="80">
        <f>MAX(0,I89)</f>
        <v/>
      </c>
      <c r="O89" s="80">
        <f>IF(I89&gt;0,MAX(0,M89),0)</f>
        <v/>
      </c>
      <c r="P89" s="80">
        <f>IF($I89&gt;0,MAX(0,$G89*SIN(RADIANS('13_시나리오비교'!$B$5))*SIN(RADIANS('13_시나리오비교'!$C$5))+$H89*SIN(RADIANS('13_시나리오비교'!$B$5))*COS(RADIANS('13_시나리오비교'!$C$5))+$I89*COS(RADIANS('13_시나리오비교'!$B$5))),0)</f>
        <v/>
      </c>
      <c r="Q89" s="80">
        <f>IF($I89&gt;0,MAX(0,$G89*SIN(RADIANS('13_시나리오비교'!$B$6))*SIN(RADIANS('13_시나리오비교'!$C$6))+$H89*SIN(RADIANS('13_시나리오비교'!$B$6))*COS(RADIANS('13_시나리오비교'!$C$6))+$I89*COS(RADIANS('13_시나리오비교'!$B$6))),0)</f>
        <v/>
      </c>
      <c r="R89" s="80">
        <f>IF($I89&gt;0,MAX(0,$G89*SIN(RADIANS('13_시나리오비교'!$B$7))*SIN(RADIANS('13_시나리오비교'!$C$7))+$H89*SIN(RADIANS('13_시나리오비교'!$B$7))*COS(RADIANS('13_시나리오비교'!$C$7))+$I89*COS(RADIANS('13_시나리오비교'!$B$7))),0)</f>
        <v/>
      </c>
      <c r="S89" s="80">
        <f>IF($I89&gt;0,MAX(0,$G89*SIN(RADIANS('13_시나리오비교'!$B$8))*SIN(RADIANS('13_시나리오비교'!$C$8))+$H89*SIN(RADIANS('13_시나리오비교'!$B$8))*COS(RADIANS('13_시나리오비교'!$C$8))+$I89*COS(RADIANS('13_시나리오비교'!$B$8))),0)</f>
        <v/>
      </c>
      <c r="T89" s="80">
        <f>IF($I89&gt;0,MAX(0,$G89*SIN(RADIANS('13_시나리오비교'!$B$9))*SIN(RADIANS('13_시나리오비교'!$C$9))+$H89*SIN(RADIANS('13_시나리오비교'!$B$9))*COS(RADIANS('13_시나리오비교'!$C$9))+$I89*COS(RADIANS('13_시나리오비교'!$B$9))),0)</f>
        <v/>
      </c>
      <c r="U89" s="80">
        <f>IF($I89&gt;0,MAX(0,$G89*SIN(RADIANS('13_시나리오비교'!$B$10))*SIN(RADIANS('13_시나리오비교'!$C$10))+$H89*SIN(RADIANS('13_시나리오비교'!$B$10))*COS(RADIANS('13_시나리오비교'!$C$10))+$I89*COS(RADIANS('13_시나리오비교'!$B$10))),0)</f>
        <v/>
      </c>
      <c r="V89" s="80">
        <f>IF($I89&gt;0,MAX(0,$G89*SIN(RADIANS('13_시나리오비교'!$B$11))*SIN(RADIANS('13_시나리오비교'!$C$11))+$H89*SIN(RADIANS('13_시나리오비교'!$B$11))*COS(RADIANS('13_시나리오비교'!$C$11))+$I89*COS(RADIANS('13_시나리오비교'!$B$11))),0)</f>
        <v/>
      </c>
      <c r="W89" s="80">
        <f>IF($I89&gt;0,MAX(0,$G89*SIN(RADIANS('13_시나리오비교'!$B$12))*SIN(RADIANS('13_시나리오비교'!$C$12))+$H89*SIN(RADIANS('13_시나리오비교'!$B$12))*COS(RADIANS('13_시나리오비교'!$C$12))+$I89*COS(RADIANS('13_시나리오비교'!$B$12))),0)</f>
        <v/>
      </c>
      <c r="X89" s="80">
        <f>IF($I89&gt;0,MAX(0,$G89*SIN(RADIANS('13_시나리오비교'!$B$13))*SIN(RADIANS('13_시나리오비교'!$C$13))+$H89*SIN(RADIANS('13_시나리오비교'!$B$13))*COS(RADIANS('13_시나리오비교'!$C$13))+$I89*COS(RADIANS('13_시나리오비교'!$B$13))),0)</f>
        <v/>
      </c>
      <c r="Y89" s="80">
        <f>IF($I89&gt;0,MAX(0,$G89*SIN(RADIANS('13_시나리오비교'!$B$14))*SIN(RADIANS('13_시나리오비교'!$C$14))+$H89*SIN(RADIANS('13_시나리오비교'!$B$14))*COS(RADIANS('13_시나리오비교'!$C$14))+$I89*COS(RADIANS('13_시나리오비교'!$B$14))),0)</f>
        <v/>
      </c>
    </row>
    <row r="90" hidden="1" outlineLevel="1">
      <c r="A90" s="79" t="n">
        <v>1</v>
      </c>
      <c r="B90" s="79" t="n">
        <v>70</v>
      </c>
      <c r="C90" s="80">
        <f>(B90-0.5)*'14_지역·상수'!$H$6</f>
        <v/>
      </c>
      <c r="D90" s="79" t="n">
        <v>17</v>
      </c>
      <c r="E90" s="80">
        <f>INDEX($C$4:$C$15,MATCH(A90,$A$4:$A$15,0))</f>
        <v/>
      </c>
      <c r="F90" s="80">
        <f>15*(C90-12)</f>
        <v/>
      </c>
      <c r="G90" s="80">
        <f>-COS(RADIANS(E90))*SIN(RADIANS(F90))</f>
        <v/>
      </c>
      <c r="H90" s="80">
        <f>COS(RADIANS('11_발전량_모델'!$B$17))*SIN(RADIANS(E90))-SIN(RADIANS('11_발전량_모델'!$B$17))*COS(RADIANS(E90))*COS(RADIANS(F90))</f>
        <v/>
      </c>
      <c r="I90" s="80">
        <f>SIN(RADIANS('11_발전량_모델'!$B$17))*SIN(RADIANS(E90))+COS(RADIANS('11_발전량_모델'!$B$17))*COS(RADIANS(E90))*COS(RADIANS(F90))</f>
        <v/>
      </c>
      <c r="J90" s="80">
        <f>SIN(RADIANS('11_발전량_모델'!$B$7))*SIN(RADIANS('11_발전량_모델'!$B$8))</f>
        <v/>
      </c>
      <c r="K90" s="80">
        <f>SIN(RADIANS('11_발전량_모델'!$B$7))*COS(RADIANS('11_발전량_모델'!$B$8))</f>
        <v/>
      </c>
      <c r="L90" s="80">
        <f>COS(RADIANS('11_발전량_모델'!$B$7))</f>
        <v/>
      </c>
      <c r="M90" s="80">
        <f>G90*J90+H90*K90+I90*L90</f>
        <v/>
      </c>
      <c r="N90" s="80">
        <f>MAX(0,I90)</f>
        <v/>
      </c>
      <c r="O90" s="80">
        <f>IF(I90&gt;0,MAX(0,M90),0)</f>
        <v/>
      </c>
      <c r="P90" s="80">
        <f>IF($I90&gt;0,MAX(0,$G90*SIN(RADIANS('13_시나리오비교'!$B$5))*SIN(RADIANS('13_시나리오비교'!$C$5))+$H90*SIN(RADIANS('13_시나리오비교'!$B$5))*COS(RADIANS('13_시나리오비교'!$C$5))+$I90*COS(RADIANS('13_시나리오비교'!$B$5))),0)</f>
        <v/>
      </c>
      <c r="Q90" s="80">
        <f>IF($I90&gt;0,MAX(0,$G90*SIN(RADIANS('13_시나리오비교'!$B$6))*SIN(RADIANS('13_시나리오비교'!$C$6))+$H90*SIN(RADIANS('13_시나리오비교'!$B$6))*COS(RADIANS('13_시나리오비교'!$C$6))+$I90*COS(RADIANS('13_시나리오비교'!$B$6))),0)</f>
        <v/>
      </c>
      <c r="R90" s="80">
        <f>IF($I90&gt;0,MAX(0,$G90*SIN(RADIANS('13_시나리오비교'!$B$7))*SIN(RADIANS('13_시나리오비교'!$C$7))+$H90*SIN(RADIANS('13_시나리오비교'!$B$7))*COS(RADIANS('13_시나리오비교'!$C$7))+$I90*COS(RADIANS('13_시나리오비교'!$B$7))),0)</f>
        <v/>
      </c>
      <c r="S90" s="80">
        <f>IF($I90&gt;0,MAX(0,$G90*SIN(RADIANS('13_시나리오비교'!$B$8))*SIN(RADIANS('13_시나리오비교'!$C$8))+$H90*SIN(RADIANS('13_시나리오비교'!$B$8))*COS(RADIANS('13_시나리오비교'!$C$8))+$I90*COS(RADIANS('13_시나리오비교'!$B$8))),0)</f>
        <v/>
      </c>
      <c r="T90" s="80">
        <f>IF($I90&gt;0,MAX(0,$G90*SIN(RADIANS('13_시나리오비교'!$B$9))*SIN(RADIANS('13_시나리오비교'!$C$9))+$H90*SIN(RADIANS('13_시나리오비교'!$B$9))*COS(RADIANS('13_시나리오비교'!$C$9))+$I90*COS(RADIANS('13_시나리오비교'!$B$9))),0)</f>
        <v/>
      </c>
      <c r="U90" s="80">
        <f>IF($I90&gt;0,MAX(0,$G90*SIN(RADIANS('13_시나리오비교'!$B$10))*SIN(RADIANS('13_시나리오비교'!$C$10))+$H90*SIN(RADIANS('13_시나리오비교'!$B$10))*COS(RADIANS('13_시나리오비교'!$C$10))+$I90*COS(RADIANS('13_시나리오비교'!$B$10))),0)</f>
        <v/>
      </c>
      <c r="V90" s="80">
        <f>IF($I90&gt;0,MAX(0,$G90*SIN(RADIANS('13_시나리오비교'!$B$11))*SIN(RADIANS('13_시나리오비교'!$C$11))+$H90*SIN(RADIANS('13_시나리오비교'!$B$11))*COS(RADIANS('13_시나리오비교'!$C$11))+$I90*COS(RADIANS('13_시나리오비교'!$B$11))),0)</f>
        <v/>
      </c>
      <c r="W90" s="80">
        <f>IF($I90&gt;0,MAX(0,$G90*SIN(RADIANS('13_시나리오비교'!$B$12))*SIN(RADIANS('13_시나리오비교'!$C$12))+$H90*SIN(RADIANS('13_시나리오비교'!$B$12))*COS(RADIANS('13_시나리오비교'!$C$12))+$I90*COS(RADIANS('13_시나리오비교'!$B$12))),0)</f>
        <v/>
      </c>
      <c r="X90" s="80">
        <f>IF($I90&gt;0,MAX(0,$G90*SIN(RADIANS('13_시나리오비교'!$B$13))*SIN(RADIANS('13_시나리오비교'!$C$13))+$H90*SIN(RADIANS('13_시나리오비교'!$B$13))*COS(RADIANS('13_시나리오비교'!$C$13))+$I90*COS(RADIANS('13_시나리오비교'!$B$13))),0)</f>
        <v/>
      </c>
      <c r="Y90" s="80">
        <f>IF($I90&gt;0,MAX(0,$G90*SIN(RADIANS('13_시나리오비교'!$B$14))*SIN(RADIANS('13_시나리오비교'!$C$14))+$H90*SIN(RADIANS('13_시나리오비교'!$B$14))*COS(RADIANS('13_시나리오비교'!$C$14))+$I90*COS(RADIANS('13_시나리오비교'!$B$14))),0)</f>
        <v/>
      </c>
    </row>
    <row r="91" hidden="1" outlineLevel="1">
      <c r="A91" s="79" t="n">
        <v>1</v>
      </c>
      <c r="B91" s="79" t="n">
        <v>71</v>
      </c>
      <c r="C91" s="80">
        <f>(B91-0.5)*'14_지역·상수'!$H$6</f>
        <v/>
      </c>
      <c r="D91" s="79" t="n">
        <v>17</v>
      </c>
      <c r="E91" s="80">
        <f>INDEX($C$4:$C$15,MATCH(A91,$A$4:$A$15,0))</f>
        <v/>
      </c>
      <c r="F91" s="80">
        <f>15*(C91-12)</f>
        <v/>
      </c>
      <c r="G91" s="80">
        <f>-COS(RADIANS(E91))*SIN(RADIANS(F91))</f>
        <v/>
      </c>
      <c r="H91" s="80">
        <f>COS(RADIANS('11_발전량_모델'!$B$17))*SIN(RADIANS(E91))-SIN(RADIANS('11_발전량_모델'!$B$17))*COS(RADIANS(E91))*COS(RADIANS(F91))</f>
        <v/>
      </c>
      <c r="I91" s="80">
        <f>SIN(RADIANS('11_발전량_모델'!$B$17))*SIN(RADIANS(E91))+COS(RADIANS('11_발전량_모델'!$B$17))*COS(RADIANS(E91))*COS(RADIANS(F91))</f>
        <v/>
      </c>
      <c r="J91" s="80">
        <f>SIN(RADIANS('11_발전량_모델'!$B$7))*SIN(RADIANS('11_발전량_모델'!$B$8))</f>
        <v/>
      </c>
      <c r="K91" s="80">
        <f>SIN(RADIANS('11_발전량_모델'!$B$7))*COS(RADIANS('11_발전량_모델'!$B$8))</f>
        <v/>
      </c>
      <c r="L91" s="80">
        <f>COS(RADIANS('11_발전량_모델'!$B$7))</f>
        <v/>
      </c>
      <c r="M91" s="80">
        <f>G91*J91+H91*K91+I91*L91</f>
        <v/>
      </c>
      <c r="N91" s="80">
        <f>MAX(0,I91)</f>
        <v/>
      </c>
      <c r="O91" s="80">
        <f>IF(I91&gt;0,MAX(0,M91),0)</f>
        <v/>
      </c>
      <c r="P91" s="80">
        <f>IF($I91&gt;0,MAX(0,$G91*SIN(RADIANS('13_시나리오비교'!$B$5))*SIN(RADIANS('13_시나리오비교'!$C$5))+$H91*SIN(RADIANS('13_시나리오비교'!$B$5))*COS(RADIANS('13_시나리오비교'!$C$5))+$I91*COS(RADIANS('13_시나리오비교'!$B$5))),0)</f>
        <v/>
      </c>
      <c r="Q91" s="80">
        <f>IF($I91&gt;0,MAX(0,$G91*SIN(RADIANS('13_시나리오비교'!$B$6))*SIN(RADIANS('13_시나리오비교'!$C$6))+$H91*SIN(RADIANS('13_시나리오비교'!$B$6))*COS(RADIANS('13_시나리오비교'!$C$6))+$I91*COS(RADIANS('13_시나리오비교'!$B$6))),0)</f>
        <v/>
      </c>
      <c r="R91" s="80">
        <f>IF($I91&gt;0,MAX(0,$G91*SIN(RADIANS('13_시나리오비교'!$B$7))*SIN(RADIANS('13_시나리오비교'!$C$7))+$H91*SIN(RADIANS('13_시나리오비교'!$B$7))*COS(RADIANS('13_시나리오비교'!$C$7))+$I91*COS(RADIANS('13_시나리오비교'!$B$7))),0)</f>
        <v/>
      </c>
      <c r="S91" s="80">
        <f>IF($I91&gt;0,MAX(0,$G91*SIN(RADIANS('13_시나리오비교'!$B$8))*SIN(RADIANS('13_시나리오비교'!$C$8))+$H91*SIN(RADIANS('13_시나리오비교'!$B$8))*COS(RADIANS('13_시나리오비교'!$C$8))+$I91*COS(RADIANS('13_시나리오비교'!$B$8))),0)</f>
        <v/>
      </c>
      <c r="T91" s="80">
        <f>IF($I91&gt;0,MAX(0,$G91*SIN(RADIANS('13_시나리오비교'!$B$9))*SIN(RADIANS('13_시나리오비교'!$C$9))+$H91*SIN(RADIANS('13_시나리오비교'!$B$9))*COS(RADIANS('13_시나리오비교'!$C$9))+$I91*COS(RADIANS('13_시나리오비교'!$B$9))),0)</f>
        <v/>
      </c>
      <c r="U91" s="80">
        <f>IF($I91&gt;0,MAX(0,$G91*SIN(RADIANS('13_시나리오비교'!$B$10))*SIN(RADIANS('13_시나리오비교'!$C$10))+$H91*SIN(RADIANS('13_시나리오비교'!$B$10))*COS(RADIANS('13_시나리오비교'!$C$10))+$I91*COS(RADIANS('13_시나리오비교'!$B$10))),0)</f>
        <v/>
      </c>
      <c r="V91" s="80">
        <f>IF($I91&gt;0,MAX(0,$G91*SIN(RADIANS('13_시나리오비교'!$B$11))*SIN(RADIANS('13_시나리오비교'!$C$11))+$H91*SIN(RADIANS('13_시나리오비교'!$B$11))*COS(RADIANS('13_시나리오비교'!$C$11))+$I91*COS(RADIANS('13_시나리오비교'!$B$11))),0)</f>
        <v/>
      </c>
      <c r="W91" s="80">
        <f>IF($I91&gt;0,MAX(0,$G91*SIN(RADIANS('13_시나리오비교'!$B$12))*SIN(RADIANS('13_시나리오비교'!$C$12))+$H91*SIN(RADIANS('13_시나리오비교'!$B$12))*COS(RADIANS('13_시나리오비교'!$C$12))+$I91*COS(RADIANS('13_시나리오비교'!$B$12))),0)</f>
        <v/>
      </c>
      <c r="X91" s="80">
        <f>IF($I91&gt;0,MAX(0,$G91*SIN(RADIANS('13_시나리오비교'!$B$13))*SIN(RADIANS('13_시나리오비교'!$C$13))+$H91*SIN(RADIANS('13_시나리오비교'!$B$13))*COS(RADIANS('13_시나리오비교'!$C$13))+$I91*COS(RADIANS('13_시나리오비교'!$B$13))),0)</f>
        <v/>
      </c>
      <c r="Y91" s="80">
        <f>IF($I91&gt;0,MAX(0,$G91*SIN(RADIANS('13_시나리오비교'!$B$14))*SIN(RADIANS('13_시나리오비교'!$C$14))+$H91*SIN(RADIANS('13_시나리오비교'!$B$14))*COS(RADIANS('13_시나리오비교'!$C$14))+$I91*COS(RADIANS('13_시나리오비교'!$B$14))),0)</f>
        <v/>
      </c>
    </row>
    <row r="92" hidden="1" outlineLevel="1">
      <c r="A92" s="79" t="n">
        <v>1</v>
      </c>
      <c r="B92" s="79" t="n">
        <v>72</v>
      </c>
      <c r="C92" s="80">
        <f>(B92-0.5)*'14_지역·상수'!$H$6</f>
        <v/>
      </c>
      <c r="D92" s="79" t="n">
        <v>17</v>
      </c>
      <c r="E92" s="80">
        <f>INDEX($C$4:$C$15,MATCH(A92,$A$4:$A$15,0))</f>
        <v/>
      </c>
      <c r="F92" s="80">
        <f>15*(C92-12)</f>
        <v/>
      </c>
      <c r="G92" s="80">
        <f>-COS(RADIANS(E92))*SIN(RADIANS(F92))</f>
        <v/>
      </c>
      <c r="H92" s="80">
        <f>COS(RADIANS('11_발전량_모델'!$B$17))*SIN(RADIANS(E92))-SIN(RADIANS('11_발전량_모델'!$B$17))*COS(RADIANS(E92))*COS(RADIANS(F92))</f>
        <v/>
      </c>
      <c r="I92" s="80">
        <f>SIN(RADIANS('11_발전량_모델'!$B$17))*SIN(RADIANS(E92))+COS(RADIANS('11_발전량_모델'!$B$17))*COS(RADIANS(E92))*COS(RADIANS(F92))</f>
        <v/>
      </c>
      <c r="J92" s="80">
        <f>SIN(RADIANS('11_발전량_모델'!$B$7))*SIN(RADIANS('11_발전량_모델'!$B$8))</f>
        <v/>
      </c>
      <c r="K92" s="80">
        <f>SIN(RADIANS('11_발전량_모델'!$B$7))*COS(RADIANS('11_발전량_모델'!$B$8))</f>
        <v/>
      </c>
      <c r="L92" s="80">
        <f>COS(RADIANS('11_발전량_모델'!$B$7))</f>
        <v/>
      </c>
      <c r="M92" s="80">
        <f>G92*J92+H92*K92+I92*L92</f>
        <v/>
      </c>
      <c r="N92" s="80">
        <f>MAX(0,I92)</f>
        <v/>
      </c>
      <c r="O92" s="80">
        <f>IF(I92&gt;0,MAX(0,M92),0)</f>
        <v/>
      </c>
      <c r="P92" s="80">
        <f>IF($I92&gt;0,MAX(0,$G92*SIN(RADIANS('13_시나리오비교'!$B$5))*SIN(RADIANS('13_시나리오비교'!$C$5))+$H92*SIN(RADIANS('13_시나리오비교'!$B$5))*COS(RADIANS('13_시나리오비교'!$C$5))+$I92*COS(RADIANS('13_시나리오비교'!$B$5))),0)</f>
        <v/>
      </c>
      <c r="Q92" s="80">
        <f>IF($I92&gt;0,MAX(0,$G92*SIN(RADIANS('13_시나리오비교'!$B$6))*SIN(RADIANS('13_시나리오비교'!$C$6))+$H92*SIN(RADIANS('13_시나리오비교'!$B$6))*COS(RADIANS('13_시나리오비교'!$C$6))+$I92*COS(RADIANS('13_시나리오비교'!$B$6))),0)</f>
        <v/>
      </c>
      <c r="R92" s="80">
        <f>IF($I92&gt;0,MAX(0,$G92*SIN(RADIANS('13_시나리오비교'!$B$7))*SIN(RADIANS('13_시나리오비교'!$C$7))+$H92*SIN(RADIANS('13_시나리오비교'!$B$7))*COS(RADIANS('13_시나리오비교'!$C$7))+$I92*COS(RADIANS('13_시나리오비교'!$B$7))),0)</f>
        <v/>
      </c>
      <c r="S92" s="80">
        <f>IF($I92&gt;0,MAX(0,$G92*SIN(RADIANS('13_시나리오비교'!$B$8))*SIN(RADIANS('13_시나리오비교'!$C$8))+$H92*SIN(RADIANS('13_시나리오비교'!$B$8))*COS(RADIANS('13_시나리오비교'!$C$8))+$I92*COS(RADIANS('13_시나리오비교'!$B$8))),0)</f>
        <v/>
      </c>
      <c r="T92" s="80">
        <f>IF($I92&gt;0,MAX(0,$G92*SIN(RADIANS('13_시나리오비교'!$B$9))*SIN(RADIANS('13_시나리오비교'!$C$9))+$H92*SIN(RADIANS('13_시나리오비교'!$B$9))*COS(RADIANS('13_시나리오비교'!$C$9))+$I92*COS(RADIANS('13_시나리오비교'!$B$9))),0)</f>
        <v/>
      </c>
      <c r="U92" s="80">
        <f>IF($I92&gt;0,MAX(0,$G92*SIN(RADIANS('13_시나리오비교'!$B$10))*SIN(RADIANS('13_시나리오비교'!$C$10))+$H92*SIN(RADIANS('13_시나리오비교'!$B$10))*COS(RADIANS('13_시나리오비교'!$C$10))+$I92*COS(RADIANS('13_시나리오비교'!$B$10))),0)</f>
        <v/>
      </c>
      <c r="V92" s="80">
        <f>IF($I92&gt;0,MAX(0,$G92*SIN(RADIANS('13_시나리오비교'!$B$11))*SIN(RADIANS('13_시나리오비교'!$C$11))+$H92*SIN(RADIANS('13_시나리오비교'!$B$11))*COS(RADIANS('13_시나리오비교'!$C$11))+$I92*COS(RADIANS('13_시나리오비교'!$B$11))),0)</f>
        <v/>
      </c>
      <c r="W92" s="80">
        <f>IF($I92&gt;0,MAX(0,$G92*SIN(RADIANS('13_시나리오비교'!$B$12))*SIN(RADIANS('13_시나리오비교'!$C$12))+$H92*SIN(RADIANS('13_시나리오비교'!$B$12))*COS(RADIANS('13_시나리오비교'!$C$12))+$I92*COS(RADIANS('13_시나리오비교'!$B$12))),0)</f>
        <v/>
      </c>
      <c r="X92" s="80">
        <f>IF($I92&gt;0,MAX(0,$G92*SIN(RADIANS('13_시나리오비교'!$B$13))*SIN(RADIANS('13_시나리오비교'!$C$13))+$H92*SIN(RADIANS('13_시나리오비교'!$B$13))*COS(RADIANS('13_시나리오비교'!$C$13))+$I92*COS(RADIANS('13_시나리오비교'!$B$13))),0)</f>
        <v/>
      </c>
      <c r="Y92" s="80">
        <f>IF($I92&gt;0,MAX(0,$G92*SIN(RADIANS('13_시나리오비교'!$B$14))*SIN(RADIANS('13_시나리오비교'!$C$14))+$H92*SIN(RADIANS('13_시나리오비교'!$B$14))*COS(RADIANS('13_시나리오비교'!$C$14))+$I92*COS(RADIANS('13_시나리오비교'!$B$14))),0)</f>
        <v/>
      </c>
    </row>
    <row r="93" hidden="1" outlineLevel="1">
      <c r="A93" s="79" t="n">
        <v>1</v>
      </c>
      <c r="B93" s="79" t="n">
        <v>73</v>
      </c>
      <c r="C93" s="80">
        <f>(B93-0.5)*'14_지역·상수'!$H$6</f>
        <v/>
      </c>
      <c r="D93" s="79" t="n">
        <v>17</v>
      </c>
      <c r="E93" s="80">
        <f>INDEX($C$4:$C$15,MATCH(A93,$A$4:$A$15,0))</f>
        <v/>
      </c>
      <c r="F93" s="80">
        <f>15*(C93-12)</f>
        <v/>
      </c>
      <c r="G93" s="80">
        <f>-COS(RADIANS(E93))*SIN(RADIANS(F93))</f>
        <v/>
      </c>
      <c r="H93" s="80">
        <f>COS(RADIANS('11_발전량_모델'!$B$17))*SIN(RADIANS(E93))-SIN(RADIANS('11_발전량_모델'!$B$17))*COS(RADIANS(E93))*COS(RADIANS(F93))</f>
        <v/>
      </c>
      <c r="I93" s="80">
        <f>SIN(RADIANS('11_발전량_모델'!$B$17))*SIN(RADIANS(E93))+COS(RADIANS('11_발전량_모델'!$B$17))*COS(RADIANS(E93))*COS(RADIANS(F93))</f>
        <v/>
      </c>
      <c r="J93" s="80">
        <f>SIN(RADIANS('11_발전량_모델'!$B$7))*SIN(RADIANS('11_발전량_모델'!$B$8))</f>
        <v/>
      </c>
      <c r="K93" s="80">
        <f>SIN(RADIANS('11_발전량_모델'!$B$7))*COS(RADIANS('11_발전량_모델'!$B$8))</f>
        <v/>
      </c>
      <c r="L93" s="80">
        <f>COS(RADIANS('11_발전량_모델'!$B$7))</f>
        <v/>
      </c>
      <c r="M93" s="80">
        <f>G93*J93+H93*K93+I93*L93</f>
        <v/>
      </c>
      <c r="N93" s="80">
        <f>MAX(0,I93)</f>
        <v/>
      </c>
      <c r="O93" s="80">
        <f>IF(I93&gt;0,MAX(0,M93),0)</f>
        <v/>
      </c>
      <c r="P93" s="80">
        <f>IF($I93&gt;0,MAX(0,$G93*SIN(RADIANS('13_시나리오비교'!$B$5))*SIN(RADIANS('13_시나리오비교'!$C$5))+$H93*SIN(RADIANS('13_시나리오비교'!$B$5))*COS(RADIANS('13_시나리오비교'!$C$5))+$I93*COS(RADIANS('13_시나리오비교'!$B$5))),0)</f>
        <v/>
      </c>
      <c r="Q93" s="80">
        <f>IF($I93&gt;0,MAX(0,$G93*SIN(RADIANS('13_시나리오비교'!$B$6))*SIN(RADIANS('13_시나리오비교'!$C$6))+$H93*SIN(RADIANS('13_시나리오비교'!$B$6))*COS(RADIANS('13_시나리오비교'!$C$6))+$I93*COS(RADIANS('13_시나리오비교'!$B$6))),0)</f>
        <v/>
      </c>
      <c r="R93" s="80">
        <f>IF($I93&gt;0,MAX(0,$G93*SIN(RADIANS('13_시나리오비교'!$B$7))*SIN(RADIANS('13_시나리오비교'!$C$7))+$H93*SIN(RADIANS('13_시나리오비교'!$B$7))*COS(RADIANS('13_시나리오비교'!$C$7))+$I93*COS(RADIANS('13_시나리오비교'!$B$7))),0)</f>
        <v/>
      </c>
      <c r="S93" s="80">
        <f>IF($I93&gt;0,MAX(0,$G93*SIN(RADIANS('13_시나리오비교'!$B$8))*SIN(RADIANS('13_시나리오비교'!$C$8))+$H93*SIN(RADIANS('13_시나리오비교'!$B$8))*COS(RADIANS('13_시나리오비교'!$C$8))+$I93*COS(RADIANS('13_시나리오비교'!$B$8))),0)</f>
        <v/>
      </c>
      <c r="T93" s="80">
        <f>IF($I93&gt;0,MAX(0,$G93*SIN(RADIANS('13_시나리오비교'!$B$9))*SIN(RADIANS('13_시나리오비교'!$C$9))+$H93*SIN(RADIANS('13_시나리오비교'!$B$9))*COS(RADIANS('13_시나리오비교'!$C$9))+$I93*COS(RADIANS('13_시나리오비교'!$B$9))),0)</f>
        <v/>
      </c>
      <c r="U93" s="80">
        <f>IF($I93&gt;0,MAX(0,$G93*SIN(RADIANS('13_시나리오비교'!$B$10))*SIN(RADIANS('13_시나리오비교'!$C$10))+$H93*SIN(RADIANS('13_시나리오비교'!$B$10))*COS(RADIANS('13_시나리오비교'!$C$10))+$I93*COS(RADIANS('13_시나리오비교'!$B$10))),0)</f>
        <v/>
      </c>
      <c r="V93" s="80">
        <f>IF($I93&gt;0,MAX(0,$G93*SIN(RADIANS('13_시나리오비교'!$B$11))*SIN(RADIANS('13_시나리오비교'!$C$11))+$H93*SIN(RADIANS('13_시나리오비교'!$B$11))*COS(RADIANS('13_시나리오비교'!$C$11))+$I93*COS(RADIANS('13_시나리오비교'!$B$11))),0)</f>
        <v/>
      </c>
      <c r="W93" s="80">
        <f>IF($I93&gt;0,MAX(0,$G93*SIN(RADIANS('13_시나리오비교'!$B$12))*SIN(RADIANS('13_시나리오비교'!$C$12))+$H93*SIN(RADIANS('13_시나리오비교'!$B$12))*COS(RADIANS('13_시나리오비교'!$C$12))+$I93*COS(RADIANS('13_시나리오비교'!$B$12))),0)</f>
        <v/>
      </c>
      <c r="X93" s="80">
        <f>IF($I93&gt;0,MAX(0,$G93*SIN(RADIANS('13_시나리오비교'!$B$13))*SIN(RADIANS('13_시나리오비교'!$C$13))+$H93*SIN(RADIANS('13_시나리오비교'!$B$13))*COS(RADIANS('13_시나리오비교'!$C$13))+$I93*COS(RADIANS('13_시나리오비교'!$B$13))),0)</f>
        <v/>
      </c>
      <c r="Y93" s="80">
        <f>IF($I93&gt;0,MAX(0,$G93*SIN(RADIANS('13_시나리오비교'!$B$14))*SIN(RADIANS('13_시나리오비교'!$C$14))+$H93*SIN(RADIANS('13_시나리오비교'!$B$14))*COS(RADIANS('13_시나리오비교'!$C$14))+$I93*COS(RADIANS('13_시나리오비교'!$B$14))),0)</f>
        <v/>
      </c>
    </row>
    <row r="94" hidden="1" outlineLevel="1">
      <c r="A94" s="79" t="n">
        <v>1</v>
      </c>
      <c r="B94" s="79" t="n">
        <v>74</v>
      </c>
      <c r="C94" s="80">
        <f>(B94-0.5)*'14_지역·상수'!$H$6</f>
        <v/>
      </c>
      <c r="D94" s="79" t="n">
        <v>17</v>
      </c>
      <c r="E94" s="80">
        <f>INDEX($C$4:$C$15,MATCH(A94,$A$4:$A$15,0))</f>
        <v/>
      </c>
      <c r="F94" s="80">
        <f>15*(C94-12)</f>
        <v/>
      </c>
      <c r="G94" s="80">
        <f>-COS(RADIANS(E94))*SIN(RADIANS(F94))</f>
        <v/>
      </c>
      <c r="H94" s="80">
        <f>COS(RADIANS('11_발전량_모델'!$B$17))*SIN(RADIANS(E94))-SIN(RADIANS('11_발전량_모델'!$B$17))*COS(RADIANS(E94))*COS(RADIANS(F94))</f>
        <v/>
      </c>
      <c r="I94" s="80">
        <f>SIN(RADIANS('11_발전량_모델'!$B$17))*SIN(RADIANS(E94))+COS(RADIANS('11_발전량_모델'!$B$17))*COS(RADIANS(E94))*COS(RADIANS(F94))</f>
        <v/>
      </c>
      <c r="J94" s="80">
        <f>SIN(RADIANS('11_발전량_모델'!$B$7))*SIN(RADIANS('11_발전량_모델'!$B$8))</f>
        <v/>
      </c>
      <c r="K94" s="80">
        <f>SIN(RADIANS('11_발전량_모델'!$B$7))*COS(RADIANS('11_발전량_모델'!$B$8))</f>
        <v/>
      </c>
      <c r="L94" s="80">
        <f>COS(RADIANS('11_발전량_모델'!$B$7))</f>
        <v/>
      </c>
      <c r="M94" s="80">
        <f>G94*J94+H94*K94+I94*L94</f>
        <v/>
      </c>
      <c r="N94" s="80">
        <f>MAX(0,I94)</f>
        <v/>
      </c>
      <c r="O94" s="80">
        <f>IF(I94&gt;0,MAX(0,M94),0)</f>
        <v/>
      </c>
      <c r="P94" s="80">
        <f>IF($I94&gt;0,MAX(0,$G94*SIN(RADIANS('13_시나리오비교'!$B$5))*SIN(RADIANS('13_시나리오비교'!$C$5))+$H94*SIN(RADIANS('13_시나리오비교'!$B$5))*COS(RADIANS('13_시나리오비교'!$C$5))+$I94*COS(RADIANS('13_시나리오비교'!$B$5))),0)</f>
        <v/>
      </c>
      <c r="Q94" s="80">
        <f>IF($I94&gt;0,MAX(0,$G94*SIN(RADIANS('13_시나리오비교'!$B$6))*SIN(RADIANS('13_시나리오비교'!$C$6))+$H94*SIN(RADIANS('13_시나리오비교'!$B$6))*COS(RADIANS('13_시나리오비교'!$C$6))+$I94*COS(RADIANS('13_시나리오비교'!$B$6))),0)</f>
        <v/>
      </c>
      <c r="R94" s="80">
        <f>IF($I94&gt;0,MAX(0,$G94*SIN(RADIANS('13_시나리오비교'!$B$7))*SIN(RADIANS('13_시나리오비교'!$C$7))+$H94*SIN(RADIANS('13_시나리오비교'!$B$7))*COS(RADIANS('13_시나리오비교'!$C$7))+$I94*COS(RADIANS('13_시나리오비교'!$B$7))),0)</f>
        <v/>
      </c>
      <c r="S94" s="80">
        <f>IF($I94&gt;0,MAX(0,$G94*SIN(RADIANS('13_시나리오비교'!$B$8))*SIN(RADIANS('13_시나리오비교'!$C$8))+$H94*SIN(RADIANS('13_시나리오비교'!$B$8))*COS(RADIANS('13_시나리오비교'!$C$8))+$I94*COS(RADIANS('13_시나리오비교'!$B$8))),0)</f>
        <v/>
      </c>
      <c r="T94" s="80">
        <f>IF($I94&gt;0,MAX(0,$G94*SIN(RADIANS('13_시나리오비교'!$B$9))*SIN(RADIANS('13_시나리오비교'!$C$9))+$H94*SIN(RADIANS('13_시나리오비교'!$B$9))*COS(RADIANS('13_시나리오비교'!$C$9))+$I94*COS(RADIANS('13_시나리오비교'!$B$9))),0)</f>
        <v/>
      </c>
      <c r="U94" s="80">
        <f>IF($I94&gt;0,MAX(0,$G94*SIN(RADIANS('13_시나리오비교'!$B$10))*SIN(RADIANS('13_시나리오비교'!$C$10))+$H94*SIN(RADIANS('13_시나리오비교'!$B$10))*COS(RADIANS('13_시나리오비교'!$C$10))+$I94*COS(RADIANS('13_시나리오비교'!$B$10))),0)</f>
        <v/>
      </c>
      <c r="V94" s="80">
        <f>IF($I94&gt;0,MAX(0,$G94*SIN(RADIANS('13_시나리오비교'!$B$11))*SIN(RADIANS('13_시나리오비교'!$C$11))+$H94*SIN(RADIANS('13_시나리오비교'!$B$11))*COS(RADIANS('13_시나리오비교'!$C$11))+$I94*COS(RADIANS('13_시나리오비교'!$B$11))),0)</f>
        <v/>
      </c>
      <c r="W94" s="80">
        <f>IF($I94&gt;0,MAX(0,$G94*SIN(RADIANS('13_시나리오비교'!$B$12))*SIN(RADIANS('13_시나리오비교'!$C$12))+$H94*SIN(RADIANS('13_시나리오비교'!$B$12))*COS(RADIANS('13_시나리오비교'!$C$12))+$I94*COS(RADIANS('13_시나리오비교'!$B$12))),0)</f>
        <v/>
      </c>
      <c r="X94" s="80">
        <f>IF($I94&gt;0,MAX(0,$G94*SIN(RADIANS('13_시나리오비교'!$B$13))*SIN(RADIANS('13_시나리오비교'!$C$13))+$H94*SIN(RADIANS('13_시나리오비교'!$B$13))*COS(RADIANS('13_시나리오비교'!$C$13))+$I94*COS(RADIANS('13_시나리오비교'!$B$13))),0)</f>
        <v/>
      </c>
      <c r="Y94" s="80">
        <f>IF($I94&gt;0,MAX(0,$G94*SIN(RADIANS('13_시나리오비교'!$B$14))*SIN(RADIANS('13_시나리오비교'!$C$14))+$H94*SIN(RADIANS('13_시나리오비교'!$B$14))*COS(RADIANS('13_시나리오비교'!$C$14))+$I94*COS(RADIANS('13_시나리오비교'!$B$14))),0)</f>
        <v/>
      </c>
    </row>
    <row r="95" hidden="1" outlineLevel="1">
      <c r="A95" s="79" t="n">
        <v>1</v>
      </c>
      <c r="B95" s="79" t="n">
        <v>75</v>
      </c>
      <c r="C95" s="80">
        <f>(B95-0.5)*'14_지역·상수'!$H$6</f>
        <v/>
      </c>
      <c r="D95" s="79" t="n">
        <v>17</v>
      </c>
      <c r="E95" s="80">
        <f>INDEX($C$4:$C$15,MATCH(A95,$A$4:$A$15,0))</f>
        <v/>
      </c>
      <c r="F95" s="80">
        <f>15*(C95-12)</f>
        <v/>
      </c>
      <c r="G95" s="80">
        <f>-COS(RADIANS(E95))*SIN(RADIANS(F95))</f>
        <v/>
      </c>
      <c r="H95" s="80">
        <f>COS(RADIANS('11_발전량_모델'!$B$17))*SIN(RADIANS(E95))-SIN(RADIANS('11_발전량_모델'!$B$17))*COS(RADIANS(E95))*COS(RADIANS(F95))</f>
        <v/>
      </c>
      <c r="I95" s="80">
        <f>SIN(RADIANS('11_발전량_모델'!$B$17))*SIN(RADIANS(E95))+COS(RADIANS('11_발전량_모델'!$B$17))*COS(RADIANS(E95))*COS(RADIANS(F95))</f>
        <v/>
      </c>
      <c r="J95" s="80">
        <f>SIN(RADIANS('11_발전량_모델'!$B$7))*SIN(RADIANS('11_발전량_모델'!$B$8))</f>
        <v/>
      </c>
      <c r="K95" s="80">
        <f>SIN(RADIANS('11_발전량_모델'!$B$7))*COS(RADIANS('11_발전량_모델'!$B$8))</f>
        <v/>
      </c>
      <c r="L95" s="80">
        <f>COS(RADIANS('11_발전량_모델'!$B$7))</f>
        <v/>
      </c>
      <c r="M95" s="80">
        <f>G95*J95+H95*K95+I95*L95</f>
        <v/>
      </c>
      <c r="N95" s="80">
        <f>MAX(0,I95)</f>
        <v/>
      </c>
      <c r="O95" s="80">
        <f>IF(I95&gt;0,MAX(0,M95),0)</f>
        <v/>
      </c>
      <c r="P95" s="80">
        <f>IF($I95&gt;0,MAX(0,$G95*SIN(RADIANS('13_시나리오비교'!$B$5))*SIN(RADIANS('13_시나리오비교'!$C$5))+$H95*SIN(RADIANS('13_시나리오비교'!$B$5))*COS(RADIANS('13_시나리오비교'!$C$5))+$I95*COS(RADIANS('13_시나리오비교'!$B$5))),0)</f>
        <v/>
      </c>
      <c r="Q95" s="80">
        <f>IF($I95&gt;0,MAX(0,$G95*SIN(RADIANS('13_시나리오비교'!$B$6))*SIN(RADIANS('13_시나리오비교'!$C$6))+$H95*SIN(RADIANS('13_시나리오비교'!$B$6))*COS(RADIANS('13_시나리오비교'!$C$6))+$I95*COS(RADIANS('13_시나리오비교'!$B$6))),0)</f>
        <v/>
      </c>
      <c r="R95" s="80">
        <f>IF($I95&gt;0,MAX(0,$G95*SIN(RADIANS('13_시나리오비교'!$B$7))*SIN(RADIANS('13_시나리오비교'!$C$7))+$H95*SIN(RADIANS('13_시나리오비교'!$B$7))*COS(RADIANS('13_시나리오비교'!$C$7))+$I95*COS(RADIANS('13_시나리오비교'!$B$7))),0)</f>
        <v/>
      </c>
      <c r="S95" s="80">
        <f>IF($I95&gt;0,MAX(0,$G95*SIN(RADIANS('13_시나리오비교'!$B$8))*SIN(RADIANS('13_시나리오비교'!$C$8))+$H95*SIN(RADIANS('13_시나리오비교'!$B$8))*COS(RADIANS('13_시나리오비교'!$C$8))+$I95*COS(RADIANS('13_시나리오비교'!$B$8))),0)</f>
        <v/>
      </c>
      <c r="T95" s="80">
        <f>IF($I95&gt;0,MAX(0,$G95*SIN(RADIANS('13_시나리오비교'!$B$9))*SIN(RADIANS('13_시나리오비교'!$C$9))+$H95*SIN(RADIANS('13_시나리오비교'!$B$9))*COS(RADIANS('13_시나리오비교'!$C$9))+$I95*COS(RADIANS('13_시나리오비교'!$B$9))),0)</f>
        <v/>
      </c>
      <c r="U95" s="80">
        <f>IF($I95&gt;0,MAX(0,$G95*SIN(RADIANS('13_시나리오비교'!$B$10))*SIN(RADIANS('13_시나리오비교'!$C$10))+$H95*SIN(RADIANS('13_시나리오비교'!$B$10))*COS(RADIANS('13_시나리오비교'!$C$10))+$I95*COS(RADIANS('13_시나리오비교'!$B$10))),0)</f>
        <v/>
      </c>
      <c r="V95" s="80">
        <f>IF($I95&gt;0,MAX(0,$G95*SIN(RADIANS('13_시나리오비교'!$B$11))*SIN(RADIANS('13_시나리오비교'!$C$11))+$H95*SIN(RADIANS('13_시나리오비교'!$B$11))*COS(RADIANS('13_시나리오비교'!$C$11))+$I95*COS(RADIANS('13_시나리오비교'!$B$11))),0)</f>
        <v/>
      </c>
      <c r="W95" s="80">
        <f>IF($I95&gt;0,MAX(0,$G95*SIN(RADIANS('13_시나리오비교'!$B$12))*SIN(RADIANS('13_시나리오비교'!$C$12))+$H95*SIN(RADIANS('13_시나리오비교'!$B$12))*COS(RADIANS('13_시나리오비교'!$C$12))+$I95*COS(RADIANS('13_시나리오비교'!$B$12))),0)</f>
        <v/>
      </c>
      <c r="X95" s="80">
        <f>IF($I95&gt;0,MAX(0,$G95*SIN(RADIANS('13_시나리오비교'!$B$13))*SIN(RADIANS('13_시나리오비교'!$C$13))+$H95*SIN(RADIANS('13_시나리오비교'!$B$13))*COS(RADIANS('13_시나리오비교'!$C$13))+$I95*COS(RADIANS('13_시나리오비교'!$B$13))),0)</f>
        <v/>
      </c>
      <c r="Y95" s="80">
        <f>IF($I95&gt;0,MAX(0,$G95*SIN(RADIANS('13_시나리오비교'!$B$14))*SIN(RADIANS('13_시나리오비교'!$C$14))+$H95*SIN(RADIANS('13_시나리오비교'!$B$14))*COS(RADIANS('13_시나리오비교'!$C$14))+$I95*COS(RADIANS('13_시나리오비교'!$B$14))),0)</f>
        <v/>
      </c>
    </row>
    <row r="96" hidden="1" outlineLevel="1">
      <c r="A96" s="79" t="n">
        <v>1</v>
      </c>
      <c r="B96" s="79" t="n">
        <v>76</v>
      </c>
      <c r="C96" s="80">
        <f>(B96-0.5)*'14_지역·상수'!$H$6</f>
        <v/>
      </c>
      <c r="D96" s="79" t="n">
        <v>17</v>
      </c>
      <c r="E96" s="80">
        <f>INDEX($C$4:$C$15,MATCH(A96,$A$4:$A$15,0))</f>
        <v/>
      </c>
      <c r="F96" s="80">
        <f>15*(C96-12)</f>
        <v/>
      </c>
      <c r="G96" s="80">
        <f>-COS(RADIANS(E96))*SIN(RADIANS(F96))</f>
        <v/>
      </c>
      <c r="H96" s="80">
        <f>COS(RADIANS('11_발전량_모델'!$B$17))*SIN(RADIANS(E96))-SIN(RADIANS('11_발전량_모델'!$B$17))*COS(RADIANS(E96))*COS(RADIANS(F96))</f>
        <v/>
      </c>
      <c r="I96" s="80">
        <f>SIN(RADIANS('11_발전량_모델'!$B$17))*SIN(RADIANS(E96))+COS(RADIANS('11_발전량_모델'!$B$17))*COS(RADIANS(E96))*COS(RADIANS(F96))</f>
        <v/>
      </c>
      <c r="J96" s="80">
        <f>SIN(RADIANS('11_발전량_모델'!$B$7))*SIN(RADIANS('11_발전량_모델'!$B$8))</f>
        <v/>
      </c>
      <c r="K96" s="80">
        <f>SIN(RADIANS('11_발전량_모델'!$B$7))*COS(RADIANS('11_발전량_모델'!$B$8))</f>
        <v/>
      </c>
      <c r="L96" s="80">
        <f>COS(RADIANS('11_발전량_모델'!$B$7))</f>
        <v/>
      </c>
      <c r="M96" s="80">
        <f>G96*J96+H96*K96+I96*L96</f>
        <v/>
      </c>
      <c r="N96" s="80">
        <f>MAX(0,I96)</f>
        <v/>
      </c>
      <c r="O96" s="80">
        <f>IF(I96&gt;0,MAX(0,M96),0)</f>
        <v/>
      </c>
      <c r="P96" s="80">
        <f>IF($I96&gt;0,MAX(0,$G96*SIN(RADIANS('13_시나리오비교'!$B$5))*SIN(RADIANS('13_시나리오비교'!$C$5))+$H96*SIN(RADIANS('13_시나리오비교'!$B$5))*COS(RADIANS('13_시나리오비교'!$C$5))+$I96*COS(RADIANS('13_시나리오비교'!$B$5))),0)</f>
        <v/>
      </c>
      <c r="Q96" s="80">
        <f>IF($I96&gt;0,MAX(0,$G96*SIN(RADIANS('13_시나리오비교'!$B$6))*SIN(RADIANS('13_시나리오비교'!$C$6))+$H96*SIN(RADIANS('13_시나리오비교'!$B$6))*COS(RADIANS('13_시나리오비교'!$C$6))+$I96*COS(RADIANS('13_시나리오비교'!$B$6))),0)</f>
        <v/>
      </c>
      <c r="R96" s="80">
        <f>IF($I96&gt;0,MAX(0,$G96*SIN(RADIANS('13_시나리오비교'!$B$7))*SIN(RADIANS('13_시나리오비교'!$C$7))+$H96*SIN(RADIANS('13_시나리오비교'!$B$7))*COS(RADIANS('13_시나리오비교'!$C$7))+$I96*COS(RADIANS('13_시나리오비교'!$B$7))),0)</f>
        <v/>
      </c>
      <c r="S96" s="80">
        <f>IF($I96&gt;0,MAX(0,$G96*SIN(RADIANS('13_시나리오비교'!$B$8))*SIN(RADIANS('13_시나리오비교'!$C$8))+$H96*SIN(RADIANS('13_시나리오비교'!$B$8))*COS(RADIANS('13_시나리오비교'!$C$8))+$I96*COS(RADIANS('13_시나리오비교'!$B$8))),0)</f>
        <v/>
      </c>
      <c r="T96" s="80">
        <f>IF($I96&gt;0,MAX(0,$G96*SIN(RADIANS('13_시나리오비교'!$B$9))*SIN(RADIANS('13_시나리오비교'!$C$9))+$H96*SIN(RADIANS('13_시나리오비교'!$B$9))*COS(RADIANS('13_시나리오비교'!$C$9))+$I96*COS(RADIANS('13_시나리오비교'!$B$9))),0)</f>
        <v/>
      </c>
      <c r="U96" s="80">
        <f>IF($I96&gt;0,MAX(0,$G96*SIN(RADIANS('13_시나리오비교'!$B$10))*SIN(RADIANS('13_시나리오비교'!$C$10))+$H96*SIN(RADIANS('13_시나리오비교'!$B$10))*COS(RADIANS('13_시나리오비교'!$C$10))+$I96*COS(RADIANS('13_시나리오비교'!$B$10))),0)</f>
        <v/>
      </c>
      <c r="V96" s="80">
        <f>IF($I96&gt;0,MAX(0,$G96*SIN(RADIANS('13_시나리오비교'!$B$11))*SIN(RADIANS('13_시나리오비교'!$C$11))+$H96*SIN(RADIANS('13_시나리오비교'!$B$11))*COS(RADIANS('13_시나리오비교'!$C$11))+$I96*COS(RADIANS('13_시나리오비교'!$B$11))),0)</f>
        <v/>
      </c>
      <c r="W96" s="80">
        <f>IF($I96&gt;0,MAX(0,$G96*SIN(RADIANS('13_시나리오비교'!$B$12))*SIN(RADIANS('13_시나리오비교'!$C$12))+$H96*SIN(RADIANS('13_시나리오비교'!$B$12))*COS(RADIANS('13_시나리오비교'!$C$12))+$I96*COS(RADIANS('13_시나리오비교'!$B$12))),0)</f>
        <v/>
      </c>
      <c r="X96" s="80">
        <f>IF($I96&gt;0,MAX(0,$G96*SIN(RADIANS('13_시나리오비교'!$B$13))*SIN(RADIANS('13_시나리오비교'!$C$13))+$H96*SIN(RADIANS('13_시나리오비교'!$B$13))*COS(RADIANS('13_시나리오비교'!$C$13))+$I96*COS(RADIANS('13_시나리오비교'!$B$13))),0)</f>
        <v/>
      </c>
      <c r="Y96" s="80">
        <f>IF($I96&gt;0,MAX(0,$G96*SIN(RADIANS('13_시나리오비교'!$B$14))*SIN(RADIANS('13_시나리오비교'!$C$14))+$H96*SIN(RADIANS('13_시나리오비교'!$B$14))*COS(RADIANS('13_시나리오비교'!$C$14))+$I96*COS(RADIANS('13_시나리오비교'!$B$14))),0)</f>
        <v/>
      </c>
    </row>
    <row r="97" hidden="1" outlineLevel="1">
      <c r="A97" s="79" t="n">
        <v>1</v>
      </c>
      <c r="B97" s="79" t="n">
        <v>77</v>
      </c>
      <c r="C97" s="80">
        <f>(B97-0.5)*'14_지역·상수'!$H$6</f>
        <v/>
      </c>
      <c r="D97" s="79" t="n">
        <v>17</v>
      </c>
      <c r="E97" s="80">
        <f>INDEX($C$4:$C$15,MATCH(A97,$A$4:$A$15,0))</f>
        <v/>
      </c>
      <c r="F97" s="80">
        <f>15*(C97-12)</f>
        <v/>
      </c>
      <c r="G97" s="80">
        <f>-COS(RADIANS(E97))*SIN(RADIANS(F97))</f>
        <v/>
      </c>
      <c r="H97" s="80">
        <f>COS(RADIANS('11_발전량_모델'!$B$17))*SIN(RADIANS(E97))-SIN(RADIANS('11_발전량_모델'!$B$17))*COS(RADIANS(E97))*COS(RADIANS(F97))</f>
        <v/>
      </c>
      <c r="I97" s="80">
        <f>SIN(RADIANS('11_발전량_모델'!$B$17))*SIN(RADIANS(E97))+COS(RADIANS('11_발전량_모델'!$B$17))*COS(RADIANS(E97))*COS(RADIANS(F97))</f>
        <v/>
      </c>
      <c r="J97" s="80">
        <f>SIN(RADIANS('11_발전량_모델'!$B$7))*SIN(RADIANS('11_발전량_모델'!$B$8))</f>
        <v/>
      </c>
      <c r="K97" s="80">
        <f>SIN(RADIANS('11_발전량_모델'!$B$7))*COS(RADIANS('11_발전량_모델'!$B$8))</f>
        <v/>
      </c>
      <c r="L97" s="80">
        <f>COS(RADIANS('11_발전량_모델'!$B$7))</f>
        <v/>
      </c>
      <c r="M97" s="80">
        <f>G97*J97+H97*K97+I97*L97</f>
        <v/>
      </c>
      <c r="N97" s="80">
        <f>MAX(0,I97)</f>
        <v/>
      </c>
      <c r="O97" s="80">
        <f>IF(I97&gt;0,MAX(0,M97),0)</f>
        <v/>
      </c>
      <c r="P97" s="80">
        <f>IF($I97&gt;0,MAX(0,$G97*SIN(RADIANS('13_시나리오비교'!$B$5))*SIN(RADIANS('13_시나리오비교'!$C$5))+$H97*SIN(RADIANS('13_시나리오비교'!$B$5))*COS(RADIANS('13_시나리오비교'!$C$5))+$I97*COS(RADIANS('13_시나리오비교'!$B$5))),0)</f>
        <v/>
      </c>
      <c r="Q97" s="80">
        <f>IF($I97&gt;0,MAX(0,$G97*SIN(RADIANS('13_시나리오비교'!$B$6))*SIN(RADIANS('13_시나리오비교'!$C$6))+$H97*SIN(RADIANS('13_시나리오비교'!$B$6))*COS(RADIANS('13_시나리오비교'!$C$6))+$I97*COS(RADIANS('13_시나리오비교'!$B$6))),0)</f>
        <v/>
      </c>
      <c r="R97" s="80">
        <f>IF($I97&gt;0,MAX(0,$G97*SIN(RADIANS('13_시나리오비교'!$B$7))*SIN(RADIANS('13_시나리오비교'!$C$7))+$H97*SIN(RADIANS('13_시나리오비교'!$B$7))*COS(RADIANS('13_시나리오비교'!$C$7))+$I97*COS(RADIANS('13_시나리오비교'!$B$7))),0)</f>
        <v/>
      </c>
      <c r="S97" s="80">
        <f>IF($I97&gt;0,MAX(0,$G97*SIN(RADIANS('13_시나리오비교'!$B$8))*SIN(RADIANS('13_시나리오비교'!$C$8))+$H97*SIN(RADIANS('13_시나리오비교'!$B$8))*COS(RADIANS('13_시나리오비교'!$C$8))+$I97*COS(RADIANS('13_시나리오비교'!$B$8))),0)</f>
        <v/>
      </c>
      <c r="T97" s="80">
        <f>IF($I97&gt;0,MAX(0,$G97*SIN(RADIANS('13_시나리오비교'!$B$9))*SIN(RADIANS('13_시나리오비교'!$C$9))+$H97*SIN(RADIANS('13_시나리오비교'!$B$9))*COS(RADIANS('13_시나리오비교'!$C$9))+$I97*COS(RADIANS('13_시나리오비교'!$B$9))),0)</f>
        <v/>
      </c>
      <c r="U97" s="80">
        <f>IF($I97&gt;0,MAX(0,$G97*SIN(RADIANS('13_시나리오비교'!$B$10))*SIN(RADIANS('13_시나리오비교'!$C$10))+$H97*SIN(RADIANS('13_시나리오비교'!$B$10))*COS(RADIANS('13_시나리오비교'!$C$10))+$I97*COS(RADIANS('13_시나리오비교'!$B$10))),0)</f>
        <v/>
      </c>
      <c r="V97" s="80">
        <f>IF($I97&gt;0,MAX(0,$G97*SIN(RADIANS('13_시나리오비교'!$B$11))*SIN(RADIANS('13_시나리오비교'!$C$11))+$H97*SIN(RADIANS('13_시나리오비교'!$B$11))*COS(RADIANS('13_시나리오비교'!$C$11))+$I97*COS(RADIANS('13_시나리오비교'!$B$11))),0)</f>
        <v/>
      </c>
      <c r="W97" s="80">
        <f>IF($I97&gt;0,MAX(0,$G97*SIN(RADIANS('13_시나리오비교'!$B$12))*SIN(RADIANS('13_시나리오비교'!$C$12))+$H97*SIN(RADIANS('13_시나리오비교'!$B$12))*COS(RADIANS('13_시나리오비교'!$C$12))+$I97*COS(RADIANS('13_시나리오비교'!$B$12))),0)</f>
        <v/>
      </c>
      <c r="X97" s="80">
        <f>IF($I97&gt;0,MAX(0,$G97*SIN(RADIANS('13_시나리오비교'!$B$13))*SIN(RADIANS('13_시나리오비교'!$C$13))+$H97*SIN(RADIANS('13_시나리오비교'!$B$13))*COS(RADIANS('13_시나리오비교'!$C$13))+$I97*COS(RADIANS('13_시나리오비교'!$B$13))),0)</f>
        <v/>
      </c>
      <c r="Y97" s="80">
        <f>IF($I97&gt;0,MAX(0,$G97*SIN(RADIANS('13_시나리오비교'!$B$14))*SIN(RADIANS('13_시나리오비교'!$C$14))+$H97*SIN(RADIANS('13_시나리오비교'!$B$14))*COS(RADIANS('13_시나리오비교'!$C$14))+$I97*COS(RADIANS('13_시나리오비교'!$B$14))),0)</f>
        <v/>
      </c>
    </row>
    <row r="98" hidden="1" outlineLevel="1">
      <c r="A98" s="79" t="n">
        <v>1</v>
      </c>
      <c r="B98" s="79" t="n">
        <v>78</v>
      </c>
      <c r="C98" s="80">
        <f>(B98-0.5)*'14_지역·상수'!$H$6</f>
        <v/>
      </c>
      <c r="D98" s="79" t="n">
        <v>17</v>
      </c>
      <c r="E98" s="80">
        <f>INDEX($C$4:$C$15,MATCH(A98,$A$4:$A$15,0))</f>
        <v/>
      </c>
      <c r="F98" s="80">
        <f>15*(C98-12)</f>
        <v/>
      </c>
      <c r="G98" s="80">
        <f>-COS(RADIANS(E98))*SIN(RADIANS(F98))</f>
        <v/>
      </c>
      <c r="H98" s="80">
        <f>COS(RADIANS('11_발전량_모델'!$B$17))*SIN(RADIANS(E98))-SIN(RADIANS('11_발전량_모델'!$B$17))*COS(RADIANS(E98))*COS(RADIANS(F98))</f>
        <v/>
      </c>
      <c r="I98" s="80">
        <f>SIN(RADIANS('11_발전량_모델'!$B$17))*SIN(RADIANS(E98))+COS(RADIANS('11_발전량_모델'!$B$17))*COS(RADIANS(E98))*COS(RADIANS(F98))</f>
        <v/>
      </c>
      <c r="J98" s="80">
        <f>SIN(RADIANS('11_발전량_모델'!$B$7))*SIN(RADIANS('11_발전량_모델'!$B$8))</f>
        <v/>
      </c>
      <c r="K98" s="80">
        <f>SIN(RADIANS('11_발전량_모델'!$B$7))*COS(RADIANS('11_발전량_모델'!$B$8))</f>
        <v/>
      </c>
      <c r="L98" s="80">
        <f>COS(RADIANS('11_발전량_모델'!$B$7))</f>
        <v/>
      </c>
      <c r="M98" s="80">
        <f>G98*J98+H98*K98+I98*L98</f>
        <v/>
      </c>
      <c r="N98" s="80">
        <f>MAX(0,I98)</f>
        <v/>
      </c>
      <c r="O98" s="80">
        <f>IF(I98&gt;0,MAX(0,M98),0)</f>
        <v/>
      </c>
      <c r="P98" s="80">
        <f>IF($I98&gt;0,MAX(0,$G98*SIN(RADIANS('13_시나리오비교'!$B$5))*SIN(RADIANS('13_시나리오비교'!$C$5))+$H98*SIN(RADIANS('13_시나리오비교'!$B$5))*COS(RADIANS('13_시나리오비교'!$C$5))+$I98*COS(RADIANS('13_시나리오비교'!$B$5))),0)</f>
        <v/>
      </c>
      <c r="Q98" s="80">
        <f>IF($I98&gt;0,MAX(0,$G98*SIN(RADIANS('13_시나리오비교'!$B$6))*SIN(RADIANS('13_시나리오비교'!$C$6))+$H98*SIN(RADIANS('13_시나리오비교'!$B$6))*COS(RADIANS('13_시나리오비교'!$C$6))+$I98*COS(RADIANS('13_시나리오비교'!$B$6))),0)</f>
        <v/>
      </c>
      <c r="R98" s="80">
        <f>IF($I98&gt;0,MAX(0,$G98*SIN(RADIANS('13_시나리오비교'!$B$7))*SIN(RADIANS('13_시나리오비교'!$C$7))+$H98*SIN(RADIANS('13_시나리오비교'!$B$7))*COS(RADIANS('13_시나리오비교'!$C$7))+$I98*COS(RADIANS('13_시나리오비교'!$B$7))),0)</f>
        <v/>
      </c>
      <c r="S98" s="80">
        <f>IF($I98&gt;0,MAX(0,$G98*SIN(RADIANS('13_시나리오비교'!$B$8))*SIN(RADIANS('13_시나리오비교'!$C$8))+$H98*SIN(RADIANS('13_시나리오비교'!$B$8))*COS(RADIANS('13_시나리오비교'!$C$8))+$I98*COS(RADIANS('13_시나리오비교'!$B$8))),0)</f>
        <v/>
      </c>
      <c r="T98" s="80">
        <f>IF($I98&gt;0,MAX(0,$G98*SIN(RADIANS('13_시나리오비교'!$B$9))*SIN(RADIANS('13_시나리오비교'!$C$9))+$H98*SIN(RADIANS('13_시나리오비교'!$B$9))*COS(RADIANS('13_시나리오비교'!$C$9))+$I98*COS(RADIANS('13_시나리오비교'!$B$9))),0)</f>
        <v/>
      </c>
      <c r="U98" s="80">
        <f>IF($I98&gt;0,MAX(0,$G98*SIN(RADIANS('13_시나리오비교'!$B$10))*SIN(RADIANS('13_시나리오비교'!$C$10))+$H98*SIN(RADIANS('13_시나리오비교'!$B$10))*COS(RADIANS('13_시나리오비교'!$C$10))+$I98*COS(RADIANS('13_시나리오비교'!$B$10))),0)</f>
        <v/>
      </c>
      <c r="V98" s="80">
        <f>IF($I98&gt;0,MAX(0,$G98*SIN(RADIANS('13_시나리오비교'!$B$11))*SIN(RADIANS('13_시나리오비교'!$C$11))+$H98*SIN(RADIANS('13_시나리오비교'!$B$11))*COS(RADIANS('13_시나리오비교'!$C$11))+$I98*COS(RADIANS('13_시나리오비교'!$B$11))),0)</f>
        <v/>
      </c>
      <c r="W98" s="80">
        <f>IF($I98&gt;0,MAX(0,$G98*SIN(RADIANS('13_시나리오비교'!$B$12))*SIN(RADIANS('13_시나리오비교'!$C$12))+$H98*SIN(RADIANS('13_시나리오비교'!$B$12))*COS(RADIANS('13_시나리오비교'!$C$12))+$I98*COS(RADIANS('13_시나리오비교'!$B$12))),0)</f>
        <v/>
      </c>
      <c r="X98" s="80">
        <f>IF($I98&gt;0,MAX(0,$G98*SIN(RADIANS('13_시나리오비교'!$B$13))*SIN(RADIANS('13_시나리오비교'!$C$13))+$H98*SIN(RADIANS('13_시나리오비교'!$B$13))*COS(RADIANS('13_시나리오비교'!$C$13))+$I98*COS(RADIANS('13_시나리오비교'!$B$13))),0)</f>
        <v/>
      </c>
      <c r="Y98" s="80">
        <f>IF($I98&gt;0,MAX(0,$G98*SIN(RADIANS('13_시나리오비교'!$B$14))*SIN(RADIANS('13_시나리오비교'!$C$14))+$H98*SIN(RADIANS('13_시나리오비교'!$B$14))*COS(RADIANS('13_시나리오비교'!$C$14))+$I98*COS(RADIANS('13_시나리오비교'!$B$14))),0)</f>
        <v/>
      </c>
    </row>
    <row r="99" hidden="1" outlineLevel="1">
      <c r="A99" s="79" t="n">
        <v>1</v>
      </c>
      <c r="B99" s="79" t="n">
        <v>79</v>
      </c>
      <c r="C99" s="80">
        <f>(B99-0.5)*'14_지역·상수'!$H$6</f>
        <v/>
      </c>
      <c r="D99" s="79" t="n">
        <v>17</v>
      </c>
      <c r="E99" s="80">
        <f>INDEX($C$4:$C$15,MATCH(A99,$A$4:$A$15,0))</f>
        <v/>
      </c>
      <c r="F99" s="80">
        <f>15*(C99-12)</f>
        <v/>
      </c>
      <c r="G99" s="80">
        <f>-COS(RADIANS(E99))*SIN(RADIANS(F99))</f>
        <v/>
      </c>
      <c r="H99" s="80">
        <f>COS(RADIANS('11_발전량_모델'!$B$17))*SIN(RADIANS(E99))-SIN(RADIANS('11_발전량_모델'!$B$17))*COS(RADIANS(E99))*COS(RADIANS(F99))</f>
        <v/>
      </c>
      <c r="I99" s="80">
        <f>SIN(RADIANS('11_발전량_모델'!$B$17))*SIN(RADIANS(E99))+COS(RADIANS('11_발전량_모델'!$B$17))*COS(RADIANS(E99))*COS(RADIANS(F99))</f>
        <v/>
      </c>
      <c r="J99" s="80">
        <f>SIN(RADIANS('11_발전량_모델'!$B$7))*SIN(RADIANS('11_발전량_모델'!$B$8))</f>
        <v/>
      </c>
      <c r="K99" s="80">
        <f>SIN(RADIANS('11_발전량_모델'!$B$7))*COS(RADIANS('11_발전량_모델'!$B$8))</f>
        <v/>
      </c>
      <c r="L99" s="80">
        <f>COS(RADIANS('11_발전량_모델'!$B$7))</f>
        <v/>
      </c>
      <c r="M99" s="80">
        <f>G99*J99+H99*K99+I99*L99</f>
        <v/>
      </c>
      <c r="N99" s="80">
        <f>MAX(0,I99)</f>
        <v/>
      </c>
      <c r="O99" s="80">
        <f>IF(I99&gt;0,MAX(0,M99),0)</f>
        <v/>
      </c>
      <c r="P99" s="80">
        <f>IF($I99&gt;0,MAX(0,$G99*SIN(RADIANS('13_시나리오비교'!$B$5))*SIN(RADIANS('13_시나리오비교'!$C$5))+$H99*SIN(RADIANS('13_시나리오비교'!$B$5))*COS(RADIANS('13_시나리오비교'!$C$5))+$I99*COS(RADIANS('13_시나리오비교'!$B$5))),0)</f>
        <v/>
      </c>
      <c r="Q99" s="80">
        <f>IF($I99&gt;0,MAX(0,$G99*SIN(RADIANS('13_시나리오비교'!$B$6))*SIN(RADIANS('13_시나리오비교'!$C$6))+$H99*SIN(RADIANS('13_시나리오비교'!$B$6))*COS(RADIANS('13_시나리오비교'!$C$6))+$I99*COS(RADIANS('13_시나리오비교'!$B$6))),0)</f>
        <v/>
      </c>
      <c r="R99" s="80">
        <f>IF($I99&gt;0,MAX(0,$G99*SIN(RADIANS('13_시나리오비교'!$B$7))*SIN(RADIANS('13_시나리오비교'!$C$7))+$H99*SIN(RADIANS('13_시나리오비교'!$B$7))*COS(RADIANS('13_시나리오비교'!$C$7))+$I99*COS(RADIANS('13_시나리오비교'!$B$7))),0)</f>
        <v/>
      </c>
      <c r="S99" s="80">
        <f>IF($I99&gt;0,MAX(0,$G99*SIN(RADIANS('13_시나리오비교'!$B$8))*SIN(RADIANS('13_시나리오비교'!$C$8))+$H99*SIN(RADIANS('13_시나리오비교'!$B$8))*COS(RADIANS('13_시나리오비교'!$C$8))+$I99*COS(RADIANS('13_시나리오비교'!$B$8))),0)</f>
        <v/>
      </c>
      <c r="T99" s="80">
        <f>IF($I99&gt;0,MAX(0,$G99*SIN(RADIANS('13_시나리오비교'!$B$9))*SIN(RADIANS('13_시나리오비교'!$C$9))+$H99*SIN(RADIANS('13_시나리오비교'!$B$9))*COS(RADIANS('13_시나리오비교'!$C$9))+$I99*COS(RADIANS('13_시나리오비교'!$B$9))),0)</f>
        <v/>
      </c>
      <c r="U99" s="80">
        <f>IF($I99&gt;0,MAX(0,$G99*SIN(RADIANS('13_시나리오비교'!$B$10))*SIN(RADIANS('13_시나리오비교'!$C$10))+$H99*SIN(RADIANS('13_시나리오비교'!$B$10))*COS(RADIANS('13_시나리오비교'!$C$10))+$I99*COS(RADIANS('13_시나리오비교'!$B$10))),0)</f>
        <v/>
      </c>
      <c r="V99" s="80">
        <f>IF($I99&gt;0,MAX(0,$G99*SIN(RADIANS('13_시나리오비교'!$B$11))*SIN(RADIANS('13_시나리오비교'!$C$11))+$H99*SIN(RADIANS('13_시나리오비교'!$B$11))*COS(RADIANS('13_시나리오비교'!$C$11))+$I99*COS(RADIANS('13_시나리오비교'!$B$11))),0)</f>
        <v/>
      </c>
      <c r="W99" s="80">
        <f>IF($I99&gt;0,MAX(0,$G99*SIN(RADIANS('13_시나리오비교'!$B$12))*SIN(RADIANS('13_시나리오비교'!$C$12))+$H99*SIN(RADIANS('13_시나리오비교'!$B$12))*COS(RADIANS('13_시나리오비교'!$C$12))+$I99*COS(RADIANS('13_시나리오비교'!$B$12))),0)</f>
        <v/>
      </c>
      <c r="X99" s="80">
        <f>IF($I99&gt;0,MAX(0,$G99*SIN(RADIANS('13_시나리오비교'!$B$13))*SIN(RADIANS('13_시나리오비교'!$C$13))+$H99*SIN(RADIANS('13_시나리오비교'!$B$13))*COS(RADIANS('13_시나리오비교'!$C$13))+$I99*COS(RADIANS('13_시나리오비교'!$B$13))),0)</f>
        <v/>
      </c>
      <c r="Y99" s="80">
        <f>IF($I99&gt;0,MAX(0,$G99*SIN(RADIANS('13_시나리오비교'!$B$14))*SIN(RADIANS('13_시나리오비교'!$C$14))+$H99*SIN(RADIANS('13_시나리오비교'!$B$14))*COS(RADIANS('13_시나리오비교'!$C$14))+$I99*COS(RADIANS('13_시나리오비교'!$B$14))),0)</f>
        <v/>
      </c>
    </row>
    <row r="100" hidden="1" outlineLevel="1">
      <c r="A100" s="79" t="n">
        <v>1</v>
      </c>
      <c r="B100" s="79" t="n">
        <v>80</v>
      </c>
      <c r="C100" s="80">
        <f>(B100-0.5)*'14_지역·상수'!$H$6</f>
        <v/>
      </c>
      <c r="D100" s="79" t="n">
        <v>17</v>
      </c>
      <c r="E100" s="80">
        <f>INDEX($C$4:$C$15,MATCH(A100,$A$4:$A$15,0))</f>
        <v/>
      </c>
      <c r="F100" s="80">
        <f>15*(C100-12)</f>
        <v/>
      </c>
      <c r="G100" s="80">
        <f>-COS(RADIANS(E100))*SIN(RADIANS(F100))</f>
        <v/>
      </c>
      <c r="H100" s="80">
        <f>COS(RADIANS('11_발전량_모델'!$B$17))*SIN(RADIANS(E100))-SIN(RADIANS('11_발전량_모델'!$B$17))*COS(RADIANS(E100))*COS(RADIANS(F100))</f>
        <v/>
      </c>
      <c r="I100" s="80">
        <f>SIN(RADIANS('11_발전량_모델'!$B$17))*SIN(RADIANS(E100))+COS(RADIANS('11_발전량_모델'!$B$17))*COS(RADIANS(E100))*COS(RADIANS(F100))</f>
        <v/>
      </c>
      <c r="J100" s="80">
        <f>SIN(RADIANS('11_발전량_모델'!$B$7))*SIN(RADIANS('11_발전량_모델'!$B$8))</f>
        <v/>
      </c>
      <c r="K100" s="80">
        <f>SIN(RADIANS('11_발전량_모델'!$B$7))*COS(RADIANS('11_발전량_모델'!$B$8))</f>
        <v/>
      </c>
      <c r="L100" s="80">
        <f>COS(RADIANS('11_발전량_모델'!$B$7))</f>
        <v/>
      </c>
      <c r="M100" s="80">
        <f>G100*J100+H100*K100+I100*L100</f>
        <v/>
      </c>
      <c r="N100" s="80">
        <f>MAX(0,I100)</f>
        <v/>
      </c>
      <c r="O100" s="80">
        <f>IF(I100&gt;0,MAX(0,M100),0)</f>
        <v/>
      </c>
      <c r="P100" s="80">
        <f>IF($I100&gt;0,MAX(0,$G100*SIN(RADIANS('13_시나리오비교'!$B$5))*SIN(RADIANS('13_시나리오비교'!$C$5))+$H100*SIN(RADIANS('13_시나리오비교'!$B$5))*COS(RADIANS('13_시나리오비교'!$C$5))+$I100*COS(RADIANS('13_시나리오비교'!$B$5))),0)</f>
        <v/>
      </c>
      <c r="Q100" s="80">
        <f>IF($I100&gt;0,MAX(0,$G100*SIN(RADIANS('13_시나리오비교'!$B$6))*SIN(RADIANS('13_시나리오비교'!$C$6))+$H100*SIN(RADIANS('13_시나리오비교'!$B$6))*COS(RADIANS('13_시나리오비교'!$C$6))+$I100*COS(RADIANS('13_시나리오비교'!$B$6))),0)</f>
        <v/>
      </c>
      <c r="R100" s="80">
        <f>IF($I100&gt;0,MAX(0,$G100*SIN(RADIANS('13_시나리오비교'!$B$7))*SIN(RADIANS('13_시나리오비교'!$C$7))+$H100*SIN(RADIANS('13_시나리오비교'!$B$7))*COS(RADIANS('13_시나리오비교'!$C$7))+$I100*COS(RADIANS('13_시나리오비교'!$B$7))),0)</f>
        <v/>
      </c>
      <c r="S100" s="80">
        <f>IF($I100&gt;0,MAX(0,$G100*SIN(RADIANS('13_시나리오비교'!$B$8))*SIN(RADIANS('13_시나리오비교'!$C$8))+$H100*SIN(RADIANS('13_시나리오비교'!$B$8))*COS(RADIANS('13_시나리오비교'!$C$8))+$I100*COS(RADIANS('13_시나리오비교'!$B$8))),0)</f>
        <v/>
      </c>
      <c r="T100" s="80">
        <f>IF($I100&gt;0,MAX(0,$G100*SIN(RADIANS('13_시나리오비교'!$B$9))*SIN(RADIANS('13_시나리오비교'!$C$9))+$H100*SIN(RADIANS('13_시나리오비교'!$B$9))*COS(RADIANS('13_시나리오비교'!$C$9))+$I100*COS(RADIANS('13_시나리오비교'!$B$9))),0)</f>
        <v/>
      </c>
      <c r="U100" s="80">
        <f>IF($I100&gt;0,MAX(0,$G100*SIN(RADIANS('13_시나리오비교'!$B$10))*SIN(RADIANS('13_시나리오비교'!$C$10))+$H100*SIN(RADIANS('13_시나리오비교'!$B$10))*COS(RADIANS('13_시나리오비교'!$C$10))+$I100*COS(RADIANS('13_시나리오비교'!$B$10))),0)</f>
        <v/>
      </c>
      <c r="V100" s="80">
        <f>IF($I100&gt;0,MAX(0,$G100*SIN(RADIANS('13_시나리오비교'!$B$11))*SIN(RADIANS('13_시나리오비교'!$C$11))+$H100*SIN(RADIANS('13_시나리오비교'!$B$11))*COS(RADIANS('13_시나리오비교'!$C$11))+$I100*COS(RADIANS('13_시나리오비교'!$B$11))),0)</f>
        <v/>
      </c>
      <c r="W100" s="80">
        <f>IF($I100&gt;0,MAX(0,$G100*SIN(RADIANS('13_시나리오비교'!$B$12))*SIN(RADIANS('13_시나리오비교'!$C$12))+$H100*SIN(RADIANS('13_시나리오비교'!$B$12))*COS(RADIANS('13_시나리오비교'!$C$12))+$I100*COS(RADIANS('13_시나리오비교'!$B$12))),0)</f>
        <v/>
      </c>
      <c r="X100" s="80">
        <f>IF($I100&gt;0,MAX(0,$G100*SIN(RADIANS('13_시나리오비교'!$B$13))*SIN(RADIANS('13_시나리오비교'!$C$13))+$H100*SIN(RADIANS('13_시나리오비교'!$B$13))*COS(RADIANS('13_시나리오비교'!$C$13))+$I100*COS(RADIANS('13_시나리오비교'!$B$13))),0)</f>
        <v/>
      </c>
      <c r="Y100" s="80">
        <f>IF($I100&gt;0,MAX(0,$G100*SIN(RADIANS('13_시나리오비교'!$B$14))*SIN(RADIANS('13_시나리오비교'!$C$14))+$H100*SIN(RADIANS('13_시나리오비교'!$B$14))*COS(RADIANS('13_시나리오비교'!$C$14))+$I100*COS(RADIANS('13_시나리오비교'!$B$14))),0)</f>
        <v/>
      </c>
    </row>
    <row r="101" hidden="1" outlineLevel="1">
      <c r="A101" s="79" t="n">
        <v>1</v>
      </c>
      <c r="B101" s="79" t="n">
        <v>81</v>
      </c>
      <c r="C101" s="80">
        <f>(B101-0.5)*'14_지역·상수'!$H$6</f>
        <v/>
      </c>
      <c r="D101" s="79" t="n">
        <v>17</v>
      </c>
      <c r="E101" s="80">
        <f>INDEX($C$4:$C$15,MATCH(A101,$A$4:$A$15,0))</f>
        <v/>
      </c>
      <c r="F101" s="80">
        <f>15*(C101-12)</f>
        <v/>
      </c>
      <c r="G101" s="80">
        <f>-COS(RADIANS(E101))*SIN(RADIANS(F101))</f>
        <v/>
      </c>
      <c r="H101" s="80">
        <f>COS(RADIANS('11_발전량_모델'!$B$17))*SIN(RADIANS(E101))-SIN(RADIANS('11_발전량_모델'!$B$17))*COS(RADIANS(E101))*COS(RADIANS(F101))</f>
        <v/>
      </c>
      <c r="I101" s="80">
        <f>SIN(RADIANS('11_발전량_모델'!$B$17))*SIN(RADIANS(E101))+COS(RADIANS('11_발전량_모델'!$B$17))*COS(RADIANS(E101))*COS(RADIANS(F101))</f>
        <v/>
      </c>
      <c r="J101" s="80">
        <f>SIN(RADIANS('11_발전량_모델'!$B$7))*SIN(RADIANS('11_발전량_모델'!$B$8))</f>
        <v/>
      </c>
      <c r="K101" s="80">
        <f>SIN(RADIANS('11_발전량_모델'!$B$7))*COS(RADIANS('11_발전량_모델'!$B$8))</f>
        <v/>
      </c>
      <c r="L101" s="80">
        <f>COS(RADIANS('11_발전량_모델'!$B$7))</f>
        <v/>
      </c>
      <c r="M101" s="80">
        <f>G101*J101+H101*K101+I101*L101</f>
        <v/>
      </c>
      <c r="N101" s="80">
        <f>MAX(0,I101)</f>
        <v/>
      </c>
      <c r="O101" s="80">
        <f>IF(I101&gt;0,MAX(0,M101),0)</f>
        <v/>
      </c>
      <c r="P101" s="80">
        <f>IF($I101&gt;0,MAX(0,$G101*SIN(RADIANS('13_시나리오비교'!$B$5))*SIN(RADIANS('13_시나리오비교'!$C$5))+$H101*SIN(RADIANS('13_시나리오비교'!$B$5))*COS(RADIANS('13_시나리오비교'!$C$5))+$I101*COS(RADIANS('13_시나리오비교'!$B$5))),0)</f>
        <v/>
      </c>
      <c r="Q101" s="80">
        <f>IF($I101&gt;0,MAX(0,$G101*SIN(RADIANS('13_시나리오비교'!$B$6))*SIN(RADIANS('13_시나리오비교'!$C$6))+$H101*SIN(RADIANS('13_시나리오비교'!$B$6))*COS(RADIANS('13_시나리오비교'!$C$6))+$I101*COS(RADIANS('13_시나리오비교'!$B$6))),0)</f>
        <v/>
      </c>
      <c r="R101" s="80">
        <f>IF($I101&gt;0,MAX(0,$G101*SIN(RADIANS('13_시나리오비교'!$B$7))*SIN(RADIANS('13_시나리오비교'!$C$7))+$H101*SIN(RADIANS('13_시나리오비교'!$B$7))*COS(RADIANS('13_시나리오비교'!$C$7))+$I101*COS(RADIANS('13_시나리오비교'!$B$7))),0)</f>
        <v/>
      </c>
      <c r="S101" s="80">
        <f>IF($I101&gt;0,MAX(0,$G101*SIN(RADIANS('13_시나리오비교'!$B$8))*SIN(RADIANS('13_시나리오비교'!$C$8))+$H101*SIN(RADIANS('13_시나리오비교'!$B$8))*COS(RADIANS('13_시나리오비교'!$C$8))+$I101*COS(RADIANS('13_시나리오비교'!$B$8))),0)</f>
        <v/>
      </c>
      <c r="T101" s="80">
        <f>IF($I101&gt;0,MAX(0,$G101*SIN(RADIANS('13_시나리오비교'!$B$9))*SIN(RADIANS('13_시나리오비교'!$C$9))+$H101*SIN(RADIANS('13_시나리오비교'!$B$9))*COS(RADIANS('13_시나리오비교'!$C$9))+$I101*COS(RADIANS('13_시나리오비교'!$B$9))),0)</f>
        <v/>
      </c>
      <c r="U101" s="80">
        <f>IF($I101&gt;0,MAX(0,$G101*SIN(RADIANS('13_시나리오비교'!$B$10))*SIN(RADIANS('13_시나리오비교'!$C$10))+$H101*SIN(RADIANS('13_시나리오비교'!$B$10))*COS(RADIANS('13_시나리오비교'!$C$10))+$I101*COS(RADIANS('13_시나리오비교'!$B$10))),0)</f>
        <v/>
      </c>
      <c r="V101" s="80">
        <f>IF($I101&gt;0,MAX(0,$G101*SIN(RADIANS('13_시나리오비교'!$B$11))*SIN(RADIANS('13_시나리오비교'!$C$11))+$H101*SIN(RADIANS('13_시나리오비교'!$B$11))*COS(RADIANS('13_시나리오비교'!$C$11))+$I101*COS(RADIANS('13_시나리오비교'!$B$11))),0)</f>
        <v/>
      </c>
      <c r="W101" s="80">
        <f>IF($I101&gt;0,MAX(0,$G101*SIN(RADIANS('13_시나리오비교'!$B$12))*SIN(RADIANS('13_시나리오비교'!$C$12))+$H101*SIN(RADIANS('13_시나리오비교'!$B$12))*COS(RADIANS('13_시나리오비교'!$C$12))+$I101*COS(RADIANS('13_시나리오비교'!$B$12))),0)</f>
        <v/>
      </c>
      <c r="X101" s="80">
        <f>IF($I101&gt;0,MAX(0,$G101*SIN(RADIANS('13_시나리오비교'!$B$13))*SIN(RADIANS('13_시나리오비교'!$C$13))+$H101*SIN(RADIANS('13_시나리오비교'!$B$13))*COS(RADIANS('13_시나리오비교'!$C$13))+$I101*COS(RADIANS('13_시나리오비교'!$B$13))),0)</f>
        <v/>
      </c>
      <c r="Y101" s="80">
        <f>IF($I101&gt;0,MAX(0,$G101*SIN(RADIANS('13_시나리오비교'!$B$14))*SIN(RADIANS('13_시나리오비교'!$C$14))+$H101*SIN(RADIANS('13_시나리오비교'!$B$14))*COS(RADIANS('13_시나리오비교'!$C$14))+$I101*COS(RADIANS('13_시나리오비교'!$B$14))),0)</f>
        <v/>
      </c>
    </row>
    <row r="102" hidden="1" outlineLevel="1">
      <c r="A102" s="79" t="n">
        <v>1</v>
      </c>
      <c r="B102" s="79" t="n">
        <v>82</v>
      </c>
      <c r="C102" s="80">
        <f>(B102-0.5)*'14_지역·상수'!$H$6</f>
        <v/>
      </c>
      <c r="D102" s="79" t="n">
        <v>17</v>
      </c>
      <c r="E102" s="80">
        <f>INDEX($C$4:$C$15,MATCH(A102,$A$4:$A$15,0))</f>
        <v/>
      </c>
      <c r="F102" s="80">
        <f>15*(C102-12)</f>
        <v/>
      </c>
      <c r="G102" s="80">
        <f>-COS(RADIANS(E102))*SIN(RADIANS(F102))</f>
        <v/>
      </c>
      <c r="H102" s="80">
        <f>COS(RADIANS('11_발전량_모델'!$B$17))*SIN(RADIANS(E102))-SIN(RADIANS('11_발전량_모델'!$B$17))*COS(RADIANS(E102))*COS(RADIANS(F102))</f>
        <v/>
      </c>
      <c r="I102" s="80">
        <f>SIN(RADIANS('11_발전량_모델'!$B$17))*SIN(RADIANS(E102))+COS(RADIANS('11_발전량_모델'!$B$17))*COS(RADIANS(E102))*COS(RADIANS(F102))</f>
        <v/>
      </c>
      <c r="J102" s="80">
        <f>SIN(RADIANS('11_발전량_모델'!$B$7))*SIN(RADIANS('11_발전량_모델'!$B$8))</f>
        <v/>
      </c>
      <c r="K102" s="80">
        <f>SIN(RADIANS('11_발전량_모델'!$B$7))*COS(RADIANS('11_발전량_모델'!$B$8))</f>
        <v/>
      </c>
      <c r="L102" s="80">
        <f>COS(RADIANS('11_발전량_모델'!$B$7))</f>
        <v/>
      </c>
      <c r="M102" s="80">
        <f>G102*J102+H102*K102+I102*L102</f>
        <v/>
      </c>
      <c r="N102" s="80">
        <f>MAX(0,I102)</f>
        <v/>
      </c>
      <c r="O102" s="80">
        <f>IF(I102&gt;0,MAX(0,M102),0)</f>
        <v/>
      </c>
      <c r="P102" s="80">
        <f>IF($I102&gt;0,MAX(0,$G102*SIN(RADIANS('13_시나리오비교'!$B$5))*SIN(RADIANS('13_시나리오비교'!$C$5))+$H102*SIN(RADIANS('13_시나리오비교'!$B$5))*COS(RADIANS('13_시나리오비교'!$C$5))+$I102*COS(RADIANS('13_시나리오비교'!$B$5))),0)</f>
        <v/>
      </c>
      <c r="Q102" s="80">
        <f>IF($I102&gt;0,MAX(0,$G102*SIN(RADIANS('13_시나리오비교'!$B$6))*SIN(RADIANS('13_시나리오비교'!$C$6))+$H102*SIN(RADIANS('13_시나리오비교'!$B$6))*COS(RADIANS('13_시나리오비교'!$C$6))+$I102*COS(RADIANS('13_시나리오비교'!$B$6))),0)</f>
        <v/>
      </c>
      <c r="R102" s="80">
        <f>IF($I102&gt;0,MAX(0,$G102*SIN(RADIANS('13_시나리오비교'!$B$7))*SIN(RADIANS('13_시나리오비교'!$C$7))+$H102*SIN(RADIANS('13_시나리오비교'!$B$7))*COS(RADIANS('13_시나리오비교'!$C$7))+$I102*COS(RADIANS('13_시나리오비교'!$B$7))),0)</f>
        <v/>
      </c>
      <c r="S102" s="80">
        <f>IF($I102&gt;0,MAX(0,$G102*SIN(RADIANS('13_시나리오비교'!$B$8))*SIN(RADIANS('13_시나리오비교'!$C$8))+$H102*SIN(RADIANS('13_시나리오비교'!$B$8))*COS(RADIANS('13_시나리오비교'!$C$8))+$I102*COS(RADIANS('13_시나리오비교'!$B$8))),0)</f>
        <v/>
      </c>
      <c r="T102" s="80">
        <f>IF($I102&gt;0,MAX(0,$G102*SIN(RADIANS('13_시나리오비교'!$B$9))*SIN(RADIANS('13_시나리오비교'!$C$9))+$H102*SIN(RADIANS('13_시나리오비교'!$B$9))*COS(RADIANS('13_시나리오비교'!$C$9))+$I102*COS(RADIANS('13_시나리오비교'!$B$9))),0)</f>
        <v/>
      </c>
      <c r="U102" s="80">
        <f>IF($I102&gt;0,MAX(0,$G102*SIN(RADIANS('13_시나리오비교'!$B$10))*SIN(RADIANS('13_시나리오비교'!$C$10))+$H102*SIN(RADIANS('13_시나리오비교'!$B$10))*COS(RADIANS('13_시나리오비교'!$C$10))+$I102*COS(RADIANS('13_시나리오비교'!$B$10))),0)</f>
        <v/>
      </c>
      <c r="V102" s="80">
        <f>IF($I102&gt;0,MAX(0,$G102*SIN(RADIANS('13_시나리오비교'!$B$11))*SIN(RADIANS('13_시나리오비교'!$C$11))+$H102*SIN(RADIANS('13_시나리오비교'!$B$11))*COS(RADIANS('13_시나리오비교'!$C$11))+$I102*COS(RADIANS('13_시나리오비교'!$B$11))),0)</f>
        <v/>
      </c>
      <c r="W102" s="80">
        <f>IF($I102&gt;0,MAX(0,$G102*SIN(RADIANS('13_시나리오비교'!$B$12))*SIN(RADIANS('13_시나리오비교'!$C$12))+$H102*SIN(RADIANS('13_시나리오비교'!$B$12))*COS(RADIANS('13_시나리오비교'!$C$12))+$I102*COS(RADIANS('13_시나리오비교'!$B$12))),0)</f>
        <v/>
      </c>
      <c r="X102" s="80">
        <f>IF($I102&gt;0,MAX(0,$G102*SIN(RADIANS('13_시나리오비교'!$B$13))*SIN(RADIANS('13_시나리오비교'!$C$13))+$H102*SIN(RADIANS('13_시나리오비교'!$B$13))*COS(RADIANS('13_시나리오비교'!$C$13))+$I102*COS(RADIANS('13_시나리오비교'!$B$13))),0)</f>
        <v/>
      </c>
      <c r="Y102" s="80">
        <f>IF($I102&gt;0,MAX(0,$G102*SIN(RADIANS('13_시나리오비교'!$B$14))*SIN(RADIANS('13_시나리오비교'!$C$14))+$H102*SIN(RADIANS('13_시나리오비교'!$B$14))*COS(RADIANS('13_시나리오비교'!$C$14))+$I102*COS(RADIANS('13_시나리오비교'!$B$14))),0)</f>
        <v/>
      </c>
    </row>
    <row r="103" hidden="1" outlineLevel="1">
      <c r="A103" s="79" t="n">
        <v>1</v>
      </c>
      <c r="B103" s="79" t="n">
        <v>83</v>
      </c>
      <c r="C103" s="80">
        <f>(B103-0.5)*'14_지역·상수'!$H$6</f>
        <v/>
      </c>
      <c r="D103" s="79" t="n">
        <v>17</v>
      </c>
      <c r="E103" s="80">
        <f>INDEX($C$4:$C$15,MATCH(A103,$A$4:$A$15,0))</f>
        <v/>
      </c>
      <c r="F103" s="80">
        <f>15*(C103-12)</f>
        <v/>
      </c>
      <c r="G103" s="80">
        <f>-COS(RADIANS(E103))*SIN(RADIANS(F103))</f>
        <v/>
      </c>
      <c r="H103" s="80">
        <f>COS(RADIANS('11_발전량_모델'!$B$17))*SIN(RADIANS(E103))-SIN(RADIANS('11_발전량_모델'!$B$17))*COS(RADIANS(E103))*COS(RADIANS(F103))</f>
        <v/>
      </c>
      <c r="I103" s="80">
        <f>SIN(RADIANS('11_발전량_모델'!$B$17))*SIN(RADIANS(E103))+COS(RADIANS('11_발전량_모델'!$B$17))*COS(RADIANS(E103))*COS(RADIANS(F103))</f>
        <v/>
      </c>
      <c r="J103" s="80">
        <f>SIN(RADIANS('11_발전량_모델'!$B$7))*SIN(RADIANS('11_발전량_모델'!$B$8))</f>
        <v/>
      </c>
      <c r="K103" s="80">
        <f>SIN(RADIANS('11_발전량_모델'!$B$7))*COS(RADIANS('11_발전량_모델'!$B$8))</f>
        <v/>
      </c>
      <c r="L103" s="80">
        <f>COS(RADIANS('11_발전량_모델'!$B$7))</f>
        <v/>
      </c>
      <c r="M103" s="80">
        <f>G103*J103+H103*K103+I103*L103</f>
        <v/>
      </c>
      <c r="N103" s="80">
        <f>MAX(0,I103)</f>
        <v/>
      </c>
      <c r="O103" s="80">
        <f>IF(I103&gt;0,MAX(0,M103),0)</f>
        <v/>
      </c>
      <c r="P103" s="80">
        <f>IF($I103&gt;0,MAX(0,$G103*SIN(RADIANS('13_시나리오비교'!$B$5))*SIN(RADIANS('13_시나리오비교'!$C$5))+$H103*SIN(RADIANS('13_시나리오비교'!$B$5))*COS(RADIANS('13_시나리오비교'!$C$5))+$I103*COS(RADIANS('13_시나리오비교'!$B$5))),0)</f>
        <v/>
      </c>
      <c r="Q103" s="80">
        <f>IF($I103&gt;0,MAX(0,$G103*SIN(RADIANS('13_시나리오비교'!$B$6))*SIN(RADIANS('13_시나리오비교'!$C$6))+$H103*SIN(RADIANS('13_시나리오비교'!$B$6))*COS(RADIANS('13_시나리오비교'!$C$6))+$I103*COS(RADIANS('13_시나리오비교'!$B$6))),0)</f>
        <v/>
      </c>
      <c r="R103" s="80">
        <f>IF($I103&gt;0,MAX(0,$G103*SIN(RADIANS('13_시나리오비교'!$B$7))*SIN(RADIANS('13_시나리오비교'!$C$7))+$H103*SIN(RADIANS('13_시나리오비교'!$B$7))*COS(RADIANS('13_시나리오비교'!$C$7))+$I103*COS(RADIANS('13_시나리오비교'!$B$7))),0)</f>
        <v/>
      </c>
      <c r="S103" s="80">
        <f>IF($I103&gt;0,MAX(0,$G103*SIN(RADIANS('13_시나리오비교'!$B$8))*SIN(RADIANS('13_시나리오비교'!$C$8))+$H103*SIN(RADIANS('13_시나리오비교'!$B$8))*COS(RADIANS('13_시나리오비교'!$C$8))+$I103*COS(RADIANS('13_시나리오비교'!$B$8))),0)</f>
        <v/>
      </c>
      <c r="T103" s="80">
        <f>IF($I103&gt;0,MAX(0,$G103*SIN(RADIANS('13_시나리오비교'!$B$9))*SIN(RADIANS('13_시나리오비교'!$C$9))+$H103*SIN(RADIANS('13_시나리오비교'!$B$9))*COS(RADIANS('13_시나리오비교'!$C$9))+$I103*COS(RADIANS('13_시나리오비교'!$B$9))),0)</f>
        <v/>
      </c>
      <c r="U103" s="80">
        <f>IF($I103&gt;0,MAX(0,$G103*SIN(RADIANS('13_시나리오비교'!$B$10))*SIN(RADIANS('13_시나리오비교'!$C$10))+$H103*SIN(RADIANS('13_시나리오비교'!$B$10))*COS(RADIANS('13_시나리오비교'!$C$10))+$I103*COS(RADIANS('13_시나리오비교'!$B$10))),0)</f>
        <v/>
      </c>
      <c r="V103" s="80">
        <f>IF($I103&gt;0,MAX(0,$G103*SIN(RADIANS('13_시나리오비교'!$B$11))*SIN(RADIANS('13_시나리오비교'!$C$11))+$H103*SIN(RADIANS('13_시나리오비교'!$B$11))*COS(RADIANS('13_시나리오비교'!$C$11))+$I103*COS(RADIANS('13_시나리오비교'!$B$11))),0)</f>
        <v/>
      </c>
      <c r="W103" s="80">
        <f>IF($I103&gt;0,MAX(0,$G103*SIN(RADIANS('13_시나리오비교'!$B$12))*SIN(RADIANS('13_시나리오비교'!$C$12))+$H103*SIN(RADIANS('13_시나리오비교'!$B$12))*COS(RADIANS('13_시나리오비교'!$C$12))+$I103*COS(RADIANS('13_시나리오비교'!$B$12))),0)</f>
        <v/>
      </c>
      <c r="X103" s="80">
        <f>IF($I103&gt;0,MAX(0,$G103*SIN(RADIANS('13_시나리오비교'!$B$13))*SIN(RADIANS('13_시나리오비교'!$C$13))+$H103*SIN(RADIANS('13_시나리오비교'!$B$13))*COS(RADIANS('13_시나리오비교'!$C$13))+$I103*COS(RADIANS('13_시나리오비교'!$B$13))),0)</f>
        <v/>
      </c>
      <c r="Y103" s="80">
        <f>IF($I103&gt;0,MAX(0,$G103*SIN(RADIANS('13_시나리오비교'!$B$14))*SIN(RADIANS('13_시나리오비교'!$C$14))+$H103*SIN(RADIANS('13_시나리오비교'!$B$14))*COS(RADIANS('13_시나리오비교'!$C$14))+$I103*COS(RADIANS('13_시나리오비교'!$B$14))),0)</f>
        <v/>
      </c>
    </row>
    <row r="104" hidden="1" outlineLevel="1">
      <c r="A104" s="79" t="n">
        <v>1</v>
      </c>
      <c r="B104" s="79" t="n">
        <v>84</v>
      </c>
      <c r="C104" s="80">
        <f>(B104-0.5)*'14_지역·상수'!$H$6</f>
        <v/>
      </c>
      <c r="D104" s="79" t="n">
        <v>17</v>
      </c>
      <c r="E104" s="80">
        <f>INDEX($C$4:$C$15,MATCH(A104,$A$4:$A$15,0))</f>
        <v/>
      </c>
      <c r="F104" s="80">
        <f>15*(C104-12)</f>
        <v/>
      </c>
      <c r="G104" s="80">
        <f>-COS(RADIANS(E104))*SIN(RADIANS(F104))</f>
        <v/>
      </c>
      <c r="H104" s="80">
        <f>COS(RADIANS('11_발전량_모델'!$B$17))*SIN(RADIANS(E104))-SIN(RADIANS('11_발전량_모델'!$B$17))*COS(RADIANS(E104))*COS(RADIANS(F104))</f>
        <v/>
      </c>
      <c r="I104" s="80">
        <f>SIN(RADIANS('11_발전량_모델'!$B$17))*SIN(RADIANS(E104))+COS(RADIANS('11_발전량_모델'!$B$17))*COS(RADIANS(E104))*COS(RADIANS(F104))</f>
        <v/>
      </c>
      <c r="J104" s="80">
        <f>SIN(RADIANS('11_발전량_모델'!$B$7))*SIN(RADIANS('11_발전량_모델'!$B$8))</f>
        <v/>
      </c>
      <c r="K104" s="80">
        <f>SIN(RADIANS('11_발전량_모델'!$B$7))*COS(RADIANS('11_발전량_모델'!$B$8))</f>
        <v/>
      </c>
      <c r="L104" s="80">
        <f>COS(RADIANS('11_발전량_모델'!$B$7))</f>
        <v/>
      </c>
      <c r="M104" s="80">
        <f>G104*J104+H104*K104+I104*L104</f>
        <v/>
      </c>
      <c r="N104" s="80">
        <f>MAX(0,I104)</f>
        <v/>
      </c>
      <c r="O104" s="80">
        <f>IF(I104&gt;0,MAX(0,M104),0)</f>
        <v/>
      </c>
      <c r="P104" s="80">
        <f>IF($I104&gt;0,MAX(0,$G104*SIN(RADIANS('13_시나리오비교'!$B$5))*SIN(RADIANS('13_시나리오비교'!$C$5))+$H104*SIN(RADIANS('13_시나리오비교'!$B$5))*COS(RADIANS('13_시나리오비교'!$C$5))+$I104*COS(RADIANS('13_시나리오비교'!$B$5))),0)</f>
        <v/>
      </c>
      <c r="Q104" s="80">
        <f>IF($I104&gt;0,MAX(0,$G104*SIN(RADIANS('13_시나리오비교'!$B$6))*SIN(RADIANS('13_시나리오비교'!$C$6))+$H104*SIN(RADIANS('13_시나리오비교'!$B$6))*COS(RADIANS('13_시나리오비교'!$C$6))+$I104*COS(RADIANS('13_시나리오비교'!$B$6))),0)</f>
        <v/>
      </c>
      <c r="R104" s="80">
        <f>IF($I104&gt;0,MAX(0,$G104*SIN(RADIANS('13_시나리오비교'!$B$7))*SIN(RADIANS('13_시나리오비교'!$C$7))+$H104*SIN(RADIANS('13_시나리오비교'!$B$7))*COS(RADIANS('13_시나리오비교'!$C$7))+$I104*COS(RADIANS('13_시나리오비교'!$B$7))),0)</f>
        <v/>
      </c>
      <c r="S104" s="80">
        <f>IF($I104&gt;0,MAX(0,$G104*SIN(RADIANS('13_시나리오비교'!$B$8))*SIN(RADIANS('13_시나리오비교'!$C$8))+$H104*SIN(RADIANS('13_시나리오비교'!$B$8))*COS(RADIANS('13_시나리오비교'!$C$8))+$I104*COS(RADIANS('13_시나리오비교'!$B$8))),0)</f>
        <v/>
      </c>
      <c r="T104" s="80">
        <f>IF($I104&gt;0,MAX(0,$G104*SIN(RADIANS('13_시나리오비교'!$B$9))*SIN(RADIANS('13_시나리오비교'!$C$9))+$H104*SIN(RADIANS('13_시나리오비교'!$B$9))*COS(RADIANS('13_시나리오비교'!$C$9))+$I104*COS(RADIANS('13_시나리오비교'!$B$9))),0)</f>
        <v/>
      </c>
      <c r="U104" s="80">
        <f>IF($I104&gt;0,MAX(0,$G104*SIN(RADIANS('13_시나리오비교'!$B$10))*SIN(RADIANS('13_시나리오비교'!$C$10))+$H104*SIN(RADIANS('13_시나리오비교'!$B$10))*COS(RADIANS('13_시나리오비교'!$C$10))+$I104*COS(RADIANS('13_시나리오비교'!$B$10))),0)</f>
        <v/>
      </c>
      <c r="V104" s="80">
        <f>IF($I104&gt;0,MAX(0,$G104*SIN(RADIANS('13_시나리오비교'!$B$11))*SIN(RADIANS('13_시나리오비교'!$C$11))+$H104*SIN(RADIANS('13_시나리오비교'!$B$11))*COS(RADIANS('13_시나리오비교'!$C$11))+$I104*COS(RADIANS('13_시나리오비교'!$B$11))),0)</f>
        <v/>
      </c>
      <c r="W104" s="80">
        <f>IF($I104&gt;0,MAX(0,$G104*SIN(RADIANS('13_시나리오비교'!$B$12))*SIN(RADIANS('13_시나리오비교'!$C$12))+$H104*SIN(RADIANS('13_시나리오비교'!$B$12))*COS(RADIANS('13_시나리오비교'!$C$12))+$I104*COS(RADIANS('13_시나리오비교'!$B$12))),0)</f>
        <v/>
      </c>
      <c r="X104" s="80">
        <f>IF($I104&gt;0,MAX(0,$G104*SIN(RADIANS('13_시나리오비교'!$B$13))*SIN(RADIANS('13_시나리오비교'!$C$13))+$H104*SIN(RADIANS('13_시나리오비교'!$B$13))*COS(RADIANS('13_시나리오비교'!$C$13))+$I104*COS(RADIANS('13_시나리오비교'!$B$13))),0)</f>
        <v/>
      </c>
      <c r="Y104" s="80">
        <f>IF($I104&gt;0,MAX(0,$G104*SIN(RADIANS('13_시나리오비교'!$B$14))*SIN(RADIANS('13_시나리오비교'!$C$14))+$H104*SIN(RADIANS('13_시나리오비교'!$B$14))*COS(RADIANS('13_시나리오비교'!$C$14))+$I104*COS(RADIANS('13_시나리오비교'!$B$14))),0)</f>
        <v/>
      </c>
    </row>
    <row r="105" hidden="1" outlineLevel="1">
      <c r="A105" s="79" t="n">
        <v>1</v>
      </c>
      <c r="B105" s="79" t="n">
        <v>85</v>
      </c>
      <c r="C105" s="80">
        <f>(B105-0.5)*'14_지역·상수'!$H$6</f>
        <v/>
      </c>
      <c r="D105" s="79" t="n">
        <v>17</v>
      </c>
      <c r="E105" s="80">
        <f>INDEX($C$4:$C$15,MATCH(A105,$A$4:$A$15,0))</f>
        <v/>
      </c>
      <c r="F105" s="80">
        <f>15*(C105-12)</f>
        <v/>
      </c>
      <c r="G105" s="80">
        <f>-COS(RADIANS(E105))*SIN(RADIANS(F105))</f>
        <v/>
      </c>
      <c r="H105" s="80">
        <f>COS(RADIANS('11_발전량_모델'!$B$17))*SIN(RADIANS(E105))-SIN(RADIANS('11_발전량_모델'!$B$17))*COS(RADIANS(E105))*COS(RADIANS(F105))</f>
        <v/>
      </c>
      <c r="I105" s="80">
        <f>SIN(RADIANS('11_발전량_모델'!$B$17))*SIN(RADIANS(E105))+COS(RADIANS('11_발전량_모델'!$B$17))*COS(RADIANS(E105))*COS(RADIANS(F105))</f>
        <v/>
      </c>
      <c r="J105" s="80">
        <f>SIN(RADIANS('11_발전량_모델'!$B$7))*SIN(RADIANS('11_발전량_모델'!$B$8))</f>
        <v/>
      </c>
      <c r="K105" s="80">
        <f>SIN(RADIANS('11_발전량_모델'!$B$7))*COS(RADIANS('11_발전량_모델'!$B$8))</f>
        <v/>
      </c>
      <c r="L105" s="80">
        <f>COS(RADIANS('11_발전량_모델'!$B$7))</f>
        <v/>
      </c>
      <c r="M105" s="80">
        <f>G105*J105+H105*K105+I105*L105</f>
        <v/>
      </c>
      <c r="N105" s="80">
        <f>MAX(0,I105)</f>
        <v/>
      </c>
      <c r="O105" s="80">
        <f>IF(I105&gt;0,MAX(0,M105),0)</f>
        <v/>
      </c>
      <c r="P105" s="80">
        <f>IF($I105&gt;0,MAX(0,$G105*SIN(RADIANS('13_시나리오비교'!$B$5))*SIN(RADIANS('13_시나리오비교'!$C$5))+$H105*SIN(RADIANS('13_시나리오비교'!$B$5))*COS(RADIANS('13_시나리오비교'!$C$5))+$I105*COS(RADIANS('13_시나리오비교'!$B$5))),0)</f>
        <v/>
      </c>
      <c r="Q105" s="80">
        <f>IF($I105&gt;0,MAX(0,$G105*SIN(RADIANS('13_시나리오비교'!$B$6))*SIN(RADIANS('13_시나리오비교'!$C$6))+$H105*SIN(RADIANS('13_시나리오비교'!$B$6))*COS(RADIANS('13_시나리오비교'!$C$6))+$I105*COS(RADIANS('13_시나리오비교'!$B$6))),0)</f>
        <v/>
      </c>
      <c r="R105" s="80">
        <f>IF($I105&gt;0,MAX(0,$G105*SIN(RADIANS('13_시나리오비교'!$B$7))*SIN(RADIANS('13_시나리오비교'!$C$7))+$H105*SIN(RADIANS('13_시나리오비교'!$B$7))*COS(RADIANS('13_시나리오비교'!$C$7))+$I105*COS(RADIANS('13_시나리오비교'!$B$7))),0)</f>
        <v/>
      </c>
      <c r="S105" s="80">
        <f>IF($I105&gt;0,MAX(0,$G105*SIN(RADIANS('13_시나리오비교'!$B$8))*SIN(RADIANS('13_시나리오비교'!$C$8))+$H105*SIN(RADIANS('13_시나리오비교'!$B$8))*COS(RADIANS('13_시나리오비교'!$C$8))+$I105*COS(RADIANS('13_시나리오비교'!$B$8))),0)</f>
        <v/>
      </c>
      <c r="T105" s="80">
        <f>IF($I105&gt;0,MAX(0,$G105*SIN(RADIANS('13_시나리오비교'!$B$9))*SIN(RADIANS('13_시나리오비교'!$C$9))+$H105*SIN(RADIANS('13_시나리오비교'!$B$9))*COS(RADIANS('13_시나리오비교'!$C$9))+$I105*COS(RADIANS('13_시나리오비교'!$B$9))),0)</f>
        <v/>
      </c>
      <c r="U105" s="80">
        <f>IF($I105&gt;0,MAX(0,$G105*SIN(RADIANS('13_시나리오비교'!$B$10))*SIN(RADIANS('13_시나리오비교'!$C$10))+$H105*SIN(RADIANS('13_시나리오비교'!$B$10))*COS(RADIANS('13_시나리오비교'!$C$10))+$I105*COS(RADIANS('13_시나리오비교'!$B$10))),0)</f>
        <v/>
      </c>
      <c r="V105" s="80">
        <f>IF($I105&gt;0,MAX(0,$G105*SIN(RADIANS('13_시나리오비교'!$B$11))*SIN(RADIANS('13_시나리오비교'!$C$11))+$H105*SIN(RADIANS('13_시나리오비교'!$B$11))*COS(RADIANS('13_시나리오비교'!$C$11))+$I105*COS(RADIANS('13_시나리오비교'!$B$11))),0)</f>
        <v/>
      </c>
      <c r="W105" s="80">
        <f>IF($I105&gt;0,MAX(0,$G105*SIN(RADIANS('13_시나리오비교'!$B$12))*SIN(RADIANS('13_시나리오비교'!$C$12))+$H105*SIN(RADIANS('13_시나리오비교'!$B$12))*COS(RADIANS('13_시나리오비교'!$C$12))+$I105*COS(RADIANS('13_시나리오비교'!$B$12))),0)</f>
        <v/>
      </c>
      <c r="X105" s="80">
        <f>IF($I105&gt;0,MAX(0,$G105*SIN(RADIANS('13_시나리오비교'!$B$13))*SIN(RADIANS('13_시나리오비교'!$C$13))+$H105*SIN(RADIANS('13_시나리오비교'!$B$13))*COS(RADIANS('13_시나리오비교'!$C$13))+$I105*COS(RADIANS('13_시나리오비교'!$B$13))),0)</f>
        <v/>
      </c>
      <c r="Y105" s="80">
        <f>IF($I105&gt;0,MAX(0,$G105*SIN(RADIANS('13_시나리오비교'!$B$14))*SIN(RADIANS('13_시나리오비교'!$C$14))+$H105*SIN(RADIANS('13_시나리오비교'!$B$14))*COS(RADIANS('13_시나리오비교'!$C$14))+$I105*COS(RADIANS('13_시나리오비교'!$B$14))),0)</f>
        <v/>
      </c>
    </row>
    <row r="106" hidden="1" outlineLevel="1">
      <c r="A106" s="79" t="n">
        <v>1</v>
      </c>
      <c r="B106" s="79" t="n">
        <v>86</v>
      </c>
      <c r="C106" s="80">
        <f>(B106-0.5)*'14_지역·상수'!$H$6</f>
        <v/>
      </c>
      <c r="D106" s="79" t="n">
        <v>17</v>
      </c>
      <c r="E106" s="80">
        <f>INDEX($C$4:$C$15,MATCH(A106,$A$4:$A$15,0))</f>
        <v/>
      </c>
      <c r="F106" s="80">
        <f>15*(C106-12)</f>
        <v/>
      </c>
      <c r="G106" s="80">
        <f>-COS(RADIANS(E106))*SIN(RADIANS(F106))</f>
        <v/>
      </c>
      <c r="H106" s="80">
        <f>COS(RADIANS('11_발전량_모델'!$B$17))*SIN(RADIANS(E106))-SIN(RADIANS('11_발전량_모델'!$B$17))*COS(RADIANS(E106))*COS(RADIANS(F106))</f>
        <v/>
      </c>
      <c r="I106" s="80">
        <f>SIN(RADIANS('11_발전량_모델'!$B$17))*SIN(RADIANS(E106))+COS(RADIANS('11_발전량_모델'!$B$17))*COS(RADIANS(E106))*COS(RADIANS(F106))</f>
        <v/>
      </c>
      <c r="J106" s="80">
        <f>SIN(RADIANS('11_발전량_모델'!$B$7))*SIN(RADIANS('11_발전량_모델'!$B$8))</f>
        <v/>
      </c>
      <c r="K106" s="80">
        <f>SIN(RADIANS('11_발전량_모델'!$B$7))*COS(RADIANS('11_발전량_모델'!$B$8))</f>
        <v/>
      </c>
      <c r="L106" s="80">
        <f>COS(RADIANS('11_발전량_모델'!$B$7))</f>
        <v/>
      </c>
      <c r="M106" s="80">
        <f>G106*J106+H106*K106+I106*L106</f>
        <v/>
      </c>
      <c r="N106" s="80">
        <f>MAX(0,I106)</f>
        <v/>
      </c>
      <c r="O106" s="80">
        <f>IF(I106&gt;0,MAX(0,M106),0)</f>
        <v/>
      </c>
      <c r="P106" s="80">
        <f>IF($I106&gt;0,MAX(0,$G106*SIN(RADIANS('13_시나리오비교'!$B$5))*SIN(RADIANS('13_시나리오비교'!$C$5))+$H106*SIN(RADIANS('13_시나리오비교'!$B$5))*COS(RADIANS('13_시나리오비교'!$C$5))+$I106*COS(RADIANS('13_시나리오비교'!$B$5))),0)</f>
        <v/>
      </c>
      <c r="Q106" s="80">
        <f>IF($I106&gt;0,MAX(0,$G106*SIN(RADIANS('13_시나리오비교'!$B$6))*SIN(RADIANS('13_시나리오비교'!$C$6))+$H106*SIN(RADIANS('13_시나리오비교'!$B$6))*COS(RADIANS('13_시나리오비교'!$C$6))+$I106*COS(RADIANS('13_시나리오비교'!$B$6))),0)</f>
        <v/>
      </c>
      <c r="R106" s="80">
        <f>IF($I106&gt;0,MAX(0,$G106*SIN(RADIANS('13_시나리오비교'!$B$7))*SIN(RADIANS('13_시나리오비교'!$C$7))+$H106*SIN(RADIANS('13_시나리오비교'!$B$7))*COS(RADIANS('13_시나리오비교'!$C$7))+$I106*COS(RADIANS('13_시나리오비교'!$B$7))),0)</f>
        <v/>
      </c>
      <c r="S106" s="80">
        <f>IF($I106&gt;0,MAX(0,$G106*SIN(RADIANS('13_시나리오비교'!$B$8))*SIN(RADIANS('13_시나리오비교'!$C$8))+$H106*SIN(RADIANS('13_시나리오비교'!$B$8))*COS(RADIANS('13_시나리오비교'!$C$8))+$I106*COS(RADIANS('13_시나리오비교'!$B$8))),0)</f>
        <v/>
      </c>
      <c r="T106" s="80">
        <f>IF($I106&gt;0,MAX(0,$G106*SIN(RADIANS('13_시나리오비교'!$B$9))*SIN(RADIANS('13_시나리오비교'!$C$9))+$H106*SIN(RADIANS('13_시나리오비교'!$B$9))*COS(RADIANS('13_시나리오비교'!$C$9))+$I106*COS(RADIANS('13_시나리오비교'!$B$9))),0)</f>
        <v/>
      </c>
      <c r="U106" s="80">
        <f>IF($I106&gt;0,MAX(0,$G106*SIN(RADIANS('13_시나리오비교'!$B$10))*SIN(RADIANS('13_시나리오비교'!$C$10))+$H106*SIN(RADIANS('13_시나리오비교'!$B$10))*COS(RADIANS('13_시나리오비교'!$C$10))+$I106*COS(RADIANS('13_시나리오비교'!$B$10))),0)</f>
        <v/>
      </c>
      <c r="V106" s="80">
        <f>IF($I106&gt;0,MAX(0,$G106*SIN(RADIANS('13_시나리오비교'!$B$11))*SIN(RADIANS('13_시나리오비교'!$C$11))+$H106*SIN(RADIANS('13_시나리오비교'!$B$11))*COS(RADIANS('13_시나리오비교'!$C$11))+$I106*COS(RADIANS('13_시나리오비교'!$B$11))),0)</f>
        <v/>
      </c>
      <c r="W106" s="80">
        <f>IF($I106&gt;0,MAX(0,$G106*SIN(RADIANS('13_시나리오비교'!$B$12))*SIN(RADIANS('13_시나리오비교'!$C$12))+$H106*SIN(RADIANS('13_시나리오비교'!$B$12))*COS(RADIANS('13_시나리오비교'!$C$12))+$I106*COS(RADIANS('13_시나리오비교'!$B$12))),0)</f>
        <v/>
      </c>
      <c r="X106" s="80">
        <f>IF($I106&gt;0,MAX(0,$G106*SIN(RADIANS('13_시나리오비교'!$B$13))*SIN(RADIANS('13_시나리오비교'!$C$13))+$H106*SIN(RADIANS('13_시나리오비교'!$B$13))*COS(RADIANS('13_시나리오비교'!$C$13))+$I106*COS(RADIANS('13_시나리오비교'!$B$13))),0)</f>
        <v/>
      </c>
      <c r="Y106" s="80">
        <f>IF($I106&gt;0,MAX(0,$G106*SIN(RADIANS('13_시나리오비교'!$B$14))*SIN(RADIANS('13_시나리오비교'!$C$14))+$H106*SIN(RADIANS('13_시나리오비교'!$B$14))*COS(RADIANS('13_시나리오비교'!$C$14))+$I106*COS(RADIANS('13_시나리오비교'!$B$14))),0)</f>
        <v/>
      </c>
    </row>
    <row r="107" hidden="1" outlineLevel="1">
      <c r="A107" s="79" t="n">
        <v>1</v>
      </c>
      <c r="B107" s="79" t="n">
        <v>87</v>
      </c>
      <c r="C107" s="80">
        <f>(B107-0.5)*'14_지역·상수'!$H$6</f>
        <v/>
      </c>
      <c r="D107" s="79" t="n">
        <v>17</v>
      </c>
      <c r="E107" s="80">
        <f>INDEX($C$4:$C$15,MATCH(A107,$A$4:$A$15,0))</f>
        <v/>
      </c>
      <c r="F107" s="80">
        <f>15*(C107-12)</f>
        <v/>
      </c>
      <c r="G107" s="80">
        <f>-COS(RADIANS(E107))*SIN(RADIANS(F107))</f>
        <v/>
      </c>
      <c r="H107" s="80">
        <f>COS(RADIANS('11_발전량_모델'!$B$17))*SIN(RADIANS(E107))-SIN(RADIANS('11_발전량_모델'!$B$17))*COS(RADIANS(E107))*COS(RADIANS(F107))</f>
        <v/>
      </c>
      <c r="I107" s="80">
        <f>SIN(RADIANS('11_발전량_모델'!$B$17))*SIN(RADIANS(E107))+COS(RADIANS('11_발전량_모델'!$B$17))*COS(RADIANS(E107))*COS(RADIANS(F107))</f>
        <v/>
      </c>
      <c r="J107" s="80">
        <f>SIN(RADIANS('11_발전량_모델'!$B$7))*SIN(RADIANS('11_발전량_모델'!$B$8))</f>
        <v/>
      </c>
      <c r="K107" s="80">
        <f>SIN(RADIANS('11_발전량_모델'!$B$7))*COS(RADIANS('11_발전량_모델'!$B$8))</f>
        <v/>
      </c>
      <c r="L107" s="80">
        <f>COS(RADIANS('11_발전량_모델'!$B$7))</f>
        <v/>
      </c>
      <c r="M107" s="80">
        <f>G107*J107+H107*K107+I107*L107</f>
        <v/>
      </c>
      <c r="N107" s="80">
        <f>MAX(0,I107)</f>
        <v/>
      </c>
      <c r="O107" s="80">
        <f>IF(I107&gt;0,MAX(0,M107),0)</f>
        <v/>
      </c>
      <c r="P107" s="80">
        <f>IF($I107&gt;0,MAX(0,$G107*SIN(RADIANS('13_시나리오비교'!$B$5))*SIN(RADIANS('13_시나리오비교'!$C$5))+$H107*SIN(RADIANS('13_시나리오비교'!$B$5))*COS(RADIANS('13_시나리오비교'!$C$5))+$I107*COS(RADIANS('13_시나리오비교'!$B$5))),0)</f>
        <v/>
      </c>
      <c r="Q107" s="80">
        <f>IF($I107&gt;0,MAX(0,$G107*SIN(RADIANS('13_시나리오비교'!$B$6))*SIN(RADIANS('13_시나리오비교'!$C$6))+$H107*SIN(RADIANS('13_시나리오비교'!$B$6))*COS(RADIANS('13_시나리오비교'!$C$6))+$I107*COS(RADIANS('13_시나리오비교'!$B$6))),0)</f>
        <v/>
      </c>
      <c r="R107" s="80">
        <f>IF($I107&gt;0,MAX(0,$G107*SIN(RADIANS('13_시나리오비교'!$B$7))*SIN(RADIANS('13_시나리오비교'!$C$7))+$H107*SIN(RADIANS('13_시나리오비교'!$B$7))*COS(RADIANS('13_시나리오비교'!$C$7))+$I107*COS(RADIANS('13_시나리오비교'!$B$7))),0)</f>
        <v/>
      </c>
      <c r="S107" s="80">
        <f>IF($I107&gt;0,MAX(0,$G107*SIN(RADIANS('13_시나리오비교'!$B$8))*SIN(RADIANS('13_시나리오비교'!$C$8))+$H107*SIN(RADIANS('13_시나리오비교'!$B$8))*COS(RADIANS('13_시나리오비교'!$C$8))+$I107*COS(RADIANS('13_시나리오비교'!$B$8))),0)</f>
        <v/>
      </c>
      <c r="T107" s="80">
        <f>IF($I107&gt;0,MAX(0,$G107*SIN(RADIANS('13_시나리오비교'!$B$9))*SIN(RADIANS('13_시나리오비교'!$C$9))+$H107*SIN(RADIANS('13_시나리오비교'!$B$9))*COS(RADIANS('13_시나리오비교'!$C$9))+$I107*COS(RADIANS('13_시나리오비교'!$B$9))),0)</f>
        <v/>
      </c>
      <c r="U107" s="80">
        <f>IF($I107&gt;0,MAX(0,$G107*SIN(RADIANS('13_시나리오비교'!$B$10))*SIN(RADIANS('13_시나리오비교'!$C$10))+$H107*SIN(RADIANS('13_시나리오비교'!$B$10))*COS(RADIANS('13_시나리오비교'!$C$10))+$I107*COS(RADIANS('13_시나리오비교'!$B$10))),0)</f>
        <v/>
      </c>
      <c r="V107" s="80">
        <f>IF($I107&gt;0,MAX(0,$G107*SIN(RADIANS('13_시나리오비교'!$B$11))*SIN(RADIANS('13_시나리오비교'!$C$11))+$H107*SIN(RADIANS('13_시나리오비교'!$B$11))*COS(RADIANS('13_시나리오비교'!$C$11))+$I107*COS(RADIANS('13_시나리오비교'!$B$11))),0)</f>
        <v/>
      </c>
      <c r="W107" s="80">
        <f>IF($I107&gt;0,MAX(0,$G107*SIN(RADIANS('13_시나리오비교'!$B$12))*SIN(RADIANS('13_시나리오비교'!$C$12))+$H107*SIN(RADIANS('13_시나리오비교'!$B$12))*COS(RADIANS('13_시나리오비교'!$C$12))+$I107*COS(RADIANS('13_시나리오비교'!$B$12))),0)</f>
        <v/>
      </c>
      <c r="X107" s="80">
        <f>IF($I107&gt;0,MAX(0,$G107*SIN(RADIANS('13_시나리오비교'!$B$13))*SIN(RADIANS('13_시나리오비교'!$C$13))+$H107*SIN(RADIANS('13_시나리오비교'!$B$13))*COS(RADIANS('13_시나리오비교'!$C$13))+$I107*COS(RADIANS('13_시나리오비교'!$B$13))),0)</f>
        <v/>
      </c>
      <c r="Y107" s="80">
        <f>IF($I107&gt;0,MAX(0,$G107*SIN(RADIANS('13_시나리오비교'!$B$14))*SIN(RADIANS('13_시나리오비교'!$C$14))+$H107*SIN(RADIANS('13_시나리오비교'!$B$14))*COS(RADIANS('13_시나리오비교'!$C$14))+$I107*COS(RADIANS('13_시나리오비교'!$B$14))),0)</f>
        <v/>
      </c>
    </row>
    <row r="108" hidden="1" outlineLevel="1">
      <c r="A108" s="79" t="n">
        <v>1</v>
      </c>
      <c r="B108" s="79" t="n">
        <v>88</v>
      </c>
      <c r="C108" s="80">
        <f>(B108-0.5)*'14_지역·상수'!$H$6</f>
        <v/>
      </c>
      <c r="D108" s="79" t="n">
        <v>17</v>
      </c>
      <c r="E108" s="80">
        <f>INDEX($C$4:$C$15,MATCH(A108,$A$4:$A$15,0))</f>
        <v/>
      </c>
      <c r="F108" s="80">
        <f>15*(C108-12)</f>
        <v/>
      </c>
      <c r="G108" s="80">
        <f>-COS(RADIANS(E108))*SIN(RADIANS(F108))</f>
        <v/>
      </c>
      <c r="H108" s="80">
        <f>COS(RADIANS('11_발전량_모델'!$B$17))*SIN(RADIANS(E108))-SIN(RADIANS('11_발전량_모델'!$B$17))*COS(RADIANS(E108))*COS(RADIANS(F108))</f>
        <v/>
      </c>
      <c r="I108" s="80">
        <f>SIN(RADIANS('11_발전량_모델'!$B$17))*SIN(RADIANS(E108))+COS(RADIANS('11_발전량_모델'!$B$17))*COS(RADIANS(E108))*COS(RADIANS(F108))</f>
        <v/>
      </c>
      <c r="J108" s="80">
        <f>SIN(RADIANS('11_발전량_모델'!$B$7))*SIN(RADIANS('11_발전량_모델'!$B$8))</f>
        <v/>
      </c>
      <c r="K108" s="80">
        <f>SIN(RADIANS('11_발전량_모델'!$B$7))*COS(RADIANS('11_발전량_모델'!$B$8))</f>
        <v/>
      </c>
      <c r="L108" s="80">
        <f>COS(RADIANS('11_발전량_모델'!$B$7))</f>
        <v/>
      </c>
      <c r="M108" s="80">
        <f>G108*J108+H108*K108+I108*L108</f>
        <v/>
      </c>
      <c r="N108" s="80">
        <f>MAX(0,I108)</f>
        <v/>
      </c>
      <c r="O108" s="80">
        <f>IF(I108&gt;0,MAX(0,M108),0)</f>
        <v/>
      </c>
      <c r="P108" s="80">
        <f>IF($I108&gt;0,MAX(0,$G108*SIN(RADIANS('13_시나리오비교'!$B$5))*SIN(RADIANS('13_시나리오비교'!$C$5))+$H108*SIN(RADIANS('13_시나리오비교'!$B$5))*COS(RADIANS('13_시나리오비교'!$C$5))+$I108*COS(RADIANS('13_시나리오비교'!$B$5))),0)</f>
        <v/>
      </c>
      <c r="Q108" s="80">
        <f>IF($I108&gt;0,MAX(0,$G108*SIN(RADIANS('13_시나리오비교'!$B$6))*SIN(RADIANS('13_시나리오비교'!$C$6))+$H108*SIN(RADIANS('13_시나리오비교'!$B$6))*COS(RADIANS('13_시나리오비교'!$C$6))+$I108*COS(RADIANS('13_시나리오비교'!$B$6))),0)</f>
        <v/>
      </c>
      <c r="R108" s="80">
        <f>IF($I108&gt;0,MAX(0,$G108*SIN(RADIANS('13_시나리오비교'!$B$7))*SIN(RADIANS('13_시나리오비교'!$C$7))+$H108*SIN(RADIANS('13_시나리오비교'!$B$7))*COS(RADIANS('13_시나리오비교'!$C$7))+$I108*COS(RADIANS('13_시나리오비교'!$B$7))),0)</f>
        <v/>
      </c>
      <c r="S108" s="80">
        <f>IF($I108&gt;0,MAX(0,$G108*SIN(RADIANS('13_시나리오비교'!$B$8))*SIN(RADIANS('13_시나리오비교'!$C$8))+$H108*SIN(RADIANS('13_시나리오비교'!$B$8))*COS(RADIANS('13_시나리오비교'!$C$8))+$I108*COS(RADIANS('13_시나리오비교'!$B$8))),0)</f>
        <v/>
      </c>
      <c r="T108" s="80">
        <f>IF($I108&gt;0,MAX(0,$G108*SIN(RADIANS('13_시나리오비교'!$B$9))*SIN(RADIANS('13_시나리오비교'!$C$9))+$H108*SIN(RADIANS('13_시나리오비교'!$B$9))*COS(RADIANS('13_시나리오비교'!$C$9))+$I108*COS(RADIANS('13_시나리오비교'!$B$9))),0)</f>
        <v/>
      </c>
      <c r="U108" s="80">
        <f>IF($I108&gt;0,MAX(0,$G108*SIN(RADIANS('13_시나리오비교'!$B$10))*SIN(RADIANS('13_시나리오비교'!$C$10))+$H108*SIN(RADIANS('13_시나리오비교'!$B$10))*COS(RADIANS('13_시나리오비교'!$C$10))+$I108*COS(RADIANS('13_시나리오비교'!$B$10))),0)</f>
        <v/>
      </c>
      <c r="V108" s="80">
        <f>IF($I108&gt;0,MAX(0,$G108*SIN(RADIANS('13_시나리오비교'!$B$11))*SIN(RADIANS('13_시나리오비교'!$C$11))+$H108*SIN(RADIANS('13_시나리오비교'!$B$11))*COS(RADIANS('13_시나리오비교'!$C$11))+$I108*COS(RADIANS('13_시나리오비교'!$B$11))),0)</f>
        <v/>
      </c>
      <c r="W108" s="80">
        <f>IF($I108&gt;0,MAX(0,$G108*SIN(RADIANS('13_시나리오비교'!$B$12))*SIN(RADIANS('13_시나리오비교'!$C$12))+$H108*SIN(RADIANS('13_시나리오비교'!$B$12))*COS(RADIANS('13_시나리오비교'!$C$12))+$I108*COS(RADIANS('13_시나리오비교'!$B$12))),0)</f>
        <v/>
      </c>
      <c r="X108" s="80">
        <f>IF($I108&gt;0,MAX(0,$G108*SIN(RADIANS('13_시나리오비교'!$B$13))*SIN(RADIANS('13_시나리오비교'!$C$13))+$H108*SIN(RADIANS('13_시나리오비교'!$B$13))*COS(RADIANS('13_시나리오비교'!$C$13))+$I108*COS(RADIANS('13_시나리오비교'!$B$13))),0)</f>
        <v/>
      </c>
      <c r="Y108" s="80">
        <f>IF($I108&gt;0,MAX(0,$G108*SIN(RADIANS('13_시나리오비교'!$B$14))*SIN(RADIANS('13_시나리오비교'!$C$14))+$H108*SIN(RADIANS('13_시나리오비교'!$B$14))*COS(RADIANS('13_시나리오비교'!$C$14))+$I108*COS(RADIANS('13_시나리오비교'!$B$14))),0)</f>
        <v/>
      </c>
    </row>
    <row r="109" hidden="1" outlineLevel="1">
      <c r="A109" s="79" t="n">
        <v>1</v>
      </c>
      <c r="B109" s="79" t="n">
        <v>89</v>
      </c>
      <c r="C109" s="80">
        <f>(B109-0.5)*'14_지역·상수'!$H$6</f>
        <v/>
      </c>
      <c r="D109" s="79" t="n">
        <v>17</v>
      </c>
      <c r="E109" s="80">
        <f>INDEX($C$4:$C$15,MATCH(A109,$A$4:$A$15,0))</f>
        <v/>
      </c>
      <c r="F109" s="80">
        <f>15*(C109-12)</f>
        <v/>
      </c>
      <c r="G109" s="80">
        <f>-COS(RADIANS(E109))*SIN(RADIANS(F109))</f>
        <v/>
      </c>
      <c r="H109" s="80">
        <f>COS(RADIANS('11_발전량_모델'!$B$17))*SIN(RADIANS(E109))-SIN(RADIANS('11_발전량_모델'!$B$17))*COS(RADIANS(E109))*COS(RADIANS(F109))</f>
        <v/>
      </c>
      <c r="I109" s="80">
        <f>SIN(RADIANS('11_발전량_모델'!$B$17))*SIN(RADIANS(E109))+COS(RADIANS('11_발전량_모델'!$B$17))*COS(RADIANS(E109))*COS(RADIANS(F109))</f>
        <v/>
      </c>
      <c r="J109" s="80">
        <f>SIN(RADIANS('11_발전량_모델'!$B$7))*SIN(RADIANS('11_발전량_모델'!$B$8))</f>
        <v/>
      </c>
      <c r="K109" s="80">
        <f>SIN(RADIANS('11_발전량_모델'!$B$7))*COS(RADIANS('11_발전량_모델'!$B$8))</f>
        <v/>
      </c>
      <c r="L109" s="80">
        <f>COS(RADIANS('11_발전량_모델'!$B$7))</f>
        <v/>
      </c>
      <c r="M109" s="80">
        <f>G109*J109+H109*K109+I109*L109</f>
        <v/>
      </c>
      <c r="N109" s="80">
        <f>MAX(0,I109)</f>
        <v/>
      </c>
      <c r="O109" s="80">
        <f>IF(I109&gt;0,MAX(0,M109),0)</f>
        <v/>
      </c>
      <c r="P109" s="80">
        <f>IF($I109&gt;0,MAX(0,$G109*SIN(RADIANS('13_시나리오비교'!$B$5))*SIN(RADIANS('13_시나리오비교'!$C$5))+$H109*SIN(RADIANS('13_시나리오비교'!$B$5))*COS(RADIANS('13_시나리오비교'!$C$5))+$I109*COS(RADIANS('13_시나리오비교'!$B$5))),0)</f>
        <v/>
      </c>
      <c r="Q109" s="80">
        <f>IF($I109&gt;0,MAX(0,$G109*SIN(RADIANS('13_시나리오비교'!$B$6))*SIN(RADIANS('13_시나리오비교'!$C$6))+$H109*SIN(RADIANS('13_시나리오비교'!$B$6))*COS(RADIANS('13_시나리오비교'!$C$6))+$I109*COS(RADIANS('13_시나리오비교'!$B$6))),0)</f>
        <v/>
      </c>
      <c r="R109" s="80">
        <f>IF($I109&gt;0,MAX(0,$G109*SIN(RADIANS('13_시나리오비교'!$B$7))*SIN(RADIANS('13_시나리오비교'!$C$7))+$H109*SIN(RADIANS('13_시나리오비교'!$B$7))*COS(RADIANS('13_시나리오비교'!$C$7))+$I109*COS(RADIANS('13_시나리오비교'!$B$7))),0)</f>
        <v/>
      </c>
      <c r="S109" s="80">
        <f>IF($I109&gt;0,MAX(0,$G109*SIN(RADIANS('13_시나리오비교'!$B$8))*SIN(RADIANS('13_시나리오비교'!$C$8))+$H109*SIN(RADIANS('13_시나리오비교'!$B$8))*COS(RADIANS('13_시나리오비교'!$C$8))+$I109*COS(RADIANS('13_시나리오비교'!$B$8))),0)</f>
        <v/>
      </c>
      <c r="T109" s="80">
        <f>IF($I109&gt;0,MAX(0,$G109*SIN(RADIANS('13_시나리오비교'!$B$9))*SIN(RADIANS('13_시나리오비교'!$C$9))+$H109*SIN(RADIANS('13_시나리오비교'!$B$9))*COS(RADIANS('13_시나리오비교'!$C$9))+$I109*COS(RADIANS('13_시나리오비교'!$B$9))),0)</f>
        <v/>
      </c>
      <c r="U109" s="80">
        <f>IF($I109&gt;0,MAX(0,$G109*SIN(RADIANS('13_시나리오비교'!$B$10))*SIN(RADIANS('13_시나리오비교'!$C$10))+$H109*SIN(RADIANS('13_시나리오비교'!$B$10))*COS(RADIANS('13_시나리오비교'!$C$10))+$I109*COS(RADIANS('13_시나리오비교'!$B$10))),0)</f>
        <v/>
      </c>
      <c r="V109" s="80">
        <f>IF($I109&gt;0,MAX(0,$G109*SIN(RADIANS('13_시나리오비교'!$B$11))*SIN(RADIANS('13_시나리오비교'!$C$11))+$H109*SIN(RADIANS('13_시나리오비교'!$B$11))*COS(RADIANS('13_시나리오비교'!$C$11))+$I109*COS(RADIANS('13_시나리오비교'!$B$11))),0)</f>
        <v/>
      </c>
      <c r="W109" s="80">
        <f>IF($I109&gt;0,MAX(0,$G109*SIN(RADIANS('13_시나리오비교'!$B$12))*SIN(RADIANS('13_시나리오비교'!$C$12))+$H109*SIN(RADIANS('13_시나리오비교'!$B$12))*COS(RADIANS('13_시나리오비교'!$C$12))+$I109*COS(RADIANS('13_시나리오비교'!$B$12))),0)</f>
        <v/>
      </c>
      <c r="X109" s="80">
        <f>IF($I109&gt;0,MAX(0,$G109*SIN(RADIANS('13_시나리오비교'!$B$13))*SIN(RADIANS('13_시나리오비교'!$C$13))+$H109*SIN(RADIANS('13_시나리오비교'!$B$13))*COS(RADIANS('13_시나리오비교'!$C$13))+$I109*COS(RADIANS('13_시나리오비교'!$B$13))),0)</f>
        <v/>
      </c>
      <c r="Y109" s="80">
        <f>IF($I109&gt;0,MAX(0,$G109*SIN(RADIANS('13_시나리오비교'!$B$14))*SIN(RADIANS('13_시나리오비교'!$C$14))+$H109*SIN(RADIANS('13_시나리오비교'!$B$14))*COS(RADIANS('13_시나리오비교'!$C$14))+$I109*COS(RADIANS('13_시나리오비교'!$B$14))),0)</f>
        <v/>
      </c>
    </row>
    <row r="110" hidden="1" outlineLevel="1">
      <c r="A110" s="79" t="n">
        <v>1</v>
      </c>
      <c r="B110" s="79" t="n">
        <v>90</v>
      </c>
      <c r="C110" s="80">
        <f>(B110-0.5)*'14_지역·상수'!$H$6</f>
        <v/>
      </c>
      <c r="D110" s="79" t="n">
        <v>17</v>
      </c>
      <c r="E110" s="80">
        <f>INDEX($C$4:$C$15,MATCH(A110,$A$4:$A$15,0))</f>
        <v/>
      </c>
      <c r="F110" s="80">
        <f>15*(C110-12)</f>
        <v/>
      </c>
      <c r="G110" s="80">
        <f>-COS(RADIANS(E110))*SIN(RADIANS(F110))</f>
        <v/>
      </c>
      <c r="H110" s="80">
        <f>COS(RADIANS('11_발전량_모델'!$B$17))*SIN(RADIANS(E110))-SIN(RADIANS('11_발전량_모델'!$B$17))*COS(RADIANS(E110))*COS(RADIANS(F110))</f>
        <v/>
      </c>
      <c r="I110" s="80">
        <f>SIN(RADIANS('11_발전량_모델'!$B$17))*SIN(RADIANS(E110))+COS(RADIANS('11_발전량_모델'!$B$17))*COS(RADIANS(E110))*COS(RADIANS(F110))</f>
        <v/>
      </c>
      <c r="J110" s="80">
        <f>SIN(RADIANS('11_발전량_모델'!$B$7))*SIN(RADIANS('11_발전량_모델'!$B$8))</f>
        <v/>
      </c>
      <c r="K110" s="80">
        <f>SIN(RADIANS('11_발전량_모델'!$B$7))*COS(RADIANS('11_발전량_모델'!$B$8))</f>
        <v/>
      </c>
      <c r="L110" s="80">
        <f>COS(RADIANS('11_발전량_모델'!$B$7))</f>
        <v/>
      </c>
      <c r="M110" s="80">
        <f>G110*J110+H110*K110+I110*L110</f>
        <v/>
      </c>
      <c r="N110" s="80">
        <f>MAX(0,I110)</f>
        <v/>
      </c>
      <c r="O110" s="80">
        <f>IF(I110&gt;0,MAX(0,M110),0)</f>
        <v/>
      </c>
      <c r="P110" s="80">
        <f>IF($I110&gt;0,MAX(0,$G110*SIN(RADIANS('13_시나리오비교'!$B$5))*SIN(RADIANS('13_시나리오비교'!$C$5))+$H110*SIN(RADIANS('13_시나리오비교'!$B$5))*COS(RADIANS('13_시나리오비교'!$C$5))+$I110*COS(RADIANS('13_시나리오비교'!$B$5))),0)</f>
        <v/>
      </c>
      <c r="Q110" s="80">
        <f>IF($I110&gt;0,MAX(0,$G110*SIN(RADIANS('13_시나리오비교'!$B$6))*SIN(RADIANS('13_시나리오비교'!$C$6))+$H110*SIN(RADIANS('13_시나리오비교'!$B$6))*COS(RADIANS('13_시나리오비교'!$C$6))+$I110*COS(RADIANS('13_시나리오비교'!$B$6))),0)</f>
        <v/>
      </c>
      <c r="R110" s="80">
        <f>IF($I110&gt;0,MAX(0,$G110*SIN(RADIANS('13_시나리오비교'!$B$7))*SIN(RADIANS('13_시나리오비교'!$C$7))+$H110*SIN(RADIANS('13_시나리오비교'!$B$7))*COS(RADIANS('13_시나리오비교'!$C$7))+$I110*COS(RADIANS('13_시나리오비교'!$B$7))),0)</f>
        <v/>
      </c>
      <c r="S110" s="80">
        <f>IF($I110&gt;0,MAX(0,$G110*SIN(RADIANS('13_시나리오비교'!$B$8))*SIN(RADIANS('13_시나리오비교'!$C$8))+$H110*SIN(RADIANS('13_시나리오비교'!$B$8))*COS(RADIANS('13_시나리오비교'!$C$8))+$I110*COS(RADIANS('13_시나리오비교'!$B$8))),0)</f>
        <v/>
      </c>
      <c r="T110" s="80">
        <f>IF($I110&gt;0,MAX(0,$G110*SIN(RADIANS('13_시나리오비교'!$B$9))*SIN(RADIANS('13_시나리오비교'!$C$9))+$H110*SIN(RADIANS('13_시나리오비교'!$B$9))*COS(RADIANS('13_시나리오비교'!$C$9))+$I110*COS(RADIANS('13_시나리오비교'!$B$9))),0)</f>
        <v/>
      </c>
      <c r="U110" s="80">
        <f>IF($I110&gt;0,MAX(0,$G110*SIN(RADIANS('13_시나리오비교'!$B$10))*SIN(RADIANS('13_시나리오비교'!$C$10))+$H110*SIN(RADIANS('13_시나리오비교'!$B$10))*COS(RADIANS('13_시나리오비교'!$C$10))+$I110*COS(RADIANS('13_시나리오비교'!$B$10))),0)</f>
        <v/>
      </c>
      <c r="V110" s="80">
        <f>IF($I110&gt;0,MAX(0,$G110*SIN(RADIANS('13_시나리오비교'!$B$11))*SIN(RADIANS('13_시나리오비교'!$C$11))+$H110*SIN(RADIANS('13_시나리오비교'!$B$11))*COS(RADIANS('13_시나리오비교'!$C$11))+$I110*COS(RADIANS('13_시나리오비교'!$B$11))),0)</f>
        <v/>
      </c>
      <c r="W110" s="80">
        <f>IF($I110&gt;0,MAX(0,$G110*SIN(RADIANS('13_시나리오비교'!$B$12))*SIN(RADIANS('13_시나리오비교'!$C$12))+$H110*SIN(RADIANS('13_시나리오비교'!$B$12))*COS(RADIANS('13_시나리오비교'!$C$12))+$I110*COS(RADIANS('13_시나리오비교'!$B$12))),0)</f>
        <v/>
      </c>
      <c r="X110" s="80">
        <f>IF($I110&gt;0,MAX(0,$G110*SIN(RADIANS('13_시나리오비교'!$B$13))*SIN(RADIANS('13_시나리오비교'!$C$13))+$H110*SIN(RADIANS('13_시나리오비교'!$B$13))*COS(RADIANS('13_시나리오비교'!$C$13))+$I110*COS(RADIANS('13_시나리오비교'!$B$13))),0)</f>
        <v/>
      </c>
      <c r="Y110" s="80">
        <f>IF($I110&gt;0,MAX(0,$G110*SIN(RADIANS('13_시나리오비교'!$B$14))*SIN(RADIANS('13_시나리오비교'!$C$14))+$H110*SIN(RADIANS('13_시나리오비교'!$B$14))*COS(RADIANS('13_시나리오비교'!$C$14))+$I110*COS(RADIANS('13_시나리오비교'!$B$14))),0)</f>
        <v/>
      </c>
    </row>
    <row r="111" hidden="1" outlineLevel="1">
      <c r="A111" s="79" t="n">
        <v>1</v>
      </c>
      <c r="B111" s="79" t="n">
        <v>91</v>
      </c>
      <c r="C111" s="80">
        <f>(B111-0.5)*'14_지역·상수'!$H$6</f>
        <v/>
      </c>
      <c r="D111" s="79" t="n">
        <v>17</v>
      </c>
      <c r="E111" s="80">
        <f>INDEX($C$4:$C$15,MATCH(A111,$A$4:$A$15,0))</f>
        <v/>
      </c>
      <c r="F111" s="80">
        <f>15*(C111-12)</f>
        <v/>
      </c>
      <c r="G111" s="80">
        <f>-COS(RADIANS(E111))*SIN(RADIANS(F111))</f>
        <v/>
      </c>
      <c r="H111" s="80">
        <f>COS(RADIANS('11_발전량_모델'!$B$17))*SIN(RADIANS(E111))-SIN(RADIANS('11_발전량_모델'!$B$17))*COS(RADIANS(E111))*COS(RADIANS(F111))</f>
        <v/>
      </c>
      <c r="I111" s="80">
        <f>SIN(RADIANS('11_발전량_모델'!$B$17))*SIN(RADIANS(E111))+COS(RADIANS('11_발전량_모델'!$B$17))*COS(RADIANS(E111))*COS(RADIANS(F111))</f>
        <v/>
      </c>
      <c r="J111" s="80">
        <f>SIN(RADIANS('11_발전량_모델'!$B$7))*SIN(RADIANS('11_발전량_모델'!$B$8))</f>
        <v/>
      </c>
      <c r="K111" s="80">
        <f>SIN(RADIANS('11_발전량_모델'!$B$7))*COS(RADIANS('11_발전량_모델'!$B$8))</f>
        <v/>
      </c>
      <c r="L111" s="80">
        <f>COS(RADIANS('11_발전량_모델'!$B$7))</f>
        <v/>
      </c>
      <c r="M111" s="80">
        <f>G111*J111+H111*K111+I111*L111</f>
        <v/>
      </c>
      <c r="N111" s="80">
        <f>MAX(0,I111)</f>
        <v/>
      </c>
      <c r="O111" s="80">
        <f>IF(I111&gt;0,MAX(0,M111),0)</f>
        <v/>
      </c>
      <c r="P111" s="80">
        <f>IF($I111&gt;0,MAX(0,$G111*SIN(RADIANS('13_시나리오비교'!$B$5))*SIN(RADIANS('13_시나리오비교'!$C$5))+$H111*SIN(RADIANS('13_시나리오비교'!$B$5))*COS(RADIANS('13_시나리오비교'!$C$5))+$I111*COS(RADIANS('13_시나리오비교'!$B$5))),0)</f>
        <v/>
      </c>
      <c r="Q111" s="80">
        <f>IF($I111&gt;0,MAX(0,$G111*SIN(RADIANS('13_시나리오비교'!$B$6))*SIN(RADIANS('13_시나리오비교'!$C$6))+$H111*SIN(RADIANS('13_시나리오비교'!$B$6))*COS(RADIANS('13_시나리오비교'!$C$6))+$I111*COS(RADIANS('13_시나리오비교'!$B$6))),0)</f>
        <v/>
      </c>
      <c r="R111" s="80">
        <f>IF($I111&gt;0,MAX(0,$G111*SIN(RADIANS('13_시나리오비교'!$B$7))*SIN(RADIANS('13_시나리오비교'!$C$7))+$H111*SIN(RADIANS('13_시나리오비교'!$B$7))*COS(RADIANS('13_시나리오비교'!$C$7))+$I111*COS(RADIANS('13_시나리오비교'!$B$7))),0)</f>
        <v/>
      </c>
      <c r="S111" s="80">
        <f>IF($I111&gt;0,MAX(0,$G111*SIN(RADIANS('13_시나리오비교'!$B$8))*SIN(RADIANS('13_시나리오비교'!$C$8))+$H111*SIN(RADIANS('13_시나리오비교'!$B$8))*COS(RADIANS('13_시나리오비교'!$C$8))+$I111*COS(RADIANS('13_시나리오비교'!$B$8))),0)</f>
        <v/>
      </c>
      <c r="T111" s="80">
        <f>IF($I111&gt;0,MAX(0,$G111*SIN(RADIANS('13_시나리오비교'!$B$9))*SIN(RADIANS('13_시나리오비교'!$C$9))+$H111*SIN(RADIANS('13_시나리오비교'!$B$9))*COS(RADIANS('13_시나리오비교'!$C$9))+$I111*COS(RADIANS('13_시나리오비교'!$B$9))),0)</f>
        <v/>
      </c>
      <c r="U111" s="80">
        <f>IF($I111&gt;0,MAX(0,$G111*SIN(RADIANS('13_시나리오비교'!$B$10))*SIN(RADIANS('13_시나리오비교'!$C$10))+$H111*SIN(RADIANS('13_시나리오비교'!$B$10))*COS(RADIANS('13_시나리오비교'!$C$10))+$I111*COS(RADIANS('13_시나리오비교'!$B$10))),0)</f>
        <v/>
      </c>
      <c r="V111" s="80">
        <f>IF($I111&gt;0,MAX(0,$G111*SIN(RADIANS('13_시나리오비교'!$B$11))*SIN(RADIANS('13_시나리오비교'!$C$11))+$H111*SIN(RADIANS('13_시나리오비교'!$B$11))*COS(RADIANS('13_시나리오비교'!$C$11))+$I111*COS(RADIANS('13_시나리오비교'!$B$11))),0)</f>
        <v/>
      </c>
      <c r="W111" s="80">
        <f>IF($I111&gt;0,MAX(0,$G111*SIN(RADIANS('13_시나리오비교'!$B$12))*SIN(RADIANS('13_시나리오비교'!$C$12))+$H111*SIN(RADIANS('13_시나리오비교'!$B$12))*COS(RADIANS('13_시나리오비교'!$C$12))+$I111*COS(RADIANS('13_시나리오비교'!$B$12))),0)</f>
        <v/>
      </c>
      <c r="X111" s="80">
        <f>IF($I111&gt;0,MAX(0,$G111*SIN(RADIANS('13_시나리오비교'!$B$13))*SIN(RADIANS('13_시나리오비교'!$C$13))+$H111*SIN(RADIANS('13_시나리오비교'!$B$13))*COS(RADIANS('13_시나리오비교'!$C$13))+$I111*COS(RADIANS('13_시나리오비교'!$B$13))),0)</f>
        <v/>
      </c>
      <c r="Y111" s="80">
        <f>IF($I111&gt;0,MAX(0,$G111*SIN(RADIANS('13_시나리오비교'!$B$14))*SIN(RADIANS('13_시나리오비교'!$C$14))+$H111*SIN(RADIANS('13_시나리오비교'!$B$14))*COS(RADIANS('13_시나리오비교'!$C$14))+$I111*COS(RADIANS('13_시나리오비교'!$B$14))),0)</f>
        <v/>
      </c>
    </row>
    <row r="112" hidden="1" outlineLevel="1">
      <c r="A112" s="79" t="n">
        <v>1</v>
      </c>
      <c r="B112" s="79" t="n">
        <v>92</v>
      </c>
      <c r="C112" s="80">
        <f>(B112-0.5)*'14_지역·상수'!$H$6</f>
        <v/>
      </c>
      <c r="D112" s="79" t="n">
        <v>17</v>
      </c>
      <c r="E112" s="80">
        <f>INDEX($C$4:$C$15,MATCH(A112,$A$4:$A$15,0))</f>
        <v/>
      </c>
      <c r="F112" s="80">
        <f>15*(C112-12)</f>
        <v/>
      </c>
      <c r="G112" s="80">
        <f>-COS(RADIANS(E112))*SIN(RADIANS(F112))</f>
        <v/>
      </c>
      <c r="H112" s="80">
        <f>COS(RADIANS('11_발전량_모델'!$B$17))*SIN(RADIANS(E112))-SIN(RADIANS('11_발전량_모델'!$B$17))*COS(RADIANS(E112))*COS(RADIANS(F112))</f>
        <v/>
      </c>
      <c r="I112" s="80">
        <f>SIN(RADIANS('11_발전량_모델'!$B$17))*SIN(RADIANS(E112))+COS(RADIANS('11_발전량_모델'!$B$17))*COS(RADIANS(E112))*COS(RADIANS(F112))</f>
        <v/>
      </c>
      <c r="J112" s="80">
        <f>SIN(RADIANS('11_발전량_모델'!$B$7))*SIN(RADIANS('11_발전량_모델'!$B$8))</f>
        <v/>
      </c>
      <c r="K112" s="80">
        <f>SIN(RADIANS('11_발전량_모델'!$B$7))*COS(RADIANS('11_발전량_모델'!$B$8))</f>
        <v/>
      </c>
      <c r="L112" s="80">
        <f>COS(RADIANS('11_발전량_모델'!$B$7))</f>
        <v/>
      </c>
      <c r="M112" s="80">
        <f>G112*J112+H112*K112+I112*L112</f>
        <v/>
      </c>
      <c r="N112" s="80">
        <f>MAX(0,I112)</f>
        <v/>
      </c>
      <c r="O112" s="80">
        <f>IF(I112&gt;0,MAX(0,M112),0)</f>
        <v/>
      </c>
      <c r="P112" s="80">
        <f>IF($I112&gt;0,MAX(0,$G112*SIN(RADIANS('13_시나리오비교'!$B$5))*SIN(RADIANS('13_시나리오비교'!$C$5))+$H112*SIN(RADIANS('13_시나리오비교'!$B$5))*COS(RADIANS('13_시나리오비교'!$C$5))+$I112*COS(RADIANS('13_시나리오비교'!$B$5))),0)</f>
        <v/>
      </c>
      <c r="Q112" s="80">
        <f>IF($I112&gt;0,MAX(0,$G112*SIN(RADIANS('13_시나리오비교'!$B$6))*SIN(RADIANS('13_시나리오비교'!$C$6))+$H112*SIN(RADIANS('13_시나리오비교'!$B$6))*COS(RADIANS('13_시나리오비교'!$C$6))+$I112*COS(RADIANS('13_시나리오비교'!$B$6))),0)</f>
        <v/>
      </c>
      <c r="R112" s="80">
        <f>IF($I112&gt;0,MAX(0,$G112*SIN(RADIANS('13_시나리오비교'!$B$7))*SIN(RADIANS('13_시나리오비교'!$C$7))+$H112*SIN(RADIANS('13_시나리오비교'!$B$7))*COS(RADIANS('13_시나리오비교'!$C$7))+$I112*COS(RADIANS('13_시나리오비교'!$B$7))),0)</f>
        <v/>
      </c>
      <c r="S112" s="80">
        <f>IF($I112&gt;0,MAX(0,$G112*SIN(RADIANS('13_시나리오비교'!$B$8))*SIN(RADIANS('13_시나리오비교'!$C$8))+$H112*SIN(RADIANS('13_시나리오비교'!$B$8))*COS(RADIANS('13_시나리오비교'!$C$8))+$I112*COS(RADIANS('13_시나리오비교'!$B$8))),0)</f>
        <v/>
      </c>
      <c r="T112" s="80">
        <f>IF($I112&gt;0,MAX(0,$G112*SIN(RADIANS('13_시나리오비교'!$B$9))*SIN(RADIANS('13_시나리오비교'!$C$9))+$H112*SIN(RADIANS('13_시나리오비교'!$B$9))*COS(RADIANS('13_시나리오비교'!$C$9))+$I112*COS(RADIANS('13_시나리오비교'!$B$9))),0)</f>
        <v/>
      </c>
      <c r="U112" s="80">
        <f>IF($I112&gt;0,MAX(0,$G112*SIN(RADIANS('13_시나리오비교'!$B$10))*SIN(RADIANS('13_시나리오비교'!$C$10))+$H112*SIN(RADIANS('13_시나리오비교'!$B$10))*COS(RADIANS('13_시나리오비교'!$C$10))+$I112*COS(RADIANS('13_시나리오비교'!$B$10))),0)</f>
        <v/>
      </c>
      <c r="V112" s="80">
        <f>IF($I112&gt;0,MAX(0,$G112*SIN(RADIANS('13_시나리오비교'!$B$11))*SIN(RADIANS('13_시나리오비교'!$C$11))+$H112*SIN(RADIANS('13_시나리오비교'!$B$11))*COS(RADIANS('13_시나리오비교'!$C$11))+$I112*COS(RADIANS('13_시나리오비교'!$B$11))),0)</f>
        <v/>
      </c>
      <c r="W112" s="80">
        <f>IF($I112&gt;0,MAX(0,$G112*SIN(RADIANS('13_시나리오비교'!$B$12))*SIN(RADIANS('13_시나리오비교'!$C$12))+$H112*SIN(RADIANS('13_시나리오비교'!$B$12))*COS(RADIANS('13_시나리오비교'!$C$12))+$I112*COS(RADIANS('13_시나리오비교'!$B$12))),0)</f>
        <v/>
      </c>
      <c r="X112" s="80">
        <f>IF($I112&gt;0,MAX(0,$G112*SIN(RADIANS('13_시나리오비교'!$B$13))*SIN(RADIANS('13_시나리오비교'!$C$13))+$H112*SIN(RADIANS('13_시나리오비교'!$B$13))*COS(RADIANS('13_시나리오비교'!$C$13))+$I112*COS(RADIANS('13_시나리오비교'!$B$13))),0)</f>
        <v/>
      </c>
      <c r="Y112" s="80">
        <f>IF($I112&gt;0,MAX(0,$G112*SIN(RADIANS('13_시나리오비교'!$B$14))*SIN(RADIANS('13_시나리오비교'!$C$14))+$H112*SIN(RADIANS('13_시나리오비교'!$B$14))*COS(RADIANS('13_시나리오비교'!$C$14))+$I112*COS(RADIANS('13_시나리오비교'!$B$14))),0)</f>
        <v/>
      </c>
    </row>
    <row r="113" hidden="1" outlineLevel="1">
      <c r="A113" s="79" t="n">
        <v>1</v>
      </c>
      <c r="B113" s="79" t="n">
        <v>93</v>
      </c>
      <c r="C113" s="80">
        <f>(B113-0.5)*'14_지역·상수'!$H$6</f>
        <v/>
      </c>
      <c r="D113" s="79" t="n">
        <v>17</v>
      </c>
      <c r="E113" s="80">
        <f>INDEX($C$4:$C$15,MATCH(A113,$A$4:$A$15,0))</f>
        <v/>
      </c>
      <c r="F113" s="80">
        <f>15*(C113-12)</f>
        <v/>
      </c>
      <c r="G113" s="80">
        <f>-COS(RADIANS(E113))*SIN(RADIANS(F113))</f>
        <v/>
      </c>
      <c r="H113" s="80">
        <f>COS(RADIANS('11_발전량_모델'!$B$17))*SIN(RADIANS(E113))-SIN(RADIANS('11_발전량_모델'!$B$17))*COS(RADIANS(E113))*COS(RADIANS(F113))</f>
        <v/>
      </c>
      <c r="I113" s="80">
        <f>SIN(RADIANS('11_발전량_모델'!$B$17))*SIN(RADIANS(E113))+COS(RADIANS('11_발전량_모델'!$B$17))*COS(RADIANS(E113))*COS(RADIANS(F113))</f>
        <v/>
      </c>
      <c r="J113" s="80">
        <f>SIN(RADIANS('11_발전량_모델'!$B$7))*SIN(RADIANS('11_발전량_모델'!$B$8))</f>
        <v/>
      </c>
      <c r="K113" s="80">
        <f>SIN(RADIANS('11_발전량_모델'!$B$7))*COS(RADIANS('11_발전량_모델'!$B$8))</f>
        <v/>
      </c>
      <c r="L113" s="80">
        <f>COS(RADIANS('11_발전량_모델'!$B$7))</f>
        <v/>
      </c>
      <c r="M113" s="80">
        <f>G113*J113+H113*K113+I113*L113</f>
        <v/>
      </c>
      <c r="N113" s="80">
        <f>MAX(0,I113)</f>
        <v/>
      </c>
      <c r="O113" s="80">
        <f>IF(I113&gt;0,MAX(0,M113),0)</f>
        <v/>
      </c>
      <c r="P113" s="80">
        <f>IF($I113&gt;0,MAX(0,$G113*SIN(RADIANS('13_시나리오비교'!$B$5))*SIN(RADIANS('13_시나리오비교'!$C$5))+$H113*SIN(RADIANS('13_시나리오비교'!$B$5))*COS(RADIANS('13_시나리오비교'!$C$5))+$I113*COS(RADIANS('13_시나리오비교'!$B$5))),0)</f>
        <v/>
      </c>
      <c r="Q113" s="80">
        <f>IF($I113&gt;0,MAX(0,$G113*SIN(RADIANS('13_시나리오비교'!$B$6))*SIN(RADIANS('13_시나리오비교'!$C$6))+$H113*SIN(RADIANS('13_시나리오비교'!$B$6))*COS(RADIANS('13_시나리오비교'!$C$6))+$I113*COS(RADIANS('13_시나리오비교'!$B$6))),0)</f>
        <v/>
      </c>
      <c r="R113" s="80">
        <f>IF($I113&gt;0,MAX(0,$G113*SIN(RADIANS('13_시나리오비교'!$B$7))*SIN(RADIANS('13_시나리오비교'!$C$7))+$H113*SIN(RADIANS('13_시나리오비교'!$B$7))*COS(RADIANS('13_시나리오비교'!$C$7))+$I113*COS(RADIANS('13_시나리오비교'!$B$7))),0)</f>
        <v/>
      </c>
      <c r="S113" s="80">
        <f>IF($I113&gt;0,MAX(0,$G113*SIN(RADIANS('13_시나리오비교'!$B$8))*SIN(RADIANS('13_시나리오비교'!$C$8))+$H113*SIN(RADIANS('13_시나리오비교'!$B$8))*COS(RADIANS('13_시나리오비교'!$C$8))+$I113*COS(RADIANS('13_시나리오비교'!$B$8))),0)</f>
        <v/>
      </c>
      <c r="T113" s="80">
        <f>IF($I113&gt;0,MAX(0,$G113*SIN(RADIANS('13_시나리오비교'!$B$9))*SIN(RADIANS('13_시나리오비교'!$C$9))+$H113*SIN(RADIANS('13_시나리오비교'!$B$9))*COS(RADIANS('13_시나리오비교'!$C$9))+$I113*COS(RADIANS('13_시나리오비교'!$B$9))),0)</f>
        <v/>
      </c>
      <c r="U113" s="80">
        <f>IF($I113&gt;0,MAX(0,$G113*SIN(RADIANS('13_시나리오비교'!$B$10))*SIN(RADIANS('13_시나리오비교'!$C$10))+$H113*SIN(RADIANS('13_시나리오비교'!$B$10))*COS(RADIANS('13_시나리오비교'!$C$10))+$I113*COS(RADIANS('13_시나리오비교'!$B$10))),0)</f>
        <v/>
      </c>
      <c r="V113" s="80">
        <f>IF($I113&gt;0,MAX(0,$G113*SIN(RADIANS('13_시나리오비교'!$B$11))*SIN(RADIANS('13_시나리오비교'!$C$11))+$H113*SIN(RADIANS('13_시나리오비교'!$B$11))*COS(RADIANS('13_시나리오비교'!$C$11))+$I113*COS(RADIANS('13_시나리오비교'!$B$11))),0)</f>
        <v/>
      </c>
      <c r="W113" s="80">
        <f>IF($I113&gt;0,MAX(0,$G113*SIN(RADIANS('13_시나리오비교'!$B$12))*SIN(RADIANS('13_시나리오비교'!$C$12))+$H113*SIN(RADIANS('13_시나리오비교'!$B$12))*COS(RADIANS('13_시나리오비교'!$C$12))+$I113*COS(RADIANS('13_시나리오비교'!$B$12))),0)</f>
        <v/>
      </c>
      <c r="X113" s="80">
        <f>IF($I113&gt;0,MAX(0,$G113*SIN(RADIANS('13_시나리오비교'!$B$13))*SIN(RADIANS('13_시나리오비교'!$C$13))+$H113*SIN(RADIANS('13_시나리오비교'!$B$13))*COS(RADIANS('13_시나리오비교'!$C$13))+$I113*COS(RADIANS('13_시나리오비교'!$B$13))),0)</f>
        <v/>
      </c>
      <c r="Y113" s="80">
        <f>IF($I113&gt;0,MAX(0,$G113*SIN(RADIANS('13_시나리오비교'!$B$14))*SIN(RADIANS('13_시나리오비교'!$C$14))+$H113*SIN(RADIANS('13_시나리오비교'!$B$14))*COS(RADIANS('13_시나리오비교'!$C$14))+$I113*COS(RADIANS('13_시나리오비교'!$B$14))),0)</f>
        <v/>
      </c>
    </row>
    <row r="114" hidden="1" outlineLevel="1">
      <c r="A114" s="79" t="n">
        <v>1</v>
      </c>
      <c r="B114" s="79" t="n">
        <v>94</v>
      </c>
      <c r="C114" s="80">
        <f>(B114-0.5)*'14_지역·상수'!$H$6</f>
        <v/>
      </c>
      <c r="D114" s="79" t="n">
        <v>17</v>
      </c>
      <c r="E114" s="80">
        <f>INDEX($C$4:$C$15,MATCH(A114,$A$4:$A$15,0))</f>
        <v/>
      </c>
      <c r="F114" s="80">
        <f>15*(C114-12)</f>
        <v/>
      </c>
      <c r="G114" s="80">
        <f>-COS(RADIANS(E114))*SIN(RADIANS(F114))</f>
        <v/>
      </c>
      <c r="H114" s="80">
        <f>COS(RADIANS('11_발전량_모델'!$B$17))*SIN(RADIANS(E114))-SIN(RADIANS('11_발전량_모델'!$B$17))*COS(RADIANS(E114))*COS(RADIANS(F114))</f>
        <v/>
      </c>
      <c r="I114" s="80">
        <f>SIN(RADIANS('11_발전량_모델'!$B$17))*SIN(RADIANS(E114))+COS(RADIANS('11_발전량_모델'!$B$17))*COS(RADIANS(E114))*COS(RADIANS(F114))</f>
        <v/>
      </c>
      <c r="J114" s="80">
        <f>SIN(RADIANS('11_발전량_모델'!$B$7))*SIN(RADIANS('11_발전량_모델'!$B$8))</f>
        <v/>
      </c>
      <c r="K114" s="80">
        <f>SIN(RADIANS('11_발전량_모델'!$B$7))*COS(RADIANS('11_발전량_모델'!$B$8))</f>
        <v/>
      </c>
      <c r="L114" s="80">
        <f>COS(RADIANS('11_발전량_모델'!$B$7))</f>
        <v/>
      </c>
      <c r="M114" s="80">
        <f>G114*J114+H114*K114+I114*L114</f>
        <v/>
      </c>
      <c r="N114" s="80">
        <f>MAX(0,I114)</f>
        <v/>
      </c>
      <c r="O114" s="80">
        <f>IF(I114&gt;0,MAX(0,M114),0)</f>
        <v/>
      </c>
      <c r="P114" s="80">
        <f>IF($I114&gt;0,MAX(0,$G114*SIN(RADIANS('13_시나리오비교'!$B$5))*SIN(RADIANS('13_시나리오비교'!$C$5))+$H114*SIN(RADIANS('13_시나리오비교'!$B$5))*COS(RADIANS('13_시나리오비교'!$C$5))+$I114*COS(RADIANS('13_시나리오비교'!$B$5))),0)</f>
        <v/>
      </c>
      <c r="Q114" s="80">
        <f>IF($I114&gt;0,MAX(0,$G114*SIN(RADIANS('13_시나리오비교'!$B$6))*SIN(RADIANS('13_시나리오비교'!$C$6))+$H114*SIN(RADIANS('13_시나리오비교'!$B$6))*COS(RADIANS('13_시나리오비교'!$C$6))+$I114*COS(RADIANS('13_시나리오비교'!$B$6))),0)</f>
        <v/>
      </c>
      <c r="R114" s="80">
        <f>IF($I114&gt;0,MAX(0,$G114*SIN(RADIANS('13_시나리오비교'!$B$7))*SIN(RADIANS('13_시나리오비교'!$C$7))+$H114*SIN(RADIANS('13_시나리오비교'!$B$7))*COS(RADIANS('13_시나리오비교'!$C$7))+$I114*COS(RADIANS('13_시나리오비교'!$B$7))),0)</f>
        <v/>
      </c>
      <c r="S114" s="80">
        <f>IF($I114&gt;0,MAX(0,$G114*SIN(RADIANS('13_시나리오비교'!$B$8))*SIN(RADIANS('13_시나리오비교'!$C$8))+$H114*SIN(RADIANS('13_시나리오비교'!$B$8))*COS(RADIANS('13_시나리오비교'!$C$8))+$I114*COS(RADIANS('13_시나리오비교'!$B$8))),0)</f>
        <v/>
      </c>
      <c r="T114" s="80">
        <f>IF($I114&gt;0,MAX(0,$G114*SIN(RADIANS('13_시나리오비교'!$B$9))*SIN(RADIANS('13_시나리오비교'!$C$9))+$H114*SIN(RADIANS('13_시나리오비교'!$B$9))*COS(RADIANS('13_시나리오비교'!$C$9))+$I114*COS(RADIANS('13_시나리오비교'!$B$9))),0)</f>
        <v/>
      </c>
      <c r="U114" s="80">
        <f>IF($I114&gt;0,MAX(0,$G114*SIN(RADIANS('13_시나리오비교'!$B$10))*SIN(RADIANS('13_시나리오비교'!$C$10))+$H114*SIN(RADIANS('13_시나리오비교'!$B$10))*COS(RADIANS('13_시나리오비교'!$C$10))+$I114*COS(RADIANS('13_시나리오비교'!$B$10))),0)</f>
        <v/>
      </c>
      <c r="V114" s="80">
        <f>IF($I114&gt;0,MAX(0,$G114*SIN(RADIANS('13_시나리오비교'!$B$11))*SIN(RADIANS('13_시나리오비교'!$C$11))+$H114*SIN(RADIANS('13_시나리오비교'!$B$11))*COS(RADIANS('13_시나리오비교'!$C$11))+$I114*COS(RADIANS('13_시나리오비교'!$B$11))),0)</f>
        <v/>
      </c>
      <c r="W114" s="80">
        <f>IF($I114&gt;0,MAX(0,$G114*SIN(RADIANS('13_시나리오비교'!$B$12))*SIN(RADIANS('13_시나리오비교'!$C$12))+$H114*SIN(RADIANS('13_시나리오비교'!$B$12))*COS(RADIANS('13_시나리오비교'!$C$12))+$I114*COS(RADIANS('13_시나리오비교'!$B$12))),0)</f>
        <v/>
      </c>
      <c r="X114" s="80">
        <f>IF($I114&gt;0,MAX(0,$G114*SIN(RADIANS('13_시나리오비교'!$B$13))*SIN(RADIANS('13_시나리오비교'!$C$13))+$H114*SIN(RADIANS('13_시나리오비교'!$B$13))*COS(RADIANS('13_시나리오비교'!$C$13))+$I114*COS(RADIANS('13_시나리오비교'!$B$13))),0)</f>
        <v/>
      </c>
      <c r="Y114" s="80">
        <f>IF($I114&gt;0,MAX(0,$G114*SIN(RADIANS('13_시나리오비교'!$B$14))*SIN(RADIANS('13_시나리오비교'!$C$14))+$H114*SIN(RADIANS('13_시나리오비교'!$B$14))*COS(RADIANS('13_시나리오비교'!$C$14))+$I114*COS(RADIANS('13_시나리오비교'!$B$14))),0)</f>
        <v/>
      </c>
    </row>
    <row r="115" hidden="1" outlineLevel="1">
      <c r="A115" s="79" t="n">
        <v>1</v>
      </c>
      <c r="B115" s="79" t="n">
        <v>95</v>
      </c>
      <c r="C115" s="80">
        <f>(B115-0.5)*'14_지역·상수'!$H$6</f>
        <v/>
      </c>
      <c r="D115" s="79" t="n">
        <v>17</v>
      </c>
      <c r="E115" s="80">
        <f>INDEX($C$4:$C$15,MATCH(A115,$A$4:$A$15,0))</f>
        <v/>
      </c>
      <c r="F115" s="80">
        <f>15*(C115-12)</f>
        <v/>
      </c>
      <c r="G115" s="80">
        <f>-COS(RADIANS(E115))*SIN(RADIANS(F115))</f>
        <v/>
      </c>
      <c r="H115" s="80">
        <f>COS(RADIANS('11_발전량_모델'!$B$17))*SIN(RADIANS(E115))-SIN(RADIANS('11_발전량_모델'!$B$17))*COS(RADIANS(E115))*COS(RADIANS(F115))</f>
        <v/>
      </c>
      <c r="I115" s="80">
        <f>SIN(RADIANS('11_발전량_모델'!$B$17))*SIN(RADIANS(E115))+COS(RADIANS('11_발전량_모델'!$B$17))*COS(RADIANS(E115))*COS(RADIANS(F115))</f>
        <v/>
      </c>
      <c r="J115" s="80">
        <f>SIN(RADIANS('11_발전량_모델'!$B$7))*SIN(RADIANS('11_발전량_모델'!$B$8))</f>
        <v/>
      </c>
      <c r="K115" s="80">
        <f>SIN(RADIANS('11_발전량_모델'!$B$7))*COS(RADIANS('11_발전량_모델'!$B$8))</f>
        <v/>
      </c>
      <c r="L115" s="80">
        <f>COS(RADIANS('11_발전량_모델'!$B$7))</f>
        <v/>
      </c>
      <c r="M115" s="80">
        <f>G115*J115+H115*K115+I115*L115</f>
        <v/>
      </c>
      <c r="N115" s="80">
        <f>MAX(0,I115)</f>
        <v/>
      </c>
      <c r="O115" s="80">
        <f>IF(I115&gt;0,MAX(0,M115),0)</f>
        <v/>
      </c>
      <c r="P115" s="80">
        <f>IF($I115&gt;0,MAX(0,$G115*SIN(RADIANS('13_시나리오비교'!$B$5))*SIN(RADIANS('13_시나리오비교'!$C$5))+$H115*SIN(RADIANS('13_시나리오비교'!$B$5))*COS(RADIANS('13_시나리오비교'!$C$5))+$I115*COS(RADIANS('13_시나리오비교'!$B$5))),0)</f>
        <v/>
      </c>
      <c r="Q115" s="80">
        <f>IF($I115&gt;0,MAX(0,$G115*SIN(RADIANS('13_시나리오비교'!$B$6))*SIN(RADIANS('13_시나리오비교'!$C$6))+$H115*SIN(RADIANS('13_시나리오비교'!$B$6))*COS(RADIANS('13_시나리오비교'!$C$6))+$I115*COS(RADIANS('13_시나리오비교'!$B$6))),0)</f>
        <v/>
      </c>
      <c r="R115" s="80">
        <f>IF($I115&gt;0,MAX(0,$G115*SIN(RADIANS('13_시나리오비교'!$B$7))*SIN(RADIANS('13_시나리오비교'!$C$7))+$H115*SIN(RADIANS('13_시나리오비교'!$B$7))*COS(RADIANS('13_시나리오비교'!$C$7))+$I115*COS(RADIANS('13_시나리오비교'!$B$7))),0)</f>
        <v/>
      </c>
      <c r="S115" s="80">
        <f>IF($I115&gt;0,MAX(0,$G115*SIN(RADIANS('13_시나리오비교'!$B$8))*SIN(RADIANS('13_시나리오비교'!$C$8))+$H115*SIN(RADIANS('13_시나리오비교'!$B$8))*COS(RADIANS('13_시나리오비교'!$C$8))+$I115*COS(RADIANS('13_시나리오비교'!$B$8))),0)</f>
        <v/>
      </c>
      <c r="T115" s="80">
        <f>IF($I115&gt;0,MAX(0,$G115*SIN(RADIANS('13_시나리오비교'!$B$9))*SIN(RADIANS('13_시나리오비교'!$C$9))+$H115*SIN(RADIANS('13_시나리오비교'!$B$9))*COS(RADIANS('13_시나리오비교'!$C$9))+$I115*COS(RADIANS('13_시나리오비교'!$B$9))),0)</f>
        <v/>
      </c>
      <c r="U115" s="80">
        <f>IF($I115&gt;0,MAX(0,$G115*SIN(RADIANS('13_시나리오비교'!$B$10))*SIN(RADIANS('13_시나리오비교'!$C$10))+$H115*SIN(RADIANS('13_시나리오비교'!$B$10))*COS(RADIANS('13_시나리오비교'!$C$10))+$I115*COS(RADIANS('13_시나리오비교'!$B$10))),0)</f>
        <v/>
      </c>
      <c r="V115" s="80">
        <f>IF($I115&gt;0,MAX(0,$G115*SIN(RADIANS('13_시나리오비교'!$B$11))*SIN(RADIANS('13_시나리오비교'!$C$11))+$H115*SIN(RADIANS('13_시나리오비교'!$B$11))*COS(RADIANS('13_시나리오비교'!$C$11))+$I115*COS(RADIANS('13_시나리오비교'!$B$11))),0)</f>
        <v/>
      </c>
      <c r="W115" s="80">
        <f>IF($I115&gt;0,MAX(0,$G115*SIN(RADIANS('13_시나리오비교'!$B$12))*SIN(RADIANS('13_시나리오비교'!$C$12))+$H115*SIN(RADIANS('13_시나리오비교'!$B$12))*COS(RADIANS('13_시나리오비교'!$C$12))+$I115*COS(RADIANS('13_시나리오비교'!$B$12))),0)</f>
        <v/>
      </c>
      <c r="X115" s="80">
        <f>IF($I115&gt;0,MAX(0,$G115*SIN(RADIANS('13_시나리오비교'!$B$13))*SIN(RADIANS('13_시나리오비교'!$C$13))+$H115*SIN(RADIANS('13_시나리오비교'!$B$13))*COS(RADIANS('13_시나리오비교'!$C$13))+$I115*COS(RADIANS('13_시나리오비교'!$B$13))),0)</f>
        <v/>
      </c>
      <c r="Y115" s="80">
        <f>IF($I115&gt;0,MAX(0,$G115*SIN(RADIANS('13_시나리오비교'!$B$14))*SIN(RADIANS('13_시나리오비교'!$C$14))+$H115*SIN(RADIANS('13_시나리오비교'!$B$14))*COS(RADIANS('13_시나리오비교'!$C$14))+$I115*COS(RADIANS('13_시나리오비교'!$B$14))),0)</f>
        <v/>
      </c>
    </row>
    <row r="116" hidden="1" outlineLevel="1">
      <c r="A116" s="79" t="n">
        <v>1</v>
      </c>
      <c r="B116" s="79" t="n">
        <v>96</v>
      </c>
      <c r="C116" s="80">
        <f>(B116-0.5)*'14_지역·상수'!$H$6</f>
        <v/>
      </c>
      <c r="D116" s="79" t="n">
        <v>17</v>
      </c>
      <c r="E116" s="80">
        <f>INDEX($C$4:$C$15,MATCH(A116,$A$4:$A$15,0))</f>
        <v/>
      </c>
      <c r="F116" s="80">
        <f>15*(C116-12)</f>
        <v/>
      </c>
      <c r="G116" s="80">
        <f>-COS(RADIANS(E116))*SIN(RADIANS(F116))</f>
        <v/>
      </c>
      <c r="H116" s="80">
        <f>COS(RADIANS('11_발전량_모델'!$B$17))*SIN(RADIANS(E116))-SIN(RADIANS('11_발전량_모델'!$B$17))*COS(RADIANS(E116))*COS(RADIANS(F116))</f>
        <v/>
      </c>
      <c r="I116" s="80">
        <f>SIN(RADIANS('11_발전량_모델'!$B$17))*SIN(RADIANS(E116))+COS(RADIANS('11_발전량_모델'!$B$17))*COS(RADIANS(E116))*COS(RADIANS(F116))</f>
        <v/>
      </c>
      <c r="J116" s="80">
        <f>SIN(RADIANS('11_발전량_모델'!$B$7))*SIN(RADIANS('11_발전량_모델'!$B$8))</f>
        <v/>
      </c>
      <c r="K116" s="80">
        <f>SIN(RADIANS('11_발전량_모델'!$B$7))*COS(RADIANS('11_발전량_모델'!$B$8))</f>
        <v/>
      </c>
      <c r="L116" s="80">
        <f>COS(RADIANS('11_발전량_모델'!$B$7))</f>
        <v/>
      </c>
      <c r="M116" s="80">
        <f>G116*J116+H116*K116+I116*L116</f>
        <v/>
      </c>
      <c r="N116" s="80">
        <f>MAX(0,I116)</f>
        <v/>
      </c>
      <c r="O116" s="80">
        <f>IF(I116&gt;0,MAX(0,M116),0)</f>
        <v/>
      </c>
      <c r="P116" s="80">
        <f>IF($I116&gt;0,MAX(0,$G116*SIN(RADIANS('13_시나리오비교'!$B$5))*SIN(RADIANS('13_시나리오비교'!$C$5))+$H116*SIN(RADIANS('13_시나리오비교'!$B$5))*COS(RADIANS('13_시나리오비교'!$C$5))+$I116*COS(RADIANS('13_시나리오비교'!$B$5))),0)</f>
        <v/>
      </c>
      <c r="Q116" s="80">
        <f>IF($I116&gt;0,MAX(0,$G116*SIN(RADIANS('13_시나리오비교'!$B$6))*SIN(RADIANS('13_시나리오비교'!$C$6))+$H116*SIN(RADIANS('13_시나리오비교'!$B$6))*COS(RADIANS('13_시나리오비교'!$C$6))+$I116*COS(RADIANS('13_시나리오비교'!$B$6))),0)</f>
        <v/>
      </c>
      <c r="R116" s="80">
        <f>IF($I116&gt;0,MAX(0,$G116*SIN(RADIANS('13_시나리오비교'!$B$7))*SIN(RADIANS('13_시나리오비교'!$C$7))+$H116*SIN(RADIANS('13_시나리오비교'!$B$7))*COS(RADIANS('13_시나리오비교'!$C$7))+$I116*COS(RADIANS('13_시나리오비교'!$B$7))),0)</f>
        <v/>
      </c>
      <c r="S116" s="80">
        <f>IF($I116&gt;0,MAX(0,$G116*SIN(RADIANS('13_시나리오비교'!$B$8))*SIN(RADIANS('13_시나리오비교'!$C$8))+$H116*SIN(RADIANS('13_시나리오비교'!$B$8))*COS(RADIANS('13_시나리오비교'!$C$8))+$I116*COS(RADIANS('13_시나리오비교'!$B$8))),0)</f>
        <v/>
      </c>
      <c r="T116" s="80">
        <f>IF($I116&gt;0,MAX(0,$G116*SIN(RADIANS('13_시나리오비교'!$B$9))*SIN(RADIANS('13_시나리오비교'!$C$9))+$H116*SIN(RADIANS('13_시나리오비교'!$B$9))*COS(RADIANS('13_시나리오비교'!$C$9))+$I116*COS(RADIANS('13_시나리오비교'!$B$9))),0)</f>
        <v/>
      </c>
      <c r="U116" s="80">
        <f>IF($I116&gt;0,MAX(0,$G116*SIN(RADIANS('13_시나리오비교'!$B$10))*SIN(RADIANS('13_시나리오비교'!$C$10))+$H116*SIN(RADIANS('13_시나리오비교'!$B$10))*COS(RADIANS('13_시나리오비교'!$C$10))+$I116*COS(RADIANS('13_시나리오비교'!$B$10))),0)</f>
        <v/>
      </c>
      <c r="V116" s="80">
        <f>IF($I116&gt;0,MAX(0,$G116*SIN(RADIANS('13_시나리오비교'!$B$11))*SIN(RADIANS('13_시나리오비교'!$C$11))+$H116*SIN(RADIANS('13_시나리오비교'!$B$11))*COS(RADIANS('13_시나리오비교'!$C$11))+$I116*COS(RADIANS('13_시나리오비교'!$B$11))),0)</f>
        <v/>
      </c>
      <c r="W116" s="80">
        <f>IF($I116&gt;0,MAX(0,$G116*SIN(RADIANS('13_시나리오비교'!$B$12))*SIN(RADIANS('13_시나리오비교'!$C$12))+$H116*SIN(RADIANS('13_시나리오비교'!$B$12))*COS(RADIANS('13_시나리오비교'!$C$12))+$I116*COS(RADIANS('13_시나리오비교'!$B$12))),0)</f>
        <v/>
      </c>
      <c r="X116" s="80">
        <f>IF($I116&gt;0,MAX(0,$G116*SIN(RADIANS('13_시나리오비교'!$B$13))*SIN(RADIANS('13_시나리오비교'!$C$13))+$H116*SIN(RADIANS('13_시나리오비교'!$B$13))*COS(RADIANS('13_시나리오비교'!$C$13))+$I116*COS(RADIANS('13_시나리오비교'!$B$13))),0)</f>
        <v/>
      </c>
      <c r="Y116" s="80">
        <f>IF($I116&gt;0,MAX(0,$G116*SIN(RADIANS('13_시나리오비교'!$B$14))*SIN(RADIANS('13_시나리오비교'!$C$14))+$H116*SIN(RADIANS('13_시나리오비교'!$B$14))*COS(RADIANS('13_시나리오비교'!$C$14))+$I116*COS(RADIANS('13_시나리오비교'!$B$14))),0)</f>
        <v/>
      </c>
    </row>
    <row r="117" hidden="1" outlineLevel="1">
      <c r="A117" s="79" t="n">
        <v>2</v>
      </c>
      <c r="B117" s="79" t="n">
        <v>1</v>
      </c>
      <c r="C117" s="80">
        <f>(B117-0.5)*'14_지역·상수'!$H$6</f>
        <v/>
      </c>
      <c r="D117" s="79" t="n">
        <v>47</v>
      </c>
      <c r="E117" s="80">
        <f>INDEX($C$4:$C$15,MATCH(A117,$A$4:$A$15,0))</f>
        <v/>
      </c>
      <c r="F117" s="80">
        <f>15*(C117-12)</f>
        <v/>
      </c>
      <c r="G117" s="80">
        <f>-COS(RADIANS(E117))*SIN(RADIANS(F117))</f>
        <v/>
      </c>
      <c r="H117" s="80">
        <f>COS(RADIANS('11_발전량_모델'!$B$17))*SIN(RADIANS(E117))-SIN(RADIANS('11_발전량_모델'!$B$17))*COS(RADIANS(E117))*COS(RADIANS(F117))</f>
        <v/>
      </c>
      <c r="I117" s="80">
        <f>SIN(RADIANS('11_발전량_모델'!$B$17))*SIN(RADIANS(E117))+COS(RADIANS('11_발전량_모델'!$B$17))*COS(RADIANS(E117))*COS(RADIANS(F117))</f>
        <v/>
      </c>
      <c r="J117" s="80">
        <f>SIN(RADIANS('11_발전량_모델'!$B$7))*SIN(RADIANS('11_발전량_모델'!$B$8))</f>
        <v/>
      </c>
      <c r="K117" s="80">
        <f>SIN(RADIANS('11_발전량_모델'!$B$7))*COS(RADIANS('11_발전량_모델'!$B$8))</f>
        <v/>
      </c>
      <c r="L117" s="80">
        <f>COS(RADIANS('11_발전량_모델'!$B$7))</f>
        <v/>
      </c>
      <c r="M117" s="80">
        <f>G117*J117+H117*K117+I117*L117</f>
        <v/>
      </c>
      <c r="N117" s="80">
        <f>MAX(0,I117)</f>
        <v/>
      </c>
      <c r="O117" s="80">
        <f>IF(I117&gt;0,MAX(0,M117),0)</f>
        <v/>
      </c>
      <c r="P117" s="80">
        <f>IF($I117&gt;0,MAX(0,$G117*SIN(RADIANS('13_시나리오비교'!$B$5))*SIN(RADIANS('13_시나리오비교'!$C$5))+$H117*SIN(RADIANS('13_시나리오비교'!$B$5))*COS(RADIANS('13_시나리오비교'!$C$5))+$I117*COS(RADIANS('13_시나리오비교'!$B$5))),0)</f>
        <v/>
      </c>
      <c r="Q117" s="80">
        <f>IF($I117&gt;0,MAX(0,$G117*SIN(RADIANS('13_시나리오비교'!$B$6))*SIN(RADIANS('13_시나리오비교'!$C$6))+$H117*SIN(RADIANS('13_시나리오비교'!$B$6))*COS(RADIANS('13_시나리오비교'!$C$6))+$I117*COS(RADIANS('13_시나리오비교'!$B$6))),0)</f>
        <v/>
      </c>
      <c r="R117" s="80">
        <f>IF($I117&gt;0,MAX(0,$G117*SIN(RADIANS('13_시나리오비교'!$B$7))*SIN(RADIANS('13_시나리오비교'!$C$7))+$H117*SIN(RADIANS('13_시나리오비교'!$B$7))*COS(RADIANS('13_시나리오비교'!$C$7))+$I117*COS(RADIANS('13_시나리오비교'!$B$7))),0)</f>
        <v/>
      </c>
      <c r="S117" s="80">
        <f>IF($I117&gt;0,MAX(0,$G117*SIN(RADIANS('13_시나리오비교'!$B$8))*SIN(RADIANS('13_시나리오비교'!$C$8))+$H117*SIN(RADIANS('13_시나리오비교'!$B$8))*COS(RADIANS('13_시나리오비교'!$C$8))+$I117*COS(RADIANS('13_시나리오비교'!$B$8))),0)</f>
        <v/>
      </c>
      <c r="T117" s="80">
        <f>IF($I117&gt;0,MAX(0,$G117*SIN(RADIANS('13_시나리오비교'!$B$9))*SIN(RADIANS('13_시나리오비교'!$C$9))+$H117*SIN(RADIANS('13_시나리오비교'!$B$9))*COS(RADIANS('13_시나리오비교'!$C$9))+$I117*COS(RADIANS('13_시나리오비교'!$B$9))),0)</f>
        <v/>
      </c>
      <c r="U117" s="80">
        <f>IF($I117&gt;0,MAX(0,$G117*SIN(RADIANS('13_시나리오비교'!$B$10))*SIN(RADIANS('13_시나리오비교'!$C$10))+$H117*SIN(RADIANS('13_시나리오비교'!$B$10))*COS(RADIANS('13_시나리오비교'!$C$10))+$I117*COS(RADIANS('13_시나리오비교'!$B$10))),0)</f>
        <v/>
      </c>
      <c r="V117" s="80">
        <f>IF($I117&gt;0,MAX(0,$G117*SIN(RADIANS('13_시나리오비교'!$B$11))*SIN(RADIANS('13_시나리오비교'!$C$11))+$H117*SIN(RADIANS('13_시나리오비교'!$B$11))*COS(RADIANS('13_시나리오비교'!$C$11))+$I117*COS(RADIANS('13_시나리오비교'!$B$11))),0)</f>
        <v/>
      </c>
      <c r="W117" s="80">
        <f>IF($I117&gt;0,MAX(0,$G117*SIN(RADIANS('13_시나리오비교'!$B$12))*SIN(RADIANS('13_시나리오비교'!$C$12))+$H117*SIN(RADIANS('13_시나리오비교'!$B$12))*COS(RADIANS('13_시나리오비교'!$C$12))+$I117*COS(RADIANS('13_시나리오비교'!$B$12))),0)</f>
        <v/>
      </c>
      <c r="X117" s="80">
        <f>IF($I117&gt;0,MAX(0,$G117*SIN(RADIANS('13_시나리오비교'!$B$13))*SIN(RADIANS('13_시나리오비교'!$C$13))+$H117*SIN(RADIANS('13_시나리오비교'!$B$13))*COS(RADIANS('13_시나리오비교'!$C$13))+$I117*COS(RADIANS('13_시나리오비교'!$B$13))),0)</f>
        <v/>
      </c>
      <c r="Y117" s="80">
        <f>IF($I117&gt;0,MAX(0,$G117*SIN(RADIANS('13_시나리오비교'!$B$14))*SIN(RADIANS('13_시나리오비교'!$C$14))+$H117*SIN(RADIANS('13_시나리오비교'!$B$14))*COS(RADIANS('13_시나리오비교'!$C$14))+$I117*COS(RADIANS('13_시나리오비교'!$B$14))),0)</f>
        <v/>
      </c>
    </row>
    <row r="118" hidden="1" outlineLevel="1">
      <c r="A118" s="79" t="n">
        <v>2</v>
      </c>
      <c r="B118" s="79" t="n">
        <v>2</v>
      </c>
      <c r="C118" s="80">
        <f>(B118-0.5)*'14_지역·상수'!$H$6</f>
        <v/>
      </c>
      <c r="D118" s="79" t="n">
        <v>47</v>
      </c>
      <c r="E118" s="80">
        <f>INDEX($C$4:$C$15,MATCH(A118,$A$4:$A$15,0))</f>
        <v/>
      </c>
      <c r="F118" s="80">
        <f>15*(C118-12)</f>
        <v/>
      </c>
      <c r="G118" s="80">
        <f>-COS(RADIANS(E118))*SIN(RADIANS(F118))</f>
        <v/>
      </c>
      <c r="H118" s="80">
        <f>COS(RADIANS('11_발전량_모델'!$B$17))*SIN(RADIANS(E118))-SIN(RADIANS('11_발전량_모델'!$B$17))*COS(RADIANS(E118))*COS(RADIANS(F118))</f>
        <v/>
      </c>
      <c r="I118" s="80">
        <f>SIN(RADIANS('11_발전량_모델'!$B$17))*SIN(RADIANS(E118))+COS(RADIANS('11_발전량_모델'!$B$17))*COS(RADIANS(E118))*COS(RADIANS(F118))</f>
        <v/>
      </c>
      <c r="J118" s="80">
        <f>SIN(RADIANS('11_발전량_모델'!$B$7))*SIN(RADIANS('11_발전량_모델'!$B$8))</f>
        <v/>
      </c>
      <c r="K118" s="80">
        <f>SIN(RADIANS('11_발전량_모델'!$B$7))*COS(RADIANS('11_발전량_모델'!$B$8))</f>
        <v/>
      </c>
      <c r="L118" s="80">
        <f>COS(RADIANS('11_발전량_모델'!$B$7))</f>
        <v/>
      </c>
      <c r="M118" s="80">
        <f>G118*J118+H118*K118+I118*L118</f>
        <v/>
      </c>
      <c r="N118" s="80">
        <f>MAX(0,I118)</f>
        <v/>
      </c>
      <c r="O118" s="80">
        <f>IF(I118&gt;0,MAX(0,M118),0)</f>
        <v/>
      </c>
      <c r="P118" s="80">
        <f>IF($I118&gt;0,MAX(0,$G118*SIN(RADIANS('13_시나리오비교'!$B$5))*SIN(RADIANS('13_시나리오비교'!$C$5))+$H118*SIN(RADIANS('13_시나리오비교'!$B$5))*COS(RADIANS('13_시나리오비교'!$C$5))+$I118*COS(RADIANS('13_시나리오비교'!$B$5))),0)</f>
        <v/>
      </c>
      <c r="Q118" s="80">
        <f>IF($I118&gt;0,MAX(0,$G118*SIN(RADIANS('13_시나리오비교'!$B$6))*SIN(RADIANS('13_시나리오비교'!$C$6))+$H118*SIN(RADIANS('13_시나리오비교'!$B$6))*COS(RADIANS('13_시나리오비교'!$C$6))+$I118*COS(RADIANS('13_시나리오비교'!$B$6))),0)</f>
        <v/>
      </c>
      <c r="R118" s="80">
        <f>IF($I118&gt;0,MAX(0,$G118*SIN(RADIANS('13_시나리오비교'!$B$7))*SIN(RADIANS('13_시나리오비교'!$C$7))+$H118*SIN(RADIANS('13_시나리오비교'!$B$7))*COS(RADIANS('13_시나리오비교'!$C$7))+$I118*COS(RADIANS('13_시나리오비교'!$B$7))),0)</f>
        <v/>
      </c>
      <c r="S118" s="80">
        <f>IF($I118&gt;0,MAX(0,$G118*SIN(RADIANS('13_시나리오비교'!$B$8))*SIN(RADIANS('13_시나리오비교'!$C$8))+$H118*SIN(RADIANS('13_시나리오비교'!$B$8))*COS(RADIANS('13_시나리오비교'!$C$8))+$I118*COS(RADIANS('13_시나리오비교'!$B$8))),0)</f>
        <v/>
      </c>
      <c r="T118" s="80">
        <f>IF($I118&gt;0,MAX(0,$G118*SIN(RADIANS('13_시나리오비교'!$B$9))*SIN(RADIANS('13_시나리오비교'!$C$9))+$H118*SIN(RADIANS('13_시나리오비교'!$B$9))*COS(RADIANS('13_시나리오비교'!$C$9))+$I118*COS(RADIANS('13_시나리오비교'!$B$9))),0)</f>
        <v/>
      </c>
      <c r="U118" s="80">
        <f>IF($I118&gt;0,MAX(0,$G118*SIN(RADIANS('13_시나리오비교'!$B$10))*SIN(RADIANS('13_시나리오비교'!$C$10))+$H118*SIN(RADIANS('13_시나리오비교'!$B$10))*COS(RADIANS('13_시나리오비교'!$C$10))+$I118*COS(RADIANS('13_시나리오비교'!$B$10))),0)</f>
        <v/>
      </c>
      <c r="V118" s="80">
        <f>IF($I118&gt;0,MAX(0,$G118*SIN(RADIANS('13_시나리오비교'!$B$11))*SIN(RADIANS('13_시나리오비교'!$C$11))+$H118*SIN(RADIANS('13_시나리오비교'!$B$11))*COS(RADIANS('13_시나리오비교'!$C$11))+$I118*COS(RADIANS('13_시나리오비교'!$B$11))),0)</f>
        <v/>
      </c>
      <c r="W118" s="80">
        <f>IF($I118&gt;0,MAX(0,$G118*SIN(RADIANS('13_시나리오비교'!$B$12))*SIN(RADIANS('13_시나리오비교'!$C$12))+$H118*SIN(RADIANS('13_시나리오비교'!$B$12))*COS(RADIANS('13_시나리오비교'!$C$12))+$I118*COS(RADIANS('13_시나리오비교'!$B$12))),0)</f>
        <v/>
      </c>
      <c r="X118" s="80">
        <f>IF($I118&gt;0,MAX(0,$G118*SIN(RADIANS('13_시나리오비교'!$B$13))*SIN(RADIANS('13_시나리오비교'!$C$13))+$H118*SIN(RADIANS('13_시나리오비교'!$B$13))*COS(RADIANS('13_시나리오비교'!$C$13))+$I118*COS(RADIANS('13_시나리오비교'!$B$13))),0)</f>
        <v/>
      </c>
      <c r="Y118" s="80">
        <f>IF($I118&gt;0,MAX(0,$G118*SIN(RADIANS('13_시나리오비교'!$B$14))*SIN(RADIANS('13_시나리오비교'!$C$14))+$H118*SIN(RADIANS('13_시나리오비교'!$B$14))*COS(RADIANS('13_시나리오비교'!$C$14))+$I118*COS(RADIANS('13_시나리오비교'!$B$14))),0)</f>
        <v/>
      </c>
    </row>
    <row r="119" hidden="1" outlineLevel="1">
      <c r="A119" s="79" t="n">
        <v>2</v>
      </c>
      <c r="B119" s="79" t="n">
        <v>3</v>
      </c>
      <c r="C119" s="80">
        <f>(B119-0.5)*'14_지역·상수'!$H$6</f>
        <v/>
      </c>
      <c r="D119" s="79" t="n">
        <v>47</v>
      </c>
      <c r="E119" s="80">
        <f>INDEX($C$4:$C$15,MATCH(A119,$A$4:$A$15,0))</f>
        <v/>
      </c>
      <c r="F119" s="80">
        <f>15*(C119-12)</f>
        <v/>
      </c>
      <c r="G119" s="80">
        <f>-COS(RADIANS(E119))*SIN(RADIANS(F119))</f>
        <v/>
      </c>
      <c r="H119" s="80">
        <f>COS(RADIANS('11_발전량_모델'!$B$17))*SIN(RADIANS(E119))-SIN(RADIANS('11_발전량_모델'!$B$17))*COS(RADIANS(E119))*COS(RADIANS(F119))</f>
        <v/>
      </c>
      <c r="I119" s="80">
        <f>SIN(RADIANS('11_발전량_모델'!$B$17))*SIN(RADIANS(E119))+COS(RADIANS('11_발전량_모델'!$B$17))*COS(RADIANS(E119))*COS(RADIANS(F119))</f>
        <v/>
      </c>
      <c r="J119" s="80">
        <f>SIN(RADIANS('11_발전량_모델'!$B$7))*SIN(RADIANS('11_발전량_모델'!$B$8))</f>
        <v/>
      </c>
      <c r="K119" s="80">
        <f>SIN(RADIANS('11_발전량_모델'!$B$7))*COS(RADIANS('11_발전량_모델'!$B$8))</f>
        <v/>
      </c>
      <c r="L119" s="80">
        <f>COS(RADIANS('11_발전량_모델'!$B$7))</f>
        <v/>
      </c>
      <c r="M119" s="80">
        <f>G119*J119+H119*K119+I119*L119</f>
        <v/>
      </c>
      <c r="N119" s="80">
        <f>MAX(0,I119)</f>
        <v/>
      </c>
      <c r="O119" s="80">
        <f>IF(I119&gt;0,MAX(0,M119),0)</f>
        <v/>
      </c>
      <c r="P119" s="80">
        <f>IF($I119&gt;0,MAX(0,$G119*SIN(RADIANS('13_시나리오비교'!$B$5))*SIN(RADIANS('13_시나리오비교'!$C$5))+$H119*SIN(RADIANS('13_시나리오비교'!$B$5))*COS(RADIANS('13_시나리오비교'!$C$5))+$I119*COS(RADIANS('13_시나리오비교'!$B$5))),0)</f>
        <v/>
      </c>
      <c r="Q119" s="80">
        <f>IF($I119&gt;0,MAX(0,$G119*SIN(RADIANS('13_시나리오비교'!$B$6))*SIN(RADIANS('13_시나리오비교'!$C$6))+$H119*SIN(RADIANS('13_시나리오비교'!$B$6))*COS(RADIANS('13_시나리오비교'!$C$6))+$I119*COS(RADIANS('13_시나리오비교'!$B$6))),0)</f>
        <v/>
      </c>
      <c r="R119" s="80">
        <f>IF($I119&gt;0,MAX(0,$G119*SIN(RADIANS('13_시나리오비교'!$B$7))*SIN(RADIANS('13_시나리오비교'!$C$7))+$H119*SIN(RADIANS('13_시나리오비교'!$B$7))*COS(RADIANS('13_시나리오비교'!$C$7))+$I119*COS(RADIANS('13_시나리오비교'!$B$7))),0)</f>
        <v/>
      </c>
      <c r="S119" s="80">
        <f>IF($I119&gt;0,MAX(0,$G119*SIN(RADIANS('13_시나리오비교'!$B$8))*SIN(RADIANS('13_시나리오비교'!$C$8))+$H119*SIN(RADIANS('13_시나리오비교'!$B$8))*COS(RADIANS('13_시나리오비교'!$C$8))+$I119*COS(RADIANS('13_시나리오비교'!$B$8))),0)</f>
        <v/>
      </c>
      <c r="T119" s="80">
        <f>IF($I119&gt;0,MAX(0,$G119*SIN(RADIANS('13_시나리오비교'!$B$9))*SIN(RADIANS('13_시나리오비교'!$C$9))+$H119*SIN(RADIANS('13_시나리오비교'!$B$9))*COS(RADIANS('13_시나리오비교'!$C$9))+$I119*COS(RADIANS('13_시나리오비교'!$B$9))),0)</f>
        <v/>
      </c>
      <c r="U119" s="80">
        <f>IF($I119&gt;0,MAX(0,$G119*SIN(RADIANS('13_시나리오비교'!$B$10))*SIN(RADIANS('13_시나리오비교'!$C$10))+$H119*SIN(RADIANS('13_시나리오비교'!$B$10))*COS(RADIANS('13_시나리오비교'!$C$10))+$I119*COS(RADIANS('13_시나리오비교'!$B$10))),0)</f>
        <v/>
      </c>
      <c r="V119" s="80">
        <f>IF($I119&gt;0,MAX(0,$G119*SIN(RADIANS('13_시나리오비교'!$B$11))*SIN(RADIANS('13_시나리오비교'!$C$11))+$H119*SIN(RADIANS('13_시나리오비교'!$B$11))*COS(RADIANS('13_시나리오비교'!$C$11))+$I119*COS(RADIANS('13_시나리오비교'!$B$11))),0)</f>
        <v/>
      </c>
      <c r="W119" s="80">
        <f>IF($I119&gt;0,MAX(0,$G119*SIN(RADIANS('13_시나리오비교'!$B$12))*SIN(RADIANS('13_시나리오비교'!$C$12))+$H119*SIN(RADIANS('13_시나리오비교'!$B$12))*COS(RADIANS('13_시나리오비교'!$C$12))+$I119*COS(RADIANS('13_시나리오비교'!$B$12))),0)</f>
        <v/>
      </c>
      <c r="X119" s="80">
        <f>IF($I119&gt;0,MAX(0,$G119*SIN(RADIANS('13_시나리오비교'!$B$13))*SIN(RADIANS('13_시나리오비교'!$C$13))+$H119*SIN(RADIANS('13_시나리오비교'!$B$13))*COS(RADIANS('13_시나리오비교'!$C$13))+$I119*COS(RADIANS('13_시나리오비교'!$B$13))),0)</f>
        <v/>
      </c>
      <c r="Y119" s="80">
        <f>IF($I119&gt;0,MAX(0,$G119*SIN(RADIANS('13_시나리오비교'!$B$14))*SIN(RADIANS('13_시나리오비교'!$C$14))+$H119*SIN(RADIANS('13_시나리오비교'!$B$14))*COS(RADIANS('13_시나리오비교'!$C$14))+$I119*COS(RADIANS('13_시나리오비교'!$B$14))),0)</f>
        <v/>
      </c>
    </row>
    <row r="120" hidden="1" outlineLevel="1">
      <c r="A120" s="79" t="n">
        <v>2</v>
      </c>
      <c r="B120" s="79" t="n">
        <v>4</v>
      </c>
      <c r="C120" s="80">
        <f>(B120-0.5)*'14_지역·상수'!$H$6</f>
        <v/>
      </c>
      <c r="D120" s="79" t="n">
        <v>47</v>
      </c>
      <c r="E120" s="80">
        <f>INDEX($C$4:$C$15,MATCH(A120,$A$4:$A$15,0))</f>
        <v/>
      </c>
      <c r="F120" s="80">
        <f>15*(C120-12)</f>
        <v/>
      </c>
      <c r="G120" s="80">
        <f>-COS(RADIANS(E120))*SIN(RADIANS(F120))</f>
        <v/>
      </c>
      <c r="H120" s="80">
        <f>COS(RADIANS('11_발전량_모델'!$B$17))*SIN(RADIANS(E120))-SIN(RADIANS('11_발전량_모델'!$B$17))*COS(RADIANS(E120))*COS(RADIANS(F120))</f>
        <v/>
      </c>
      <c r="I120" s="80">
        <f>SIN(RADIANS('11_발전량_모델'!$B$17))*SIN(RADIANS(E120))+COS(RADIANS('11_발전량_모델'!$B$17))*COS(RADIANS(E120))*COS(RADIANS(F120))</f>
        <v/>
      </c>
      <c r="J120" s="80">
        <f>SIN(RADIANS('11_발전량_모델'!$B$7))*SIN(RADIANS('11_발전량_모델'!$B$8))</f>
        <v/>
      </c>
      <c r="K120" s="80">
        <f>SIN(RADIANS('11_발전량_모델'!$B$7))*COS(RADIANS('11_발전량_모델'!$B$8))</f>
        <v/>
      </c>
      <c r="L120" s="80">
        <f>COS(RADIANS('11_발전량_모델'!$B$7))</f>
        <v/>
      </c>
      <c r="M120" s="80">
        <f>G120*J120+H120*K120+I120*L120</f>
        <v/>
      </c>
      <c r="N120" s="80">
        <f>MAX(0,I120)</f>
        <v/>
      </c>
      <c r="O120" s="80">
        <f>IF(I120&gt;0,MAX(0,M120),0)</f>
        <v/>
      </c>
      <c r="P120" s="80">
        <f>IF($I120&gt;0,MAX(0,$G120*SIN(RADIANS('13_시나리오비교'!$B$5))*SIN(RADIANS('13_시나리오비교'!$C$5))+$H120*SIN(RADIANS('13_시나리오비교'!$B$5))*COS(RADIANS('13_시나리오비교'!$C$5))+$I120*COS(RADIANS('13_시나리오비교'!$B$5))),0)</f>
        <v/>
      </c>
      <c r="Q120" s="80">
        <f>IF($I120&gt;0,MAX(0,$G120*SIN(RADIANS('13_시나리오비교'!$B$6))*SIN(RADIANS('13_시나리오비교'!$C$6))+$H120*SIN(RADIANS('13_시나리오비교'!$B$6))*COS(RADIANS('13_시나리오비교'!$C$6))+$I120*COS(RADIANS('13_시나리오비교'!$B$6))),0)</f>
        <v/>
      </c>
      <c r="R120" s="80">
        <f>IF($I120&gt;0,MAX(0,$G120*SIN(RADIANS('13_시나리오비교'!$B$7))*SIN(RADIANS('13_시나리오비교'!$C$7))+$H120*SIN(RADIANS('13_시나리오비교'!$B$7))*COS(RADIANS('13_시나리오비교'!$C$7))+$I120*COS(RADIANS('13_시나리오비교'!$B$7))),0)</f>
        <v/>
      </c>
      <c r="S120" s="80">
        <f>IF($I120&gt;0,MAX(0,$G120*SIN(RADIANS('13_시나리오비교'!$B$8))*SIN(RADIANS('13_시나리오비교'!$C$8))+$H120*SIN(RADIANS('13_시나리오비교'!$B$8))*COS(RADIANS('13_시나리오비교'!$C$8))+$I120*COS(RADIANS('13_시나리오비교'!$B$8))),0)</f>
        <v/>
      </c>
      <c r="T120" s="80">
        <f>IF($I120&gt;0,MAX(0,$G120*SIN(RADIANS('13_시나리오비교'!$B$9))*SIN(RADIANS('13_시나리오비교'!$C$9))+$H120*SIN(RADIANS('13_시나리오비교'!$B$9))*COS(RADIANS('13_시나리오비교'!$C$9))+$I120*COS(RADIANS('13_시나리오비교'!$B$9))),0)</f>
        <v/>
      </c>
      <c r="U120" s="80">
        <f>IF($I120&gt;0,MAX(0,$G120*SIN(RADIANS('13_시나리오비교'!$B$10))*SIN(RADIANS('13_시나리오비교'!$C$10))+$H120*SIN(RADIANS('13_시나리오비교'!$B$10))*COS(RADIANS('13_시나리오비교'!$C$10))+$I120*COS(RADIANS('13_시나리오비교'!$B$10))),0)</f>
        <v/>
      </c>
      <c r="V120" s="80">
        <f>IF($I120&gt;0,MAX(0,$G120*SIN(RADIANS('13_시나리오비교'!$B$11))*SIN(RADIANS('13_시나리오비교'!$C$11))+$H120*SIN(RADIANS('13_시나리오비교'!$B$11))*COS(RADIANS('13_시나리오비교'!$C$11))+$I120*COS(RADIANS('13_시나리오비교'!$B$11))),0)</f>
        <v/>
      </c>
      <c r="W120" s="80">
        <f>IF($I120&gt;0,MAX(0,$G120*SIN(RADIANS('13_시나리오비교'!$B$12))*SIN(RADIANS('13_시나리오비교'!$C$12))+$H120*SIN(RADIANS('13_시나리오비교'!$B$12))*COS(RADIANS('13_시나리오비교'!$C$12))+$I120*COS(RADIANS('13_시나리오비교'!$B$12))),0)</f>
        <v/>
      </c>
      <c r="X120" s="80">
        <f>IF($I120&gt;0,MAX(0,$G120*SIN(RADIANS('13_시나리오비교'!$B$13))*SIN(RADIANS('13_시나리오비교'!$C$13))+$H120*SIN(RADIANS('13_시나리오비교'!$B$13))*COS(RADIANS('13_시나리오비교'!$C$13))+$I120*COS(RADIANS('13_시나리오비교'!$B$13))),0)</f>
        <v/>
      </c>
      <c r="Y120" s="80">
        <f>IF($I120&gt;0,MAX(0,$G120*SIN(RADIANS('13_시나리오비교'!$B$14))*SIN(RADIANS('13_시나리오비교'!$C$14))+$H120*SIN(RADIANS('13_시나리오비교'!$B$14))*COS(RADIANS('13_시나리오비교'!$C$14))+$I120*COS(RADIANS('13_시나리오비교'!$B$14))),0)</f>
        <v/>
      </c>
    </row>
    <row r="121" hidden="1" outlineLevel="1">
      <c r="A121" s="79" t="n">
        <v>2</v>
      </c>
      <c r="B121" s="79" t="n">
        <v>5</v>
      </c>
      <c r="C121" s="80">
        <f>(B121-0.5)*'14_지역·상수'!$H$6</f>
        <v/>
      </c>
      <c r="D121" s="79" t="n">
        <v>47</v>
      </c>
      <c r="E121" s="80">
        <f>INDEX($C$4:$C$15,MATCH(A121,$A$4:$A$15,0))</f>
        <v/>
      </c>
      <c r="F121" s="80">
        <f>15*(C121-12)</f>
        <v/>
      </c>
      <c r="G121" s="80">
        <f>-COS(RADIANS(E121))*SIN(RADIANS(F121))</f>
        <v/>
      </c>
      <c r="H121" s="80">
        <f>COS(RADIANS('11_발전량_모델'!$B$17))*SIN(RADIANS(E121))-SIN(RADIANS('11_발전량_모델'!$B$17))*COS(RADIANS(E121))*COS(RADIANS(F121))</f>
        <v/>
      </c>
      <c r="I121" s="80">
        <f>SIN(RADIANS('11_발전량_모델'!$B$17))*SIN(RADIANS(E121))+COS(RADIANS('11_발전량_모델'!$B$17))*COS(RADIANS(E121))*COS(RADIANS(F121))</f>
        <v/>
      </c>
      <c r="J121" s="80">
        <f>SIN(RADIANS('11_발전량_모델'!$B$7))*SIN(RADIANS('11_발전량_모델'!$B$8))</f>
        <v/>
      </c>
      <c r="K121" s="80">
        <f>SIN(RADIANS('11_발전량_모델'!$B$7))*COS(RADIANS('11_발전량_모델'!$B$8))</f>
        <v/>
      </c>
      <c r="L121" s="80">
        <f>COS(RADIANS('11_발전량_모델'!$B$7))</f>
        <v/>
      </c>
      <c r="M121" s="80">
        <f>G121*J121+H121*K121+I121*L121</f>
        <v/>
      </c>
      <c r="N121" s="80">
        <f>MAX(0,I121)</f>
        <v/>
      </c>
      <c r="O121" s="80">
        <f>IF(I121&gt;0,MAX(0,M121),0)</f>
        <v/>
      </c>
      <c r="P121" s="80">
        <f>IF($I121&gt;0,MAX(0,$G121*SIN(RADIANS('13_시나리오비교'!$B$5))*SIN(RADIANS('13_시나리오비교'!$C$5))+$H121*SIN(RADIANS('13_시나리오비교'!$B$5))*COS(RADIANS('13_시나리오비교'!$C$5))+$I121*COS(RADIANS('13_시나리오비교'!$B$5))),0)</f>
        <v/>
      </c>
      <c r="Q121" s="80">
        <f>IF($I121&gt;0,MAX(0,$G121*SIN(RADIANS('13_시나리오비교'!$B$6))*SIN(RADIANS('13_시나리오비교'!$C$6))+$H121*SIN(RADIANS('13_시나리오비교'!$B$6))*COS(RADIANS('13_시나리오비교'!$C$6))+$I121*COS(RADIANS('13_시나리오비교'!$B$6))),0)</f>
        <v/>
      </c>
      <c r="R121" s="80">
        <f>IF($I121&gt;0,MAX(0,$G121*SIN(RADIANS('13_시나리오비교'!$B$7))*SIN(RADIANS('13_시나리오비교'!$C$7))+$H121*SIN(RADIANS('13_시나리오비교'!$B$7))*COS(RADIANS('13_시나리오비교'!$C$7))+$I121*COS(RADIANS('13_시나리오비교'!$B$7))),0)</f>
        <v/>
      </c>
      <c r="S121" s="80">
        <f>IF($I121&gt;0,MAX(0,$G121*SIN(RADIANS('13_시나리오비교'!$B$8))*SIN(RADIANS('13_시나리오비교'!$C$8))+$H121*SIN(RADIANS('13_시나리오비교'!$B$8))*COS(RADIANS('13_시나리오비교'!$C$8))+$I121*COS(RADIANS('13_시나리오비교'!$B$8))),0)</f>
        <v/>
      </c>
      <c r="T121" s="80">
        <f>IF($I121&gt;0,MAX(0,$G121*SIN(RADIANS('13_시나리오비교'!$B$9))*SIN(RADIANS('13_시나리오비교'!$C$9))+$H121*SIN(RADIANS('13_시나리오비교'!$B$9))*COS(RADIANS('13_시나리오비교'!$C$9))+$I121*COS(RADIANS('13_시나리오비교'!$B$9))),0)</f>
        <v/>
      </c>
      <c r="U121" s="80">
        <f>IF($I121&gt;0,MAX(0,$G121*SIN(RADIANS('13_시나리오비교'!$B$10))*SIN(RADIANS('13_시나리오비교'!$C$10))+$H121*SIN(RADIANS('13_시나리오비교'!$B$10))*COS(RADIANS('13_시나리오비교'!$C$10))+$I121*COS(RADIANS('13_시나리오비교'!$B$10))),0)</f>
        <v/>
      </c>
      <c r="V121" s="80">
        <f>IF($I121&gt;0,MAX(0,$G121*SIN(RADIANS('13_시나리오비교'!$B$11))*SIN(RADIANS('13_시나리오비교'!$C$11))+$H121*SIN(RADIANS('13_시나리오비교'!$B$11))*COS(RADIANS('13_시나리오비교'!$C$11))+$I121*COS(RADIANS('13_시나리오비교'!$B$11))),0)</f>
        <v/>
      </c>
      <c r="W121" s="80">
        <f>IF($I121&gt;0,MAX(0,$G121*SIN(RADIANS('13_시나리오비교'!$B$12))*SIN(RADIANS('13_시나리오비교'!$C$12))+$H121*SIN(RADIANS('13_시나리오비교'!$B$12))*COS(RADIANS('13_시나리오비교'!$C$12))+$I121*COS(RADIANS('13_시나리오비교'!$B$12))),0)</f>
        <v/>
      </c>
      <c r="X121" s="80">
        <f>IF($I121&gt;0,MAX(0,$G121*SIN(RADIANS('13_시나리오비교'!$B$13))*SIN(RADIANS('13_시나리오비교'!$C$13))+$H121*SIN(RADIANS('13_시나리오비교'!$B$13))*COS(RADIANS('13_시나리오비교'!$C$13))+$I121*COS(RADIANS('13_시나리오비교'!$B$13))),0)</f>
        <v/>
      </c>
      <c r="Y121" s="80">
        <f>IF($I121&gt;0,MAX(0,$G121*SIN(RADIANS('13_시나리오비교'!$B$14))*SIN(RADIANS('13_시나리오비교'!$C$14))+$H121*SIN(RADIANS('13_시나리오비교'!$B$14))*COS(RADIANS('13_시나리오비교'!$C$14))+$I121*COS(RADIANS('13_시나리오비교'!$B$14))),0)</f>
        <v/>
      </c>
    </row>
    <row r="122" hidden="1" outlineLevel="1">
      <c r="A122" s="79" t="n">
        <v>2</v>
      </c>
      <c r="B122" s="79" t="n">
        <v>6</v>
      </c>
      <c r="C122" s="80">
        <f>(B122-0.5)*'14_지역·상수'!$H$6</f>
        <v/>
      </c>
      <c r="D122" s="79" t="n">
        <v>47</v>
      </c>
      <c r="E122" s="80">
        <f>INDEX($C$4:$C$15,MATCH(A122,$A$4:$A$15,0))</f>
        <v/>
      </c>
      <c r="F122" s="80">
        <f>15*(C122-12)</f>
        <v/>
      </c>
      <c r="G122" s="80">
        <f>-COS(RADIANS(E122))*SIN(RADIANS(F122))</f>
        <v/>
      </c>
      <c r="H122" s="80">
        <f>COS(RADIANS('11_발전량_모델'!$B$17))*SIN(RADIANS(E122))-SIN(RADIANS('11_발전량_모델'!$B$17))*COS(RADIANS(E122))*COS(RADIANS(F122))</f>
        <v/>
      </c>
      <c r="I122" s="80">
        <f>SIN(RADIANS('11_발전량_모델'!$B$17))*SIN(RADIANS(E122))+COS(RADIANS('11_발전량_모델'!$B$17))*COS(RADIANS(E122))*COS(RADIANS(F122))</f>
        <v/>
      </c>
      <c r="J122" s="80">
        <f>SIN(RADIANS('11_발전량_모델'!$B$7))*SIN(RADIANS('11_발전량_모델'!$B$8))</f>
        <v/>
      </c>
      <c r="K122" s="80">
        <f>SIN(RADIANS('11_발전량_모델'!$B$7))*COS(RADIANS('11_발전량_모델'!$B$8))</f>
        <v/>
      </c>
      <c r="L122" s="80">
        <f>COS(RADIANS('11_발전량_모델'!$B$7))</f>
        <v/>
      </c>
      <c r="M122" s="80">
        <f>G122*J122+H122*K122+I122*L122</f>
        <v/>
      </c>
      <c r="N122" s="80">
        <f>MAX(0,I122)</f>
        <v/>
      </c>
      <c r="O122" s="80">
        <f>IF(I122&gt;0,MAX(0,M122),0)</f>
        <v/>
      </c>
      <c r="P122" s="80">
        <f>IF($I122&gt;0,MAX(0,$G122*SIN(RADIANS('13_시나리오비교'!$B$5))*SIN(RADIANS('13_시나리오비교'!$C$5))+$H122*SIN(RADIANS('13_시나리오비교'!$B$5))*COS(RADIANS('13_시나리오비교'!$C$5))+$I122*COS(RADIANS('13_시나리오비교'!$B$5))),0)</f>
        <v/>
      </c>
      <c r="Q122" s="80">
        <f>IF($I122&gt;0,MAX(0,$G122*SIN(RADIANS('13_시나리오비교'!$B$6))*SIN(RADIANS('13_시나리오비교'!$C$6))+$H122*SIN(RADIANS('13_시나리오비교'!$B$6))*COS(RADIANS('13_시나리오비교'!$C$6))+$I122*COS(RADIANS('13_시나리오비교'!$B$6))),0)</f>
        <v/>
      </c>
      <c r="R122" s="80">
        <f>IF($I122&gt;0,MAX(0,$G122*SIN(RADIANS('13_시나리오비교'!$B$7))*SIN(RADIANS('13_시나리오비교'!$C$7))+$H122*SIN(RADIANS('13_시나리오비교'!$B$7))*COS(RADIANS('13_시나리오비교'!$C$7))+$I122*COS(RADIANS('13_시나리오비교'!$B$7))),0)</f>
        <v/>
      </c>
      <c r="S122" s="80">
        <f>IF($I122&gt;0,MAX(0,$G122*SIN(RADIANS('13_시나리오비교'!$B$8))*SIN(RADIANS('13_시나리오비교'!$C$8))+$H122*SIN(RADIANS('13_시나리오비교'!$B$8))*COS(RADIANS('13_시나리오비교'!$C$8))+$I122*COS(RADIANS('13_시나리오비교'!$B$8))),0)</f>
        <v/>
      </c>
      <c r="T122" s="80">
        <f>IF($I122&gt;0,MAX(0,$G122*SIN(RADIANS('13_시나리오비교'!$B$9))*SIN(RADIANS('13_시나리오비교'!$C$9))+$H122*SIN(RADIANS('13_시나리오비교'!$B$9))*COS(RADIANS('13_시나리오비교'!$C$9))+$I122*COS(RADIANS('13_시나리오비교'!$B$9))),0)</f>
        <v/>
      </c>
      <c r="U122" s="80">
        <f>IF($I122&gt;0,MAX(0,$G122*SIN(RADIANS('13_시나리오비교'!$B$10))*SIN(RADIANS('13_시나리오비교'!$C$10))+$H122*SIN(RADIANS('13_시나리오비교'!$B$10))*COS(RADIANS('13_시나리오비교'!$C$10))+$I122*COS(RADIANS('13_시나리오비교'!$B$10))),0)</f>
        <v/>
      </c>
      <c r="V122" s="80">
        <f>IF($I122&gt;0,MAX(0,$G122*SIN(RADIANS('13_시나리오비교'!$B$11))*SIN(RADIANS('13_시나리오비교'!$C$11))+$H122*SIN(RADIANS('13_시나리오비교'!$B$11))*COS(RADIANS('13_시나리오비교'!$C$11))+$I122*COS(RADIANS('13_시나리오비교'!$B$11))),0)</f>
        <v/>
      </c>
      <c r="W122" s="80">
        <f>IF($I122&gt;0,MAX(0,$G122*SIN(RADIANS('13_시나리오비교'!$B$12))*SIN(RADIANS('13_시나리오비교'!$C$12))+$H122*SIN(RADIANS('13_시나리오비교'!$B$12))*COS(RADIANS('13_시나리오비교'!$C$12))+$I122*COS(RADIANS('13_시나리오비교'!$B$12))),0)</f>
        <v/>
      </c>
      <c r="X122" s="80">
        <f>IF($I122&gt;0,MAX(0,$G122*SIN(RADIANS('13_시나리오비교'!$B$13))*SIN(RADIANS('13_시나리오비교'!$C$13))+$H122*SIN(RADIANS('13_시나리오비교'!$B$13))*COS(RADIANS('13_시나리오비교'!$C$13))+$I122*COS(RADIANS('13_시나리오비교'!$B$13))),0)</f>
        <v/>
      </c>
      <c r="Y122" s="80">
        <f>IF($I122&gt;0,MAX(0,$G122*SIN(RADIANS('13_시나리오비교'!$B$14))*SIN(RADIANS('13_시나리오비교'!$C$14))+$H122*SIN(RADIANS('13_시나리오비교'!$B$14))*COS(RADIANS('13_시나리오비교'!$C$14))+$I122*COS(RADIANS('13_시나리오비교'!$B$14))),0)</f>
        <v/>
      </c>
    </row>
    <row r="123" hidden="1" outlineLevel="1">
      <c r="A123" s="79" t="n">
        <v>2</v>
      </c>
      <c r="B123" s="79" t="n">
        <v>7</v>
      </c>
      <c r="C123" s="80">
        <f>(B123-0.5)*'14_지역·상수'!$H$6</f>
        <v/>
      </c>
      <c r="D123" s="79" t="n">
        <v>47</v>
      </c>
      <c r="E123" s="80">
        <f>INDEX($C$4:$C$15,MATCH(A123,$A$4:$A$15,0))</f>
        <v/>
      </c>
      <c r="F123" s="80">
        <f>15*(C123-12)</f>
        <v/>
      </c>
      <c r="G123" s="80">
        <f>-COS(RADIANS(E123))*SIN(RADIANS(F123))</f>
        <v/>
      </c>
      <c r="H123" s="80">
        <f>COS(RADIANS('11_발전량_모델'!$B$17))*SIN(RADIANS(E123))-SIN(RADIANS('11_발전량_모델'!$B$17))*COS(RADIANS(E123))*COS(RADIANS(F123))</f>
        <v/>
      </c>
      <c r="I123" s="80">
        <f>SIN(RADIANS('11_발전량_모델'!$B$17))*SIN(RADIANS(E123))+COS(RADIANS('11_발전량_모델'!$B$17))*COS(RADIANS(E123))*COS(RADIANS(F123))</f>
        <v/>
      </c>
      <c r="J123" s="80">
        <f>SIN(RADIANS('11_발전량_모델'!$B$7))*SIN(RADIANS('11_발전량_모델'!$B$8))</f>
        <v/>
      </c>
      <c r="K123" s="80">
        <f>SIN(RADIANS('11_발전량_모델'!$B$7))*COS(RADIANS('11_발전량_모델'!$B$8))</f>
        <v/>
      </c>
      <c r="L123" s="80">
        <f>COS(RADIANS('11_발전량_모델'!$B$7))</f>
        <v/>
      </c>
      <c r="M123" s="80">
        <f>G123*J123+H123*K123+I123*L123</f>
        <v/>
      </c>
      <c r="N123" s="80">
        <f>MAX(0,I123)</f>
        <v/>
      </c>
      <c r="O123" s="80">
        <f>IF(I123&gt;0,MAX(0,M123),0)</f>
        <v/>
      </c>
      <c r="P123" s="80">
        <f>IF($I123&gt;0,MAX(0,$G123*SIN(RADIANS('13_시나리오비교'!$B$5))*SIN(RADIANS('13_시나리오비교'!$C$5))+$H123*SIN(RADIANS('13_시나리오비교'!$B$5))*COS(RADIANS('13_시나리오비교'!$C$5))+$I123*COS(RADIANS('13_시나리오비교'!$B$5))),0)</f>
        <v/>
      </c>
      <c r="Q123" s="80">
        <f>IF($I123&gt;0,MAX(0,$G123*SIN(RADIANS('13_시나리오비교'!$B$6))*SIN(RADIANS('13_시나리오비교'!$C$6))+$H123*SIN(RADIANS('13_시나리오비교'!$B$6))*COS(RADIANS('13_시나리오비교'!$C$6))+$I123*COS(RADIANS('13_시나리오비교'!$B$6))),0)</f>
        <v/>
      </c>
      <c r="R123" s="80">
        <f>IF($I123&gt;0,MAX(0,$G123*SIN(RADIANS('13_시나리오비교'!$B$7))*SIN(RADIANS('13_시나리오비교'!$C$7))+$H123*SIN(RADIANS('13_시나리오비교'!$B$7))*COS(RADIANS('13_시나리오비교'!$C$7))+$I123*COS(RADIANS('13_시나리오비교'!$B$7))),0)</f>
        <v/>
      </c>
      <c r="S123" s="80">
        <f>IF($I123&gt;0,MAX(0,$G123*SIN(RADIANS('13_시나리오비교'!$B$8))*SIN(RADIANS('13_시나리오비교'!$C$8))+$H123*SIN(RADIANS('13_시나리오비교'!$B$8))*COS(RADIANS('13_시나리오비교'!$C$8))+$I123*COS(RADIANS('13_시나리오비교'!$B$8))),0)</f>
        <v/>
      </c>
      <c r="T123" s="80">
        <f>IF($I123&gt;0,MAX(0,$G123*SIN(RADIANS('13_시나리오비교'!$B$9))*SIN(RADIANS('13_시나리오비교'!$C$9))+$H123*SIN(RADIANS('13_시나리오비교'!$B$9))*COS(RADIANS('13_시나리오비교'!$C$9))+$I123*COS(RADIANS('13_시나리오비교'!$B$9))),0)</f>
        <v/>
      </c>
      <c r="U123" s="80">
        <f>IF($I123&gt;0,MAX(0,$G123*SIN(RADIANS('13_시나리오비교'!$B$10))*SIN(RADIANS('13_시나리오비교'!$C$10))+$H123*SIN(RADIANS('13_시나리오비교'!$B$10))*COS(RADIANS('13_시나리오비교'!$C$10))+$I123*COS(RADIANS('13_시나리오비교'!$B$10))),0)</f>
        <v/>
      </c>
      <c r="V123" s="80">
        <f>IF($I123&gt;0,MAX(0,$G123*SIN(RADIANS('13_시나리오비교'!$B$11))*SIN(RADIANS('13_시나리오비교'!$C$11))+$H123*SIN(RADIANS('13_시나리오비교'!$B$11))*COS(RADIANS('13_시나리오비교'!$C$11))+$I123*COS(RADIANS('13_시나리오비교'!$B$11))),0)</f>
        <v/>
      </c>
      <c r="W123" s="80">
        <f>IF($I123&gt;0,MAX(0,$G123*SIN(RADIANS('13_시나리오비교'!$B$12))*SIN(RADIANS('13_시나리오비교'!$C$12))+$H123*SIN(RADIANS('13_시나리오비교'!$B$12))*COS(RADIANS('13_시나리오비교'!$C$12))+$I123*COS(RADIANS('13_시나리오비교'!$B$12))),0)</f>
        <v/>
      </c>
      <c r="X123" s="80">
        <f>IF($I123&gt;0,MAX(0,$G123*SIN(RADIANS('13_시나리오비교'!$B$13))*SIN(RADIANS('13_시나리오비교'!$C$13))+$H123*SIN(RADIANS('13_시나리오비교'!$B$13))*COS(RADIANS('13_시나리오비교'!$C$13))+$I123*COS(RADIANS('13_시나리오비교'!$B$13))),0)</f>
        <v/>
      </c>
      <c r="Y123" s="80">
        <f>IF($I123&gt;0,MAX(0,$G123*SIN(RADIANS('13_시나리오비교'!$B$14))*SIN(RADIANS('13_시나리오비교'!$C$14))+$H123*SIN(RADIANS('13_시나리오비교'!$B$14))*COS(RADIANS('13_시나리오비교'!$C$14))+$I123*COS(RADIANS('13_시나리오비교'!$B$14))),0)</f>
        <v/>
      </c>
    </row>
    <row r="124" hidden="1" outlineLevel="1">
      <c r="A124" s="79" t="n">
        <v>2</v>
      </c>
      <c r="B124" s="79" t="n">
        <v>8</v>
      </c>
      <c r="C124" s="80">
        <f>(B124-0.5)*'14_지역·상수'!$H$6</f>
        <v/>
      </c>
      <c r="D124" s="79" t="n">
        <v>47</v>
      </c>
      <c r="E124" s="80">
        <f>INDEX($C$4:$C$15,MATCH(A124,$A$4:$A$15,0))</f>
        <v/>
      </c>
      <c r="F124" s="80">
        <f>15*(C124-12)</f>
        <v/>
      </c>
      <c r="G124" s="80">
        <f>-COS(RADIANS(E124))*SIN(RADIANS(F124))</f>
        <v/>
      </c>
      <c r="H124" s="80">
        <f>COS(RADIANS('11_발전량_모델'!$B$17))*SIN(RADIANS(E124))-SIN(RADIANS('11_발전량_모델'!$B$17))*COS(RADIANS(E124))*COS(RADIANS(F124))</f>
        <v/>
      </c>
      <c r="I124" s="80">
        <f>SIN(RADIANS('11_발전량_모델'!$B$17))*SIN(RADIANS(E124))+COS(RADIANS('11_발전량_모델'!$B$17))*COS(RADIANS(E124))*COS(RADIANS(F124))</f>
        <v/>
      </c>
      <c r="J124" s="80">
        <f>SIN(RADIANS('11_발전량_모델'!$B$7))*SIN(RADIANS('11_발전량_모델'!$B$8))</f>
        <v/>
      </c>
      <c r="K124" s="80">
        <f>SIN(RADIANS('11_발전량_모델'!$B$7))*COS(RADIANS('11_발전량_모델'!$B$8))</f>
        <v/>
      </c>
      <c r="L124" s="80">
        <f>COS(RADIANS('11_발전량_모델'!$B$7))</f>
        <v/>
      </c>
      <c r="M124" s="80">
        <f>G124*J124+H124*K124+I124*L124</f>
        <v/>
      </c>
      <c r="N124" s="80">
        <f>MAX(0,I124)</f>
        <v/>
      </c>
      <c r="O124" s="80">
        <f>IF(I124&gt;0,MAX(0,M124),0)</f>
        <v/>
      </c>
      <c r="P124" s="80">
        <f>IF($I124&gt;0,MAX(0,$G124*SIN(RADIANS('13_시나리오비교'!$B$5))*SIN(RADIANS('13_시나리오비교'!$C$5))+$H124*SIN(RADIANS('13_시나리오비교'!$B$5))*COS(RADIANS('13_시나리오비교'!$C$5))+$I124*COS(RADIANS('13_시나리오비교'!$B$5))),0)</f>
        <v/>
      </c>
      <c r="Q124" s="80">
        <f>IF($I124&gt;0,MAX(0,$G124*SIN(RADIANS('13_시나리오비교'!$B$6))*SIN(RADIANS('13_시나리오비교'!$C$6))+$H124*SIN(RADIANS('13_시나리오비교'!$B$6))*COS(RADIANS('13_시나리오비교'!$C$6))+$I124*COS(RADIANS('13_시나리오비교'!$B$6))),0)</f>
        <v/>
      </c>
      <c r="R124" s="80">
        <f>IF($I124&gt;0,MAX(0,$G124*SIN(RADIANS('13_시나리오비교'!$B$7))*SIN(RADIANS('13_시나리오비교'!$C$7))+$H124*SIN(RADIANS('13_시나리오비교'!$B$7))*COS(RADIANS('13_시나리오비교'!$C$7))+$I124*COS(RADIANS('13_시나리오비교'!$B$7))),0)</f>
        <v/>
      </c>
      <c r="S124" s="80">
        <f>IF($I124&gt;0,MAX(0,$G124*SIN(RADIANS('13_시나리오비교'!$B$8))*SIN(RADIANS('13_시나리오비교'!$C$8))+$H124*SIN(RADIANS('13_시나리오비교'!$B$8))*COS(RADIANS('13_시나리오비교'!$C$8))+$I124*COS(RADIANS('13_시나리오비교'!$B$8))),0)</f>
        <v/>
      </c>
      <c r="T124" s="80">
        <f>IF($I124&gt;0,MAX(0,$G124*SIN(RADIANS('13_시나리오비교'!$B$9))*SIN(RADIANS('13_시나리오비교'!$C$9))+$H124*SIN(RADIANS('13_시나리오비교'!$B$9))*COS(RADIANS('13_시나리오비교'!$C$9))+$I124*COS(RADIANS('13_시나리오비교'!$B$9))),0)</f>
        <v/>
      </c>
      <c r="U124" s="80">
        <f>IF($I124&gt;0,MAX(0,$G124*SIN(RADIANS('13_시나리오비교'!$B$10))*SIN(RADIANS('13_시나리오비교'!$C$10))+$H124*SIN(RADIANS('13_시나리오비교'!$B$10))*COS(RADIANS('13_시나리오비교'!$C$10))+$I124*COS(RADIANS('13_시나리오비교'!$B$10))),0)</f>
        <v/>
      </c>
      <c r="V124" s="80">
        <f>IF($I124&gt;0,MAX(0,$G124*SIN(RADIANS('13_시나리오비교'!$B$11))*SIN(RADIANS('13_시나리오비교'!$C$11))+$H124*SIN(RADIANS('13_시나리오비교'!$B$11))*COS(RADIANS('13_시나리오비교'!$C$11))+$I124*COS(RADIANS('13_시나리오비교'!$B$11))),0)</f>
        <v/>
      </c>
      <c r="W124" s="80">
        <f>IF($I124&gt;0,MAX(0,$G124*SIN(RADIANS('13_시나리오비교'!$B$12))*SIN(RADIANS('13_시나리오비교'!$C$12))+$H124*SIN(RADIANS('13_시나리오비교'!$B$12))*COS(RADIANS('13_시나리오비교'!$C$12))+$I124*COS(RADIANS('13_시나리오비교'!$B$12))),0)</f>
        <v/>
      </c>
      <c r="X124" s="80">
        <f>IF($I124&gt;0,MAX(0,$G124*SIN(RADIANS('13_시나리오비교'!$B$13))*SIN(RADIANS('13_시나리오비교'!$C$13))+$H124*SIN(RADIANS('13_시나리오비교'!$B$13))*COS(RADIANS('13_시나리오비교'!$C$13))+$I124*COS(RADIANS('13_시나리오비교'!$B$13))),0)</f>
        <v/>
      </c>
      <c r="Y124" s="80">
        <f>IF($I124&gt;0,MAX(0,$G124*SIN(RADIANS('13_시나리오비교'!$B$14))*SIN(RADIANS('13_시나리오비교'!$C$14))+$H124*SIN(RADIANS('13_시나리오비교'!$B$14))*COS(RADIANS('13_시나리오비교'!$C$14))+$I124*COS(RADIANS('13_시나리오비교'!$B$14))),0)</f>
        <v/>
      </c>
    </row>
    <row r="125" hidden="1" outlineLevel="1">
      <c r="A125" s="79" t="n">
        <v>2</v>
      </c>
      <c r="B125" s="79" t="n">
        <v>9</v>
      </c>
      <c r="C125" s="80">
        <f>(B125-0.5)*'14_지역·상수'!$H$6</f>
        <v/>
      </c>
      <c r="D125" s="79" t="n">
        <v>47</v>
      </c>
      <c r="E125" s="80">
        <f>INDEX($C$4:$C$15,MATCH(A125,$A$4:$A$15,0))</f>
        <v/>
      </c>
      <c r="F125" s="80">
        <f>15*(C125-12)</f>
        <v/>
      </c>
      <c r="G125" s="80">
        <f>-COS(RADIANS(E125))*SIN(RADIANS(F125))</f>
        <v/>
      </c>
      <c r="H125" s="80">
        <f>COS(RADIANS('11_발전량_모델'!$B$17))*SIN(RADIANS(E125))-SIN(RADIANS('11_발전량_모델'!$B$17))*COS(RADIANS(E125))*COS(RADIANS(F125))</f>
        <v/>
      </c>
      <c r="I125" s="80">
        <f>SIN(RADIANS('11_발전량_모델'!$B$17))*SIN(RADIANS(E125))+COS(RADIANS('11_발전량_모델'!$B$17))*COS(RADIANS(E125))*COS(RADIANS(F125))</f>
        <v/>
      </c>
      <c r="J125" s="80">
        <f>SIN(RADIANS('11_발전량_모델'!$B$7))*SIN(RADIANS('11_발전량_모델'!$B$8))</f>
        <v/>
      </c>
      <c r="K125" s="80">
        <f>SIN(RADIANS('11_발전량_모델'!$B$7))*COS(RADIANS('11_발전량_모델'!$B$8))</f>
        <v/>
      </c>
      <c r="L125" s="80">
        <f>COS(RADIANS('11_발전량_모델'!$B$7))</f>
        <v/>
      </c>
      <c r="M125" s="80">
        <f>G125*J125+H125*K125+I125*L125</f>
        <v/>
      </c>
      <c r="N125" s="80">
        <f>MAX(0,I125)</f>
        <v/>
      </c>
      <c r="O125" s="80">
        <f>IF(I125&gt;0,MAX(0,M125),0)</f>
        <v/>
      </c>
      <c r="P125" s="80">
        <f>IF($I125&gt;0,MAX(0,$G125*SIN(RADIANS('13_시나리오비교'!$B$5))*SIN(RADIANS('13_시나리오비교'!$C$5))+$H125*SIN(RADIANS('13_시나리오비교'!$B$5))*COS(RADIANS('13_시나리오비교'!$C$5))+$I125*COS(RADIANS('13_시나리오비교'!$B$5))),0)</f>
        <v/>
      </c>
      <c r="Q125" s="80">
        <f>IF($I125&gt;0,MAX(0,$G125*SIN(RADIANS('13_시나리오비교'!$B$6))*SIN(RADIANS('13_시나리오비교'!$C$6))+$H125*SIN(RADIANS('13_시나리오비교'!$B$6))*COS(RADIANS('13_시나리오비교'!$C$6))+$I125*COS(RADIANS('13_시나리오비교'!$B$6))),0)</f>
        <v/>
      </c>
      <c r="R125" s="80">
        <f>IF($I125&gt;0,MAX(0,$G125*SIN(RADIANS('13_시나리오비교'!$B$7))*SIN(RADIANS('13_시나리오비교'!$C$7))+$H125*SIN(RADIANS('13_시나리오비교'!$B$7))*COS(RADIANS('13_시나리오비교'!$C$7))+$I125*COS(RADIANS('13_시나리오비교'!$B$7))),0)</f>
        <v/>
      </c>
      <c r="S125" s="80">
        <f>IF($I125&gt;0,MAX(0,$G125*SIN(RADIANS('13_시나리오비교'!$B$8))*SIN(RADIANS('13_시나리오비교'!$C$8))+$H125*SIN(RADIANS('13_시나리오비교'!$B$8))*COS(RADIANS('13_시나리오비교'!$C$8))+$I125*COS(RADIANS('13_시나리오비교'!$B$8))),0)</f>
        <v/>
      </c>
      <c r="T125" s="80">
        <f>IF($I125&gt;0,MAX(0,$G125*SIN(RADIANS('13_시나리오비교'!$B$9))*SIN(RADIANS('13_시나리오비교'!$C$9))+$H125*SIN(RADIANS('13_시나리오비교'!$B$9))*COS(RADIANS('13_시나리오비교'!$C$9))+$I125*COS(RADIANS('13_시나리오비교'!$B$9))),0)</f>
        <v/>
      </c>
      <c r="U125" s="80">
        <f>IF($I125&gt;0,MAX(0,$G125*SIN(RADIANS('13_시나리오비교'!$B$10))*SIN(RADIANS('13_시나리오비교'!$C$10))+$H125*SIN(RADIANS('13_시나리오비교'!$B$10))*COS(RADIANS('13_시나리오비교'!$C$10))+$I125*COS(RADIANS('13_시나리오비교'!$B$10))),0)</f>
        <v/>
      </c>
      <c r="V125" s="80">
        <f>IF($I125&gt;0,MAX(0,$G125*SIN(RADIANS('13_시나리오비교'!$B$11))*SIN(RADIANS('13_시나리오비교'!$C$11))+$H125*SIN(RADIANS('13_시나리오비교'!$B$11))*COS(RADIANS('13_시나리오비교'!$C$11))+$I125*COS(RADIANS('13_시나리오비교'!$B$11))),0)</f>
        <v/>
      </c>
      <c r="W125" s="80">
        <f>IF($I125&gt;0,MAX(0,$G125*SIN(RADIANS('13_시나리오비교'!$B$12))*SIN(RADIANS('13_시나리오비교'!$C$12))+$H125*SIN(RADIANS('13_시나리오비교'!$B$12))*COS(RADIANS('13_시나리오비교'!$C$12))+$I125*COS(RADIANS('13_시나리오비교'!$B$12))),0)</f>
        <v/>
      </c>
      <c r="X125" s="80">
        <f>IF($I125&gt;0,MAX(0,$G125*SIN(RADIANS('13_시나리오비교'!$B$13))*SIN(RADIANS('13_시나리오비교'!$C$13))+$H125*SIN(RADIANS('13_시나리오비교'!$B$13))*COS(RADIANS('13_시나리오비교'!$C$13))+$I125*COS(RADIANS('13_시나리오비교'!$B$13))),0)</f>
        <v/>
      </c>
      <c r="Y125" s="80">
        <f>IF($I125&gt;0,MAX(0,$G125*SIN(RADIANS('13_시나리오비교'!$B$14))*SIN(RADIANS('13_시나리오비교'!$C$14))+$H125*SIN(RADIANS('13_시나리오비교'!$B$14))*COS(RADIANS('13_시나리오비교'!$C$14))+$I125*COS(RADIANS('13_시나리오비교'!$B$14))),0)</f>
        <v/>
      </c>
    </row>
    <row r="126" hidden="1" outlineLevel="1">
      <c r="A126" s="79" t="n">
        <v>2</v>
      </c>
      <c r="B126" s="79" t="n">
        <v>10</v>
      </c>
      <c r="C126" s="80">
        <f>(B126-0.5)*'14_지역·상수'!$H$6</f>
        <v/>
      </c>
      <c r="D126" s="79" t="n">
        <v>47</v>
      </c>
      <c r="E126" s="80">
        <f>INDEX($C$4:$C$15,MATCH(A126,$A$4:$A$15,0))</f>
        <v/>
      </c>
      <c r="F126" s="80">
        <f>15*(C126-12)</f>
        <v/>
      </c>
      <c r="G126" s="80">
        <f>-COS(RADIANS(E126))*SIN(RADIANS(F126))</f>
        <v/>
      </c>
      <c r="H126" s="80">
        <f>COS(RADIANS('11_발전량_모델'!$B$17))*SIN(RADIANS(E126))-SIN(RADIANS('11_발전량_모델'!$B$17))*COS(RADIANS(E126))*COS(RADIANS(F126))</f>
        <v/>
      </c>
      <c r="I126" s="80">
        <f>SIN(RADIANS('11_발전량_모델'!$B$17))*SIN(RADIANS(E126))+COS(RADIANS('11_발전량_모델'!$B$17))*COS(RADIANS(E126))*COS(RADIANS(F126))</f>
        <v/>
      </c>
      <c r="J126" s="80">
        <f>SIN(RADIANS('11_발전량_모델'!$B$7))*SIN(RADIANS('11_발전량_모델'!$B$8))</f>
        <v/>
      </c>
      <c r="K126" s="80">
        <f>SIN(RADIANS('11_발전량_모델'!$B$7))*COS(RADIANS('11_발전량_모델'!$B$8))</f>
        <v/>
      </c>
      <c r="L126" s="80">
        <f>COS(RADIANS('11_발전량_모델'!$B$7))</f>
        <v/>
      </c>
      <c r="M126" s="80">
        <f>G126*J126+H126*K126+I126*L126</f>
        <v/>
      </c>
      <c r="N126" s="80">
        <f>MAX(0,I126)</f>
        <v/>
      </c>
      <c r="O126" s="80">
        <f>IF(I126&gt;0,MAX(0,M126),0)</f>
        <v/>
      </c>
      <c r="P126" s="80">
        <f>IF($I126&gt;0,MAX(0,$G126*SIN(RADIANS('13_시나리오비교'!$B$5))*SIN(RADIANS('13_시나리오비교'!$C$5))+$H126*SIN(RADIANS('13_시나리오비교'!$B$5))*COS(RADIANS('13_시나리오비교'!$C$5))+$I126*COS(RADIANS('13_시나리오비교'!$B$5))),0)</f>
        <v/>
      </c>
      <c r="Q126" s="80">
        <f>IF($I126&gt;0,MAX(0,$G126*SIN(RADIANS('13_시나리오비교'!$B$6))*SIN(RADIANS('13_시나리오비교'!$C$6))+$H126*SIN(RADIANS('13_시나리오비교'!$B$6))*COS(RADIANS('13_시나리오비교'!$C$6))+$I126*COS(RADIANS('13_시나리오비교'!$B$6))),0)</f>
        <v/>
      </c>
      <c r="R126" s="80">
        <f>IF($I126&gt;0,MAX(0,$G126*SIN(RADIANS('13_시나리오비교'!$B$7))*SIN(RADIANS('13_시나리오비교'!$C$7))+$H126*SIN(RADIANS('13_시나리오비교'!$B$7))*COS(RADIANS('13_시나리오비교'!$C$7))+$I126*COS(RADIANS('13_시나리오비교'!$B$7))),0)</f>
        <v/>
      </c>
      <c r="S126" s="80">
        <f>IF($I126&gt;0,MAX(0,$G126*SIN(RADIANS('13_시나리오비교'!$B$8))*SIN(RADIANS('13_시나리오비교'!$C$8))+$H126*SIN(RADIANS('13_시나리오비교'!$B$8))*COS(RADIANS('13_시나리오비교'!$C$8))+$I126*COS(RADIANS('13_시나리오비교'!$B$8))),0)</f>
        <v/>
      </c>
      <c r="T126" s="80">
        <f>IF($I126&gt;0,MAX(0,$G126*SIN(RADIANS('13_시나리오비교'!$B$9))*SIN(RADIANS('13_시나리오비교'!$C$9))+$H126*SIN(RADIANS('13_시나리오비교'!$B$9))*COS(RADIANS('13_시나리오비교'!$C$9))+$I126*COS(RADIANS('13_시나리오비교'!$B$9))),0)</f>
        <v/>
      </c>
      <c r="U126" s="80">
        <f>IF($I126&gt;0,MAX(0,$G126*SIN(RADIANS('13_시나리오비교'!$B$10))*SIN(RADIANS('13_시나리오비교'!$C$10))+$H126*SIN(RADIANS('13_시나리오비교'!$B$10))*COS(RADIANS('13_시나리오비교'!$C$10))+$I126*COS(RADIANS('13_시나리오비교'!$B$10))),0)</f>
        <v/>
      </c>
      <c r="V126" s="80">
        <f>IF($I126&gt;0,MAX(0,$G126*SIN(RADIANS('13_시나리오비교'!$B$11))*SIN(RADIANS('13_시나리오비교'!$C$11))+$H126*SIN(RADIANS('13_시나리오비교'!$B$11))*COS(RADIANS('13_시나리오비교'!$C$11))+$I126*COS(RADIANS('13_시나리오비교'!$B$11))),0)</f>
        <v/>
      </c>
      <c r="W126" s="80">
        <f>IF($I126&gt;0,MAX(0,$G126*SIN(RADIANS('13_시나리오비교'!$B$12))*SIN(RADIANS('13_시나리오비교'!$C$12))+$H126*SIN(RADIANS('13_시나리오비교'!$B$12))*COS(RADIANS('13_시나리오비교'!$C$12))+$I126*COS(RADIANS('13_시나리오비교'!$B$12))),0)</f>
        <v/>
      </c>
      <c r="X126" s="80">
        <f>IF($I126&gt;0,MAX(0,$G126*SIN(RADIANS('13_시나리오비교'!$B$13))*SIN(RADIANS('13_시나리오비교'!$C$13))+$H126*SIN(RADIANS('13_시나리오비교'!$B$13))*COS(RADIANS('13_시나리오비교'!$C$13))+$I126*COS(RADIANS('13_시나리오비교'!$B$13))),0)</f>
        <v/>
      </c>
      <c r="Y126" s="80">
        <f>IF($I126&gt;0,MAX(0,$G126*SIN(RADIANS('13_시나리오비교'!$B$14))*SIN(RADIANS('13_시나리오비교'!$C$14))+$H126*SIN(RADIANS('13_시나리오비교'!$B$14))*COS(RADIANS('13_시나리오비교'!$C$14))+$I126*COS(RADIANS('13_시나리오비교'!$B$14))),0)</f>
        <v/>
      </c>
    </row>
    <row r="127" hidden="1" outlineLevel="1">
      <c r="A127" s="79" t="n">
        <v>2</v>
      </c>
      <c r="B127" s="79" t="n">
        <v>11</v>
      </c>
      <c r="C127" s="80">
        <f>(B127-0.5)*'14_지역·상수'!$H$6</f>
        <v/>
      </c>
      <c r="D127" s="79" t="n">
        <v>47</v>
      </c>
      <c r="E127" s="80">
        <f>INDEX($C$4:$C$15,MATCH(A127,$A$4:$A$15,0))</f>
        <v/>
      </c>
      <c r="F127" s="80">
        <f>15*(C127-12)</f>
        <v/>
      </c>
      <c r="G127" s="80">
        <f>-COS(RADIANS(E127))*SIN(RADIANS(F127))</f>
        <v/>
      </c>
      <c r="H127" s="80">
        <f>COS(RADIANS('11_발전량_모델'!$B$17))*SIN(RADIANS(E127))-SIN(RADIANS('11_발전량_모델'!$B$17))*COS(RADIANS(E127))*COS(RADIANS(F127))</f>
        <v/>
      </c>
      <c r="I127" s="80">
        <f>SIN(RADIANS('11_발전량_모델'!$B$17))*SIN(RADIANS(E127))+COS(RADIANS('11_발전량_모델'!$B$17))*COS(RADIANS(E127))*COS(RADIANS(F127))</f>
        <v/>
      </c>
      <c r="J127" s="80">
        <f>SIN(RADIANS('11_발전량_모델'!$B$7))*SIN(RADIANS('11_발전량_모델'!$B$8))</f>
        <v/>
      </c>
      <c r="K127" s="80">
        <f>SIN(RADIANS('11_발전량_모델'!$B$7))*COS(RADIANS('11_발전량_모델'!$B$8))</f>
        <v/>
      </c>
      <c r="L127" s="80">
        <f>COS(RADIANS('11_발전량_모델'!$B$7))</f>
        <v/>
      </c>
      <c r="M127" s="80">
        <f>G127*J127+H127*K127+I127*L127</f>
        <v/>
      </c>
      <c r="N127" s="80">
        <f>MAX(0,I127)</f>
        <v/>
      </c>
      <c r="O127" s="80">
        <f>IF(I127&gt;0,MAX(0,M127),0)</f>
        <v/>
      </c>
      <c r="P127" s="80">
        <f>IF($I127&gt;0,MAX(0,$G127*SIN(RADIANS('13_시나리오비교'!$B$5))*SIN(RADIANS('13_시나리오비교'!$C$5))+$H127*SIN(RADIANS('13_시나리오비교'!$B$5))*COS(RADIANS('13_시나리오비교'!$C$5))+$I127*COS(RADIANS('13_시나리오비교'!$B$5))),0)</f>
        <v/>
      </c>
      <c r="Q127" s="80">
        <f>IF($I127&gt;0,MAX(0,$G127*SIN(RADIANS('13_시나리오비교'!$B$6))*SIN(RADIANS('13_시나리오비교'!$C$6))+$H127*SIN(RADIANS('13_시나리오비교'!$B$6))*COS(RADIANS('13_시나리오비교'!$C$6))+$I127*COS(RADIANS('13_시나리오비교'!$B$6))),0)</f>
        <v/>
      </c>
      <c r="R127" s="80">
        <f>IF($I127&gt;0,MAX(0,$G127*SIN(RADIANS('13_시나리오비교'!$B$7))*SIN(RADIANS('13_시나리오비교'!$C$7))+$H127*SIN(RADIANS('13_시나리오비교'!$B$7))*COS(RADIANS('13_시나리오비교'!$C$7))+$I127*COS(RADIANS('13_시나리오비교'!$B$7))),0)</f>
        <v/>
      </c>
      <c r="S127" s="80">
        <f>IF($I127&gt;0,MAX(0,$G127*SIN(RADIANS('13_시나리오비교'!$B$8))*SIN(RADIANS('13_시나리오비교'!$C$8))+$H127*SIN(RADIANS('13_시나리오비교'!$B$8))*COS(RADIANS('13_시나리오비교'!$C$8))+$I127*COS(RADIANS('13_시나리오비교'!$B$8))),0)</f>
        <v/>
      </c>
      <c r="T127" s="80">
        <f>IF($I127&gt;0,MAX(0,$G127*SIN(RADIANS('13_시나리오비교'!$B$9))*SIN(RADIANS('13_시나리오비교'!$C$9))+$H127*SIN(RADIANS('13_시나리오비교'!$B$9))*COS(RADIANS('13_시나리오비교'!$C$9))+$I127*COS(RADIANS('13_시나리오비교'!$B$9))),0)</f>
        <v/>
      </c>
      <c r="U127" s="80">
        <f>IF($I127&gt;0,MAX(0,$G127*SIN(RADIANS('13_시나리오비교'!$B$10))*SIN(RADIANS('13_시나리오비교'!$C$10))+$H127*SIN(RADIANS('13_시나리오비교'!$B$10))*COS(RADIANS('13_시나리오비교'!$C$10))+$I127*COS(RADIANS('13_시나리오비교'!$B$10))),0)</f>
        <v/>
      </c>
      <c r="V127" s="80">
        <f>IF($I127&gt;0,MAX(0,$G127*SIN(RADIANS('13_시나리오비교'!$B$11))*SIN(RADIANS('13_시나리오비교'!$C$11))+$H127*SIN(RADIANS('13_시나리오비교'!$B$11))*COS(RADIANS('13_시나리오비교'!$C$11))+$I127*COS(RADIANS('13_시나리오비교'!$B$11))),0)</f>
        <v/>
      </c>
      <c r="W127" s="80">
        <f>IF($I127&gt;0,MAX(0,$G127*SIN(RADIANS('13_시나리오비교'!$B$12))*SIN(RADIANS('13_시나리오비교'!$C$12))+$H127*SIN(RADIANS('13_시나리오비교'!$B$12))*COS(RADIANS('13_시나리오비교'!$C$12))+$I127*COS(RADIANS('13_시나리오비교'!$B$12))),0)</f>
        <v/>
      </c>
      <c r="X127" s="80">
        <f>IF($I127&gt;0,MAX(0,$G127*SIN(RADIANS('13_시나리오비교'!$B$13))*SIN(RADIANS('13_시나리오비교'!$C$13))+$H127*SIN(RADIANS('13_시나리오비교'!$B$13))*COS(RADIANS('13_시나리오비교'!$C$13))+$I127*COS(RADIANS('13_시나리오비교'!$B$13))),0)</f>
        <v/>
      </c>
      <c r="Y127" s="80">
        <f>IF($I127&gt;0,MAX(0,$G127*SIN(RADIANS('13_시나리오비교'!$B$14))*SIN(RADIANS('13_시나리오비교'!$C$14))+$H127*SIN(RADIANS('13_시나리오비교'!$B$14))*COS(RADIANS('13_시나리오비교'!$C$14))+$I127*COS(RADIANS('13_시나리오비교'!$B$14))),0)</f>
        <v/>
      </c>
    </row>
    <row r="128" hidden="1" outlineLevel="1">
      <c r="A128" s="79" t="n">
        <v>2</v>
      </c>
      <c r="B128" s="79" t="n">
        <v>12</v>
      </c>
      <c r="C128" s="80">
        <f>(B128-0.5)*'14_지역·상수'!$H$6</f>
        <v/>
      </c>
      <c r="D128" s="79" t="n">
        <v>47</v>
      </c>
      <c r="E128" s="80">
        <f>INDEX($C$4:$C$15,MATCH(A128,$A$4:$A$15,0))</f>
        <v/>
      </c>
      <c r="F128" s="80">
        <f>15*(C128-12)</f>
        <v/>
      </c>
      <c r="G128" s="80">
        <f>-COS(RADIANS(E128))*SIN(RADIANS(F128))</f>
        <v/>
      </c>
      <c r="H128" s="80">
        <f>COS(RADIANS('11_발전량_모델'!$B$17))*SIN(RADIANS(E128))-SIN(RADIANS('11_발전량_모델'!$B$17))*COS(RADIANS(E128))*COS(RADIANS(F128))</f>
        <v/>
      </c>
      <c r="I128" s="80">
        <f>SIN(RADIANS('11_발전량_모델'!$B$17))*SIN(RADIANS(E128))+COS(RADIANS('11_발전량_모델'!$B$17))*COS(RADIANS(E128))*COS(RADIANS(F128))</f>
        <v/>
      </c>
      <c r="J128" s="80">
        <f>SIN(RADIANS('11_발전량_모델'!$B$7))*SIN(RADIANS('11_발전량_모델'!$B$8))</f>
        <v/>
      </c>
      <c r="K128" s="80">
        <f>SIN(RADIANS('11_발전량_모델'!$B$7))*COS(RADIANS('11_발전량_모델'!$B$8))</f>
        <v/>
      </c>
      <c r="L128" s="80">
        <f>COS(RADIANS('11_발전량_모델'!$B$7))</f>
        <v/>
      </c>
      <c r="M128" s="80">
        <f>G128*J128+H128*K128+I128*L128</f>
        <v/>
      </c>
      <c r="N128" s="80">
        <f>MAX(0,I128)</f>
        <v/>
      </c>
      <c r="O128" s="80">
        <f>IF(I128&gt;0,MAX(0,M128),0)</f>
        <v/>
      </c>
      <c r="P128" s="80">
        <f>IF($I128&gt;0,MAX(0,$G128*SIN(RADIANS('13_시나리오비교'!$B$5))*SIN(RADIANS('13_시나리오비교'!$C$5))+$H128*SIN(RADIANS('13_시나리오비교'!$B$5))*COS(RADIANS('13_시나리오비교'!$C$5))+$I128*COS(RADIANS('13_시나리오비교'!$B$5))),0)</f>
        <v/>
      </c>
      <c r="Q128" s="80">
        <f>IF($I128&gt;0,MAX(0,$G128*SIN(RADIANS('13_시나리오비교'!$B$6))*SIN(RADIANS('13_시나리오비교'!$C$6))+$H128*SIN(RADIANS('13_시나리오비교'!$B$6))*COS(RADIANS('13_시나리오비교'!$C$6))+$I128*COS(RADIANS('13_시나리오비교'!$B$6))),0)</f>
        <v/>
      </c>
      <c r="R128" s="80">
        <f>IF($I128&gt;0,MAX(0,$G128*SIN(RADIANS('13_시나리오비교'!$B$7))*SIN(RADIANS('13_시나리오비교'!$C$7))+$H128*SIN(RADIANS('13_시나리오비교'!$B$7))*COS(RADIANS('13_시나리오비교'!$C$7))+$I128*COS(RADIANS('13_시나리오비교'!$B$7))),0)</f>
        <v/>
      </c>
      <c r="S128" s="80">
        <f>IF($I128&gt;0,MAX(0,$G128*SIN(RADIANS('13_시나리오비교'!$B$8))*SIN(RADIANS('13_시나리오비교'!$C$8))+$H128*SIN(RADIANS('13_시나리오비교'!$B$8))*COS(RADIANS('13_시나리오비교'!$C$8))+$I128*COS(RADIANS('13_시나리오비교'!$B$8))),0)</f>
        <v/>
      </c>
      <c r="T128" s="80">
        <f>IF($I128&gt;0,MAX(0,$G128*SIN(RADIANS('13_시나리오비교'!$B$9))*SIN(RADIANS('13_시나리오비교'!$C$9))+$H128*SIN(RADIANS('13_시나리오비교'!$B$9))*COS(RADIANS('13_시나리오비교'!$C$9))+$I128*COS(RADIANS('13_시나리오비교'!$B$9))),0)</f>
        <v/>
      </c>
      <c r="U128" s="80">
        <f>IF($I128&gt;0,MAX(0,$G128*SIN(RADIANS('13_시나리오비교'!$B$10))*SIN(RADIANS('13_시나리오비교'!$C$10))+$H128*SIN(RADIANS('13_시나리오비교'!$B$10))*COS(RADIANS('13_시나리오비교'!$C$10))+$I128*COS(RADIANS('13_시나리오비교'!$B$10))),0)</f>
        <v/>
      </c>
      <c r="V128" s="80">
        <f>IF($I128&gt;0,MAX(0,$G128*SIN(RADIANS('13_시나리오비교'!$B$11))*SIN(RADIANS('13_시나리오비교'!$C$11))+$H128*SIN(RADIANS('13_시나리오비교'!$B$11))*COS(RADIANS('13_시나리오비교'!$C$11))+$I128*COS(RADIANS('13_시나리오비교'!$B$11))),0)</f>
        <v/>
      </c>
      <c r="W128" s="80">
        <f>IF($I128&gt;0,MAX(0,$G128*SIN(RADIANS('13_시나리오비교'!$B$12))*SIN(RADIANS('13_시나리오비교'!$C$12))+$H128*SIN(RADIANS('13_시나리오비교'!$B$12))*COS(RADIANS('13_시나리오비교'!$C$12))+$I128*COS(RADIANS('13_시나리오비교'!$B$12))),0)</f>
        <v/>
      </c>
      <c r="X128" s="80">
        <f>IF($I128&gt;0,MAX(0,$G128*SIN(RADIANS('13_시나리오비교'!$B$13))*SIN(RADIANS('13_시나리오비교'!$C$13))+$H128*SIN(RADIANS('13_시나리오비교'!$B$13))*COS(RADIANS('13_시나리오비교'!$C$13))+$I128*COS(RADIANS('13_시나리오비교'!$B$13))),0)</f>
        <v/>
      </c>
      <c r="Y128" s="80">
        <f>IF($I128&gt;0,MAX(0,$G128*SIN(RADIANS('13_시나리오비교'!$B$14))*SIN(RADIANS('13_시나리오비교'!$C$14))+$H128*SIN(RADIANS('13_시나리오비교'!$B$14))*COS(RADIANS('13_시나리오비교'!$C$14))+$I128*COS(RADIANS('13_시나리오비교'!$B$14))),0)</f>
        <v/>
      </c>
    </row>
    <row r="129" hidden="1" outlineLevel="1">
      <c r="A129" s="79" t="n">
        <v>2</v>
      </c>
      <c r="B129" s="79" t="n">
        <v>13</v>
      </c>
      <c r="C129" s="80">
        <f>(B129-0.5)*'14_지역·상수'!$H$6</f>
        <v/>
      </c>
      <c r="D129" s="79" t="n">
        <v>47</v>
      </c>
      <c r="E129" s="80">
        <f>INDEX($C$4:$C$15,MATCH(A129,$A$4:$A$15,0))</f>
        <v/>
      </c>
      <c r="F129" s="80">
        <f>15*(C129-12)</f>
        <v/>
      </c>
      <c r="G129" s="80">
        <f>-COS(RADIANS(E129))*SIN(RADIANS(F129))</f>
        <v/>
      </c>
      <c r="H129" s="80">
        <f>COS(RADIANS('11_발전량_모델'!$B$17))*SIN(RADIANS(E129))-SIN(RADIANS('11_발전량_모델'!$B$17))*COS(RADIANS(E129))*COS(RADIANS(F129))</f>
        <v/>
      </c>
      <c r="I129" s="80">
        <f>SIN(RADIANS('11_발전량_모델'!$B$17))*SIN(RADIANS(E129))+COS(RADIANS('11_발전량_모델'!$B$17))*COS(RADIANS(E129))*COS(RADIANS(F129))</f>
        <v/>
      </c>
      <c r="J129" s="80">
        <f>SIN(RADIANS('11_발전량_모델'!$B$7))*SIN(RADIANS('11_발전량_모델'!$B$8))</f>
        <v/>
      </c>
      <c r="K129" s="80">
        <f>SIN(RADIANS('11_발전량_모델'!$B$7))*COS(RADIANS('11_발전량_모델'!$B$8))</f>
        <v/>
      </c>
      <c r="L129" s="80">
        <f>COS(RADIANS('11_발전량_모델'!$B$7))</f>
        <v/>
      </c>
      <c r="M129" s="80">
        <f>G129*J129+H129*K129+I129*L129</f>
        <v/>
      </c>
      <c r="N129" s="80">
        <f>MAX(0,I129)</f>
        <v/>
      </c>
      <c r="O129" s="80">
        <f>IF(I129&gt;0,MAX(0,M129),0)</f>
        <v/>
      </c>
      <c r="P129" s="80">
        <f>IF($I129&gt;0,MAX(0,$G129*SIN(RADIANS('13_시나리오비교'!$B$5))*SIN(RADIANS('13_시나리오비교'!$C$5))+$H129*SIN(RADIANS('13_시나리오비교'!$B$5))*COS(RADIANS('13_시나리오비교'!$C$5))+$I129*COS(RADIANS('13_시나리오비교'!$B$5))),0)</f>
        <v/>
      </c>
      <c r="Q129" s="80">
        <f>IF($I129&gt;0,MAX(0,$G129*SIN(RADIANS('13_시나리오비교'!$B$6))*SIN(RADIANS('13_시나리오비교'!$C$6))+$H129*SIN(RADIANS('13_시나리오비교'!$B$6))*COS(RADIANS('13_시나리오비교'!$C$6))+$I129*COS(RADIANS('13_시나리오비교'!$B$6))),0)</f>
        <v/>
      </c>
      <c r="R129" s="80">
        <f>IF($I129&gt;0,MAX(0,$G129*SIN(RADIANS('13_시나리오비교'!$B$7))*SIN(RADIANS('13_시나리오비교'!$C$7))+$H129*SIN(RADIANS('13_시나리오비교'!$B$7))*COS(RADIANS('13_시나리오비교'!$C$7))+$I129*COS(RADIANS('13_시나리오비교'!$B$7))),0)</f>
        <v/>
      </c>
      <c r="S129" s="80">
        <f>IF($I129&gt;0,MAX(0,$G129*SIN(RADIANS('13_시나리오비교'!$B$8))*SIN(RADIANS('13_시나리오비교'!$C$8))+$H129*SIN(RADIANS('13_시나리오비교'!$B$8))*COS(RADIANS('13_시나리오비교'!$C$8))+$I129*COS(RADIANS('13_시나리오비교'!$B$8))),0)</f>
        <v/>
      </c>
      <c r="T129" s="80">
        <f>IF($I129&gt;0,MAX(0,$G129*SIN(RADIANS('13_시나리오비교'!$B$9))*SIN(RADIANS('13_시나리오비교'!$C$9))+$H129*SIN(RADIANS('13_시나리오비교'!$B$9))*COS(RADIANS('13_시나리오비교'!$C$9))+$I129*COS(RADIANS('13_시나리오비교'!$B$9))),0)</f>
        <v/>
      </c>
      <c r="U129" s="80">
        <f>IF($I129&gt;0,MAX(0,$G129*SIN(RADIANS('13_시나리오비교'!$B$10))*SIN(RADIANS('13_시나리오비교'!$C$10))+$H129*SIN(RADIANS('13_시나리오비교'!$B$10))*COS(RADIANS('13_시나리오비교'!$C$10))+$I129*COS(RADIANS('13_시나리오비교'!$B$10))),0)</f>
        <v/>
      </c>
      <c r="V129" s="80">
        <f>IF($I129&gt;0,MAX(0,$G129*SIN(RADIANS('13_시나리오비교'!$B$11))*SIN(RADIANS('13_시나리오비교'!$C$11))+$H129*SIN(RADIANS('13_시나리오비교'!$B$11))*COS(RADIANS('13_시나리오비교'!$C$11))+$I129*COS(RADIANS('13_시나리오비교'!$B$11))),0)</f>
        <v/>
      </c>
      <c r="W129" s="80">
        <f>IF($I129&gt;0,MAX(0,$G129*SIN(RADIANS('13_시나리오비교'!$B$12))*SIN(RADIANS('13_시나리오비교'!$C$12))+$H129*SIN(RADIANS('13_시나리오비교'!$B$12))*COS(RADIANS('13_시나리오비교'!$C$12))+$I129*COS(RADIANS('13_시나리오비교'!$B$12))),0)</f>
        <v/>
      </c>
      <c r="X129" s="80">
        <f>IF($I129&gt;0,MAX(0,$G129*SIN(RADIANS('13_시나리오비교'!$B$13))*SIN(RADIANS('13_시나리오비교'!$C$13))+$H129*SIN(RADIANS('13_시나리오비교'!$B$13))*COS(RADIANS('13_시나리오비교'!$C$13))+$I129*COS(RADIANS('13_시나리오비교'!$B$13))),0)</f>
        <v/>
      </c>
      <c r="Y129" s="80">
        <f>IF($I129&gt;0,MAX(0,$G129*SIN(RADIANS('13_시나리오비교'!$B$14))*SIN(RADIANS('13_시나리오비교'!$C$14))+$H129*SIN(RADIANS('13_시나리오비교'!$B$14))*COS(RADIANS('13_시나리오비교'!$C$14))+$I129*COS(RADIANS('13_시나리오비교'!$B$14))),0)</f>
        <v/>
      </c>
    </row>
    <row r="130" hidden="1" outlineLevel="1">
      <c r="A130" s="79" t="n">
        <v>2</v>
      </c>
      <c r="B130" s="79" t="n">
        <v>14</v>
      </c>
      <c r="C130" s="80">
        <f>(B130-0.5)*'14_지역·상수'!$H$6</f>
        <v/>
      </c>
      <c r="D130" s="79" t="n">
        <v>47</v>
      </c>
      <c r="E130" s="80">
        <f>INDEX($C$4:$C$15,MATCH(A130,$A$4:$A$15,0))</f>
        <v/>
      </c>
      <c r="F130" s="80">
        <f>15*(C130-12)</f>
        <v/>
      </c>
      <c r="G130" s="80">
        <f>-COS(RADIANS(E130))*SIN(RADIANS(F130))</f>
        <v/>
      </c>
      <c r="H130" s="80">
        <f>COS(RADIANS('11_발전량_모델'!$B$17))*SIN(RADIANS(E130))-SIN(RADIANS('11_발전량_모델'!$B$17))*COS(RADIANS(E130))*COS(RADIANS(F130))</f>
        <v/>
      </c>
      <c r="I130" s="80">
        <f>SIN(RADIANS('11_발전량_모델'!$B$17))*SIN(RADIANS(E130))+COS(RADIANS('11_발전량_모델'!$B$17))*COS(RADIANS(E130))*COS(RADIANS(F130))</f>
        <v/>
      </c>
      <c r="J130" s="80">
        <f>SIN(RADIANS('11_발전량_모델'!$B$7))*SIN(RADIANS('11_발전량_모델'!$B$8))</f>
        <v/>
      </c>
      <c r="K130" s="80">
        <f>SIN(RADIANS('11_발전량_모델'!$B$7))*COS(RADIANS('11_발전량_모델'!$B$8))</f>
        <v/>
      </c>
      <c r="L130" s="80">
        <f>COS(RADIANS('11_발전량_모델'!$B$7))</f>
        <v/>
      </c>
      <c r="M130" s="80">
        <f>G130*J130+H130*K130+I130*L130</f>
        <v/>
      </c>
      <c r="N130" s="80">
        <f>MAX(0,I130)</f>
        <v/>
      </c>
      <c r="O130" s="80">
        <f>IF(I130&gt;0,MAX(0,M130),0)</f>
        <v/>
      </c>
      <c r="P130" s="80">
        <f>IF($I130&gt;0,MAX(0,$G130*SIN(RADIANS('13_시나리오비교'!$B$5))*SIN(RADIANS('13_시나리오비교'!$C$5))+$H130*SIN(RADIANS('13_시나리오비교'!$B$5))*COS(RADIANS('13_시나리오비교'!$C$5))+$I130*COS(RADIANS('13_시나리오비교'!$B$5))),0)</f>
        <v/>
      </c>
      <c r="Q130" s="80">
        <f>IF($I130&gt;0,MAX(0,$G130*SIN(RADIANS('13_시나리오비교'!$B$6))*SIN(RADIANS('13_시나리오비교'!$C$6))+$H130*SIN(RADIANS('13_시나리오비교'!$B$6))*COS(RADIANS('13_시나리오비교'!$C$6))+$I130*COS(RADIANS('13_시나리오비교'!$B$6))),0)</f>
        <v/>
      </c>
      <c r="R130" s="80">
        <f>IF($I130&gt;0,MAX(0,$G130*SIN(RADIANS('13_시나리오비교'!$B$7))*SIN(RADIANS('13_시나리오비교'!$C$7))+$H130*SIN(RADIANS('13_시나리오비교'!$B$7))*COS(RADIANS('13_시나리오비교'!$C$7))+$I130*COS(RADIANS('13_시나리오비교'!$B$7))),0)</f>
        <v/>
      </c>
      <c r="S130" s="80">
        <f>IF($I130&gt;0,MAX(0,$G130*SIN(RADIANS('13_시나리오비교'!$B$8))*SIN(RADIANS('13_시나리오비교'!$C$8))+$H130*SIN(RADIANS('13_시나리오비교'!$B$8))*COS(RADIANS('13_시나리오비교'!$C$8))+$I130*COS(RADIANS('13_시나리오비교'!$B$8))),0)</f>
        <v/>
      </c>
      <c r="T130" s="80">
        <f>IF($I130&gt;0,MAX(0,$G130*SIN(RADIANS('13_시나리오비교'!$B$9))*SIN(RADIANS('13_시나리오비교'!$C$9))+$H130*SIN(RADIANS('13_시나리오비교'!$B$9))*COS(RADIANS('13_시나리오비교'!$C$9))+$I130*COS(RADIANS('13_시나리오비교'!$B$9))),0)</f>
        <v/>
      </c>
      <c r="U130" s="80">
        <f>IF($I130&gt;0,MAX(0,$G130*SIN(RADIANS('13_시나리오비교'!$B$10))*SIN(RADIANS('13_시나리오비교'!$C$10))+$H130*SIN(RADIANS('13_시나리오비교'!$B$10))*COS(RADIANS('13_시나리오비교'!$C$10))+$I130*COS(RADIANS('13_시나리오비교'!$B$10))),0)</f>
        <v/>
      </c>
      <c r="V130" s="80">
        <f>IF($I130&gt;0,MAX(0,$G130*SIN(RADIANS('13_시나리오비교'!$B$11))*SIN(RADIANS('13_시나리오비교'!$C$11))+$H130*SIN(RADIANS('13_시나리오비교'!$B$11))*COS(RADIANS('13_시나리오비교'!$C$11))+$I130*COS(RADIANS('13_시나리오비교'!$B$11))),0)</f>
        <v/>
      </c>
      <c r="W130" s="80">
        <f>IF($I130&gt;0,MAX(0,$G130*SIN(RADIANS('13_시나리오비교'!$B$12))*SIN(RADIANS('13_시나리오비교'!$C$12))+$H130*SIN(RADIANS('13_시나리오비교'!$B$12))*COS(RADIANS('13_시나리오비교'!$C$12))+$I130*COS(RADIANS('13_시나리오비교'!$B$12))),0)</f>
        <v/>
      </c>
      <c r="X130" s="80">
        <f>IF($I130&gt;0,MAX(0,$G130*SIN(RADIANS('13_시나리오비교'!$B$13))*SIN(RADIANS('13_시나리오비교'!$C$13))+$H130*SIN(RADIANS('13_시나리오비교'!$B$13))*COS(RADIANS('13_시나리오비교'!$C$13))+$I130*COS(RADIANS('13_시나리오비교'!$B$13))),0)</f>
        <v/>
      </c>
      <c r="Y130" s="80">
        <f>IF($I130&gt;0,MAX(0,$G130*SIN(RADIANS('13_시나리오비교'!$B$14))*SIN(RADIANS('13_시나리오비교'!$C$14))+$H130*SIN(RADIANS('13_시나리오비교'!$B$14))*COS(RADIANS('13_시나리오비교'!$C$14))+$I130*COS(RADIANS('13_시나리오비교'!$B$14))),0)</f>
        <v/>
      </c>
    </row>
    <row r="131" hidden="1" outlineLevel="1">
      <c r="A131" s="79" t="n">
        <v>2</v>
      </c>
      <c r="B131" s="79" t="n">
        <v>15</v>
      </c>
      <c r="C131" s="80">
        <f>(B131-0.5)*'14_지역·상수'!$H$6</f>
        <v/>
      </c>
      <c r="D131" s="79" t="n">
        <v>47</v>
      </c>
      <c r="E131" s="80">
        <f>INDEX($C$4:$C$15,MATCH(A131,$A$4:$A$15,0))</f>
        <v/>
      </c>
      <c r="F131" s="80">
        <f>15*(C131-12)</f>
        <v/>
      </c>
      <c r="G131" s="80">
        <f>-COS(RADIANS(E131))*SIN(RADIANS(F131))</f>
        <v/>
      </c>
      <c r="H131" s="80">
        <f>COS(RADIANS('11_발전량_모델'!$B$17))*SIN(RADIANS(E131))-SIN(RADIANS('11_발전량_모델'!$B$17))*COS(RADIANS(E131))*COS(RADIANS(F131))</f>
        <v/>
      </c>
      <c r="I131" s="80">
        <f>SIN(RADIANS('11_발전량_모델'!$B$17))*SIN(RADIANS(E131))+COS(RADIANS('11_발전량_모델'!$B$17))*COS(RADIANS(E131))*COS(RADIANS(F131))</f>
        <v/>
      </c>
      <c r="J131" s="80">
        <f>SIN(RADIANS('11_발전량_모델'!$B$7))*SIN(RADIANS('11_발전량_모델'!$B$8))</f>
        <v/>
      </c>
      <c r="K131" s="80">
        <f>SIN(RADIANS('11_발전량_모델'!$B$7))*COS(RADIANS('11_발전량_모델'!$B$8))</f>
        <v/>
      </c>
      <c r="L131" s="80">
        <f>COS(RADIANS('11_발전량_모델'!$B$7))</f>
        <v/>
      </c>
      <c r="M131" s="80">
        <f>G131*J131+H131*K131+I131*L131</f>
        <v/>
      </c>
      <c r="N131" s="80">
        <f>MAX(0,I131)</f>
        <v/>
      </c>
      <c r="O131" s="80">
        <f>IF(I131&gt;0,MAX(0,M131),0)</f>
        <v/>
      </c>
      <c r="P131" s="80">
        <f>IF($I131&gt;0,MAX(0,$G131*SIN(RADIANS('13_시나리오비교'!$B$5))*SIN(RADIANS('13_시나리오비교'!$C$5))+$H131*SIN(RADIANS('13_시나리오비교'!$B$5))*COS(RADIANS('13_시나리오비교'!$C$5))+$I131*COS(RADIANS('13_시나리오비교'!$B$5))),0)</f>
        <v/>
      </c>
      <c r="Q131" s="80">
        <f>IF($I131&gt;0,MAX(0,$G131*SIN(RADIANS('13_시나리오비교'!$B$6))*SIN(RADIANS('13_시나리오비교'!$C$6))+$H131*SIN(RADIANS('13_시나리오비교'!$B$6))*COS(RADIANS('13_시나리오비교'!$C$6))+$I131*COS(RADIANS('13_시나리오비교'!$B$6))),0)</f>
        <v/>
      </c>
      <c r="R131" s="80">
        <f>IF($I131&gt;0,MAX(0,$G131*SIN(RADIANS('13_시나리오비교'!$B$7))*SIN(RADIANS('13_시나리오비교'!$C$7))+$H131*SIN(RADIANS('13_시나리오비교'!$B$7))*COS(RADIANS('13_시나리오비교'!$C$7))+$I131*COS(RADIANS('13_시나리오비교'!$B$7))),0)</f>
        <v/>
      </c>
      <c r="S131" s="80">
        <f>IF($I131&gt;0,MAX(0,$G131*SIN(RADIANS('13_시나리오비교'!$B$8))*SIN(RADIANS('13_시나리오비교'!$C$8))+$H131*SIN(RADIANS('13_시나리오비교'!$B$8))*COS(RADIANS('13_시나리오비교'!$C$8))+$I131*COS(RADIANS('13_시나리오비교'!$B$8))),0)</f>
        <v/>
      </c>
      <c r="T131" s="80">
        <f>IF($I131&gt;0,MAX(0,$G131*SIN(RADIANS('13_시나리오비교'!$B$9))*SIN(RADIANS('13_시나리오비교'!$C$9))+$H131*SIN(RADIANS('13_시나리오비교'!$B$9))*COS(RADIANS('13_시나리오비교'!$C$9))+$I131*COS(RADIANS('13_시나리오비교'!$B$9))),0)</f>
        <v/>
      </c>
      <c r="U131" s="80">
        <f>IF($I131&gt;0,MAX(0,$G131*SIN(RADIANS('13_시나리오비교'!$B$10))*SIN(RADIANS('13_시나리오비교'!$C$10))+$H131*SIN(RADIANS('13_시나리오비교'!$B$10))*COS(RADIANS('13_시나리오비교'!$C$10))+$I131*COS(RADIANS('13_시나리오비교'!$B$10))),0)</f>
        <v/>
      </c>
      <c r="V131" s="80">
        <f>IF($I131&gt;0,MAX(0,$G131*SIN(RADIANS('13_시나리오비교'!$B$11))*SIN(RADIANS('13_시나리오비교'!$C$11))+$H131*SIN(RADIANS('13_시나리오비교'!$B$11))*COS(RADIANS('13_시나리오비교'!$C$11))+$I131*COS(RADIANS('13_시나리오비교'!$B$11))),0)</f>
        <v/>
      </c>
      <c r="W131" s="80">
        <f>IF($I131&gt;0,MAX(0,$G131*SIN(RADIANS('13_시나리오비교'!$B$12))*SIN(RADIANS('13_시나리오비교'!$C$12))+$H131*SIN(RADIANS('13_시나리오비교'!$B$12))*COS(RADIANS('13_시나리오비교'!$C$12))+$I131*COS(RADIANS('13_시나리오비교'!$B$12))),0)</f>
        <v/>
      </c>
      <c r="X131" s="80">
        <f>IF($I131&gt;0,MAX(0,$G131*SIN(RADIANS('13_시나리오비교'!$B$13))*SIN(RADIANS('13_시나리오비교'!$C$13))+$H131*SIN(RADIANS('13_시나리오비교'!$B$13))*COS(RADIANS('13_시나리오비교'!$C$13))+$I131*COS(RADIANS('13_시나리오비교'!$B$13))),0)</f>
        <v/>
      </c>
      <c r="Y131" s="80">
        <f>IF($I131&gt;0,MAX(0,$G131*SIN(RADIANS('13_시나리오비교'!$B$14))*SIN(RADIANS('13_시나리오비교'!$C$14))+$H131*SIN(RADIANS('13_시나리오비교'!$B$14))*COS(RADIANS('13_시나리오비교'!$C$14))+$I131*COS(RADIANS('13_시나리오비교'!$B$14))),0)</f>
        <v/>
      </c>
    </row>
    <row r="132" hidden="1" outlineLevel="1">
      <c r="A132" s="79" t="n">
        <v>2</v>
      </c>
      <c r="B132" s="79" t="n">
        <v>16</v>
      </c>
      <c r="C132" s="80">
        <f>(B132-0.5)*'14_지역·상수'!$H$6</f>
        <v/>
      </c>
      <c r="D132" s="79" t="n">
        <v>47</v>
      </c>
      <c r="E132" s="80">
        <f>INDEX($C$4:$C$15,MATCH(A132,$A$4:$A$15,0))</f>
        <v/>
      </c>
      <c r="F132" s="80">
        <f>15*(C132-12)</f>
        <v/>
      </c>
      <c r="G132" s="80">
        <f>-COS(RADIANS(E132))*SIN(RADIANS(F132))</f>
        <v/>
      </c>
      <c r="H132" s="80">
        <f>COS(RADIANS('11_발전량_모델'!$B$17))*SIN(RADIANS(E132))-SIN(RADIANS('11_발전량_모델'!$B$17))*COS(RADIANS(E132))*COS(RADIANS(F132))</f>
        <v/>
      </c>
      <c r="I132" s="80">
        <f>SIN(RADIANS('11_발전량_모델'!$B$17))*SIN(RADIANS(E132))+COS(RADIANS('11_발전량_모델'!$B$17))*COS(RADIANS(E132))*COS(RADIANS(F132))</f>
        <v/>
      </c>
      <c r="J132" s="80">
        <f>SIN(RADIANS('11_발전량_모델'!$B$7))*SIN(RADIANS('11_발전량_모델'!$B$8))</f>
        <v/>
      </c>
      <c r="K132" s="80">
        <f>SIN(RADIANS('11_발전량_모델'!$B$7))*COS(RADIANS('11_발전량_모델'!$B$8))</f>
        <v/>
      </c>
      <c r="L132" s="80">
        <f>COS(RADIANS('11_발전량_모델'!$B$7))</f>
        <v/>
      </c>
      <c r="M132" s="80">
        <f>G132*J132+H132*K132+I132*L132</f>
        <v/>
      </c>
      <c r="N132" s="80">
        <f>MAX(0,I132)</f>
        <v/>
      </c>
      <c r="O132" s="80">
        <f>IF(I132&gt;0,MAX(0,M132),0)</f>
        <v/>
      </c>
      <c r="P132" s="80">
        <f>IF($I132&gt;0,MAX(0,$G132*SIN(RADIANS('13_시나리오비교'!$B$5))*SIN(RADIANS('13_시나리오비교'!$C$5))+$H132*SIN(RADIANS('13_시나리오비교'!$B$5))*COS(RADIANS('13_시나리오비교'!$C$5))+$I132*COS(RADIANS('13_시나리오비교'!$B$5))),0)</f>
        <v/>
      </c>
      <c r="Q132" s="80">
        <f>IF($I132&gt;0,MAX(0,$G132*SIN(RADIANS('13_시나리오비교'!$B$6))*SIN(RADIANS('13_시나리오비교'!$C$6))+$H132*SIN(RADIANS('13_시나리오비교'!$B$6))*COS(RADIANS('13_시나리오비교'!$C$6))+$I132*COS(RADIANS('13_시나리오비교'!$B$6))),0)</f>
        <v/>
      </c>
      <c r="R132" s="80">
        <f>IF($I132&gt;0,MAX(0,$G132*SIN(RADIANS('13_시나리오비교'!$B$7))*SIN(RADIANS('13_시나리오비교'!$C$7))+$H132*SIN(RADIANS('13_시나리오비교'!$B$7))*COS(RADIANS('13_시나리오비교'!$C$7))+$I132*COS(RADIANS('13_시나리오비교'!$B$7))),0)</f>
        <v/>
      </c>
      <c r="S132" s="80">
        <f>IF($I132&gt;0,MAX(0,$G132*SIN(RADIANS('13_시나리오비교'!$B$8))*SIN(RADIANS('13_시나리오비교'!$C$8))+$H132*SIN(RADIANS('13_시나리오비교'!$B$8))*COS(RADIANS('13_시나리오비교'!$C$8))+$I132*COS(RADIANS('13_시나리오비교'!$B$8))),0)</f>
        <v/>
      </c>
      <c r="T132" s="80">
        <f>IF($I132&gt;0,MAX(0,$G132*SIN(RADIANS('13_시나리오비교'!$B$9))*SIN(RADIANS('13_시나리오비교'!$C$9))+$H132*SIN(RADIANS('13_시나리오비교'!$B$9))*COS(RADIANS('13_시나리오비교'!$C$9))+$I132*COS(RADIANS('13_시나리오비교'!$B$9))),0)</f>
        <v/>
      </c>
      <c r="U132" s="80">
        <f>IF($I132&gt;0,MAX(0,$G132*SIN(RADIANS('13_시나리오비교'!$B$10))*SIN(RADIANS('13_시나리오비교'!$C$10))+$H132*SIN(RADIANS('13_시나리오비교'!$B$10))*COS(RADIANS('13_시나리오비교'!$C$10))+$I132*COS(RADIANS('13_시나리오비교'!$B$10))),0)</f>
        <v/>
      </c>
      <c r="V132" s="80">
        <f>IF($I132&gt;0,MAX(0,$G132*SIN(RADIANS('13_시나리오비교'!$B$11))*SIN(RADIANS('13_시나리오비교'!$C$11))+$H132*SIN(RADIANS('13_시나리오비교'!$B$11))*COS(RADIANS('13_시나리오비교'!$C$11))+$I132*COS(RADIANS('13_시나리오비교'!$B$11))),0)</f>
        <v/>
      </c>
      <c r="W132" s="80">
        <f>IF($I132&gt;0,MAX(0,$G132*SIN(RADIANS('13_시나리오비교'!$B$12))*SIN(RADIANS('13_시나리오비교'!$C$12))+$H132*SIN(RADIANS('13_시나리오비교'!$B$12))*COS(RADIANS('13_시나리오비교'!$C$12))+$I132*COS(RADIANS('13_시나리오비교'!$B$12))),0)</f>
        <v/>
      </c>
      <c r="X132" s="80">
        <f>IF($I132&gt;0,MAX(0,$G132*SIN(RADIANS('13_시나리오비교'!$B$13))*SIN(RADIANS('13_시나리오비교'!$C$13))+$H132*SIN(RADIANS('13_시나리오비교'!$B$13))*COS(RADIANS('13_시나리오비교'!$C$13))+$I132*COS(RADIANS('13_시나리오비교'!$B$13))),0)</f>
        <v/>
      </c>
      <c r="Y132" s="80">
        <f>IF($I132&gt;0,MAX(0,$G132*SIN(RADIANS('13_시나리오비교'!$B$14))*SIN(RADIANS('13_시나리오비교'!$C$14))+$H132*SIN(RADIANS('13_시나리오비교'!$B$14))*COS(RADIANS('13_시나리오비교'!$C$14))+$I132*COS(RADIANS('13_시나리오비교'!$B$14))),0)</f>
        <v/>
      </c>
    </row>
    <row r="133" hidden="1" outlineLevel="1">
      <c r="A133" s="79" t="n">
        <v>2</v>
      </c>
      <c r="B133" s="79" t="n">
        <v>17</v>
      </c>
      <c r="C133" s="80">
        <f>(B133-0.5)*'14_지역·상수'!$H$6</f>
        <v/>
      </c>
      <c r="D133" s="79" t="n">
        <v>47</v>
      </c>
      <c r="E133" s="80">
        <f>INDEX($C$4:$C$15,MATCH(A133,$A$4:$A$15,0))</f>
        <v/>
      </c>
      <c r="F133" s="80">
        <f>15*(C133-12)</f>
        <v/>
      </c>
      <c r="G133" s="80">
        <f>-COS(RADIANS(E133))*SIN(RADIANS(F133))</f>
        <v/>
      </c>
      <c r="H133" s="80">
        <f>COS(RADIANS('11_발전량_모델'!$B$17))*SIN(RADIANS(E133))-SIN(RADIANS('11_발전량_모델'!$B$17))*COS(RADIANS(E133))*COS(RADIANS(F133))</f>
        <v/>
      </c>
      <c r="I133" s="80">
        <f>SIN(RADIANS('11_발전량_모델'!$B$17))*SIN(RADIANS(E133))+COS(RADIANS('11_발전량_모델'!$B$17))*COS(RADIANS(E133))*COS(RADIANS(F133))</f>
        <v/>
      </c>
      <c r="J133" s="80">
        <f>SIN(RADIANS('11_발전량_모델'!$B$7))*SIN(RADIANS('11_발전량_모델'!$B$8))</f>
        <v/>
      </c>
      <c r="K133" s="80">
        <f>SIN(RADIANS('11_발전량_모델'!$B$7))*COS(RADIANS('11_발전량_모델'!$B$8))</f>
        <v/>
      </c>
      <c r="L133" s="80">
        <f>COS(RADIANS('11_발전량_모델'!$B$7))</f>
        <v/>
      </c>
      <c r="M133" s="80">
        <f>G133*J133+H133*K133+I133*L133</f>
        <v/>
      </c>
      <c r="N133" s="80">
        <f>MAX(0,I133)</f>
        <v/>
      </c>
      <c r="O133" s="80">
        <f>IF(I133&gt;0,MAX(0,M133),0)</f>
        <v/>
      </c>
      <c r="P133" s="80">
        <f>IF($I133&gt;0,MAX(0,$G133*SIN(RADIANS('13_시나리오비교'!$B$5))*SIN(RADIANS('13_시나리오비교'!$C$5))+$H133*SIN(RADIANS('13_시나리오비교'!$B$5))*COS(RADIANS('13_시나리오비교'!$C$5))+$I133*COS(RADIANS('13_시나리오비교'!$B$5))),0)</f>
        <v/>
      </c>
      <c r="Q133" s="80">
        <f>IF($I133&gt;0,MAX(0,$G133*SIN(RADIANS('13_시나리오비교'!$B$6))*SIN(RADIANS('13_시나리오비교'!$C$6))+$H133*SIN(RADIANS('13_시나리오비교'!$B$6))*COS(RADIANS('13_시나리오비교'!$C$6))+$I133*COS(RADIANS('13_시나리오비교'!$B$6))),0)</f>
        <v/>
      </c>
      <c r="R133" s="80">
        <f>IF($I133&gt;0,MAX(0,$G133*SIN(RADIANS('13_시나리오비교'!$B$7))*SIN(RADIANS('13_시나리오비교'!$C$7))+$H133*SIN(RADIANS('13_시나리오비교'!$B$7))*COS(RADIANS('13_시나리오비교'!$C$7))+$I133*COS(RADIANS('13_시나리오비교'!$B$7))),0)</f>
        <v/>
      </c>
      <c r="S133" s="80">
        <f>IF($I133&gt;0,MAX(0,$G133*SIN(RADIANS('13_시나리오비교'!$B$8))*SIN(RADIANS('13_시나리오비교'!$C$8))+$H133*SIN(RADIANS('13_시나리오비교'!$B$8))*COS(RADIANS('13_시나리오비교'!$C$8))+$I133*COS(RADIANS('13_시나리오비교'!$B$8))),0)</f>
        <v/>
      </c>
      <c r="T133" s="80">
        <f>IF($I133&gt;0,MAX(0,$G133*SIN(RADIANS('13_시나리오비교'!$B$9))*SIN(RADIANS('13_시나리오비교'!$C$9))+$H133*SIN(RADIANS('13_시나리오비교'!$B$9))*COS(RADIANS('13_시나리오비교'!$C$9))+$I133*COS(RADIANS('13_시나리오비교'!$B$9))),0)</f>
        <v/>
      </c>
      <c r="U133" s="80">
        <f>IF($I133&gt;0,MAX(0,$G133*SIN(RADIANS('13_시나리오비교'!$B$10))*SIN(RADIANS('13_시나리오비교'!$C$10))+$H133*SIN(RADIANS('13_시나리오비교'!$B$10))*COS(RADIANS('13_시나리오비교'!$C$10))+$I133*COS(RADIANS('13_시나리오비교'!$B$10))),0)</f>
        <v/>
      </c>
      <c r="V133" s="80">
        <f>IF($I133&gt;0,MAX(0,$G133*SIN(RADIANS('13_시나리오비교'!$B$11))*SIN(RADIANS('13_시나리오비교'!$C$11))+$H133*SIN(RADIANS('13_시나리오비교'!$B$11))*COS(RADIANS('13_시나리오비교'!$C$11))+$I133*COS(RADIANS('13_시나리오비교'!$B$11))),0)</f>
        <v/>
      </c>
      <c r="W133" s="80">
        <f>IF($I133&gt;0,MAX(0,$G133*SIN(RADIANS('13_시나리오비교'!$B$12))*SIN(RADIANS('13_시나리오비교'!$C$12))+$H133*SIN(RADIANS('13_시나리오비교'!$B$12))*COS(RADIANS('13_시나리오비교'!$C$12))+$I133*COS(RADIANS('13_시나리오비교'!$B$12))),0)</f>
        <v/>
      </c>
      <c r="X133" s="80">
        <f>IF($I133&gt;0,MAX(0,$G133*SIN(RADIANS('13_시나리오비교'!$B$13))*SIN(RADIANS('13_시나리오비교'!$C$13))+$H133*SIN(RADIANS('13_시나리오비교'!$B$13))*COS(RADIANS('13_시나리오비교'!$C$13))+$I133*COS(RADIANS('13_시나리오비교'!$B$13))),0)</f>
        <v/>
      </c>
      <c r="Y133" s="80">
        <f>IF($I133&gt;0,MAX(0,$G133*SIN(RADIANS('13_시나리오비교'!$B$14))*SIN(RADIANS('13_시나리오비교'!$C$14))+$H133*SIN(RADIANS('13_시나리오비교'!$B$14))*COS(RADIANS('13_시나리오비교'!$C$14))+$I133*COS(RADIANS('13_시나리오비교'!$B$14))),0)</f>
        <v/>
      </c>
    </row>
    <row r="134" hidden="1" outlineLevel="1">
      <c r="A134" s="79" t="n">
        <v>2</v>
      </c>
      <c r="B134" s="79" t="n">
        <v>18</v>
      </c>
      <c r="C134" s="80">
        <f>(B134-0.5)*'14_지역·상수'!$H$6</f>
        <v/>
      </c>
      <c r="D134" s="79" t="n">
        <v>47</v>
      </c>
      <c r="E134" s="80">
        <f>INDEX($C$4:$C$15,MATCH(A134,$A$4:$A$15,0))</f>
        <v/>
      </c>
      <c r="F134" s="80">
        <f>15*(C134-12)</f>
        <v/>
      </c>
      <c r="G134" s="80">
        <f>-COS(RADIANS(E134))*SIN(RADIANS(F134))</f>
        <v/>
      </c>
      <c r="H134" s="80">
        <f>COS(RADIANS('11_발전량_모델'!$B$17))*SIN(RADIANS(E134))-SIN(RADIANS('11_발전량_모델'!$B$17))*COS(RADIANS(E134))*COS(RADIANS(F134))</f>
        <v/>
      </c>
      <c r="I134" s="80">
        <f>SIN(RADIANS('11_발전량_모델'!$B$17))*SIN(RADIANS(E134))+COS(RADIANS('11_발전량_모델'!$B$17))*COS(RADIANS(E134))*COS(RADIANS(F134))</f>
        <v/>
      </c>
      <c r="J134" s="80">
        <f>SIN(RADIANS('11_발전량_모델'!$B$7))*SIN(RADIANS('11_발전량_모델'!$B$8))</f>
        <v/>
      </c>
      <c r="K134" s="80">
        <f>SIN(RADIANS('11_발전량_모델'!$B$7))*COS(RADIANS('11_발전량_모델'!$B$8))</f>
        <v/>
      </c>
      <c r="L134" s="80">
        <f>COS(RADIANS('11_발전량_모델'!$B$7))</f>
        <v/>
      </c>
      <c r="M134" s="80">
        <f>G134*J134+H134*K134+I134*L134</f>
        <v/>
      </c>
      <c r="N134" s="80">
        <f>MAX(0,I134)</f>
        <v/>
      </c>
      <c r="O134" s="80">
        <f>IF(I134&gt;0,MAX(0,M134),0)</f>
        <v/>
      </c>
      <c r="P134" s="80">
        <f>IF($I134&gt;0,MAX(0,$G134*SIN(RADIANS('13_시나리오비교'!$B$5))*SIN(RADIANS('13_시나리오비교'!$C$5))+$H134*SIN(RADIANS('13_시나리오비교'!$B$5))*COS(RADIANS('13_시나리오비교'!$C$5))+$I134*COS(RADIANS('13_시나리오비교'!$B$5))),0)</f>
        <v/>
      </c>
      <c r="Q134" s="80">
        <f>IF($I134&gt;0,MAX(0,$G134*SIN(RADIANS('13_시나리오비교'!$B$6))*SIN(RADIANS('13_시나리오비교'!$C$6))+$H134*SIN(RADIANS('13_시나리오비교'!$B$6))*COS(RADIANS('13_시나리오비교'!$C$6))+$I134*COS(RADIANS('13_시나리오비교'!$B$6))),0)</f>
        <v/>
      </c>
      <c r="R134" s="80">
        <f>IF($I134&gt;0,MAX(0,$G134*SIN(RADIANS('13_시나리오비교'!$B$7))*SIN(RADIANS('13_시나리오비교'!$C$7))+$H134*SIN(RADIANS('13_시나리오비교'!$B$7))*COS(RADIANS('13_시나리오비교'!$C$7))+$I134*COS(RADIANS('13_시나리오비교'!$B$7))),0)</f>
        <v/>
      </c>
      <c r="S134" s="80">
        <f>IF($I134&gt;0,MAX(0,$G134*SIN(RADIANS('13_시나리오비교'!$B$8))*SIN(RADIANS('13_시나리오비교'!$C$8))+$H134*SIN(RADIANS('13_시나리오비교'!$B$8))*COS(RADIANS('13_시나리오비교'!$C$8))+$I134*COS(RADIANS('13_시나리오비교'!$B$8))),0)</f>
        <v/>
      </c>
      <c r="T134" s="80">
        <f>IF($I134&gt;0,MAX(0,$G134*SIN(RADIANS('13_시나리오비교'!$B$9))*SIN(RADIANS('13_시나리오비교'!$C$9))+$H134*SIN(RADIANS('13_시나리오비교'!$B$9))*COS(RADIANS('13_시나리오비교'!$C$9))+$I134*COS(RADIANS('13_시나리오비교'!$B$9))),0)</f>
        <v/>
      </c>
      <c r="U134" s="80">
        <f>IF($I134&gt;0,MAX(0,$G134*SIN(RADIANS('13_시나리오비교'!$B$10))*SIN(RADIANS('13_시나리오비교'!$C$10))+$H134*SIN(RADIANS('13_시나리오비교'!$B$10))*COS(RADIANS('13_시나리오비교'!$C$10))+$I134*COS(RADIANS('13_시나리오비교'!$B$10))),0)</f>
        <v/>
      </c>
      <c r="V134" s="80">
        <f>IF($I134&gt;0,MAX(0,$G134*SIN(RADIANS('13_시나리오비교'!$B$11))*SIN(RADIANS('13_시나리오비교'!$C$11))+$H134*SIN(RADIANS('13_시나리오비교'!$B$11))*COS(RADIANS('13_시나리오비교'!$C$11))+$I134*COS(RADIANS('13_시나리오비교'!$B$11))),0)</f>
        <v/>
      </c>
      <c r="W134" s="80">
        <f>IF($I134&gt;0,MAX(0,$G134*SIN(RADIANS('13_시나리오비교'!$B$12))*SIN(RADIANS('13_시나리오비교'!$C$12))+$H134*SIN(RADIANS('13_시나리오비교'!$B$12))*COS(RADIANS('13_시나리오비교'!$C$12))+$I134*COS(RADIANS('13_시나리오비교'!$B$12))),0)</f>
        <v/>
      </c>
      <c r="X134" s="80">
        <f>IF($I134&gt;0,MAX(0,$G134*SIN(RADIANS('13_시나리오비교'!$B$13))*SIN(RADIANS('13_시나리오비교'!$C$13))+$H134*SIN(RADIANS('13_시나리오비교'!$B$13))*COS(RADIANS('13_시나리오비교'!$C$13))+$I134*COS(RADIANS('13_시나리오비교'!$B$13))),0)</f>
        <v/>
      </c>
      <c r="Y134" s="80">
        <f>IF($I134&gt;0,MAX(0,$G134*SIN(RADIANS('13_시나리오비교'!$B$14))*SIN(RADIANS('13_시나리오비교'!$C$14))+$H134*SIN(RADIANS('13_시나리오비교'!$B$14))*COS(RADIANS('13_시나리오비교'!$C$14))+$I134*COS(RADIANS('13_시나리오비교'!$B$14))),0)</f>
        <v/>
      </c>
    </row>
    <row r="135" hidden="1" outlineLevel="1">
      <c r="A135" s="79" t="n">
        <v>2</v>
      </c>
      <c r="B135" s="79" t="n">
        <v>19</v>
      </c>
      <c r="C135" s="80">
        <f>(B135-0.5)*'14_지역·상수'!$H$6</f>
        <v/>
      </c>
      <c r="D135" s="79" t="n">
        <v>47</v>
      </c>
      <c r="E135" s="80">
        <f>INDEX($C$4:$C$15,MATCH(A135,$A$4:$A$15,0))</f>
        <v/>
      </c>
      <c r="F135" s="80">
        <f>15*(C135-12)</f>
        <v/>
      </c>
      <c r="G135" s="80">
        <f>-COS(RADIANS(E135))*SIN(RADIANS(F135))</f>
        <v/>
      </c>
      <c r="H135" s="80">
        <f>COS(RADIANS('11_발전량_모델'!$B$17))*SIN(RADIANS(E135))-SIN(RADIANS('11_발전량_모델'!$B$17))*COS(RADIANS(E135))*COS(RADIANS(F135))</f>
        <v/>
      </c>
      <c r="I135" s="80">
        <f>SIN(RADIANS('11_발전량_모델'!$B$17))*SIN(RADIANS(E135))+COS(RADIANS('11_발전량_모델'!$B$17))*COS(RADIANS(E135))*COS(RADIANS(F135))</f>
        <v/>
      </c>
      <c r="J135" s="80">
        <f>SIN(RADIANS('11_발전량_모델'!$B$7))*SIN(RADIANS('11_발전량_모델'!$B$8))</f>
        <v/>
      </c>
      <c r="K135" s="80">
        <f>SIN(RADIANS('11_발전량_모델'!$B$7))*COS(RADIANS('11_발전량_모델'!$B$8))</f>
        <v/>
      </c>
      <c r="L135" s="80">
        <f>COS(RADIANS('11_발전량_모델'!$B$7))</f>
        <v/>
      </c>
      <c r="M135" s="80">
        <f>G135*J135+H135*K135+I135*L135</f>
        <v/>
      </c>
      <c r="N135" s="80">
        <f>MAX(0,I135)</f>
        <v/>
      </c>
      <c r="O135" s="80">
        <f>IF(I135&gt;0,MAX(0,M135),0)</f>
        <v/>
      </c>
      <c r="P135" s="80">
        <f>IF($I135&gt;0,MAX(0,$G135*SIN(RADIANS('13_시나리오비교'!$B$5))*SIN(RADIANS('13_시나리오비교'!$C$5))+$H135*SIN(RADIANS('13_시나리오비교'!$B$5))*COS(RADIANS('13_시나리오비교'!$C$5))+$I135*COS(RADIANS('13_시나리오비교'!$B$5))),0)</f>
        <v/>
      </c>
      <c r="Q135" s="80">
        <f>IF($I135&gt;0,MAX(0,$G135*SIN(RADIANS('13_시나리오비교'!$B$6))*SIN(RADIANS('13_시나리오비교'!$C$6))+$H135*SIN(RADIANS('13_시나리오비교'!$B$6))*COS(RADIANS('13_시나리오비교'!$C$6))+$I135*COS(RADIANS('13_시나리오비교'!$B$6))),0)</f>
        <v/>
      </c>
      <c r="R135" s="80">
        <f>IF($I135&gt;0,MAX(0,$G135*SIN(RADIANS('13_시나리오비교'!$B$7))*SIN(RADIANS('13_시나리오비교'!$C$7))+$H135*SIN(RADIANS('13_시나리오비교'!$B$7))*COS(RADIANS('13_시나리오비교'!$C$7))+$I135*COS(RADIANS('13_시나리오비교'!$B$7))),0)</f>
        <v/>
      </c>
      <c r="S135" s="80">
        <f>IF($I135&gt;0,MAX(0,$G135*SIN(RADIANS('13_시나리오비교'!$B$8))*SIN(RADIANS('13_시나리오비교'!$C$8))+$H135*SIN(RADIANS('13_시나리오비교'!$B$8))*COS(RADIANS('13_시나리오비교'!$C$8))+$I135*COS(RADIANS('13_시나리오비교'!$B$8))),0)</f>
        <v/>
      </c>
      <c r="T135" s="80">
        <f>IF($I135&gt;0,MAX(0,$G135*SIN(RADIANS('13_시나리오비교'!$B$9))*SIN(RADIANS('13_시나리오비교'!$C$9))+$H135*SIN(RADIANS('13_시나리오비교'!$B$9))*COS(RADIANS('13_시나리오비교'!$C$9))+$I135*COS(RADIANS('13_시나리오비교'!$B$9))),0)</f>
        <v/>
      </c>
      <c r="U135" s="80">
        <f>IF($I135&gt;0,MAX(0,$G135*SIN(RADIANS('13_시나리오비교'!$B$10))*SIN(RADIANS('13_시나리오비교'!$C$10))+$H135*SIN(RADIANS('13_시나리오비교'!$B$10))*COS(RADIANS('13_시나리오비교'!$C$10))+$I135*COS(RADIANS('13_시나리오비교'!$B$10))),0)</f>
        <v/>
      </c>
      <c r="V135" s="80">
        <f>IF($I135&gt;0,MAX(0,$G135*SIN(RADIANS('13_시나리오비교'!$B$11))*SIN(RADIANS('13_시나리오비교'!$C$11))+$H135*SIN(RADIANS('13_시나리오비교'!$B$11))*COS(RADIANS('13_시나리오비교'!$C$11))+$I135*COS(RADIANS('13_시나리오비교'!$B$11))),0)</f>
        <v/>
      </c>
      <c r="W135" s="80">
        <f>IF($I135&gt;0,MAX(0,$G135*SIN(RADIANS('13_시나리오비교'!$B$12))*SIN(RADIANS('13_시나리오비교'!$C$12))+$H135*SIN(RADIANS('13_시나리오비교'!$B$12))*COS(RADIANS('13_시나리오비교'!$C$12))+$I135*COS(RADIANS('13_시나리오비교'!$B$12))),0)</f>
        <v/>
      </c>
      <c r="X135" s="80">
        <f>IF($I135&gt;0,MAX(0,$G135*SIN(RADIANS('13_시나리오비교'!$B$13))*SIN(RADIANS('13_시나리오비교'!$C$13))+$H135*SIN(RADIANS('13_시나리오비교'!$B$13))*COS(RADIANS('13_시나리오비교'!$C$13))+$I135*COS(RADIANS('13_시나리오비교'!$B$13))),0)</f>
        <v/>
      </c>
      <c r="Y135" s="80">
        <f>IF($I135&gt;0,MAX(0,$G135*SIN(RADIANS('13_시나리오비교'!$B$14))*SIN(RADIANS('13_시나리오비교'!$C$14))+$H135*SIN(RADIANS('13_시나리오비교'!$B$14))*COS(RADIANS('13_시나리오비교'!$C$14))+$I135*COS(RADIANS('13_시나리오비교'!$B$14))),0)</f>
        <v/>
      </c>
    </row>
    <row r="136" hidden="1" outlineLevel="1">
      <c r="A136" s="79" t="n">
        <v>2</v>
      </c>
      <c r="B136" s="79" t="n">
        <v>20</v>
      </c>
      <c r="C136" s="80">
        <f>(B136-0.5)*'14_지역·상수'!$H$6</f>
        <v/>
      </c>
      <c r="D136" s="79" t="n">
        <v>47</v>
      </c>
      <c r="E136" s="80">
        <f>INDEX($C$4:$C$15,MATCH(A136,$A$4:$A$15,0))</f>
        <v/>
      </c>
      <c r="F136" s="80">
        <f>15*(C136-12)</f>
        <v/>
      </c>
      <c r="G136" s="80">
        <f>-COS(RADIANS(E136))*SIN(RADIANS(F136))</f>
        <v/>
      </c>
      <c r="H136" s="80">
        <f>COS(RADIANS('11_발전량_모델'!$B$17))*SIN(RADIANS(E136))-SIN(RADIANS('11_발전량_모델'!$B$17))*COS(RADIANS(E136))*COS(RADIANS(F136))</f>
        <v/>
      </c>
      <c r="I136" s="80">
        <f>SIN(RADIANS('11_발전량_모델'!$B$17))*SIN(RADIANS(E136))+COS(RADIANS('11_발전량_모델'!$B$17))*COS(RADIANS(E136))*COS(RADIANS(F136))</f>
        <v/>
      </c>
      <c r="J136" s="80">
        <f>SIN(RADIANS('11_발전량_모델'!$B$7))*SIN(RADIANS('11_발전량_모델'!$B$8))</f>
        <v/>
      </c>
      <c r="K136" s="80">
        <f>SIN(RADIANS('11_발전량_모델'!$B$7))*COS(RADIANS('11_발전량_모델'!$B$8))</f>
        <v/>
      </c>
      <c r="L136" s="80">
        <f>COS(RADIANS('11_발전량_모델'!$B$7))</f>
        <v/>
      </c>
      <c r="M136" s="80">
        <f>G136*J136+H136*K136+I136*L136</f>
        <v/>
      </c>
      <c r="N136" s="80">
        <f>MAX(0,I136)</f>
        <v/>
      </c>
      <c r="O136" s="80">
        <f>IF(I136&gt;0,MAX(0,M136),0)</f>
        <v/>
      </c>
      <c r="P136" s="80">
        <f>IF($I136&gt;0,MAX(0,$G136*SIN(RADIANS('13_시나리오비교'!$B$5))*SIN(RADIANS('13_시나리오비교'!$C$5))+$H136*SIN(RADIANS('13_시나리오비교'!$B$5))*COS(RADIANS('13_시나리오비교'!$C$5))+$I136*COS(RADIANS('13_시나리오비교'!$B$5))),0)</f>
        <v/>
      </c>
      <c r="Q136" s="80">
        <f>IF($I136&gt;0,MAX(0,$G136*SIN(RADIANS('13_시나리오비교'!$B$6))*SIN(RADIANS('13_시나리오비교'!$C$6))+$H136*SIN(RADIANS('13_시나리오비교'!$B$6))*COS(RADIANS('13_시나리오비교'!$C$6))+$I136*COS(RADIANS('13_시나리오비교'!$B$6))),0)</f>
        <v/>
      </c>
      <c r="R136" s="80">
        <f>IF($I136&gt;0,MAX(0,$G136*SIN(RADIANS('13_시나리오비교'!$B$7))*SIN(RADIANS('13_시나리오비교'!$C$7))+$H136*SIN(RADIANS('13_시나리오비교'!$B$7))*COS(RADIANS('13_시나리오비교'!$C$7))+$I136*COS(RADIANS('13_시나리오비교'!$B$7))),0)</f>
        <v/>
      </c>
      <c r="S136" s="80">
        <f>IF($I136&gt;0,MAX(0,$G136*SIN(RADIANS('13_시나리오비교'!$B$8))*SIN(RADIANS('13_시나리오비교'!$C$8))+$H136*SIN(RADIANS('13_시나리오비교'!$B$8))*COS(RADIANS('13_시나리오비교'!$C$8))+$I136*COS(RADIANS('13_시나리오비교'!$B$8))),0)</f>
        <v/>
      </c>
      <c r="T136" s="80">
        <f>IF($I136&gt;0,MAX(0,$G136*SIN(RADIANS('13_시나리오비교'!$B$9))*SIN(RADIANS('13_시나리오비교'!$C$9))+$H136*SIN(RADIANS('13_시나리오비교'!$B$9))*COS(RADIANS('13_시나리오비교'!$C$9))+$I136*COS(RADIANS('13_시나리오비교'!$B$9))),0)</f>
        <v/>
      </c>
      <c r="U136" s="80">
        <f>IF($I136&gt;0,MAX(0,$G136*SIN(RADIANS('13_시나리오비교'!$B$10))*SIN(RADIANS('13_시나리오비교'!$C$10))+$H136*SIN(RADIANS('13_시나리오비교'!$B$10))*COS(RADIANS('13_시나리오비교'!$C$10))+$I136*COS(RADIANS('13_시나리오비교'!$B$10))),0)</f>
        <v/>
      </c>
      <c r="V136" s="80">
        <f>IF($I136&gt;0,MAX(0,$G136*SIN(RADIANS('13_시나리오비교'!$B$11))*SIN(RADIANS('13_시나리오비교'!$C$11))+$H136*SIN(RADIANS('13_시나리오비교'!$B$11))*COS(RADIANS('13_시나리오비교'!$C$11))+$I136*COS(RADIANS('13_시나리오비교'!$B$11))),0)</f>
        <v/>
      </c>
      <c r="W136" s="80">
        <f>IF($I136&gt;0,MAX(0,$G136*SIN(RADIANS('13_시나리오비교'!$B$12))*SIN(RADIANS('13_시나리오비교'!$C$12))+$H136*SIN(RADIANS('13_시나리오비교'!$B$12))*COS(RADIANS('13_시나리오비교'!$C$12))+$I136*COS(RADIANS('13_시나리오비교'!$B$12))),0)</f>
        <v/>
      </c>
      <c r="X136" s="80">
        <f>IF($I136&gt;0,MAX(0,$G136*SIN(RADIANS('13_시나리오비교'!$B$13))*SIN(RADIANS('13_시나리오비교'!$C$13))+$H136*SIN(RADIANS('13_시나리오비교'!$B$13))*COS(RADIANS('13_시나리오비교'!$C$13))+$I136*COS(RADIANS('13_시나리오비교'!$B$13))),0)</f>
        <v/>
      </c>
      <c r="Y136" s="80">
        <f>IF($I136&gt;0,MAX(0,$G136*SIN(RADIANS('13_시나리오비교'!$B$14))*SIN(RADIANS('13_시나리오비교'!$C$14))+$H136*SIN(RADIANS('13_시나리오비교'!$B$14))*COS(RADIANS('13_시나리오비교'!$C$14))+$I136*COS(RADIANS('13_시나리오비교'!$B$14))),0)</f>
        <v/>
      </c>
    </row>
    <row r="137" hidden="1" outlineLevel="1">
      <c r="A137" s="79" t="n">
        <v>2</v>
      </c>
      <c r="B137" s="79" t="n">
        <v>21</v>
      </c>
      <c r="C137" s="80">
        <f>(B137-0.5)*'14_지역·상수'!$H$6</f>
        <v/>
      </c>
      <c r="D137" s="79" t="n">
        <v>47</v>
      </c>
      <c r="E137" s="80">
        <f>INDEX($C$4:$C$15,MATCH(A137,$A$4:$A$15,0))</f>
        <v/>
      </c>
      <c r="F137" s="80">
        <f>15*(C137-12)</f>
        <v/>
      </c>
      <c r="G137" s="80">
        <f>-COS(RADIANS(E137))*SIN(RADIANS(F137))</f>
        <v/>
      </c>
      <c r="H137" s="80">
        <f>COS(RADIANS('11_발전량_모델'!$B$17))*SIN(RADIANS(E137))-SIN(RADIANS('11_발전량_모델'!$B$17))*COS(RADIANS(E137))*COS(RADIANS(F137))</f>
        <v/>
      </c>
      <c r="I137" s="80">
        <f>SIN(RADIANS('11_발전량_모델'!$B$17))*SIN(RADIANS(E137))+COS(RADIANS('11_발전량_모델'!$B$17))*COS(RADIANS(E137))*COS(RADIANS(F137))</f>
        <v/>
      </c>
      <c r="J137" s="80">
        <f>SIN(RADIANS('11_발전량_모델'!$B$7))*SIN(RADIANS('11_발전량_모델'!$B$8))</f>
        <v/>
      </c>
      <c r="K137" s="80">
        <f>SIN(RADIANS('11_발전량_모델'!$B$7))*COS(RADIANS('11_발전량_모델'!$B$8))</f>
        <v/>
      </c>
      <c r="L137" s="80">
        <f>COS(RADIANS('11_발전량_모델'!$B$7))</f>
        <v/>
      </c>
      <c r="M137" s="80">
        <f>G137*J137+H137*K137+I137*L137</f>
        <v/>
      </c>
      <c r="N137" s="80">
        <f>MAX(0,I137)</f>
        <v/>
      </c>
      <c r="O137" s="80">
        <f>IF(I137&gt;0,MAX(0,M137),0)</f>
        <v/>
      </c>
      <c r="P137" s="80">
        <f>IF($I137&gt;0,MAX(0,$G137*SIN(RADIANS('13_시나리오비교'!$B$5))*SIN(RADIANS('13_시나리오비교'!$C$5))+$H137*SIN(RADIANS('13_시나리오비교'!$B$5))*COS(RADIANS('13_시나리오비교'!$C$5))+$I137*COS(RADIANS('13_시나리오비교'!$B$5))),0)</f>
        <v/>
      </c>
      <c r="Q137" s="80">
        <f>IF($I137&gt;0,MAX(0,$G137*SIN(RADIANS('13_시나리오비교'!$B$6))*SIN(RADIANS('13_시나리오비교'!$C$6))+$H137*SIN(RADIANS('13_시나리오비교'!$B$6))*COS(RADIANS('13_시나리오비교'!$C$6))+$I137*COS(RADIANS('13_시나리오비교'!$B$6))),0)</f>
        <v/>
      </c>
      <c r="R137" s="80">
        <f>IF($I137&gt;0,MAX(0,$G137*SIN(RADIANS('13_시나리오비교'!$B$7))*SIN(RADIANS('13_시나리오비교'!$C$7))+$H137*SIN(RADIANS('13_시나리오비교'!$B$7))*COS(RADIANS('13_시나리오비교'!$C$7))+$I137*COS(RADIANS('13_시나리오비교'!$B$7))),0)</f>
        <v/>
      </c>
      <c r="S137" s="80">
        <f>IF($I137&gt;0,MAX(0,$G137*SIN(RADIANS('13_시나리오비교'!$B$8))*SIN(RADIANS('13_시나리오비교'!$C$8))+$H137*SIN(RADIANS('13_시나리오비교'!$B$8))*COS(RADIANS('13_시나리오비교'!$C$8))+$I137*COS(RADIANS('13_시나리오비교'!$B$8))),0)</f>
        <v/>
      </c>
      <c r="T137" s="80">
        <f>IF($I137&gt;0,MAX(0,$G137*SIN(RADIANS('13_시나리오비교'!$B$9))*SIN(RADIANS('13_시나리오비교'!$C$9))+$H137*SIN(RADIANS('13_시나리오비교'!$B$9))*COS(RADIANS('13_시나리오비교'!$C$9))+$I137*COS(RADIANS('13_시나리오비교'!$B$9))),0)</f>
        <v/>
      </c>
      <c r="U137" s="80">
        <f>IF($I137&gt;0,MAX(0,$G137*SIN(RADIANS('13_시나리오비교'!$B$10))*SIN(RADIANS('13_시나리오비교'!$C$10))+$H137*SIN(RADIANS('13_시나리오비교'!$B$10))*COS(RADIANS('13_시나리오비교'!$C$10))+$I137*COS(RADIANS('13_시나리오비교'!$B$10))),0)</f>
        <v/>
      </c>
      <c r="V137" s="80">
        <f>IF($I137&gt;0,MAX(0,$G137*SIN(RADIANS('13_시나리오비교'!$B$11))*SIN(RADIANS('13_시나리오비교'!$C$11))+$H137*SIN(RADIANS('13_시나리오비교'!$B$11))*COS(RADIANS('13_시나리오비교'!$C$11))+$I137*COS(RADIANS('13_시나리오비교'!$B$11))),0)</f>
        <v/>
      </c>
      <c r="W137" s="80">
        <f>IF($I137&gt;0,MAX(0,$G137*SIN(RADIANS('13_시나리오비교'!$B$12))*SIN(RADIANS('13_시나리오비교'!$C$12))+$H137*SIN(RADIANS('13_시나리오비교'!$B$12))*COS(RADIANS('13_시나리오비교'!$C$12))+$I137*COS(RADIANS('13_시나리오비교'!$B$12))),0)</f>
        <v/>
      </c>
      <c r="X137" s="80">
        <f>IF($I137&gt;0,MAX(0,$G137*SIN(RADIANS('13_시나리오비교'!$B$13))*SIN(RADIANS('13_시나리오비교'!$C$13))+$H137*SIN(RADIANS('13_시나리오비교'!$B$13))*COS(RADIANS('13_시나리오비교'!$C$13))+$I137*COS(RADIANS('13_시나리오비교'!$B$13))),0)</f>
        <v/>
      </c>
      <c r="Y137" s="80">
        <f>IF($I137&gt;0,MAX(0,$G137*SIN(RADIANS('13_시나리오비교'!$B$14))*SIN(RADIANS('13_시나리오비교'!$C$14))+$H137*SIN(RADIANS('13_시나리오비교'!$B$14))*COS(RADIANS('13_시나리오비교'!$C$14))+$I137*COS(RADIANS('13_시나리오비교'!$B$14))),0)</f>
        <v/>
      </c>
    </row>
    <row r="138" hidden="1" outlineLevel="1">
      <c r="A138" s="79" t="n">
        <v>2</v>
      </c>
      <c r="B138" s="79" t="n">
        <v>22</v>
      </c>
      <c r="C138" s="80">
        <f>(B138-0.5)*'14_지역·상수'!$H$6</f>
        <v/>
      </c>
      <c r="D138" s="79" t="n">
        <v>47</v>
      </c>
      <c r="E138" s="80">
        <f>INDEX($C$4:$C$15,MATCH(A138,$A$4:$A$15,0))</f>
        <v/>
      </c>
      <c r="F138" s="80">
        <f>15*(C138-12)</f>
        <v/>
      </c>
      <c r="G138" s="80">
        <f>-COS(RADIANS(E138))*SIN(RADIANS(F138))</f>
        <v/>
      </c>
      <c r="H138" s="80">
        <f>COS(RADIANS('11_발전량_모델'!$B$17))*SIN(RADIANS(E138))-SIN(RADIANS('11_발전량_모델'!$B$17))*COS(RADIANS(E138))*COS(RADIANS(F138))</f>
        <v/>
      </c>
      <c r="I138" s="80">
        <f>SIN(RADIANS('11_발전량_모델'!$B$17))*SIN(RADIANS(E138))+COS(RADIANS('11_발전량_모델'!$B$17))*COS(RADIANS(E138))*COS(RADIANS(F138))</f>
        <v/>
      </c>
      <c r="J138" s="80">
        <f>SIN(RADIANS('11_발전량_모델'!$B$7))*SIN(RADIANS('11_발전량_모델'!$B$8))</f>
        <v/>
      </c>
      <c r="K138" s="80">
        <f>SIN(RADIANS('11_발전량_모델'!$B$7))*COS(RADIANS('11_발전량_모델'!$B$8))</f>
        <v/>
      </c>
      <c r="L138" s="80">
        <f>COS(RADIANS('11_발전량_모델'!$B$7))</f>
        <v/>
      </c>
      <c r="M138" s="80">
        <f>G138*J138+H138*K138+I138*L138</f>
        <v/>
      </c>
      <c r="N138" s="80">
        <f>MAX(0,I138)</f>
        <v/>
      </c>
      <c r="O138" s="80">
        <f>IF(I138&gt;0,MAX(0,M138),0)</f>
        <v/>
      </c>
      <c r="P138" s="80">
        <f>IF($I138&gt;0,MAX(0,$G138*SIN(RADIANS('13_시나리오비교'!$B$5))*SIN(RADIANS('13_시나리오비교'!$C$5))+$H138*SIN(RADIANS('13_시나리오비교'!$B$5))*COS(RADIANS('13_시나리오비교'!$C$5))+$I138*COS(RADIANS('13_시나리오비교'!$B$5))),0)</f>
        <v/>
      </c>
      <c r="Q138" s="80">
        <f>IF($I138&gt;0,MAX(0,$G138*SIN(RADIANS('13_시나리오비교'!$B$6))*SIN(RADIANS('13_시나리오비교'!$C$6))+$H138*SIN(RADIANS('13_시나리오비교'!$B$6))*COS(RADIANS('13_시나리오비교'!$C$6))+$I138*COS(RADIANS('13_시나리오비교'!$B$6))),0)</f>
        <v/>
      </c>
      <c r="R138" s="80">
        <f>IF($I138&gt;0,MAX(0,$G138*SIN(RADIANS('13_시나리오비교'!$B$7))*SIN(RADIANS('13_시나리오비교'!$C$7))+$H138*SIN(RADIANS('13_시나리오비교'!$B$7))*COS(RADIANS('13_시나리오비교'!$C$7))+$I138*COS(RADIANS('13_시나리오비교'!$B$7))),0)</f>
        <v/>
      </c>
      <c r="S138" s="80">
        <f>IF($I138&gt;0,MAX(0,$G138*SIN(RADIANS('13_시나리오비교'!$B$8))*SIN(RADIANS('13_시나리오비교'!$C$8))+$H138*SIN(RADIANS('13_시나리오비교'!$B$8))*COS(RADIANS('13_시나리오비교'!$C$8))+$I138*COS(RADIANS('13_시나리오비교'!$B$8))),0)</f>
        <v/>
      </c>
      <c r="T138" s="80">
        <f>IF($I138&gt;0,MAX(0,$G138*SIN(RADIANS('13_시나리오비교'!$B$9))*SIN(RADIANS('13_시나리오비교'!$C$9))+$H138*SIN(RADIANS('13_시나리오비교'!$B$9))*COS(RADIANS('13_시나리오비교'!$C$9))+$I138*COS(RADIANS('13_시나리오비교'!$B$9))),0)</f>
        <v/>
      </c>
      <c r="U138" s="80">
        <f>IF($I138&gt;0,MAX(0,$G138*SIN(RADIANS('13_시나리오비교'!$B$10))*SIN(RADIANS('13_시나리오비교'!$C$10))+$H138*SIN(RADIANS('13_시나리오비교'!$B$10))*COS(RADIANS('13_시나리오비교'!$C$10))+$I138*COS(RADIANS('13_시나리오비교'!$B$10))),0)</f>
        <v/>
      </c>
      <c r="V138" s="80">
        <f>IF($I138&gt;0,MAX(0,$G138*SIN(RADIANS('13_시나리오비교'!$B$11))*SIN(RADIANS('13_시나리오비교'!$C$11))+$H138*SIN(RADIANS('13_시나리오비교'!$B$11))*COS(RADIANS('13_시나리오비교'!$C$11))+$I138*COS(RADIANS('13_시나리오비교'!$B$11))),0)</f>
        <v/>
      </c>
      <c r="W138" s="80">
        <f>IF($I138&gt;0,MAX(0,$G138*SIN(RADIANS('13_시나리오비교'!$B$12))*SIN(RADIANS('13_시나리오비교'!$C$12))+$H138*SIN(RADIANS('13_시나리오비교'!$B$12))*COS(RADIANS('13_시나리오비교'!$C$12))+$I138*COS(RADIANS('13_시나리오비교'!$B$12))),0)</f>
        <v/>
      </c>
      <c r="X138" s="80">
        <f>IF($I138&gt;0,MAX(0,$G138*SIN(RADIANS('13_시나리오비교'!$B$13))*SIN(RADIANS('13_시나리오비교'!$C$13))+$H138*SIN(RADIANS('13_시나리오비교'!$B$13))*COS(RADIANS('13_시나리오비교'!$C$13))+$I138*COS(RADIANS('13_시나리오비교'!$B$13))),0)</f>
        <v/>
      </c>
      <c r="Y138" s="80">
        <f>IF($I138&gt;0,MAX(0,$G138*SIN(RADIANS('13_시나리오비교'!$B$14))*SIN(RADIANS('13_시나리오비교'!$C$14))+$H138*SIN(RADIANS('13_시나리오비교'!$B$14))*COS(RADIANS('13_시나리오비교'!$C$14))+$I138*COS(RADIANS('13_시나리오비교'!$B$14))),0)</f>
        <v/>
      </c>
    </row>
    <row r="139" hidden="1" outlineLevel="1">
      <c r="A139" s="79" t="n">
        <v>2</v>
      </c>
      <c r="B139" s="79" t="n">
        <v>23</v>
      </c>
      <c r="C139" s="80">
        <f>(B139-0.5)*'14_지역·상수'!$H$6</f>
        <v/>
      </c>
      <c r="D139" s="79" t="n">
        <v>47</v>
      </c>
      <c r="E139" s="80">
        <f>INDEX($C$4:$C$15,MATCH(A139,$A$4:$A$15,0))</f>
        <v/>
      </c>
      <c r="F139" s="80">
        <f>15*(C139-12)</f>
        <v/>
      </c>
      <c r="G139" s="80">
        <f>-COS(RADIANS(E139))*SIN(RADIANS(F139))</f>
        <v/>
      </c>
      <c r="H139" s="80">
        <f>COS(RADIANS('11_발전량_모델'!$B$17))*SIN(RADIANS(E139))-SIN(RADIANS('11_발전량_모델'!$B$17))*COS(RADIANS(E139))*COS(RADIANS(F139))</f>
        <v/>
      </c>
      <c r="I139" s="80">
        <f>SIN(RADIANS('11_발전량_모델'!$B$17))*SIN(RADIANS(E139))+COS(RADIANS('11_발전량_모델'!$B$17))*COS(RADIANS(E139))*COS(RADIANS(F139))</f>
        <v/>
      </c>
      <c r="J139" s="80">
        <f>SIN(RADIANS('11_발전량_모델'!$B$7))*SIN(RADIANS('11_발전량_모델'!$B$8))</f>
        <v/>
      </c>
      <c r="K139" s="80">
        <f>SIN(RADIANS('11_발전량_모델'!$B$7))*COS(RADIANS('11_발전량_모델'!$B$8))</f>
        <v/>
      </c>
      <c r="L139" s="80">
        <f>COS(RADIANS('11_발전량_모델'!$B$7))</f>
        <v/>
      </c>
      <c r="M139" s="80">
        <f>G139*J139+H139*K139+I139*L139</f>
        <v/>
      </c>
      <c r="N139" s="80">
        <f>MAX(0,I139)</f>
        <v/>
      </c>
      <c r="O139" s="80">
        <f>IF(I139&gt;0,MAX(0,M139),0)</f>
        <v/>
      </c>
      <c r="P139" s="80">
        <f>IF($I139&gt;0,MAX(0,$G139*SIN(RADIANS('13_시나리오비교'!$B$5))*SIN(RADIANS('13_시나리오비교'!$C$5))+$H139*SIN(RADIANS('13_시나리오비교'!$B$5))*COS(RADIANS('13_시나리오비교'!$C$5))+$I139*COS(RADIANS('13_시나리오비교'!$B$5))),0)</f>
        <v/>
      </c>
      <c r="Q139" s="80">
        <f>IF($I139&gt;0,MAX(0,$G139*SIN(RADIANS('13_시나리오비교'!$B$6))*SIN(RADIANS('13_시나리오비교'!$C$6))+$H139*SIN(RADIANS('13_시나리오비교'!$B$6))*COS(RADIANS('13_시나리오비교'!$C$6))+$I139*COS(RADIANS('13_시나리오비교'!$B$6))),0)</f>
        <v/>
      </c>
      <c r="R139" s="80">
        <f>IF($I139&gt;0,MAX(0,$G139*SIN(RADIANS('13_시나리오비교'!$B$7))*SIN(RADIANS('13_시나리오비교'!$C$7))+$H139*SIN(RADIANS('13_시나리오비교'!$B$7))*COS(RADIANS('13_시나리오비교'!$C$7))+$I139*COS(RADIANS('13_시나리오비교'!$B$7))),0)</f>
        <v/>
      </c>
      <c r="S139" s="80">
        <f>IF($I139&gt;0,MAX(0,$G139*SIN(RADIANS('13_시나리오비교'!$B$8))*SIN(RADIANS('13_시나리오비교'!$C$8))+$H139*SIN(RADIANS('13_시나리오비교'!$B$8))*COS(RADIANS('13_시나리오비교'!$C$8))+$I139*COS(RADIANS('13_시나리오비교'!$B$8))),0)</f>
        <v/>
      </c>
      <c r="T139" s="80">
        <f>IF($I139&gt;0,MAX(0,$G139*SIN(RADIANS('13_시나리오비교'!$B$9))*SIN(RADIANS('13_시나리오비교'!$C$9))+$H139*SIN(RADIANS('13_시나리오비교'!$B$9))*COS(RADIANS('13_시나리오비교'!$C$9))+$I139*COS(RADIANS('13_시나리오비교'!$B$9))),0)</f>
        <v/>
      </c>
      <c r="U139" s="80">
        <f>IF($I139&gt;0,MAX(0,$G139*SIN(RADIANS('13_시나리오비교'!$B$10))*SIN(RADIANS('13_시나리오비교'!$C$10))+$H139*SIN(RADIANS('13_시나리오비교'!$B$10))*COS(RADIANS('13_시나리오비교'!$C$10))+$I139*COS(RADIANS('13_시나리오비교'!$B$10))),0)</f>
        <v/>
      </c>
      <c r="V139" s="80">
        <f>IF($I139&gt;0,MAX(0,$G139*SIN(RADIANS('13_시나리오비교'!$B$11))*SIN(RADIANS('13_시나리오비교'!$C$11))+$H139*SIN(RADIANS('13_시나리오비교'!$B$11))*COS(RADIANS('13_시나리오비교'!$C$11))+$I139*COS(RADIANS('13_시나리오비교'!$B$11))),0)</f>
        <v/>
      </c>
      <c r="W139" s="80">
        <f>IF($I139&gt;0,MAX(0,$G139*SIN(RADIANS('13_시나리오비교'!$B$12))*SIN(RADIANS('13_시나리오비교'!$C$12))+$H139*SIN(RADIANS('13_시나리오비교'!$B$12))*COS(RADIANS('13_시나리오비교'!$C$12))+$I139*COS(RADIANS('13_시나리오비교'!$B$12))),0)</f>
        <v/>
      </c>
      <c r="X139" s="80">
        <f>IF($I139&gt;0,MAX(0,$G139*SIN(RADIANS('13_시나리오비교'!$B$13))*SIN(RADIANS('13_시나리오비교'!$C$13))+$H139*SIN(RADIANS('13_시나리오비교'!$B$13))*COS(RADIANS('13_시나리오비교'!$C$13))+$I139*COS(RADIANS('13_시나리오비교'!$B$13))),0)</f>
        <v/>
      </c>
      <c r="Y139" s="80">
        <f>IF($I139&gt;0,MAX(0,$G139*SIN(RADIANS('13_시나리오비교'!$B$14))*SIN(RADIANS('13_시나리오비교'!$C$14))+$H139*SIN(RADIANS('13_시나리오비교'!$B$14))*COS(RADIANS('13_시나리오비교'!$C$14))+$I139*COS(RADIANS('13_시나리오비교'!$B$14))),0)</f>
        <v/>
      </c>
    </row>
    <row r="140" hidden="1" outlineLevel="1">
      <c r="A140" s="79" t="n">
        <v>2</v>
      </c>
      <c r="B140" s="79" t="n">
        <v>24</v>
      </c>
      <c r="C140" s="80">
        <f>(B140-0.5)*'14_지역·상수'!$H$6</f>
        <v/>
      </c>
      <c r="D140" s="79" t="n">
        <v>47</v>
      </c>
      <c r="E140" s="80">
        <f>INDEX($C$4:$C$15,MATCH(A140,$A$4:$A$15,0))</f>
        <v/>
      </c>
      <c r="F140" s="80">
        <f>15*(C140-12)</f>
        <v/>
      </c>
      <c r="G140" s="80">
        <f>-COS(RADIANS(E140))*SIN(RADIANS(F140))</f>
        <v/>
      </c>
      <c r="H140" s="80">
        <f>COS(RADIANS('11_발전량_모델'!$B$17))*SIN(RADIANS(E140))-SIN(RADIANS('11_발전량_모델'!$B$17))*COS(RADIANS(E140))*COS(RADIANS(F140))</f>
        <v/>
      </c>
      <c r="I140" s="80">
        <f>SIN(RADIANS('11_발전량_모델'!$B$17))*SIN(RADIANS(E140))+COS(RADIANS('11_발전량_모델'!$B$17))*COS(RADIANS(E140))*COS(RADIANS(F140))</f>
        <v/>
      </c>
      <c r="J140" s="80">
        <f>SIN(RADIANS('11_발전량_모델'!$B$7))*SIN(RADIANS('11_발전량_모델'!$B$8))</f>
        <v/>
      </c>
      <c r="K140" s="80">
        <f>SIN(RADIANS('11_발전량_모델'!$B$7))*COS(RADIANS('11_발전량_모델'!$B$8))</f>
        <v/>
      </c>
      <c r="L140" s="80">
        <f>COS(RADIANS('11_발전량_모델'!$B$7))</f>
        <v/>
      </c>
      <c r="M140" s="80">
        <f>G140*J140+H140*K140+I140*L140</f>
        <v/>
      </c>
      <c r="N140" s="80">
        <f>MAX(0,I140)</f>
        <v/>
      </c>
      <c r="O140" s="80">
        <f>IF(I140&gt;0,MAX(0,M140),0)</f>
        <v/>
      </c>
      <c r="P140" s="80">
        <f>IF($I140&gt;0,MAX(0,$G140*SIN(RADIANS('13_시나리오비교'!$B$5))*SIN(RADIANS('13_시나리오비교'!$C$5))+$H140*SIN(RADIANS('13_시나리오비교'!$B$5))*COS(RADIANS('13_시나리오비교'!$C$5))+$I140*COS(RADIANS('13_시나리오비교'!$B$5))),0)</f>
        <v/>
      </c>
      <c r="Q140" s="80">
        <f>IF($I140&gt;0,MAX(0,$G140*SIN(RADIANS('13_시나리오비교'!$B$6))*SIN(RADIANS('13_시나리오비교'!$C$6))+$H140*SIN(RADIANS('13_시나리오비교'!$B$6))*COS(RADIANS('13_시나리오비교'!$C$6))+$I140*COS(RADIANS('13_시나리오비교'!$B$6))),0)</f>
        <v/>
      </c>
      <c r="R140" s="80">
        <f>IF($I140&gt;0,MAX(0,$G140*SIN(RADIANS('13_시나리오비교'!$B$7))*SIN(RADIANS('13_시나리오비교'!$C$7))+$H140*SIN(RADIANS('13_시나리오비교'!$B$7))*COS(RADIANS('13_시나리오비교'!$C$7))+$I140*COS(RADIANS('13_시나리오비교'!$B$7))),0)</f>
        <v/>
      </c>
      <c r="S140" s="80">
        <f>IF($I140&gt;0,MAX(0,$G140*SIN(RADIANS('13_시나리오비교'!$B$8))*SIN(RADIANS('13_시나리오비교'!$C$8))+$H140*SIN(RADIANS('13_시나리오비교'!$B$8))*COS(RADIANS('13_시나리오비교'!$C$8))+$I140*COS(RADIANS('13_시나리오비교'!$B$8))),0)</f>
        <v/>
      </c>
      <c r="T140" s="80">
        <f>IF($I140&gt;0,MAX(0,$G140*SIN(RADIANS('13_시나리오비교'!$B$9))*SIN(RADIANS('13_시나리오비교'!$C$9))+$H140*SIN(RADIANS('13_시나리오비교'!$B$9))*COS(RADIANS('13_시나리오비교'!$C$9))+$I140*COS(RADIANS('13_시나리오비교'!$B$9))),0)</f>
        <v/>
      </c>
      <c r="U140" s="80">
        <f>IF($I140&gt;0,MAX(0,$G140*SIN(RADIANS('13_시나리오비교'!$B$10))*SIN(RADIANS('13_시나리오비교'!$C$10))+$H140*SIN(RADIANS('13_시나리오비교'!$B$10))*COS(RADIANS('13_시나리오비교'!$C$10))+$I140*COS(RADIANS('13_시나리오비교'!$B$10))),0)</f>
        <v/>
      </c>
      <c r="V140" s="80">
        <f>IF($I140&gt;0,MAX(0,$G140*SIN(RADIANS('13_시나리오비교'!$B$11))*SIN(RADIANS('13_시나리오비교'!$C$11))+$H140*SIN(RADIANS('13_시나리오비교'!$B$11))*COS(RADIANS('13_시나리오비교'!$C$11))+$I140*COS(RADIANS('13_시나리오비교'!$B$11))),0)</f>
        <v/>
      </c>
      <c r="W140" s="80">
        <f>IF($I140&gt;0,MAX(0,$G140*SIN(RADIANS('13_시나리오비교'!$B$12))*SIN(RADIANS('13_시나리오비교'!$C$12))+$H140*SIN(RADIANS('13_시나리오비교'!$B$12))*COS(RADIANS('13_시나리오비교'!$C$12))+$I140*COS(RADIANS('13_시나리오비교'!$B$12))),0)</f>
        <v/>
      </c>
      <c r="X140" s="80">
        <f>IF($I140&gt;0,MAX(0,$G140*SIN(RADIANS('13_시나리오비교'!$B$13))*SIN(RADIANS('13_시나리오비교'!$C$13))+$H140*SIN(RADIANS('13_시나리오비교'!$B$13))*COS(RADIANS('13_시나리오비교'!$C$13))+$I140*COS(RADIANS('13_시나리오비교'!$B$13))),0)</f>
        <v/>
      </c>
      <c r="Y140" s="80">
        <f>IF($I140&gt;0,MAX(0,$G140*SIN(RADIANS('13_시나리오비교'!$B$14))*SIN(RADIANS('13_시나리오비교'!$C$14))+$H140*SIN(RADIANS('13_시나리오비교'!$B$14))*COS(RADIANS('13_시나리오비교'!$C$14))+$I140*COS(RADIANS('13_시나리오비교'!$B$14))),0)</f>
        <v/>
      </c>
    </row>
    <row r="141" hidden="1" outlineLevel="1">
      <c r="A141" s="79" t="n">
        <v>2</v>
      </c>
      <c r="B141" s="79" t="n">
        <v>25</v>
      </c>
      <c r="C141" s="80">
        <f>(B141-0.5)*'14_지역·상수'!$H$6</f>
        <v/>
      </c>
      <c r="D141" s="79" t="n">
        <v>47</v>
      </c>
      <c r="E141" s="80">
        <f>INDEX($C$4:$C$15,MATCH(A141,$A$4:$A$15,0))</f>
        <v/>
      </c>
      <c r="F141" s="80">
        <f>15*(C141-12)</f>
        <v/>
      </c>
      <c r="G141" s="80">
        <f>-COS(RADIANS(E141))*SIN(RADIANS(F141))</f>
        <v/>
      </c>
      <c r="H141" s="80">
        <f>COS(RADIANS('11_발전량_모델'!$B$17))*SIN(RADIANS(E141))-SIN(RADIANS('11_발전량_모델'!$B$17))*COS(RADIANS(E141))*COS(RADIANS(F141))</f>
        <v/>
      </c>
      <c r="I141" s="80">
        <f>SIN(RADIANS('11_발전량_모델'!$B$17))*SIN(RADIANS(E141))+COS(RADIANS('11_발전량_모델'!$B$17))*COS(RADIANS(E141))*COS(RADIANS(F141))</f>
        <v/>
      </c>
      <c r="J141" s="80">
        <f>SIN(RADIANS('11_발전량_모델'!$B$7))*SIN(RADIANS('11_발전량_모델'!$B$8))</f>
        <v/>
      </c>
      <c r="K141" s="80">
        <f>SIN(RADIANS('11_발전량_모델'!$B$7))*COS(RADIANS('11_발전량_모델'!$B$8))</f>
        <v/>
      </c>
      <c r="L141" s="80">
        <f>COS(RADIANS('11_발전량_모델'!$B$7))</f>
        <v/>
      </c>
      <c r="M141" s="80">
        <f>G141*J141+H141*K141+I141*L141</f>
        <v/>
      </c>
      <c r="N141" s="80">
        <f>MAX(0,I141)</f>
        <v/>
      </c>
      <c r="O141" s="80">
        <f>IF(I141&gt;0,MAX(0,M141),0)</f>
        <v/>
      </c>
      <c r="P141" s="80">
        <f>IF($I141&gt;0,MAX(0,$G141*SIN(RADIANS('13_시나리오비교'!$B$5))*SIN(RADIANS('13_시나리오비교'!$C$5))+$H141*SIN(RADIANS('13_시나리오비교'!$B$5))*COS(RADIANS('13_시나리오비교'!$C$5))+$I141*COS(RADIANS('13_시나리오비교'!$B$5))),0)</f>
        <v/>
      </c>
      <c r="Q141" s="80">
        <f>IF($I141&gt;0,MAX(0,$G141*SIN(RADIANS('13_시나리오비교'!$B$6))*SIN(RADIANS('13_시나리오비교'!$C$6))+$H141*SIN(RADIANS('13_시나리오비교'!$B$6))*COS(RADIANS('13_시나리오비교'!$C$6))+$I141*COS(RADIANS('13_시나리오비교'!$B$6))),0)</f>
        <v/>
      </c>
      <c r="R141" s="80">
        <f>IF($I141&gt;0,MAX(0,$G141*SIN(RADIANS('13_시나리오비교'!$B$7))*SIN(RADIANS('13_시나리오비교'!$C$7))+$H141*SIN(RADIANS('13_시나리오비교'!$B$7))*COS(RADIANS('13_시나리오비교'!$C$7))+$I141*COS(RADIANS('13_시나리오비교'!$B$7))),0)</f>
        <v/>
      </c>
      <c r="S141" s="80">
        <f>IF($I141&gt;0,MAX(0,$G141*SIN(RADIANS('13_시나리오비교'!$B$8))*SIN(RADIANS('13_시나리오비교'!$C$8))+$H141*SIN(RADIANS('13_시나리오비교'!$B$8))*COS(RADIANS('13_시나리오비교'!$C$8))+$I141*COS(RADIANS('13_시나리오비교'!$B$8))),0)</f>
        <v/>
      </c>
      <c r="T141" s="80">
        <f>IF($I141&gt;0,MAX(0,$G141*SIN(RADIANS('13_시나리오비교'!$B$9))*SIN(RADIANS('13_시나리오비교'!$C$9))+$H141*SIN(RADIANS('13_시나리오비교'!$B$9))*COS(RADIANS('13_시나리오비교'!$C$9))+$I141*COS(RADIANS('13_시나리오비교'!$B$9))),0)</f>
        <v/>
      </c>
      <c r="U141" s="80">
        <f>IF($I141&gt;0,MAX(0,$G141*SIN(RADIANS('13_시나리오비교'!$B$10))*SIN(RADIANS('13_시나리오비교'!$C$10))+$H141*SIN(RADIANS('13_시나리오비교'!$B$10))*COS(RADIANS('13_시나리오비교'!$C$10))+$I141*COS(RADIANS('13_시나리오비교'!$B$10))),0)</f>
        <v/>
      </c>
      <c r="V141" s="80">
        <f>IF($I141&gt;0,MAX(0,$G141*SIN(RADIANS('13_시나리오비교'!$B$11))*SIN(RADIANS('13_시나리오비교'!$C$11))+$H141*SIN(RADIANS('13_시나리오비교'!$B$11))*COS(RADIANS('13_시나리오비교'!$C$11))+$I141*COS(RADIANS('13_시나리오비교'!$B$11))),0)</f>
        <v/>
      </c>
      <c r="W141" s="80">
        <f>IF($I141&gt;0,MAX(0,$G141*SIN(RADIANS('13_시나리오비교'!$B$12))*SIN(RADIANS('13_시나리오비교'!$C$12))+$H141*SIN(RADIANS('13_시나리오비교'!$B$12))*COS(RADIANS('13_시나리오비교'!$C$12))+$I141*COS(RADIANS('13_시나리오비교'!$B$12))),0)</f>
        <v/>
      </c>
      <c r="X141" s="80">
        <f>IF($I141&gt;0,MAX(0,$G141*SIN(RADIANS('13_시나리오비교'!$B$13))*SIN(RADIANS('13_시나리오비교'!$C$13))+$H141*SIN(RADIANS('13_시나리오비교'!$B$13))*COS(RADIANS('13_시나리오비교'!$C$13))+$I141*COS(RADIANS('13_시나리오비교'!$B$13))),0)</f>
        <v/>
      </c>
      <c r="Y141" s="80">
        <f>IF($I141&gt;0,MAX(0,$G141*SIN(RADIANS('13_시나리오비교'!$B$14))*SIN(RADIANS('13_시나리오비교'!$C$14))+$H141*SIN(RADIANS('13_시나리오비교'!$B$14))*COS(RADIANS('13_시나리오비교'!$C$14))+$I141*COS(RADIANS('13_시나리오비교'!$B$14))),0)</f>
        <v/>
      </c>
    </row>
    <row r="142" hidden="1" outlineLevel="1">
      <c r="A142" s="79" t="n">
        <v>2</v>
      </c>
      <c r="B142" s="79" t="n">
        <v>26</v>
      </c>
      <c r="C142" s="80">
        <f>(B142-0.5)*'14_지역·상수'!$H$6</f>
        <v/>
      </c>
      <c r="D142" s="79" t="n">
        <v>47</v>
      </c>
      <c r="E142" s="80">
        <f>INDEX($C$4:$C$15,MATCH(A142,$A$4:$A$15,0))</f>
        <v/>
      </c>
      <c r="F142" s="80">
        <f>15*(C142-12)</f>
        <v/>
      </c>
      <c r="G142" s="80">
        <f>-COS(RADIANS(E142))*SIN(RADIANS(F142))</f>
        <v/>
      </c>
      <c r="H142" s="80">
        <f>COS(RADIANS('11_발전량_모델'!$B$17))*SIN(RADIANS(E142))-SIN(RADIANS('11_발전량_모델'!$B$17))*COS(RADIANS(E142))*COS(RADIANS(F142))</f>
        <v/>
      </c>
      <c r="I142" s="80">
        <f>SIN(RADIANS('11_발전량_모델'!$B$17))*SIN(RADIANS(E142))+COS(RADIANS('11_발전량_모델'!$B$17))*COS(RADIANS(E142))*COS(RADIANS(F142))</f>
        <v/>
      </c>
      <c r="J142" s="80">
        <f>SIN(RADIANS('11_발전량_모델'!$B$7))*SIN(RADIANS('11_발전량_모델'!$B$8))</f>
        <v/>
      </c>
      <c r="K142" s="80">
        <f>SIN(RADIANS('11_발전량_모델'!$B$7))*COS(RADIANS('11_발전량_모델'!$B$8))</f>
        <v/>
      </c>
      <c r="L142" s="80">
        <f>COS(RADIANS('11_발전량_모델'!$B$7))</f>
        <v/>
      </c>
      <c r="M142" s="80">
        <f>G142*J142+H142*K142+I142*L142</f>
        <v/>
      </c>
      <c r="N142" s="80">
        <f>MAX(0,I142)</f>
        <v/>
      </c>
      <c r="O142" s="80">
        <f>IF(I142&gt;0,MAX(0,M142),0)</f>
        <v/>
      </c>
      <c r="P142" s="80">
        <f>IF($I142&gt;0,MAX(0,$G142*SIN(RADIANS('13_시나리오비교'!$B$5))*SIN(RADIANS('13_시나리오비교'!$C$5))+$H142*SIN(RADIANS('13_시나리오비교'!$B$5))*COS(RADIANS('13_시나리오비교'!$C$5))+$I142*COS(RADIANS('13_시나리오비교'!$B$5))),0)</f>
        <v/>
      </c>
      <c r="Q142" s="80">
        <f>IF($I142&gt;0,MAX(0,$G142*SIN(RADIANS('13_시나리오비교'!$B$6))*SIN(RADIANS('13_시나리오비교'!$C$6))+$H142*SIN(RADIANS('13_시나리오비교'!$B$6))*COS(RADIANS('13_시나리오비교'!$C$6))+$I142*COS(RADIANS('13_시나리오비교'!$B$6))),0)</f>
        <v/>
      </c>
      <c r="R142" s="80">
        <f>IF($I142&gt;0,MAX(0,$G142*SIN(RADIANS('13_시나리오비교'!$B$7))*SIN(RADIANS('13_시나리오비교'!$C$7))+$H142*SIN(RADIANS('13_시나리오비교'!$B$7))*COS(RADIANS('13_시나리오비교'!$C$7))+$I142*COS(RADIANS('13_시나리오비교'!$B$7))),0)</f>
        <v/>
      </c>
      <c r="S142" s="80">
        <f>IF($I142&gt;0,MAX(0,$G142*SIN(RADIANS('13_시나리오비교'!$B$8))*SIN(RADIANS('13_시나리오비교'!$C$8))+$H142*SIN(RADIANS('13_시나리오비교'!$B$8))*COS(RADIANS('13_시나리오비교'!$C$8))+$I142*COS(RADIANS('13_시나리오비교'!$B$8))),0)</f>
        <v/>
      </c>
      <c r="T142" s="80">
        <f>IF($I142&gt;0,MAX(0,$G142*SIN(RADIANS('13_시나리오비교'!$B$9))*SIN(RADIANS('13_시나리오비교'!$C$9))+$H142*SIN(RADIANS('13_시나리오비교'!$B$9))*COS(RADIANS('13_시나리오비교'!$C$9))+$I142*COS(RADIANS('13_시나리오비교'!$B$9))),0)</f>
        <v/>
      </c>
      <c r="U142" s="80">
        <f>IF($I142&gt;0,MAX(0,$G142*SIN(RADIANS('13_시나리오비교'!$B$10))*SIN(RADIANS('13_시나리오비교'!$C$10))+$H142*SIN(RADIANS('13_시나리오비교'!$B$10))*COS(RADIANS('13_시나리오비교'!$C$10))+$I142*COS(RADIANS('13_시나리오비교'!$B$10))),0)</f>
        <v/>
      </c>
      <c r="V142" s="80">
        <f>IF($I142&gt;0,MAX(0,$G142*SIN(RADIANS('13_시나리오비교'!$B$11))*SIN(RADIANS('13_시나리오비교'!$C$11))+$H142*SIN(RADIANS('13_시나리오비교'!$B$11))*COS(RADIANS('13_시나리오비교'!$C$11))+$I142*COS(RADIANS('13_시나리오비교'!$B$11))),0)</f>
        <v/>
      </c>
      <c r="W142" s="80">
        <f>IF($I142&gt;0,MAX(0,$G142*SIN(RADIANS('13_시나리오비교'!$B$12))*SIN(RADIANS('13_시나리오비교'!$C$12))+$H142*SIN(RADIANS('13_시나리오비교'!$B$12))*COS(RADIANS('13_시나리오비교'!$C$12))+$I142*COS(RADIANS('13_시나리오비교'!$B$12))),0)</f>
        <v/>
      </c>
      <c r="X142" s="80">
        <f>IF($I142&gt;0,MAX(0,$G142*SIN(RADIANS('13_시나리오비교'!$B$13))*SIN(RADIANS('13_시나리오비교'!$C$13))+$H142*SIN(RADIANS('13_시나리오비교'!$B$13))*COS(RADIANS('13_시나리오비교'!$C$13))+$I142*COS(RADIANS('13_시나리오비교'!$B$13))),0)</f>
        <v/>
      </c>
      <c r="Y142" s="80">
        <f>IF($I142&gt;0,MAX(0,$G142*SIN(RADIANS('13_시나리오비교'!$B$14))*SIN(RADIANS('13_시나리오비교'!$C$14))+$H142*SIN(RADIANS('13_시나리오비교'!$B$14))*COS(RADIANS('13_시나리오비교'!$C$14))+$I142*COS(RADIANS('13_시나리오비교'!$B$14))),0)</f>
        <v/>
      </c>
    </row>
    <row r="143" hidden="1" outlineLevel="1">
      <c r="A143" s="79" t="n">
        <v>2</v>
      </c>
      <c r="B143" s="79" t="n">
        <v>27</v>
      </c>
      <c r="C143" s="80">
        <f>(B143-0.5)*'14_지역·상수'!$H$6</f>
        <v/>
      </c>
      <c r="D143" s="79" t="n">
        <v>47</v>
      </c>
      <c r="E143" s="80">
        <f>INDEX($C$4:$C$15,MATCH(A143,$A$4:$A$15,0))</f>
        <v/>
      </c>
      <c r="F143" s="80">
        <f>15*(C143-12)</f>
        <v/>
      </c>
      <c r="G143" s="80">
        <f>-COS(RADIANS(E143))*SIN(RADIANS(F143))</f>
        <v/>
      </c>
      <c r="H143" s="80">
        <f>COS(RADIANS('11_발전량_모델'!$B$17))*SIN(RADIANS(E143))-SIN(RADIANS('11_발전량_모델'!$B$17))*COS(RADIANS(E143))*COS(RADIANS(F143))</f>
        <v/>
      </c>
      <c r="I143" s="80">
        <f>SIN(RADIANS('11_발전량_모델'!$B$17))*SIN(RADIANS(E143))+COS(RADIANS('11_발전량_모델'!$B$17))*COS(RADIANS(E143))*COS(RADIANS(F143))</f>
        <v/>
      </c>
      <c r="J143" s="80">
        <f>SIN(RADIANS('11_발전량_모델'!$B$7))*SIN(RADIANS('11_발전량_모델'!$B$8))</f>
        <v/>
      </c>
      <c r="K143" s="80">
        <f>SIN(RADIANS('11_발전량_모델'!$B$7))*COS(RADIANS('11_발전량_모델'!$B$8))</f>
        <v/>
      </c>
      <c r="L143" s="80">
        <f>COS(RADIANS('11_발전량_모델'!$B$7))</f>
        <v/>
      </c>
      <c r="M143" s="80">
        <f>G143*J143+H143*K143+I143*L143</f>
        <v/>
      </c>
      <c r="N143" s="80">
        <f>MAX(0,I143)</f>
        <v/>
      </c>
      <c r="O143" s="80">
        <f>IF(I143&gt;0,MAX(0,M143),0)</f>
        <v/>
      </c>
      <c r="P143" s="80">
        <f>IF($I143&gt;0,MAX(0,$G143*SIN(RADIANS('13_시나리오비교'!$B$5))*SIN(RADIANS('13_시나리오비교'!$C$5))+$H143*SIN(RADIANS('13_시나리오비교'!$B$5))*COS(RADIANS('13_시나리오비교'!$C$5))+$I143*COS(RADIANS('13_시나리오비교'!$B$5))),0)</f>
        <v/>
      </c>
      <c r="Q143" s="80">
        <f>IF($I143&gt;0,MAX(0,$G143*SIN(RADIANS('13_시나리오비교'!$B$6))*SIN(RADIANS('13_시나리오비교'!$C$6))+$H143*SIN(RADIANS('13_시나리오비교'!$B$6))*COS(RADIANS('13_시나리오비교'!$C$6))+$I143*COS(RADIANS('13_시나리오비교'!$B$6))),0)</f>
        <v/>
      </c>
      <c r="R143" s="80">
        <f>IF($I143&gt;0,MAX(0,$G143*SIN(RADIANS('13_시나리오비교'!$B$7))*SIN(RADIANS('13_시나리오비교'!$C$7))+$H143*SIN(RADIANS('13_시나리오비교'!$B$7))*COS(RADIANS('13_시나리오비교'!$C$7))+$I143*COS(RADIANS('13_시나리오비교'!$B$7))),0)</f>
        <v/>
      </c>
      <c r="S143" s="80">
        <f>IF($I143&gt;0,MAX(0,$G143*SIN(RADIANS('13_시나리오비교'!$B$8))*SIN(RADIANS('13_시나리오비교'!$C$8))+$H143*SIN(RADIANS('13_시나리오비교'!$B$8))*COS(RADIANS('13_시나리오비교'!$C$8))+$I143*COS(RADIANS('13_시나리오비교'!$B$8))),0)</f>
        <v/>
      </c>
      <c r="T143" s="80">
        <f>IF($I143&gt;0,MAX(0,$G143*SIN(RADIANS('13_시나리오비교'!$B$9))*SIN(RADIANS('13_시나리오비교'!$C$9))+$H143*SIN(RADIANS('13_시나리오비교'!$B$9))*COS(RADIANS('13_시나리오비교'!$C$9))+$I143*COS(RADIANS('13_시나리오비교'!$B$9))),0)</f>
        <v/>
      </c>
      <c r="U143" s="80">
        <f>IF($I143&gt;0,MAX(0,$G143*SIN(RADIANS('13_시나리오비교'!$B$10))*SIN(RADIANS('13_시나리오비교'!$C$10))+$H143*SIN(RADIANS('13_시나리오비교'!$B$10))*COS(RADIANS('13_시나리오비교'!$C$10))+$I143*COS(RADIANS('13_시나리오비교'!$B$10))),0)</f>
        <v/>
      </c>
      <c r="V143" s="80">
        <f>IF($I143&gt;0,MAX(0,$G143*SIN(RADIANS('13_시나리오비교'!$B$11))*SIN(RADIANS('13_시나리오비교'!$C$11))+$H143*SIN(RADIANS('13_시나리오비교'!$B$11))*COS(RADIANS('13_시나리오비교'!$C$11))+$I143*COS(RADIANS('13_시나리오비교'!$B$11))),0)</f>
        <v/>
      </c>
      <c r="W143" s="80">
        <f>IF($I143&gt;0,MAX(0,$G143*SIN(RADIANS('13_시나리오비교'!$B$12))*SIN(RADIANS('13_시나리오비교'!$C$12))+$H143*SIN(RADIANS('13_시나리오비교'!$B$12))*COS(RADIANS('13_시나리오비교'!$C$12))+$I143*COS(RADIANS('13_시나리오비교'!$B$12))),0)</f>
        <v/>
      </c>
      <c r="X143" s="80">
        <f>IF($I143&gt;0,MAX(0,$G143*SIN(RADIANS('13_시나리오비교'!$B$13))*SIN(RADIANS('13_시나리오비교'!$C$13))+$H143*SIN(RADIANS('13_시나리오비교'!$B$13))*COS(RADIANS('13_시나리오비교'!$C$13))+$I143*COS(RADIANS('13_시나리오비교'!$B$13))),0)</f>
        <v/>
      </c>
      <c r="Y143" s="80">
        <f>IF($I143&gt;0,MAX(0,$G143*SIN(RADIANS('13_시나리오비교'!$B$14))*SIN(RADIANS('13_시나리오비교'!$C$14))+$H143*SIN(RADIANS('13_시나리오비교'!$B$14))*COS(RADIANS('13_시나리오비교'!$C$14))+$I143*COS(RADIANS('13_시나리오비교'!$B$14))),0)</f>
        <v/>
      </c>
    </row>
    <row r="144" hidden="1" outlineLevel="1">
      <c r="A144" s="79" t="n">
        <v>2</v>
      </c>
      <c r="B144" s="79" t="n">
        <v>28</v>
      </c>
      <c r="C144" s="80">
        <f>(B144-0.5)*'14_지역·상수'!$H$6</f>
        <v/>
      </c>
      <c r="D144" s="79" t="n">
        <v>47</v>
      </c>
      <c r="E144" s="80">
        <f>INDEX($C$4:$C$15,MATCH(A144,$A$4:$A$15,0))</f>
        <v/>
      </c>
      <c r="F144" s="80">
        <f>15*(C144-12)</f>
        <v/>
      </c>
      <c r="G144" s="80">
        <f>-COS(RADIANS(E144))*SIN(RADIANS(F144))</f>
        <v/>
      </c>
      <c r="H144" s="80">
        <f>COS(RADIANS('11_발전량_모델'!$B$17))*SIN(RADIANS(E144))-SIN(RADIANS('11_발전량_모델'!$B$17))*COS(RADIANS(E144))*COS(RADIANS(F144))</f>
        <v/>
      </c>
      <c r="I144" s="80">
        <f>SIN(RADIANS('11_발전량_모델'!$B$17))*SIN(RADIANS(E144))+COS(RADIANS('11_발전량_모델'!$B$17))*COS(RADIANS(E144))*COS(RADIANS(F144))</f>
        <v/>
      </c>
      <c r="J144" s="80">
        <f>SIN(RADIANS('11_발전량_모델'!$B$7))*SIN(RADIANS('11_발전량_모델'!$B$8))</f>
        <v/>
      </c>
      <c r="K144" s="80">
        <f>SIN(RADIANS('11_발전량_모델'!$B$7))*COS(RADIANS('11_발전량_모델'!$B$8))</f>
        <v/>
      </c>
      <c r="L144" s="80">
        <f>COS(RADIANS('11_발전량_모델'!$B$7))</f>
        <v/>
      </c>
      <c r="M144" s="80">
        <f>G144*J144+H144*K144+I144*L144</f>
        <v/>
      </c>
      <c r="N144" s="80">
        <f>MAX(0,I144)</f>
        <v/>
      </c>
      <c r="O144" s="80">
        <f>IF(I144&gt;0,MAX(0,M144),0)</f>
        <v/>
      </c>
      <c r="P144" s="80">
        <f>IF($I144&gt;0,MAX(0,$G144*SIN(RADIANS('13_시나리오비교'!$B$5))*SIN(RADIANS('13_시나리오비교'!$C$5))+$H144*SIN(RADIANS('13_시나리오비교'!$B$5))*COS(RADIANS('13_시나리오비교'!$C$5))+$I144*COS(RADIANS('13_시나리오비교'!$B$5))),0)</f>
        <v/>
      </c>
      <c r="Q144" s="80">
        <f>IF($I144&gt;0,MAX(0,$G144*SIN(RADIANS('13_시나리오비교'!$B$6))*SIN(RADIANS('13_시나리오비교'!$C$6))+$H144*SIN(RADIANS('13_시나리오비교'!$B$6))*COS(RADIANS('13_시나리오비교'!$C$6))+$I144*COS(RADIANS('13_시나리오비교'!$B$6))),0)</f>
        <v/>
      </c>
      <c r="R144" s="80">
        <f>IF($I144&gt;0,MAX(0,$G144*SIN(RADIANS('13_시나리오비교'!$B$7))*SIN(RADIANS('13_시나리오비교'!$C$7))+$H144*SIN(RADIANS('13_시나리오비교'!$B$7))*COS(RADIANS('13_시나리오비교'!$C$7))+$I144*COS(RADIANS('13_시나리오비교'!$B$7))),0)</f>
        <v/>
      </c>
      <c r="S144" s="80">
        <f>IF($I144&gt;0,MAX(0,$G144*SIN(RADIANS('13_시나리오비교'!$B$8))*SIN(RADIANS('13_시나리오비교'!$C$8))+$H144*SIN(RADIANS('13_시나리오비교'!$B$8))*COS(RADIANS('13_시나리오비교'!$C$8))+$I144*COS(RADIANS('13_시나리오비교'!$B$8))),0)</f>
        <v/>
      </c>
      <c r="T144" s="80">
        <f>IF($I144&gt;0,MAX(0,$G144*SIN(RADIANS('13_시나리오비교'!$B$9))*SIN(RADIANS('13_시나리오비교'!$C$9))+$H144*SIN(RADIANS('13_시나리오비교'!$B$9))*COS(RADIANS('13_시나리오비교'!$C$9))+$I144*COS(RADIANS('13_시나리오비교'!$B$9))),0)</f>
        <v/>
      </c>
      <c r="U144" s="80">
        <f>IF($I144&gt;0,MAX(0,$G144*SIN(RADIANS('13_시나리오비교'!$B$10))*SIN(RADIANS('13_시나리오비교'!$C$10))+$H144*SIN(RADIANS('13_시나리오비교'!$B$10))*COS(RADIANS('13_시나리오비교'!$C$10))+$I144*COS(RADIANS('13_시나리오비교'!$B$10))),0)</f>
        <v/>
      </c>
      <c r="V144" s="80">
        <f>IF($I144&gt;0,MAX(0,$G144*SIN(RADIANS('13_시나리오비교'!$B$11))*SIN(RADIANS('13_시나리오비교'!$C$11))+$H144*SIN(RADIANS('13_시나리오비교'!$B$11))*COS(RADIANS('13_시나리오비교'!$C$11))+$I144*COS(RADIANS('13_시나리오비교'!$B$11))),0)</f>
        <v/>
      </c>
      <c r="W144" s="80">
        <f>IF($I144&gt;0,MAX(0,$G144*SIN(RADIANS('13_시나리오비교'!$B$12))*SIN(RADIANS('13_시나리오비교'!$C$12))+$H144*SIN(RADIANS('13_시나리오비교'!$B$12))*COS(RADIANS('13_시나리오비교'!$C$12))+$I144*COS(RADIANS('13_시나리오비교'!$B$12))),0)</f>
        <v/>
      </c>
      <c r="X144" s="80">
        <f>IF($I144&gt;0,MAX(0,$G144*SIN(RADIANS('13_시나리오비교'!$B$13))*SIN(RADIANS('13_시나리오비교'!$C$13))+$H144*SIN(RADIANS('13_시나리오비교'!$B$13))*COS(RADIANS('13_시나리오비교'!$C$13))+$I144*COS(RADIANS('13_시나리오비교'!$B$13))),0)</f>
        <v/>
      </c>
      <c r="Y144" s="80">
        <f>IF($I144&gt;0,MAX(0,$G144*SIN(RADIANS('13_시나리오비교'!$B$14))*SIN(RADIANS('13_시나리오비교'!$C$14))+$H144*SIN(RADIANS('13_시나리오비교'!$B$14))*COS(RADIANS('13_시나리오비교'!$C$14))+$I144*COS(RADIANS('13_시나리오비교'!$B$14))),0)</f>
        <v/>
      </c>
    </row>
    <row r="145" hidden="1" outlineLevel="1">
      <c r="A145" s="79" t="n">
        <v>2</v>
      </c>
      <c r="B145" s="79" t="n">
        <v>29</v>
      </c>
      <c r="C145" s="80">
        <f>(B145-0.5)*'14_지역·상수'!$H$6</f>
        <v/>
      </c>
      <c r="D145" s="79" t="n">
        <v>47</v>
      </c>
      <c r="E145" s="80">
        <f>INDEX($C$4:$C$15,MATCH(A145,$A$4:$A$15,0))</f>
        <v/>
      </c>
      <c r="F145" s="80">
        <f>15*(C145-12)</f>
        <v/>
      </c>
      <c r="G145" s="80">
        <f>-COS(RADIANS(E145))*SIN(RADIANS(F145))</f>
        <v/>
      </c>
      <c r="H145" s="80">
        <f>COS(RADIANS('11_발전량_모델'!$B$17))*SIN(RADIANS(E145))-SIN(RADIANS('11_발전량_모델'!$B$17))*COS(RADIANS(E145))*COS(RADIANS(F145))</f>
        <v/>
      </c>
      <c r="I145" s="80">
        <f>SIN(RADIANS('11_발전량_모델'!$B$17))*SIN(RADIANS(E145))+COS(RADIANS('11_발전량_모델'!$B$17))*COS(RADIANS(E145))*COS(RADIANS(F145))</f>
        <v/>
      </c>
      <c r="J145" s="80">
        <f>SIN(RADIANS('11_발전량_모델'!$B$7))*SIN(RADIANS('11_발전량_모델'!$B$8))</f>
        <v/>
      </c>
      <c r="K145" s="80">
        <f>SIN(RADIANS('11_발전량_모델'!$B$7))*COS(RADIANS('11_발전량_모델'!$B$8))</f>
        <v/>
      </c>
      <c r="L145" s="80">
        <f>COS(RADIANS('11_발전량_모델'!$B$7))</f>
        <v/>
      </c>
      <c r="M145" s="80">
        <f>G145*J145+H145*K145+I145*L145</f>
        <v/>
      </c>
      <c r="N145" s="80">
        <f>MAX(0,I145)</f>
        <v/>
      </c>
      <c r="O145" s="80">
        <f>IF(I145&gt;0,MAX(0,M145),0)</f>
        <v/>
      </c>
      <c r="P145" s="80">
        <f>IF($I145&gt;0,MAX(0,$G145*SIN(RADIANS('13_시나리오비교'!$B$5))*SIN(RADIANS('13_시나리오비교'!$C$5))+$H145*SIN(RADIANS('13_시나리오비교'!$B$5))*COS(RADIANS('13_시나리오비교'!$C$5))+$I145*COS(RADIANS('13_시나리오비교'!$B$5))),0)</f>
        <v/>
      </c>
      <c r="Q145" s="80">
        <f>IF($I145&gt;0,MAX(0,$G145*SIN(RADIANS('13_시나리오비교'!$B$6))*SIN(RADIANS('13_시나리오비교'!$C$6))+$H145*SIN(RADIANS('13_시나리오비교'!$B$6))*COS(RADIANS('13_시나리오비교'!$C$6))+$I145*COS(RADIANS('13_시나리오비교'!$B$6))),0)</f>
        <v/>
      </c>
      <c r="R145" s="80">
        <f>IF($I145&gt;0,MAX(0,$G145*SIN(RADIANS('13_시나리오비교'!$B$7))*SIN(RADIANS('13_시나리오비교'!$C$7))+$H145*SIN(RADIANS('13_시나리오비교'!$B$7))*COS(RADIANS('13_시나리오비교'!$C$7))+$I145*COS(RADIANS('13_시나리오비교'!$B$7))),0)</f>
        <v/>
      </c>
      <c r="S145" s="80">
        <f>IF($I145&gt;0,MAX(0,$G145*SIN(RADIANS('13_시나리오비교'!$B$8))*SIN(RADIANS('13_시나리오비교'!$C$8))+$H145*SIN(RADIANS('13_시나리오비교'!$B$8))*COS(RADIANS('13_시나리오비교'!$C$8))+$I145*COS(RADIANS('13_시나리오비교'!$B$8))),0)</f>
        <v/>
      </c>
      <c r="T145" s="80">
        <f>IF($I145&gt;0,MAX(0,$G145*SIN(RADIANS('13_시나리오비교'!$B$9))*SIN(RADIANS('13_시나리오비교'!$C$9))+$H145*SIN(RADIANS('13_시나리오비교'!$B$9))*COS(RADIANS('13_시나리오비교'!$C$9))+$I145*COS(RADIANS('13_시나리오비교'!$B$9))),0)</f>
        <v/>
      </c>
      <c r="U145" s="80">
        <f>IF($I145&gt;0,MAX(0,$G145*SIN(RADIANS('13_시나리오비교'!$B$10))*SIN(RADIANS('13_시나리오비교'!$C$10))+$H145*SIN(RADIANS('13_시나리오비교'!$B$10))*COS(RADIANS('13_시나리오비교'!$C$10))+$I145*COS(RADIANS('13_시나리오비교'!$B$10))),0)</f>
        <v/>
      </c>
      <c r="V145" s="80">
        <f>IF($I145&gt;0,MAX(0,$G145*SIN(RADIANS('13_시나리오비교'!$B$11))*SIN(RADIANS('13_시나리오비교'!$C$11))+$H145*SIN(RADIANS('13_시나리오비교'!$B$11))*COS(RADIANS('13_시나리오비교'!$C$11))+$I145*COS(RADIANS('13_시나리오비교'!$B$11))),0)</f>
        <v/>
      </c>
      <c r="W145" s="80">
        <f>IF($I145&gt;0,MAX(0,$G145*SIN(RADIANS('13_시나리오비교'!$B$12))*SIN(RADIANS('13_시나리오비교'!$C$12))+$H145*SIN(RADIANS('13_시나리오비교'!$B$12))*COS(RADIANS('13_시나리오비교'!$C$12))+$I145*COS(RADIANS('13_시나리오비교'!$B$12))),0)</f>
        <v/>
      </c>
      <c r="X145" s="80">
        <f>IF($I145&gt;0,MAX(0,$G145*SIN(RADIANS('13_시나리오비교'!$B$13))*SIN(RADIANS('13_시나리오비교'!$C$13))+$H145*SIN(RADIANS('13_시나리오비교'!$B$13))*COS(RADIANS('13_시나리오비교'!$C$13))+$I145*COS(RADIANS('13_시나리오비교'!$B$13))),0)</f>
        <v/>
      </c>
      <c r="Y145" s="80">
        <f>IF($I145&gt;0,MAX(0,$G145*SIN(RADIANS('13_시나리오비교'!$B$14))*SIN(RADIANS('13_시나리오비교'!$C$14))+$H145*SIN(RADIANS('13_시나리오비교'!$B$14))*COS(RADIANS('13_시나리오비교'!$C$14))+$I145*COS(RADIANS('13_시나리오비교'!$B$14))),0)</f>
        <v/>
      </c>
    </row>
    <row r="146" hidden="1" outlineLevel="1">
      <c r="A146" s="79" t="n">
        <v>2</v>
      </c>
      <c r="B146" s="79" t="n">
        <v>30</v>
      </c>
      <c r="C146" s="80">
        <f>(B146-0.5)*'14_지역·상수'!$H$6</f>
        <v/>
      </c>
      <c r="D146" s="79" t="n">
        <v>47</v>
      </c>
      <c r="E146" s="80">
        <f>INDEX($C$4:$C$15,MATCH(A146,$A$4:$A$15,0))</f>
        <v/>
      </c>
      <c r="F146" s="80">
        <f>15*(C146-12)</f>
        <v/>
      </c>
      <c r="G146" s="80">
        <f>-COS(RADIANS(E146))*SIN(RADIANS(F146))</f>
        <v/>
      </c>
      <c r="H146" s="80">
        <f>COS(RADIANS('11_발전량_모델'!$B$17))*SIN(RADIANS(E146))-SIN(RADIANS('11_발전량_모델'!$B$17))*COS(RADIANS(E146))*COS(RADIANS(F146))</f>
        <v/>
      </c>
      <c r="I146" s="80">
        <f>SIN(RADIANS('11_발전량_모델'!$B$17))*SIN(RADIANS(E146))+COS(RADIANS('11_발전량_모델'!$B$17))*COS(RADIANS(E146))*COS(RADIANS(F146))</f>
        <v/>
      </c>
      <c r="J146" s="80">
        <f>SIN(RADIANS('11_발전량_모델'!$B$7))*SIN(RADIANS('11_발전량_모델'!$B$8))</f>
        <v/>
      </c>
      <c r="K146" s="80">
        <f>SIN(RADIANS('11_발전량_모델'!$B$7))*COS(RADIANS('11_발전량_모델'!$B$8))</f>
        <v/>
      </c>
      <c r="L146" s="80">
        <f>COS(RADIANS('11_발전량_모델'!$B$7))</f>
        <v/>
      </c>
      <c r="M146" s="80">
        <f>G146*J146+H146*K146+I146*L146</f>
        <v/>
      </c>
      <c r="N146" s="80">
        <f>MAX(0,I146)</f>
        <v/>
      </c>
      <c r="O146" s="80">
        <f>IF(I146&gt;0,MAX(0,M146),0)</f>
        <v/>
      </c>
      <c r="P146" s="80">
        <f>IF($I146&gt;0,MAX(0,$G146*SIN(RADIANS('13_시나리오비교'!$B$5))*SIN(RADIANS('13_시나리오비교'!$C$5))+$H146*SIN(RADIANS('13_시나리오비교'!$B$5))*COS(RADIANS('13_시나리오비교'!$C$5))+$I146*COS(RADIANS('13_시나리오비교'!$B$5))),0)</f>
        <v/>
      </c>
      <c r="Q146" s="80">
        <f>IF($I146&gt;0,MAX(0,$G146*SIN(RADIANS('13_시나리오비교'!$B$6))*SIN(RADIANS('13_시나리오비교'!$C$6))+$H146*SIN(RADIANS('13_시나리오비교'!$B$6))*COS(RADIANS('13_시나리오비교'!$C$6))+$I146*COS(RADIANS('13_시나리오비교'!$B$6))),0)</f>
        <v/>
      </c>
      <c r="R146" s="80">
        <f>IF($I146&gt;0,MAX(0,$G146*SIN(RADIANS('13_시나리오비교'!$B$7))*SIN(RADIANS('13_시나리오비교'!$C$7))+$H146*SIN(RADIANS('13_시나리오비교'!$B$7))*COS(RADIANS('13_시나리오비교'!$C$7))+$I146*COS(RADIANS('13_시나리오비교'!$B$7))),0)</f>
        <v/>
      </c>
      <c r="S146" s="80">
        <f>IF($I146&gt;0,MAX(0,$G146*SIN(RADIANS('13_시나리오비교'!$B$8))*SIN(RADIANS('13_시나리오비교'!$C$8))+$H146*SIN(RADIANS('13_시나리오비교'!$B$8))*COS(RADIANS('13_시나리오비교'!$C$8))+$I146*COS(RADIANS('13_시나리오비교'!$B$8))),0)</f>
        <v/>
      </c>
      <c r="T146" s="80">
        <f>IF($I146&gt;0,MAX(0,$G146*SIN(RADIANS('13_시나리오비교'!$B$9))*SIN(RADIANS('13_시나리오비교'!$C$9))+$H146*SIN(RADIANS('13_시나리오비교'!$B$9))*COS(RADIANS('13_시나리오비교'!$C$9))+$I146*COS(RADIANS('13_시나리오비교'!$B$9))),0)</f>
        <v/>
      </c>
      <c r="U146" s="80">
        <f>IF($I146&gt;0,MAX(0,$G146*SIN(RADIANS('13_시나리오비교'!$B$10))*SIN(RADIANS('13_시나리오비교'!$C$10))+$H146*SIN(RADIANS('13_시나리오비교'!$B$10))*COS(RADIANS('13_시나리오비교'!$C$10))+$I146*COS(RADIANS('13_시나리오비교'!$B$10))),0)</f>
        <v/>
      </c>
      <c r="V146" s="80">
        <f>IF($I146&gt;0,MAX(0,$G146*SIN(RADIANS('13_시나리오비교'!$B$11))*SIN(RADIANS('13_시나리오비교'!$C$11))+$H146*SIN(RADIANS('13_시나리오비교'!$B$11))*COS(RADIANS('13_시나리오비교'!$C$11))+$I146*COS(RADIANS('13_시나리오비교'!$B$11))),0)</f>
        <v/>
      </c>
      <c r="W146" s="80">
        <f>IF($I146&gt;0,MAX(0,$G146*SIN(RADIANS('13_시나리오비교'!$B$12))*SIN(RADIANS('13_시나리오비교'!$C$12))+$H146*SIN(RADIANS('13_시나리오비교'!$B$12))*COS(RADIANS('13_시나리오비교'!$C$12))+$I146*COS(RADIANS('13_시나리오비교'!$B$12))),0)</f>
        <v/>
      </c>
      <c r="X146" s="80">
        <f>IF($I146&gt;0,MAX(0,$G146*SIN(RADIANS('13_시나리오비교'!$B$13))*SIN(RADIANS('13_시나리오비교'!$C$13))+$H146*SIN(RADIANS('13_시나리오비교'!$B$13))*COS(RADIANS('13_시나리오비교'!$C$13))+$I146*COS(RADIANS('13_시나리오비교'!$B$13))),0)</f>
        <v/>
      </c>
      <c r="Y146" s="80">
        <f>IF($I146&gt;0,MAX(0,$G146*SIN(RADIANS('13_시나리오비교'!$B$14))*SIN(RADIANS('13_시나리오비교'!$C$14))+$H146*SIN(RADIANS('13_시나리오비교'!$B$14))*COS(RADIANS('13_시나리오비교'!$C$14))+$I146*COS(RADIANS('13_시나리오비교'!$B$14))),0)</f>
        <v/>
      </c>
    </row>
    <row r="147" hidden="1" outlineLevel="1">
      <c r="A147" s="79" t="n">
        <v>2</v>
      </c>
      <c r="B147" s="79" t="n">
        <v>31</v>
      </c>
      <c r="C147" s="80">
        <f>(B147-0.5)*'14_지역·상수'!$H$6</f>
        <v/>
      </c>
      <c r="D147" s="79" t="n">
        <v>47</v>
      </c>
      <c r="E147" s="80">
        <f>INDEX($C$4:$C$15,MATCH(A147,$A$4:$A$15,0))</f>
        <v/>
      </c>
      <c r="F147" s="80">
        <f>15*(C147-12)</f>
        <v/>
      </c>
      <c r="G147" s="80">
        <f>-COS(RADIANS(E147))*SIN(RADIANS(F147))</f>
        <v/>
      </c>
      <c r="H147" s="80">
        <f>COS(RADIANS('11_발전량_모델'!$B$17))*SIN(RADIANS(E147))-SIN(RADIANS('11_발전량_모델'!$B$17))*COS(RADIANS(E147))*COS(RADIANS(F147))</f>
        <v/>
      </c>
      <c r="I147" s="80">
        <f>SIN(RADIANS('11_발전량_모델'!$B$17))*SIN(RADIANS(E147))+COS(RADIANS('11_발전량_모델'!$B$17))*COS(RADIANS(E147))*COS(RADIANS(F147))</f>
        <v/>
      </c>
      <c r="J147" s="80">
        <f>SIN(RADIANS('11_발전량_모델'!$B$7))*SIN(RADIANS('11_발전량_모델'!$B$8))</f>
        <v/>
      </c>
      <c r="K147" s="80">
        <f>SIN(RADIANS('11_발전량_모델'!$B$7))*COS(RADIANS('11_발전량_모델'!$B$8))</f>
        <v/>
      </c>
      <c r="L147" s="80">
        <f>COS(RADIANS('11_발전량_모델'!$B$7))</f>
        <v/>
      </c>
      <c r="M147" s="80">
        <f>G147*J147+H147*K147+I147*L147</f>
        <v/>
      </c>
      <c r="N147" s="80">
        <f>MAX(0,I147)</f>
        <v/>
      </c>
      <c r="O147" s="80">
        <f>IF(I147&gt;0,MAX(0,M147),0)</f>
        <v/>
      </c>
      <c r="P147" s="80">
        <f>IF($I147&gt;0,MAX(0,$G147*SIN(RADIANS('13_시나리오비교'!$B$5))*SIN(RADIANS('13_시나리오비교'!$C$5))+$H147*SIN(RADIANS('13_시나리오비교'!$B$5))*COS(RADIANS('13_시나리오비교'!$C$5))+$I147*COS(RADIANS('13_시나리오비교'!$B$5))),0)</f>
        <v/>
      </c>
      <c r="Q147" s="80">
        <f>IF($I147&gt;0,MAX(0,$G147*SIN(RADIANS('13_시나리오비교'!$B$6))*SIN(RADIANS('13_시나리오비교'!$C$6))+$H147*SIN(RADIANS('13_시나리오비교'!$B$6))*COS(RADIANS('13_시나리오비교'!$C$6))+$I147*COS(RADIANS('13_시나리오비교'!$B$6))),0)</f>
        <v/>
      </c>
      <c r="R147" s="80">
        <f>IF($I147&gt;0,MAX(0,$G147*SIN(RADIANS('13_시나리오비교'!$B$7))*SIN(RADIANS('13_시나리오비교'!$C$7))+$H147*SIN(RADIANS('13_시나리오비교'!$B$7))*COS(RADIANS('13_시나리오비교'!$C$7))+$I147*COS(RADIANS('13_시나리오비교'!$B$7))),0)</f>
        <v/>
      </c>
      <c r="S147" s="80">
        <f>IF($I147&gt;0,MAX(0,$G147*SIN(RADIANS('13_시나리오비교'!$B$8))*SIN(RADIANS('13_시나리오비교'!$C$8))+$H147*SIN(RADIANS('13_시나리오비교'!$B$8))*COS(RADIANS('13_시나리오비교'!$C$8))+$I147*COS(RADIANS('13_시나리오비교'!$B$8))),0)</f>
        <v/>
      </c>
      <c r="T147" s="80">
        <f>IF($I147&gt;0,MAX(0,$G147*SIN(RADIANS('13_시나리오비교'!$B$9))*SIN(RADIANS('13_시나리오비교'!$C$9))+$H147*SIN(RADIANS('13_시나리오비교'!$B$9))*COS(RADIANS('13_시나리오비교'!$C$9))+$I147*COS(RADIANS('13_시나리오비교'!$B$9))),0)</f>
        <v/>
      </c>
      <c r="U147" s="80">
        <f>IF($I147&gt;0,MAX(0,$G147*SIN(RADIANS('13_시나리오비교'!$B$10))*SIN(RADIANS('13_시나리오비교'!$C$10))+$H147*SIN(RADIANS('13_시나리오비교'!$B$10))*COS(RADIANS('13_시나리오비교'!$C$10))+$I147*COS(RADIANS('13_시나리오비교'!$B$10))),0)</f>
        <v/>
      </c>
      <c r="V147" s="80">
        <f>IF($I147&gt;0,MAX(0,$G147*SIN(RADIANS('13_시나리오비교'!$B$11))*SIN(RADIANS('13_시나리오비교'!$C$11))+$H147*SIN(RADIANS('13_시나리오비교'!$B$11))*COS(RADIANS('13_시나리오비교'!$C$11))+$I147*COS(RADIANS('13_시나리오비교'!$B$11))),0)</f>
        <v/>
      </c>
      <c r="W147" s="80">
        <f>IF($I147&gt;0,MAX(0,$G147*SIN(RADIANS('13_시나리오비교'!$B$12))*SIN(RADIANS('13_시나리오비교'!$C$12))+$H147*SIN(RADIANS('13_시나리오비교'!$B$12))*COS(RADIANS('13_시나리오비교'!$C$12))+$I147*COS(RADIANS('13_시나리오비교'!$B$12))),0)</f>
        <v/>
      </c>
      <c r="X147" s="80">
        <f>IF($I147&gt;0,MAX(0,$G147*SIN(RADIANS('13_시나리오비교'!$B$13))*SIN(RADIANS('13_시나리오비교'!$C$13))+$H147*SIN(RADIANS('13_시나리오비교'!$B$13))*COS(RADIANS('13_시나리오비교'!$C$13))+$I147*COS(RADIANS('13_시나리오비교'!$B$13))),0)</f>
        <v/>
      </c>
      <c r="Y147" s="80">
        <f>IF($I147&gt;0,MAX(0,$G147*SIN(RADIANS('13_시나리오비교'!$B$14))*SIN(RADIANS('13_시나리오비교'!$C$14))+$H147*SIN(RADIANS('13_시나리오비교'!$B$14))*COS(RADIANS('13_시나리오비교'!$C$14))+$I147*COS(RADIANS('13_시나리오비교'!$B$14))),0)</f>
        <v/>
      </c>
    </row>
    <row r="148" hidden="1" outlineLevel="1">
      <c r="A148" s="79" t="n">
        <v>2</v>
      </c>
      <c r="B148" s="79" t="n">
        <v>32</v>
      </c>
      <c r="C148" s="80">
        <f>(B148-0.5)*'14_지역·상수'!$H$6</f>
        <v/>
      </c>
      <c r="D148" s="79" t="n">
        <v>47</v>
      </c>
      <c r="E148" s="80">
        <f>INDEX($C$4:$C$15,MATCH(A148,$A$4:$A$15,0))</f>
        <v/>
      </c>
      <c r="F148" s="80">
        <f>15*(C148-12)</f>
        <v/>
      </c>
      <c r="G148" s="80">
        <f>-COS(RADIANS(E148))*SIN(RADIANS(F148))</f>
        <v/>
      </c>
      <c r="H148" s="80">
        <f>COS(RADIANS('11_발전량_모델'!$B$17))*SIN(RADIANS(E148))-SIN(RADIANS('11_발전량_모델'!$B$17))*COS(RADIANS(E148))*COS(RADIANS(F148))</f>
        <v/>
      </c>
      <c r="I148" s="80">
        <f>SIN(RADIANS('11_발전량_모델'!$B$17))*SIN(RADIANS(E148))+COS(RADIANS('11_발전량_모델'!$B$17))*COS(RADIANS(E148))*COS(RADIANS(F148))</f>
        <v/>
      </c>
      <c r="J148" s="80">
        <f>SIN(RADIANS('11_발전량_모델'!$B$7))*SIN(RADIANS('11_발전량_모델'!$B$8))</f>
        <v/>
      </c>
      <c r="K148" s="80">
        <f>SIN(RADIANS('11_발전량_모델'!$B$7))*COS(RADIANS('11_발전량_모델'!$B$8))</f>
        <v/>
      </c>
      <c r="L148" s="80">
        <f>COS(RADIANS('11_발전량_모델'!$B$7))</f>
        <v/>
      </c>
      <c r="M148" s="80">
        <f>G148*J148+H148*K148+I148*L148</f>
        <v/>
      </c>
      <c r="N148" s="80">
        <f>MAX(0,I148)</f>
        <v/>
      </c>
      <c r="O148" s="80">
        <f>IF(I148&gt;0,MAX(0,M148),0)</f>
        <v/>
      </c>
      <c r="P148" s="80">
        <f>IF($I148&gt;0,MAX(0,$G148*SIN(RADIANS('13_시나리오비교'!$B$5))*SIN(RADIANS('13_시나리오비교'!$C$5))+$H148*SIN(RADIANS('13_시나리오비교'!$B$5))*COS(RADIANS('13_시나리오비교'!$C$5))+$I148*COS(RADIANS('13_시나리오비교'!$B$5))),0)</f>
        <v/>
      </c>
      <c r="Q148" s="80">
        <f>IF($I148&gt;0,MAX(0,$G148*SIN(RADIANS('13_시나리오비교'!$B$6))*SIN(RADIANS('13_시나리오비교'!$C$6))+$H148*SIN(RADIANS('13_시나리오비교'!$B$6))*COS(RADIANS('13_시나리오비교'!$C$6))+$I148*COS(RADIANS('13_시나리오비교'!$B$6))),0)</f>
        <v/>
      </c>
      <c r="R148" s="80">
        <f>IF($I148&gt;0,MAX(0,$G148*SIN(RADIANS('13_시나리오비교'!$B$7))*SIN(RADIANS('13_시나리오비교'!$C$7))+$H148*SIN(RADIANS('13_시나리오비교'!$B$7))*COS(RADIANS('13_시나리오비교'!$C$7))+$I148*COS(RADIANS('13_시나리오비교'!$B$7))),0)</f>
        <v/>
      </c>
      <c r="S148" s="80">
        <f>IF($I148&gt;0,MAX(0,$G148*SIN(RADIANS('13_시나리오비교'!$B$8))*SIN(RADIANS('13_시나리오비교'!$C$8))+$H148*SIN(RADIANS('13_시나리오비교'!$B$8))*COS(RADIANS('13_시나리오비교'!$C$8))+$I148*COS(RADIANS('13_시나리오비교'!$B$8))),0)</f>
        <v/>
      </c>
      <c r="T148" s="80">
        <f>IF($I148&gt;0,MAX(0,$G148*SIN(RADIANS('13_시나리오비교'!$B$9))*SIN(RADIANS('13_시나리오비교'!$C$9))+$H148*SIN(RADIANS('13_시나리오비교'!$B$9))*COS(RADIANS('13_시나리오비교'!$C$9))+$I148*COS(RADIANS('13_시나리오비교'!$B$9))),0)</f>
        <v/>
      </c>
      <c r="U148" s="80">
        <f>IF($I148&gt;0,MAX(0,$G148*SIN(RADIANS('13_시나리오비교'!$B$10))*SIN(RADIANS('13_시나리오비교'!$C$10))+$H148*SIN(RADIANS('13_시나리오비교'!$B$10))*COS(RADIANS('13_시나리오비교'!$C$10))+$I148*COS(RADIANS('13_시나리오비교'!$B$10))),0)</f>
        <v/>
      </c>
      <c r="V148" s="80">
        <f>IF($I148&gt;0,MAX(0,$G148*SIN(RADIANS('13_시나리오비교'!$B$11))*SIN(RADIANS('13_시나리오비교'!$C$11))+$H148*SIN(RADIANS('13_시나리오비교'!$B$11))*COS(RADIANS('13_시나리오비교'!$C$11))+$I148*COS(RADIANS('13_시나리오비교'!$B$11))),0)</f>
        <v/>
      </c>
      <c r="W148" s="80">
        <f>IF($I148&gt;0,MAX(0,$G148*SIN(RADIANS('13_시나리오비교'!$B$12))*SIN(RADIANS('13_시나리오비교'!$C$12))+$H148*SIN(RADIANS('13_시나리오비교'!$B$12))*COS(RADIANS('13_시나리오비교'!$C$12))+$I148*COS(RADIANS('13_시나리오비교'!$B$12))),0)</f>
        <v/>
      </c>
      <c r="X148" s="80">
        <f>IF($I148&gt;0,MAX(0,$G148*SIN(RADIANS('13_시나리오비교'!$B$13))*SIN(RADIANS('13_시나리오비교'!$C$13))+$H148*SIN(RADIANS('13_시나리오비교'!$B$13))*COS(RADIANS('13_시나리오비교'!$C$13))+$I148*COS(RADIANS('13_시나리오비교'!$B$13))),0)</f>
        <v/>
      </c>
      <c r="Y148" s="80">
        <f>IF($I148&gt;0,MAX(0,$G148*SIN(RADIANS('13_시나리오비교'!$B$14))*SIN(RADIANS('13_시나리오비교'!$C$14))+$H148*SIN(RADIANS('13_시나리오비교'!$B$14))*COS(RADIANS('13_시나리오비교'!$C$14))+$I148*COS(RADIANS('13_시나리오비교'!$B$14))),0)</f>
        <v/>
      </c>
    </row>
    <row r="149" hidden="1" outlineLevel="1">
      <c r="A149" s="79" t="n">
        <v>2</v>
      </c>
      <c r="B149" s="79" t="n">
        <v>33</v>
      </c>
      <c r="C149" s="80">
        <f>(B149-0.5)*'14_지역·상수'!$H$6</f>
        <v/>
      </c>
      <c r="D149" s="79" t="n">
        <v>47</v>
      </c>
      <c r="E149" s="80">
        <f>INDEX($C$4:$C$15,MATCH(A149,$A$4:$A$15,0))</f>
        <v/>
      </c>
      <c r="F149" s="80">
        <f>15*(C149-12)</f>
        <v/>
      </c>
      <c r="G149" s="80">
        <f>-COS(RADIANS(E149))*SIN(RADIANS(F149))</f>
        <v/>
      </c>
      <c r="H149" s="80">
        <f>COS(RADIANS('11_발전량_모델'!$B$17))*SIN(RADIANS(E149))-SIN(RADIANS('11_발전량_모델'!$B$17))*COS(RADIANS(E149))*COS(RADIANS(F149))</f>
        <v/>
      </c>
      <c r="I149" s="80">
        <f>SIN(RADIANS('11_발전량_모델'!$B$17))*SIN(RADIANS(E149))+COS(RADIANS('11_발전량_모델'!$B$17))*COS(RADIANS(E149))*COS(RADIANS(F149))</f>
        <v/>
      </c>
      <c r="J149" s="80">
        <f>SIN(RADIANS('11_발전량_모델'!$B$7))*SIN(RADIANS('11_발전량_모델'!$B$8))</f>
        <v/>
      </c>
      <c r="K149" s="80">
        <f>SIN(RADIANS('11_발전량_모델'!$B$7))*COS(RADIANS('11_발전량_모델'!$B$8))</f>
        <v/>
      </c>
      <c r="L149" s="80">
        <f>COS(RADIANS('11_발전량_모델'!$B$7))</f>
        <v/>
      </c>
      <c r="M149" s="80">
        <f>G149*J149+H149*K149+I149*L149</f>
        <v/>
      </c>
      <c r="N149" s="80">
        <f>MAX(0,I149)</f>
        <v/>
      </c>
      <c r="O149" s="80">
        <f>IF(I149&gt;0,MAX(0,M149),0)</f>
        <v/>
      </c>
      <c r="P149" s="80">
        <f>IF($I149&gt;0,MAX(0,$G149*SIN(RADIANS('13_시나리오비교'!$B$5))*SIN(RADIANS('13_시나리오비교'!$C$5))+$H149*SIN(RADIANS('13_시나리오비교'!$B$5))*COS(RADIANS('13_시나리오비교'!$C$5))+$I149*COS(RADIANS('13_시나리오비교'!$B$5))),0)</f>
        <v/>
      </c>
      <c r="Q149" s="80">
        <f>IF($I149&gt;0,MAX(0,$G149*SIN(RADIANS('13_시나리오비교'!$B$6))*SIN(RADIANS('13_시나리오비교'!$C$6))+$H149*SIN(RADIANS('13_시나리오비교'!$B$6))*COS(RADIANS('13_시나리오비교'!$C$6))+$I149*COS(RADIANS('13_시나리오비교'!$B$6))),0)</f>
        <v/>
      </c>
      <c r="R149" s="80">
        <f>IF($I149&gt;0,MAX(0,$G149*SIN(RADIANS('13_시나리오비교'!$B$7))*SIN(RADIANS('13_시나리오비교'!$C$7))+$H149*SIN(RADIANS('13_시나리오비교'!$B$7))*COS(RADIANS('13_시나리오비교'!$C$7))+$I149*COS(RADIANS('13_시나리오비교'!$B$7))),0)</f>
        <v/>
      </c>
      <c r="S149" s="80">
        <f>IF($I149&gt;0,MAX(0,$G149*SIN(RADIANS('13_시나리오비교'!$B$8))*SIN(RADIANS('13_시나리오비교'!$C$8))+$H149*SIN(RADIANS('13_시나리오비교'!$B$8))*COS(RADIANS('13_시나리오비교'!$C$8))+$I149*COS(RADIANS('13_시나리오비교'!$B$8))),0)</f>
        <v/>
      </c>
      <c r="T149" s="80">
        <f>IF($I149&gt;0,MAX(0,$G149*SIN(RADIANS('13_시나리오비교'!$B$9))*SIN(RADIANS('13_시나리오비교'!$C$9))+$H149*SIN(RADIANS('13_시나리오비교'!$B$9))*COS(RADIANS('13_시나리오비교'!$C$9))+$I149*COS(RADIANS('13_시나리오비교'!$B$9))),0)</f>
        <v/>
      </c>
      <c r="U149" s="80">
        <f>IF($I149&gt;0,MAX(0,$G149*SIN(RADIANS('13_시나리오비교'!$B$10))*SIN(RADIANS('13_시나리오비교'!$C$10))+$H149*SIN(RADIANS('13_시나리오비교'!$B$10))*COS(RADIANS('13_시나리오비교'!$C$10))+$I149*COS(RADIANS('13_시나리오비교'!$B$10))),0)</f>
        <v/>
      </c>
      <c r="V149" s="80">
        <f>IF($I149&gt;0,MAX(0,$G149*SIN(RADIANS('13_시나리오비교'!$B$11))*SIN(RADIANS('13_시나리오비교'!$C$11))+$H149*SIN(RADIANS('13_시나리오비교'!$B$11))*COS(RADIANS('13_시나리오비교'!$C$11))+$I149*COS(RADIANS('13_시나리오비교'!$B$11))),0)</f>
        <v/>
      </c>
      <c r="W149" s="80">
        <f>IF($I149&gt;0,MAX(0,$G149*SIN(RADIANS('13_시나리오비교'!$B$12))*SIN(RADIANS('13_시나리오비교'!$C$12))+$H149*SIN(RADIANS('13_시나리오비교'!$B$12))*COS(RADIANS('13_시나리오비교'!$C$12))+$I149*COS(RADIANS('13_시나리오비교'!$B$12))),0)</f>
        <v/>
      </c>
      <c r="X149" s="80">
        <f>IF($I149&gt;0,MAX(0,$G149*SIN(RADIANS('13_시나리오비교'!$B$13))*SIN(RADIANS('13_시나리오비교'!$C$13))+$H149*SIN(RADIANS('13_시나리오비교'!$B$13))*COS(RADIANS('13_시나리오비교'!$C$13))+$I149*COS(RADIANS('13_시나리오비교'!$B$13))),0)</f>
        <v/>
      </c>
      <c r="Y149" s="80">
        <f>IF($I149&gt;0,MAX(0,$G149*SIN(RADIANS('13_시나리오비교'!$B$14))*SIN(RADIANS('13_시나리오비교'!$C$14))+$H149*SIN(RADIANS('13_시나리오비교'!$B$14))*COS(RADIANS('13_시나리오비교'!$C$14))+$I149*COS(RADIANS('13_시나리오비교'!$B$14))),0)</f>
        <v/>
      </c>
    </row>
    <row r="150" hidden="1" outlineLevel="1">
      <c r="A150" s="79" t="n">
        <v>2</v>
      </c>
      <c r="B150" s="79" t="n">
        <v>34</v>
      </c>
      <c r="C150" s="80">
        <f>(B150-0.5)*'14_지역·상수'!$H$6</f>
        <v/>
      </c>
      <c r="D150" s="79" t="n">
        <v>47</v>
      </c>
      <c r="E150" s="80">
        <f>INDEX($C$4:$C$15,MATCH(A150,$A$4:$A$15,0))</f>
        <v/>
      </c>
      <c r="F150" s="80">
        <f>15*(C150-12)</f>
        <v/>
      </c>
      <c r="G150" s="80">
        <f>-COS(RADIANS(E150))*SIN(RADIANS(F150))</f>
        <v/>
      </c>
      <c r="H150" s="80">
        <f>COS(RADIANS('11_발전량_모델'!$B$17))*SIN(RADIANS(E150))-SIN(RADIANS('11_발전량_모델'!$B$17))*COS(RADIANS(E150))*COS(RADIANS(F150))</f>
        <v/>
      </c>
      <c r="I150" s="80">
        <f>SIN(RADIANS('11_발전량_모델'!$B$17))*SIN(RADIANS(E150))+COS(RADIANS('11_발전량_모델'!$B$17))*COS(RADIANS(E150))*COS(RADIANS(F150))</f>
        <v/>
      </c>
      <c r="J150" s="80">
        <f>SIN(RADIANS('11_발전량_모델'!$B$7))*SIN(RADIANS('11_발전량_모델'!$B$8))</f>
        <v/>
      </c>
      <c r="K150" s="80">
        <f>SIN(RADIANS('11_발전량_모델'!$B$7))*COS(RADIANS('11_발전량_모델'!$B$8))</f>
        <v/>
      </c>
      <c r="L150" s="80">
        <f>COS(RADIANS('11_발전량_모델'!$B$7))</f>
        <v/>
      </c>
      <c r="M150" s="80">
        <f>G150*J150+H150*K150+I150*L150</f>
        <v/>
      </c>
      <c r="N150" s="80">
        <f>MAX(0,I150)</f>
        <v/>
      </c>
      <c r="O150" s="80">
        <f>IF(I150&gt;0,MAX(0,M150),0)</f>
        <v/>
      </c>
      <c r="P150" s="80">
        <f>IF($I150&gt;0,MAX(0,$G150*SIN(RADIANS('13_시나리오비교'!$B$5))*SIN(RADIANS('13_시나리오비교'!$C$5))+$H150*SIN(RADIANS('13_시나리오비교'!$B$5))*COS(RADIANS('13_시나리오비교'!$C$5))+$I150*COS(RADIANS('13_시나리오비교'!$B$5))),0)</f>
        <v/>
      </c>
      <c r="Q150" s="80">
        <f>IF($I150&gt;0,MAX(0,$G150*SIN(RADIANS('13_시나리오비교'!$B$6))*SIN(RADIANS('13_시나리오비교'!$C$6))+$H150*SIN(RADIANS('13_시나리오비교'!$B$6))*COS(RADIANS('13_시나리오비교'!$C$6))+$I150*COS(RADIANS('13_시나리오비교'!$B$6))),0)</f>
        <v/>
      </c>
      <c r="R150" s="80">
        <f>IF($I150&gt;0,MAX(0,$G150*SIN(RADIANS('13_시나리오비교'!$B$7))*SIN(RADIANS('13_시나리오비교'!$C$7))+$H150*SIN(RADIANS('13_시나리오비교'!$B$7))*COS(RADIANS('13_시나리오비교'!$C$7))+$I150*COS(RADIANS('13_시나리오비교'!$B$7))),0)</f>
        <v/>
      </c>
      <c r="S150" s="80">
        <f>IF($I150&gt;0,MAX(0,$G150*SIN(RADIANS('13_시나리오비교'!$B$8))*SIN(RADIANS('13_시나리오비교'!$C$8))+$H150*SIN(RADIANS('13_시나리오비교'!$B$8))*COS(RADIANS('13_시나리오비교'!$C$8))+$I150*COS(RADIANS('13_시나리오비교'!$B$8))),0)</f>
        <v/>
      </c>
      <c r="T150" s="80">
        <f>IF($I150&gt;0,MAX(0,$G150*SIN(RADIANS('13_시나리오비교'!$B$9))*SIN(RADIANS('13_시나리오비교'!$C$9))+$H150*SIN(RADIANS('13_시나리오비교'!$B$9))*COS(RADIANS('13_시나리오비교'!$C$9))+$I150*COS(RADIANS('13_시나리오비교'!$B$9))),0)</f>
        <v/>
      </c>
      <c r="U150" s="80">
        <f>IF($I150&gt;0,MAX(0,$G150*SIN(RADIANS('13_시나리오비교'!$B$10))*SIN(RADIANS('13_시나리오비교'!$C$10))+$H150*SIN(RADIANS('13_시나리오비교'!$B$10))*COS(RADIANS('13_시나리오비교'!$C$10))+$I150*COS(RADIANS('13_시나리오비교'!$B$10))),0)</f>
        <v/>
      </c>
      <c r="V150" s="80">
        <f>IF($I150&gt;0,MAX(0,$G150*SIN(RADIANS('13_시나리오비교'!$B$11))*SIN(RADIANS('13_시나리오비교'!$C$11))+$H150*SIN(RADIANS('13_시나리오비교'!$B$11))*COS(RADIANS('13_시나리오비교'!$C$11))+$I150*COS(RADIANS('13_시나리오비교'!$B$11))),0)</f>
        <v/>
      </c>
      <c r="W150" s="80">
        <f>IF($I150&gt;0,MAX(0,$G150*SIN(RADIANS('13_시나리오비교'!$B$12))*SIN(RADIANS('13_시나리오비교'!$C$12))+$H150*SIN(RADIANS('13_시나리오비교'!$B$12))*COS(RADIANS('13_시나리오비교'!$C$12))+$I150*COS(RADIANS('13_시나리오비교'!$B$12))),0)</f>
        <v/>
      </c>
      <c r="X150" s="80">
        <f>IF($I150&gt;0,MAX(0,$G150*SIN(RADIANS('13_시나리오비교'!$B$13))*SIN(RADIANS('13_시나리오비교'!$C$13))+$H150*SIN(RADIANS('13_시나리오비교'!$B$13))*COS(RADIANS('13_시나리오비교'!$C$13))+$I150*COS(RADIANS('13_시나리오비교'!$B$13))),0)</f>
        <v/>
      </c>
      <c r="Y150" s="80">
        <f>IF($I150&gt;0,MAX(0,$G150*SIN(RADIANS('13_시나리오비교'!$B$14))*SIN(RADIANS('13_시나리오비교'!$C$14))+$H150*SIN(RADIANS('13_시나리오비교'!$B$14))*COS(RADIANS('13_시나리오비교'!$C$14))+$I150*COS(RADIANS('13_시나리오비교'!$B$14))),0)</f>
        <v/>
      </c>
    </row>
    <row r="151" hidden="1" outlineLevel="1">
      <c r="A151" s="79" t="n">
        <v>2</v>
      </c>
      <c r="B151" s="79" t="n">
        <v>35</v>
      </c>
      <c r="C151" s="80">
        <f>(B151-0.5)*'14_지역·상수'!$H$6</f>
        <v/>
      </c>
      <c r="D151" s="79" t="n">
        <v>47</v>
      </c>
      <c r="E151" s="80">
        <f>INDEX($C$4:$C$15,MATCH(A151,$A$4:$A$15,0))</f>
        <v/>
      </c>
      <c r="F151" s="80">
        <f>15*(C151-12)</f>
        <v/>
      </c>
      <c r="G151" s="80">
        <f>-COS(RADIANS(E151))*SIN(RADIANS(F151))</f>
        <v/>
      </c>
      <c r="H151" s="80">
        <f>COS(RADIANS('11_발전량_모델'!$B$17))*SIN(RADIANS(E151))-SIN(RADIANS('11_발전량_모델'!$B$17))*COS(RADIANS(E151))*COS(RADIANS(F151))</f>
        <v/>
      </c>
      <c r="I151" s="80">
        <f>SIN(RADIANS('11_발전량_모델'!$B$17))*SIN(RADIANS(E151))+COS(RADIANS('11_발전량_모델'!$B$17))*COS(RADIANS(E151))*COS(RADIANS(F151))</f>
        <v/>
      </c>
      <c r="J151" s="80">
        <f>SIN(RADIANS('11_발전량_모델'!$B$7))*SIN(RADIANS('11_발전량_모델'!$B$8))</f>
        <v/>
      </c>
      <c r="K151" s="80">
        <f>SIN(RADIANS('11_발전량_모델'!$B$7))*COS(RADIANS('11_발전량_모델'!$B$8))</f>
        <v/>
      </c>
      <c r="L151" s="80">
        <f>COS(RADIANS('11_발전량_모델'!$B$7))</f>
        <v/>
      </c>
      <c r="M151" s="80">
        <f>G151*J151+H151*K151+I151*L151</f>
        <v/>
      </c>
      <c r="N151" s="80">
        <f>MAX(0,I151)</f>
        <v/>
      </c>
      <c r="O151" s="80">
        <f>IF(I151&gt;0,MAX(0,M151),0)</f>
        <v/>
      </c>
      <c r="P151" s="80">
        <f>IF($I151&gt;0,MAX(0,$G151*SIN(RADIANS('13_시나리오비교'!$B$5))*SIN(RADIANS('13_시나리오비교'!$C$5))+$H151*SIN(RADIANS('13_시나리오비교'!$B$5))*COS(RADIANS('13_시나리오비교'!$C$5))+$I151*COS(RADIANS('13_시나리오비교'!$B$5))),0)</f>
        <v/>
      </c>
      <c r="Q151" s="80">
        <f>IF($I151&gt;0,MAX(0,$G151*SIN(RADIANS('13_시나리오비교'!$B$6))*SIN(RADIANS('13_시나리오비교'!$C$6))+$H151*SIN(RADIANS('13_시나리오비교'!$B$6))*COS(RADIANS('13_시나리오비교'!$C$6))+$I151*COS(RADIANS('13_시나리오비교'!$B$6))),0)</f>
        <v/>
      </c>
      <c r="R151" s="80">
        <f>IF($I151&gt;0,MAX(0,$G151*SIN(RADIANS('13_시나리오비교'!$B$7))*SIN(RADIANS('13_시나리오비교'!$C$7))+$H151*SIN(RADIANS('13_시나리오비교'!$B$7))*COS(RADIANS('13_시나리오비교'!$C$7))+$I151*COS(RADIANS('13_시나리오비교'!$B$7))),0)</f>
        <v/>
      </c>
      <c r="S151" s="80">
        <f>IF($I151&gt;0,MAX(0,$G151*SIN(RADIANS('13_시나리오비교'!$B$8))*SIN(RADIANS('13_시나리오비교'!$C$8))+$H151*SIN(RADIANS('13_시나리오비교'!$B$8))*COS(RADIANS('13_시나리오비교'!$C$8))+$I151*COS(RADIANS('13_시나리오비교'!$B$8))),0)</f>
        <v/>
      </c>
      <c r="T151" s="80">
        <f>IF($I151&gt;0,MAX(0,$G151*SIN(RADIANS('13_시나리오비교'!$B$9))*SIN(RADIANS('13_시나리오비교'!$C$9))+$H151*SIN(RADIANS('13_시나리오비교'!$B$9))*COS(RADIANS('13_시나리오비교'!$C$9))+$I151*COS(RADIANS('13_시나리오비교'!$B$9))),0)</f>
        <v/>
      </c>
      <c r="U151" s="80">
        <f>IF($I151&gt;0,MAX(0,$G151*SIN(RADIANS('13_시나리오비교'!$B$10))*SIN(RADIANS('13_시나리오비교'!$C$10))+$H151*SIN(RADIANS('13_시나리오비교'!$B$10))*COS(RADIANS('13_시나리오비교'!$C$10))+$I151*COS(RADIANS('13_시나리오비교'!$B$10))),0)</f>
        <v/>
      </c>
      <c r="V151" s="80">
        <f>IF($I151&gt;0,MAX(0,$G151*SIN(RADIANS('13_시나리오비교'!$B$11))*SIN(RADIANS('13_시나리오비교'!$C$11))+$H151*SIN(RADIANS('13_시나리오비교'!$B$11))*COS(RADIANS('13_시나리오비교'!$C$11))+$I151*COS(RADIANS('13_시나리오비교'!$B$11))),0)</f>
        <v/>
      </c>
      <c r="W151" s="80">
        <f>IF($I151&gt;0,MAX(0,$G151*SIN(RADIANS('13_시나리오비교'!$B$12))*SIN(RADIANS('13_시나리오비교'!$C$12))+$H151*SIN(RADIANS('13_시나리오비교'!$B$12))*COS(RADIANS('13_시나리오비교'!$C$12))+$I151*COS(RADIANS('13_시나리오비교'!$B$12))),0)</f>
        <v/>
      </c>
      <c r="X151" s="80">
        <f>IF($I151&gt;0,MAX(0,$G151*SIN(RADIANS('13_시나리오비교'!$B$13))*SIN(RADIANS('13_시나리오비교'!$C$13))+$H151*SIN(RADIANS('13_시나리오비교'!$B$13))*COS(RADIANS('13_시나리오비교'!$C$13))+$I151*COS(RADIANS('13_시나리오비교'!$B$13))),0)</f>
        <v/>
      </c>
      <c r="Y151" s="80">
        <f>IF($I151&gt;0,MAX(0,$G151*SIN(RADIANS('13_시나리오비교'!$B$14))*SIN(RADIANS('13_시나리오비교'!$C$14))+$H151*SIN(RADIANS('13_시나리오비교'!$B$14))*COS(RADIANS('13_시나리오비교'!$C$14))+$I151*COS(RADIANS('13_시나리오비교'!$B$14))),0)</f>
        <v/>
      </c>
    </row>
    <row r="152" hidden="1" outlineLevel="1">
      <c r="A152" s="79" t="n">
        <v>2</v>
      </c>
      <c r="B152" s="79" t="n">
        <v>36</v>
      </c>
      <c r="C152" s="80">
        <f>(B152-0.5)*'14_지역·상수'!$H$6</f>
        <v/>
      </c>
      <c r="D152" s="79" t="n">
        <v>47</v>
      </c>
      <c r="E152" s="80">
        <f>INDEX($C$4:$C$15,MATCH(A152,$A$4:$A$15,0))</f>
        <v/>
      </c>
      <c r="F152" s="80">
        <f>15*(C152-12)</f>
        <v/>
      </c>
      <c r="G152" s="80">
        <f>-COS(RADIANS(E152))*SIN(RADIANS(F152))</f>
        <v/>
      </c>
      <c r="H152" s="80">
        <f>COS(RADIANS('11_발전량_모델'!$B$17))*SIN(RADIANS(E152))-SIN(RADIANS('11_발전량_모델'!$B$17))*COS(RADIANS(E152))*COS(RADIANS(F152))</f>
        <v/>
      </c>
      <c r="I152" s="80">
        <f>SIN(RADIANS('11_발전량_모델'!$B$17))*SIN(RADIANS(E152))+COS(RADIANS('11_발전량_모델'!$B$17))*COS(RADIANS(E152))*COS(RADIANS(F152))</f>
        <v/>
      </c>
      <c r="J152" s="80">
        <f>SIN(RADIANS('11_발전량_모델'!$B$7))*SIN(RADIANS('11_발전량_모델'!$B$8))</f>
        <v/>
      </c>
      <c r="K152" s="80">
        <f>SIN(RADIANS('11_발전량_모델'!$B$7))*COS(RADIANS('11_발전량_모델'!$B$8))</f>
        <v/>
      </c>
      <c r="L152" s="80">
        <f>COS(RADIANS('11_발전량_모델'!$B$7))</f>
        <v/>
      </c>
      <c r="M152" s="80">
        <f>G152*J152+H152*K152+I152*L152</f>
        <v/>
      </c>
      <c r="N152" s="80">
        <f>MAX(0,I152)</f>
        <v/>
      </c>
      <c r="O152" s="80">
        <f>IF(I152&gt;0,MAX(0,M152),0)</f>
        <v/>
      </c>
      <c r="P152" s="80">
        <f>IF($I152&gt;0,MAX(0,$G152*SIN(RADIANS('13_시나리오비교'!$B$5))*SIN(RADIANS('13_시나리오비교'!$C$5))+$H152*SIN(RADIANS('13_시나리오비교'!$B$5))*COS(RADIANS('13_시나리오비교'!$C$5))+$I152*COS(RADIANS('13_시나리오비교'!$B$5))),0)</f>
        <v/>
      </c>
      <c r="Q152" s="80">
        <f>IF($I152&gt;0,MAX(0,$G152*SIN(RADIANS('13_시나리오비교'!$B$6))*SIN(RADIANS('13_시나리오비교'!$C$6))+$H152*SIN(RADIANS('13_시나리오비교'!$B$6))*COS(RADIANS('13_시나리오비교'!$C$6))+$I152*COS(RADIANS('13_시나리오비교'!$B$6))),0)</f>
        <v/>
      </c>
      <c r="R152" s="80">
        <f>IF($I152&gt;0,MAX(0,$G152*SIN(RADIANS('13_시나리오비교'!$B$7))*SIN(RADIANS('13_시나리오비교'!$C$7))+$H152*SIN(RADIANS('13_시나리오비교'!$B$7))*COS(RADIANS('13_시나리오비교'!$C$7))+$I152*COS(RADIANS('13_시나리오비교'!$B$7))),0)</f>
        <v/>
      </c>
      <c r="S152" s="80">
        <f>IF($I152&gt;0,MAX(0,$G152*SIN(RADIANS('13_시나리오비교'!$B$8))*SIN(RADIANS('13_시나리오비교'!$C$8))+$H152*SIN(RADIANS('13_시나리오비교'!$B$8))*COS(RADIANS('13_시나리오비교'!$C$8))+$I152*COS(RADIANS('13_시나리오비교'!$B$8))),0)</f>
        <v/>
      </c>
      <c r="T152" s="80">
        <f>IF($I152&gt;0,MAX(0,$G152*SIN(RADIANS('13_시나리오비교'!$B$9))*SIN(RADIANS('13_시나리오비교'!$C$9))+$H152*SIN(RADIANS('13_시나리오비교'!$B$9))*COS(RADIANS('13_시나리오비교'!$C$9))+$I152*COS(RADIANS('13_시나리오비교'!$B$9))),0)</f>
        <v/>
      </c>
      <c r="U152" s="80">
        <f>IF($I152&gt;0,MAX(0,$G152*SIN(RADIANS('13_시나리오비교'!$B$10))*SIN(RADIANS('13_시나리오비교'!$C$10))+$H152*SIN(RADIANS('13_시나리오비교'!$B$10))*COS(RADIANS('13_시나리오비교'!$C$10))+$I152*COS(RADIANS('13_시나리오비교'!$B$10))),0)</f>
        <v/>
      </c>
      <c r="V152" s="80">
        <f>IF($I152&gt;0,MAX(0,$G152*SIN(RADIANS('13_시나리오비교'!$B$11))*SIN(RADIANS('13_시나리오비교'!$C$11))+$H152*SIN(RADIANS('13_시나리오비교'!$B$11))*COS(RADIANS('13_시나리오비교'!$C$11))+$I152*COS(RADIANS('13_시나리오비교'!$B$11))),0)</f>
        <v/>
      </c>
      <c r="W152" s="80">
        <f>IF($I152&gt;0,MAX(0,$G152*SIN(RADIANS('13_시나리오비교'!$B$12))*SIN(RADIANS('13_시나리오비교'!$C$12))+$H152*SIN(RADIANS('13_시나리오비교'!$B$12))*COS(RADIANS('13_시나리오비교'!$C$12))+$I152*COS(RADIANS('13_시나리오비교'!$B$12))),0)</f>
        <v/>
      </c>
      <c r="X152" s="80">
        <f>IF($I152&gt;0,MAX(0,$G152*SIN(RADIANS('13_시나리오비교'!$B$13))*SIN(RADIANS('13_시나리오비교'!$C$13))+$H152*SIN(RADIANS('13_시나리오비교'!$B$13))*COS(RADIANS('13_시나리오비교'!$C$13))+$I152*COS(RADIANS('13_시나리오비교'!$B$13))),0)</f>
        <v/>
      </c>
      <c r="Y152" s="80">
        <f>IF($I152&gt;0,MAX(0,$G152*SIN(RADIANS('13_시나리오비교'!$B$14))*SIN(RADIANS('13_시나리오비교'!$C$14))+$H152*SIN(RADIANS('13_시나리오비교'!$B$14))*COS(RADIANS('13_시나리오비교'!$C$14))+$I152*COS(RADIANS('13_시나리오비교'!$B$14))),0)</f>
        <v/>
      </c>
    </row>
    <row r="153" hidden="1" outlineLevel="1">
      <c r="A153" s="79" t="n">
        <v>2</v>
      </c>
      <c r="B153" s="79" t="n">
        <v>37</v>
      </c>
      <c r="C153" s="80">
        <f>(B153-0.5)*'14_지역·상수'!$H$6</f>
        <v/>
      </c>
      <c r="D153" s="79" t="n">
        <v>47</v>
      </c>
      <c r="E153" s="80">
        <f>INDEX($C$4:$C$15,MATCH(A153,$A$4:$A$15,0))</f>
        <v/>
      </c>
      <c r="F153" s="80">
        <f>15*(C153-12)</f>
        <v/>
      </c>
      <c r="G153" s="80">
        <f>-COS(RADIANS(E153))*SIN(RADIANS(F153))</f>
        <v/>
      </c>
      <c r="H153" s="80">
        <f>COS(RADIANS('11_발전량_모델'!$B$17))*SIN(RADIANS(E153))-SIN(RADIANS('11_발전량_모델'!$B$17))*COS(RADIANS(E153))*COS(RADIANS(F153))</f>
        <v/>
      </c>
      <c r="I153" s="80">
        <f>SIN(RADIANS('11_발전량_모델'!$B$17))*SIN(RADIANS(E153))+COS(RADIANS('11_발전량_모델'!$B$17))*COS(RADIANS(E153))*COS(RADIANS(F153))</f>
        <v/>
      </c>
      <c r="J153" s="80">
        <f>SIN(RADIANS('11_발전량_모델'!$B$7))*SIN(RADIANS('11_발전량_모델'!$B$8))</f>
        <v/>
      </c>
      <c r="K153" s="80">
        <f>SIN(RADIANS('11_발전량_모델'!$B$7))*COS(RADIANS('11_발전량_모델'!$B$8))</f>
        <v/>
      </c>
      <c r="L153" s="80">
        <f>COS(RADIANS('11_발전량_모델'!$B$7))</f>
        <v/>
      </c>
      <c r="M153" s="80">
        <f>G153*J153+H153*K153+I153*L153</f>
        <v/>
      </c>
      <c r="N153" s="80">
        <f>MAX(0,I153)</f>
        <v/>
      </c>
      <c r="O153" s="80">
        <f>IF(I153&gt;0,MAX(0,M153),0)</f>
        <v/>
      </c>
      <c r="P153" s="80">
        <f>IF($I153&gt;0,MAX(0,$G153*SIN(RADIANS('13_시나리오비교'!$B$5))*SIN(RADIANS('13_시나리오비교'!$C$5))+$H153*SIN(RADIANS('13_시나리오비교'!$B$5))*COS(RADIANS('13_시나리오비교'!$C$5))+$I153*COS(RADIANS('13_시나리오비교'!$B$5))),0)</f>
        <v/>
      </c>
      <c r="Q153" s="80">
        <f>IF($I153&gt;0,MAX(0,$G153*SIN(RADIANS('13_시나리오비교'!$B$6))*SIN(RADIANS('13_시나리오비교'!$C$6))+$H153*SIN(RADIANS('13_시나리오비교'!$B$6))*COS(RADIANS('13_시나리오비교'!$C$6))+$I153*COS(RADIANS('13_시나리오비교'!$B$6))),0)</f>
        <v/>
      </c>
      <c r="R153" s="80">
        <f>IF($I153&gt;0,MAX(0,$G153*SIN(RADIANS('13_시나리오비교'!$B$7))*SIN(RADIANS('13_시나리오비교'!$C$7))+$H153*SIN(RADIANS('13_시나리오비교'!$B$7))*COS(RADIANS('13_시나리오비교'!$C$7))+$I153*COS(RADIANS('13_시나리오비교'!$B$7))),0)</f>
        <v/>
      </c>
      <c r="S153" s="80">
        <f>IF($I153&gt;0,MAX(0,$G153*SIN(RADIANS('13_시나리오비교'!$B$8))*SIN(RADIANS('13_시나리오비교'!$C$8))+$H153*SIN(RADIANS('13_시나리오비교'!$B$8))*COS(RADIANS('13_시나리오비교'!$C$8))+$I153*COS(RADIANS('13_시나리오비교'!$B$8))),0)</f>
        <v/>
      </c>
      <c r="T153" s="80">
        <f>IF($I153&gt;0,MAX(0,$G153*SIN(RADIANS('13_시나리오비교'!$B$9))*SIN(RADIANS('13_시나리오비교'!$C$9))+$H153*SIN(RADIANS('13_시나리오비교'!$B$9))*COS(RADIANS('13_시나리오비교'!$C$9))+$I153*COS(RADIANS('13_시나리오비교'!$B$9))),0)</f>
        <v/>
      </c>
      <c r="U153" s="80">
        <f>IF($I153&gt;0,MAX(0,$G153*SIN(RADIANS('13_시나리오비교'!$B$10))*SIN(RADIANS('13_시나리오비교'!$C$10))+$H153*SIN(RADIANS('13_시나리오비교'!$B$10))*COS(RADIANS('13_시나리오비교'!$C$10))+$I153*COS(RADIANS('13_시나리오비교'!$B$10))),0)</f>
        <v/>
      </c>
      <c r="V153" s="80">
        <f>IF($I153&gt;0,MAX(0,$G153*SIN(RADIANS('13_시나리오비교'!$B$11))*SIN(RADIANS('13_시나리오비교'!$C$11))+$H153*SIN(RADIANS('13_시나리오비교'!$B$11))*COS(RADIANS('13_시나리오비교'!$C$11))+$I153*COS(RADIANS('13_시나리오비교'!$B$11))),0)</f>
        <v/>
      </c>
      <c r="W153" s="80">
        <f>IF($I153&gt;0,MAX(0,$G153*SIN(RADIANS('13_시나리오비교'!$B$12))*SIN(RADIANS('13_시나리오비교'!$C$12))+$H153*SIN(RADIANS('13_시나리오비교'!$B$12))*COS(RADIANS('13_시나리오비교'!$C$12))+$I153*COS(RADIANS('13_시나리오비교'!$B$12))),0)</f>
        <v/>
      </c>
      <c r="X153" s="80">
        <f>IF($I153&gt;0,MAX(0,$G153*SIN(RADIANS('13_시나리오비교'!$B$13))*SIN(RADIANS('13_시나리오비교'!$C$13))+$H153*SIN(RADIANS('13_시나리오비교'!$B$13))*COS(RADIANS('13_시나리오비교'!$C$13))+$I153*COS(RADIANS('13_시나리오비교'!$B$13))),0)</f>
        <v/>
      </c>
      <c r="Y153" s="80">
        <f>IF($I153&gt;0,MAX(0,$G153*SIN(RADIANS('13_시나리오비교'!$B$14))*SIN(RADIANS('13_시나리오비교'!$C$14))+$H153*SIN(RADIANS('13_시나리오비교'!$B$14))*COS(RADIANS('13_시나리오비교'!$C$14))+$I153*COS(RADIANS('13_시나리오비교'!$B$14))),0)</f>
        <v/>
      </c>
    </row>
    <row r="154" hidden="1" outlineLevel="1">
      <c r="A154" s="79" t="n">
        <v>2</v>
      </c>
      <c r="B154" s="79" t="n">
        <v>38</v>
      </c>
      <c r="C154" s="80">
        <f>(B154-0.5)*'14_지역·상수'!$H$6</f>
        <v/>
      </c>
      <c r="D154" s="79" t="n">
        <v>47</v>
      </c>
      <c r="E154" s="80">
        <f>INDEX($C$4:$C$15,MATCH(A154,$A$4:$A$15,0))</f>
        <v/>
      </c>
      <c r="F154" s="80">
        <f>15*(C154-12)</f>
        <v/>
      </c>
      <c r="G154" s="80">
        <f>-COS(RADIANS(E154))*SIN(RADIANS(F154))</f>
        <v/>
      </c>
      <c r="H154" s="80">
        <f>COS(RADIANS('11_발전량_모델'!$B$17))*SIN(RADIANS(E154))-SIN(RADIANS('11_발전량_모델'!$B$17))*COS(RADIANS(E154))*COS(RADIANS(F154))</f>
        <v/>
      </c>
      <c r="I154" s="80">
        <f>SIN(RADIANS('11_발전량_모델'!$B$17))*SIN(RADIANS(E154))+COS(RADIANS('11_발전량_모델'!$B$17))*COS(RADIANS(E154))*COS(RADIANS(F154))</f>
        <v/>
      </c>
      <c r="J154" s="80">
        <f>SIN(RADIANS('11_발전량_모델'!$B$7))*SIN(RADIANS('11_발전량_모델'!$B$8))</f>
        <v/>
      </c>
      <c r="K154" s="80">
        <f>SIN(RADIANS('11_발전량_모델'!$B$7))*COS(RADIANS('11_발전량_모델'!$B$8))</f>
        <v/>
      </c>
      <c r="L154" s="80">
        <f>COS(RADIANS('11_발전량_모델'!$B$7))</f>
        <v/>
      </c>
      <c r="M154" s="80">
        <f>G154*J154+H154*K154+I154*L154</f>
        <v/>
      </c>
      <c r="N154" s="80">
        <f>MAX(0,I154)</f>
        <v/>
      </c>
      <c r="O154" s="80">
        <f>IF(I154&gt;0,MAX(0,M154),0)</f>
        <v/>
      </c>
      <c r="P154" s="80">
        <f>IF($I154&gt;0,MAX(0,$G154*SIN(RADIANS('13_시나리오비교'!$B$5))*SIN(RADIANS('13_시나리오비교'!$C$5))+$H154*SIN(RADIANS('13_시나리오비교'!$B$5))*COS(RADIANS('13_시나리오비교'!$C$5))+$I154*COS(RADIANS('13_시나리오비교'!$B$5))),0)</f>
        <v/>
      </c>
      <c r="Q154" s="80">
        <f>IF($I154&gt;0,MAX(0,$G154*SIN(RADIANS('13_시나리오비교'!$B$6))*SIN(RADIANS('13_시나리오비교'!$C$6))+$H154*SIN(RADIANS('13_시나리오비교'!$B$6))*COS(RADIANS('13_시나리오비교'!$C$6))+$I154*COS(RADIANS('13_시나리오비교'!$B$6))),0)</f>
        <v/>
      </c>
      <c r="R154" s="80">
        <f>IF($I154&gt;0,MAX(0,$G154*SIN(RADIANS('13_시나리오비교'!$B$7))*SIN(RADIANS('13_시나리오비교'!$C$7))+$H154*SIN(RADIANS('13_시나리오비교'!$B$7))*COS(RADIANS('13_시나리오비교'!$C$7))+$I154*COS(RADIANS('13_시나리오비교'!$B$7))),0)</f>
        <v/>
      </c>
      <c r="S154" s="80">
        <f>IF($I154&gt;0,MAX(0,$G154*SIN(RADIANS('13_시나리오비교'!$B$8))*SIN(RADIANS('13_시나리오비교'!$C$8))+$H154*SIN(RADIANS('13_시나리오비교'!$B$8))*COS(RADIANS('13_시나리오비교'!$C$8))+$I154*COS(RADIANS('13_시나리오비교'!$B$8))),0)</f>
        <v/>
      </c>
      <c r="T154" s="80">
        <f>IF($I154&gt;0,MAX(0,$G154*SIN(RADIANS('13_시나리오비교'!$B$9))*SIN(RADIANS('13_시나리오비교'!$C$9))+$H154*SIN(RADIANS('13_시나리오비교'!$B$9))*COS(RADIANS('13_시나리오비교'!$C$9))+$I154*COS(RADIANS('13_시나리오비교'!$B$9))),0)</f>
        <v/>
      </c>
      <c r="U154" s="80">
        <f>IF($I154&gt;0,MAX(0,$G154*SIN(RADIANS('13_시나리오비교'!$B$10))*SIN(RADIANS('13_시나리오비교'!$C$10))+$H154*SIN(RADIANS('13_시나리오비교'!$B$10))*COS(RADIANS('13_시나리오비교'!$C$10))+$I154*COS(RADIANS('13_시나리오비교'!$B$10))),0)</f>
        <v/>
      </c>
      <c r="V154" s="80">
        <f>IF($I154&gt;0,MAX(0,$G154*SIN(RADIANS('13_시나리오비교'!$B$11))*SIN(RADIANS('13_시나리오비교'!$C$11))+$H154*SIN(RADIANS('13_시나리오비교'!$B$11))*COS(RADIANS('13_시나리오비교'!$C$11))+$I154*COS(RADIANS('13_시나리오비교'!$B$11))),0)</f>
        <v/>
      </c>
      <c r="W154" s="80">
        <f>IF($I154&gt;0,MAX(0,$G154*SIN(RADIANS('13_시나리오비교'!$B$12))*SIN(RADIANS('13_시나리오비교'!$C$12))+$H154*SIN(RADIANS('13_시나리오비교'!$B$12))*COS(RADIANS('13_시나리오비교'!$C$12))+$I154*COS(RADIANS('13_시나리오비교'!$B$12))),0)</f>
        <v/>
      </c>
      <c r="X154" s="80">
        <f>IF($I154&gt;0,MAX(0,$G154*SIN(RADIANS('13_시나리오비교'!$B$13))*SIN(RADIANS('13_시나리오비교'!$C$13))+$H154*SIN(RADIANS('13_시나리오비교'!$B$13))*COS(RADIANS('13_시나리오비교'!$C$13))+$I154*COS(RADIANS('13_시나리오비교'!$B$13))),0)</f>
        <v/>
      </c>
      <c r="Y154" s="80">
        <f>IF($I154&gt;0,MAX(0,$G154*SIN(RADIANS('13_시나리오비교'!$B$14))*SIN(RADIANS('13_시나리오비교'!$C$14))+$H154*SIN(RADIANS('13_시나리오비교'!$B$14))*COS(RADIANS('13_시나리오비교'!$C$14))+$I154*COS(RADIANS('13_시나리오비교'!$B$14))),0)</f>
        <v/>
      </c>
    </row>
    <row r="155" hidden="1" outlineLevel="1">
      <c r="A155" s="79" t="n">
        <v>2</v>
      </c>
      <c r="B155" s="79" t="n">
        <v>39</v>
      </c>
      <c r="C155" s="80">
        <f>(B155-0.5)*'14_지역·상수'!$H$6</f>
        <v/>
      </c>
      <c r="D155" s="79" t="n">
        <v>47</v>
      </c>
      <c r="E155" s="80">
        <f>INDEX($C$4:$C$15,MATCH(A155,$A$4:$A$15,0))</f>
        <v/>
      </c>
      <c r="F155" s="80">
        <f>15*(C155-12)</f>
        <v/>
      </c>
      <c r="G155" s="80">
        <f>-COS(RADIANS(E155))*SIN(RADIANS(F155))</f>
        <v/>
      </c>
      <c r="H155" s="80">
        <f>COS(RADIANS('11_발전량_모델'!$B$17))*SIN(RADIANS(E155))-SIN(RADIANS('11_발전량_모델'!$B$17))*COS(RADIANS(E155))*COS(RADIANS(F155))</f>
        <v/>
      </c>
      <c r="I155" s="80">
        <f>SIN(RADIANS('11_발전량_모델'!$B$17))*SIN(RADIANS(E155))+COS(RADIANS('11_발전량_모델'!$B$17))*COS(RADIANS(E155))*COS(RADIANS(F155))</f>
        <v/>
      </c>
      <c r="J155" s="80">
        <f>SIN(RADIANS('11_발전량_모델'!$B$7))*SIN(RADIANS('11_발전량_모델'!$B$8))</f>
        <v/>
      </c>
      <c r="K155" s="80">
        <f>SIN(RADIANS('11_발전량_모델'!$B$7))*COS(RADIANS('11_발전량_모델'!$B$8))</f>
        <v/>
      </c>
      <c r="L155" s="80">
        <f>COS(RADIANS('11_발전량_모델'!$B$7))</f>
        <v/>
      </c>
      <c r="M155" s="80">
        <f>G155*J155+H155*K155+I155*L155</f>
        <v/>
      </c>
      <c r="N155" s="80">
        <f>MAX(0,I155)</f>
        <v/>
      </c>
      <c r="O155" s="80">
        <f>IF(I155&gt;0,MAX(0,M155),0)</f>
        <v/>
      </c>
      <c r="P155" s="80">
        <f>IF($I155&gt;0,MAX(0,$G155*SIN(RADIANS('13_시나리오비교'!$B$5))*SIN(RADIANS('13_시나리오비교'!$C$5))+$H155*SIN(RADIANS('13_시나리오비교'!$B$5))*COS(RADIANS('13_시나리오비교'!$C$5))+$I155*COS(RADIANS('13_시나리오비교'!$B$5))),0)</f>
        <v/>
      </c>
      <c r="Q155" s="80">
        <f>IF($I155&gt;0,MAX(0,$G155*SIN(RADIANS('13_시나리오비교'!$B$6))*SIN(RADIANS('13_시나리오비교'!$C$6))+$H155*SIN(RADIANS('13_시나리오비교'!$B$6))*COS(RADIANS('13_시나리오비교'!$C$6))+$I155*COS(RADIANS('13_시나리오비교'!$B$6))),0)</f>
        <v/>
      </c>
      <c r="R155" s="80">
        <f>IF($I155&gt;0,MAX(0,$G155*SIN(RADIANS('13_시나리오비교'!$B$7))*SIN(RADIANS('13_시나리오비교'!$C$7))+$H155*SIN(RADIANS('13_시나리오비교'!$B$7))*COS(RADIANS('13_시나리오비교'!$C$7))+$I155*COS(RADIANS('13_시나리오비교'!$B$7))),0)</f>
        <v/>
      </c>
      <c r="S155" s="80">
        <f>IF($I155&gt;0,MAX(0,$G155*SIN(RADIANS('13_시나리오비교'!$B$8))*SIN(RADIANS('13_시나리오비교'!$C$8))+$H155*SIN(RADIANS('13_시나리오비교'!$B$8))*COS(RADIANS('13_시나리오비교'!$C$8))+$I155*COS(RADIANS('13_시나리오비교'!$B$8))),0)</f>
        <v/>
      </c>
      <c r="T155" s="80">
        <f>IF($I155&gt;0,MAX(0,$G155*SIN(RADIANS('13_시나리오비교'!$B$9))*SIN(RADIANS('13_시나리오비교'!$C$9))+$H155*SIN(RADIANS('13_시나리오비교'!$B$9))*COS(RADIANS('13_시나리오비교'!$C$9))+$I155*COS(RADIANS('13_시나리오비교'!$B$9))),0)</f>
        <v/>
      </c>
      <c r="U155" s="80">
        <f>IF($I155&gt;0,MAX(0,$G155*SIN(RADIANS('13_시나리오비교'!$B$10))*SIN(RADIANS('13_시나리오비교'!$C$10))+$H155*SIN(RADIANS('13_시나리오비교'!$B$10))*COS(RADIANS('13_시나리오비교'!$C$10))+$I155*COS(RADIANS('13_시나리오비교'!$B$10))),0)</f>
        <v/>
      </c>
      <c r="V155" s="80">
        <f>IF($I155&gt;0,MAX(0,$G155*SIN(RADIANS('13_시나리오비교'!$B$11))*SIN(RADIANS('13_시나리오비교'!$C$11))+$H155*SIN(RADIANS('13_시나리오비교'!$B$11))*COS(RADIANS('13_시나리오비교'!$C$11))+$I155*COS(RADIANS('13_시나리오비교'!$B$11))),0)</f>
        <v/>
      </c>
      <c r="W155" s="80">
        <f>IF($I155&gt;0,MAX(0,$G155*SIN(RADIANS('13_시나리오비교'!$B$12))*SIN(RADIANS('13_시나리오비교'!$C$12))+$H155*SIN(RADIANS('13_시나리오비교'!$B$12))*COS(RADIANS('13_시나리오비교'!$C$12))+$I155*COS(RADIANS('13_시나리오비교'!$B$12))),0)</f>
        <v/>
      </c>
      <c r="X155" s="80">
        <f>IF($I155&gt;0,MAX(0,$G155*SIN(RADIANS('13_시나리오비교'!$B$13))*SIN(RADIANS('13_시나리오비교'!$C$13))+$H155*SIN(RADIANS('13_시나리오비교'!$B$13))*COS(RADIANS('13_시나리오비교'!$C$13))+$I155*COS(RADIANS('13_시나리오비교'!$B$13))),0)</f>
        <v/>
      </c>
      <c r="Y155" s="80">
        <f>IF($I155&gt;0,MAX(0,$G155*SIN(RADIANS('13_시나리오비교'!$B$14))*SIN(RADIANS('13_시나리오비교'!$C$14))+$H155*SIN(RADIANS('13_시나리오비교'!$B$14))*COS(RADIANS('13_시나리오비교'!$C$14))+$I155*COS(RADIANS('13_시나리오비교'!$B$14))),0)</f>
        <v/>
      </c>
    </row>
    <row r="156" hidden="1" outlineLevel="1">
      <c r="A156" s="79" t="n">
        <v>2</v>
      </c>
      <c r="B156" s="79" t="n">
        <v>40</v>
      </c>
      <c r="C156" s="80">
        <f>(B156-0.5)*'14_지역·상수'!$H$6</f>
        <v/>
      </c>
      <c r="D156" s="79" t="n">
        <v>47</v>
      </c>
      <c r="E156" s="80">
        <f>INDEX($C$4:$C$15,MATCH(A156,$A$4:$A$15,0))</f>
        <v/>
      </c>
      <c r="F156" s="80">
        <f>15*(C156-12)</f>
        <v/>
      </c>
      <c r="G156" s="80">
        <f>-COS(RADIANS(E156))*SIN(RADIANS(F156))</f>
        <v/>
      </c>
      <c r="H156" s="80">
        <f>COS(RADIANS('11_발전량_모델'!$B$17))*SIN(RADIANS(E156))-SIN(RADIANS('11_발전량_모델'!$B$17))*COS(RADIANS(E156))*COS(RADIANS(F156))</f>
        <v/>
      </c>
      <c r="I156" s="80">
        <f>SIN(RADIANS('11_발전량_모델'!$B$17))*SIN(RADIANS(E156))+COS(RADIANS('11_발전량_모델'!$B$17))*COS(RADIANS(E156))*COS(RADIANS(F156))</f>
        <v/>
      </c>
      <c r="J156" s="80">
        <f>SIN(RADIANS('11_발전량_모델'!$B$7))*SIN(RADIANS('11_발전량_모델'!$B$8))</f>
        <v/>
      </c>
      <c r="K156" s="80">
        <f>SIN(RADIANS('11_발전량_모델'!$B$7))*COS(RADIANS('11_발전량_모델'!$B$8))</f>
        <v/>
      </c>
      <c r="L156" s="80">
        <f>COS(RADIANS('11_발전량_모델'!$B$7))</f>
        <v/>
      </c>
      <c r="M156" s="80">
        <f>G156*J156+H156*K156+I156*L156</f>
        <v/>
      </c>
      <c r="N156" s="80">
        <f>MAX(0,I156)</f>
        <v/>
      </c>
      <c r="O156" s="80">
        <f>IF(I156&gt;0,MAX(0,M156),0)</f>
        <v/>
      </c>
      <c r="P156" s="80">
        <f>IF($I156&gt;0,MAX(0,$G156*SIN(RADIANS('13_시나리오비교'!$B$5))*SIN(RADIANS('13_시나리오비교'!$C$5))+$H156*SIN(RADIANS('13_시나리오비교'!$B$5))*COS(RADIANS('13_시나리오비교'!$C$5))+$I156*COS(RADIANS('13_시나리오비교'!$B$5))),0)</f>
        <v/>
      </c>
      <c r="Q156" s="80">
        <f>IF($I156&gt;0,MAX(0,$G156*SIN(RADIANS('13_시나리오비교'!$B$6))*SIN(RADIANS('13_시나리오비교'!$C$6))+$H156*SIN(RADIANS('13_시나리오비교'!$B$6))*COS(RADIANS('13_시나리오비교'!$C$6))+$I156*COS(RADIANS('13_시나리오비교'!$B$6))),0)</f>
        <v/>
      </c>
      <c r="R156" s="80">
        <f>IF($I156&gt;0,MAX(0,$G156*SIN(RADIANS('13_시나리오비교'!$B$7))*SIN(RADIANS('13_시나리오비교'!$C$7))+$H156*SIN(RADIANS('13_시나리오비교'!$B$7))*COS(RADIANS('13_시나리오비교'!$C$7))+$I156*COS(RADIANS('13_시나리오비교'!$B$7))),0)</f>
        <v/>
      </c>
      <c r="S156" s="80">
        <f>IF($I156&gt;0,MAX(0,$G156*SIN(RADIANS('13_시나리오비교'!$B$8))*SIN(RADIANS('13_시나리오비교'!$C$8))+$H156*SIN(RADIANS('13_시나리오비교'!$B$8))*COS(RADIANS('13_시나리오비교'!$C$8))+$I156*COS(RADIANS('13_시나리오비교'!$B$8))),0)</f>
        <v/>
      </c>
      <c r="T156" s="80">
        <f>IF($I156&gt;0,MAX(0,$G156*SIN(RADIANS('13_시나리오비교'!$B$9))*SIN(RADIANS('13_시나리오비교'!$C$9))+$H156*SIN(RADIANS('13_시나리오비교'!$B$9))*COS(RADIANS('13_시나리오비교'!$C$9))+$I156*COS(RADIANS('13_시나리오비교'!$B$9))),0)</f>
        <v/>
      </c>
      <c r="U156" s="80">
        <f>IF($I156&gt;0,MAX(0,$G156*SIN(RADIANS('13_시나리오비교'!$B$10))*SIN(RADIANS('13_시나리오비교'!$C$10))+$H156*SIN(RADIANS('13_시나리오비교'!$B$10))*COS(RADIANS('13_시나리오비교'!$C$10))+$I156*COS(RADIANS('13_시나리오비교'!$B$10))),0)</f>
        <v/>
      </c>
      <c r="V156" s="80">
        <f>IF($I156&gt;0,MAX(0,$G156*SIN(RADIANS('13_시나리오비교'!$B$11))*SIN(RADIANS('13_시나리오비교'!$C$11))+$H156*SIN(RADIANS('13_시나리오비교'!$B$11))*COS(RADIANS('13_시나리오비교'!$C$11))+$I156*COS(RADIANS('13_시나리오비교'!$B$11))),0)</f>
        <v/>
      </c>
      <c r="W156" s="80">
        <f>IF($I156&gt;0,MAX(0,$G156*SIN(RADIANS('13_시나리오비교'!$B$12))*SIN(RADIANS('13_시나리오비교'!$C$12))+$H156*SIN(RADIANS('13_시나리오비교'!$B$12))*COS(RADIANS('13_시나리오비교'!$C$12))+$I156*COS(RADIANS('13_시나리오비교'!$B$12))),0)</f>
        <v/>
      </c>
      <c r="X156" s="80">
        <f>IF($I156&gt;0,MAX(0,$G156*SIN(RADIANS('13_시나리오비교'!$B$13))*SIN(RADIANS('13_시나리오비교'!$C$13))+$H156*SIN(RADIANS('13_시나리오비교'!$B$13))*COS(RADIANS('13_시나리오비교'!$C$13))+$I156*COS(RADIANS('13_시나리오비교'!$B$13))),0)</f>
        <v/>
      </c>
      <c r="Y156" s="80">
        <f>IF($I156&gt;0,MAX(0,$G156*SIN(RADIANS('13_시나리오비교'!$B$14))*SIN(RADIANS('13_시나리오비교'!$C$14))+$H156*SIN(RADIANS('13_시나리오비교'!$B$14))*COS(RADIANS('13_시나리오비교'!$C$14))+$I156*COS(RADIANS('13_시나리오비교'!$B$14))),0)</f>
        <v/>
      </c>
    </row>
    <row r="157" hidden="1" outlineLevel="1">
      <c r="A157" s="79" t="n">
        <v>2</v>
      </c>
      <c r="B157" s="79" t="n">
        <v>41</v>
      </c>
      <c r="C157" s="80">
        <f>(B157-0.5)*'14_지역·상수'!$H$6</f>
        <v/>
      </c>
      <c r="D157" s="79" t="n">
        <v>47</v>
      </c>
      <c r="E157" s="80">
        <f>INDEX($C$4:$C$15,MATCH(A157,$A$4:$A$15,0))</f>
        <v/>
      </c>
      <c r="F157" s="80">
        <f>15*(C157-12)</f>
        <v/>
      </c>
      <c r="G157" s="80">
        <f>-COS(RADIANS(E157))*SIN(RADIANS(F157))</f>
        <v/>
      </c>
      <c r="H157" s="80">
        <f>COS(RADIANS('11_발전량_모델'!$B$17))*SIN(RADIANS(E157))-SIN(RADIANS('11_발전량_모델'!$B$17))*COS(RADIANS(E157))*COS(RADIANS(F157))</f>
        <v/>
      </c>
      <c r="I157" s="80">
        <f>SIN(RADIANS('11_발전량_모델'!$B$17))*SIN(RADIANS(E157))+COS(RADIANS('11_발전량_모델'!$B$17))*COS(RADIANS(E157))*COS(RADIANS(F157))</f>
        <v/>
      </c>
      <c r="J157" s="80">
        <f>SIN(RADIANS('11_발전량_모델'!$B$7))*SIN(RADIANS('11_발전량_모델'!$B$8))</f>
        <v/>
      </c>
      <c r="K157" s="80">
        <f>SIN(RADIANS('11_발전량_모델'!$B$7))*COS(RADIANS('11_발전량_모델'!$B$8))</f>
        <v/>
      </c>
      <c r="L157" s="80">
        <f>COS(RADIANS('11_발전량_모델'!$B$7))</f>
        <v/>
      </c>
      <c r="M157" s="80">
        <f>G157*J157+H157*K157+I157*L157</f>
        <v/>
      </c>
      <c r="N157" s="80">
        <f>MAX(0,I157)</f>
        <v/>
      </c>
      <c r="O157" s="80">
        <f>IF(I157&gt;0,MAX(0,M157),0)</f>
        <v/>
      </c>
      <c r="P157" s="80">
        <f>IF($I157&gt;0,MAX(0,$G157*SIN(RADIANS('13_시나리오비교'!$B$5))*SIN(RADIANS('13_시나리오비교'!$C$5))+$H157*SIN(RADIANS('13_시나리오비교'!$B$5))*COS(RADIANS('13_시나리오비교'!$C$5))+$I157*COS(RADIANS('13_시나리오비교'!$B$5))),0)</f>
        <v/>
      </c>
      <c r="Q157" s="80">
        <f>IF($I157&gt;0,MAX(0,$G157*SIN(RADIANS('13_시나리오비교'!$B$6))*SIN(RADIANS('13_시나리오비교'!$C$6))+$H157*SIN(RADIANS('13_시나리오비교'!$B$6))*COS(RADIANS('13_시나리오비교'!$C$6))+$I157*COS(RADIANS('13_시나리오비교'!$B$6))),0)</f>
        <v/>
      </c>
      <c r="R157" s="80">
        <f>IF($I157&gt;0,MAX(0,$G157*SIN(RADIANS('13_시나리오비교'!$B$7))*SIN(RADIANS('13_시나리오비교'!$C$7))+$H157*SIN(RADIANS('13_시나리오비교'!$B$7))*COS(RADIANS('13_시나리오비교'!$C$7))+$I157*COS(RADIANS('13_시나리오비교'!$B$7))),0)</f>
        <v/>
      </c>
      <c r="S157" s="80">
        <f>IF($I157&gt;0,MAX(0,$G157*SIN(RADIANS('13_시나리오비교'!$B$8))*SIN(RADIANS('13_시나리오비교'!$C$8))+$H157*SIN(RADIANS('13_시나리오비교'!$B$8))*COS(RADIANS('13_시나리오비교'!$C$8))+$I157*COS(RADIANS('13_시나리오비교'!$B$8))),0)</f>
        <v/>
      </c>
      <c r="T157" s="80">
        <f>IF($I157&gt;0,MAX(0,$G157*SIN(RADIANS('13_시나리오비교'!$B$9))*SIN(RADIANS('13_시나리오비교'!$C$9))+$H157*SIN(RADIANS('13_시나리오비교'!$B$9))*COS(RADIANS('13_시나리오비교'!$C$9))+$I157*COS(RADIANS('13_시나리오비교'!$B$9))),0)</f>
        <v/>
      </c>
      <c r="U157" s="80">
        <f>IF($I157&gt;0,MAX(0,$G157*SIN(RADIANS('13_시나리오비교'!$B$10))*SIN(RADIANS('13_시나리오비교'!$C$10))+$H157*SIN(RADIANS('13_시나리오비교'!$B$10))*COS(RADIANS('13_시나리오비교'!$C$10))+$I157*COS(RADIANS('13_시나리오비교'!$B$10))),0)</f>
        <v/>
      </c>
      <c r="V157" s="80">
        <f>IF($I157&gt;0,MAX(0,$G157*SIN(RADIANS('13_시나리오비교'!$B$11))*SIN(RADIANS('13_시나리오비교'!$C$11))+$H157*SIN(RADIANS('13_시나리오비교'!$B$11))*COS(RADIANS('13_시나리오비교'!$C$11))+$I157*COS(RADIANS('13_시나리오비교'!$B$11))),0)</f>
        <v/>
      </c>
      <c r="W157" s="80">
        <f>IF($I157&gt;0,MAX(0,$G157*SIN(RADIANS('13_시나리오비교'!$B$12))*SIN(RADIANS('13_시나리오비교'!$C$12))+$H157*SIN(RADIANS('13_시나리오비교'!$B$12))*COS(RADIANS('13_시나리오비교'!$C$12))+$I157*COS(RADIANS('13_시나리오비교'!$B$12))),0)</f>
        <v/>
      </c>
      <c r="X157" s="80">
        <f>IF($I157&gt;0,MAX(0,$G157*SIN(RADIANS('13_시나리오비교'!$B$13))*SIN(RADIANS('13_시나리오비교'!$C$13))+$H157*SIN(RADIANS('13_시나리오비교'!$B$13))*COS(RADIANS('13_시나리오비교'!$C$13))+$I157*COS(RADIANS('13_시나리오비교'!$B$13))),0)</f>
        <v/>
      </c>
      <c r="Y157" s="80">
        <f>IF($I157&gt;0,MAX(0,$G157*SIN(RADIANS('13_시나리오비교'!$B$14))*SIN(RADIANS('13_시나리오비교'!$C$14))+$H157*SIN(RADIANS('13_시나리오비교'!$B$14))*COS(RADIANS('13_시나리오비교'!$C$14))+$I157*COS(RADIANS('13_시나리오비교'!$B$14))),0)</f>
        <v/>
      </c>
    </row>
    <row r="158" hidden="1" outlineLevel="1">
      <c r="A158" s="79" t="n">
        <v>2</v>
      </c>
      <c r="B158" s="79" t="n">
        <v>42</v>
      </c>
      <c r="C158" s="80">
        <f>(B158-0.5)*'14_지역·상수'!$H$6</f>
        <v/>
      </c>
      <c r="D158" s="79" t="n">
        <v>47</v>
      </c>
      <c r="E158" s="80">
        <f>INDEX($C$4:$C$15,MATCH(A158,$A$4:$A$15,0))</f>
        <v/>
      </c>
      <c r="F158" s="80">
        <f>15*(C158-12)</f>
        <v/>
      </c>
      <c r="G158" s="80">
        <f>-COS(RADIANS(E158))*SIN(RADIANS(F158))</f>
        <v/>
      </c>
      <c r="H158" s="80">
        <f>COS(RADIANS('11_발전량_모델'!$B$17))*SIN(RADIANS(E158))-SIN(RADIANS('11_발전량_모델'!$B$17))*COS(RADIANS(E158))*COS(RADIANS(F158))</f>
        <v/>
      </c>
      <c r="I158" s="80">
        <f>SIN(RADIANS('11_발전량_모델'!$B$17))*SIN(RADIANS(E158))+COS(RADIANS('11_발전량_모델'!$B$17))*COS(RADIANS(E158))*COS(RADIANS(F158))</f>
        <v/>
      </c>
      <c r="J158" s="80">
        <f>SIN(RADIANS('11_발전량_모델'!$B$7))*SIN(RADIANS('11_발전량_모델'!$B$8))</f>
        <v/>
      </c>
      <c r="K158" s="80">
        <f>SIN(RADIANS('11_발전량_모델'!$B$7))*COS(RADIANS('11_발전량_모델'!$B$8))</f>
        <v/>
      </c>
      <c r="L158" s="80">
        <f>COS(RADIANS('11_발전량_모델'!$B$7))</f>
        <v/>
      </c>
      <c r="M158" s="80">
        <f>G158*J158+H158*K158+I158*L158</f>
        <v/>
      </c>
      <c r="N158" s="80">
        <f>MAX(0,I158)</f>
        <v/>
      </c>
      <c r="O158" s="80">
        <f>IF(I158&gt;0,MAX(0,M158),0)</f>
        <v/>
      </c>
      <c r="P158" s="80">
        <f>IF($I158&gt;0,MAX(0,$G158*SIN(RADIANS('13_시나리오비교'!$B$5))*SIN(RADIANS('13_시나리오비교'!$C$5))+$H158*SIN(RADIANS('13_시나리오비교'!$B$5))*COS(RADIANS('13_시나리오비교'!$C$5))+$I158*COS(RADIANS('13_시나리오비교'!$B$5))),0)</f>
        <v/>
      </c>
      <c r="Q158" s="80">
        <f>IF($I158&gt;0,MAX(0,$G158*SIN(RADIANS('13_시나리오비교'!$B$6))*SIN(RADIANS('13_시나리오비교'!$C$6))+$H158*SIN(RADIANS('13_시나리오비교'!$B$6))*COS(RADIANS('13_시나리오비교'!$C$6))+$I158*COS(RADIANS('13_시나리오비교'!$B$6))),0)</f>
        <v/>
      </c>
      <c r="R158" s="80">
        <f>IF($I158&gt;0,MAX(0,$G158*SIN(RADIANS('13_시나리오비교'!$B$7))*SIN(RADIANS('13_시나리오비교'!$C$7))+$H158*SIN(RADIANS('13_시나리오비교'!$B$7))*COS(RADIANS('13_시나리오비교'!$C$7))+$I158*COS(RADIANS('13_시나리오비교'!$B$7))),0)</f>
        <v/>
      </c>
      <c r="S158" s="80">
        <f>IF($I158&gt;0,MAX(0,$G158*SIN(RADIANS('13_시나리오비교'!$B$8))*SIN(RADIANS('13_시나리오비교'!$C$8))+$H158*SIN(RADIANS('13_시나리오비교'!$B$8))*COS(RADIANS('13_시나리오비교'!$C$8))+$I158*COS(RADIANS('13_시나리오비교'!$B$8))),0)</f>
        <v/>
      </c>
      <c r="T158" s="80">
        <f>IF($I158&gt;0,MAX(0,$G158*SIN(RADIANS('13_시나리오비교'!$B$9))*SIN(RADIANS('13_시나리오비교'!$C$9))+$H158*SIN(RADIANS('13_시나리오비교'!$B$9))*COS(RADIANS('13_시나리오비교'!$C$9))+$I158*COS(RADIANS('13_시나리오비교'!$B$9))),0)</f>
        <v/>
      </c>
      <c r="U158" s="80">
        <f>IF($I158&gt;0,MAX(0,$G158*SIN(RADIANS('13_시나리오비교'!$B$10))*SIN(RADIANS('13_시나리오비교'!$C$10))+$H158*SIN(RADIANS('13_시나리오비교'!$B$10))*COS(RADIANS('13_시나리오비교'!$C$10))+$I158*COS(RADIANS('13_시나리오비교'!$B$10))),0)</f>
        <v/>
      </c>
      <c r="V158" s="80">
        <f>IF($I158&gt;0,MAX(0,$G158*SIN(RADIANS('13_시나리오비교'!$B$11))*SIN(RADIANS('13_시나리오비교'!$C$11))+$H158*SIN(RADIANS('13_시나리오비교'!$B$11))*COS(RADIANS('13_시나리오비교'!$C$11))+$I158*COS(RADIANS('13_시나리오비교'!$B$11))),0)</f>
        <v/>
      </c>
      <c r="W158" s="80">
        <f>IF($I158&gt;0,MAX(0,$G158*SIN(RADIANS('13_시나리오비교'!$B$12))*SIN(RADIANS('13_시나리오비교'!$C$12))+$H158*SIN(RADIANS('13_시나리오비교'!$B$12))*COS(RADIANS('13_시나리오비교'!$C$12))+$I158*COS(RADIANS('13_시나리오비교'!$B$12))),0)</f>
        <v/>
      </c>
      <c r="X158" s="80">
        <f>IF($I158&gt;0,MAX(0,$G158*SIN(RADIANS('13_시나리오비교'!$B$13))*SIN(RADIANS('13_시나리오비교'!$C$13))+$H158*SIN(RADIANS('13_시나리오비교'!$B$13))*COS(RADIANS('13_시나리오비교'!$C$13))+$I158*COS(RADIANS('13_시나리오비교'!$B$13))),0)</f>
        <v/>
      </c>
      <c r="Y158" s="80">
        <f>IF($I158&gt;0,MAX(0,$G158*SIN(RADIANS('13_시나리오비교'!$B$14))*SIN(RADIANS('13_시나리오비교'!$C$14))+$H158*SIN(RADIANS('13_시나리오비교'!$B$14))*COS(RADIANS('13_시나리오비교'!$C$14))+$I158*COS(RADIANS('13_시나리오비교'!$B$14))),0)</f>
        <v/>
      </c>
    </row>
    <row r="159" hidden="1" outlineLevel="1">
      <c r="A159" s="79" t="n">
        <v>2</v>
      </c>
      <c r="B159" s="79" t="n">
        <v>43</v>
      </c>
      <c r="C159" s="80">
        <f>(B159-0.5)*'14_지역·상수'!$H$6</f>
        <v/>
      </c>
      <c r="D159" s="79" t="n">
        <v>47</v>
      </c>
      <c r="E159" s="80">
        <f>INDEX($C$4:$C$15,MATCH(A159,$A$4:$A$15,0))</f>
        <v/>
      </c>
      <c r="F159" s="80">
        <f>15*(C159-12)</f>
        <v/>
      </c>
      <c r="G159" s="80">
        <f>-COS(RADIANS(E159))*SIN(RADIANS(F159))</f>
        <v/>
      </c>
      <c r="H159" s="80">
        <f>COS(RADIANS('11_발전량_모델'!$B$17))*SIN(RADIANS(E159))-SIN(RADIANS('11_발전량_모델'!$B$17))*COS(RADIANS(E159))*COS(RADIANS(F159))</f>
        <v/>
      </c>
      <c r="I159" s="80">
        <f>SIN(RADIANS('11_발전량_모델'!$B$17))*SIN(RADIANS(E159))+COS(RADIANS('11_발전량_모델'!$B$17))*COS(RADIANS(E159))*COS(RADIANS(F159))</f>
        <v/>
      </c>
      <c r="J159" s="80">
        <f>SIN(RADIANS('11_발전량_모델'!$B$7))*SIN(RADIANS('11_발전량_모델'!$B$8))</f>
        <v/>
      </c>
      <c r="K159" s="80">
        <f>SIN(RADIANS('11_발전량_모델'!$B$7))*COS(RADIANS('11_발전량_모델'!$B$8))</f>
        <v/>
      </c>
      <c r="L159" s="80">
        <f>COS(RADIANS('11_발전량_모델'!$B$7))</f>
        <v/>
      </c>
      <c r="M159" s="80">
        <f>G159*J159+H159*K159+I159*L159</f>
        <v/>
      </c>
      <c r="N159" s="80">
        <f>MAX(0,I159)</f>
        <v/>
      </c>
      <c r="O159" s="80">
        <f>IF(I159&gt;0,MAX(0,M159),0)</f>
        <v/>
      </c>
      <c r="P159" s="80">
        <f>IF($I159&gt;0,MAX(0,$G159*SIN(RADIANS('13_시나리오비교'!$B$5))*SIN(RADIANS('13_시나리오비교'!$C$5))+$H159*SIN(RADIANS('13_시나리오비교'!$B$5))*COS(RADIANS('13_시나리오비교'!$C$5))+$I159*COS(RADIANS('13_시나리오비교'!$B$5))),0)</f>
        <v/>
      </c>
      <c r="Q159" s="80">
        <f>IF($I159&gt;0,MAX(0,$G159*SIN(RADIANS('13_시나리오비교'!$B$6))*SIN(RADIANS('13_시나리오비교'!$C$6))+$H159*SIN(RADIANS('13_시나리오비교'!$B$6))*COS(RADIANS('13_시나리오비교'!$C$6))+$I159*COS(RADIANS('13_시나리오비교'!$B$6))),0)</f>
        <v/>
      </c>
      <c r="R159" s="80">
        <f>IF($I159&gt;0,MAX(0,$G159*SIN(RADIANS('13_시나리오비교'!$B$7))*SIN(RADIANS('13_시나리오비교'!$C$7))+$H159*SIN(RADIANS('13_시나리오비교'!$B$7))*COS(RADIANS('13_시나리오비교'!$C$7))+$I159*COS(RADIANS('13_시나리오비교'!$B$7))),0)</f>
        <v/>
      </c>
      <c r="S159" s="80">
        <f>IF($I159&gt;0,MAX(0,$G159*SIN(RADIANS('13_시나리오비교'!$B$8))*SIN(RADIANS('13_시나리오비교'!$C$8))+$H159*SIN(RADIANS('13_시나리오비교'!$B$8))*COS(RADIANS('13_시나리오비교'!$C$8))+$I159*COS(RADIANS('13_시나리오비교'!$B$8))),0)</f>
        <v/>
      </c>
      <c r="T159" s="80">
        <f>IF($I159&gt;0,MAX(0,$G159*SIN(RADIANS('13_시나리오비교'!$B$9))*SIN(RADIANS('13_시나리오비교'!$C$9))+$H159*SIN(RADIANS('13_시나리오비교'!$B$9))*COS(RADIANS('13_시나리오비교'!$C$9))+$I159*COS(RADIANS('13_시나리오비교'!$B$9))),0)</f>
        <v/>
      </c>
      <c r="U159" s="80">
        <f>IF($I159&gt;0,MAX(0,$G159*SIN(RADIANS('13_시나리오비교'!$B$10))*SIN(RADIANS('13_시나리오비교'!$C$10))+$H159*SIN(RADIANS('13_시나리오비교'!$B$10))*COS(RADIANS('13_시나리오비교'!$C$10))+$I159*COS(RADIANS('13_시나리오비교'!$B$10))),0)</f>
        <v/>
      </c>
      <c r="V159" s="80">
        <f>IF($I159&gt;0,MAX(0,$G159*SIN(RADIANS('13_시나리오비교'!$B$11))*SIN(RADIANS('13_시나리오비교'!$C$11))+$H159*SIN(RADIANS('13_시나리오비교'!$B$11))*COS(RADIANS('13_시나리오비교'!$C$11))+$I159*COS(RADIANS('13_시나리오비교'!$B$11))),0)</f>
        <v/>
      </c>
      <c r="W159" s="80">
        <f>IF($I159&gt;0,MAX(0,$G159*SIN(RADIANS('13_시나리오비교'!$B$12))*SIN(RADIANS('13_시나리오비교'!$C$12))+$H159*SIN(RADIANS('13_시나리오비교'!$B$12))*COS(RADIANS('13_시나리오비교'!$C$12))+$I159*COS(RADIANS('13_시나리오비교'!$B$12))),0)</f>
        <v/>
      </c>
      <c r="X159" s="80">
        <f>IF($I159&gt;0,MAX(0,$G159*SIN(RADIANS('13_시나리오비교'!$B$13))*SIN(RADIANS('13_시나리오비교'!$C$13))+$H159*SIN(RADIANS('13_시나리오비교'!$B$13))*COS(RADIANS('13_시나리오비교'!$C$13))+$I159*COS(RADIANS('13_시나리오비교'!$B$13))),0)</f>
        <v/>
      </c>
      <c r="Y159" s="80">
        <f>IF($I159&gt;0,MAX(0,$G159*SIN(RADIANS('13_시나리오비교'!$B$14))*SIN(RADIANS('13_시나리오비교'!$C$14))+$H159*SIN(RADIANS('13_시나리오비교'!$B$14))*COS(RADIANS('13_시나리오비교'!$C$14))+$I159*COS(RADIANS('13_시나리오비교'!$B$14))),0)</f>
        <v/>
      </c>
    </row>
    <row r="160" hidden="1" outlineLevel="1">
      <c r="A160" s="79" t="n">
        <v>2</v>
      </c>
      <c r="B160" s="79" t="n">
        <v>44</v>
      </c>
      <c r="C160" s="80">
        <f>(B160-0.5)*'14_지역·상수'!$H$6</f>
        <v/>
      </c>
      <c r="D160" s="79" t="n">
        <v>47</v>
      </c>
      <c r="E160" s="80">
        <f>INDEX($C$4:$C$15,MATCH(A160,$A$4:$A$15,0))</f>
        <v/>
      </c>
      <c r="F160" s="80">
        <f>15*(C160-12)</f>
        <v/>
      </c>
      <c r="G160" s="80">
        <f>-COS(RADIANS(E160))*SIN(RADIANS(F160))</f>
        <v/>
      </c>
      <c r="H160" s="80">
        <f>COS(RADIANS('11_발전량_모델'!$B$17))*SIN(RADIANS(E160))-SIN(RADIANS('11_발전량_모델'!$B$17))*COS(RADIANS(E160))*COS(RADIANS(F160))</f>
        <v/>
      </c>
      <c r="I160" s="80">
        <f>SIN(RADIANS('11_발전량_모델'!$B$17))*SIN(RADIANS(E160))+COS(RADIANS('11_발전량_모델'!$B$17))*COS(RADIANS(E160))*COS(RADIANS(F160))</f>
        <v/>
      </c>
      <c r="J160" s="80">
        <f>SIN(RADIANS('11_발전량_모델'!$B$7))*SIN(RADIANS('11_발전량_모델'!$B$8))</f>
        <v/>
      </c>
      <c r="K160" s="80">
        <f>SIN(RADIANS('11_발전량_모델'!$B$7))*COS(RADIANS('11_발전량_모델'!$B$8))</f>
        <v/>
      </c>
      <c r="L160" s="80">
        <f>COS(RADIANS('11_발전량_모델'!$B$7))</f>
        <v/>
      </c>
      <c r="M160" s="80">
        <f>G160*J160+H160*K160+I160*L160</f>
        <v/>
      </c>
      <c r="N160" s="80">
        <f>MAX(0,I160)</f>
        <v/>
      </c>
      <c r="O160" s="80">
        <f>IF(I160&gt;0,MAX(0,M160),0)</f>
        <v/>
      </c>
      <c r="P160" s="80">
        <f>IF($I160&gt;0,MAX(0,$G160*SIN(RADIANS('13_시나리오비교'!$B$5))*SIN(RADIANS('13_시나리오비교'!$C$5))+$H160*SIN(RADIANS('13_시나리오비교'!$B$5))*COS(RADIANS('13_시나리오비교'!$C$5))+$I160*COS(RADIANS('13_시나리오비교'!$B$5))),0)</f>
        <v/>
      </c>
      <c r="Q160" s="80">
        <f>IF($I160&gt;0,MAX(0,$G160*SIN(RADIANS('13_시나리오비교'!$B$6))*SIN(RADIANS('13_시나리오비교'!$C$6))+$H160*SIN(RADIANS('13_시나리오비교'!$B$6))*COS(RADIANS('13_시나리오비교'!$C$6))+$I160*COS(RADIANS('13_시나리오비교'!$B$6))),0)</f>
        <v/>
      </c>
      <c r="R160" s="80">
        <f>IF($I160&gt;0,MAX(0,$G160*SIN(RADIANS('13_시나리오비교'!$B$7))*SIN(RADIANS('13_시나리오비교'!$C$7))+$H160*SIN(RADIANS('13_시나리오비교'!$B$7))*COS(RADIANS('13_시나리오비교'!$C$7))+$I160*COS(RADIANS('13_시나리오비교'!$B$7))),0)</f>
        <v/>
      </c>
      <c r="S160" s="80">
        <f>IF($I160&gt;0,MAX(0,$G160*SIN(RADIANS('13_시나리오비교'!$B$8))*SIN(RADIANS('13_시나리오비교'!$C$8))+$H160*SIN(RADIANS('13_시나리오비교'!$B$8))*COS(RADIANS('13_시나리오비교'!$C$8))+$I160*COS(RADIANS('13_시나리오비교'!$B$8))),0)</f>
        <v/>
      </c>
      <c r="T160" s="80">
        <f>IF($I160&gt;0,MAX(0,$G160*SIN(RADIANS('13_시나리오비교'!$B$9))*SIN(RADIANS('13_시나리오비교'!$C$9))+$H160*SIN(RADIANS('13_시나리오비교'!$B$9))*COS(RADIANS('13_시나리오비교'!$C$9))+$I160*COS(RADIANS('13_시나리오비교'!$B$9))),0)</f>
        <v/>
      </c>
      <c r="U160" s="80">
        <f>IF($I160&gt;0,MAX(0,$G160*SIN(RADIANS('13_시나리오비교'!$B$10))*SIN(RADIANS('13_시나리오비교'!$C$10))+$H160*SIN(RADIANS('13_시나리오비교'!$B$10))*COS(RADIANS('13_시나리오비교'!$C$10))+$I160*COS(RADIANS('13_시나리오비교'!$B$10))),0)</f>
        <v/>
      </c>
      <c r="V160" s="80">
        <f>IF($I160&gt;0,MAX(0,$G160*SIN(RADIANS('13_시나리오비교'!$B$11))*SIN(RADIANS('13_시나리오비교'!$C$11))+$H160*SIN(RADIANS('13_시나리오비교'!$B$11))*COS(RADIANS('13_시나리오비교'!$C$11))+$I160*COS(RADIANS('13_시나리오비교'!$B$11))),0)</f>
        <v/>
      </c>
      <c r="W160" s="80">
        <f>IF($I160&gt;0,MAX(0,$G160*SIN(RADIANS('13_시나리오비교'!$B$12))*SIN(RADIANS('13_시나리오비교'!$C$12))+$H160*SIN(RADIANS('13_시나리오비교'!$B$12))*COS(RADIANS('13_시나리오비교'!$C$12))+$I160*COS(RADIANS('13_시나리오비교'!$B$12))),0)</f>
        <v/>
      </c>
      <c r="X160" s="80">
        <f>IF($I160&gt;0,MAX(0,$G160*SIN(RADIANS('13_시나리오비교'!$B$13))*SIN(RADIANS('13_시나리오비교'!$C$13))+$H160*SIN(RADIANS('13_시나리오비교'!$B$13))*COS(RADIANS('13_시나리오비교'!$C$13))+$I160*COS(RADIANS('13_시나리오비교'!$B$13))),0)</f>
        <v/>
      </c>
      <c r="Y160" s="80">
        <f>IF($I160&gt;0,MAX(0,$G160*SIN(RADIANS('13_시나리오비교'!$B$14))*SIN(RADIANS('13_시나리오비교'!$C$14))+$H160*SIN(RADIANS('13_시나리오비교'!$B$14))*COS(RADIANS('13_시나리오비교'!$C$14))+$I160*COS(RADIANS('13_시나리오비교'!$B$14))),0)</f>
        <v/>
      </c>
    </row>
    <row r="161" hidden="1" outlineLevel="1">
      <c r="A161" s="79" t="n">
        <v>2</v>
      </c>
      <c r="B161" s="79" t="n">
        <v>45</v>
      </c>
      <c r="C161" s="80">
        <f>(B161-0.5)*'14_지역·상수'!$H$6</f>
        <v/>
      </c>
      <c r="D161" s="79" t="n">
        <v>47</v>
      </c>
      <c r="E161" s="80">
        <f>INDEX($C$4:$C$15,MATCH(A161,$A$4:$A$15,0))</f>
        <v/>
      </c>
      <c r="F161" s="80">
        <f>15*(C161-12)</f>
        <v/>
      </c>
      <c r="G161" s="80">
        <f>-COS(RADIANS(E161))*SIN(RADIANS(F161))</f>
        <v/>
      </c>
      <c r="H161" s="80">
        <f>COS(RADIANS('11_발전량_모델'!$B$17))*SIN(RADIANS(E161))-SIN(RADIANS('11_발전량_모델'!$B$17))*COS(RADIANS(E161))*COS(RADIANS(F161))</f>
        <v/>
      </c>
      <c r="I161" s="80">
        <f>SIN(RADIANS('11_발전량_모델'!$B$17))*SIN(RADIANS(E161))+COS(RADIANS('11_발전량_모델'!$B$17))*COS(RADIANS(E161))*COS(RADIANS(F161))</f>
        <v/>
      </c>
      <c r="J161" s="80">
        <f>SIN(RADIANS('11_발전량_모델'!$B$7))*SIN(RADIANS('11_발전량_모델'!$B$8))</f>
        <v/>
      </c>
      <c r="K161" s="80">
        <f>SIN(RADIANS('11_발전량_모델'!$B$7))*COS(RADIANS('11_발전량_모델'!$B$8))</f>
        <v/>
      </c>
      <c r="L161" s="80">
        <f>COS(RADIANS('11_발전량_모델'!$B$7))</f>
        <v/>
      </c>
      <c r="M161" s="80">
        <f>G161*J161+H161*K161+I161*L161</f>
        <v/>
      </c>
      <c r="N161" s="80">
        <f>MAX(0,I161)</f>
        <v/>
      </c>
      <c r="O161" s="80">
        <f>IF(I161&gt;0,MAX(0,M161),0)</f>
        <v/>
      </c>
      <c r="P161" s="80">
        <f>IF($I161&gt;0,MAX(0,$G161*SIN(RADIANS('13_시나리오비교'!$B$5))*SIN(RADIANS('13_시나리오비교'!$C$5))+$H161*SIN(RADIANS('13_시나리오비교'!$B$5))*COS(RADIANS('13_시나리오비교'!$C$5))+$I161*COS(RADIANS('13_시나리오비교'!$B$5))),0)</f>
        <v/>
      </c>
      <c r="Q161" s="80">
        <f>IF($I161&gt;0,MAX(0,$G161*SIN(RADIANS('13_시나리오비교'!$B$6))*SIN(RADIANS('13_시나리오비교'!$C$6))+$H161*SIN(RADIANS('13_시나리오비교'!$B$6))*COS(RADIANS('13_시나리오비교'!$C$6))+$I161*COS(RADIANS('13_시나리오비교'!$B$6))),0)</f>
        <v/>
      </c>
      <c r="R161" s="80">
        <f>IF($I161&gt;0,MAX(0,$G161*SIN(RADIANS('13_시나리오비교'!$B$7))*SIN(RADIANS('13_시나리오비교'!$C$7))+$H161*SIN(RADIANS('13_시나리오비교'!$B$7))*COS(RADIANS('13_시나리오비교'!$C$7))+$I161*COS(RADIANS('13_시나리오비교'!$B$7))),0)</f>
        <v/>
      </c>
      <c r="S161" s="80">
        <f>IF($I161&gt;0,MAX(0,$G161*SIN(RADIANS('13_시나리오비교'!$B$8))*SIN(RADIANS('13_시나리오비교'!$C$8))+$H161*SIN(RADIANS('13_시나리오비교'!$B$8))*COS(RADIANS('13_시나리오비교'!$C$8))+$I161*COS(RADIANS('13_시나리오비교'!$B$8))),0)</f>
        <v/>
      </c>
      <c r="T161" s="80">
        <f>IF($I161&gt;0,MAX(0,$G161*SIN(RADIANS('13_시나리오비교'!$B$9))*SIN(RADIANS('13_시나리오비교'!$C$9))+$H161*SIN(RADIANS('13_시나리오비교'!$B$9))*COS(RADIANS('13_시나리오비교'!$C$9))+$I161*COS(RADIANS('13_시나리오비교'!$B$9))),0)</f>
        <v/>
      </c>
      <c r="U161" s="80">
        <f>IF($I161&gt;0,MAX(0,$G161*SIN(RADIANS('13_시나리오비교'!$B$10))*SIN(RADIANS('13_시나리오비교'!$C$10))+$H161*SIN(RADIANS('13_시나리오비교'!$B$10))*COS(RADIANS('13_시나리오비교'!$C$10))+$I161*COS(RADIANS('13_시나리오비교'!$B$10))),0)</f>
        <v/>
      </c>
      <c r="V161" s="80">
        <f>IF($I161&gt;0,MAX(0,$G161*SIN(RADIANS('13_시나리오비교'!$B$11))*SIN(RADIANS('13_시나리오비교'!$C$11))+$H161*SIN(RADIANS('13_시나리오비교'!$B$11))*COS(RADIANS('13_시나리오비교'!$C$11))+$I161*COS(RADIANS('13_시나리오비교'!$B$11))),0)</f>
        <v/>
      </c>
      <c r="W161" s="80">
        <f>IF($I161&gt;0,MAX(0,$G161*SIN(RADIANS('13_시나리오비교'!$B$12))*SIN(RADIANS('13_시나리오비교'!$C$12))+$H161*SIN(RADIANS('13_시나리오비교'!$B$12))*COS(RADIANS('13_시나리오비교'!$C$12))+$I161*COS(RADIANS('13_시나리오비교'!$B$12))),0)</f>
        <v/>
      </c>
      <c r="X161" s="80">
        <f>IF($I161&gt;0,MAX(0,$G161*SIN(RADIANS('13_시나리오비교'!$B$13))*SIN(RADIANS('13_시나리오비교'!$C$13))+$H161*SIN(RADIANS('13_시나리오비교'!$B$13))*COS(RADIANS('13_시나리오비교'!$C$13))+$I161*COS(RADIANS('13_시나리오비교'!$B$13))),0)</f>
        <v/>
      </c>
      <c r="Y161" s="80">
        <f>IF($I161&gt;0,MAX(0,$G161*SIN(RADIANS('13_시나리오비교'!$B$14))*SIN(RADIANS('13_시나리오비교'!$C$14))+$H161*SIN(RADIANS('13_시나리오비교'!$B$14))*COS(RADIANS('13_시나리오비교'!$C$14))+$I161*COS(RADIANS('13_시나리오비교'!$B$14))),0)</f>
        <v/>
      </c>
    </row>
    <row r="162" hidden="1" outlineLevel="1">
      <c r="A162" s="79" t="n">
        <v>2</v>
      </c>
      <c r="B162" s="79" t="n">
        <v>46</v>
      </c>
      <c r="C162" s="80">
        <f>(B162-0.5)*'14_지역·상수'!$H$6</f>
        <v/>
      </c>
      <c r="D162" s="79" t="n">
        <v>47</v>
      </c>
      <c r="E162" s="80">
        <f>INDEX($C$4:$C$15,MATCH(A162,$A$4:$A$15,0))</f>
        <v/>
      </c>
      <c r="F162" s="80">
        <f>15*(C162-12)</f>
        <v/>
      </c>
      <c r="G162" s="80">
        <f>-COS(RADIANS(E162))*SIN(RADIANS(F162))</f>
        <v/>
      </c>
      <c r="H162" s="80">
        <f>COS(RADIANS('11_발전량_모델'!$B$17))*SIN(RADIANS(E162))-SIN(RADIANS('11_발전량_모델'!$B$17))*COS(RADIANS(E162))*COS(RADIANS(F162))</f>
        <v/>
      </c>
      <c r="I162" s="80">
        <f>SIN(RADIANS('11_발전량_모델'!$B$17))*SIN(RADIANS(E162))+COS(RADIANS('11_발전량_모델'!$B$17))*COS(RADIANS(E162))*COS(RADIANS(F162))</f>
        <v/>
      </c>
      <c r="J162" s="80">
        <f>SIN(RADIANS('11_발전량_모델'!$B$7))*SIN(RADIANS('11_발전량_모델'!$B$8))</f>
        <v/>
      </c>
      <c r="K162" s="80">
        <f>SIN(RADIANS('11_발전량_모델'!$B$7))*COS(RADIANS('11_발전량_모델'!$B$8))</f>
        <v/>
      </c>
      <c r="L162" s="80">
        <f>COS(RADIANS('11_발전량_모델'!$B$7))</f>
        <v/>
      </c>
      <c r="M162" s="80">
        <f>G162*J162+H162*K162+I162*L162</f>
        <v/>
      </c>
      <c r="N162" s="80">
        <f>MAX(0,I162)</f>
        <v/>
      </c>
      <c r="O162" s="80">
        <f>IF(I162&gt;0,MAX(0,M162),0)</f>
        <v/>
      </c>
      <c r="P162" s="80">
        <f>IF($I162&gt;0,MAX(0,$G162*SIN(RADIANS('13_시나리오비교'!$B$5))*SIN(RADIANS('13_시나리오비교'!$C$5))+$H162*SIN(RADIANS('13_시나리오비교'!$B$5))*COS(RADIANS('13_시나리오비교'!$C$5))+$I162*COS(RADIANS('13_시나리오비교'!$B$5))),0)</f>
        <v/>
      </c>
      <c r="Q162" s="80">
        <f>IF($I162&gt;0,MAX(0,$G162*SIN(RADIANS('13_시나리오비교'!$B$6))*SIN(RADIANS('13_시나리오비교'!$C$6))+$H162*SIN(RADIANS('13_시나리오비교'!$B$6))*COS(RADIANS('13_시나리오비교'!$C$6))+$I162*COS(RADIANS('13_시나리오비교'!$B$6))),0)</f>
        <v/>
      </c>
      <c r="R162" s="80">
        <f>IF($I162&gt;0,MAX(0,$G162*SIN(RADIANS('13_시나리오비교'!$B$7))*SIN(RADIANS('13_시나리오비교'!$C$7))+$H162*SIN(RADIANS('13_시나리오비교'!$B$7))*COS(RADIANS('13_시나리오비교'!$C$7))+$I162*COS(RADIANS('13_시나리오비교'!$B$7))),0)</f>
        <v/>
      </c>
      <c r="S162" s="80">
        <f>IF($I162&gt;0,MAX(0,$G162*SIN(RADIANS('13_시나리오비교'!$B$8))*SIN(RADIANS('13_시나리오비교'!$C$8))+$H162*SIN(RADIANS('13_시나리오비교'!$B$8))*COS(RADIANS('13_시나리오비교'!$C$8))+$I162*COS(RADIANS('13_시나리오비교'!$B$8))),0)</f>
        <v/>
      </c>
      <c r="T162" s="80">
        <f>IF($I162&gt;0,MAX(0,$G162*SIN(RADIANS('13_시나리오비교'!$B$9))*SIN(RADIANS('13_시나리오비교'!$C$9))+$H162*SIN(RADIANS('13_시나리오비교'!$B$9))*COS(RADIANS('13_시나리오비교'!$C$9))+$I162*COS(RADIANS('13_시나리오비교'!$B$9))),0)</f>
        <v/>
      </c>
      <c r="U162" s="80">
        <f>IF($I162&gt;0,MAX(0,$G162*SIN(RADIANS('13_시나리오비교'!$B$10))*SIN(RADIANS('13_시나리오비교'!$C$10))+$H162*SIN(RADIANS('13_시나리오비교'!$B$10))*COS(RADIANS('13_시나리오비교'!$C$10))+$I162*COS(RADIANS('13_시나리오비교'!$B$10))),0)</f>
        <v/>
      </c>
      <c r="V162" s="80">
        <f>IF($I162&gt;0,MAX(0,$G162*SIN(RADIANS('13_시나리오비교'!$B$11))*SIN(RADIANS('13_시나리오비교'!$C$11))+$H162*SIN(RADIANS('13_시나리오비교'!$B$11))*COS(RADIANS('13_시나리오비교'!$C$11))+$I162*COS(RADIANS('13_시나리오비교'!$B$11))),0)</f>
        <v/>
      </c>
      <c r="W162" s="80">
        <f>IF($I162&gt;0,MAX(0,$G162*SIN(RADIANS('13_시나리오비교'!$B$12))*SIN(RADIANS('13_시나리오비교'!$C$12))+$H162*SIN(RADIANS('13_시나리오비교'!$B$12))*COS(RADIANS('13_시나리오비교'!$C$12))+$I162*COS(RADIANS('13_시나리오비교'!$B$12))),0)</f>
        <v/>
      </c>
      <c r="X162" s="80">
        <f>IF($I162&gt;0,MAX(0,$G162*SIN(RADIANS('13_시나리오비교'!$B$13))*SIN(RADIANS('13_시나리오비교'!$C$13))+$H162*SIN(RADIANS('13_시나리오비교'!$B$13))*COS(RADIANS('13_시나리오비교'!$C$13))+$I162*COS(RADIANS('13_시나리오비교'!$B$13))),0)</f>
        <v/>
      </c>
      <c r="Y162" s="80">
        <f>IF($I162&gt;0,MAX(0,$G162*SIN(RADIANS('13_시나리오비교'!$B$14))*SIN(RADIANS('13_시나리오비교'!$C$14))+$H162*SIN(RADIANS('13_시나리오비교'!$B$14))*COS(RADIANS('13_시나리오비교'!$C$14))+$I162*COS(RADIANS('13_시나리오비교'!$B$14))),0)</f>
        <v/>
      </c>
    </row>
    <row r="163" hidden="1" outlineLevel="1">
      <c r="A163" s="79" t="n">
        <v>2</v>
      </c>
      <c r="B163" s="79" t="n">
        <v>47</v>
      </c>
      <c r="C163" s="80">
        <f>(B163-0.5)*'14_지역·상수'!$H$6</f>
        <v/>
      </c>
      <c r="D163" s="79" t="n">
        <v>47</v>
      </c>
      <c r="E163" s="80">
        <f>INDEX($C$4:$C$15,MATCH(A163,$A$4:$A$15,0))</f>
        <v/>
      </c>
      <c r="F163" s="80">
        <f>15*(C163-12)</f>
        <v/>
      </c>
      <c r="G163" s="80">
        <f>-COS(RADIANS(E163))*SIN(RADIANS(F163))</f>
        <v/>
      </c>
      <c r="H163" s="80">
        <f>COS(RADIANS('11_발전량_모델'!$B$17))*SIN(RADIANS(E163))-SIN(RADIANS('11_발전량_모델'!$B$17))*COS(RADIANS(E163))*COS(RADIANS(F163))</f>
        <v/>
      </c>
      <c r="I163" s="80">
        <f>SIN(RADIANS('11_발전량_모델'!$B$17))*SIN(RADIANS(E163))+COS(RADIANS('11_발전량_모델'!$B$17))*COS(RADIANS(E163))*COS(RADIANS(F163))</f>
        <v/>
      </c>
      <c r="J163" s="80">
        <f>SIN(RADIANS('11_발전량_모델'!$B$7))*SIN(RADIANS('11_발전량_모델'!$B$8))</f>
        <v/>
      </c>
      <c r="K163" s="80">
        <f>SIN(RADIANS('11_발전량_모델'!$B$7))*COS(RADIANS('11_발전량_모델'!$B$8))</f>
        <v/>
      </c>
      <c r="L163" s="80">
        <f>COS(RADIANS('11_발전량_모델'!$B$7))</f>
        <v/>
      </c>
      <c r="M163" s="80">
        <f>G163*J163+H163*K163+I163*L163</f>
        <v/>
      </c>
      <c r="N163" s="80">
        <f>MAX(0,I163)</f>
        <v/>
      </c>
      <c r="O163" s="80">
        <f>IF(I163&gt;0,MAX(0,M163),0)</f>
        <v/>
      </c>
      <c r="P163" s="80">
        <f>IF($I163&gt;0,MAX(0,$G163*SIN(RADIANS('13_시나리오비교'!$B$5))*SIN(RADIANS('13_시나리오비교'!$C$5))+$H163*SIN(RADIANS('13_시나리오비교'!$B$5))*COS(RADIANS('13_시나리오비교'!$C$5))+$I163*COS(RADIANS('13_시나리오비교'!$B$5))),0)</f>
        <v/>
      </c>
      <c r="Q163" s="80">
        <f>IF($I163&gt;0,MAX(0,$G163*SIN(RADIANS('13_시나리오비교'!$B$6))*SIN(RADIANS('13_시나리오비교'!$C$6))+$H163*SIN(RADIANS('13_시나리오비교'!$B$6))*COS(RADIANS('13_시나리오비교'!$C$6))+$I163*COS(RADIANS('13_시나리오비교'!$B$6))),0)</f>
        <v/>
      </c>
      <c r="R163" s="80">
        <f>IF($I163&gt;0,MAX(0,$G163*SIN(RADIANS('13_시나리오비교'!$B$7))*SIN(RADIANS('13_시나리오비교'!$C$7))+$H163*SIN(RADIANS('13_시나리오비교'!$B$7))*COS(RADIANS('13_시나리오비교'!$C$7))+$I163*COS(RADIANS('13_시나리오비교'!$B$7))),0)</f>
        <v/>
      </c>
      <c r="S163" s="80">
        <f>IF($I163&gt;0,MAX(0,$G163*SIN(RADIANS('13_시나리오비교'!$B$8))*SIN(RADIANS('13_시나리오비교'!$C$8))+$H163*SIN(RADIANS('13_시나리오비교'!$B$8))*COS(RADIANS('13_시나리오비교'!$C$8))+$I163*COS(RADIANS('13_시나리오비교'!$B$8))),0)</f>
        <v/>
      </c>
      <c r="T163" s="80">
        <f>IF($I163&gt;0,MAX(0,$G163*SIN(RADIANS('13_시나리오비교'!$B$9))*SIN(RADIANS('13_시나리오비교'!$C$9))+$H163*SIN(RADIANS('13_시나리오비교'!$B$9))*COS(RADIANS('13_시나리오비교'!$C$9))+$I163*COS(RADIANS('13_시나리오비교'!$B$9))),0)</f>
        <v/>
      </c>
      <c r="U163" s="80">
        <f>IF($I163&gt;0,MAX(0,$G163*SIN(RADIANS('13_시나리오비교'!$B$10))*SIN(RADIANS('13_시나리오비교'!$C$10))+$H163*SIN(RADIANS('13_시나리오비교'!$B$10))*COS(RADIANS('13_시나리오비교'!$C$10))+$I163*COS(RADIANS('13_시나리오비교'!$B$10))),0)</f>
        <v/>
      </c>
      <c r="V163" s="80">
        <f>IF($I163&gt;0,MAX(0,$G163*SIN(RADIANS('13_시나리오비교'!$B$11))*SIN(RADIANS('13_시나리오비교'!$C$11))+$H163*SIN(RADIANS('13_시나리오비교'!$B$11))*COS(RADIANS('13_시나리오비교'!$C$11))+$I163*COS(RADIANS('13_시나리오비교'!$B$11))),0)</f>
        <v/>
      </c>
      <c r="W163" s="80">
        <f>IF($I163&gt;0,MAX(0,$G163*SIN(RADIANS('13_시나리오비교'!$B$12))*SIN(RADIANS('13_시나리오비교'!$C$12))+$H163*SIN(RADIANS('13_시나리오비교'!$B$12))*COS(RADIANS('13_시나리오비교'!$C$12))+$I163*COS(RADIANS('13_시나리오비교'!$B$12))),0)</f>
        <v/>
      </c>
      <c r="X163" s="80">
        <f>IF($I163&gt;0,MAX(0,$G163*SIN(RADIANS('13_시나리오비교'!$B$13))*SIN(RADIANS('13_시나리오비교'!$C$13))+$H163*SIN(RADIANS('13_시나리오비교'!$B$13))*COS(RADIANS('13_시나리오비교'!$C$13))+$I163*COS(RADIANS('13_시나리오비교'!$B$13))),0)</f>
        <v/>
      </c>
      <c r="Y163" s="80">
        <f>IF($I163&gt;0,MAX(0,$G163*SIN(RADIANS('13_시나리오비교'!$B$14))*SIN(RADIANS('13_시나리오비교'!$C$14))+$H163*SIN(RADIANS('13_시나리오비교'!$B$14))*COS(RADIANS('13_시나리오비교'!$C$14))+$I163*COS(RADIANS('13_시나리오비교'!$B$14))),0)</f>
        <v/>
      </c>
    </row>
    <row r="164" hidden="1" outlineLevel="1">
      <c r="A164" s="79" t="n">
        <v>2</v>
      </c>
      <c r="B164" s="79" t="n">
        <v>48</v>
      </c>
      <c r="C164" s="80">
        <f>(B164-0.5)*'14_지역·상수'!$H$6</f>
        <v/>
      </c>
      <c r="D164" s="79" t="n">
        <v>47</v>
      </c>
      <c r="E164" s="80">
        <f>INDEX($C$4:$C$15,MATCH(A164,$A$4:$A$15,0))</f>
        <v/>
      </c>
      <c r="F164" s="80">
        <f>15*(C164-12)</f>
        <v/>
      </c>
      <c r="G164" s="80">
        <f>-COS(RADIANS(E164))*SIN(RADIANS(F164))</f>
        <v/>
      </c>
      <c r="H164" s="80">
        <f>COS(RADIANS('11_발전량_모델'!$B$17))*SIN(RADIANS(E164))-SIN(RADIANS('11_발전량_모델'!$B$17))*COS(RADIANS(E164))*COS(RADIANS(F164))</f>
        <v/>
      </c>
      <c r="I164" s="80">
        <f>SIN(RADIANS('11_발전량_모델'!$B$17))*SIN(RADIANS(E164))+COS(RADIANS('11_발전량_모델'!$B$17))*COS(RADIANS(E164))*COS(RADIANS(F164))</f>
        <v/>
      </c>
      <c r="J164" s="80">
        <f>SIN(RADIANS('11_발전량_모델'!$B$7))*SIN(RADIANS('11_발전량_모델'!$B$8))</f>
        <v/>
      </c>
      <c r="K164" s="80">
        <f>SIN(RADIANS('11_발전량_모델'!$B$7))*COS(RADIANS('11_발전량_모델'!$B$8))</f>
        <v/>
      </c>
      <c r="L164" s="80">
        <f>COS(RADIANS('11_발전량_모델'!$B$7))</f>
        <v/>
      </c>
      <c r="M164" s="80">
        <f>G164*J164+H164*K164+I164*L164</f>
        <v/>
      </c>
      <c r="N164" s="80">
        <f>MAX(0,I164)</f>
        <v/>
      </c>
      <c r="O164" s="80">
        <f>IF(I164&gt;0,MAX(0,M164),0)</f>
        <v/>
      </c>
      <c r="P164" s="80">
        <f>IF($I164&gt;0,MAX(0,$G164*SIN(RADIANS('13_시나리오비교'!$B$5))*SIN(RADIANS('13_시나리오비교'!$C$5))+$H164*SIN(RADIANS('13_시나리오비교'!$B$5))*COS(RADIANS('13_시나리오비교'!$C$5))+$I164*COS(RADIANS('13_시나리오비교'!$B$5))),0)</f>
        <v/>
      </c>
      <c r="Q164" s="80">
        <f>IF($I164&gt;0,MAX(0,$G164*SIN(RADIANS('13_시나리오비교'!$B$6))*SIN(RADIANS('13_시나리오비교'!$C$6))+$H164*SIN(RADIANS('13_시나리오비교'!$B$6))*COS(RADIANS('13_시나리오비교'!$C$6))+$I164*COS(RADIANS('13_시나리오비교'!$B$6))),0)</f>
        <v/>
      </c>
      <c r="R164" s="80">
        <f>IF($I164&gt;0,MAX(0,$G164*SIN(RADIANS('13_시나리오비교'!$B$7))*SIN(RADIANS('13_시나리오비교'!$C$7))+$H164*SIN(RADIANS('13_시나리오비교'!$B$7))*COS(RADIANS('13_시나리오비교'!$C$7))+$I164*COS(RADIANS('13_시나리오비교'!$B$7))),0)</f>
        <v/>
      </c>
      <c r="S164" s="80">
        <f>IF($I164&gt;0,MAX(0,$G164*SIN(RADIANS('13_시나리오비교'!$B$8))*SIN(RADIANS('13_시나리오비교'!$C$8))+$H164*SIN(RADIANS('13_시나리오비교'!$B$8))*COS(RADIANS('13_시나리오비교'!$C$8))+$I164*COS(RADIANS('13_시나리오비교'!$B$8))),0)</f>
        <v/>
      </c>
      <c r="T164" s="80">
        <f>IF($I164&gt;0,MAX(0,$G164*SIN(RADIANS('13_시나리오비교'!$B$9))*SIN(RADIANS('13_시나리오비교'!$C$9))+$H164*SIN(RADIANS('13_시나리오비교'!$B$9))*COS(RADIANS('13_시나리오비교'!$C$9))+$I164*COS(RADIANS('13_시나리오비교'!$B$9))),0)</f>
        <v/>
      </c>
      <c r="U164" s="80">
        <f>IF($I164&gt;0,MAX(0,$G164*SIN(RADIANS('13_시나리오비교'!$B$10))*SIN(RADIANS('13_시나리오비교'!$C$10))+$H164*SIN(RADIANS('13_시나리오비교'!$B$10))*COS(RADIANS('13_시나리오비교'!$C$10))+$I164*COS(RADIANS('13_시나리오비교'!$B$10))),0)</f>
        <v/>
      </c>
      <c r="V164" s="80">
        <f>IF($I164&gt;0,MAX(0,$G164*SIN(RADIANS('13_시나리오비교'!$B$11))*SIN(RADIANS('13_시나리오비교'!$C$11))+$H164*SIN(RADIANS('13_시나리오비교'!$B$11))*COS(RADIANS('13_시나리오비교'!$C$11))+$I164*COS(RADIANS('13_시나리오비교'!$B$11))),0)</f>
        <v/>
      </c>
      <c r="W164" s="80">
        <f>IF($I164&gt;0,MAX(0,$G164*SIN(RADIANS('13_시나리오비교'!$B$12))*SIN(RADIANS('13_시나리오비교'!$C$12))+$H164*SIN(RADIANS('13_시나리오비교'!$B$12))*COS(RADIANS('13_시나리오비교'!$C$12))+$I164*COS(RADIANS('13_시나리오비교'!$B$12))),0)</f>
        <v/>
      </c>
      <c r="X164" s="80">
        <f>IF($I164&gt;0,MAX(0,$G164*SIN(RADIANS('13_시나리오비교'!$B$13))*SIN(RADIANS('13_시나리오비교'!$C$13))+$H164*SIN(RADIANS('13_시나리오비교'!$B$13))*COS(RADIANS('13_시나리오비교'!$C$13))+$I164*COS(RADIANS('13_시나리오비교'!$B$13))),0)</f>
        <v/>
      </c>
      <c r="Y164" s="80">
        <f>IF($I164&gt;0,MAX(0,$G164*SIN(RADIANS('13_시나리오비교'!$B$14))*SIN(RADIANS('13_시나리오비교'!$C$14))+$H164*SIN(RADIANS('13_시나리오비교'!$B$14))*COS(RADIANS('13_시나리오비교'!$C$14))+$I164*COS(RADIANS('13_시나리오비교'!$B$14))),0)</f>
        <v/>
      </c>
    </row>
    <row r="165" hidden="1" outlineLevel="1">
      <c r="A165" s="79" t="n">
        <v>2</v>
      </c>
      <c r="B165" s="79" t="n">
        <v>49</v>
      </c>
      <c r="C165" s="80">
        <f>(B165-0.5)*'14_지역·상수'!$H$6</f>
        <v/>
      </c>
      <c r="D165" s="79" t="n">
        <v>47</v>
      </c>
      <c r="E165" s="80">
        <f>INDEX($C$4:$C$15,MATCH(A165,$A$4:$A$15,0))</f>
        <v/>
      </c>
      <c r="F165" s="80">
        <f>15*(C165-12)</f>
        <v/>
      </c>
      <c r="G165" s="80">
        <f>-COS(RADIANS(E165))*SIN(RADIANS(F165))</f>
        <v/>
      </c>
      <c r="H165" s="80">
        <f>COS(RADIANS('11_발전량_모델'!$B$17))*SIN(RADIANS(E165))-SIN(RADIANS('11_발전량_모델'!$B$17))*COS(RADIANS(E165))*COS(RADIANS(F165))</f>
        <v/>
      </c>
      <c r="I165" s="80">
        <f>SIN(RADIANS('11_발전량_모델'!$B$17))*SIN(RADIANS(E165))+COS(RADIANS('11_발전량_모델'!$B$17))*COS(RADIANS(E165))*COS(RADIANS(F165))</f>
        <v/>
      </c>
      <c r="J165" s="80">
        <f>SIN(RADIANS('11_발전량_모델'!$B$7))*SIN(RADIANS('11_발전량_모델'!$B$8))</f>
        <v/>
      </c>
      <c r="K165" s="80">
        <f>SIN(RADIANS('11_발전량_모델'!$B$7))*COS(RADIANS('11_발전량_모델'!$B$8))</f>
        <v/>
      </c>
      <c r="L165" s="80">
        <f>COS(RADIANS('11_발전량_모델'!$B$7))</f>
        <v/>
      </c>
      <c r="M165" s="80">
        <f>G165*J165+H165*K165+I165*L165</f>
        <v/>
      </c>
      <c r="N165" s="80">
        <f>MAX(0,I165)</f>
        <v/>
      </c>
      <c r="O165" s="80">
        <f>IF(I165&gt;0,MAX(0,M165),0)</f>
        <v/>
      </c>
      <c r="P165" s="80">
        <f>IF($I165&gt;0,MAX(0,$G165*SIN(RADIANS('13_시나리오비교'!$B$5))*SIN(RADIANS('13_시나리오비교'!$C$5))+$H165*SIN(RADIANS('13_시나리오비교'!$B$5))*COS(RADIANS('13_시나리오비교'!$C$5))+$I165*COS(RADIANS('13_시나리오비교'!$B$5))),0)</f>
        <v/>
      </c>
      <c r="Q165" s="80">
        <f>IF($I165&gt;0,MAX(0,$G165*SIN(RADIANS('13_시나리오비교'!$B$6))*SIN(RADIANS('13_시나리오비교'!$C$6))+$H165*SIN(RADIANS('13_시나리오비교'!$B$6))*COS(RADIANS('13_시나리오비교'!$C$6))+$I165*COS(RADIANS('13_시나리오비교'!$B$6))),0)</f>
        <v/>
      </c>
      <c r="R165" s="80">
        <f>IF($I165&gt;0,MAX(0,$G165*SIN(RADIANS('13_시나리오비교'!$B$7))*SIN(RADIANS('13_시나리오비교'!$C$7))+$H165*SIN(RADIANS('13_시나리오비교'!$B$7))*COS(RADIANS('13_시나리오비교'!$C$7))+$I165*COS(RADIANS('13_시나리오비교'!$B$7))),0)</f>
        <v/>
      </c>
      <c r="S165" s="80">
        <f>IF($I165&gt;0,MAX(0,$G165*SIN(RADIANS('13_시나리오비교'!$B$8))*SIN(RADIANS('13_시나리오비교'!$C$8))+$H165*SIN(RADIANS('13_시나리오비교'!$B$8))*COS(RADIANS('13_시나리오비교'!$C$8))+$I165*COS(RADIANS('13_시나리오비교'!$B$8))),0)</f>
        <v/>
      </c>
      <c r="T165" s="80">
        <f>IF($I165&gt;0,MAX(0,$G165*SIN(RADIANS('13_시나리오비교'!$B$9))*SIN(RADIANS('13_시나리오비교'!$C$9))+$H165*SIN(RADIANS('13_시나리오비교'!$B$9))*COS(RADIANS('13_시나리오비교'!$C$9))+$I165*COS(RADIANS('13_시나리오비교'!$B$9))),0)</f>
        <v/>
      </c>
      <c r="U165" s="80">
        <f>IF($I165&gt;0,MAX(0,$G165*SIN(RADIANS('13_시나리오비교'!$B$10))*SIN(RADIANS('13_시나리오비교'!$C$10))+$H165*SIN(RADIANS('13_시나리오비교'!$B$10))*COS(RADIANS('13_시나리오비교'!$C$10))+$I165*COS(RADIANS('13_시나리오비교'!$B$10))),0)</f>
        <v/>
      </c>
      <c r="V165" s="80">
        <f>IF($I165&gt;0,MAX(0,$G165*SIN(RADIANS('13_시나리오비교'!$B$11))*SIN(RADIANS('13_시나리오비교'!$C$11))+$H165*SIN(RADIANS('13_시나리오비교'!$B$11))*COS(RADIANS('13_시나리오비교'!$C$11))+$I165*COS(RADIANS('13_시나리오비교'!$B$11))),0)</f>
        <v/>
      </c>
      <c r="W165" s="80">
        <f>IF($I165&gt;0,MAX(0,$G165*SIN(RADIANS('13_시나리오비교'!$B$12))*SIN(RADIANS('13_시나리오비교'!$C$12))+$H165*SIN(RADIANS('13_시나리오비교'!$B$12))*COS(RADIANS('13_시나리오비교'!$C$12))+$I165*COS(RADIANS('13_시나리오비교'!$B$12))),0)</f>
        <v/>
      </c>
      <c r="X165" s="80">
        <f>IF($I165&gt;0,MAX(0,$G165*SIN(RADIANS('13_시나리오비교'!$B$13))*SIN(RADIANS('13_시나리오비교'!$C$13))+$H165*SIN(RADIANS('13_시나리오비교'!$B$13))*COS(RADIANS('13_시나리오비교'!$C$13))+$I165*COS(RADIANS('13_시나리오비교'!$B$13))),0)</f>
        <v/>
      </c>
      <c r="Y165" s="80">
        <f>IF($I165&gt;0,MAX(0,$G165*SIN(RADIANS('13_시나리오비교'!$B$14))*SIN(RADIANS('13_시나리오비교'!$C$14))+$H165*SIN(RADIANS('13_시나리오비교'!$B$14))*COS(RADIANS('13_시나리오비교'!$C$14))+$I165*COS(RADIANS('13_시나리오비교'!$B$14))),0)</f>
        <v/>
      </c>
    </row>
    <row r="166" hidden="1" outlineLevel="1">
      <c r="A166" s="79" t="n">
        <v>2</v>
      </c>
      <c r="B166" s="79" t="n">
        <v>50</v>
      </c>
      <c r="C166" s="80">
        <f>(B166-0.5)*'14_지역·상수'!$H$6</f>
        <v/>
      </c>
      <c r="D166" s="79" t="n">
        <v>47</v>
      </c>
      <c r="E166" s="80">
        <f>INDEX($C$4:$C$15,MATCH(A166,$A$4:$A$15,0))</f>
        <v/>
      </c>
      <c r="F166" s="80">
        <f>15*(C166-12)</f>
        <v/>
      </c>
      <c r="G166" s="80">
        <f>-COS(RADIANS(E166))*SIN(RADIANS(F166))</f>
        <v/>
      </c>
      <c r="H166" s="80">
        <f>COS(RADIANS('11_발전량_모델'!$B$17))*SIN(RADIANS(E166))-SIN(RADIANS('11_발전량_모델'!$B$17))*COS(RADIANS(E166))*COS(RADIANS(F166))</f>
        <v/>
      </c>
      <c r="I166" s="80">
        <f>SIN(RADIANS('11_발전량_모델'!$B$17))*SIN(RADIANS(E166))+COS(RADIANS('11_발전량_모델'!$B$17))*COS(RADIANS(E166))*COS(RADIANS(F166))</f>
        <v/>
      </c>
      <c r="J166" s="80">
        <f>SIN(RADIANS('11_발전량_모델'!$B$7))*SIN(RADIANS('11_발전량_모델'!$B$8))</f>
        <v/>
      </c>
      <c r="K166" s="80">
        <f>SIN(RADIANS('11_발전량_모델'!$B$7))*COS(RADIANS('11_발전량_모델'!$B$8))</f>
        <v/>
      </c>
      <c r="L166" s="80">
        <f>COS(RADIANS('11_발전량_모델'!$B$7))</f>
        <v/>
      </c>
      <c r="M166" s="80">
        <f>G166*J166+H166*K166+I166*L166</f>
        <v/>
      </c>
      <c r="N166" s="80">
        <f>MAX(0,I166)</f>
        <v/>
      </c>
      <c r="O166" s="80">
        <f>IF(I166&gt;0,MAX(0,M166),0)</f>
        <v/>
      </c>
      <c r="P166" s="80">
        <f>IF($I166&gt;0,MAX(0,$G166*SIN(RADIANS('13_시나리오비교'!$B$5))*SIN(RADIANS('13_시나리오비교'!$C$5))+$H166*SIN(RADIANS('13_시나리오비교'!$B$5))*COS(RADIANS('13_시나리오비교'!$C$5))+$I166*COS(RADIANS('13_시나리오비교'!$B$5))),0)</f>
        <v/>
      </c>
      <c r="Q166" s="80">
        <f>IF($I166&gt;0,MAX(0,$G166*SIN(RADIANS('13_시나리오비교'!$B$6))*SIN(RADIANS('13_시나리오비교'!$C$6))+$H166*SIN(RADIANS('13_시나리오비교'!$B$6))*COS(RADIANS('13_시나리오비교'!$C$6))+$I166*COS(RADIANS('13_시나리오비교'!$B$6))),0)</f>
        <v/>
      </c>
      <c r="R166" s="80">
        <f>IF($I166&gt;0,MAX(0,$G166*SIN(RADIANS('13_시나리오비교'!$B$7))*SIN(RADIANS('13_시나리오비교'!$C$7))+$H166*SIN(RADIANS('13_시나리오비교'!$B$7))*COS(RADIANS('13_시나리오비교'!$C$7))+$I166*COS(RADIANS('13_시나리오비교'!$B$7))),0)</f>
        <v/>
      </c>
      <c r="S166" s="80">
        <f>IF($I166&gt;0,MAX(0,$G166*SIN(RADIANS('13_시나리오비교'!$B$8))*SIN(RADIANS('13_시나리오비교'!$C$8))+$H166*SIN(RADIANS('13_시나리오비교'!$B$8))*COS(RADIANS('13_시나리오비교'!$C$8))+$I166*COS(RADIANS('13_시나리오비교'!$B$8))),0)</f>
        <v/>
      </c>
      <c r="T166" s="80">
        <f>IF($I166&gt;0,MAX(0,$G166*SIN(RADIANS('13_시나리오비교'!$B$9))*SIN(RADIANS('13_시나리오비교'!$C$9))+$H166*SIN(RADIANS('13_시나리오비교'!$B$9))*COS(RADIANS('13_시나리오비교'!$C$9))+$I166*COS(RADIANS('13_시나리오비교'!$B$9))),0)</f>
        <v/>
      </c>
      <c r="U166" s="80">
        <f>IF($I166&gt;0,MAX(0,$G166*SIN(RADIANS('13_시나리오비교'!$B$10))*SIN(RADIANS('13_시나리오비교'!$C$10))+$H166*SIN(RADIANS('13_시나리오비교'!$B$10))*COS(RADIANS('13_시나리오비교'!$C$10))+$I166*COS(RADIANS('13_시나리오비교'!$B$10))),0)</f>
        <v/>
      </c>
      <c r="V166" s="80">
        <f>IF($I166&gt;0,MAX(0,$G166*SIN(RADIANS('13_시나리오비교'!$B$11))*SIN(RADIANS('13_시나리오비교'!$C$11))+$H166*SIN(RADIANS('13_시나리오비교'!$B$11))*COS(RADIANS('13_시나리오비교'!$C$11))+$I166*COS(RADIANS('13_시나리오비교'!$B$11))),0)</f>
        <v/>
      </c>
      <c r="W166" s="80">
        <f>IF($I166&gt;0,MAX(0,$G166*SIN(RADIANS('13_시나리오비교'!$B$12))*SIN(RADIANS('13_시나리오비교'!$C$12))+$H166*SIN(RADIANS('13_시나리오비교'!$B$12))*COS(RADIANS('13_시나리오비교'!$C$12))+$I166*COS(RADIANS('13_시나리오비교'!$B$12))),0)</f>
        <v/>
      </c>
      <c r="X166" s="80">
        <f>IF($I166&gt;0,MAX(0,$G166*SIN(RADIANS('13_시나리오비교'!$B$13))*SIN(RADIANS('13_시나리오비교'!$C$13))+$H166*SIN(RADIANS('13_시나리오비교'!$B$13))*COS(RADIANS('13_시나리오비교'!$C$13))+$I166*COS(RADIANS('13_시나리오비교'!$B$13))),0)</f>
        <v/>
      </c>
      <c r="Y166" s="80">
        <f>IF($I166&gt;0,MAX(0,$G166*SIN(RADIANS('13_시나리오비교'!$B$14))*SIN(RADIANS('13_시나리오비교'!$C$14))+$H166*SIN(RADIANS('13_시나리오비교'!$B$14))*COS(RADIANS('13_시나리오비교'!$C$14))+$I166*COS(RADIANS('13_시나리오비교'!$B$14))),0)</f>
        <v/>
      </c>
    </row>
    <row r="167" hidden="1" outlineLevel="1">
      <c r="A167" s="79" t="n">
        <v>2</v>
      </c>
      <c r="B167" s="79" t="n">
        <v>51</v>
      </c>
      <c r="C167" s="80">
        <f>(B167-0.5)*'14_지역·상수'!$H$6</f>
        <v/>
      </c>
      <c r="D167" s="79" t="n">
        <v>47</v>
      </c>
      <c r="E167" s="80">
        <f>INDEX($C$4:$C$15,MATCH(A167,$A$4:$A$15,0))</f>
        <v/>
      </c>
      <c r="F167" s="80">
        <f>15*(C167-12)</f>
        <v/>
      </c>
      <c r="G167" s="80">
        <f>-COS(RADIANS(E167))*SIN(RADIANS(F167))</f>
        <v/>
      </c>
      <c r="H167" s="80">
        <f>COS(RADIANS('11_발전량_모델'!$B$17))*SIN(RADIANS(E167))-SIN(RADIANS('11_발전량_모델'!$B$17))*COS(RADIANS(E167))*COS(RADIANS(F167))</f>
        <v/>
      </c>
      <c r="I167" s="80">
        <f>SIN(RADIANS('11_발전량_모델'!$B$17))*SIN(RADIANS(E167))+COS(RADIANS('11_발전량_모델'!$B$17))*COS(RADIANS(E167))*COS(RADIANS(F167))</f>
        <v/>
      </c>
      <c r="J167" s="80">
        <f>SIN(RADIANS('11_발전량_모델'!$B$7))*SIN(RADIANS('11_발전량_모델'!$B$8))</f>
        <v/>
      </c>
      <c r="K167" s="80">
        <f>SIN(RADIANS('11_발전량_모델'!$B$7))*COS(RADIANS('11_발전량_모델'!$B$8))</f>
        <v/>
      </c>
      <c r="L167" s="80">
        <f>COS(RADIANS('11_발전량_모델'!$B$7))</f>
        <v/>
      </c>
      <c r="M167" s="80">
        <f>G167*J167+H167*K167+I167*L167</f>
        <v/>
      </c>
      <c r="N167" s="80">
        <f>MAX(0,I167)</f>
        <v/>
      </c>
      <c r="O167" s="80">
        <f>IF(I167&gt;0,MAX(0,M167),0)</f>
        <v/>
      </c>
      <c r="P167" s="80">
        <f>IF($I167&gt;0,MAX(0,$G167*SIN(RADIANS('13_시나리오비교'!$B$5))*SIN(RADIANS('13_시나리오비교'!$C$5))+$H167*SIN(RADIANS('13_시나리오비교'!$B$5))*COS(RADIANS('13_시나리오비교'!$C$5))+$I167*COS(RADIANS('13_시나리오비교'!$B$5))),0)</f>
        <v/>
      </c>
      <c r="Q167" s="80">
        <f>IF($I167&gt;0,MAX(0,$G167*SIN(RADIANS('13_시나리오비교'!$B$6))*SIN(RADIANS('13_시나리오비교'!$C$6))+$H167*SIN(RADIANS('13_시나리오비교'!$B$6))*COS(RADIANS('13_시나리오비교'!$C$6))+$I167*COS(RADIANS('13_시나리오비교'!$B$6))),0)</f>
        <v/>
      </c>
      <c r="R167" s="80">
        <f>IF($I167&gt;0,MAX(0,$G167*SIN(RADIANS('13_시나리오비교'!$B$7))*SIN(RADIANS('13_시나리오비교'!$C$7))+$H167*SIN(RADIANS('13_시나리오비교'!$B$7))*COS(RADIANS('13_시나리오비교'!$C$7))+$I167*COS(RADIANS('13_시나리오비교'!$B$7))),0)</f>
        <v/>
      </c>
      <c r="S167" s="80">
        <f>IF($I167&gt;0,MAX(0,$G167*SIN(RADIANS('13_시나리오비교'!$B$8))*SIN(RADIANS('13_시나리오비교'!$C$8))+$H167*SIN(RADIANS('13_시나리오비교'!$B$8))*COS(RADIANS('13_시나리오비교'!$C$8))+$I167*COS(RADIANS('13_시나리오비교'!$B$8))),0)</f>
        <v/>
      </c>
      <c r="T167" s="80">
        <f>IF($I167&gt;0,MAX(0,$G167*SIN(RADIANS('13_시나리오비교'!$B$9))*SIN(RADIANS('13_시나리오비교'!$C$9))+$H167*SIN(RADIANS('13_시나리오비교'!$B$9))*COS(RADIANS('13_시나리오비교'!$C$9))+$I167*COS(RADIANS('13_시나리오비교'!$B$9))),0)</f>
        <v/>
      </c>
      <c r="U167" s="80">
        <f>IF($I167&gt;0,MAX(0,$G167*SIN(RADIANS('13_시나리오비교'!$B$10))*SIN(RADIANS('13_시나리오비교'!$C$10))+$H167*SIN(RADIANS('13_시나리오비교'!$B$10))*COS(RADIANS('13_시나리오비교'!$C$10))+$I167*COS(RADIANS('13_시나리오비교'!$B$10))),0)</f>
        <v/>
      </c>
      <c r="V167" s="80">
        <f>IF($I167&gt;0,MAX(0,$G167*SIN(RADIANS('13_시나리오비교'!$B$11))*SIN(RADIANS('13_시나리오비교'!$C$11))+$H167*SIN(RADIANS('13_시나리오비교'!$B$11))*COS(RADIANS('13_시나리오비교'!$C$11))+$I167*COS(RADIANS('13_시나리오비교'!$B$11))),0)</f>
        <v/>
      </c>
      <c r="W167" s="80">
        <f>IF($I167&gt;0,MAX(0,$G167*SIN(RADIANS('13_시나리오비교'!$B$12))*SIN(RADIANS('13_시나리오비교'!$C$12))+$H167*SIN(RADIANS('13_시나리오비교'!$B$12))*COS(RADIANS('13_시나리오비교'!$C$12))+$I167*COS(RADIANS('13_시나리오비교'!$B$12))),0)</f>
        <v/>
      </c>
      <c r="X167" s="80">
        <f>IF($I167&gt;0,MAX(0,$G167*SIN(RADIANS('13_시나리오비교'!$B$13))*SIN(RADIANS('13_시나리오비교'!$C$13))+$H167*SIN(RADIANS('13_시나리오비교'!$B$13))*COS(RADIANS('13_시나리오비교'!$C$13))+$I167*COS(RADIANS('13_시나리오비교'!$B$13))),0)</f>
        <v/>
      </c>
      <c r="Y167" s="80">
        <f>IF($I167&gt;0,MAX(0,$G167*SIN(RADIANS('13_시나리오비교'!$B$14))*SIN(RADIANS('13_시나리오비교'!$C$14))+$H167*SIN(RADIANS('13_시나리오비교'!$B$14))*COS(RADIANS('13_시나리오비교'!$C$14))+$I167*COS(RADIANS('13_시나리오비교'!$B$14))),0)</f>
        <v/>
      </c>
    </row>
    <row r="168" hidden="1" outlineLevel="1">
      <c r="A168" s="79" t="n">
        <v>2</v>
      </c>
      <c r="B168" s="79" t="n">
        <v>52</v>
      </c>
      <c r="C168" s="80">
        <f>(B168-0.5)*'14_지역·상수'!$H$6</f>
        <v/>
      </c>
      <c r="D168" s="79" t="n">
        <v>47</v>
      </c>
      <c r="E168" s="80">
        <f>INDEX($C$4:$C$15,MATCH(A168,$A$4:$A$15,0))</f>
        <v/>
      </c>
      <c r="F168" s="80">
        <f>15*(C168-12)</f>
        <v/>
      </c>
      <c r="G168" s="80">
        <f>-COS(RADIANS(E168))*SIN(RADIANS(F168))</f>
        <v/>
      </c>
      <c r="H168" s="80">
        <f>COS(RADIANS('11_발전량_모델'!$B$17))*SIN(RADIANS(E168))-SIN(RADIANS('11_발전량_모델'!$B$17))*COS(RADIANS(E168))*COS(RADIANS(F168))</f>
        <v/>
      </c>
      <c r="I168" s="80">
        <f>SIN(RADIANS('11_발전량_모델'!$B$17))*SIN(RADIANS(E168))+COS(RADIANS('11_발전량_모델'!$B$17))*COS(RADIANS(E168))*COS(RADIANS(F168))</f>
        <v/>
      </c>
      <c r="J168" s="80">
        <f>SIN(RADIANS('11_발전량_모델'!$B$7))*SIN(RADIANS('11_발전량_모델'!$B$8))</f>
        <v/>
      </c>
      <c r="K168" s="80">
        <f>SIN(RADIANS('11_발전량_모델'!$B$7))*COS(RADIANS('11_발전량_모델'!$B$8))</f>
        <v/>
      </c>
      <c r="L168" s="80">
        <f>COS(RADIANS('11_발전량_모델'!$B$7))</f>
        <v/>
      </c>
      <c r="M168" s="80">
        <f>G168*J168+H168*K168+I168*L168</f>
        <v/>
      </c>
      <c r="N168" s="80">
        <f>MAX(0,I168)</f>
        <v/>
      </c>
      <c r="O168" s="80">
        <f>IF(I168&gt;0,MAX(0,M168),0)</f>
        <v/>
      </c>
      <c r="P168" s="80">
        <f>IF($I168&gt;0,MAX(0,$G168*SIN(RADIANS('13_시나리오비교'!$B$5))*SIN(RADIANS('13_시나리오비교'!$C$5))+$H168*SIN(RADIANS('13_시나리오비교'!$B$5))*COS(RADIANS('13_시나리오비교'!$C$5))+$I168*COS(RADIANS('13_시나리오비교'!$B$5))),0)</f>
        <v/>
      </c>
      <c r="Q168" s="80">
        <f>IF($I168&gt;0,MAX(0,$G168*SIN(RADIANS('13_시나리오비교'!$B$6))*SIN(RADIANS('13_시나리오비교'!$C$6))+$H168*SIN(RADIANS('13_시나리오비교'!$B$6))*COS(RADIANS('13_시나리오비교'!$C$6))+$I168*COS(RADIANS('13_시나리오비교'!$B$6))),0)</f>
        <v/>
      </c>
      <c r="R168" s="80">
        <f>IF($I168&gt;0,MAX(0,$G168*SIN(RADIANS('13_시나리오비교'!$B$7))*SIN(RADIANS('13_시나리오비교'!$C$7))+$H168*SIN(RADIANS('13_시나리오비교'!$B$7))*COS(RADIANS('13_시나리오비교'!$C$7))+$I168*COS(RADIANS('13_시나리오비교'!$B$7))),0)</f>
        <v/>
      </c>
      <c r="S168" s="80">
        <f>IF($I168&gt;0,MAX(0,$G168*SIN(RADIANS('13_시나리오비교'!$B$8))*SIN(RADIANS('13_시나리오비교'!$C$8))+$H168*SIN(RADIANS('13_시나리오비교'!$B$8))*COS(RADIANS('13_시나리오비교'!$C$8))+$I168*COS(RADIANS('13_시나리오비교'!$B$8))),0)</f>
        <v/>
      </c>
      <c r="T168" s="80">
        <f>IF($I168&gt;0,MAX(0,$G168*SIN(RADIANS('13_시나리오비교'!$B$9))*SIN(RADIANS('13_시나리오비교'!$C$9))+$H168*SIN(RADIANS('13_시나리오비교'!$B$9))*COS(RADIANS('13_시나리오비교'!$C$9))+$I168*COS(RADIANS('13_시나리오비교'!$B$9))),0)</f>
        <v/>
      </c>
      <c r="U168" s="80">
        <f>IF($I168&gt;0,MAX(0,$G168*SIN(RADIANS('13_시나리오비교'!$B$10))*SIN(RADIANS('13_시나리오비교'!$C$10))+$H168*SIN(RADIANS('13_시나리오비교'!$B$10))*COS(RADIANS('13_시나리오비교'!$C$10))+$I168*COS(RADIANS('13_시나리오비교'!$B$10))),0)</f>
        <v/>
      </c>
      <c r="V168" s="80">
        <f>IF($I168&gt;0,MAX(0,$G168*SIN(RADIANS('13_시나리오비교'!$B$11))*SIN(RADIANS('13_시나리오비교'!$C$11))+$H168*SIN(RADIANS('13_시나리오비교'!$B$11))*COS(RADIANS('13_시나리오비교'!$C$11))+$I168*COS(RADIANS('13_시나리오비교'!$B$11))),0)</f>
        <v/>
      </c>
      <c r="W168" s="80">
        <f>IF($I168&gt;0,MAX(0,$G168*SIN(RADIANS('13_시나리오비교'!$B$12))*SIN(RADIANS('13_시나리오비교'!$C$12))+$H168*SIN(RADIANS('13_시나리오비교'!$B$12))*COS(RADIANS('13_시나리오비교'!$C$12))+$I168*COS(RADIANS('13_시나리오비교'!$B$12))),0)</f>
        <v/>
      </c>
      <c r="X168" s="80">
        <f>IF($I168&gt;0,MAX(0,$G168*SIN(RADIANS('13_시나리오비교'!$B$13))*SIN(RADIANS('13_시나리오비교'!$C$13))+$H168*SIN(RADIANS('13_시나리오비교'!$B$13))*COS(RADIANS('13_시나리오비교'!$C$13))+$I168*COS(RADIANS('13_시나리오비교'!$B$13))),0)</f>
        <v/>
      </c>
      <c r="Y168" s="80">
        <f>IF($I168&gt;0,MAX(0,$G168*SIN(RADIANS('13_시나리오비교'!$B$14))*SIN(RADIANS('13_시나리오비교'!$C$14))+$H168*SIN(RADIANS('13_시나리오비교'!$B$14))*COS(RADIANS('13_시나리오비교'!$C$14))+$I168*COS(RADIANS('13_시나리오비교'!$B$14))),0)</f>
        <v/>
      </c>
    </row>
    <row r="169" hidden="1" outlineLevel="1">
      <c r="A169" s="79" t="n">
        <v>2</v>
      </c>
      <c r="B169" s="79" t="n">
        <v>53</v>
      </c>
      <c r="C169" s="80">
        <f>(B169-0.5)*'14_지역·상수'!$H$6</f>
        <v/>
      </c>
      <c r="D169" s="79" t="n">
        <v>47</v>
      </c>
      <c r="E169" s="80">
        <f>INDEX($C$4:$C$15,MATCH(A169,$A$4:$A$15,0))</f>
        <v/>
      </c>
      <c r="F169" s="80">
        <f>15*(C169-12)</f>
        <v/>
      </c>
      <c r="G169" s="80">
        <f>-COS(RADIANS(E169))*SIN(RADIANS(F169))</f>
        <v/>
      </c>
      <c r="H169" s="80">
        <f>COS(RADIANS('11_발전량_모델'!$B$17))*SIN(RADIANS(E169))-SIN(RADIANS('11_발전량_모델'!$B$17))*COS(RADIANS(E169))*COS(RADIANS(F169))</f>
        <v/>
      </c>
      <c r="I169" s="80">
        <f>SIN(RADIANS('11_발전량_모델'!$B$17))*SIN(RADIANS(E169))+COS(RADIANS('11_발전량_모델'!$B$17))*COS(RADIANS(E169))*COS(RADIANS(F169))</f>
        <v/>
      </c>
      <c r="J169" s="80">
        <f>SIN(RADIANS('11_발전량_모델'!$B$7))*SIN(RADIANS('11_발전량_모델'!$B$8))</f>
        <v/>
      </c>
      <c r="K169" s="80">
        <f>SIN(RADIANS('11_발전량_모델'!$B$7))*COS(RADIANS('11_발전량_모델'!$B$8))</f>
        <v/>
      </c>
      <c r="L169" s="80">
        <f>COS(RADIANS('11_발전량_모델'!$B$7))</f>
        <v/>
      </c>
      <c r="M169" s="80">
        <f>G169*J169+H169*K169+I169*L169</f>
        <v/>
      </c>
      <c r="N169" s="80">
        <f>MAX(0,I169)</f>
        <v/>
      </c>
      <c r="O169" s="80">
        <f>IF(I169&gt;0,MAX(0,M169),0)</f>
        <v/>
      </c>
      <c r="P169" s="80">
        <f>IF($I169&gt;0,MAX(0,$G169*SIN(RADIANS('13_시나리오비교'!$B$5))*SIN(RADIANS('13_시나리오비교'!$C$5))+$H169*SIN(RADIANS('13_시나리오비교'!$B$5))*COS(RADIANS('13_시나리오비교'!$C$5))+$I169*COS(RADIANS('13_시나리오비교'!$B$5))),0)</f>
        <v/>
      </c>
      <c r="Q169" s="80">
        <f>IF($I169&gt;0,MAX(0,$G169*SIN(RADIANS('13_시나리오비교'!$B$6))*SIN(RADIANS('13_시나리오비교'!$C$6))+$H169*SIN(RADIANS('13_시나리오비교'!$B$6))*COS(RADIANS('13_시나리오비교'!$C$6))+$I169*COS(RADIANS('13_시나리오비교'!$B$6))),0)</f>
        <v/>
      </c>
      <c r="R169" s="80">
        <f>IF($I169&gt;0,MAX(0,$G169*SIN(RADIANS('13_시나리오비교'!$B$7))*SIN(RADIANS('13_시나리오비교'!$C$7))+$H169*SIN(RADIANS('13_시나리오비교'!$B$7))*COS(RADIANS('13_시나리오비교'!$C$7))+$I169*COS(RADIANS('13_시나리오비교'!$B$7))),0)</f>
        <v/>
      </c>
      <c r="S169" s="80">
        <f>IF($I169&gt;0,MAX(0,$G169*SIN(RADIANS('13_시나리오비교'!$B$8))*SIN(RADIANS('13_시나리오비교'!$C$8))+$H169*SIN(RADIANS('13_시나리오비교'!$B$8))*COS(RADIANS('13_시나리오비교'!$C$8))+$I169*COS(RADIANS('13_시나리오비교'!$B$8))),0)</f>
        <v/>
      </c>
      <c r="T169" s="80">
        <f>IF($I169&gt;0,MAX(0,$G169*SIN(RADIANS('13_시나리오비교'!$B$9))*SIN(RADIANS('13_시나리오비교'!$C$9))+$H169*SIN(RADIANS('13_시나리오비교'!$B$9))*COS(RADIANS('13_시나리오비교'!$C$9))+$I169*COS(RADIANS('13_시나리오비교'!$B$9))),0)</f>
        <v/>
      </c>
      <c r="U169" s="80">
        <f>IF($I169&gt;0,MAX(0,$G169*SIN(RADIANS('13_시나리오비교'!$B$10))*SIN(RADIANS('13_시나리오비교'!$C$10))+$H169*SIN(RADIANS('13_시나리오비교'!$B$10))*COS(RADIANS('13_시나리오비교'!$C$10))+$I169*COS(RADIANS('13_시나리오비교'!$B$10))),0)</f>
        <v/>
      </c>
      <c r="V169" s="80">
        <f>IF($I169&gt;0,MAX(0,$G169*SIN(RADIANS('13_시나리오비교'!$B$11))*SIN(RADIANS('13_시나리오비교'!$C$11))+$H169*SIN(RADIANS('13_시나리오비교'!$B$11))*COS(RADIANS('13_시나리오비교'!$C$11))+$I169*COS(RADIANS('13_시나리오비교'!$B$11))),0)</f>
        <v/>
      </c>
      <c r="W169" s="80">
        <f>IF($I169&gt;0,MAX(0,$G169*SIN(RADIANS('13_시나리오비교'!$B$12))*SIN(RADIANS('13_시나리오비교'!$C$12))+$H169*SIN(RADIANS('13_시나리오비교'!$B$12))*COS(RADIANS('13_시나리오비교'!$C$12))+$I169*COS(RADIANS('13_시나리오비교'!$B$12))),0)</f>
        <v/>
      </c>
      <c r="X169" s="80">
        <f>IF($I169&gt;0,MAX(0,$G169*SIN(RADIANS('13_시나리오비교'!$B$13))*SIN(RADIANS('13_시나리오비교'!$C$13))+$H169*SIN(RADIANS('13_시나리오비교'!$B$13))*COS(RADIANS('13_시나리오비교'!$C$13))+$I169*COS(RADIANS('13_시나리오비교'!$B$13))),0)</f>
        <v/>
      </c>
      <c r="Y169" s="80">
        <f>IF($I169&gt;0,MAX(0,$G169*SIN(RADIANS('13_시나리오비교'!$B$14))*SIN(RADIANS('13_시나리오비교'!$C$14))+$H169*SIN(RADIANS('13_시나리오비교'!$B$14))*COS(RADIANS('13_시나리오비교'!$C$14))+$I169*COS(RADIANS('13_시나리오비교'!$B$14))),0)</f>
        <v/>
      </c>
    </row>
    <row r="170" hidden="1" outlineLevel="1">
      <c r="A170" s="79" t="n">
        <v>2</v>
      </c>
      <c r="B170" s="79" t="n">
        <v>54</v>
      </c>
      <c r="C170" s="80">
        <f>(B170-0.5)*'14_지역·상수'!$H$6</f>
        <v/>
      </c>
      <c r="D170" s="79" t="n">
        <v>47</v>
      </c>
      <c r="E170" s="80">
        <f>INDEX($C$4:$C$15,MATCH(A170,$A$4:$A$15,0))</f>
        <v/>
      </c>
      <c r="F170" s="80">
        <f>15*(C170-12)</f>
        <v/>
      </c>
      <c r="G170" s="80">
        <f>-COS(RADIANS(E170))*SIN(RADIANS(F170))</f>
        <v/>
      </c>
      <c r="H170" s="80">
        <f>COS(RADIANS('11_발전량_모델'!$B$17))*SIN(RADIANS(E170))-SIN(RADIANS('11_발전량_모델'!$B$17))*COS(RADIANS(E170))*COS(RADIANS(F170))</f>
        <v/>
      </c>
      <c r="I170" s="80">
        <f>SIN(RADIANS('11_발전량_모델'!$B$17))*SIN(RADIANS(E170))+COS(RADIANS('11_발전량_모델'!$B$17))*COS(RADIANS(E170))*COS(RADIANS(F170))</f>
        <v/>
      </c>
      <c r="J170" s="80">
        <f>SIN(RADIANS('11_발전량_모델'!$B$7))*SIN(RADIANS('11_발전량_모델'!$B$8))</f>
        <v/>
      </c>
      <c r="K170" s="80">
        <f>SIN(RADIANS('11_발전량_모델'!$B$7))*COS(RADIANS('11_발전량_모델'!$B$8))</f>
        <v/>
      </c>
      <c r="L170" s="80">
        <f>COS(RADIANS('11_발전량_모델'!$B$7))</f>
        <v/>
      </c>
      <c r="M170" s="80">
        <f>G170*J170+H170*K170+I170*L170</f>
        <v/>
      </c>
      <c r="N170" s="80">
        <f>MAX(0,I170)</f>
        <v/>
      </c>
      <c r="O170" s="80">
        <f>IF(I170&gt;0,MAX(0,M170),0)</f>
        <v/>
      </c>
      <c r="P170" s="80">
        <f>IF($I170&gt;0,MAX(0,$G170*SIN(RADIANS('13_시나리오비교'!$B$5))*SIN(RADIANS('13_시나리오비교'!$C$5))+$H170*SIN(RADIANS('13_시나리오비교'!$B$5))*COS(RADIANS('13_시나리오비교'!$C$5))+$I170*COS(RADIANS('13_시나리오비교'!$B$5))),0)</f>
        <v/>
      </c>
      <c r="Q170" s="80">
        <f>IF($I170&gt;0,MAX(0,$G170*SIN(RADIANS('13_시나리오비교'!$B$6))*SIN(RADIANS('13_시나리오비교'!$C$6))+$H170*SIN(RADIANS('13_시나리오비교'!$B$6))*COS(RADIANS('13_시나리오비교'!$C$6))+$I170*COS(RADIANS('13_시나리오비교'!$B$6))),0)</f>
        <v/>
      </c>
      <c r="R170" s="80">
        <f>IF($I170&gt;0,MAX(0,$G170*SIN(RADIANS('13_시나리오비교'!$B$7))*SIN(RADIANS('13_시나리오비교'!$C$7))+$H170*SIN(RADIANS('13_시나리오비교'!$B$7))*COS(RADIANS('13_시나리오비교'!$C$7))+$I170*COS(RADIANS('13_시나리오비교'!$B$7))),0)</f>
        <v/>
      </c>
      <c r="S170" s="80">
        <f>IF($I170&gt;0,MAX(0,$G170*SIN(RADIANS('13_시나리오비교'!$B$8))*SIN(RADIANS('13_시나리오비교'!$C$8))+$H170*SIN(RADIANS('13_시나리오비교'!$B$8))*COS(RADIANS('13_시나리오비교'!$C$8))+$I170*COS(RADIANS('13_시나리오비교'!$B$8))),0)</f>
        <v/>
      </c>
      <c r="T170" s="80">
        <f>IF($I170&gt;0,MAX(0,$G170*SIN(RADIANS('13_시나리오비교'!$B$9))*SIN(RADIANS('13_시나리오비교'!$C$9))+$H170*SIN(RADIANS('13_시나리오비교'!$B$9))*COS(RADIANS('13_시나리오비교'!$C$9))+$I170*COS(RADIANS('13_시나리오비교'!$B$9))),0)</f>
        <v/>
      </c>
      <c r="U170" s="80">
        <f>IF($I170&gt;0,MAX(0,$G170*SIN(RADIANS('13_시나리오비교'!$B$10))*SIN(RADIANS('13_시나리오비교'!$C$10))+$H170*SIN(RADIANS('13_시나리오비교'!$B$10))*COS(RADIANS('13_시나리오비교'!$C$10))+$I170*COS(RADIANS('13_시나리오비교'!$B$10))),0)</f>
        <v/>
      </c>
      <c r="V170" s="80">
        <f>IF($I170&gt;0,MAX(0,$G170*SIN(RADIANS('13_시나리오비교'!$B$11))*SIN(RADIANS('13_시나리오비교'!$C$11))+$H170*SIN(RADIANS('13_시나리오비교'!$B$11))*COS(RADIANS('13_시나리오비교'!$C$11))+$I170*COS(RADIANS('13_시나리오비교'!$B$11))),0)</f>
        <v/>
      </c>
      <c r="W170" s="80">
        <f>IF($I170&gt;0,MAX(0,$G170*SIN(RADIANS('13_시나리오비교'!$B$12))*SIN(RADIANS('13_시나리오비교'!$C$12))+$H170*SIN(RADIANS('13_시나리오비교'!$B$12))*COS(RADIANS('13_시나리오비교'!$C$12))+$I170*COS(RADIANS('13_시나리오비교'!$B$12))),0)</f>
        <v/>
      </c>
      <c r="X170" s="80">
        <f>IF($I170&gt;0,MAX(0,$G170*SIN(RADIANS('13_시나리오비교'!$B$13))*SIN(RADIANS('13_시나리오비교'!$C$13))+$H170*SIN(RADIANS('13_시나리오비교'!$B$13))*COS(RADIANS('13_시나리오비교'!$C$13))+$I170*COS(RADIANS('13_시나리오비교'!$B$13))),0)</f>
        <v/>
      </c>
      <c r="Y170" s="80">
        <f>IF($I170&gt;0,MAX(0,$G170*SIN(RADIANS('13_시나리오비교'!$B$14))*SIN(RADIANS('13_시나리오비교'!$C$14))+$H170*SIN(RADIANS('13_시나리오비교'!$B$14))*COS(RADIANS('13_시나리오비교'!$C$14))+$I170*COS(RADIANS('13_시나리오비교'!$B$14))),0)</f>
        <v/>
      </c>
    </row>
    <row r="171" hidden="1" outlineLevel="1">
      <c r="A171" s="79" t="n">
        <v>2</v>
      </c>
      <c r="B171" s="79" t="n">
        <v>55</v>
      </c>
      <c r="C171" s="80">
        <f>(B171-0.5)*'14_지역·상수'!$H$6</f>
        <v/>
      </c>
      <c r="D171" s="79" t="n">
        <v>47</v>
      </c>
      <c r="E171" s="80">
        <f>INDEX($C$4:$C$15,MATCH(A171,$A$4:$A$15,0))</f>
        <v/>
      </c>
      <c r="F171" s="80">
        <f>15*(C171-12)</f>
        <v/>
      </c>
      <c r="G171" s="80">
        <f>-COS(RADIANS(E171))*SIN(RADIANS(F171))</f>
        <v/>
      </c>
      <c r="H171" s="80">
        <f>COS(RADIANS('11_발전량_모델'!$B$17))*SIN(RADIANS(E171))-SIN(RADIANS('11_발전량_모델'!$B$17))*COS(RADIANS(E171))*COS(RADIANS(F171))</f>
        <v/>
      </c>
      <c r="I171" s="80">
        <f>SIN(RADIANS('11_발전량_모델'!$B$17))*SIN(RADIANS(E171))+COS(RADIANS('11_발전량_모델'!$B$17))*COS(RADIANS(E171))*COS(RADIANS(F171))</f>
        <v/>
      </c>
      <c r="J171" s="80">
        <f>SIN(RADIANS('11_발전량_모델'!$B$7))*SIN(RADIANS('11_발전량_모델'!$B$8))</f>
        <v/>
      </c>
      <c r="K171" s="80">
        <f>SIN(RADIANS('11_발전량_모델'!$B$7))*COS(RADIANS('11_발전량_모델'!$B$8))</f>
        <v/>
      </c>
      <c r="L171" s="80">
        <f>COS(RADIANS('11_발전량_모델'!$B$7))</f>
        <v/>
      </c>
      <c r="M171" s="80">
        <f>G171*J171+H171*K171+I171*L171</f>
        <v/>
      </c>
      <c r="N171" s="80">
        <f>MAX(0,I171)</f>
        <v/>
      </c>
      <c r="O171" s="80">
        <f>IF(I171&gt;0,MAX(0,M171),0)</f>
        <v/>
      </c>
      <c r="P171" s="80">
        <f>IF($I171&gt;0,MAX(0,$G171*SIN(RADIANS('13_시나리오비교'!$B$5))*SIN(RADIANS('13_시나리오비교'!$C$5))+$H171*SIN(RADIANS('13_시나리오비교'!$B$5))*COS(RADIANS('13_시나리오비교'!$C$5))+$I171*COS(RADIANS('13_시나리오비교'!$B$5))),0)</f>
        <v/>
      </c>
      <c r="Q171" s="80">
        <f>IF($I171&gt;0,MAX(0,$G171*SIN(RADIANS('13_시나리오비교'!$B$6))*SIN(RADIANS('13_시나리오비교'!$C$6))+$H171*SIN(RADIANS('13_시나리오비교'!$B$6))*COS(RADIANS('13_시나리오비교'!$C$6))+$I171*COS(RADIANS('13_시나리오비교'!$B$6))),0)</f>
        <v/>
      </c>
      <c r="R171" s="80">
        <f>IF($I171&gt;0,MAX(0,$G171*SIN(RADIANS('13_시나리오비교'!$B$7))*SIN(RADIANS('13_시나리오비교'!$C$7))+$H171*SIN(RADIANS('13_시나리오비교'!$B$7))*COS(RADIANS('13_시나리오비교'!$C$7))+$I171*COS(RADIANS('13_시나리오비교'!$B$7))),0)</f>
        <v/>
      </c>
      <c r="S171" s="80">
        <f>IF($I171&gt;0,MAX(0,$G171*SIN(RADIANS('13_시나리오비교'!$B$8))*SIN(RADIANS('13_시나리오비교'!$C$8))+$H171*SIN(RADIANS('13_시나리오비교'!$B$8))*COS(RADIANS('13_시나리오비교'!$C$8))+$I171*COS(RADIANS('13_시나리오비교'!$B$8))),0)</f>
        <v/>
      </c>
      <c r="T171" s="80">
        <f>IF($I171&gt;0,MAX(0,$G171*SIN(RADIANS('13_시나리오비교'!$B$9))*SIN(RADIANS('13_시나리오비교'!$C$9))+$H171*SIN(RADIANS('13_시나리오비교'!$B$9))*COS(RADIANS('13_시나리오비교'!$C$9))+$I171*COS(RADIANS('13_시나리오비교'!$B$9))),0)</f>
        <v/>
      </c>
      <c r="U171" s="80">
        <f>IF($I171&gt;0,MAX(0,$G171*SIN(RADIANS('13_시나리오비교'!$B$10))*SIN(RADIANS('13_시나리오비교'!$C$10))+$H171*SIN(RADIANS('13_시나리오비교'!$B$10))*COS(RADIANS('13_시나리오비교'!$C$10))+$I171*COS(RADIANS('13_시나리오비교'!$B$10))),0)</f>
        <v/>
      </c>
      <c r="V171" s="80">
        <f>IF($I171&gt;0,MAX(0,$G171*SIN(RADIANS('13_시나리오비교'!$B$11))*SIN(RADIANS('13_시나리오비교'!$C$11))+$H171*SIN(RADIANS('13_시나리오비교'!$B$11))*COS(RADIANS('13_시나리오비교'!$C$11))+$I171*COS(RADIANS('13_시나리오비교'!$B$11))),0)</f>
        <v/>
      </c>
      <c r="W171" s="80">
        <f>IF($I171&gt;0,MAX(0,$G171*SIN(RADIANS('13_시나리오비교'!$B$12))*SIN(RADIANS('13_시나리오비교'!$C$12))+$H171*SIN(RADIANS('13_시나리오비교'!$B$12))*COS(RADIANS('13_시나리오비교'!$C$12))+$I171*COS(RADIANS('13_시나리오비교'!$B$12))),0)</f>
        <v/>
      </c>
      <c r="X171" s="80">
        <f>IF($I171&gt;0,MAX(0,$G171*SIN(RADIANS('13_시나리오비교'!$B$13))*SIN(RADIANS('13_시나리오비교'!$C$13))+$H171*SIN(RADIANS('13_시나리오비교'!$B$13))*COS(RADIANS('13_시나리오비교'!$C$13))+$I171*COS(RADIANS('13_시나리오비교'!$B$13))),0)</f>
        <v/>
      </c>
      <c r="Y171" s="80">
        <f>IF($I171&gt;0,MAX(0,$G171*SIN(RADIANS('13_시나리오비교'!$B$14))*SIN(RADIANS('13_시나리오비교'!$C$14))+$H171*SIN(RADIANS('13_시나리오비교'!$B$14))*COS(RADIANS('13_시나리오비교'!$C$14))+$I171*COS(RADIANS('13_시나리오비교'!$B$14))),0)</f>
        <v/>
      </c>
    </row>
    <row r="172" hidden="1" outlineLevel="1">
      <c r="A172" s="79" t="n">
        <v>2</v>
      </c>
      <c r="B172" s="79" t="n">
        <v>56</v>
      </c>
      <c r="C172" s="80">
        <f>(B172-0.5)*'14_지역·상수'!$H$6</f>
        <v/>
      </c>
      <c r="D172" s="79" t="n">
        <v>47</v>
      </c>
      <c r="E172" s="80">
        <f>INDEX($C$4:$C$15,MATCH(A172,$A$4:$A$15,0))</f>
        <v/>
      </c>
      <c r="F172" s="80">
        <f>15*(C172-12)</f>
        <v/>
      </c>
      <c r="G172" s="80">
        <f>-COS(RADIANS(E172))*SIN(RADIANS(F172))</f>
        <v/>
      </c>
      <c r="H172" s="80">
        <f>COS(RADIANS('11_발전량_모델'!$B$17))*SIN(RADIANS(E172))-SIN(RADIANS('11_발전량_모델'!$B$17))*COS(RADIANS(E172))*COS(RADIANS(F172))</f>
        <v/>
      </c>
      <c r="I172" s="80">
        <f>SIN(RADIANS('11_발전량_모델'!$B$17))*SIN(RADIANS(E172))+COS(RADIANS('11_발전량_모델'!$B$17))*COS(RADIANS(E172))*COS(RADIANS(F172))</f>
        <v/>
      </c>
      <c r="J172" s="80">
        <f>SIN(RADIANS('11_발전량_모델'!$B$7))*SIN(RADIANS('11_발전량_모델'!$B$8))</f>
        <v/>
      </c>
      <c r="K172" s="80">
        <f>SIN(RADIANS('11_발전량_모델'!$B$7))*COS(RADIANS('11_발전량_모델'!$B$8))</f>
        <v/>
      </c>
      <c r="L172" s="80">
        <f>COS(RADIANS('11_발전량_모델'!$B$7))</f>
        <v/>
      </c>
      <c r="M172" s="80">
        <f>G172*J172+H172*K172+I172*L172</f>
        <v/>
      </c>
      <c r="N172" s="80">
        <f>MAX(0,I172)</f>
        <v/>
      </c>
      <c r="O172" s="80">
        <f>IF(I172&gt;0,MAX(0,M172),0)</f>
        <v/>
      </c>
      <c r="P172" s="80">
        <f>IF($I172&gt;0,MAX(0,$G172*SIN(RADIANS('13_시나리오비교'!$B$5))*SIN(RADIANS('13_시나리오비교'!$C$5))+$H172*SIN(RADIANS('13_시나리오비교'!$B$5))*COS(RADIANS('13_시나리오비교'!$C$5))+$I172*COS(RADIANS('13_시나리오비교'!$B$5))),0)</f>
        <v/>
      </c>
      <c r="Q172" s="80">
        <f>IF($I172&gt;0,MAX(0,$G172*SIN(RADIANS('13_시나리오비교'!$B$6))*SIN(RADIANS('13_시나리오비교'!$C$6))+$H172*SIN(RADIANS('13_시나리오비교'!$B$6))*COS(RADIANS('13_시나리오비교'!$C$6))+$I172*COS(RADIANS('13_시나리오비교'!$B$6))),0)</f>
        <v/>
      </c>
      <c r="R172" s="80">
        <f>IF($I172&gt;0,MAX(0,$G172*SIN(RADIANS('13_시나리오비교'!$B$7))*SIN(RADIANS('13_시나리오비교'!$C$7))+$H172*SIN(RADIANS('13_시나리오비교'!$B$7))*COS(RADIANS('13_시나리오비교'!$C$7))+$I172*COS(RADIANS('13_시나리오비교'!$B$7))),0)</f>
        <v/>
      </c>
      <c r="S172" s="80">
        <f>IF($I172&gt;0,MAX(0,$G172*SIN(RADIANS('13_시나리오비교'!$B$8))*SIN(RADIANS('13_시나리오비교'!$C$8))+$H172*SIN(RADIANS('13_시나리오비교'!$B$8))*COS(RADIANS('13_시나리오비교'!$C$8))+$I172*COS(RADIANS('13_시나리오비교'!$B$8))),0)</f>
        <v/>
      </c>
      <c r="T172" s="80">
        <f>IF($I172&gt;0,MAX(0,$G172*SIN(RADIANS('13_시나리오비교'!$B$9))*SIN(RADIANS('13_시나리오비교'!$C$9))+$H172*SIN(RADIANS('13_시나리오비교'!$B$9))*COS(RADIANS('13_시나리오비교'!$C$9))+$I172*COS(RADIANS('13_시나리오비교'!$B$9))),0)</f>
        <v/>
      </c>
      <c r="U172" s="80">
        <f>IF($I172&gt;0,MAX(0,$G172*SIN(RADIANS('13_시나리오비교'!$B$10))*SIN(RADIANS('13_시나리오비교'!$C$10))+$H172*SIN(RADIANS('13_시나리오비교'!$B$10))*COS(RADIANS('13_시나리오비교'!$C$10))+$I172*COS(RADIANS('13_시나리오비교'!$B$10))),0)</f>
        <v/>
      </c>
      <c r="V172" s="80">
        <f>IF($I172&gt;0,MAX(0,$G172*SIN(RADIANS('13_시나리오비교'!$B$11))*SIN(RADIANS('13_시나리오비교'!$C$11))+$H172*SIN(RADIANS('13_시나리오비교'!$B$11))*COS(RADIANS('13_시나리오비교'!$C$11))+$I172*COS(RADIANS('13_시나리오비교'!$B$11))),0)</f>
        <v/>
      </c>
      <c r="W172" s="80">
        <f>IF($I172&gt;0,MAX(0,$G172*SIN(RADIANS('13_시나리오비교'!$B$12))*SIN(RADIANS('13_시나리오비교'!$C$12))+$H172*SIN(RADIANS('13_시나리오비교'!$B$12))*COS(RADIANS('13_시나리오비교'!$C$12))+$I172*COS(RADIANS('13_시나리오비교'!$B$12))),0)</f>
        <v/>
      </c>
      <c r="X172" s="80">
        <f>IF($I172&gt;0,MAX(0,$G172*SIN(RADIANS('13_시나리오비교'!$B$13))*SIN(RADIANS('13_시나리오비교'!$C$13))+$H172*SIN(RADIANS('13_시나리오비교'!$B$13))*COS(RADIANS('13_시나리오비교'!$C$13))+$I172*COS(RADIANS('13_시나리오비교'!$B$13))),0)</f>
        <v/>
      </c>
      <c r="Y172" s="80">
        <f>IF($I172&gt;0,MAX(0,$G172*SIN(RADIANS('13_시나리오비교'!$B$14))*SIN(RADIANS('13_시나리오비교'!$C$14))+$H172*SIN(RADIANS('13_시나리오비교'!$B$14))*COS(RADIANS('13_시나리오비교'!$C$14))+$I172*COS(RADIANS('13_시나리오비교'!$B$14))),0)</f>
        <v/>
      </c>
    </row>
    <row r="173" hidden="1" outlineLevel="1">
      <c r="A173" s="79" t="n">
        <v>2</v>
      </c>
      <c r="B173" s="79" t="n">
        <v>57</v>
      </c>
      <c r="C173" s="80">
        <f>(B173-0.5)*'14_지역·상수'!$H$6</f>
        <v/>
      </c>
      <c r="D173" s="79" t="n">
        <v>47</v>
      </c>
      <c r="E173" s="80">
        <f>INDEX($C$4:$C$15,MATCH(A173,$A$4:$A$15,0))</f>
        <v/>
      </c>
      <c r="F173" s="80">
        <f>15*(C173-12)</f>
        <v/>
      </c>
      <c r="G173" s="80">
        <f>-COS(RADIANS(E173))*SIN(RADIANS(F173))</f>
        <v/>
      </c>
      <c r="H173" s="80">
        <f>COS(RADIANS('11_발전량_모델'!$B$17))*SIN(RADIANS(E173))-SIN(RADIANS('11_발전량_모델'!$B$17))*COS(RADIANS(E173))*COS(RADIANS(F173))</f>
        <v/>
      </c>
      <c r="I173" s="80">
        <f>SIN(RADIANS('11_발전량_모델'!$B$17))*SIN(RADIANS(E173))+COS(RADIANS('11_발전량_모델'!$B$17))*COS(RADIANS(E173))*COS(RADIANS(F173))</f>
        <v/>
      </c>
      <c r="J173" s="80">
        <f>SIN(RADIANS('11_발전량_모델'!$B$7))*SIN(RADIANS('11_발전량_모델'!$B$8))</f>
        <v/>
      </c>
      <c r="K173" s="80">
        <f>SIN(RADIANS('11_발전량_모델'!$B$7))*COS(RADIANS('11_발전량_모델'!$B$8))</f>
        <v/>
      </c>
      <c r="L173" s="80">
        <f>COS(RADIANS('11_발전량_모델'!$B$7))</f>
        <v/>
      </c>
      <c r="M173" s="80">
        <f>G173*J173+H173*K173+I173*L173</f>
        <v/>
      </c>
      <c r="N173" s="80">
        <f>MAX(0,I173)</f>
        <v/>
      </c>
      <c r="O173" s="80">
        <f>IF(I173&gt;0,MAX(0,M173),0)</f>
        <v/>
      </c>
      <c r="P173" s="80">
        <f>IF($I173&gt;0,MAX(0,$G173*SIN(RADIANS('13_시나리오비교'!$B$5))*SIN(RADIANS('13_시나리오비교'!$C$5))+$H173*SIN(RADIANS('13_시나리오비교'!$B$5))*COS(RADIANS('13_시나리오비교'!$C$5))+$I173*COS(RADIANS('13_시나리오비교'!$B$5))),0)</f>
        <v/>
      </c>
      <c r="Q173" s="80">
        <f>IF($I173&gt;0,MAX(0,$G173*SIN(RADIANS('13_시나리오비교'!$B$6))*SIN(RADIANS('13_시나리오비교'!$C$6))+$H173*SIN(RADIANS('13_시나리오비교'!$B$6))*COS(RADIANS('13_시나리오비교'!$C$6))+$I173*COS(RADIANS('13_시나리오비교'!$B$6))),0)</f>
        <v/>
      </c>
      <c r="R173" s="80">
        <f>IF($I173&gt;0,MAX(0,$G173*SIN(RADIANS('13_시나리오비교'!$B$7))*SIN(RADIANS('13_시나리오비교'!$C$7))+$H173*SIN(RADIANS('13_시나리오비교'!$B$7))*COS(RADIANS('13_시나리오비교'!$C$7))+$I173*COS(RADIANS('13_시나리오비교'!$B$7))),0)</f>
        <v/>
      </c>
      <c r="S173" s="80">
        <f>IF($I173&gt;0,MAX(0,$G173*SIN(RADIANS('13_시나리오비교'!$B$8))*SIN(RADIANS('13_시나리오비교'!$C$8))+$H173*SIN(RADIANS('13_시나리오비교'!$B$8))*COS(RADIANS('13_시나리오비교'!$C$8))+$I173*COS(RADIANS('13_시나리오비교'!$B$8))),0)</f>
        <v/>
      </c>
      <c r="T173" s="80">
        <f>IF($I173&gt;0,MAX(0,$G173*SIN(RADIANS('13_시나리오비교'!$B$9))*SIN(RADIANS('13_시나리오비교'!$C$9))+$H173*SIN(RADIANS('13_시나리오비교'!$B$9))*COS(RADIANS('13_시나리오비교'!$C$9))+$I173*COS(RADIANS('13_시나리오비교'!$B$9))),0)</f>
        <v/>
      </c>
      <c r="U173" s="80">
        <f>IF($I173&gt;0,MAX(0,$G173*SIN(RADIANS('13_시나리오비교'!$B$10))*SIN(RADIANS('13_시나리오비교'!$C$10))+$H173*SIN(RADIANS('13_시나리오비교'!$B$10))*COS(RADIANS('13_시나리오비교'!$C$10))+$I173*COS(RADIANS('13_시나리오비교'!$B$10))),0)</f>
        <v/>
      </c>
      <c r="V173" s="80">
        <f>IF($I173&gt;0,MAX(0,$G173*SIN(RADIANS('13_시나리오비교'!$B$11))*SIN(RADIANS('13_시나리오비교'!$C$11))+$H173*SIN(RADIANS('13_시나리오비교'!$B$11))*COS(RADIANS('13_시나리오비교'!$C$11))+$I173*COS(RADIANS('13_시나리오비교'!$B$11))),0)</f>
        <v/>
      </c>
      <c r="W173" s="80">
        <f>IF($I173&gt;0,MAX(0,$G173*SIN(RADIANS('13_시나리오비교'!$B$12))*SIN(RADIANS('13_시나리오비교'!$C$12))+$H173*SIN(RADIANS('13_시나리오비교'!$B$12))*COS(RADIANS('13_시나리오비교'!$C$12))+$I173*COS(RADIANS('13_시나리오비교'!$B$12))),0)</f>
        <v/>
      </c>
      <c r="X173" s="80">
        <f>IF($I173&gt;0,MAX(0,$G173*SIN(RADIANS('13_시나리오비교'!$B$13))*SIN(RADIANS('13_시나리오비교'!$C$13))+$H173*SIN(RADIANS('13_시나리오비교'!$B$13))*COS(RADIANS('13_시나리오비교'!$C$13))+$I173*COS(RADIANS('13_시나리오비교'!$B$13))),0)</f>
        <v/>
      </c>
      <c r="Y173" s="80">
        <f>IF($I173&gt;0,MAX(0,$G173*SIN(RADIANS('13_시나리오비교'!$B$14))*SIN(RADIANS('13_시나리오비교'!$C$14))+$H173*SIN(RADIANS('13_시나리오비교'!$B$14))*COS(RADIANS('13_시나리오비교'!$C$14))+$I173*COS(RADIANS('13_시나리오비교'!$B$14))),0)</f>
        <v/>
      </c>
    </row>
    <row r="174" hidden="1" outlineLevel="1">
      <c r="A174" s="79" t="n">
        <v>2</v>
      </c>
      <c r="B174" s="79" t="n">
        <v>58</v>
      </c>
      <c r="C174" s="80">
        <f>(B174-0.5)*'14_지역·상수'!$H$6</f>
        <v/>
      </c>
      <c r="D174" s="79" t="n">
        <v>47</v>
      </c>
      <c r="E174" s="80">
        <f>INDEX($C$4:$C$15,MATCH(A174,$A$4:$A$15,0))</f>
        <v/>
      </c>
      <c r="F174" s="80">
        <f>15*(C174-12)</f>
        <v/>
      </c>
      <c r="G174" s="80">
        <f>-COS(RADIANS(E174))*SIN(RADIANS(F174))</f>
        <v/>
      </c>
      <c r="H174" s="80">
        <f>COS(RADIANS('11_발전량_모델'!$B$17))*SIN(RADIANS(E174))-SIN(RADIANS('11_발전량_모델'!$B$17))*COS(RADIANS(E174))*COS(RADIANS(F174))</f>
        <v/>
      </c>
      <c r="I174" s="80">
        <f>SIN(RADIANS('11_발전량_모델'!$B$17))*SIN(RADIANS(E174))+COS(RADIANS('11_발전량_모델'!$B$17))*COS(RADIANS(E174))*COS(RADIANS(F174))</f>
        <v/>
      </c>
      <c r="J174" s="80">
        <f>SIN(RADIANS('11_발전량_모델'!$B$7))*SIN(RADIANS('11_발전량_모델'!$B$8))</f>
        <v/>
      </c>
      <c r="K174" s="80">
        <f>SIN(RADIANS('11_발전량_모델'!$B$7))*COS(RADIANS('11_발전량_모델'!$B$8))</f>
        <v/>
      </c>
      <c r="L174" s="80">
        <f>COS(RADIANS('11_발전량_모델'!$B$7))</f>
        <v/>
      </c>
      <c r="M174" s="80">
        <f>G174*J174+H174*K174+I174*L174</f>
        <v/>
      </c>
      <c r="N174" s="80">
        <f>MAX(0,I174)</f>
        <v/>
      </c>
      <c r="O174" s="80">
        <f>IF(I174&gt;0,MAX(0,M174),0)</f>
        <v/>
      </c>
      <c r="P174" s="80">
        <f>IF($I174&gt;0,MAX(0,$G174*SIN(RADIANS('13_시나리오비교'!$B$5))*SIN(RADIANS('13_시나리오비교'!$C$5))+$H174*SIN(RADIANS('13_시나리오비교'!$B$5))*COS(RADIANS('13_시나리오비교'!$C$5))+$I174*COS(RADIANS('13_시나리오비교'!$B$5))),0)</f>
        <v/>
      </c>
      <c r="Q174" s="80">
        <f>IF($I174&gt;0,MAX(0,$G174*SIN(RADIANS('13_시나리오비교'!$B$6))*SIN(RADIANS('13_시나리오비교'!$C$6))+$H174*SIN(RADIANS('13_시나리오비교'!$B$6))*COS(RADIANS('13_시나리오비교'!$C$6))+$I174*COS(RADIANS('13_시나리오비교'!$B$6))),0)</f>
        <v/>
      </c>
      <c r="R174" s="80">
        <f>IF($I174&gt;0,MAX(0,$G174*SIN(RADIANS('13_시나리오비교'!$B$7))*SIN(RADIANS('13_시나리오비교'!$C$7))+$H174*SIN(RADIANS('13_시나리오비교'!$B$7))*COS(RADIANS('13_시나리오비교'!$C$7))+$I174*COS(RADIANS('13_시나리오비교'!$B$7))),0)</f>
        <v/>
      </c>
      <c r="S174" s="80">
        <f>IF($I174&gt;0,MAX(0,$G174*SIN(RADIANS('13_시나리오비교'!$B$8))*SIN(RADIANS('13_시나리오비교'!$C$8))+$H174*SIN(RADIANS('13_시나리오비교'!$B$8))*COS(RADIANS('13_시나리오비교'!$C$8))+$I174*COS(RADIANS('13_시나리오비교'!$B$8))),0)</f>
        <v/>
      </c>
      <c r="T174" s="80">
        <f>IF($I174&gt;0,MAX(0,$G174*SIN(RADIANS('13_시나리오비교'!$B$9))*SIN(RADIANS('13_시나리오비교'!$C$9))+$H174*SIN(RADIANS('13_시나리오비교'!$B$9))*COS(RADIANS('13_시나리오비교'!$C$9))+$I174*COS(RADIANS('13_시나리오비교'!$B$9))),0)</f>
        <v/>
      </c>
      <c r="U174" s="80">
        <f>IF($I174&gt;0,MAX(0,$G174*SIN(RADIANS('13_시나리오비교'!$B$10))*SIN(RADIANS('13_시나리오비교'!$C$10))+$H174*SIN(RADIANS('13_시나리오비교'!$B$10))*COS(RADIANS('13_시나리오비교'!$C$10))+$I174*COS(RADIANS('13_시나리오비교'!$B$10))),0)</f>
        <v/>
      </c>
      <c r="V174" s="80">
        <f>IF($I174&gt;0,MAX(0,$G174*SIN(RADIANS('13_시나리오비교'!$B$11))*SIN(RADIANS('13_시나리오비교'!$C$11))+$H174*SIN(RADIANS('13_시나리오비교'!$B$11))*COS(RADIANS('13_시나리오비교'!$C$11))+$I174*COS(RADIANS('13_시나리오비교'!$B$11))),0)</f>
        <v/>
      </c>
      <c r="W174" s="80">
        <f>IF($I174&gt;0,MAX(0,$G174*SIN(RADIANS('13_시나리오비교'!$B$12))*SIN(RADIANS('13_시나리오비교'!$C$12))+$H174*SIN(RADIANS('13_시나리오비교'!$B$12))*COS(RADIANS('13_시나리오비교'!$C$12))+$I174*COS(RADIANS('13_시나리오비교'!$B$12))),0)</f>
        <v/>
      </c>
      <c r="X174" s="80">
        <f>IF($I174&gt;0,MAX(0,$G174*SIN(RADIANS('13_시나리오비교'!$B$13))*SIN(RADIANS('13_시나리오비교'!$C$13))+$H174*SIN(RADIANS('13_시나리오비교'!$B$13))*COS(RADIANS('13_시나리오비교'!$C$13))+$I174*COS(RADIANS('13_시나리오비교'!$B$13))),0)</f>
        <v/>
      </c>
      <c r="Y174" s="80">
        <f>IF($I174&gt;0,MAX(0,$G174*SIN(RADIANS('13_시나리오비교'!$B$14))*SIN(RADIANS('13_시나리오비교'!$C$14))+$H174*SIN(RADIANS('13_시나리오비교'!$B$14))*COS(RADIANS('13_시나리오비교'!$C$14))+$I174*COS(RADIANS('13_시나리오비교'!$B$14))),0)</f>
        <v/>
      </c>
    </row>
    <row r="175" hidden="1" outlineLevel="1">
      <c r="A175" s="79" t="n">
        <v>2</v>
      </c>
      <c r="B175" s="79" t="n">
        <v>59</v>
      </c>
      <c r="C175" s="80">
        <f>(B175-0.5)*'14_지역·상수'!$H$6</f>
        <v/>
      </c>
      <c r="D175" s="79" t="n">
        <v>47</v>
      </c>
      <c r="E175" s="80">
        <f>INDEX($C$4:$C$15,MATCH(A175,$A$4:$A$15,0))</f>
        <v/>
      </c>
      <c r="F175" s="80">
        <f>15*(C175-12)</f>
        <v/>
      </c>
      <c r="G175" s="80">
        <f>-COS(RADIANS(E175))*SIN(RADIANS(F175))</f>
        <v/>
      </c>
      <c r="H175" s="80">
        <f>COS(RADIANS('11_발전량_모델'!$B$17))*SIN(RADIANS(E175))-SIN(RADIANS('11_발전량_모델'!$B$17))*COS(RADIANS(E175))*COS(RADIANS(F175))</f>
        <v/>
      </c>
      <c r="I175" s="80">
        <f>SIN(RADIANS('11_발전량_모델'!$B$17))*SIN(RADIANS(E175))+COS(RADIANS('11_발전량_모델'!$B$17))*COS(RADIANS(E175))*COS(RADIANS(F175))</f>
        <v/>
      </c>
      <c r="J175" s="80">
        <f>SIN(RADIANS('11_발전량_모델'!$B$7))*SIN(RADIANS('11_발전량_모델'!$B$8))</f>
        <v/>
      </c>
      <c r="K175" s="80">
        <f>SIN(RADIANS('11_발전량_모델'!$B$7))*COS(RADIANS('11_발전량_모델'!$B$8))</f>
        <v/>
      </c>
      <c r="L175" s="80">
        <f>COS(RADIANS('11_발전량_모델'!$B$7))</f>
        <v/>
      </c>
      <c r="M175" s="80">
        <f>G175*J175+H175*K175+I175*L175</f>
        <v/>
      </c>
      <c r="N175" s="80">
        <f>MAX(0,I175)</f>
        <v/>
      </c>
      <c r="O175" s="80">
        <f>IF(I175&gt;0,MAX(0,M175),0)</f>
        <v/>
      </c>
      <c r="P175" s="80">
        <f>IF($I175&gt;0,MAX(0,$G175*SIN(RADIANS('13_시나리오비교'!$B$5))*SIN(RADIANS('13_시나리오비교'!$C$5))+$H175*SIN(RADIANS('13_시나리오비교'!$B$5))*COS(RADIANS('13_시나리오비교'!$C$5))+$I175*COS(RADIANS('13_시나리오비교'!$B$5))),0)</f>
        <v/>
      </c>
      <c r="Q175" s="80">
        <f>IF($I175&gt;0,MAX(0,$G175*SIN(RADIANS('13_시나리오비교'!$B$6))*SIN(RADIANS('13_시나리오비교'!$C$6))+$H175*SIN(RADIANS('13_시나리오비교'!$B$6))*COS(RADIANS('13_시나리오비교'!$C$6))+$I175*COS(RADIANS('13_시나리오비교'!$B$6))),0)</f>
        <v/>
      </c>
      <c r="R175" s="80">
        <f>IF($I175&gt;0,MAX(0,$G175*SIN(RADIANS('13_시나리오비교'!$B$7))*SIN(RADIANS('13_시나리오비교'!$C$7))+$H175*SIN(RADIANS('13_시나리오비교'!$B$7))*COS(RADIANS('13_시나리오비교'!$C$7))+$I175*COS(RADIANS('13_시나리오비교'!$B$7))),0)</f>
        <v/>
      </c>
      <c r="S175" s="80">
        <f>IF($I175&gt;0,MAX(0,$G175*SIN(RADIANS('13_시나리오비교'!$B$8))*SIN(RADIANS('13_시나리오비교'!$C$8))+$H175*SIN(RADIANS('13_시나리오비교'!$B$8))*COS(RADIANS('13_시나리오비교'!$C$8))+$I175*COS(RADIANS('13_시나리오비교'!$B$8))),0)</f>
        <v/>
      </c>
      <c r="T175" s="80">
        <f>IF($I175&gt;0,MAX(0,$G175*SIN(RADIANS('13_시나리오비교'!$B$9))*SIN(RADIANS('13_시나리오비교'!$C$9))+$H175*SIN(RADIANS('13_시나리오비교'!$B$9))*COS(RADIANS('13_시나리오비교'!$C$9))+$I175*COS(RADIANS('13_시나리오비교'!$B$9))),0)</f>
        <v/>
      </c>
      <c r="U175" s="80">
        <f>IF($I175&gt;0,MAX(0,$G175*SIN(RADIANS('13_시나리오비교'!$B$10))*SIN(RADIANS('13_시나리오비교'!$C$10))+$H175*SIN(RADIANS('13_시나리오비교'!$B$10))*COS(RADIANS('13_시나리오비교'!$C$10))+$I175*COS(RADIANS('13_시나리오비교'!$B$10))),0)</f>
        <v/>
      </c>
      <c r="V175" s="80">
        <f>IF($I175&gt;0,MAX(0,$G175*SIN(RADIANS('13_시나리오비교'!$B$11))*SIN(RADIANS('13_시나리오비교'!$C$11))+$H175*SIN(RADIANS('13_시나리오비교'!$B$11))*COS(RADIANS('13_시나리오비교'!$C$11))+$I175*COS(RADIANS('13_시나리오비교'!$B$11))),0)</f>
        <v/>
      </c>
      <c r="W175" s="80">
        <f>IF($I175&gt;0,MAX(0,$G175*SIN(RADIANS('13_시나리오비교'!$B$12))*SIN(RADIANS('13_시나리오비교'!$C$12))+$H175*SIN(RADIANS('13_시나리오비교'!$B$12))*COS(RADIANS('13_시나리오비교'!$C$12))+$I175*COS(RADIANS('13_시나리오비교'!$B$12))),0)</f>
        <v/>
      </c>
      <c r="X175" s="80">
        <f>IF($I175&gt;0,MAX(0,$G175*SIN(RADIANS('13_시나리오비교'!$B$13))*SIN(RADIANS('13_시나리오비교'!$C$13))+$H175*SIN(RADIANS('13_시나리오비교'!$B$13))*COS(RADIANS('13_시나리오비교'!$C$13))+$I175*COS(RADIANS('13_시나리오비교'!$B$13))),0)</f>
        <v/>
      </c>
      <c r="Y175" s="80">
        <f>IF($I175&gt;0,MAX(0,$G175*SIN(RADIANS('13_시나리오비교'!$B$14))*SIN(RADIANS('13_시나리오비교'!$C$14))+$H175*SIN(RADIANS('13_시나리오비교'!$B$14))*COS(RADIANS('13_시나리오비교'!$C$14))+$I175*COS(RADIANS('13_시나리오비교'!$B$14))),0)</f>
        <v/>
      </c>
    </row>
    <row r="176" hidden="1" outlineLevel="1">
      <c r="A176" s="79" t="n">
        <v>2</v>
      </c>
      <c r="B176" s="79" t="n">
        <v>60</v>
      </c>
      <c r="C176" s="80">
        <f>(B176-0.5)*'14_지역·상수'!$H$6</f>
        <v/>
      </c>
      <c r="D176" s="79" t="n">
        <v>47</v>
      </c>
      <c r="E176" s="80">
        <f>INDEX($C$4:$C$15,MATCH(A176,$A$4:$A$15,0))</f>
        <v/>
      </c>
      <c r="F176" s="80">
        <f>15*(C176-12)</f>
        <v/>
      </c>
      <c r="G176" s="80">
        <f>-COS(RADIANS(E176))*SIN(RADIANS(F176))</f>
        <v/>
      </c>
      <c r="H176" s="80">
        <f>COS(RADIANS('11_발전량_모델'!$B$17))*SIN(RADIANS(E176))-SIN(RADIANS('11_발전량_모델'!$B$17))*COS(RADIANS(E176))*COS(RADIANS(F176))</f>
        <v/>
      </c>
      <c r="I176" s="80">
        <f>SIN(RADIANS('11_발전량_모델'!$B$17))*SIN(RADIANS(E176))+COS(RADIANS('11_발전량_모델'!$B$17))*COS(RADIANS(E176))*COS(RADIANS(F176))</f>
        <v/>
      </c>
      <c r="J176" s="80">
        <f>SIN(RADIANS('11_발전량_모델'!$B$7))*SIN(RADIANS('11_발전량_모델'!$B$8))</f>
        <v/>
      </c>
      <c r="K176" s="80">
        <f>SIN(RADIANS('11_발전량_모델'!$B$7))*COS(RADIANS('11_발전량_모델'!$B$8))</f>
        <v/>
      </c>
      <c r="L176" s="80">
        <f>COS(RADIANS('11_발전량_모델'!$B$7))</f>
        <v/>
      </c>
      <c r="M176" s="80">
        <f>G176*J176+H176*K176+I176*L176</f>
        <v/>
      </c>
      <c r="N176" s="80">
        <f>MAX(0,I176)</f>
        <v/>
      </c>
      <c r="O176" s="80">
        <f>IF(I176&gt;0,MAX(0,M176),0)</f>
        <v/>
      </c>
      <c r="P176" s="80">
        <f>IF($I176&gt;0,MAX(0,$G176*SIN(RADIANS('13_시나리오비교'!$B$5))*SIN(RADIANS('13_시나리오비교'!$C$5))+$H176*SIN(RADIANS('13_시나리오비교'!$B$5))*COS(RADIANS('13_시나리오비교'!$C$5))+$I176*COS(RADIANS('13_시나리오비교'!$B$5))),0)</f>
        <v/>
      </c>
      <c r="Q176" s="80">
        <f>IF($I176&gt;0,MAX(0,$G176*SIN(RADIANS('13_시나리오비교'!$B$6))*SIN(RADIANS('13_시나리오비교'!$C$6))+$H176*SIN(RADIANS('13_시나리오비교'!$B$6))*COS(RADIANS('13_시나리오비교'!$C$6))+$I176*COS(RADIANS('13_시나리오비교'!$B$6))),0)</f>
        <v/>
      </c>
      <c r="R176" s="80">
        <f>IF($I176&gt;0,MAX(0,$G176*SIN(RADIANS('13_시나리오비교'!$B$7))*SIN(RADIANS('13_시나리오비교'!$C$7))+$H176*SIN(RADIANS('13_시나리오비교'!$B$7))*COS(RADIANS('13_시나리오비교'!$C$7))+$I176*COS(RADIANS('13_시나리오비교'!$B$7))),0)</f>
        <v/>
      </c>
      <c r="S176" s="80">
        <f>IF($I176&gt;0,MAX(0,$G176*SIN(RADIANS('13_시나리오비교'!$B$8))*SIN(RADIANS('13_시나리오비교'!$C$8))+$H176*SIN(RADIANS('13_시나리오비교'!$B$8))*COS(RADIANS('13_시나리오비교'!$C$8))+$I176*COS(RADIANS('13_시나리오비교'!$B$8))),0)</f>
        <v/>
      </c>
      <c r="T176" s="80">
        <f>IF($I176&gt;0,MAX(0,$G176*SIN(RADIANS('13_시나리오비교'!$B$9))*SIN(RADIANS('13_시나리오비교'!$C$9))+$H176*SIN(RADIANS('13_시나리오비교'!$B$9))*COS(RADIANS('13_시나리오비교'!$C$9))+$I176*COS(RADIANS('13_시나리오비교'!$B$9))),0)</f>
        <v/>
      </c>
      <c r="U176" s="80">
        <f>IF($I176&gt;0,MAX(0,$G176*SIN(RADIANS('13_시나리오비교'!$B$10))*SIN(RADIANS('13_시나리오비교'!$C$10))+$H176*SIN(RADIANS('13_시나리오비교'!$B$10))*COS(RADIANS('13_시나리오비교'!$C$10))+$I176*COS(RADIANS('13_시나리오비교'!$B$10))),0)</f>
        <v/>
      </c>
      <c r="V176" s="80">
        <f>IF($I176&gt;0,MAX(0,$G176*SIN(RADIANS('13_시나리오비교'!$B$11))*SIN(RADIANS('13_시나리오비교'!$C$11))+$H176*SIN(RADIANS('13_시나리오비교'!$B$11))*COS(RADIANS('13_시나리오비교'!$C$11))+$I176*COS(RADIANS('13_시나리오비교'!$B$11))),0)</f>
        <v/>
      </c>
      <c r="W176" s="80">
        <f>IF($I176&gt;0,MAX(0,$G176*SIN(RADIANS('13_시나리오비교'!$B$12))*SIN(RADIANS('13_시나리오비교'!$C$12))+$H176*SIN(RADIANS('13_시나리오비교'!$B$12))*COS(RADIANS('13_시나리오비교'!$C$12))+$I176*COS(RADIANS('13_시나리오비교'!$B$12))),0)</f>
        <v/>
      </c>
      <c r="X176" s="80">
        <f>IF($I176&gt;0,MAX(0,$G176*SIN(RADIANS('13_시나리오비교'!$B$13))*SIN(RADIANS('13_시나리오비교'!$C$13))+$H176*SIN(RADIANS('13_시나리오비교'!$B$13))*COS(RADIANS('13_시나리오비교'!$C$13))+$I176*COS(RADIANS('13_시나리오비교'!$B$13))),0)</f>
        <v/>
      </c>
      <c r="Y176" s="80">
        <f>IF($I176&gt;0,MAX(0,$G176*SIN(RADIANS('13_시나리오비교'!$B$14))*SIN(RADIANS('13_시나리오비교'!$C$14))+$H176*SIN(RADIANS('13_시나리오비교'!$B$14))*COS(RADIANS('13_시나리오비교'!$C$14))+$I176*COS(RADIANS('13_시나리오비교'!$B$14))),0)</f>
        <v/>
      </c>
    </row>
    <row r="177" hidden="1" outlineLevel="1">
      <c r="A177" s="79" t="n">
        <v>2</v>
      </c>
      <c r="B177" s="79" t="n">
        <v>61</v>
      </c>
      <c r="C177" s="80">
        <f>(B177-0.5)*'14_지역·상수'!$H$6</f>
        <v/>
      </c>
      <c r="D177" s="79" t="n">
        <v>47</v>
      </c>
      <c r="E177" s="80">
        <f>INDEX($C$4:$C$15,MATCH(A177,$A$4:$A$15,0))</f>
        <v/>
      </c>
      <c r="F177" s="80">
        <f>15*(C177-12)</f>
        <v/>
      </c>
      <c r="G177" s="80">
        <f>-COS(RADIANS(E177))*SIN(RADIANS(F177))</f>
        <v/>
      </c>
      <c r="H177" s="80">
        <f>COS(RADIANS('11_발전량_모델'!$B$17))*SIN(RADIANS(E177))-SIN(RADIANS('11_발전량_모델'!$B$17))*COS(RADIANS(E177))*COS(RADIANS(F177))</f>
        <v/>
      </c>
      <c r="I177" s="80">
        <f>SIN(RADIANS('11_발전량_모델'!$B$17))*SIN(RADIANS(E177))+COS(RADIANS('11_발전량_모델'!$B$17))*COS(RADIANS(E177))*COS(RADIANS(F177))</f>
        <v/>
      </c>
      <c r="J177" s="80">
        <f>SIN(RADIANS('11_발전량_모델'!$B$7))*SIN(RADIANS('11_발전량_모델'!$B$8))</f>
        <v/>
      </c>
      <c r="K177" s="80">
        <f>SIN(RADIANS('11_발전량_모델'!$B$7))*COS(RADIANS('11_발전량_모델'!$B$8))</f>
        <v/>
      </c>
      <c r="L177" s="80">
        <f>COS(RADIANS('11_발전량_모델'!$B$7))</f>
        <v/>
      </c>
      <c r="M177" s="80">
        <f>G177*J177+H177*K177+I177*L177</f>
        <v/>
      </c>
      <c r="N177" s="80">
        <f>MAX(0,I177)</f>
        <v/>
      </c>
      <c r="O177" s="80">
        <f>IF(I177&gt;0,MAX(0,M177),0)</f>
        <v/>
      </c>
      <c r="P177" s="80">
        <f>IF($I177&gt;0,MAX(0,$G177*SIN(RADIANS('13_시나리오비교'!$B$5))*SIN(RADIANS('13_시나리오비교'!$C$5))+$H177*SIN(RADIANS('13_시나리오비교'!$B$5))*COS(RADIANS('13_시나리오비교'!$C$5))+$I177*COS(RADIANS('13_시나리오비교'!$B$5))),0)</f>
        <v/>
      </c>
      <c r="Q177" s="80">
        <f>IF($I177&gt;0,MAX(0,$G177*SIN(RADIANS('13_시나리오비교'!$B$6))*SIN(RADIANS('13_시나리오비교'!$C$6))+$H177*SIN(RADIANS('13_시나리오비교'!$B$6))*COS(RADIANS('13_시나리오비교'!$C$6))+$I177*COS(RADIANS('13_시나리오비교'!$B$6))),0)</f>
        <v/>
      </c>
      <c r="R177" s="80">
        <f>IF($I177&gt;0,MAX(0,$G177*SIN(RADIANS('13_시나리오비교'!$B$7))*SIN(RADIANS('13_시나리오비교'!$C$7))+$H177*SIN(RADIANS('13_시나리오비교'!$B$7))*COS(RADIANS('13_시나리오비교'!$C$7))+$I177*COS(RADIANS('13_시나리오비교'!$B$7))),0)</f>
        <v/>
      </c>
      <c r="S177" s="80">
        <f>IF($I177&gt;0,MAX(0,$G177*SIN(RADIANS('13_시나리오비교'!$B$8))*SIN(RADIANS('13_시나리오비교'!$C$8))+$H177*SIN(RADIANS('13_시나리오비교'!$B$8))*COS(RADIANS('13_시나리오비교'!$C$8))+$I177*COS(RADIANS('13_시나리오비교'!$B$8))),0)</f>
        <v/>
      </c>
      <c r="T177" s="80">
        <f>IF($I177&gt;0,MAX(0,$G177*SIN(RADIANS('13_시나리오비교'!$B$9))*SIN(RADIANS('13_시나리오비교'!$C$9))+$H177*SIN(RADIANS('13_시나리오비교'!$B$9))*COS(RADIANS('13_시나리오비교'!$C$9))+$I177*COS(RADIANS('13_시나리오비교'!$B$9))),0)</f>
        <v/>
      </c>
      <c r="U177" s="80">
        <f>IF($I177&gt;0,MAX(0,$G177*SIN(RADIANS('13_시나리오비교'!$B$10))*SIN(RADIANS('13_시나리오비교'!$C$10))+$H177*SIN(RADIANS('13_시나리오비교'!$B$10))*COS(RADIANS('13_시나리오비교'!$C$10))+$I177*COS(RADIANS('13_시나리오비교'!$B$10))),0)</f>
        <v/>
      </c>
      <c r="V177" s="80">
        <f>IF($I177&gt;0,MAX(0,$G177*SIN(RADIANS('13_시나리오비교'!$B$11))*SIN(RADIANS('13_시나리오비교'!$C$11))+$H177*SIN(RADIANS('13_시나리오비교'!$B$11))*COS(RADIANS('13_시나리오비교'!$C$11))+$I177*COS(RADIANS('13_시나리오비교'!$B$11))),0)</f>
        <v/>
      </c>
      <c r="W177" s="80">
        <f>IF($I177&gt;0,MAX(0,$G177*SIN(RADIANS('13_시나리오비교'!$B$12))*SIN(RADIANS('13_시나리오비교'!$C$12))+$H177*SIN(RADIANS('13_시나리오비교'!$B$12))*COS(RADIANS('13_시나리오비교'!$C$12))+$I177*COS(RADIANS('13_시나리오비교'!$B$12))),0)</f>
        <v/>
      </c>
      <c r="X177" s="80">
        <f>IF($I177&gt;0,MAX(0,$G177*SIN(RADIANS('13_시나리오비교'!$B$13))*SIN(RADIANS('13_시나리오비교'!$C$13))+$H177*SIN(RADIANS('13_시나리오비교'!$B$13))*COS(RADIANS('13_시나리오비교'!$C$13))+$I177*COS(RADIANS('13_시나리오비교'!$B$13))),0)</f>
        <v/>
      </c>
      <c r="Y177" s="80">
        <f>IF($I177&gt;0,MAX(0,$G177*SIN(RADIANS('13_시나리오비교'!$B$14))*SIN(RADIANS('13_시나리오비교'!$C$14))+$H177*SIN(RADIANS('13_시나리오비교'!$B$14))*COS(RADIANS('13_시나리오비교'!$C$14))+$I177*COS(RADIANS('13_시나리오비교'!$B$14))),0)</f>
        <v/>
      </c>
    </row>
    <row r="178" hidden="1" outlineLevel="1">
      <c r="A178" s="79" t="n">
        <v>2</v>
      </c>
      <c r="B178" s="79" t="n">
        <v>62</v>
      </c>
      <c r="C178" s="80">
        <f>(B178-0.5)*'14_지역·상수'!$H$6</f>
        <v/>
      </c>
      <c r="D178" s="79" t="n">
        <v>47</v>
      </c>
      <c r="E178" s="80">
        <f>INDEX($C$4:$C$15,MATCH(A178,$A$4:$A$15,0))</f>
        <v/>
      </c>
      <c r="F178" s="80">
        <f>15*(C178-12)</f>
        <v/>
      </c>
      <c r="G178" s="80">
        <f>-COS(RADIANS(E178))*SIN(RADIANS(F178))</f>
        <v/>
      </c>
      <c r="H178" s="80">
        <f>COS(RADIANS('11_발전량_모델'!$B$17))*SIN(RADIANS(E178))-SIN(RADIANS('11_발전량_모델'!$B$17))*COS(RADIANS(E178))*COS(RADIANS(F178))</f>
        <v/>
      </c>
      <c r="I178" s="80">
        <f>SIN(RADIANS('11_발전량_모델'!$B$17))*SIN(RADIANS(E178))+COS(RADIANS('11_발전량_모델'!$B$17))*COS(RADIANS(E178))*COS(RADIANS(F178))</f>
        <v/>
      </c>
      <c r="J178" s="80">
        <f>SIN(RADIANS('11_발전량_모델'!$B$7))*SIN(RADIANS('11_발전량_모델'!$B$8))</f>
        <v/>
      </c>
      <c r="K178" s="80">
        <f>SIN(RADIANS('11_발전량_모델'!$B$7))*COS(RADIANS('11_발전량_모델'!$B$8))</f>
        <v/>
      </c>
      <c r="L178" s="80">
        <f>COS(RADIANS('11_발전량_모델'!$B$7))</f>
        <v/>
      </c>
      <c r="M178" s="80">
        <f>G178*J178+H178*K178+I178*L178</f>
        <v/>
      </c>
      <c r="N178" s="80">
        <f>MAX(0,I178)</f>
        <v/>
      </c>
      <c r="O178" s="80">
        <f>IF(I178&gt;0,MAX(0,M178),0)</f>
        <v/>
      </c>
      <c r="P178" s="80">
        <f>IF($I178&gt;0,MAX(0,$G178*SIN(RADIANS('13_시나리오비교'!$B$5))*SIN(RADIANS('13_시나리오비교'!$C$5))+$H178*SIN(RADIANS('13_시나리오비교'!$B$5))*COS(RADIANS('13_시나리오비교'!$C$5))+$I178*COS(RADIANS('13_시나리오비교'!$B$5))),0)</f>
        <v/>
      </c>
      <c r="Q178" s="80">
        <f>IF($I178&gt;0,MAX(0,$G178*SIN(RADIANS('13_시나리오비교'!$B$6))*SIN(RADIANS('13_시나리오비교'!$C$6))+$H178*SIN(RADIANS('13_시나리오비교'!$B$6))*COS(RADIANS('13_시나리오비교'!$C$6))+$I178*COS(RADIANS('13_시나리오비교'!$B$6))),0)</f>
        <v/>
      </c>
      <c r="R178" s="80">
        <f>IF($I178&gt;0,MAX(0,$G178*SIN(RADIANS('13_시나리오비교'!$B$7))*SIN(RADIANS('13_시나리오비교'!$C$7))+$H178*SIN(RADIANS('13_시나리오비교'!$B$7))*COS(RADIANS('13_시나리오비교'!$C$7))+$I178*COS(RADIANS('13_시나리오비교'!$B$7))),0)</f>
        <v/>
      </c>
      <c r="S178" s="80">
        <f>IF($I178&gt;0,MAX(0,$G178*SIN(RADIANS('13_시나리오비교'!$B$8))*SIN(RADIANS('13_시나리오비교'!$C$8))+$H178*SIN(RADIANS('13_시나리오비교'!$B$8))*COS(RADIANS('13_시나리오비교'!$C$8))+$I178*COS(RADIANS('13_시나리오비교'!$B$8))),0)</f>
        <v/>
      </c>
      <c r="T178" s="80">
        <f>IF($I178&gt;0,MAX(0,$G178*SIN(RADIANS('13_시나리오비교'!$B$9))*SIN(RADIANS('13_시나리오비교'!$C$9))+$H178*SIN(RADIANS('13_시나리오비교'!$B$9))*COS(RADIANS('13_시나리오비교'!$C$9))+$I178*COS(RADIANS('13_시나리오비교'!$B$9))),0)</f>
        <v/>
      </c>
      <c r="U178" s="80">
        <f>IF($I178&gt;0,MAX(0,$G178*SIN(RADIANS('13_시나리오비교'!$B$10))*SIN(RADIANS('13_시나리오비교'!$C$10))+$H178*SIN(RADIANS('13_시나리오비교'!$B$10))*COS(RADIANS('13_시나리오비교'!$C$10))+$I178*COS(RADIANS('13_시나리오비교'!$B$10))),0)</f>
        <v/>
      </c>
      <c r="V178" s="80">
        <f>IF($I178&gt;0,MAX(0,$G178*SIN(RADIANS('13_시나리오비교'!$B$11))*SIN(RADIANS('13_시나리오비교'!$C$11))+$H178*SIN(RADIANS('13_시나리오비교'!$B$11))*COS(RADIANS('13_시나리오비교'!$C$11))+$I178*COS(RADIANS('13_시나리오비교'!$B$11))),0)</f>
        <v/>
      </c>
      <c r="W178" s="80">
        <f>IF($I178&gt;0,MAX(0,$G178*SIN(RADIANS('13_시나리오비교'!$B$12))*SIN(RADIANS('13_시나리오비교'!$C$12))+$H178*SIN(RADIANS('13_시나리오비교'!$B$12))*COS(RADIANS('13_시나리오비교'!$C$12))+$I178*COS(RADIANS('13_시나리오비교'!$B$12))),0)</f>
        <v/>
      </c>
      <c r="X178" s="80">
        <f>IF($I178&gt;0,MAX(0,$G178*SIN(RADIANS('13_시나리오비교'!$B$13))*SIN(RADIANS('13_시나리오비교'!$C$13))+$H178*SIN(RADIANS('13_시나리오비교'!$B$13))*COS(RADIANS('13_시나리오비교'!$C$13))+$I178*COS(RADIANS('13_시나리오비교'!$B$13))),0)</f>
        <v/>
      </c>
      <c r="Y178" s="80">
        <f>IF($I178&gt;0,MAX(0,$G178*SIN(RADIANS('13_시나리오비교'!$B$14))*SIN(RADIANS('13_시나리오비교'!$C$14))+$H178*SIN(RADIANS('13_시나리오비교'!$B$14))*COS(RADIANS('13_시나리오비교'!$C$14))+$I178*COS(RADIANS('13_시나리오비교'!$B$14))),0)</f>
        <v/>
      </c>
    </row>
    <row r="179" hidden="1" outlineLevel="1">
      <c r="A179" s="79" t="n">
        <v>2</v>
      </c>
      <c r="B179" s="79" t="n">
        <v>63</v>
      </c>
      <c r="C179" s="80">
        <f>(B179-0.5)*'14_지역·상수'!$H$6</f>
        <v/>
      </c>
      <c r="D179" s="79" t="n">
        <v>47</v>
      </c>
      <c r="E179" s="80">
        <f>INDEX($C$4:$C$15,MATCH(A179,$A$4:$A$15,0))</f>
        <v/>
      </c>
      <c r="F179" s="80">
        <f>15*(C179-12)</f>
        <v/>
      </c>
      <c r="G179" s="80">
        <f>-COS(RADIANS(E179))*SIN(RADIANS(F179))</f>
        <v/>
      </c>
      <c r="H179" s="80">
        <f>COS(RADIANS('11_발전량_모델'!$B$17))*SIN(RADIANS(E179))-SIN(RADIANS('11_발전량_모델'!$B$17))*COS(RADIANS(E179))*COS(RADIANS(F179))</f>
        <v/>
      </c>
      <c r="I179" s="80">
        <f>SIN(RADIANS('11_발전량_모델'!$B$17))*SIN(RADIANS(E179))+COS(RADIANS('11_발전량_모델'!$B$17))*COS(RADIANS(E179))*COS(RADIANS(F179))</f>
        <v/>
      </c>
      <c r="J179" s="80">
        <f>SIN(RADIANS('11_발전량_모델'!$B$7))*SIN(RADIANS('11_발전량_모델'!$B$8))</f>
        <v/>
      </c>
      <c r="K179" s="80">
        <f>SIN(RADIANS('11_발전량_모델'!$B$7))*COS(RADIANS('11_발전량_모델'!$B$8))</f>
        <v/>
      </c>
      <c r="L179" s="80">
        <f>COS(RADIANS('11_발전량_모델'!$B$7))</f>
        <v/>
      </c>
      <c r="M179" s="80">
        <f>G179*J179+H179*K179+I179*L179</f>
        <v/>
      </c>
      <c r="N179" s="80">
        <f>MAX(0,I179)</f>
        <v/>
      </c>
      <c r="O179" s="80">
        <f>IF(I179&gt;0,MAX(0,M179),0)</f>
        <v/>
      </c>
      <c r="P179" s="80">
        <f>IF($I179&gt;0,MAX(0,$G179*SIN(RADIANS('13_시나리오비교'!$B$5))*SIN(RADIANS('13_시나리오비교'!$C$5))+$H179*SIN(RADIANS('13_시나리오비교'!$B$5))*COS(RADIANS('13_시나리오비교'!$C$5))+$I179*COS(RADIANS('13_시나리오비교'!$B$5))),0)</f>
        <v/>
      </c>
      <c r="Q179" s="80">
        <f>IF($I179&gt;0,MAX(0,$G179*SIN(RADIANS('13_시나리오비교'!$B$6))*SIN(RADIANS('13_시나리오비교'!$C$6))+$H179*SIN(RADIANS('13_시나리오비교'!$B$6))*COS(RADIANS('13_시나리오비교'!$C$6))+$I179*COS(RADIANS('13_시나리오비교'!$B$6))),0)</f>
        <v/>
      </c>
      <c r="R179" s="80">
        <f>IF($I179&gt;0,MAX(0,$G179*SIN(RADIANS('13_시나리오비교'!$B$7))*SIN(RADIANS('13_시나리오비교'!$C$7))+$H179*SIN(RADIANS('13_시나리오비교'!$B$7))*COS(RADIANS('13_시나리오비교'!$C$7))+$I179*COS(RADIANS('13_시나리오비교'!$B$7))),0)</f>
        <v/>
      </c>
      <c r="S179" s="80">
        <f>IF($I179&gt;0,MAX(0,$G179*SIN(RADIANS('13_시나리오비교'!$B$8))*SIN(RADIANS('13_시나리오비교'!$C$8))+$H179*SIN(RADIANS('13_시나리오비교'!$B$8))*COS(RADIANS('13_시나리오비교'!$C$8))+$I179*COS(RADIANS('13_시나리오비교'!$B$8))),0)</f>
        <v/>
      </c>
      <c r="T179" s="80">
        <f>IF($I179&gt;0,MAX(0,$G179*SIN(RADIANS('13_시나리오비교'!$B$9))*SIN(RADIANS('13_시나리오비교'!$C$9))+$H179*SIN(RADIANS('13_시나리오비교'!$B$9))*COS(RADIANS('13_시나리오비교'!$C$9))+$I179*COS(RADIANS('13_시나리오비교'!$B$9))),0)</f>
        <v/>
      </c>
      <c r="U179" s="80">
        <f>IF($I179&gt;0,MAX(0,$G179*SIN(RADIANS('13_시나리오비교'!$B$10))*SIN(RADIANS('13_시나리오비교'!$C$10))+$H179*SIN(RADIANS('13_시나리오비교'!$B$10))*COS(RADIANS('13_시나리오비교'!$C$10))+$I179*COS(RADIANS('13_시나리오비교'!$B$10))),0)</f>
        <v/>
      </c>
      <c r="V179" s="80">
        <f>IF($I179&gt;0,MAX(0,$G179*SIN(RADIANS('13_시나리오비교'!$B$11))*SIN(RADIANS('13_시나리오비교'!$C$11))+$H179*SIN(RADIANS('13_시나리오비교'!$B$11))*COS(RADIANS('13_시나리오비교'!$C$11))+$I179*COS(RADIANS('13_시나리오비교'!$B$11))),0)</f>
        <v/>
      </c>
      <c r="W179" s="80">
        <f>IF($I179&gt;0,MAX(0,$G179*SIN(RADIANS('13_시나리오비교'!$B$12))*SIN(RADIANS('13_시나리오비교'!$C$12))+$H179*SIN(RADIANS('13_시나리오비교'!$B$12))*COS(RADIANS('13_시나리오비교'!$C$12))+$I179*COS(RADIANS('13_시나리오비교'!$B$12))),0)</f>
        <v/>
      </c>
      <c r="X179" s="80">
        <f>IF($I179&gt;0,MAX(0,$G179*SIN(RADIANS('13_시나리오비교'!$B$13))*SIN(RADIANS('13_시나리오비교'!$C$13))+$H179*SIN(RADIANS('13_시나리오비교'!$B$13))*COS(RADIANS('13_시나리오비교'!$C$13))+$I179*COS(RADIANS('13_시나리오비교'!$B$13))),0)</f>
        <v/>
      </c>
      <c r="Y179" s="80">
        <f>IF($I179&gt;0,MAX(0,$G179*SIN(RADIANS('13_시나리오비교'!$B$14))*SIN(RADIANS('13_시나리오비교'!$C$14))+$H179*SIN(RADIANS('13_시나리오비교'!$B$14))*COS(RADIANS('13_시나리오비교'!$C$14))+$I179*COS(RADIANS('13_시나리오비교'!$B$14))),0)</f>
        <v/>
      </c>
    </row>
    <row r="180" hidden="1" outlineLevel="1">
      <c r="A180" s="79" t="n">
        <v>2</v>
      </c>
      <c r="B180" s="79" t="n">
        <v>64</v>
      </c>
      <c r="C180" s="80">
        <f>(B180-0.5)*'14_지역·상수'!$H$6</f>
        <v/>
      </c>
      <c r="D180" s="79" t="n">
        <v>47</v>
      </c>
      <c r="E180" s="80">
        <f>INDEX($C$4:$C$15,MATCH(A180,$A$4:$A$15,0))</f>
        <v/>
      </c>
      <c r="F180" s="80">
        <f>15*(C180-12)</f>
        <v/>
      </c>
      <c r="G180" s="80">
        <f>-COS(RADIANS(E180))*SIN(RADIANS(F180))</f>
        <v/>
      </c>
      <c r="H180" s="80">
        <f>COS(RADIANS('11_발전량_모델'!$B$17))*SIN(RADIANS(E180))-SIN(RADIANS('11_발전량_모델'!$B$17))*COS(RADIANS(E180))*COS(RADIANS(F180))</f>
        <v/>
      </c>
      <c r="I180" s="80">
        <f>SIN(RADIANS('11_발전량_모델'!$B$17))*SIN(RADIANS(E180))+COS(RADIANS('11_발전량_모델'!$B$17))*COS(RADIANS(E180))*COS(RADIANS(F180))</f>
        <v/>
      </c>
      <c r="J180" s="80">
        <f>SIN(RADIANS('11_발전량_모델'!$B$7))*SIN(RADIANS('11_발전량_모델'!$B$8))</f>
        <v/>
      </c>
      <c r="K180" s="80">
        <f>SIN(RADIANS('11_발전량_모델'!$B$7))*COS(RADIANS('11_발전량_모델'!$B$8))</f>
        <v/>
      </c>
      <c r="L180" s="80">
        <f>COS(RADIANS('11_발전량_모델'!$B$7))</f>
        <v/>
      </c>
      <c r="M180" s="80">
        <f>G180*J180+H180*K180+I180*L180</f>
        <v/>
      </c>
      <c r="N180" s="80">
        <f>MAX(0,I180)</f>
        <v/>
      </c>
      <c r="O180" s="80">
        <f>IF(I180&gt;0,MAX(0,M180),0)</f>
        <v/>
      </c>
      <c r="P180" s="80">
        <f>IF($I180&gt;0,MAX(0,$G180*SIN(RADIANS('13_시나리오비교'!$B$5))*SIN(RADIANS('13_시나리오비교'!$C$5))+$H180*SIN(RADIANS('13_시나리오비교'!$B$5))*COS(RADIANS('13_시나리오비교'!$C$5))+$I180*COS(RADIANS('13_시나리오비교'!$B$5))),0)</f>
        <v/>
      </c>
      <c r="Q180" s="80">
        <f>IF($I180&gt;0,MAX(0,$G180*SIN(RADIANS('13_시나리오비교'!$B$6))*SIN(RADIANS('13_시나리오비교'!$C$6))+$H180*SIN(RADIANS('13_시나리오비교'!$B$6))*COS(RADIANS('13_시나리오비교'!$C$6))+$I180*COS(RADIANS('13_시나리오비교'!$B$6))),0)</f>
        <v/>
      </c>
      <c r="R180" s="80">
        <f>IF($I180&gt;0,MAX(0,$G180*SIN(RADIANS('13_시나리오비교'!$B$7))*SIN(RADIANS('13_시나리오비교'!$C$7))+$H180*SIN(RADIANS('13_시나리오비교'!$B$7))*COS(RADIANS('13_시나리오비교'!$C$7))+$I180*COS(RADIANS('13_시나리오비교'!$B$7))),0)</f>
        <v/>
      </c>
      <c r="S180" s="80">
        <f>IF($I180&gt;0,MAX(0,$G180*SIN(RADIANS('13_시나리오비교'!$B$8))*SIN(RADIANS('13_시나리오비교'!$C$8))+$H180*SIN(RADIANS('13_시나리오비교'!$B$8))*COS(RADIANS('13_시나리오비교'!$C$8))+$I180*COS(RADIANS('13_시나리오비교'!$B$8))),0)</f>
        <v/>
      </c>
      <c r="T180" s="80">
        <f>IF($I180&gt;0,MAX(0,$G180*SIN(RADIANS('13_시나리오비교'!$B$9))*SIN(RADIANS('13_시나리오비교'!$C$9))+$H180*SIN(RADIANS('13_시나리오비교'!$B$9))*COS(RADIANS('13_시나리오비교'!$C$9))+$I180*COS(RADIANS('13_시나리오비교'!$B$9))),0)</f>
        <v/>
      </c>
      <c r="U180" s="80">
        <f>IF($I180&gt;0,MAX(0,$G180*SIN(RADIANS('13_시나리오비교'!$B$10))*SIN(RADIANS('13_시나리오비교'!$C$10))+$H180*SIN(RADIANS('13_시나리오비교'!$B$10))*COS(RADIANS('13_시나리오비교'!$C$10))+$I180*COS(RADIANS('13_시나리오비교'!$B$10))),0)</f>
        <v/>
      </c>
      <c r="V180" s="80">
        <f>IF($I180&gt;0,MAX(0,$G180*SIN(RADIANS('13_시나리오비교'!$B$11))*SIN(RADIANS('13_시나리오비교'!$C$11))+$H180*SIN(RADIANS('13_시나리오비교'!$B$11))*COS(RADIANS('13_시나리오비교'!$C$11))+$I180*COS(RADIANS('13_시나리오비교'!$B$11))),0)</f>
        <v/>
      </c>
      <c r="W180" s="80">
        <f>IF($I180&gt;0,MAX(0,$G180*SIN(RADIANS('13_시나리오비교'!$B$12))*SIN(RADIANS('13_시나리오비교'!$C$12))+$H180*SIN(RADIANS('13_시나리오비교'!$B$12))*COS(RADIANS('13_시나리오비교'!$C$12))+$I180*COS(RADIANS('13_시나리오비교'!$B$12))),0)</f>
        <v/>
      </c>
      <c r="X180" s="80">
        <f>IF($I180&gt;0,MAX(0,$G180*SIN(RADIANS('13_시나리오비교'!$B$13))*SIN(RADIANS('13_시나리오비교'!$C$13))+$H180*SIN(RADIANS('13_시나리오비교'!$B$13))*COS(RADIANS('13_시나리오비교'!$C$13))+$I180*COS(RADIANS('13_시나리오비교'!$B$13))),0)</f>
        <v/>
      </c>
      <c r="Y180" s="80">
        <f>IF($I180&gt;0,MAX(0,$G180*SIN(RADIANS('13_시나리오비교'!$B$14))*SIN(RADIANS('13_시나리오비교'!$C$14))+$H180*SIN(RADIANS('13_시나리오비교'!$B$14))*COS(RADIANS('13_시나리오비교'!$C$14))+$I180*COS(RADIANS('13_시나리오비교'!$B$14))),0)</f>
        <v/>
      </c>
    </row>
    <row r="181" hidden="1" outlineLevel="1">
      <c r="A181" s="79" t="n">
        <v>2</v>
      </c>
      <c r="B181" s="79" t="n">
        <v>65</v>
      </c>
      <c r="C181" s="80">
        <f>(B181-0.5)*'14_지역·상수'!$H$6</f>
        <v/>
      </c>
      <c r="D181" s="79" t="n">
        <v>47</v>
      </c>
      <c r="E181" s="80">
        <f>INDEX($C$4:$C$15,MATCH(A181,$A$4:$A$15,0))</f>
        <v/>
      </c>
      <c r="F181" s="80">
        <f>15*(C181-12)</f>
        <v/>
      </c>
      <c r="G181" s="80">
        <f>-COS(RADIANS(E181))*SIN(RADIANS(F181))</f>
        <v/>
      </c>
      <c r="H181" s="80">
        <f>COS(RADIANS('11_발전량_모델'!$B$17))*SIN(RADIANS(E181))-SIN(RADIANS('11_발전량_모델'!$B$17))*COS(RADIANS(E181))*COS(RADIANS(F181))</f>
        <v/>
      </c>
      <c r="I181" s="80">
        <f>SIN(RADIANS('11_발전량_모델'!$B$17))*SIN(RADIANS(E181))+COS(RADIANS('11_발전량_모델'!$B$17))*COS(RADIANS(E181))*COS(RADIANS(F181))</f>
        <v/>
      </c>
      <c r="J181" s="80">
        <f>SIN(RADIANS('11_발전량_모델'!$B$7))*SIN(RADIANS('11_발전량_모델'!$B$8))</f>
        <v/>
      </c>
      <c r="K181" s="80">
        <f>SIN(RADIANS('11_발전량_모델'!$B$7))*COS(RADIANS('11_발전량_모델'!$B$8))</f>
        <v/>
      </c>
      <c r="L181" s="80">
        <f>COS(RADIANS('11_발전량_모델'!$B$7))</f>
        <v/>
      </c>
      <c r="M181" s="80">
        <f>G181*J181+H181*K181+I181*L181</f>
        <v/>
      </c>
      <c r="N181" s="80">
        <f>MAX(0,I181)</f>
        <v/>
      </c>
      <c r="O181" s="80">
        <f>IF(I181&gt;0,MAX(0,M181),0)</f>
        <v/>
      </c>
      <c r="P181" s="80">
        <f>IF($I181&gt;0,MAX(0,$G181*SIN(RADIANS('13_시나리오비교'!$B$5))*SIN(RADIANS('13_시나리오비교'!$C$5))+$H181*SIN(RADIANS('13_시나리오비교'!$B$5))*COS(RADIANS('13_시나리오비교'!$C$5))+$I181*COS(RADIANS('13_시나리오비교'!$B$5))),0)</f>
        <v/>
      </c>
      <c r="Q181" s="80">
        <f>IF($I181&gt;0,MAX(0,$G181*SIN(RADIANS('13_시나리오비교'!$B$6))*SIN(RADIANS('13_시나리오비교'!$C$6))+$H181*SIN(RADIANS('13_시나리오비교'!$B$6))*COS(RADIANS('13_시나리오비교'!$C$6))+$I181*COS(RADIANS('13_시나리오비교'!$B$6))),0)</f>
        <v/>
      </c>
      <c r="R181" s="80">
        <f>IF($I181&gt;0,MAX(0,$G181*SIN(RADIANS('13_시나리오비교'!$B$7))*SIN(RADIANS('13_시나리오비교'!$C$7))+$H181*SIN(RADIANS('13_시나리오비교'!$B$7))*COS(RADIANS('13_시나리오비교'!$C$7))+$I181*COS(RADIANS('13_시나리오비교'!$B$7))),0)</f>
        <v/>
      </c>
      <c r="S181" s="80">
        <f>IF($I181&gt;0,MAX(0,$G181*SIN(RADIANS('13_시나리오비교'!$B$8))*SIN(RADIANS('13_시나리오비교'!$C$8))+$H181*SIN(RADIANS('13_시나리오비교'!$B$8))*COS(RADIANS('13_시나리오비교'!$C$8))+$I181*COS(RADIANS('13_시나리오비교'!$B$8))),0)</f>
        <v/>
      </c>
      <c r="T181" s="80">
        <f>IF($I181&gt;0,MAX(0,$G181*SIN(RADIANS('13_시나리오비교'!$B$9))*SIN(RADIANS('13_시나리오비교'!$C$9))+$H181*SIN(RADIANS('13_시나리오비교'!$B$9))*COS(RADIANS('13_시나리오비교'!$C$9))+$I181*COS(RADIANS('13_시나리오비교'!$B$9))),0)</f>
        <v/>
      </c>
      <c r="U181" s="80">
        <f>IF($I181&gt;0,MAX(0,$G181*SIN(RADIANS('13_시나리오비교'!$B$10))*SIN(RADIANS('13_시나리오비교'!$C$10))+$H181*SIN(RADIANS('13_시나리오비교'!$B$10))*COS(RADIANS('13_시나리오비교'!$C$10))+$I181*COS(RADIANS('13_시나리오비교'!$B$10))),0)</f>
        <v/>
      </c>
      <c r="V181" s="80">
        <f>IF($I181&gt;0,MAX(0,$G181*SIN(RADIANS('13_시나리오비교'!$B$11))*SIN(RADIANS('13_시나리오비교'!$C$11))+$H181*SIN(RADIANS('13_시나리오비교'!$B$11))*COS(RADIANS('13_시나리오비교'!$C$11))+$I181*COS(RADIANS('13_시나리오비교'!$B$11))),0)</f>
        <v/>
      </c>
      <c r="W181" s="80">
        <f>IF($I181&gt;0,MAX(0,$G181*SIN(RADIANS('13_시나리오비교'!$B$12))*SIN(RADIANS('13_시나리오비교'!$C$12))+$H181*SIN(RADIANS('13_시나리오비교'!$B$12))*COS(RADIANS('13_시나리오비교'!$C$12))+$I181*COS(RADIANS('13_시나리오비교'!$B$12))),0)</f>
        <v/>
      </c>
      <c r="X181" s="80">
        <f>IF($I181&gt;0,MAX(0,$G181*SIN(RADIANS('13_시나리오비교'!$B$13))*SIN(RADIANS('13_시나리오비교'!$C$13))+$H181*SIN(RADIANS('13_시나리오비교'!$B$13))*COS(RADIANS('13_시나리오비교'!$C$13))+$I181*COS(RADIANS('13_시나리오비교'!$B$13))),0)</f>
        <v/>
      </c>
      <c r="Y181" s="80">
        <f>IF($I181&gt;0,MAX(0,$G181*SIN(RADIANS('13_시나리오비교'!$B$14))*SIN(RADIANS('13_시나리오비교'!$C$14))+$H181*SIN(RADIANS('13_시나리오비교'!$B$14))*COS(RADIANS('13_시나리오비교'!$C$14))+$I181*COS(RADIANS('13_시나리오비교'!$B$14))),0)</f>
        <v/>
      </c>
    </row>
    <row r="182" hidden="1" outlineLevel="1">
      <c r="A182" s="79" t="n">
        <v>2</v>
      </c>
      <c r="B182" s="79" t="n">
        <v>66</v>
      </c>
      <c r="C182" s="80">
        <f>(B182-0.5)*'14_지역·상수'!$H$6</f>
        <v/>
      </c>
      <c r="D182" s="79" t="n">
        <v>47</v>
      </c>
      <c r="E182" s="80">
        <f>INDEX($C$4:$C$15,MATCH(A182,$A$4:$A$15,0))</f>
        <v/>
      </c>
      <c r="F182" s="80">
        <f>15*(C182-12)</f>
        <v/>
      </c>
      <c r="G182" s="80">
        <f>-COS(RADIANS(E182))*SIN(RADIANS(F182))</f>
        <v/>
      </c>
      <c r="H182" s="80">
        <f>COS(RADIANS('11_발전량_모델'!$B$17))*SIN(RADIANS(E182))-SIN(RADIANS('11_발전량_모델'!$B$17))*COS(RADIANS(E182))*COS(RADIANS(F182))</f>
        <v/>
      </c>
      <c r="I182" s="80">
        <f>SIN(RADIANS('11_발전량_모델'!$B$17))*SIN(RADIANS(E182))+COS(RADIANS('11_발전량_모델'!$B$17))*COS(RADIANS(E182))*COS(RADIANS(F182))</f>
        <v/>
      </c>
      <c r="J182" s="80">
        <f>SIN(RADIANS('11_발전량_모델'!$B$7))*SIN(RADIANS('11_발전량_모델'!$B$8))</f>
        <v/>
      </c>
      <c r="K182" s="80">
        <f>SIN(RADIANS('11_발전량_모델'!$B$7))*COS(RADIANS('11_발전량_모델'!$B$8))</f>
        <v/>
      </c>
      <c r="L182" s="80">
        <f>COS(RADIANS('11_발전량_모델'!$B$7))</f>
        <v/>
      </c>
      <c r="M182" s="80">
        <f>G182*J182+H182*K182+I182*L182</f>
        <v/>
      </c>
      <c r="N182" s="80">
        <f>MAX(0,I182)</f>
        <v/>
      </c>
      <c r="O182" s="80">
        <f>IF(I182&gt;0,MAX(0,M182),0)</f>
        <v/>
      </c>
      <c r="P182" s="80">
        <f>IF($I182&gt;0,MAX(0,$G182*SIN(RADIANS('13_시나리오비교'!$B$5))*SIN(RADIANS('13_시나리오비교'!$C$5))+$H182*SIN(RADIANS('13_시나리오비교'!$B$5))*COS(RADIANS('13_시나리오비교'!$C$5))+$I182*COS(RADIANS('13_시나리오비교'!$B$5))),0)</f>
        <v/>
      </c>
      <c r="Q182" s="80">
        <f>IF($I182&gt;0,MAX(0,$G182*SIN(RADIANS('13_시나리오비교'!$B$6))*SIN(RADIANS('13_시나리오비교'!$C$6))+$H182*SIN(RADIANS('13_시나리오비교'!$B$6))*COS(RADIANS('13_시나리오비교'!$C$6))+$I182*COS(RADIANS('13_시나리오비교'!$B$6))),0)</f>
        <v/>
      </c>
      <c r="R182" s="80">
        <f>IF($I182&gt;0,MAX(0,$G182*SIN(RADIANS('13_시나리오비교'!$B$7))*SIN(RADIANS('13_시나리오비교'!$C$7))+$H182*SIN(RADIANS('13_시나리오비교'!$B$7))*COS(RADIANS('13_시나리오비교'!$C$7))+$I182*COS(RADIANS('13_시나리오비교'!$B$7))),0)</f>
        <v/>
      </c>
      <c r="S182" s="80">
        <f>IF($I182&gt;0,MAX(0,$G182*SIN(RADIANS('13_시나리오비교'!$B$8))*SIN(RADIANS('13_시나리오비교'!$C$8))+$H182*SIN(RADIANS('13_시나리오비교'!$B$8))*COS(RADIANS('13_시나리오비교'!$C$8))+$I182*COS(RADIANS('13_시나리오비교'!$B$8))),0)</f>
        <v/>
      </c>
      <c r="T182" s="80">
        <f>IF($I182&gt;0,MAX(0,$G182*SIN(RADIANS('13_시나리오비교'!$B$9))*SIN(RADIANS('13_시나리오비교'!$C$9))+$H182*SIN(RADIANS('13_시나리오비교'!$B$9))*COS(RADIANS('13_시나리오비교'!$C$9))+$I182*COS(RADIANS('13_시나리오비교'!$B$9))),0)</f>
        <v/>
      </c>
      <c r="U182" s="80">
        <f>IF($I182&gt;0,MAX(0,$G182*SIN(RADIANS('13_시나리오비교'!$B$10))*SIN(RADIANS('13_시나리오비교'!$C$10))+$H182*SIN(RADIANS('13_시나리오비교'!$B$10))*COS(RADIANS('13_시나리오비교'!$C$10))+$I182*COS(RADIANS('13_시나리오비교'!$B$10))),0)</f>
        <v/>
      </c>
      <c r="V182" s="80">
        <f>IF($I182&gt;0,MAX(0,$G182*SIN(RADIANS('13_시나리오비교'!$B$11))*SIN(RADIANS('13_시나리오비교'!$C$11))+$H182*SIN(RADIANS('13_시나리오비교'!$B$11))*COS(RADIANS('13_시나리오비교'!$C$11))+$I182*COS(RADIANS('13_시나리오비교'!$B$11))),0)</f>
        <v/>
      </c>
      <c r="W182" s="80">
        <f>IF($I182&gt;0,MAX(0,$G182*SIN(RADIANS('13_시나리오비교'!$B$12))*SIN(RADIANS('13_시나리오비교'!$C$12))+$H182*SIN(RADIANS('13_시나리오비교'!$B$12))*COS(RADIANS('13_시나리오비교'!$C$12))+$I182*COS(RADIANS('13_시나리오비교'!$B$12))),0)</f>
        <v/>
      </c>
      <c r="X182" s="80">
        <f>IF($I182&gt;0,MAX(0,$G182*SIN(RADIANS('13_시나리오비교'!$B$13))*SIN(RADIANS('13_시나리오비교'!$C$13))+$H182*SIN(RADIANS('13_시나리오비교'!$B$13))*COS(RADIANS('13_시나리오비교'!$C$13))+$I182*COS(RADIANS('13_시나리오비교'!$B$13))),0)</f>
        <v/>
      </c>
      <c r="Y182" s="80">
        <f>IF($I182&gt;0,MAX(0,$G182*SIN(RADIANS('13_시나리오비교'!$B$14))*SIN(RADIANS('13_시나리오비교'!$C$14))+$H182*SIN(RADIANS('13_시나리오비교'!$B$14))*COS(RADIANS('13_시나리오비교'!$C$14))+$I182*COS(RADIANS('13_시나리오비교'!$B$14))),0)</f>
        <v/>
      </c>
    </row>
    <row r="183" hidden="1" outlineLevel="1">
      <c r="A183" s="79" t="n">
        <v>2</v>
      </c>
      <c r="B183" s="79" t="n">
        <v>67</v>
      </c>
      <c r="C183" s="80">
        <f>(B183-0.5)*'14_지역·상수'!$H$6</f>
        <v/>
      </c>
      <c r="D183" s="79" t="n">
        <v>47</v>
      </c>
      <c r="E183" s="80">
        <f>INDEX($C$4:$C$15,MATCH(A183,$A$4:$A$15,0))</f>
        <v/>
      </c>
      <c r="F183" s="80">
        <f>15*(C183-12)</f>
        <v/>
      </c>
      <c r="G183" s="80">
        <f>-COS(RADIANS(E183))*SIN(RADIANS(F183))</f>
        <v/>
      </c>
      <c r="H183" s="80">
        <f>COS(RADIANS('11_발전량_모델'!$B$17))*SIN(RADIANS(E183))-SIN(RADIANS('11_발전량_모델'!$B$17))*COS(RADIANS(E183))*COS(RADIANS(F183))</f>
        <v/>
      </c>
      <c r="I183" s="80">
        <f>SIN(RADIANS('11_발전량_모델'!$B$17))*SIN(RADIANS(E183))+COS(RADIANS('11_발전량_모델'!$B$17))*COS(RADIANS(E183))*COS(RADIANS(F183))</f>
        <v/>
      </c>
      <c r="J183" s="80">
        <f>SIN(RADIANS('11_발전량_모델'!$B$7))*SIN(RADIANS('11_발전량_모델'!$B$8))</f>
        <v/>
      </c>
      <c r="K183" s="80">
        <f>SIN(RADIANS('11_발전량_모델'!$B$7))*COS(RADIANS('11_발전량_모델'!$B$8))</f>
        <v/>
      </c>
      <c r="L183" s="80">
        <f>COS(RADIANS('11_발전량_모델'!$B$7))</f>
        <v/>
      </c>
      <c r="M183" s="80">
        <f>G183*J183+H183*K183+I183*L183</f>
        <v/>
      </c>
      <c r="N183" s="80">
        <f>MAX(0,I183)</f>
        <v/>
      </c>
      <c r="O183" s="80">
        <f>IF(I183&gt;0,MAX(0,M183),0)</f>
        <v/>
      </c>
      <c r="P183" s="80">
        <f>IF($I183&gt;0,MAX(0,$G183*SIN(RADIANS('13_시나리오비교'!$B$5))*SIN(RADIANS('13_시나리오비교'!$C$5))+$H183*SIN(RADIANS('13_시나리오비교'!$B$5))*COS(RADIANS('13_시나리오비교'!$C$5))+$I183*COS(RADIANS('13_시나리오비교'!$B$5))),0)</f>
        <v/>
      </c>
      <c r="Q183" s="80">
        <f>IF($I183&gt;0,MAX(0,$G183*SIN(RADIANS('13_시나리오비교'!$B$6))*SIN(RADIANS('13_시나리오비교'!$C$6))+$H183*SIN(RADIANS('13_시나리오비교'!$B$6))*COS(RADIANS('13_시나리오비교'!$C$6))+$I183*COS(RADIANS('13_시나리오비교'!$B$6))),0)</f>
        <v/>
      </c>
      <c r="R183" s="80">
        <f>IF($I183&gt;0,MAX(0,$G183*SIN(RADIANS('13_시나리오비교'!$B$7))*SIN(RADIANS('13_시나리오비교'!$C$7))+$H183*SIN(RADIANS('13_시나리오비교'!$B$7))*COS(RADIANS('13_시나리오비교'!$C$7))+$I183*COS(RADIANS('13_시나리오비교'!$B$7))),0)</f>
        <v/>
      </c>
      <c r="S183" s="80">
        <f>IF($I183&gt;0,MAX(0,$G183*SIN(RADIANS('13_시나리오비교'!$B$8))*SIN(RADIANS('13_시나리오비교'!$C$8))+$H183*SIN(RADIANS('13_시나리오비교'!$B$8))*COS(RADIANS('13_시나리오비교'!$C$8))+$I183*COS(RADIANS('13_시나리오비교'!$B$8))),0)</f>
        <v/>
      </c>
      <c r="T183" s="80">
        <f>IF($I183&gt;0,MAX(0,$G183*SIN(RADIANS('13_시나리오비교'!$B$9))*SIN(RADIANS('13_시나리오비교'!$C$9))+$H183*SIN(RADIANS('13_시나리오비교'!$B$9))*COS(RADIANS('13_시나리오비교'!$C$9))+$I183*COS(RADIANS('13_시나리오비교'!$B$9))),0)</f>
        <v/>
      </c>
      <c r="U183" s="80">
        <f>IF($I183&gt;0,MAX(0,$G183*SIN(RADIANS('13_시나리오비교'!$B$10))*SIN(RADIANS('13_시나리오비교'!$C$10))+$H183*SIN(RADIANS('13_시나리오비교'!$B$10))*COS(RADIANS('13_시나리오비교'!$C$10))+$I183*COS(RADIANS('13_시나리오비교'!$B$10))),0)</f>
        <v/>
      </c>
      <c r="V183" s="80">
        <f>IF($I183&gt;0,MAX(0,$G183*SIN(RADIANS('13_시나리오비교'!$B$11))*SIN(RADIANS('13_시나리오비교'!$C$11))+$H183*SIN(RADIANS('13_시나리오비교'!$B$11))*COS(RADIANS('13_시나리오비교'!$C$11))+$I183*COS(RADIANS('13_시나리오비교'!$B$11))),0)</f>
        <v/>
      </c>
      <c r="W183" s="80">
        <f>IF($I183&gt;0,MAX(0,$G183*SIN(RADIANS('13_시나리오비교'!$B$12))*SIN(RADIANS('13_시나리오비교'!$C$12))+$H183*SIN(RADIANS('13_시나리오비교'!$B$12))*COS(RADIANS('13_시나리오비교'!$C$12))+$I183*COS(RADIANS('13_시나리오비교'!$B$12))),0)</f>
        <v/>
      </c>
      <c r="X183" s="80">
        <f>IF($I183&gt;0,MAX(0,$G183*SIN(RADIANS('13_시나리오비교'!$B$13))*SIN(RADIANS('13_시나리오비교'!$C$13))+$H183*SIN(RADIANS('13_시나리오비교'!$B$13))*COS(RADIANS('13_시나리오비교'!$C$13))+$I183*COS(RADIANS('13_시나리오비교'!$B$13))),0)</f>
        <v/>
      </c>
      <c r="Y183" s="80">
        <f>IF($I183&gt;0,MAX(0,$G183*SIN(RADIANS('13_시나리오비교'!$B$14))*SIN(RADIANS('13_시나리오비교'!$C$14))+$H183*SIN(RADIANS('13_시나리오비교'!$B$14))*COS(RADIANS('13_시나리오비교'!$C$14))+$I183*COS(RADIANS('13_시나리오비교'!$B$14))),0)</f>
        <v/>
      </c>
    </row>
    <row r="184" hidden="1" outlineLevel="1">
      <c r="A184" s="79" t="n">
        <v>2</v>
      </c>
      <c r="B184" s="79" t="n">
        <v>68</v>
      </c>
      <c r="C184" s="80">
        <f>(B184-0.5)*'14_지역·상수'!$H$6</f>
        <v/>
      </c>
      <c r="D184" s="79" t="n">
        <v>47</v>
      </c>
      <c r="E184" s="80">
        <f>INDEX($C$4:$C$15,MATCH(A184,$A$4:$A$15,0))</f>
        <v/>
      </c>
      <c r="F184" s="80">
        <f>15*(C184-12)</f>
        <v/>
      </c>
      <c r="G184" s="80">
        <f>-COS(RADIANS(E184))*SIN(RADIANS(F184))</f>
        <v/>
      </c>
      <c r="H184" s="80">
        <f>COS(RADIANS('11_발전량_모델'!$B$17))*SIN(RADIANS(E184))-SIN(RADIANS('11_발전량_모델'!$B$17))*COS(RADIANS(E184))*COS(RADIANS(F184))</f>
        <v/>
      </c>
      <c r="I184" s="80">
        <f>SIN(RADIANS('11_발전량_모델'!$B$17))*SIN(RADIANS(E184))+COS(RADIANS('11_발전량_모델'!$B$17))*COS(RADIANS(E184))*COS(RADIANS(F184))</f>
        <v/>
      </c>
      <c r="J184" s="80">
        <f>SIN(RADIANS('11_발전량_모델'!$B$7))*SIN(RADIANS('11_발전량_모델'!$B$8))</f>
        <v/>
      </c>
      <c r="K184" s="80">
        <f>SIN(RADIANS('11_발전량_모델'!$B$7))*COS(RADIANS('11_발전량_모델'!$B$8))</f>
        <v/>
      </c>
      <c r="L184" s="80">
        <f>COS(RADIANS('11_발전량_모델'!$B$7))</f>
        <v/>
      </c>
      <c r="M184" s="80">
        <f>G184*J184+H184*K184+I184*L184</f>
        <v/>
      </c>
      <c r="N184" s="80">
        <f>MAX(0,I184)</f>
        <v/>
      </c>
      <c r="O184" s="80">
        <f>IF(I184&gt;0,MAX(0,M184),0)</f>
        <v/>
      </c>
      <c r="P184" s="80">
        <f>IF($I184&gt;0,MAX(0,$G184*SIN(RADIANS('13_시나리오비교'!$B$5))*SIN(RADIANS('13_시나리오비교'!$C$5))+$H184*SIN(RADIANS('13_시나리오비교'!$B$5))*COS(RADIANS('13_시나리오비교'!$C$5))+$I184*COS(RADIANS('13_시나리오비교'!$B$5))),0)</f>
        <v/>
      </c>
      <c r="Q184" s="80">
        <f>IF($I184&gt;0,MAX(0,$G184*SIN(RADIANS('13_시나리오비교'!$B$6))*SIN(RADIANS('13_시나리오비교'!$C$6))+$H184*SIN(RADIANS('13_시나리오비교'!$B$6))*COS(RADIANS('13_시나리오비교'!$C$6))+$I184*COS(RADIANS('13_시나리오비교'!$B$6))),0)</f>
        <v/>
      </c>
      <c r="R184" s="80">
        <f>IF($I184&gt;0,MAX(0,$G184*SIN(RADIANS('13_시나리오비교'!$B$7))*SIN(RADIANS('13_시나리오비교'!$C$7))+$H184*SIN(RADIANS('13_시나리오비교'!$B$7))*COS(RADIANS('13_시나리오비교'!$C$7))+$I184*COS(RADIANS('13_시나리오비교'!$B$7))),0)</f>
        <v/>
      </c>
      <c r="S184" s="80">
        <f>IF($I184&gt;0,MAX(0,$G184*SIN(RADIANS('13_시나리오비교'!$B$8))*SIN(RADIANS('13_시나리오비교'!$C$8))+$H184*SIN(RADIANS('13_시나리오비교'!$B$8))*COS(RADIANS('13_시나리오비교'!$C$8))+$I184*COS(RADIANS('13_시나리오비교'!$B$8))),0)</f>
        <v/>
      </c>
      <c r="T184" s="80">
        <f>IF($I184&gt;0,MAX(0,$G184*SIN(RADIANS('13_시나리오비교'!$B$9))*SIN(RADIANS('13_시나리오비교'!$C$9))+$H184*SIN(RADIANS('13_시나리오비교'!$B$9))*COS(RADIANS('13_시나리오비교'!$C$9))+$I184*COS(RADIANS('13_시나리오비교'!$B$9))),0)</f>
        <v/>
      </c>
      <c r="U184" s="80">
        <f>IF($I184&gt;0,MAX(0,$G184*SIN(RADIANS('13_시나리오비교'!$B$10))*SIN(RADIANS('13_시나리오비교'!$C$10))+$H184*SIN(RADIANS('13_시나리오비교'!$B$10))*COS(RADIANS('13_시나리오비교'!$C$10))+$I184*COS(RADIANS('13_시나리오비교'!$B$10))),0)</f>
        <v/>
      </c>
      <c r="V184" s="80">
        <f>IF($I184&gt;0,MAX(0,$G184*SIN(RADIANS('13_시나리오비교'!$B$11))*SIN(RADIANS('13_시나리오비교'!$C$11))+$H184*SIN(RADIANS('13_시나리오비교'!$B$11))*COS(RADIANS('13_시나리오비교'!$C$11))+$I184*COS(RADIANS('13_시나리오비교'!$B$11))),0)</f>
        <v/>
      </c>
      <c r="W184" s="80">
        <f>IF($I184&gt;0,MAX(0,$G184*SIN(RADIANS('13_시나리오비교'!$B$12))*SIN(RADIANS('13_시나리오비교'!$C$12))+$H184*SIN(RADIANS('13_시나리오비교'!$B$12))*COS(RADIANS('13_시나리오비교'!$C$12))+$I184*COS(RADIANS('13_시나리오비교'!$B$12))),0)</f>
        <v/>
      </c>
      <c r="X184" s="80">
        <f>IF($I184&gt;0,MAX(0,$G184*SIN(RADIANS('13_시나리오비교'!$B$13))*SIN(RADIANS('13_시나리오비교'!$C$13))+$H184*SIN(RADIANS('13_시나리오비교'!$B$13))*COS(RADIANS('13_시나리오비교'!$C$13))+$I184*COS(RADIANS('13_시나리오비교'!$B$13))),0)</f>
        <v/>
      </c>
      <c r="Y184" s="80">
        <f>IF($I184&gt;0,MAX(0,$G184*SIN(RADIANS('13_시나리오비교'!$B$14))*SIN(RADIANS('13_시나리오비교'!$C$14))+$H184*SIN(RADIANS('13_시나리오비교'!$B$14))*COS(RADIANS('13_시나리오비교'!$C$14))+$I184*COS(RADIANS('13_시나리오비교'!$B$14))),0)</f>
        <v/>
      </c>
    </row>
    <row r="185" hidden="1" outlineLevel="1">
      <c r="A185" s="79" t="n">
        <v>2</v>
      </c>
      <c r="B185" s="79" t="n">
        <v>69</v>
      </c>
      <c r="C185" s="80">
        <f>(B185-0.5)*'14_지역·상수'!$H$6</f>
        <v/>
      </c>
      <c r="D185" s="79" t="n">
        <v>47</v>
      </c>
      <c r="E185" s="80">
        <f>INDEX($C$4:$C$15,MATCH(A185,$A$4:$A$15,0))</f>
        <v/>
      </c>
      <c r="F185" s="80">
        <f>15*(C185-12)</f>
        <v/>
      </c>
      <c r="G185" s="80">
        <f>-COS(RADIANS(E185))*SIN(RADIANS(F185))</f>
        <v/>
      </c>
      <c r="H185" s="80">
        <f>COS(RADIANS('11_발전량_모델'!$B$17))*SIN(RADIANS(E185))-SIN(RADIANS('11_발전량_모델'!$B$17))*COS(RADIANS(E185))*COS(RADIANS(F185))</f>
        <v/>
      </c>
      <c r="I185" s="80">
        <f>SIN(RADIANS('11_발전량_모델'!$B$17))*SIN(RADIANS(E185))+COS(RADIANS('11_발전량_모델'!$B$17))*COS(RADIANS(E185))*COS(RADIANS(F185))</f>
        <v/>
      </c>
      <c r="J185" s="80">
        <f>SIN(RADIANS('11_발전량_모델'!$B$7))*SIN(RADIANS('11_발전량_모델'!$B$8))</f>
        <v/>
      </c>
      <c r="K185" s="80">
        <f>SIN(RADIANS('11_발전량_모델'!$B$7))*COS(RADIANS('11_발전량_모델'!$B$8))</f>
        <v/>
      </c>
      <c r="L185" s="80">
        <f>COS(RADIANS('11_발전량_모델'!$B$7))</f>
        <v/>
      </c>
      <c r="M185" s="80">
        <f>G185*J185+H185*K185+I185*L185</f>
        <v/>
      </c>
      <c r="N185" s="80">
        <f>MAX(0,I185)</f>
        <v/>
      </c>
      <c r="O185" s="80">
        <f>IF(I185&gt;0,MAX(0,M185),0)</f>
        <v/>
      </c>
      <c r="P185" s="80">
        <f>IF($I185&gt;0,MAX(0,$G185*SIN(RADIANS('13_시나리오비교'!$B$5))*SIN(RADIANS('13_시나리오비교'!$C$5))+$H185*SIN(RADIANS('13_시나리오비교'!$B$5))*COS(RADIANS('13_시나리오비교'!$C$5))+$I185*COS(RADIANS('13_시나리오비교'!$B$5))),0)</f>
        <v/>
      </c>
      <c r="Q185" s="80">
        <f>IF($I185&gt;0,MAX(0,$G185*SIN(RADIANS('13_시나리오비교'!$B$6))*SIN(RADIANS('13_시나리오비교'!$C$6))+$H185*SIN(RADIANS('13_시나리오비교'!$B$6))*COS(RADIANS('13_시나리오비교'!$C$6))+$I185*COS(RADIANS('13_시나리오비교'!$B$6))),0)</f>
        <v/>
      </c>
      <c r="R185" s="80">
        <f>IF($I185&gt;0,MAX(0,$G185*SIN(RADIANS('13_시나리오비교'!$B$7))*SIN(RADIANS('13_시나리오비교'!$C$7))+$H185*SIN(RADIANS('13_시나리오비교'!$B$7))*COS(RADIANS('13_시나리오비교'!$C$7))+$I185*COS(RADIANS('13_시나리오비교'!$B$7))),0)</f>
        <v/>
      </c>
      <c r="S185" s="80">
        <f>IF($I185&gt;0,MAX(0,$G185*SIN(RADIANS('13_시나리오비교'!$B$8))*SIN(RADIANS('13_시나리오비교'!$C$8))+$H185*SIN(RADIANS('13_시나리오비교'!$B$8))*COS(RADIANS('13_시나리오비교'!$C$8))+$I185*COS(RADIANS('13_시나리오비교'!$B$8))),0)</f>
        <v/>
      </c>
      <c r="T185" s="80">
        <f>IF($I185&gt;0,MAX(0,$G185*SIN(RADIANS('13_시나리오비교'!$B$9))*SIN(RADIANS('13_시나리오비교'!$C$9))+$H185*SIN(RADIANS('13_시나리오비교'!$B$9))*COS(RADIANS('13_시나리오비교'!$C$9))+$I185*COS(RADIANS('13_시나리오비교'!$B$9))),0)</f>
        <v/>
      </c>
      <c r="U185" s="80">
        <f>IF($I185&gt;0,MAX(0,$G185*SIN(RADIANS('13_시나리오비교'!$B$10))*SIN(RADIANS('13_시나리오비교'!$C$10))+$H185*SIN(RADIANS('13_시나리오비교'!$B$10))*COS(RADIANS('13_시나리오비교'!$C$10))+$I185*COS(RADIANS('13_시나리오비교'!$B$10))),0)</f>
        <v/>
      </c>
      <c r="V185" s="80">
        <f>IF($I185&gt;0,MAX(0,$G185*SIN(RADIANS('13_시나리오비교'!$B$11))*SIN(RADIANS('13_시나리오비교'!$C$11))+$H185*SIN(RADIANS('13_시나리오비교'!$B$11))*COS(RADIANS('13_시나리오비교'!$C$11))+$I185*COS(RADIANS('13_시나리오비교'!$B$11))),0)</f>
        <v/>
      </c>
      <c r="W185" s="80">
        <f>IF($I185&gt;0,MAX(0,$G185*SIN(RADIANS('13_시나리오비교'!$B$12))*SIN(RADIANS('13_시나리오비교'!$C$12))+$H185*SIN(RADIANS('13_시나리오비교'!$B$12))*COS(RADIANS('13_시나리오비교'!$C$12))+$I185*COS(RADIANS('13_시나리오비교'!$B$12))),0)</f>
        <v/>
      </c>
      <c r="X185" s="80">
        <f>IF($I185&gt;0,MAX(0,$G185*SIN(RADIANS('13_시나리오비교'!$B$13))*SIN(RADIANS('13_시나리오비교'!$C$13))+$H185*SIN(RADIANS('13_시나리오비교'!$B$13))*COS(RADIANS('13_시나리오비교'!$C$13))+$I185*COS(RADIANS('13_시나리오비교'!$B$13))),0)</f>
        <v/>
      </c>
      <c r="Y185" s="80">
        <f>IF($I185&gt;0,MAX(0,$G185*SIN(RADIANS('13_시나리오비교'!$B$14))*SIN(RADIANS('13_시나리오비교'!$C$14))+$H185*SIN(RADIANS('13_시나리오비교'!$B$14))*COS(RADIANS('13_시나리오비교'!$C$14))+$I185*COS(RADIANS('13_시나리오비교'!$B$14))),0)</f>
        <v/>
      </c>
    </row>
    <row r="186" hidden="1" outlineLevel="1">
      <c r="A186" s="79" t="n">
        <v>2</v>
      </c>
      <c r="B186" s="79" t="n">
        <v>70</v>
      </c>
      <c r="C186" s="80">
        <f>(B186-0.5)*'14_지역·상수'!$H$6</f>
        <v/>
      </c>
      <c r="D186" s="79" t="n">
        <v>47</v>
      </c>
      <c r="E186" s="80">
        <f>INDEX($C$4:$C$15,MATCH(A186,$A$4:$A$15,0))</f>
        <v/>
      </c>
      <c r="F186" s="80">
        <f>15*(C186-12)</f>
        <v/>
      </c>
      <c r="G186" s="80">
        <f>-COS(RADIANS(E186))*SIN(RADIANS(F186))</f>
        <v/>
      </c>
      <c r="H186" s="80">
        <f>COS(RADIANS('11_발전량_모델'!$B$17))*SIN(RADIANS(E186))-SIN(RADIANS('11_발전량_모델'!$B$17))*COS(RADIANS(E186))*COS(RADIANS(F186))</f>
        <v/>
      </c>
      <c r="I186" s="80">
        <f>SIN(RADIANS('11_발전량_모델'!$B$17))*SIN(RADIANS(E186))+COS(RADIANS('11_발전량_모델'!$B$17))*COS(RADIANS(E186))*COS(RADIANS(F186))</f>
        <v/>
      </c>
      <c r="J186" s="80">
        <f>SIN(RADIANS('11_발전량_모델'!$B$7))*SIN(RADIANS('11_발전량_모델'!$B$8))</f>
        <v/>
      </c>
      <c r="K186" s="80">
        <f>SIN(RADIANS('11_발전량_모델'!$B$7))*COS(RADIANS('11_발전량_모델'!$B$8))</f>
        <v/>
      </c>
      <c r="L186" s="80">
        <f>COS(RADIANS('11_발전량_모델'!$B$7))</f>
        <v/>
      </c>
      <c r="M186" s="80">
        <f>G186*J186+H186*K186+I186*L186</f>
        <v/>
      </c>
      <c r="N186" s="80">
        <f>MAX(0,I186)</f>
        <v/>
      </c>
      <c r="O186" s="80">
        <f>IF(I186&gt;0,MAX(0,M186),0)</f>
        <v/>
      </c>
      <c r="P186" s="80">
        <f>IF($I186&gt;0,MAX(0,$G186*SIN(RADIANS('13_시나리오비교'!$B$5))*SIN(RADIANS('13_시나리오비교'!$C$5))+$H186*SIN(RADIANS('13_시나리오비교'!$B$5))*COS(RADIANS('13_시나리오비교'!$C$5))+$I186*COS(RADIANS('13_시나리오비교'!$B$5))),0)</f>
        <v/>
      </c>
      <c r="Q186" s="80">
        <f>IF($I186&gt;0,MAX(0,$G186*SIN(RADIANS('13_시나리오비교'!$B$6))*SIN(RADIANS('13_시나리오비교'!$C$6))+$H186*SIN(RADIANS('13_시나리오비교'!$B$6))*COS(RADIANS('13_시나리오비교'!$C$6))+$I186*COS(RADIANS('13_시나리오비교'!$B$6))),0)</f>
        <v/>
      </c>
      <c r="R186" s="80">
        <f>IF($I186&gt;0,MAX(0,$G186*SIN(RADIANS('13_시나리오비교'!$B$7))*SIN(RADIANS('13_시나리오비교'!$C$7))+$H186*SIN(RADIANS('13_시나리오비교'!$B$7))*COS(RADIANS('13_시나리오비교'!$C$7))+$I186*COS(RADIANS('13_시나리오비교'!$B$7))),0)</f>
        <v/>
      </c>
      <c r="S186" s="80">
        <f>IF($I186&gt;0,MAX(0,$G186*SIN(RADIANS('13_시나리오비교'!$B$8))*SIN(RADIANS('13_시나리오비교'!$C$8))+$H186*SIN(RADIANS('13_시나리오비교'!$B$8))*COS(RADIANS('13_시나리오비교'!$C$8))+$I186*COS(RADIANS('13_시나리오비교'!$B$8))),0)</f>
        <v/>
      </c>
      <c r="T186" s="80">
        <f>IF($I186&gt;0,MAX(0,$G186*SIN(RADIANS('13_시나리오비교'!$B$9))*SIN(RADIANS('13_시나리오비교'!$C$9))+$H186*SIN(RADIANS('13_시나리오비교'!$B$9))*COS(RADIANS('13_시나리오비교'!$C$9))+$I186*COS(RADIANS('13_시나리오비교'!$B$9))),0)</f>
        <v/>
      </c>
      <c r="U186" s="80">
        <f>IF($I186&gt;0,MAX(0,$G186*SIN(RADIANS('13_시나리오비교'!$B$10))*SIN(RADIANS('13_시나리오비교'!$C$10))+$H186*SIN(RADIANS('13_시나리오비교'!$B$10))*COS(RADIANS('13_시나리오비교'!$C$10))+$I186*COS(RADIANS('13_시나리오비교'!$B$10))),0)</f>
        <v/>
      </c>
      <c r="V186" s="80">
        <f>IF($I186&gt;0,MAX(0,$G186*SIN(RADIANS('13_시나리오비교'!$B$11))*SIN(RADIANS('13_시나리오비교'!$C$11))+$H186*SIN(RADIANS('13_시나리오비교'!$B$11))*COS(RADIANS('13_시나리오비교'!$C$11))+$I186*COS(RADIANS('13_시나리오비교'!$B$11))),0)</f>
        <v/>
      </c>
      <c r="W186" s="80">
        <f>IF($I186&gt;0,MAX(0,$G186*SIN(RADIANS('13_시나리오비교'!$B$12))*SIN(RADIANS('13_시나리오비교'!$C$12))+$H186*SIN(RADIANS('13_시나리오비교'!$B$12))*COS(RADIANS('13_시나리오비교'!$C$12))+$I186*COS(RADIANS('13_시나리오비교'!$B$12))),0)</f>
        <v/>
      </c>
      <c r="X186" s="80">
        <f>IF($I186&gt;0,MAX(0,$G186*SIN(RADIANS('13_시나리오비교'!$B$13))*SIN(RADIANS('13_시나리오비교'!$C$13))+$H186*SIN(RADIANS('13_시나리오비교'!$B$13))*COS(RADIANS('13_시나리오비교'!$C$13))+$I186*COS(RADIANS('13_시나리오비교'!$B$13))),0)</f>
        <v/>
      </c>
      <c r="Y186" s="80">
        <f>IF($I186&gt;0,MAX(0,$G186*SIN(RADIANS('13_시나리오비교'!$B$14))*SIN(RADIANS('13_시나리오비교'!$C$14))+$H186*SIN(RADIANS('13_시나리오비교'!$B$14))*COS(RADIANS('13_시나리오비교'!$C$14))+$I186*COS(RADIANS('13_시나리오비교'!$B$14))),0)</f>
        <v/>
      </c>
    </row>
    <row r="187" hidden="1" outlineLevel="1">
      <c r="A187" s="79" t="n">
        <v>2</v>
      </c>
      <c r="B187" s="79" t="n">
        <v>71</v>
      </c>
      <c r="C187" s="80">
        <f>(B187-0.5)*'14_지역·상수'!$H$6</f>
        <v/>
      </c>
      <c r="D187" s="79" t="n">
        <v>47</v>
      </c>
      <c r="E187" s="80">
        <f>INDEX($C$4:$C$15,MATCH(A187,$A$4:$A$15,0))</f>
        <v/>
      </c>
      <c r="F187" s="80">
        <f>15*(C187-12)</f>
        <v/>
      </c>
      <c r="G187" s="80">
        <f>-COS(RADIANS(E187))*SIN(RADIANS(F187))</f>
        <v/>
      </c>
      <c r="H187" s="80">
        <f>COS(RADIANS('11_발전량_모델'!$B$17))*SIN(RADIANS(E187))-SIN(RADIANS('11_발전량_모델'!$B$17))*COS(RADIANS(E187))*COS(RADIANS(F187))</f>
        <v/>
      </c>
      <c r="I187" s="80">
        <f>SIN(RADIANS('11_발전량_모델'!$B$17))*SIN(RADIANS(E187))+COS(RADIANS('11_발전량_모델'!$B$17))*COS(RADIANS(E187))*COS(RADIANS(F187))</f>
        <v/>
      </c>
      <c r="J187" s="80">
        <f>SIN(RADIANS('11_발전량_모델'!$B$7))*SIN(RADIANS('11_발전량_모델'!$B$8))</f>
        <v/>
      </c>
      <c r="K187" s="80">
        <f>SIN(RADIANS('11_발전량_모델'!$B$7))*COS(RADIANS('11_발전량_모델'!$B$8))</f>
        <v/>
      </c>
      <c r="L187" s="80">
        <f>COS(RADIANS('11_발전량_모델'!$B$7))</f>
        <v/>
      </c>
      <c r="M187" s="80">
        <f>G187*J187+H187*K187+I187*L187</f>
        <v/>
      </c>
      <c r="N187" s="80">
        <f>MAX(0,I187)</f>
        <v/>
      </c>
      <c r="O187" s="80">
        <f>IF(I187&gt;0,MAX(0,M187),0)</f>
        <v/>
      </c>
      <c r="P187" s="80">
        <f>IF($I187&gt;0,MAX(0,$G187*SIN(RADIANS('13_시나리오비교'!$B$5))*SIN(RADIANS('13_시나리오비교'!$C$5))+$H187*SIN(RADIANS('13_시나리오비교'!$B$5))*COS(RADIANS('13_시나리오비교'!$C$5))+$I187*COS(RADIANS('13_시나리오비교'!$B$5))),0)</f>
        <v/>
      </c>
      <c r="Q187" s="80">
        <f>IF($I187&gt;0,MAX(0,$G187*SIN(RADIANS('13_시나리오비교'!$B$6))*SIN(RADIANS('13_시나리오비교'!$C$6))+$H187*SIN(RADIANS('13_시나리오비교'!$B$6))*COS(RADIANS('13_시나리오비교'!$C$6))+$I187*COS(RADIANS('13_시나리오비교'!$B$6))),0)</f>
        <v/>
      </c>
      <c r="R187" s="80">
        <f>IF($I187&gt;0,MAX(0,$G187*SIN(RADIANS('13_시나리오비교'!$B$7))*SIN(RADIANS('13_시나리오비교'!$C$7))+$H187*SIN(RADIANS('13_시나리오비교'!$B$7))*COS(RADIANS('13_시나리오비교'!$C$7))+$I187*COS(RADIANS('13_시나리오비교'!$B$7))),0)</f>
        <v/>
      </c>
      <c r="S187" s="80">
        <f>IF($I187&gt;0,MAX(0,$G187*SIN(RADIANS('13_시나리오비교'!$B$8))*SIN(RADIANS('13_시나리오비교'!$C$8))+$H187*SIN(RADIANS('13_시나리오비교'!$B$8))*COS(RADIANS('13_시나리오비교'!$C$8))+$I187*COS(RADIANS('13_시나리오비교'!$B$8))),0)</f>
        <v/>
      </c>
      <c r="T187" s="80">
        <f>IF($I187&gt;0,MAX(0,$G187*SIN(RADIANS('13_시나리오비교'!$B$9))*SIN(RADIANS('13_시나리오비교'!$C$9))+$H187*SIN(RADIANS('13_시나리오비교'!$B$9))*COS(RADIANS('13_시나리오비교'!$C$9))+$I187*COS(RADIANS('13_시나리오비교'!$B$9))),0)</f>
        <v/>
      </c>
      <c r="U187" s="80">
        <f>IF($I187&gt;0,MAX(0,$G187*SIN(RADIANS('13_시나리오비교'!$B$10))*SIN(RADIANS('13_시나리오비교'!$C$10))+$H187*SIN(RADIANS('13_시나리오비교'!$B$10))*COS(RADIANS('13_시나리오비교'!$C$10))+$I187*COS(RADIANS('13_시나리오비교'!$B$10))),0)</f>
        <v/>
      </c>
      <c r="V187" s="80">
        <f>IF($I187&gt;0,MAX(0,$G187*SIN(RADIANS('13_시나리오비교'!$B$11))*SIN(RADIANS('13_시나리오비교'!$C$11))+$H187*SIN(RADIANS('13_시나리오비교'!$B$11))*COS(RADIANS('13_시나리오비교'!$C$11))+$I187*COS(RADIANS('13_시나리오비교'!$B$11))),0)</f>
        <v/>
      </c>
      <c r="W187" s="80">
        <f>IF($I187&gt;0,MAX(0,$G187*SIN(RADIANS('13_시나리오비교'!$B$12))*SIN(RADIANS('13_시나리오비교'!$C$12))+$H187*SIN(RADIANS('13_시나리오비교'!$B$12))*COS(RADIANS('13_시나리오비교'!$C$12))+$I187*COS(RADIANS('13_시나리오비교'!$B$12))),0)</f>
        <v/>
      </c>
      <c r="X187" s="80">
        <f>IF($I187&gt;0,MAX(0,$G187*SIN(RADIANS('13_시나리오비교'!$B$13))*SIN(RADIANS('13_시나리오비교'!$C$13))+$H187*SIN(RADIANS('13_시나리오비교'!$B$13))*COS(RADIANS('13_시나리오비교'!$C$13))+$I187*COS(RADIANS('13_시나리오비교'!$B$13))),0)</f>
        <v/>
      </c>
      <c r="Y187" s="80">
        <f>IF($I187&gt;0,MAX(0,$G187*SIN(RADIANS('13_시나리오비교'!$B$14))*SIN(RADIANS('13_시나리오비교'!$C$14))+$H187*SIN(RADIANS('13_시나리오비교'!$B$14))*COS(RADIANS('13_시나리오비교'!$C$14))+$I187*COS(RADIANS('13_시나리오비교'!$B$14))),0)</f>
        <v/>
      </c>
    </row>
    <row r="188" hidden="1" outlineLevel="1">
      <c r="A188" s="79" t="n">
        <v>2</v>
      </c>
      <c r="B188" s="79" t="n">
        <v>72</v>
      </c>
      <c r="C188" s="80">
        <f>(B188-0.5)*'14_지역·상수'!$H$6</f>
        <v/>
      </c>
      <c r="D188" s="79" t="n">
        <v>47</v>
      </c>
      <c r="E188" s="80">
        <f>INDEX($C$4:$C$15,MATCH(A188,$A$4:$A$15,0))</f>
        <v/>
      </c>
      <c r="F188" s="80">
        <f>15*(C188-12)</f>
        <v/>
      </c>
      <c r="G188" s="80">
        <f>-COS(RADIANS(E188))*SIN(RADIANS(F188))</f>
        <v/>
      </c>
      <c r="H188" s="80">
        <f>COS(RADIANS('11_발전량_모델'!$B$17))*SIN(RADIANS(E188))-SIN(RADIANS('11_발전량_모델'!$B$17))*COS(RADIANS(E188))*COS(RADIANS(F188))</f>
        <v/>
      </c>
      <c r="I188" s="80">
        <f>SIN(RADIANS('11_발전량_모델'!$B$17))*SIN(RADIANS(E188))+COS(RADIANS('11_발전량_모델'!$B$17))*COS(RADIANS(E188))*COS(RADIANS(F188))</f>
        <v/>
      </c>
      <c r="J188" s="80">
        <f>SIN(RADIANS('11_발전량_모델'!$B$7))*SIN(RADIANS('11_발전량_모델'!$B$8))</f>
        <v/>
      </c>
      <c r="K188" s="80">
        <f>SIN(RADIANS('11_발전량_모델'!$B$7))*COS(RADIANS('11_발전량_모델'!$B$8))</f>
        <v/>
      </c>
      <c r="L188" s="80">
        <f>COS(RADIANS('11_발전량_모델'!$B$7))</f>
        <v/>
      </c>
      <c r="M188" s="80">
        <f>G188*J188+H188*K188+I188*L188</f>
        <v/>
      </c>
      <c r="N188" s="80">
        <f>MAX(0,I188)</f>
        <v/>
      </c>
      <c r="O188" s="80">
        <f>IF(I188&gt;0,MAX(0,M188),0)</f>
        <v/>
      </c>
      <c r="P188" s="80">
        <f>IF($I188&gt;0,MAX(0,$G188*SIN(RADIANS('13_시나리오비교'!$B$5))*SIN(RADIANS('13_시나리오비교'!$C$5))+$H188*SIN(RADIANS('13_시나리오비교'!$B$5))*COS(RADIANS('13_시나리오비교'!$C$5))+$I188*COS(RADIANS('13_시나리오비교'!$B$5))),0)</f>
        <v/>
      </c>
      <c r="Q188" s="80">
        <f>IF($I188&gt;0,MAX(0,$G188*SIN(RADIANS('13_시나리오비교'!$B$6))*SIN(RADIANS('13_시나리오비교'!$C$6))+$H188*SIN(RADIANS('13_시나리오비교'!$B$6))*COS(RADIANS('13_시나리오비교'!$C$6))+$I188*COS(RADIANS('13_시나리오비교'!$B$6))),0)</f>
        <v/>
      </c>
      <c r="R188" s="80">
        <f>IF($I188&gt;0,MAX(0,$G188*SIN(RADIANS('13_시나리오비교'!$B$7))*SIN(RADIANS('13_시나리오비교'!$C$7))+$H188*SIN(RADIANS('13_시나리오비교'!$B$7))*COS(RADIANS('13_시나리오비교'!$C$7))+$I188*COS(RADIANS('13_시나리오비교'!$B$7))),0)</f>
        <v/>
      </c>
      <c r="S188" s="80">
        <f>IF($I188&gt;0,MAX(0,$G188*SIN(RADIANS('13_시나리오비교'!$B$8))*SIN(RADIANS('13_시나리오비교'!$C$8))+$H188*SIN(RADIANS('13_시나리오비교'!$B$8))*COS(RADIANS('13_시나리오비교'!$C$8))+$I188*COS(RADIANS('13_시나리오비교'!$B$8))),0)</f>
        <v/>
      </c>
      <c r="T188" s="80">
        <f>IF($I188&gt;0,MAX(0,$G188*SIN(RADIANS('13_시나리오비교'!$B$9))*SIN(RADIANS('13_시나리오비교'!$C$9))+$H188*SIN(RADIANS('13_시나리오비교'!$B$9))*COS(RADIANS('13_시나리오비교'!$C$9))+$I188*COS(RADIANS('13_시나리오비교'!$B$9))),0)</f>
        <v/>
      </c>
      <c r="U188" s="80">
        <f>IF($I188&gt;0,MAX(0,$G188*SIN(RADIANS('13_시나리오비교'!$B$10))*SIN(RADIANS('13_시나리오비교'!$C$10))+$H188*SIN(RADIANS('13_시나리오비교'!$B$10))*COS(RADIANS('13_시나리오비교'!$C$10))+$I188*COS(RADIANS('13_시나리오비교'!$B$10))),0)</f>
        <v/>
      </c>
      <c r="V188" s="80">
        <f>IF($I188&gt;0,MAX(0,$G188*SIN(RADIANS('13_시나리오비교'!$B$11))*SIN(RADIANS('13_시나리오비교'!$C$11))+$H188*SIN(RADIANS('13_시나리오비교'!$B$11))*COS(RADIANS('13_시나리오비교'!$C$11))+$I188*COS(RADIANS('13_시나리오비교'!$B$11))),0)</f>
        <v/>
      </c>
      <c r="W188" s="80">
        <f>IF($I188&gt;0,MAX(0,$G188*SIN(RADIANS('13_시나리오비교'!$B$12))*SIN(RADIANS('13_시나리오비교'!$C$12))+$H188*SIN(RADIANS('13_시나리오비교'!$B$12))*COS(RADIANS('13_시나리오비교'!$C$12))+$I188*COS(RADIANS('13_시나리오비교'!$B$12))),0)</f>
        <v/>
      </c>
      <c r="X188" s="80">
        <f>IF($I188&gt;0,MAX(0,$G188*SIN(RADIANS('13_시나리오비교'!$B$13))*SIN(RADIANS('13_시나리오비교'!$C$13))+$H188*SIN(RADIANS('13_시나리오비교'!$B$13))*COS(RADIANS('13_시나리오비교'!$C$13))+$I188*COS(RADIANS('13_시나리오비교'!$B$13))),0)</f>
        <v/>
      </c>
      <c r="Y188" s="80">
        <f>IF($I188&gt;0,MAX(0,$G188*SIN(RADIANS('13_시나리오비교'!$B$14))*SIN(RADIANS('13_시나리오비교'!$C$14))+$H188*SIN(RADIANS('13_시나리오비교'!$B$14))*COS(RADIANS('13_시나리오비교'!$C$14))+$I188*COS(RADIANS('13_시나리오비교'!$B$14))),0)</f>
        <v/>
      </c>
    </row>
    <row r="189" hidden="1" outlineLevel="1">
      <c r="A189" s="79" t="n">
        <v>2</v>
      </c>
      <c r="B189" s="79" t="n">
        <v>73</v>
      </c>
      <c r="C189" s="80">
        <f>(B189-0.5)*'14_지역·상수'!$H$6</f>
        <v/>
      </c>
      <c r="D189" s="79" t="n">
        <v>47</v>
      </c>
      <c r="E189" s="80">
        <f>INDEX($C$4:$C$15,MATCH(A189,$A$4:$A$15,0))</f>
        <v/>
      </c>
      <c r="F189" s="80">
        <f>15*(C189-12)</f>
        <v/>
      </c>
      <c r="G189" s="80">
        <f>-COS(RADIANS(E189))*SIN(RADIANS(F189))</f>
        <v/>
      </c>
      <c r="H189" s="80">
        <f>COS(RADIANS('11_발전량_모델'!$B$17))*SIN(RADIANS(E189))-SIN(RADIANS('11_발전량_모델'!$B$17))*COS(RADIANS(E189))*COS(RADIANS(F189))</f>
        <v/>
      </c>
      <c r="I189" s="80">
        <f>SIN(RADIANS('11_발전량_모델'!$B$17))*SIN(RADIANS(E189))+COS(RADIANS('11_발전량_모델'!$B$17))*COS(RADIANS(E189))*COS(RADIANS(F189))</f>
        <v/>
      </c>
      <c r="J189" s="80">
        <f>SIN(RADIANS('11_발전량_모델'!$B$7))*SIN(RADIANS('11_발전량_모델'!$B$8))</f>
        <v/>
      </c>
      <c r="K189" s="80">
        <f>SIN(RADIANS('11_발전량_모델'!$B$7))*COS(RADIANS('11_발전량_모델'!$B$8))</f>
        <v/>
      </c>
      <c r="L189" s="80">
        <f>COS(RADIANS('11_발전량_모델'!$B$7))</f>
        <v/>
      </c>
      <c r="M189" s="80">
        <f>G189*J189+H189*K189+I189*L189</f>
        <v/>
      </c>
      <c r="N189" s="80">
        <f>MAX(0,I189)</f>
        <v/>
      </c>
      <c r="O189" s="80">
        <f>IF(I189&gt;0,MAX(0,M189),0)</f>
        <v/>
      </c>
      <c r="P189" s="80">
        <f>IF($I189&gt;0,MAX(0,$G189*SIN(RADIANS('13_시나리오비교'!$B$5))*SIN(RADIANS('13_시나리오비교'!$C$5))+$H189*SIN(RADIANS('13_시나리오비교'!$B$5))*COS(RADIANS('13_시나리오비교'!$C$5))+$I189*COS(RADIANS('13_시나리오비교'!$B$5))),0)</f>
        <v/>
      </c>
      <c r="Q189" s="80">
        <f>IF($I189&gt;0,MAX(0,$G189*SIN(RADIANS('13_시나리오비교'!$B$6))*SIN(RADIANS('13_시나리오비교'!$C$6))+$H189*SIN(RADIANS('13_시나리오비교'!$B$6))*COS(RADIANS('13_시나리오비교'!$C$6))+$I189*COS(RADIANS('13_시나리오비교'!$B$6))),0)</f>
        <v/>
      </c>
      <c r="R189" s="80">
        <f>IF($I189&gt;0,MAX(0,$G189*SIN(RADIANS('13_시나리오비교'!$B$7))*SIN(RADIANS('13_시나리오비교'!$C$7))+$H189*SIN(RADIANS('13_시나리오비교'!$B$7))*COS(RADIANS('13_시나리오비교'!$C$7))+$I189*COS(RADIANS('13_시나리오비교'!$B$7))),0)</f>
        <v/>
      </c>
      <c r="S189" s="80">
        <f>IF($I189&gt;0,MAX(0,$G189*SIN(RADIANS('13_시나리오비교'!$B$8))*SIN(RADIANS('13_시나리오비교'!$C$8))+$H189*SIN(RADIANS('13_시나리오비교'!$B$8))*COS(RADIANS('13_시나리오비교'!$C$8))+$I189*COS(RADIANS('13_시나리오비교'!$B$8))),0)</f>
        <v/>
      </c>
      <c r="T189" s="80">
        <f>IF($I189&gt;0,MAX(0,$G189*SIN(RADIANS('13_시나리오비교'!$B$9))*SIN(RADIANS('13_시나리오비교'!$C$9))+$H189*SIN(RADIANS('13_시나리오비교'!$B$9))*COS(RADIANS('13_시나리오비교'!$C$9))+$I189*COS(RADIANS('13_시나리오비교'!$B$9))),0)</f>
        <v/>
      </c>
      <c r="U189" s="80">
        <f>IF($I189&gt;0,MAX(0,$G189*SIN(RADIANS('13_시나리오비교'!$B$10))*SIN(RADIANS('13_시나리오비교'!$C$10))+$H189*SIN(RADIANS('13_시나리오비교'!$B$10))*COS(RADIANS('13_시나리오비교'!$C$10))+$I189*COS(RADIANS('13_시나리오비교'!$B$10))),0)</f>
        <v/>
      </c>
      <c r="V189" s="80">
        <f>IF($I189&gt;0,MAX(0,$G189*SIN(RADIANS('13_시나리오비교'!$B$11))*SIN(RADIANS('13_시나리오비교'!$C$11))+$H189*SIN(RADIANS('13_시나리오비교'!$B$11))*COS(RADIANS('13_시나리오비교'!$C$11))+$I189*COS(RADIANS('13_시나리오비교'!$B$11))),0)</f>
        <v/>
      </c>
      <c r="W189" s="80">
        <f>IF($I189&gt;0,MAX(0,$G189*SIN(RADIANS('13_시나리오비교'!$B$12))*SIN(RADIANS('13_시나리오비교'!$C$12))+$H189*SIN(RADIANS('13_시나리오비교'!$B$12))*COS(RADIANS('13_시나리오비교'!$C$12))+$I189*COS(RADIANS('13_시나리오비교'!$B$12))),0)</f>
        <v/>
      </c>
      <c r="X189" s="80">
        <f>IF($I189&gt;0,MAX(0,$G189*SIN(RADIANS('13_시나리오비교'!$B$13))*SIN(RADIANS('13_시나리오비교'!$C$13))+$H189*SIN(RADIANS('13_시나리오비교'!$B$13))*COS(RADIANS('13_시나리오비교'!$C$13))+$I189*COS(RADIANS('13_시나리오비교'!$B$13))),0)</f>
        <v/>
      </c>
      <c r="Y189" s="80">
        <f>IF($I189&gt;0,MAX(0,$G189*SIN(RADIANS('13_시나리오비교'!$B$14))*SIN(RADIANS('13_시나리오비교'!$C$14))+$H189*SIN(RADIANS('13_시나리오비교'!$B$14))*COS(RADIANS('13_시나리오비교'!$C$14))+$I189*COS(RADIANS('13_시나리오비교'!$B$14))),0)</f>
        <v/>
      </c>
    </row>
    <row r="190" hidden="1" outlineLevel="1">
      <c r="A190" s="79" t="n">
        <v>2</v>
      </c>
      <c r="B190" s="79" t="n">
        <v>74</v>
      </c>
      <c r="C190" s="80">
        <f>(B190-0.5)*'14_지역·상수'!$H$6</f>
        <v/>
      </c>
      <c r="D190" s="79" t="n">
        <v>47</v>
      </c>
      <c r="E190" s="80">
        <f>INDEX($C$4:$C$15,MATCH(A190,$A$4:$A$15,0))</f>
        <v/>
      </c>
      <c r="F190" s="80">
        <f>15*(C190-12)</f>
        <v/>
      </c>
      <c r="G190" s="80">
        <f>-COS(RADIANS(E190))*SIN(RADIANS(F190))</f>
        <v/>
      </c>
      <c r="H190" s="80">
        <f>COS(RADIANS('11_발전량_모델'!$B$17))*SIN(RADIANS(E190))-SIN(RADIANS('11_발전량_모델'!$B$17))*COS(RADIANS(E190))*COS(RADIANS(F190))</f>
        <v/>
      </c>
      <c r="I190" s="80">
        <f>SIN(RADIANS('11_발전량_모델'!$B$17))*SIN(RADIANS(E190))+COS(RADIANS('11_발전량_모델'!$B$17))*COS(RADIANS(E190))*COS(RADIANS(F190))</f>
        <v/>
      </c>
      <c r="J190" s="80">
        <f>SIN(RADIANS('11_발전량_모델'!$B$7))*SIN(RADIANS('11_발전량_모델'!$B$8))</f>
        <v/>
      </c>
      <c r="K190" s="80">
        <f>SIN(RADIANS('11_발전량_모델'!$B$7))*COS(RADIANS('11_발전량_모델'!$B$8))</f>
        <v/>
      </c>
      <c r="L190" s="80">
        <f>COS(RADIANS('11_발전량_모델'!$B$7))</f>
        <v/>
      </c>
      <c r="M190" s="80">
        <f>G190*J190+H190*K190+I190*L190</f>
        <v/>
      </c>
      <c r="N190" s="80">
        <f>MAX(0,I190)</f>
        <v/>
      </c>
      <c r="O190" s="80">
        <f>IF(I190&gt;0,MAX(0,M190),0)</f>
        <v/>
      </c>
      <c r="P190" s="80">
        <f>IF($I190&gt;0,MAX(0,$G190*SIN(RADIANS('13_시나리오비교'!$B$5))*SIN(RADIANS('13_시나리오비교'!$C$5))+$H190*SIN(RADIANS('13_시나리오비교'!$B$5))*COS(RADIANS('13_시나리오비교'!$C$5))+$I190*COS(RADIANS('13_시나리오비교'!$B$5))),0)</f>
        <v/>
      </c>
      <c r="Q190" s="80">
        <f>IF($I190&gt;0,MAX(0,$G190*SIN(RADIANS('13_시나리오비교'!$B$6))*SIN(RADIANS('13_시나리오비교'!$C$6))+$H190*SIN(RADIANS('13_시나리오비교'!$B$6))*COS(RADIANS('13_시나리오비교'!$C$6))+$I190*COS(RADIANS('13_시나리오비교'!$B$6))),0)</f>
        <v/>
      </c>
      <c r="R190" s="80">
        <f>IF($I190&gt;0,MAX(0,$G190*SIN(RADIANS('13_시나리오비교'!$B$7))*SIN(RADIANS('13_시나리오비교'!$C$7))+$H190*SIN(RADIANS('13_시나리오비교'!$B$7))*COS(RADIANS('13_시나리오비교'!$C$7))+$I190*COS(RADIANS('13_시나리오비교'!$B$7))),0)</f>
        <v/>
      </c>
      <c r="S190" s="80">
        <f>IF($I190&gt;0,MAX(0,$G190*SIN(RADIANS('13_시나리오비교'!$B$8))*SIN(RADIANS('13_시나리오비교'!$C$8))+$H190*SIN(RADIANS('13_시나리오비교'!$B$8))*COS(RADIANS('13_시나리오비교'!$C$8))+$I190*COS(RADIANS('13_시나리오비교'!$B$8))),0)</f>
        <v/>
      </c>
      <c r="T190" s="80">
        <f>IF($I190&gt;0,MAX(0,$G190*SIN(RADIANS('13_시나리오비교'!$B$9))*SIN(RADIANS('13_시나리오비교'!$C$9))+$H190*SIN(RADIANS('13_시나리오비교'!$B$9))*COS(RADIANS('13_시나리오비교'!$C$9))+$I190*COS(RADIANS('13_시나리오비교'!$B$9))),0)</f>
        <v/>
      </c>
      <c r="U190" s="80">
        <f>IF($I190&gt;0,MAX(0,$G190*SIN(RADIANS('13_시나리오비교'!$B$10))*SIN(RADIANS('13_시나리오비교'!$C$10))+$H190*SIN(RADIANS('13_시나리오비교'!$B$10))*COS(RADIANS('13_시나리오비교'!$C$10))+$I190*COS(RADIANS('13_시나리오비교'!$B$10))),0)</f>
        <v/>
      </c>
      <c r="V190" s="80">
        <f>IF($I190&gt;0,MAX(0,$G190*SIN(RADIANS('13_시나리오비교'!$B$11))*SIN(RADIANS('13_시나리오비교'!$C$11))+$H190*SIN(RADIANS('13_시나리오비교'!$B$11))*COS(RADIANS('13_시나리오비교'!$C$11))+$I190*COS(RADIANS('13_시나리오비교'!$B$11))),0)</f>
        <v/>
      </c>
      <c r="W190" s="80">
        <f>IF($I190&gt;0,MAX(0,$G190*SIN(RADIANS('13_시나리오비교'!$B$12))*SIN(RADIANS('13_시나리오비교'!$C$12))+$H190*SIN(RADIANS('13_시나리오비교'!$B$12))*COS(RADIANS('13_시나리오비교'!$C$12))+$I190*COS(RADIANS('13_시나리오비교'!$B$12))),0)</f>
        <v/>
      </c>
      <c r="X190" s="80">
        <f>IF($I190&gt;0,MAX(0,$G190*SIN(RADIANS('13_시나리오비교'!$B$13))*SIN(RADIANS('13_시나리오비교'!$C$13))+$H190*SIN(RADIANS('13_시나리오비교'!$B$13))*COS(RADIANS('13_시나리오비교'!$C$13))+$I190*COS(RADIANS('13_시나리오비교'!$B$13))),0)</f>
        <v/>
      </c>
      <c r="Y190" s="80">
        <f>IF($I190&gt;0,MAX(0,$G190*SIN(RADIANS('13_시나리오비교'!$B$14))*SIN(RADIANS('13_시나리오비교'!$C$14))+$H190*SIN(RADIANS('13_시나리오비교'!$B$14))*COS(RADIANS('13_시나리오비교'!$C$14))+$I190*COS(RADIANS('13_시나리오비교'!$B$14))),0)</f>
        <v/>
      </c>
    </row>
    <row r="191" hidden="1" outlineLevel="1">
      <c r="A191" s="79" t="n">
        <v>2</v>
      </c>
      <c r="B191" s="79" t="n">
        <v>75</v>
      </c>
      <c r="C191" s="80">
        <f>(B191-0.5)*'14_지역·상수'!$H$6</f>
        <v/>
      </c>
      <c r="D191" s="79" t="n">
        <v>47</v>
      </c>
      <c r="E191" s="80">
        <f>INDEX($C$4:$C$15,MATCH(A191,$A$4:$A$15,0))</f>
        <v/>
      </c>
      <c r="F191" s="80">
        <f>15*(C191-12)</f>
        <v/>
      </c>
      <c r="G191" s="80">
        <f>-COS(RADIANS(E191))*SIN(RADIANS(F191))</f>
        <v/>
      </c>
      <c r="H191" s="80">
        <f>COS(RADIANS('11_발전량_모델'!$B$17))*SIN(RADIANS(E191))-SIN(RADIANS('11_발전량_모델'!$B$17))*COS(RADIANS(E191))*COS(RADIANS(F191))</f>
        <v/>
      </c>
      <c r="I191" s="80">
        <f>SIN(RADIANS('11_발전량_모델'!$B$17))*SIN(RADIANS(E191))+COS(RADIANS('11_발전량_모델'!$B$17))*COS(RADIANS(E191))*COS(RADIANS(F191))</f>
        <v/>
      </c>
      <c r="J191" s="80">
        <f>SIN(RADIANS('11_발전량_모델'!$B$7))*SIN(RADIANS('11_발전량_모델'!$B$8))</f>
        <v/>
      </c>
      <c r="K191" s="80">
        <f>SIN(RADIANS('11_발전량_모델'!$B$7))*COS(RADIANS('11_발전량_모델'!$B$8))</f>
        <v/>
      </c>
      <c r="L191" s="80">
        <f>COS(RADIANS('11_발전량_모델'!$B$7))</f>
        <v/>
      </c>
      <c r="M191" s="80">
        <f>G191*J191+H191*K191+I191*L191</f>
        <v/>
      </c>
      <c r="N191" s="80">
        <f>MAX(0,I191)</f>
        <v/>
      </c>
      <c r="O191" s="80">
        <f>IF(I191&gt;0,MAX(0,M191),0)</f>
        <v/>
      </c>
      <c r="P191" s="80">
        <f>IF($I191&gt;0,MAX(0,$G191*SIN(RADIANS('13_시나리오비교'!$B$5))*SIN(RADIANS('13_시나리오비교'!$C$5))+$H191*SIN(RADIANS('13_시나리오비교'!$B$5))*COS(RADIANS('13_시나리오비교'!$C$5))+$I191*COS(RADIANS('13_시나리오비교'!$B$5))),0)</f>
        <v/>
      </c>
      <c r="Q191" s="80">
        <f>IF($I191&gt;0,MAX(0,$G191*SIN(RADIANS('13_시나리오비교'!$B$6))*SIN(RADIANS('13_시나리오비교'!$C$6))+$H191*SIN(RADIANS('13_시나리오비교'!$B$6))*COS(RADIANS('13_시나리오비교'!$C$6))+$I191*COS(RADIANS('13_시나리오비교'!$B$6))),0)</f>
        <v/>
      </c>
      <c r="R191" s="80">
        <f>IF($I191&gt;0,MAX(0,$G191*SIN(RADIANS('13_시나리오비교'!$B$7))*SIN(RADIANS('13_시나리오비교'!$C$7))+$H191*SIN(RADIANS('13_시나리오비교'!$B$7))*COS(RADIANS('13_시나리오비교'!$C$7))+$I191*COS(RADIANS('13_시나리오비교'!$B$7))),0)</f>
        <v/>
      </c>
      <c r="S191" s="80">
        <f>IF($I191&gt;0,MAX(0,$G191*SIN(RADIANS('13_시나리오비교'!$B$8))*SIN(RADIANS('13_시나리오비교'!$C$8))+$H191*SIN(RADIANS('13_시나리오비교'!$B$8))*COS(RADIANS('13_시나리오비교'!$C$8))+$I191*COS(RADIANS('13_시나리오비교'!$B$8))),0)</f>
        <v/>
      </c>
      <c r="T191" s="80">
        <f>IF($I191&gt;0,MAX(0,$G191*SIN(RADIANS('13_시나리오비교'!$B$9))*SIN(RADIANS('13_시나리오비교'!$C$9))+$H191*SIN(RADIANS('13_시나리오비교'!$B$9))*COS(RADIANS('13_시나리오비교'!$C$9))+$I191*COS(RADIANS('13_시나리오비교'!$B$9))),0)</f>
        <v/>
      </c>
      <c r="U191" s="80">
        <f>IF($I191&gt;0,MAX(0,$G191*SIN(RADIANS('13_시나리오비교'!$B$10))*SIN(RADIANS('13_시나리오비교'!$C$10))+$H191*SIN(RADIANS('13_시나리오비교'!$B$10))*COS(RADIANS('13_시나리오비교'!$C$10))+$I191*COS(RADIANS('13_시나리오비교'!$B$10))),0)</f>
        <v/>
      </c>
      <c r="V191" s="80">
        <f>IF($I191&gt;0,MAX(0,$G191*SIN(RADIANS('13_시나리오비교'!$B$11))*SIN(RADIANS('13_시나리오비교'!$C$11))+$H191*SIN(RADIANS('13_시나리오비교'!$B$11))*COS(RADIANS('13_시나리오비교'!$C$11))+$I191*COS(RADIANS('13_시나리오비교'!$B$11))),0)</f>
        <v/>
      </c>
      <c r="W191" s="80">
        <f>IF($I191&gt;0,MAX(0,$G191*SIN(RADIANS('13_시나리오비교'!$B$12))*SIN(RADIANS('13_시나리오비교'!$C$12))+$H191*SIN(RADIANS('13_시나리오비교'!$B$12))*COS(RADIANS('13_시나리오비교'!$C$12))+$I191*COS(RADIANS('13_시나리오비교'!$B$12))),0)</f>
        <v/>
      </c>
      <c r="X191" s="80">
        <f>IF($I191&gt;0,MAX(0,$G191*SIN(RADIANS('13_시나리오비교'!$B$13))*SIN(RADIANS('13_시나리오비교'!$C$13))+$H191*SIN(RADIANS('13_시나리오비교'!$B$13))*COS(RADIANS('13_시나리오비교'!$C$13))+$I191*COS(RADIANS('13_시나리오비교'!$B$13))),0)</f>
        <v/>
      </c>
      <c r="Y191" s="80">
        <f>IF($I191&gt;0,MAX(0,$G191*SIN(RADIANS('13_시나리오비교'!$B$14))*SIN(RADIANS('13_시나리오비교'!$C$14))+$H191*SIN(RADIANS('13_시나리오비교'!$B$14))*COS(RADIANS('13_시나리오비교'!$C$14))+$I191*COS(RADIANS('13_시나리오비교'!$B$14))),0)</f>
        <v/>
      </c>
    </row>
    <row r="192" hidden="1" outlineLevel="1">
      <c r="A192" s="79" t="n">
        <v>2</v>
      </c>
      <c r="B192" s="79" t="n">
        <v>76</v>
      </c>
      <c r="C192" s="80">
        <f>(B192-0.5)*'14_지역·상수'!$H$6</f>
        <v/>
      </c>
      <c r="D192" s="79" t="n">
        <v>47</v>
      </c>
      <c r="E192" s="80">
        <f>INDEX($C$4:$C$15,MATCH(A192,$A$4:$A$15,0))</f>
        <v/>
      </c>
      <c r="F192" s="80">
        <f>15*(C192-12)</f>
        <v/>
      </c>
      <c r="G192" s="80">
        <f>-COS(RADIANS(E192))*SIN(RADIANS(F192))</f>
        <v/>
      </c>
      <c r="H192" s="80">
        <f>COS(RADIANS('11_발전량_모델'!$B$17))*SIN(RADIANS(E192))-SIN(RADIANS('11_발전량_모델'!$B$17))*COS(RADIANS(E192))*COS(RADIANS(F192))</f>
        <v/>
      </c>
      <c r="I192" s="80">
        <f>SIN(RADIANS('11_발전량_모델'!$B$17))*SIN(RADIANS(E192))+COS(RADIANS('11_발전량_모델'!$B$17))*COS(RADIANS(E192))*COS(RADIANS(F192))</f>
        <v/>
      </c>
      <c r="J192" s="80">
        <f>SIN(RADIANS('11_발전량_모델'!$B$7))*SIN(RADIANS('11_발전량_모델'!$B$8))</f>
        <v/>
      </c>
      <c r="K192" s="80">
        <f>SIN(RADIANS('11_발전량_모델'!$B$7))*COS(RADIANS('11_발전량_모델'!$B$8))</f>
        <v/>
      </c>
      <c r="L192" s="80">
        <f>COS(RADIANS('11_발전량_모델'!$B$7))</f>
        <v/>
      </c>
      <c r="M192" s="80">
        <f>G192*J192+H192*K192+I192*L192</f>
        <v/>
      </c>
      <c r="N192" s="80">
        <f>MAX(0,I192)</f>
        <v/>
      </c>
      <c r="O192" s="80">
        <f>IF(I192&gt;0,MAX(0,M192),0)</f>
        <v/>
      </c>
      <c r="P192" s="80">
        <f>IF($I192&gt;0,MAX(0,$G192*SIN(RADIANS('13_시나리오비교'!$B$5))*SIN(RADIANS('13_시나리오비교'!$C$5))+$H192*SIN(RADIANS('13_시나리오비교'!$B$5))*COS(RADIANS('13_시나리오비교'!$C$5))+$I192*COS(RADIANS('13_시나리오비교'!$B$5))),0)</f>
        <v/>
      </c>
      <c r="Q192" s="80">
        <f>IF($I192&gt;0,MAX(0,$G192*SIN(RADIANS('13_시나리오비교'!$B$6))*SIN(RADIANS('13_시나리오비교'!$C$6))+$H192*SIN(RADIANS('13_시나리오비교'!$B$6))*COS(RADIANS('13_시나리오비교'!$C$6))+$I192*COS(RADIANS('13_시나리오비교'!$B$6))),0)</f>
        <v/>
      </c>
      <c r="R192" s="80">
        <f>IF($I192&gt;0,MAX(0,$G192*SIN(RADIANS('13_시나리오비교'!$B$7))*SIN(RADIANS('13_시나리오비교'!$C$7))+$H192*SIN(RADIANS('13_시나리오비교'!$B$7))*COS(RADIANS('13_시나리오비교'!$C$7))+$I192*COS(RADIANS('13_시나리오비교'!$B$7))),0)</f>
        <v/>
      </c>
      <c r="S192" s="80">
        <f>IF($I192&gt;0,MAX(0,$G192*SIN(RADIANS('13_시나리오비교'!$B$8))*SIN(RADIANS('13_시나리오비교'!$C$8))+$H192*SIN(RADIANS('13_시나리오비교'!$B$8))*COS(RADIANS('13_시나리오비교'!$C$8))+$I192*COS(RADIANS('13_시나리오비교'!$B$8))),0)</f>
        <v/>
      </c>
      <c r="T192" s="80">
        <f>IF($I192&gt;0,MAX(0,$G192*SIN(RADIANS('13_시나리오비교'!$B$9))*SIN(RADIANS('13_시나리오비교'!$C$9))+$H192*SIN(RADIANS('13_시나리오비교'!$B$9))*COS(RADIANS('13_시나리오비교'!$C$9))+$I192*COS(RADIANS('13_시나리오비교'!$B$9))),0)</f>
        <v/>
      </c>
      <c r="U192" s="80">
        <f>IF($I192&gt;0,MAX(0,$G192*SIN(RADIANS('13_시나리오비교'!$B$10))*SIN(RADIANS('13_시나리오비교'!$C$10))+$H192*SIN(RADIANS('13_시나리오비교'!$B$10))*COS(RADIANS('13_시나리오비교'!$C$10))+$I192*COS(RADIANS('13_시나리오비교'!$B$10))),0)</f>
        <v/>
      </c>
      <c r="V192" s="80">
        <f>IF($I192&gt;0,MAX(0,$G192*SIN(RADIANS('13_시나리오비교'!$B$11))*SIN(RADIANS('13_시나리오비교'!$C$11))+$H192*SIN(RADIANS('13_시나리오비교'!$B$11))*COS(RADIANS('13_시나리오비교'!$C$11))+$I192*COS(RADIANS('13_시나리오비교'!$B$11))),0)</f>
        <v/>
      </c>
      <c r="W192" s="80">
        <f>IF($I192&gt;0,MAX(0,$G192*SIN(RADIANS('13_시나리오비교'!$B$12))*SIN(RADIANS('13_시나리오비교'!$C$12))+$H192*SIN(RADIANS('13_시나리오비교'!$B$12))*COS(RADIANS('13_시나리오비교'!$C$12))+$I192*COS(RADIANS('13_시나리오비교'!$B$12))),0)</f>
        <v/>
      </c>
      <c r="X192" s="80">
        <f>IF($I192&gt;0,MAX(0,$G192*SIN(RADIANS('13_시나리오비교'!$B$13))*SIN(RADIANS('13_시나리오비교'!$C$13))+$H192*SIN(RADIANS('13_시나리오비교'!$B$13))*COS(RADIANS('13_시나리오비교'!$C$13))+$I192*COS(RADIANS('13_시나리오비교'!$B$13))),0)</f>
        <v/>
      </c>
      <c r="Y192" s="80">
        <f>IF($I192&gt;0,MAX(0,$G192*SIN(RADIANS('13_시나리오비교'!$B$14))*SIN(RADIANS('13_시나리오비교'!$C$14))+$H192*SIN(RADIANS('13_시나리오비교'!$B$14))*COS(RADIANS('13_시나리오비교'!$C$14))+$I192*COS(RADIANS('13_시나리오비교'!$B$14))),0)</f>
        <v/>
      </c>
    </row>
    <row r="193" hidden="1" outlineLevel="1">
      <c r="A193" s="79" t="n">
        <v>2</v>
      </c>
      <c r="B193" s="79" t="n">
        <v>77</v>
      </c>
      <c r="C193" s="80">
        <f>(B193-0.5)*'14_지역·상수'!$H$6</f>
        <v/>
      </c>
      <c r="D193" s="79" t="n">
        <v>47</v>
      </c>
      <c r="E193" s="80">
        <f>INDEX($C$4:$C$15,MATCH(A193,$A$4:$A$15,0))</f>
        <v/>
      </c>
      <c r="F193" s="80">
        <f>15*(C193-12)</f>
        <v/>
      </c>
      <c r="G193" s="80">
        <f>-COS(RADIANS(E193))*SIN(RADIANS(F193))</f>
        <v/>
      </c>
      <c r="H193" s="80">
        <f>COS(RADIANS('11_발전량_모델'!$B$17))*SIN(RADIANS(E193))-SIN(RADIANS('11_발전량_모델'!$B$17))*COS(RADIANS(E193))*COS(RADIANS(F193))</f>
        <v/>
      </c>
      <c r="I193" s="80">
        <f>SIN(RADIANS('11_발전량_모델'!$B$17))*SIN(RADIANS(E193))+COS(RADIANS('11_발전량_모델'!$B$17))*COS(RADIANS(E193))*COS(RADIANS(F193))</f>
        <v/>
      </c>
      <c r="J193" s="80">
        <f>SIN(RADIANS('11_발전량_모델'!$B$7))*SIN(RADIANS('11_발전량_모델'!$B$8))</f>
        <v/>
      </c>
      <c r="K193" s="80">
        <f>SIN(RADIANS('11_발전량_모델'!$B$7))*COS(RADIANS('11_발전량_모델'!$B$8))</f>
        <v/>
      </c>
      <c r="L193" s="80">
        <f>COS(RADIANS('11_발전량_모델'!$B$7))</f>
        <v/>
      </c>
      <c r="M193" s="80">
        <f>G193*J193+H193*K193+I193*L193</f>
        <v/>
      </c>
      <c r="N193" s="80">
        <f>MAX(0,I193)</f>
        <v/>
      </c>
      <c r="O193" s="80">
        <f>IF(I193&gt;0,MAX(0,M193),0)</f>
        <v/>
      </c>
      <c r="P193" s="80">
        <f>IF($I193&gt;0,MAX(0,$G193*SIN(RADIANS('13_시나리오비교'!$B$5))*SIN(RADIANS('13_시나리오비교'!$C$5))+$H193*SIN(RADIANS('13_시나리오비교'!$B$5))*COS(RADIANS('13_시나리오비교'!$C$5))+$I193*COS(RADIANS('13_시나리오비교'!$B$5))),0)</f>
        <v/>
      </c>
      <c r="Q193" s="80">
        <f>IF($I193&gt;0,MAX(0,$G193*SIN(RADIANS('13_시나리오비교'!$B$6))*SIN(RADIANS('13_시나리오비교'!$C$6))+$H193*SIN(RADIANS('13_시나리오비교'!$B$6))*COS(RADIANS('13_시나리오비교'!$C$6))+$I193*COS(RADIANS('13_시나리오비교'!$B$6))),0)</f>
        <v/>
      </c>
      <c r="R193" s="80">
        <f>IF($I193&gt;0,MAX(0,$G193*SIN(RADIANS('13_시나리오비교'!$B$7))*SIN(RADIANS('13_시나리오비교'!$C$7))+$H193*SIN(RADIANS('13_시나리오비교'!$B$7))*COS(RADIANS('13_시나리오비교'!$C$7))+$I193*COS(RADIANS('13_시나리오비교'!$B$7))),0)</f>
        <v/>
      </c>
      <c r="S193" s="80">
        <f>IF($I193&gt;0,MAX(0,$G193*SIN(RADIANS('13_시나리오비교'!$B$8))*SIN(RADIANS('13_시나리오비교'!$C$8))+$H193*SIN(RADIANS('13_시나리오비교'!$B$8))*COS(RADIANS('13_시나리오비교'!$C$8))+$I193*COS(RADIANS('13_시나리오비교'!$B$8))),0)</f>
        <v/>
      </c>
      <c r="T193" s="80">
        <f>IF($I193&gt;0,MAX(0,$G193*SIN(RADIANS('13_시나리오비교'!$B$9))*SIN(RADIANS('13_시나리오비교'!$C$9))+$H193*SIN(RADIANS('13_시나리오비교'!$B$9))*COS(RADIANS('13_시나리오비교'!$C$9))+$I193*COS(RADIANS('13_시나리오비교'!$B$9))),0)</f>
        <v/>
      </c>
      <c r="U193" s="80">
        <f>IF($I193&gt;0,MAX(0,$G193*SIN(RADIANS('13_시나리오비교'!$B$10))*SIN(RADIANS('13_시나리오비교'!$C$10))+$H193*SIN(RADIANS('13_시나리오비교'!$B$10))*COS(RADIANS('13_시나리오비교'!$C$10))+$I193*COS(RADIANS('13_시나리오비교'!$B$10))),0)</f>
        <v/>
      </c>
      <c r="V193" s="80">
        <f>IF($I193&gt;0,MAX(0,$G193*SIN(RADIANS('13_시나리오비교'!$B$11))*SIN(RADIANS('13_시나리오비교'!$C$11))+$H193*SIN(RADIANS('13_시나리오비교'!$B$11))*COS(RADIANS('13_시나리오비교'!$C$11))+$I193*COS(RADIANS('13_시나리오비교'!$B$11))),0)</f>
        <v/>
      </c>
      <c r="W193" s="80">
        <f>IF($I193&gt;0,MAX(0,$G193*SIN(RADIANS('13_시나리오비교'!$B$12))*SIN(RADIANS('13_시나리오비교'!$C$12))+$H193*SIN(RADIANS('13_시나리오비교'!$B$12))*COS(RADIANS('13_시나리오비교'!$C$12))+$I193*COS(RADIANS('13_시나리오비교'!$B$12))),0)</f>
        <v/>
      </c>
      <c r="X193" s="80">
        <f>IF($I193&gt;0,MAX(0,$G193*SIN(RADIANS('13_시나리오비교'!$B$13))*SIN(RADIANS('13_시나리오비교'!$C$13))+$H193*SIN(RADIANS('13_시나리오비교'!$B$13))*COS(RADIANS('13_시나리오비교'!$C$13))+$I193*COS(RADIANS('13_시나리오비교'!$B$13))),0)</f>
        <v/>
      </c>
      <c r="Y193" s="80">
        <f>IF($I193&gt;0,MAX(0,$G193*SIN(RADIANS('13_시나리오비교'!$B$14))*SIN(RADIANS('13_시나리오비교'!$C$14))+$H193*SIN(RADIANS('13_시나리오비교'!$B$14))*COS(RADIANS('13_시나리오비교'!$C$14))+$I193*COS(RADIANS('13_시나리오비교'!$B$14))),0)</f>
        <v/>
      </c>
    </row>
    <row r="194" hidden="1" outlineLevel="1">
      <c r="A194" s="79" t="n">
        <v>2</v>
      </c>
      <c r="B194" s="79" t="n">
        <v>78</v>
      </c>
      <c r="C194" s="80">
        <f>(B194-0.5)*'14_지역·상수'!$H$6</f>
        <v/>
      </c>
      <c r="D194" s="79" t="n">
        <v>47</v>
      </c>
      <c r="E194" s="80">
        <f>INDEX($C$4:$C$15,MATCH(A194,$A$4:$A$15,0))</f>
        <v/>
      </c>
      <c r="F194" s="80">
        <f>15*(C194-12)</f>
        <v/>
      </c>
      <c r="G194" s="80">
        <f>-COS(RADIANS(E194))*SIN(RADIANS(F194))</f>
        <v/>
      </c>
      <c r="H194" s="80">
        <f>COS(RADIANS('11_발전량_모델'!$B$17))*SIN(RADIANS(E194))-SIN(RADIANS('11_발전량_모델'!$B$17))*COS(RADIANS(E194))*COS(RADIANS(F194))</f>
        <v/>
      </c>
      <c r="I194" s="80">
        <f>SIN(RADIANS('11_발전량_모델'!$B$17))*SIN(RADIANS(E194))+COS(RADIANS('11_발전량_모델'!$B$17))*COS(RADIANS(E194))*COS(RADIANS(F194))</f>
        <v/>
      </c>
      <c r="J194" s="80">
        <f>SIN(RADIANS('11_발전량_모델'!$B$7))*SIN(RADIANS('11_발전량_모델'!$B$8))</f>
        <v/>
      </c>
      <c r="K194" s="80">
        <f>SIN(RADIANS('11_발전량_모델'!$B$7))*COS(RADIANS('11_발전량_모델'!$B$8))</f>
        <v/>
      </c>
      <c r="L194" s="80">
        <f>COS(RADIANS('11_발전량_모델'!$B$7))</f>
        <v/>
      </c>
      <c r="M194" s="80">
        <f>G194*J194+H194*K194+I194*L194</f>
        <v/>
      </c>
      <c r="N194" s="80">
        <f>MAX(0,I194)</f>
        <v/>
      </c>
      <c r="O194" s="80">
        <f>IF(I194&gt;0,MAX(0,M194),0)</f>
        <v/>
      </c>
      <c r="P194" s="80">
        <f>IF($I194&gt;0,MAX(0,$G194*SIN(RADIANS('13_시나리오비교'!$B$5))*SIN(RADIANS('13_시나리오비교'!$C$5))+$H194*SIN(RADIANS('13_시나리오비교'!$B$5))*COS(RADIANS('13_시나리오비교'!$C$5))+$I194*COS(RADIANS('13_시나리오비교'!$B$5))),0)</f>
        <v/>
      </c>
      <c r="Q194" s="80">
        <f>IF($I194&gt;0,MAX(0,$G194*SIN(RADIANS('13_시나리오비교'!$B$6))*SIN(RADIANS('13_시나리오비교'!$C$6))+$H194*SIN(RADIANS('13_시나리오비교'!$B$6))*COS(RADIANS('13_시나리오비교'!$C$6))+$I194*COS(RADIANS('13_시나리오비교'!$B$6))),0)</f>
        <v/>
      </c>
      <c r="R194" s="80">
        <f>IF($I194&gt;0,MAX(0,$G194*SIN(RADIANS('13_시나리오비교'!$B$7))*SIN(RADIANS('13_시나리오비교'!$C$7))+$H194*SIN(RADIANS('13_시나리오비교'!$B$7))*COS(RADIANS('13_시나리오비교'!$C$7))+$I194*COS(RADIANS('13_시나리오비교'!$B$7))),0)</f>
        <v/>
      </c>
      <c r="S194" s="80">
        <f>IF($I194&gt;0,MAX(0,$G194*SIN(RADIANS('13_시나리오비교'!$B$8))*SIN(RADIANS('13_시나리오비교'!$C$8))+$H194*SIN(RADIANS('13_시나리오비교'!$B$8))*COS(RADIANS('13_시나리오비교'!$C$8))+$I194*COS(RADIANS('13_시나리오비교'!$B$8))),0)</f>
        <v/>
      </c>
      <c r="T194" s="80">
        <f>IF($I194&gt;0,MAX(0,$G194*SIN(RADIANS('13_시나리오비교'!$B$9))*SIN(RADIANS('13_시나리오비교'!$C$9))+$H194*SIN(RADIANS('13_시나리오비교'!$B$9))*COS(RADIANS('13_시나리오비교'!$C$9))+$I194*COS(RADIANS('13_시나리오비교'!$B$9))),0)</f>
        <v/>
      </c>
      <c r="U194" s="80">
        <f>IF($I194&gt;0,MAX(0,$G194*SIN(RADIANS('13_시나리오비교'!$B$10))*SIN(RADIANS('13_시나리오비교'!$C$10))+$H194*SIN(RADIANS('13_시나리오비교'!$B$10))*COS(RADIANS('13_시나리오비교'!$C$10))+$I194*COS(RADIANS('13_시나리오비교'!$B$10))),0)</f>
        <v/>
      </c>
      <c r="V194" s="80">
        <f>IF($I194&gt;0,MAX(0,$G194*SIN(RADIANS('13_시나리오비교'!$B$11))*SIN(RADIANS('13_시나리오비교'!$C$11))+$H194*SIN(RADIANS('13_시나리오비교'!$B$11))*COS(RADIANS('13_시나리오비교'!$C$11))+$I194*COS(RADIANS('13_시나리오비교'!$B$11))),0)</f>
        <v/>
      </c>
      <c r="W194" s="80">
        <f>IF($I194&gt;0,MAX(0,$G194*SIN(RADIANS('13_시나리오비교'!$B$12))*SIN(RADIANS('13_시나리오비교'!$C$12))+$H194*SIN(RADIANS('13_시나리오비교'!$B$12))*COS(RADIANS('13_시나리오비교'!$C$12))+$I194*COS(RADIANS('13_시나리오비교'!$B$12))),0)</f>
        <v/>
      </c>
      <c r="X194" s="80">
        <f>IF($I194&gt;0,MAX(0,$G194*SIN(RADIANS('13_시나리오비교'!$B$13))*SIN(RADIANS('13_시나리오비교'!$C$13))+$H194*SIN(RADIANS('13_시나리오비교'!$B$13))*COS(RADIANS('13_시나리오비교'!$C$13))+$I194*COS(RADIANS('13_시나리오비교'!$B$13))),0)</f>
        <v/>
      </c>
      <c r="Y194" s="80">
        <f>IF($I194&gt;0,MAX(0,$G194*SIN(RADIANS('13_시나리오비교'!$B$14))*SIN(RADIANS('13_시나리오비교'!$C$14))+$H194*SIN(RADIANS('13_시나리오비교'!$B$14))*COS(RADIANS('13_시나리오비교'!$C$14))+$I194*COS(RADIANS('13_시나리오비교'!$B$14))),0)</f>
        <v/>
      </c>
    </row>
    <row r="195" hidden="1" outlineLevel="1">
      <c r="A195" s="79" t="n">
        <v>2</v>
      </c>
      <c r="B195" s="79" t="n">
        <v>79</v>
      </c>
      <c r="C195" s="80">
        <f>(B195-0.5)*'14_지역·상수'!$H$6</f>
        <v/>
      </c>
      <c r="D195" s="79" t="n">
        <v>47</v>
      </c>
      <c r="E195" s="80">
        <f>INDEX($C$4:$C$15,MATCH(A195,$A$4:$A$15,0))</f>
        <v/>
      </c>
      <c r="F195" s="80">
        <f>15*(C195-12)</f>
        <v/>
      </c>
      <c r="G195" s="80">
        <f>-COS(RADIANS(E195))*SIN(RADIANS(F195))</f>
        <v/>
      </c>
      <c r="H195" s="80">
        <f>COS(RADIANS('11_발전량_모델'!$B$17))*SIN(RADIANS(E195))-SIN(RADIANS('11_발전량_모델'!$B$17))*COS(RADIANS(E195))*COS(RADIANS(F195))</f>
        <v/>
      </c>
      <c r="I195" s="80">
        <f>SIN(RADIANS('11_발전량_모델'!$B$17))*SIN(RADIANS(E195))+COS(RADIANS('11_발전량_모델'!$B$17))*COS(RADIANS(E195))*COS(RADIANS(F195))</f>
        <v/>
      </c>
      <c r="J195" s="80">
        <f>SIN(RADIANS('11_발전량_모델'!$B$7))*SIN(RADIANS('11_발전량_모델'!$B$8))</f>
        <v/>
      </c>
      <c r="K195" s="80">
        <f>SIN(RADIANS('11_발전량_모델'!$B$7))*COS(RADIANS('11_발전량_모델'!$B$8))</f>
        <v/>
      </c>
      <c r="L195" s="80">
        <f>COS(RADIANS('11_발전량_모델'!$B$7))</f>
        <v/>
      </c>
      <c r="M195" s="80">
        <f>G195*J195+H195*K195+I195*L195</f>
        <v/>
      </c>
      <c r="N195" s="80">
        <f>MAX(0,I195)</f>
        <v/>
      </c>
      <c r="O195" s="80">
        <f>IF(I195&gt;0,MAX(0,M195),0)</f>
        <v/>
      </c>
      <c r="P195" s="80">
        <f>IF($I195&gt;0,MAX(0,$G195*SIN(RADIANS('13_시나리오비교'!$B$5))*SIN(RADIANS('13_시나리오비교'!$C$5))+$H195*SIN(RADIANS('13_시나리오비교'!$B$5))*COS(RADIANS('13_시나리오비교'!$C$5))+$I195*COS(RADIANS('13_시나리오비교'!$B$5))),0)</f>
        <v/>
      </c>
      <c r="Q195" s="80">
        <f>IF($I195&gt;0,MAX(0,$G195*SIN(RADIANS('13_시나리오비교'!$B$6))*SIN(RADIANS('13_시나리오비교'!$C$6))+$H195*SIN(RADIANS('13_시나리오비교'!$B$6))*COS(RADIANS('13_시나리오비교'!$C$6))+$I195*COS(RADIANS('13_시나리오비교'!$B$6))),0)</f>
        <v/>
      </c>
      <c r="R195" s="80">
        <f>IF($I195&gt;0,MAX(0,$G195*SIN(RADIANS('13_시나리오비교'!$B$7))*SIN(RADIANS('13_시나리오비교'!$C$7))+$H195*SIN(RADIANS('13_시나리오비교'!$B$7))*COS(RADIANS('13_시나리오비교'!$C$7))+$I195*COS(RADIANS('13_시나리오비교'!$B$7))),0)</f>
        <v/>
      </c>
      <c r="S195" s="80">
        <f>IF($I195&gt;0,MAX(0,$G195*SIN(RADIANS('13_시나리오비교'!$B$8))*SIN(RADIANS('13_시나리오비교'!$C$8))+$H195*SIN(RADIANS('13_시나리오비교'!$B$8))*COS(RADIANS('13_시나리오비교'!$C$8))+$I195*COS(RADIANS('13_시나리오비교'!$B$8))),0)</f>
        <v/>
      </c>
      <c r="T195" s="80">
        <f>IF($I195&gt;0,MAX(0,$G195*SIN(RADIANS('13_시나리오비교'!$B$9))*SIN(RADIANS('13_시나리오비교'!$C$9))+$H195*SIN(RADIANS('13_시나리오비교'!$B$9))*COS(RADIANS('13_시나리오비교'!$C$9))+$I195*COS(RADIANS('13_시나리오비교'!$B$9))),0)</f>
        <v/>
      </c>
      <c r="U195" s="80">
        <f>IF($I195&gt;0,MAX(0,$G195*SIN(RADIANS('13_시나리오비교'!$B$10))*SIN(RADIANS('13_시나리오비교'!$C$10))+$H195*SIN(RADIANS('13_시나리오비교'!$B$10))*COS(RADIANS('13_시나리오비교'!$C$10))+$I195*COS(RADIANS('13_시나리오비교'!$B$10))),0)</f>
        <v/>
      </c>
      <c r="V195" s="80">
        <f>IF($I195&gt;0,MAX(0,$G195*SIN(RADIANS('13_시나리오비교'!$B$11))*SIN(RADIANS('13_시나리오비교'!$C$11))+$H195*SIN(RADIANS('13_시나리오비교'!$B$11))*COS(RADIANS('13_시나리오비교'!$C$11))+$I195*COS(RADIANS('13_시나리오비교'!$B$11))),0)</f>
        <v/>
      </c>
      <c r="W195" s="80">
        <f>IF($I195&gt;0,MAX(0,$G195*SIN(RADIANS('13_시나리오비교'!$B$12))*SIN(RADIANS('13_시나리오비교'!$C$12))+$H195*SIN(RADIANS('13_시나리오비교'!$B$12))*COS(RADIANS('13_시나리오비교'!$C$12))+$I195*COS(RADIANS('13_시나리오비교'!$B$12))),0)</f>
        <v/>
      </c>
      <c r="X195" s="80">
        <f>IF($I195&gt;0,MAX(0,$G195*SIN(RADIANS('13_시나리오비교'!$B$13))*SIN(RADIANS('13_시나리오비교'!$C$13))+$H195*SIN(RADIANS('13_시나리오비교'!$B$13))*COS(RADIANS('13_시나리오비교'!$C$13))+$I195*COS(RADIANS('13_시나리오비교'!$B$13))),0)</f>
        <v/>
      </c>
      <c r="Y195" s="80">
        <f>IF($I195&gt;0,MAX(0,$G195*SIN(RADIANS('13_시나리오비교'!$B$14))*SIN(RADIANS('13_시나리오비교'!$C$14))+$H195*SIN(RADIANS('13_시나리오비교'!$B$14))*COS(RADIANS('13_시나리오비교'!$C$14))+$I195*COS(RADIANS('13_시나리오비교'!$B$14))),0)</f>
        <v/>
      </c>
    </row>
    <row r="196" hidden="1" outlineLevel="1">
      <c r="A196" s="79" t="n">
        <v>2</v>
      </c>
      <c r="B196" s="79" t="n">
        <v>80</v>
      </c>
      <c r="C196" s="80">
        <f>(B196-0.5)*'14_지역·상수'!$H$6</f>
        <v/>
      </c>
      <c r="D196" s="79" t="n">
        <v>47</v>
      </c>
      <c r="E196" s="80">
        <f>INDEX($C$4:$C$15,MATCH(A196,$A$4:$A$15,0))</f>
        <v/>
      </c>
      <c r="F196" s="80">
        <f>15*(C196-12)</f>
        <v/>
      </c>
      <c r="G196" s="80">
        <f>-COS(RADIANS(E196))*SIN(RADIANS(F196))</f>
        <v/>
      </c>
      <c r="H196" s="80">
        <f>COS(RADIANS('11_발전량_모델'!$B$17))*SIN(RADIANS(E196))-SIN(RADIANS('11_발전량_모델'!$B$17))*COS(RADIANS(E196))*COS(RADIANS(F196))</f>
        <v/>
      </c>
      <c r="I196" s="80">
        <f>SIN(RADIANS('11_발전량_모델'!$B$17))*SIN(RADIANS(E196))+COS(RADIANS('11_발전량_모델'!$B$17))*COS(RADIANS(E196))*COS(RADIANS(F196))</f>
        <v/>
      </c>
      <c r="J196" s="80">
        <f>SIN(RADIANS('11_발전량_모델'!$B$7))*SIN(RADIANS('11_발전량_모델'!$B$8))</f>
        <v/>
      </c>
      <c r="K196" s="80">
        <f>SIN(RADIANS('11_발전량_모델'!$B$7))*COS(RADIANS('11_발전량_모델'!$B$8))</f>
        <v/>
      </c>
      <c r="L196" s="80">
        <f>COS(RADIANS('11_발전량_모델'!$B$7))</f>
        <v/>
      </c>
      <c r="M196" s="80">
        <f>G196*J196+H196*K196+I196*L196</f>
        <v/>
      </c>
      <c r="N196" s="80">
        <f>MAX(0,I196)</f>
        <v/>
      </c>
      <c r="O196" s="80">
        <f>IF(I196&gt;0,MAX(0,M196),0)</f>
        <v/>
      </c>
      <c r="P196" s="80">
        <f>IF($I196&gt;0,MAX(0,$G196*SIN(RADIANS('13_시나리오비교'!$B$5))*SIN(RADIANS('13_시나리오비교'!$C$5))+$H196*SIN(RADIANS('13_시나리오비교'!$B$5))*COS(RADIANS('13_시나리오비교'!$C$5))+$I196*COS(RADIANS('13_시나리오비교'!$B$5))),0)</f>
        <v/>
      </c>
      <c r="Q196" s="80">
        <f>IF($I196&gt;0,MAX(0,$G196*SIN(RADIANS('13_시나리오비교'!$B$6))*SIN(RADIANS('13_시나리오비교'!$C$6))+$H196*SIN(RADIANS('13_시나리오비교'!$B$6))*COS(RADIANS('13_시나리오비교'!$C$6))+$I196*COS(RADIANS('13_시나리오비교'!$B$6))),0)</f>
        <v/>
      </c>
      <c r="R196" s="80">
        <f>IF($I196&gt;0,MAX(0,$G196*SIN(RADIANS('13_시나리오비교'!$B$7))*SIN(RADIANS('13_시나리오비교'!$C$7))+$H196*SIN(RADIANS('13_시나리오비교'!$B$7))*COS(RADIANS('13_시나리오비교'!$C$7))+$I196*COS(RADIANS('13_시나리오비교'!$B$7))),0)</f>
        <v/>
      </c>
      <c r="S196" s="80">
        <f>IF($I196&gt;0,MAX(0,$G196*SIN(RADIANS('13_시나리오비교'!$B$8))*SIN(RADIANS('13_시나리오비교'!$C$8))+$H196*SIN(RADIANS('13_시나리오비교'!$B$8))*COS(RADIANS('13_시나리오비교'!$C$8))+$I196*COS(RADIANS('13_시나리오비교'!$B$8))),0)</f>
        <v/>
      </c>
      <c r="T196" s="80">
        <f>IF($I196&gt;0,MAX(0,$G196*SIN(RADIANS('13_시나리오비교'!$B$9))*SIN(RADIANS('13_시나리오비교'!$C$9))+$H196*SIN(RADIANS('13_시나리오비교'!$B$9))*COS(RADIANS('13_시나리오비교'!$C$9))+$I196*COS(RADIANS('13_시나리오비교'!$B$9))),0)</f>
        <v/>
      </c>
      <c r="U196" s="80">
        <f>IF($I196&gt;0,MAX(0,$G196*SIN(RADIANS('13_시나리오비교'!$B$10))*SIN(RADIANS('13_시나리오비교'!$C$10))+$H196*SIN(RADIANS('13_시나리오비교'!$B$10))*COS(RADIANS('13_시나리오비교'!$C$10))+$I196*COS(RADIANS('13_시나리오비교'!$B$10))),0)</f>
        <v/>
      </c>
      <c r="V196" s="80">
        <f>IF($I196&gt;0,MAX(0,$G196*SIN(RADIANS('13_시나리오비교'!$B$11))*SIN(RADIANS('13_시나리오비교'!$C$11))+$H196*SIN(RADIANS('13_시나리오비교'!$B$11))*COS(RADIANS('13_시나리오비교'!$C$11))+$I196*COS(RADIANS('13_시나리오비교'!$B$11))),0)</f>
        <v/>
      </c>
      <c r="W196" s="80">
        <f>IF($I196&gt;0,MAX(0,$G196*SIN(RADIANS('13_시나리오비교'!$B$12))*SIN(RADIANS('13_시나리오비교'!$C$12))+$H196*SIN(RADIANS('13_시나리오비교'!$B$12))*COS(RADIANS('13_시나리오비교'!$C$12))+$I196*COS(RADIANS('13_시나리오비교'!$B$12))),0)</f>
        <v/>
      </c>
      <c r="X196" s="80">
        <f>IF($I196&gt;0,MAX(0,$G196*SIN(RADIANS('13_시나리오비교'!$B$13))*SIN(RADIANS('13_시나리오비교'!$C$13))+$H196*SIN(RADIANS('13_시나리오비교'!$B$13))*COS(RADIANS('13_시나리오비교'!$C$13))+$I196*COS(RADIANS('13_시나리오비교'!$B$13))),0)</f>
        <v/>
      </c>
      <c r="Y196" s="80">
        <f>IF($I196&gt;0,MAX(0,$G196*SIN(RADIANS('13_시나리오비교'!$B$14))*SIN(RADIANS('13_시나리오비교'!$C$14))+$H196*SIN(RADIANS('13_시나리오비교'!$B$14))*COS(RADIANS('13_시나리오비교'!$C$14))+$I196*COS(RADIANS('13_시나리오비교'!$B$14))),0)</f>
        <v/>
      </c>
    </row>
    <row r="197" hidden="1" outlineLevel="1">
      <c r="A197" s="79" t="n">
        <v>2</v>
      </c>
      <c r="B197" s="79" t="n">
        <v>81</v>
      </c>
      <c r="C197" s="80">
        <f>(B197-0.5)*'14_지역·상수'!$H$6</f>
        <v/>
      </c>
      <c r="D197" s="79" t="n">
        <v>47</v>
      </c>
      <c r="E197" s="80">
        <f>INDEX($C$4:$C$15,MATCH(A197,$A$4:$A$15,0))</f>
        <v/>
      </c>
      <c r="F197" s="80">
        <f>15*(C197-12)</f>
        <v/>
      </c>
      <c r="G197" s="80">
        <f>-COS(RADIANS(E197))*SIN(RADIANS(F197))</f>
        <v/>
      </c>
      <c r="H197" s="80">
        <f>COS(RADIANS('11_발전량_모델'!$B$17))*SIN(RADIANS(E197))-SIN(RADIANS('11_발전량_모델'!$B$17))*COS(RADIANS(E197))*COS(RADIANS(F197))</f>
        <v/>
      </c>
      <c r="I197" s="80">
        <f>SIN(RADIANS('11_발전량_모델'!$B$17))*SIN(RADIANS(E197))+COS(RADIANS('11_발전량_모델'!$B$17))*COS(RADIANS(E197))*COS(RADIANS(F197))</f>
        <v/>
      </c>
      <c r="J197" s="80">
        <f>SIN(RADIANS('11_발전량_모델'!$B$7))*SIN(RADIANS('11_발전량_모델'!$B$8))</f>
        <v/>
      </c>
      <c r="K197" s="80">
        <f>SIN(RADIANS('11_발전량_모델'!$B$7))*COS(RADIANS('11_발전량_모델'!$B$8))</f>
        <v/>
      </c>
      <c r="L197" s="80">
        <f>COS(RADIANS('11_발전량_모델'!$B$7))</f>
        <v/>
      </c>
      <c r="M197" s="80">
        <f>G197*J197+H197*K197+I197*L197</f>
        <v/>
      </c>
      <c r="N197" s="80">
        <f>MAX(0,I197)</f>
        <v/>
      </c>
      <c r="O197" s="80">
        <f>IF(I197&gt;0,MAX(0,M197),0)</f>
        <v/>
      </c>
      <c r="P197" s="80">
        <f>IF($I197&gt;0,MAX(0,$G197*SIN(RADIANS('13_시나리오비교'!$B$5))*SIN(RADIANS('13_시나리오비교'!$C$5))+$H197*SIN(RADIANS('13_시나리오비교'!$B$5))*COS(RADIANS('13_시나리오비교'!$C$5))+$I197*COS(RADIANS('13_시나리오비교'!$B$5))),0)</f>
        <v/>
      </c>
      <c r="Q197" s="80">
        <f>IF($I197&gt;0,MAX(0,$G197*SIN(RADIANS('13_시나리오비교'!$B$6))*SIN(RADIANS('13_시나리오비교'!$C$6))+$H197*SIN(RADIANS('13_시나리오비교'!$B$6))*COS(RADIANS('13_시나리오비교'!$C$6))+$I197*COS(RADIANS('13_시나리오비교'!$B$6))),0)</f>
        <v/>
      </c>
      <c r="R197" s="80">
        <f>IF($I197&gt;0,MAX(0,$G197*SIN(RADIANS('13_시나리오비교'!$B$7))*SIN(RADIANS('13_시나리오비교'!$C$7))+$H197*SIN(RADIANS('13_시나리오비교'!$B$7))*COS(RADIANS('13_시나리오비교'!$C$7))+$I197*COS(RADIANS('13_시나리오비교'!$B$7))),0)</f>
        <v/>
      </c>
      <c r="S197" s="80">
        <f>IF($I197&gt;0,MAX(0,$G197*SIN(RADIANS('13_시나리오비교'!$B$8))*SIN(RADIANS('13_시나리오비교'!$C$8))+$H197*SIN(RADIANS('13_시나리오비교'!$B$8))*COS(RADIANS('13_시나리오비교'!$C$8))+$I197*COS(RADIANS('13_시나리오비교'!$B$8))),0)</f>
        <v/>
      </c>
      <c r="T197" s="80">
        <f>IF($I197&gt;0,MAX(0,$G197*SIN(RADIANS('13_시나리오비교'!$B$9))*SIN(RADIANS('13_시나리오비교'!$C$9))+$H197*SIN(RADIANS('13_시나리오비교'!$B$9))*COS(RADIANS('13_시나리오비교'!$C$9))+$I197*COS(RADIANS('13_시나리오비교'!$B$9))),0)</f>
        <v/>
      </c>
      <c r="U197" s="80">
        <f>IF($I197&gt;0,MAX(0,$G197*SIN(RADIANS('13_시나리오비교'!$B$10))*SIN(RADIANS('13_시나리오비교'!$C$10))+$H197*SIN(RADIANS('13_시나리오비교'!$B$10))*COS(RADIANS('13_시나리오비교'!$C$10))+$I197*COS(RADIANS('13_시나리오비교'!$B$10))),0)</f>
        <v/>
      </c>
      <c r="V197" s="80">
        <f>IF($I197&gt;0,MAX(0,$G197*SIN(RADIANS('13_시나리오비교'!$B$11))*SIN(RADIANS('13_시나리오비교'!$C$11))+$H197*SIN(RADIANS('13_시나리오비교'!$B$11))*COS(RADIANS('13_시나리오비교'!$C$11))+$I197*COS(RADIANS('13_시나리오비교'!$B$11))),0)</f>
        <v/>
      </c>
      <c r="W197" s="80">
        <f>IF($I197&gt;0,MAX(0,$G197*SIN(RADIANS('13_시나리오비교'!$B$12))*SIN(RADIANS('13_시나리오비교'!$C$12))+$H197*SIN(RADIANS('13_시나리오비교'!$B$12))*COS(RADIANS('13_시나리오비교'!$C$12))+$I197*COS(RADIANS('13_시나리오비교'!$B$12))),0)</f>
        <v/>
      </c>
      <c r="X197" s="80">
        <f>IF($I197&gt;0,MAX(0,$G197*SIN(RADIANS('13_시나리오비교'!$B$13))*SIN(RADIANS('13_시나리오비교'!$C$13))+$H197*SIN(RADIANS('13_시나리오비교'!$B$13))*COS(RADIANS('13_시나리오비교'!$C$13))+$I197*COS(RADIANS('13_시나리오비교'!$B$13))),0)</f>
        <v/>
      </c>
      <c r="Y197" s="80">
        <f>IF($I197&gt;0,MAX(0,$G197*SIN(RADIANS('13_시나리오비교'!$B$14))*SIN(RADIANS('13_시나리오비교'!$C$14))+$H197*SIN(RADIANS('13_시나리오비교'!$B$14))*COS(RADIANS('13_시나리오비교'!$C$14))+$I197*COS(RADIANS('13_시나리오비교'!$B$14))),0)</f>
        <v/>
      </c>
    </row>
    <row r="198" hidden="1" outlineLevel="1">
      <c r="A198" s="79" t="n">
        <v>2</v>
      </c>
      <c r="B198" s="79" t="n">
        <v>82</v>
      </c>
      <c r="C198" s="80">
        <f>(B198-0.5)*'14_지역·상수'!$H$6</f>
        <v/>
      </c>
      <c r="D198" s="79" t="n">
        <v>47</v>
      </c>
      <c r="E198" s="80">
        <f>INDEX($C$4:$C$15,MATCH(A198,$A$4:$A$15,0))</f>
        <v/>
      </c>
      <c r="F198" s="80">
        <f>15*(C198-12)</f>
        <v/>
      </c>
      <c r="G198" s="80">
        <f>-COS(RADIANS(E198))*SIN(RADIANS(F198))</f>
        <v/>
      </c>
      <c r="H198" s="80">
        <f>COS(RADIANS('11_발전량_모델'!$B$17))*SIN(RADIANS(E198))-SIN(RADIANS('11_발전량_모델'!$B$17))*COS(RADIANS(E198))*COS(RADIANS(F198))</f>
        <v/>
      </c>
      <c r="I198" s="80">
        <f>SIN(RADIANS('11_발전량_모델'!$B$17))*SIN(RADIANS(E198))+COS(RADIANS('11_발전량_모델'!$B$17))*COS(RADIANS(E198))*COS(RADIANS(F198))</f>
        <v/>
      </c>
      <c r="J198" s="80">
        <f>SIN(RADIANS('11_발전량_모델'!$B$7))*SIN(RADIANS('11_발전량_모델'!$B$8))</f>
        <v/>
      </c>
      <c r="K198" s="80">
        <f>SIN(RADIANS('11_발전량_모델'!$B$7))*COS(RADIANS('11_발전량_모델'!$B$8))</f>
        <v/>
      </c>
      <c r="L198" s="80">
        <f>COS(RADIANS('11_발전량_모델'!$B$7))</f>
        <v/>
      </c>
      <c r="M198" s="80">
        <f>G198*J198+H198*K198+I198*L198</f>
        <v/>
      </c>
      <c r="N198" s="80">
        <f>MAX(0,I198)</f>
        <v/>
      </c>
      <c r="O198" s="80">
        <f>IF(I198&gt;0,MAX(0,M198),0)</f>
        <v/>
      </c>
      <c r="P198" s="80">
        <f>IF($I198&gt;0,MAX(0,$G198*SIN(RADIANS('13_시나리오비교'!$B$5))*SIN(RADIANS('13_시나리오비교'!$C$5))+$H198*SIN(RADIANS('13_시나리오비교'!$B$5))*COS(RADIANS('13_시나리오비교'!$C$5))+$I198*COS(RADIANS('13_시나리오비교'!$B$5))),0)</f>
        <v/>
      </c>
      <c r="Q198" s="80">
        <f>IF($I198&gt;0,MAX(0,$G198*SIN(RADIANS('13_시나리오비교'!$B$6))*SIN(RADIANS('13_시나리오비교'!$C$6))+$H198*SIN(RADIANS('13_시나리오비교'!$B$6))*COS(RADIANS('13_시나리오비교'!$C$6))+$I198*COS(RADIANS('13_시나리오비교'!$B$6))),0)</f>
        <v/>
      </c>
      <c r="R198" s="80">
        <f>IF($I198&gt;0,MAX(0,$G198*SIN(RADIANS('13_시나리오비교'!$B$7))*SIN(RADIANS('13_시나리오비교'!$C$7))+$H198*SIN(RADIANS('13_시나리오비교'!$B$7))*COS(RADIANS('13_시나리오비교'!$C$7))+$I198*COS(RADIANS('13_시나리오비교'!$B$7))),0)</f>
        <v/>
      </c>
      <c r="S198" s="80">
        <f>IF($I198&gt;0,MAX(0,$G198*SIN(RADIANS('13_시나리오비교'!$B$8))*SIN(RADIANS('13_시나리오비교'!$C$8))+$H198*SIN(RADIANS('13_시나리오비교'!$B$8))*COS(RADIANS('13_시나리오비교'!$C$8))+$I198*COS(RADIANS('13_시나리오비교'!$B$8))),0)</f>
        <v/>
      </c>
      <c r="T198" s="80">
        <f>IF($I198&gt;0,MAX(0,$G198*SIN(RADIANS('13_시나리오비교'!$B$9))*SIN(RADIANS('13_시나리오비교'!$C$9))+$H198*SIN(RADIANS('13_시나리오비교'!$B$9))*COS(RADIANS('13_시나리오비교'!$C$9))+$I198*COS(RADIANS('13_시나리오비교'!$B$9))),0)</f>
        <v/>
      </c>
      <c r="U198" s="80">
        <f>IF($I198&gt;0,MAX(0,$G198*SIN(RADIANS('13_시나리오비교'!$B$10))*SIN(RADIANS('13_시나리오비교'!$C$10))+$H198*SIN(RADIANS('13_시나리오비교'!$B$10))*COS(RADIANS('13_시나리오비교'!$C$10))+$I198*COS(RADIANS('13_시나리오비교'!$B$10))),0)</f>
        <v/>
      </c>
      <c r="V198" s="80">
        <f>IF($I198&gt;0,MAX(0,$G198*SIN(RADIANS('13_시나리오비교'!$B$11))*SIN(RADIANS('13_시나리오비교'!$C$11))+$H198*SIN(RADIANS('13_시나리오비교'!$B$11))*COS(RADIANS('13_시나리오비교'!$C$11))+$I198*COS(RADIANS('13_시나리오비교'!$B$11))),0)</f>
        <v/>
      </c>
      <c r="W198" s="80">
        <f>IF($I198&gt;0,MAX(0,$G198*SIN(RADIANS('13_시나리오비교'!$B$12))*SIN(RADIANS('13_시나리오비교'!$C$12))+$H198*SIN(RADIANS('13_시나리오비교'!$B$12))*COS(RADIANS('13_시나리오비교'!$C$12))+$I198*COS(RADIANS('13_시나리오비교'!$B$12))),0)</f>
        <v/>
      </c>
      <c r="X198" s="80">
        <f>IF($I198&gt;0,MAX(0,$G198*SIN(RADIANS('13_시나리오비교'!$B$13))*SIN(RADIANS('13_시나리오비교'!$C$13))+$H198*SIN(RADIANS('13_시나리오비교'!$B$13))*COS(RADIANS('13_시나리오비교'!$C$13))+$I198*COS(RADIANS('13_시나리오비교'!$B$13))),0)</f>
        <v/>
      </c>
      <c r="Y198" s="80">
        <f>IF($I198&gt;0,MAX(0,$G198*SIN(RADIANS('13_시나리오비교'!$B$14))*SIN(RADIANS('13_시나리오비교'!$C$14))+$H198*SIN(RADIANS('13_시나리오비교'!$B$14))*COS(RADIANS('13_시나리오비교'!$C$14))+$I198*COS(RADIANS('13_시나리오비교'!$B$14))),0)</f>
        <v/>
      </c>
    </row>
    <row r="199" hidden="1" outlineLevel="1">
      <c r="A199" s="79" t="n">
        <v>2</v>
      </c>
      <c r="B199" s="79" t="n">
        <v>83</v>
      </c>
      <c r="C199" s="80">
        <f>(B199-0.5)*'14_지역·상수'!$H$6</f>
        <v/>
      </c>
      <c r="D199" s="79" t="n">
        <v>47</v>
      </c>
      <c r="E199" s="80">
        <f>INDEX($C$4:$C$15,MATCH(A199,$A$4:$A$15,0))</f>
        <v/>
      </c>
      <c r="F199" s="80">
        <f>15*(C199-12)</f>
        <v/>
      </c>
      <c r="G199" s="80">
        <f>-COS(RADIANS(E199))*SIN(RADIANS(F199))</f>
        <v/>
      </c>
      <c r="H199" s="80">
        <f>COS(RADIANS('11_발전량_모델'!$B$17))*SIN(RADIANS(E199))-SIN(RADIANS('11_발전량_모델'!$B$17))*COS(RADIANS(E199))*COS(RADIANS(F199))</f>
        <v/>
      </c>
      <c r="I199" s="80">
        <f>SIN(RADIANS('11_발전량_모델'!$B$17))*SIN(RADIANS(E199))+COS(RADIANS('11_발전량_모델'!$B$17))*COS(RADIANS(E199))*COS(RADIANS(F199))</f>
        <v/>
      </c>
      <c r="J199" s="80">
        <f>SIN(RADIANS('11_발전량_모델'!$B$7))*SIN(RADIANS('11_발전량_모델'!$B$8))</f>
        <v/>
      </c>
      <c r="K199" s="80">
        <f>SIN(RADIANS('11_발전량_모델'!$B$7))*COS(RADIANS('11_발전량_모델'!$B$8))</f>
        <v/>
      </c>
      <c r="L199" s="80">
        <f>COS(RADIANS('11_발전량_모델'!$B$7))</f>
        <v/>
      </c>
      <c r="M199" s="80">
        <f>G199*J199+H199*K199+I199*L199</f>
        <v/>
      </c>
      <c r="N199" s="80">
        <f>MAX(0,I199)</f>
        <v/>
      </c>
      <c r="O199" s="80">
        <f>IF(I199&gt;0,MAX(0,M199),0)</f>
        <v/>
      </c>
      <c r="P199" s="80">
        <f>IF($I199&gt;0,MAX(0,$G199*SIN(RADIANS('13_시나리오비교'!$B$5))*SIN(RADIANS('13_시나리오비교'!$C$5))+$H199*SIN(RADIANS('13_시나리오비교'!$B$5))*COS(RADIANS('13_시나리오비교'!$C$5))+$I199*COS(RADIANS('13_시나리오비교'!$B$5))),0)</f>
        <v/>
      </c>
      <c r="Q199" s="80">
        <f>IF($I199&gt;0,MAX(0,$G199*SIN(RADIANS('13_시나리오비교'!$B$6))*SIN(RADIANS('13_시나리오비교'!$C$6))+$H199*SIN(RADIANS('13_시나리오비교'!$B$6))*COS(RADIANS('13_시나리오비교'!$C$6))+$I199*COS(RADIANS('13_시나리오비교'!$B$6))),0)</f>
        <v/>
      </c>
      <c r="R199" s="80">
        <f>IF($I199&gt;0,MAX(0,$G199*SIN(RADIANS('13_시나리오비교'!$B$7))*SIN(RADIANS('13_시나리오비교'!$C$7))+$H199*SIN(RADIANS('13_시나리오비교'!$B$7))*COS(RADIANS('13_시나리오비교'!$C$7))+$I199*COS(RADIANS('13_시나리오비교'!$B$7))),0)</f>
        <v/>
      </c>
      <c r="S199" s="80">
        <f>IF($I199&gt;0,MAX(0,$G199*SIN(RADIANS('13_시나리오비교'!$B$8))*SIN(RADIANS('13_시나리오비교'!$C$8))+$H199*SIN(RADIANS('13_시나리오비교'!$B$8))*COS(RADIANS('13_시나리오비교'!$C$8))+$I199*COS(RADIANS('13_시나리오비교'!$B$8))),0)</f>
        <v/>
      </c>
      <c r="T199" s="80">
        <f>IF($I199&gt;0,MAX(0,$G199*SIN(RADIANS('13_시나리오비교'!$B$9))*SIN(RADIANS('13_시나리오비교'!$C$9))+$H199*SIN(RADIANS('13_시나리오비교'!$B$9))*COS(RADIANS('13_시나리오비교'!$C$9))+$I199*COS(RADIANS('13_시나리오비교'!$B$9))),0)</f>
        <v/>
      </c>
      <c r="U199" s="80">
        <f>IF($I199&gt;0,MAX(0,$G199*SIN(RADIANS('13_시나리오비교'!$B$10))*SIN(RADIANS('13_시나리오비교'!$C$10))+$H199*SIN(RADIANS('13_시나리오비교'!$B$10))*COS(RADIANS('13_시나리오비교'!$C$10))+$I199*COS(RADIANS('13_시나리오비교'!$B$10))),0)</f>
        <v/>
      </c>
      <c r="V199" s="80">
        <f>IF($I199&gt;0,MAX(0,$G199*SIN(RADIANS('13_시나리오비교'!$B$11))*SIN(RADIANS('13_시나리오비교'!$C$11))+$H199*SIN(RADIANS('13_시나리오비교'!$B$11))*COS(RADIANS('13_시나리오비교'!$C$11))+$I199*COS(RADIANS('13_시나리오비교'!$B$11))),0)</f>
        <v/>
      </c>
      <c r="W199" s="80">
        <f>IF($I199&gt;0,MAX(0,$G199*SIN(RADIANS('13_시나리오비교'!$B$12))*SIN(RADIANS('13_시나리오비교'!$C$12))+$H199*SIN(RADIANS('13_시나리오비교'!$B$12))*COS(RADIANS('13_시나리오비교'!$C$12))+$I199*COS(RADIANS('13_시나리오비교'!$B$12))),0)</f>
        <v/>
      </c>
      <c r="X199" s="80">
        <f>IF($I199&gt;0,MAX(0,$G199*SIN(RADIANS('13_시나리오비교'!$B$13))*SIN(RADIANS('13_시나리오비교'!$C$13))+$H199*SIN(RADIANS('13_시나리오비교'!$B$13))*COS(RADIANS('13_시나리오비교'!$C$13))+$I199*COS(RADIANS('13_시나리오비교'!$B$13))),0)</f>
        <v/>
      </c>
      <c r="Y199" s="80">
        <f>IF($I199&gt;0,MAX(0,$G199*SIN(RADIANS('13_시나리오비교'!$B$14))*SIN(RADIANS('13_시나리오비교'!$C$14))+$H199*SIN(RADIANS('13_시나리오비교'!$B$14))*COS(RADIANS('13_시나리오비교'!$C$14))+$I199*COS(RADIANS('13_시나리오비교'!$B$14))),0)</f>
        <v/>
      </c>
    </row>
    <row r="200" hidden="1" outlineLevel="1">
      <c r="A200" s="79" t="n">
        <v>2</v>
      </c>
      <c r="B200" s="79" t="n">
        <v>84</v>
      </c>
      <c r="C200" s="80">
        <f>(B200-0.5)*'14_지역·상수'!$H$6</f>
        <v/>
      </c>
      <c r="D200" s="79" t="n">
        <v>47</v>
      </c>
      <c r="E200" s="80">
        <f>INDEX($C$4:$C$15,MATCH(A200,$A$4:$A$15,0))</f>
        <v/>
      </c>
      <c r="F200" s="80">
        <f>15*(C200-12)</f>
        <v/>
      </c>
      <c r="G200" s="80">
        <f>-COS(RADIANS(E200))*SIN(RADIANS(F200))</f>
        <v/>
      </c>
      <c r="H200" s="80">
        <f>COS(RADIANS('11_발전량_모델'!$B$17))*SIN(RADIANS(E200))-SIN(RADIANS('11_발전량_모델'!$B$17))*COS(RADIANS(E200))*COS(RADIANS(F200))</f>
        <v/>
      </c>
      <c r="I200" s="80">
        <f>SIN(RADIANS('11_발전량_모델'!$B$17))*SIN(RADIANS(E200))+COS(RADIANS('11_발전량_모델'!$B$17))*COS(RADIANS(E200))*COS(RADIANS(F200))</f>
        <v/>
      </c>
      <c r="J200" s="80">
        <f>SIN(RADIANS('11_발전량_모델'!$B$7))*SIN(RADIANS('11_발전량_모델'!$B$8))</f>
        <v/>
      </c>
      <c r="K200" s="80">
        <f>SIN(RADIANS('11_발전량_모델'!$B$7))*COS(RADIANS('11_발전량_모델'!$B$8))</f>
        <v/>
      </c>
      <c r="L200" s="80">
        <f>COS(RADIANS('11_발전량_모델'!$B$7))</f>
        <v/>
      </c>
      <c r="M200" s="80">
        <f>G200*J200+H200*K200+I200*L200</f>
        <v/>
      </c>
      <c r="N200" s="80">
        <f>MAX(0,I200)</f>
        <v/>
      </c>
      <c r="O200" s="80">
        <f>IF(I200&gt;0,MAX(0,M200),0)</f>
        <v/>
      </c>
      <c r="P200" s="80">
        <f>IF($I200&gt;0,MAX(0,$G200*SIN(RADIANS('13_시나리오비교'!$B$5))*SIN(RADIANS('13_시나리오비교'!$C$5))+$H200*SIN(RADIANS('13_시나리오비교'!$B$5))*COS(RADIANS('13_시나리오비교'!$C$5))+$I200*COS(RADIANS('13_시나리오비교'!$B$5))),0)</f>
        <v/>
      </c>
      <c r="Q200" s="80">
        <f>IF($I200&gt;0,MAX(0,$G200*SIN(RADIANS('13_시나리오비교'!$B$6))*SIN(RADIANS('13_시나리오비교'!$C$6))+$H200*SIN(RADIANS('13_시나리오비교'!$B$6))*COS(RADIANS('13_시나리오비교'!$C$6))+$I200*COS(RADIANS('13_시나리오비교'!$B$6))),0)</f>
        <v/>
      </c>
      <c r="R200" s="80">
        <f>IF($I200&gt;0,MAX(0,$G200*SIN(RADIANS('13_시나리오비교'!$B$7))*SIN(RADIANS('13_시나리오비교'!$C$7))+$H200*SIN(RADIANS('13_시나리오비교'!$B$7))*COS(RADIANS('13_시나리오비교'!$C$7))+$I200*COS(RADIANS('13_시나리오비교'!$B$7))),0)</f>
        <v/>
      </c>
      <c r="S200" s="80">
        <f>IF($I200&gt;0,MAX(0,$G200*SIN(RADIANS('13_시나리오비교'!$B$8))*SIN(RADIANS('13_시나리오비교'!$C$8))+$H200*SIN(RADIANS('13_시나리오비교'!$B$8))*COS(RADIANS('13_시나리오비교'!$C$8))+$I200*COS(RADIANS('13_시나리오비교'!$B$8))),0)</f>
        <v/>
      </c>
      <c r="T200" s="80">
        <f>IF($I200&gt;0,MAX(0,$G200*SIN(RADIANS('13_시나리오비교'!$B$9))*SIN(RADIANS('13_시나리오비교'!$C$9))+$H200*SIN(RADIANS('13_시나리오비교'!$B$9))*COS(RADIANS('13_시나리오비교'!$C$9))+$I200*COS(RADIANS('13_시나리오비교'!$B$9))),0)</f>
        <v/>
      </c>
      <c r="U200" s="80">
        <f>IF($I200&gt;0,MAX(0,$G200*SIN(RADIANS('13_시나리오비교'!$B$10))*SIN(RADIANS('13_시나리오비교'!$C$10))+$H200*SIN(RADIANS('13_시나리오비교'!$B$10))*COS(RADIANS('13_시나리오비교'!$C$10))+$I200*COS(RADIANS('13_시나리오비교'!$B$10))),0)</f>
        <v/>
      </c>
      <c r="V200" s="80">
        <f>IF($I200&gt;0,MAX(0,$G200*SIN(RADIANS('13_시나리오비교'!$B$11))*SIN(RADIANS('13_시나리오비교'!$C$11))+$H200*SIN(RADIANS('13_시나리오비교'!$B$11))*COS(RADIANS('13_시나리오비교'!$C$11))+$I200*COS(RADIANS('13_시나리오비교'!$B$11))),0)</f>
        <v/>
      </c>
      <c r="W200" s="80">
        <f>IF($I200&gt;0,MAX(0,$G200*SIN(RADIANS('13_시나리오비교'!$B$12))*SIN(RADIANS('13_시나리오비교'!$C$12))+$H200*SIN(RADIANS('13_시나리오비교'!$B$12))*COS(RADIANS('13_시나리오비교'!$C$12))+$I200*COS(RADIANS('13_시나리오비교'!$B$12))),0)</f>
        <v/>
      </c>
      <c r="X200" s="80">
        <f>IF($I200&gt;0,MAX(0,$G200*SIN(RADIANS('13_시나리오비교'!$B$13))*SIN(RADIANS('13_시나리오비교'!$C$13))+$H200*SIN(RADIANS('13_시나리오비교'!$B$13))*COS(RADIANS('13_시나리오비교'!$C$13))+$I200*COS(RADIANS('13_시나리오비교'!$B$13))),0)</f>
        <v/>
      </c>
      <c r="Y200" s="80">
        <f>IF($I200&gt;0,MAX(0,$G200*SIN(RADIANS('13_시나리오비교'!$B$14))*SIN(RADIANS('13_시나리오비교'!$C$14))+$H200*SIN(RADIANS('13_시나리오비교'!$B$14))*COS(RADIANS('13_시나리오비교'!$C$14))+$I200*COS(RADIANS('13_시나리오비교'!$B$14))),0)</f>
        <v/>
      </c>
    </row>
    <row r="201" hidden="1" outlineLevel="1">
      <c r="A201" s="79" t="n">
        <v>2</v>
      </c>
      <c r="B201" s="79" t="n">
        <v>85</v>
      </c>
      <c r="C201" s="80">
        <f>(B201-0.5)*'14_지역·상수'!$H$6</f>
        <v/>
      </c>
      <c r="D201" s="79" t="n">
        <v>47</v>
      </c>
      <c r="E201" s="80">
        <f>INDEX($C$4:$C$15,MATCH(A201,$A$4:$A$15,0))</f>
        <v/>
      </c>
      <c r="F201" s="80">
        <f>15*(C201-12)</f>
        <v/>
      </c>
      <c r="G201" s="80">
        <f>-COS(RADIANS(E201))*SIN(RADIANS(F201))</f>
        <v/>
      </c>
      <c r="H201" s="80">
        <f>COS(RADIANS('11_발전량_모델'!$B$17))*SIN(RADIANS(E201))-SIN(RADIANS('11_발전량_모델'!$B$17))*COS(RADIANS(E201))*COS(RADIANS(F201))</f>
        <v/>
      </c>
      <c r="I201" s="80">
        <f>SIN(RADIANS('11_발전량_모델'!$B$17))*SIN(RADIANS(E201))+COS(RADIANS('11_발전량_모델'!$B$17))*COS(RADIANS(E201))*COS(RADIANS(F201))</f>
        <v/>
      </c>
      <c r="J201" s="80">
        <f>SIN(RADIANS('11_발전량_모델'!$B$7))*SIN(RADIANS('11_발전량_모델'!$B$8))</f>
        <v/>
      </c>
      <c r="K201" s="80">
        <f>SIN(RADIANS('11_발전량_모델'!$B$7))*COS(RADIANS('11_발전량_모델'!$B$8))</f>
        <v/>
      </c>
      <c r="L201" s="80">
        <f>COS(RADIANS('11_발전량_모델'!$B$7))</f>
        <v/>
      </c>
      <c r="M201" s="80">
        <f>G201*J201+H201*K201+I201*L201</f>
        <v/>
      </c>
      <c r="N201" s="80">
        <f>MAX(0,I201)</f>
        <v/>
      </c>
      <c r="O201" s="80">
        <f>IF(I201&gt;0,MAX(0,M201),0)</f>
        <v/>
      </c>
      <c r="P201" s="80">
        <f>IF($I201&gt;0,MAX(0,$G201*SIN(RADIANS('13_시나리오비교'!$B$5))*SIN(RADIANS('13_시나리오비교'!$C$5))+$H201*SIN(RADIANS('13_시나리오비교'!$B$5))*COS(RADIANS('13_시나리오비교'!$C$5))+$I201*COS(RADIANS('13_시나리오비교'!$B$5))),0)</f>
        <v/>
      </c>
      <c r="Q201" s="80">
        <f>IF($I201&gt;0,MAX(0,$G201*SIN(RADIANS('13_시나리오비교'!$B$6))*SIN(RADIANS('13_시나리오비교'!$C$6))+$H201*SIN(RADIANS('13_시나리오비교'!$B$6))*COS(RADIANS('13_시나리오비교'!$C$6))+$I201*COS(RADIANS('13_시나리오비교'!$B$6))),0)</f>
        <v/>
      </c>
      <c r="R201" s="80">
        <f>IF($I201&gt;0,MAX(0,$G201*SIN(RADIANS('13_시나리오비교'!$B$7))*SIN(RADIANS('13_시나리오비교'!$C$7))+$H201*SIN(RADIANS('13_시나리오비교'!$B$7))*COS(RADIANS('13_시나리오비교'!$C$7))+$I201*COS(RADIANS('13_시나리오비교'!$B$7))),0)</f>
        <v/>
      </c>
      <c r="S201" s="80">
        <f>IF($I201&gt;0,MAX(0,$G201*SIN(RADIANS('13_시나리오비교'!$B$8))*SIN(RADIANS('13_시나리오비교'!$C$8))+$H201*SIN(RADIANS('13_시나리오비교'!$B$8))*COS(RADIANS('13_시나리오비교'!$C$8))+$I201*COS(RADIANS('13_시나리오비교'!$B$8))),0)</f>
        <v/>
      </c>
      <c r="T201" s="80">
        <f>IF($I201&gt;0,MAX(0,$G201*SIN(RADIANS('13_시나리오비교'!$B$9))*SIN(RADIANS('13_시나리오비교'!$C$9))+$H201*SIN(RADIANS('13_시나리오비교'!$B$9))*COS(RADIANS('13_시나리오비교'!$C$9))+$I201*COS(RADIANS('13_시나리오비교'!$B$9))),0)</f>
        <v/>
      </c>
      <c r="U201" s="80">
        <f>IF($I201&gt;0,MAX(0,$G201*SIN(RADIANS('13_시나리오비교'!$B$10))*SIN(RADIANS('13_시나리오비교'!$C$10))+$H201*SIN(RADIANS('13_시나리오비교'!$B$10))*COS(RADIANS('13_시나리오비교'!$C$10))+$I201*COS(RADIANS('13_시나리오비교'!$B$10))),0)</f>
        <v/>
      </c>
      <c r="V201" s="80">
        <f>IF($I201&gt;0,MAX(0,$G201*SIN(RADIANS('13_시나리오비교'!$B$11))*SIN(RADIANS('13_시나리오비교'!$C$11))+$H201*SIN(RADIANS('13_시나리오비교'!$B$11))*COS(RADIANS('13_시나리오비교'!$C$11))+$I201*COS(RADIANS('13_시나리오비교'!$B$11))),0)</f>
        <v/>
      </c>
      <c r="W201" s="80">
        <f>IF($I201&gt;0,MAX(0,$G201*SIN(RADIANS('13_시나리오비교'!$B$12))*SIN(RADIANS('13_시나리오비교'!$C$12))+$H201*SIN(RADIANS('13_시나리오비교'!$B$12))*COS(RADIANS('13_시나리오비교'!$C$12))+$I201*COS(RADIANS('13_시나리오비교'!$B$12))),0)</f>
        <v/>
      </c>
      <c r="X201" s="80">
        <f>IF($I201&gt;0,MAX(0,$G201*SIN(RADIANS('13_시나리오비교'!$B$13))*SIN(RADIANS('13_시나리오비교'!$C$13))+$H201*SIN(RADIANS('13_시나리오비교'!$B$13))*COS(RADIANS('13_시나리오비교'!$C$13))+$I201*COS(RADIANS('13_시나리오비교'!$B$13))),0)</f>
        <v/>
      </c>
      <c r="Y201" s="80">
        <f>IF($I201&gt;0,MAX(0,$G201*SIN(RADIANS('13_시나리오비교'!$B$14))*SIN(RADIANS('13_시나리오비교'!$C$14))+$H201*SIN(RADIANS('13_시나리오비교'!$B$14))*COS(RADIANS('13_시나리오비교'!$C$14))+$I201*COS(RADIANS('13_시나리오비교'!$B$14))),0)</f>
        <v/>
      </c>
    </row>
    <row r="202" hidden="1" outlineLevel="1">
      <c r="A202" s="79" t="n">
        <v>2</v>
      </c>
      <c r="B202" s="79" t="n">
        <v>86</v>
      </c>
      <c r="C202" s="80">
        <f>(B202-0.5)*'14_지역·상수'!$H$6</f>
        <v/>
      </c>
      <c r="D202" s="79" t="n">
        <v>47</v>
      </c>
      <c r="E202" s="80">
        <f>INDEX($C$4:$C$15,MATCH(A202,$A$4:$A$15,0))</f>
        <v/>
      </c>
      <c r="F202" s="80">
        <f>15*(C202-12)</f>
        <v/>
      </c>
      <c r="G202" s="80">
        <f>-COS(RADIANS(E202))*SIN(RADIANS(F202))</f>
        <v/>
      </c>
      <c r="H202" s="80">
        <f>COS(RADIANS('11_발전량_모델'!$B$17))*SIN(RADIANS(E202))-SIN(RADIANS('11_발전량_모델'!$B$17))*COS(RADIANS(E202))*COS(RADIANS(F202))</f>
        <v/>
      </c>
      <c r="I202" s="80">
        <f>SIN(RADIANS('11_발전량_모델'!$B$17))*SIN(RADIANS(E202))+COS(RADIANS('11_발전량_모델'!$B$17))*COS(RADIANS(E202))*COS(RADIANS(F202))</f>
        <v/>
      </c>
      <c r="J202" s="80">
        <f>SIN(RADIANS('11_발전량_모델'!$B$7))*SIN(RADIANS('11_발전량_모델'!$B$8))</f>
        <v/>
      </c>
      <c r="K202" s="80">
        <f>SIN(RADIANS('11_발전량_모델'!$B$7))*COS(RADIANS('11_발전량_모델'!$B$8))</f>
        <v/>
      </c>
      <c r="L202" s="80">
        <f>COS(RADIANS('11_발전량_모델'!$B$7))</f>
        <v/>
      </c>
      <c r="M202" s="80">
        <f>G202*J202+H202*K202+I202*L202</f>
        <v/>
      </c>
      <c r="N202" s="80">
        <f>MAX(0,I202)</f>
        <v/>
      </c>
      <c r="O202" s="80">
        <f>IF(I202&gt;0,MAX(0,M202),0)</f>
        <v/>
      </c>
      <c r="P202" s="80">
        <f>IF($I202&gt;0,MAX(0,$G202*SIN(RADIANS('13_시나리오비교'!$B$5))*SIN(RADIANS('13_시나리오비교'!$C$5))+$H202*SIN(RADIANS('13_시나리오비교'!$B$5))*COS(RADIANS('13_시나리오비교'!$C$5))+$I202*COS(RADIANS('13_시나리오비교'!$B$5))),0)</f>
        <v/>
      </c>
      <c r="Q202" s="80">
        <f>IF($I202&gt;0,MAX(0,$G202*SIN(RADIANS('13_시나리오비교'!$B$6))*SIN(RADIANS('13_시나리오비교'!$C$6))+$H202*SIN(RADIANS('13_시나리오비교'!$B$6))*COS(RADIANS('13_시나리오비교'!$C$6))+$I202*COS(RADIANS('13_시나리오비교'!$B$6))),0)</f>
        <v/>
      </c>
      <c r="R202" s="80">
        <f>IF($I202&gt;0,MAX(0,$G202*SIN(RADIANS('13_시나리오비교'!$B$7))*SIN(RADIANS('13_시나리오비교'!$C$7))+$H202*SIN(RADIANS('13_시나리오비교'!$B$7))*COS(RADIANS('13_시나리오비교'!$C$7))+$I202*COS(RADIANS('13_시나리오비교'!$B$7))),0)</f>
        <v/>
      </c>
      <c r="S202" s="80">
        <f>IF($I202&gt;0,MAX(0,$G202*SIN(RADIANS('13_시나리오비교'!$B$8))*SIN(RADIANS('13_시나리오비교'!$C$8))+$H202*SIN(RADIANS('13_시나리오비교'!$B$8))*COS(RADIANS('13_시나리오비교'!$C$8))+$I202*COS(RADIANS('13_시나리오비교'!$B$8))),0)</f>
        <v/>
      </c>
      <c r="T202" s="80">
        <f>IF($I202&gt;0,MAX(0,$G202*SIN(RADIANS('13_시나리오비교'!$B$9))*SIN(RADIANS('13_시나리오비교'!$C$9))+$H202*SIN(RADIANS('13_시나리오비교'!$B$9))*COS(RADIANS('13_시나리오비교'!$C$9))+$I202*COS(RADIANS('13_시나리오비교'!$B$9))),0)</f>
        <v/>
      </c>
      <c r="U202" s="80">
        <f>IF($I202&gt;0,MAX(0,$G202*SIN(RADIANS('13_시나리오비교'!$B$10))*SIN(RADIANS('13_시나리오비교'!$C$10))+$H202*SIN(RADIANS('13_시나리오비교'!$B$10))*COS(RADIANS('13_시나리오비교'!$C$10))+$I202*COS(RADIANS('13_시나리오비교'!$B$10))),0)</f>
        <v/>
      </c>
      <c r="V202" s="80">
        <f>IF($I202&gt;0,MAX(0,$G202*SIN(RADIANS('13_시나리오비교'!$B$11))*SIN(RADIANS('13_시나리오비교'!$C$11))+$H202*SIN(RADIANS('13_시나리오비교'!$B$11))*COS(RADIANS('13_시나리오비교'!$C$11))+$I202*COS(RADIANS('13_시나리오비교'!$B$11))),0)</f>
        <v/>
      </c>
      <c r="W202" s="80">
        <f>IF($I202&gt;0,MAX(0,$G202*SIN(RADIANS('13_시나리오비교'!$B$12))*SIN(RADIANS('13_시나리오비교'!$C$12))+$H202*SIN(RADIANS('13_시나리오비교'!$B$12))*COS(RADIANS('13_시나리오비교'!$C$12))+$I202*COS(RADIANS('13_시나리오비교'!$B$12))),0)</f>
        <v/>
      </c>
      <c r="X202" s="80">
        <f>IF($I202&gt;0,MAX(0,$G202*SIN(RADIANS('13_시나리오비교'!$B$13))*SIN(RADIANS('13_시나리오비교'!$C$13))+$H202*SIN(RADIANS('13_시나리오비교'!$B$13))*COS(RADIANS('13_시나리오비교'!$C$13))+$I202*COS(RADIANS('13_시나리오비교'!$B$13))),0)</f>
        <v/>
      </c>
      <c r="Y202" s="80">
        <f>IF($I202&gt;0,MAX(0,$G202*SIN(RADIANS('13_시나리오비교'!$B$14))*SIN(RADIANS('13_시나리오비교'!$C$14))+$H202*SIN(RADIANS('13_시나리오비교'!$B$14))*COS(RADIANS('13_시나리오비교'!$C$14))+$I202*COS(RADIANS('13_시나리오비교'!$B$14))),0)</f>
        <v/>
      </c>
    </row>
    <row r="203" hidden="1" outlineLevel="1">
      <c r="A203" s="79" t="n">
        <v>2</v>
      </c>
      <c r="B203" s="79" t="n">
        <v>87</v>
      </c>
      <c r="C203" s="80">
        <f>(B203-0.5)*'14_지역·상수'!$H$6</f>
        <v/>
      </c>
      <c r="D203" s="79" t="n">
        <v>47</v>
      </c>
      <c r="E203" s="80">
        <f>INDEX($C$4:$C$15,MATCH(A203,$A$4:$A$15,0))</f>
        <v/>
      </c>
      <c r="F203" s="80">
        <f>15*(C203-12)</f>
        <v/>
      </c>
      <c r="G203" s="80">
        <f>-COS(RADIANS(E203))*SIN(RADIANS(F203))</f>
        <v/>
      </c>
      <c r="H203" s="80">
        <f>COS(RADIANS('11_발전량_모델'!$B$17))*SIN(RADIANS(E203))-SIN(RADIANS('11_발전량_모델'!$B$17))*COS(RADIANS(E203))*COS(RADIANS(F203))</f>
        <v/>
      </c>
      <c r="I203" s="80">
        <f>SIN(RADIANS('11_발전량_모델'!$B$17))*SIN(RADIANS(E203))+COS(RADIANS('11_발전량_모델'!$B$17))*COS(RADIANS(E203))*COS(RADIANS(F203))</f>
        <v/>
      </c>
      <c r="J203" s="80">
        <f>SIN(RADIANS('11_발전량_모델'!$B$7))*SIN(RADIANS('11_발전량_모델'!$B$8))</f>
        <v/>
      </c>
      <c r="K203" s="80">
        <f>SIN(RADIANS('11_발전량_모델'!$B$7))*COS(RADIANS('11_발전량_모델'!$B$8))</f>
        <v/>
      </c>
      <c r="L203" s="80">
        <f>COS(RADIANS('11_발전량_모델'!$B$7))</f>
        <v/>
      </c>
      <c r="M203" s="80">
        <f>G203*J203+H203*K203+I203*L203</f>
        <v/>
      </c>
      <c r="N203" s="80">
        <f>MAX(0,I203)</f>
        <v/>
      </c>
      <c r="O203" s="80">
        <f>IF(I203&gt;0,MAX(0,M203),0)</f>
        <v/>
      </c>
      <c r="P203" s="80">
        <f>IF($I203&gt;0,MAX(0,$G203*SIN(RADIANS('13_시나리오비교'!$B$5))*SIN(RADIANS('13_시나리오비교'!$C$5))+$H203*SIN(RADIANS('13_시나리오비교'!$B$5))*COS(RADIANS('13_시나리오비교'!$C$5))+$I203*COS(RADIANS('13_시나리오비교'!$B$5))),0)</f>
        <v/>
      </c>
      <c r="Q203" s="80">
        <f>IF($I203&gt;0,MAX(0,$G203*SIN(RADIANS('13_시나리오비교'!$B$6))*SIN(RADIANS('13_시나리오비교'!$C$6))+$H203*SIN(RADIANS('13_시나리오비교'!$B$6))*COS(RADIANS('13_시나리오비교'!$C$6))+$I203*COS(RADIANS('13_시나리오비교'!$B$6))),0)</f>
        <v/>
      </c>
      <c r="R203" s="80">
        <f>IF($I203&gt;0,MAX(0,$G203*SIN(RADIANS('13_시나리오비교'!$B$7))*SIN(RADIANS('13_시나리오비교'!$C$7))+$H203*SIN(RADIANS('13_시나리오비교'!$B$7))*COS(RADIANS('13_시나리오비교'!$C$7))+$I203*COS(RADIANS('13_시나리오비교'!$B$7))),0)</f>
        <v/>
      </c>
      <c r="S203" s="80">
        <f>IF($I203&gt;0,MAX(0,$G203*SIN(RADIANS('13_시나리오비교'!$B$8))*SIN(RADIANS('13_시나리오비교'!$C$8))+$H203*SIN(RADIANS('13_시나리오비교'!$B$8))*COS(RADIANS('13_시나리오비교'!$C$8))+$I203*COS(RADIANS('13_시나리오비교'!$B$8))),0)</f>
        <v/>
      </c>
      <c r="T203" s="80">
        <f>IF($I203&gt;0,MAX(0,$G203*SIN(RADIANS('13_시나리오비교'!$B$9))*SIN(RADIANS('13_시나리오비교'!$C$9))+$H203*SIN(RADIANS('13_시나리오비교'!$B$9))*COS(RADIANS('13_시나리오비교'!$C$9))+$I203*COS(RADIANS('13_시나리오비교'!$B$9))),0)</f>
        <v/>
      </c>
      <c r="U203" s="80">
        <f>IF($I203&gt;0,MAX(0,$G203*SIN(RADIANS('13_시나리오비교'!$B$10))*SIN(RADIANS('13_시나리오비교'!$C$10))+$H203*SIN(RADIANS('13_시나리오비교'!$B$10))*COS(RADIANS('13_시나리오비교'!$C$10))+$I203*COS(RADIANS('13_시나리오비교'!$B$10))),0)</f>
        <v/>
      </c>
      <c r="V203" s="80">
        <f>IF($I203&gt;0,MAX(0,$G203*SIN(RADIANS('13_시나리오비교'!$B$11))*SIN(RADIANS('13_시나리오비교'!$C$11))+$H203*SIN(RADIANS('13_시나리오비교'!$B$11))*COS(RADIANS('13_시나리오비교'!$C$11))+$I203*COS(RADIANS('13_시나리오비교'!$B$11))),0)</f>
        <v/>
      </c>
      <c r="W203" s="80">
        <f>IF($I203&gt;0,MAX(0,$G203*SIN(RADIANS('13_시나리오비교'!$B$12))*SIN(RADIANS('13_시나리오비교'!$C$12))+$H203*SIN(RADIANS('13_시나리오비교'!$B$12))*COS(RADIANS('13_시나리오비교'!$C$12))+$I203*COS(RADIANS('13_시나리오비교'!$B$12))),0)</f>
        <v/>
      </c>
      <c r="X203" s="80">
        <f>IF($I203&gt;0,MAX(0,$G203*SIN(RADIANS('13_시나리오비교'!$B$13))*SIN(RADIANS('13_시나리오비교'!$C$13))+$H203*SIN(RADIANS('13_시나리오비교'!$B$13))*COS(RADIANS('13_시나리오비교'!$C$13))+$I203*COS(RADIANS('13_시나리오비교'!$B$13))),0)</f>
        <v/>
      </c>
      <c r="Y203" s="80">
        <f>IF($I203&gt;0,MAX(0,$G203*SIN(RADIANS('13_시나리오비교'!$B$14))*SIN(RADIANS('13_시나리오비교'!$C$14))+$H203*SIN(RADIANS('13_시나리오비교'!$B$14))*COS(RADIANS('13_시나리오비교'!$C$14))+$I203*COS(RADIANS('13_시나리오비교'!$B$14))),0)</f>
        <v/>
      </c>
    </row>
    <row r="204" hidden="1" outlineLevel="1">
      <c r="A204" s="79" t="n">
        <v>2</v>
      </c>
      <c r="B204" s="79" t="n">
        <v>88</v>
      </c>
      <c r="C204" s="80">
        <f>(B204-0.5)*'14_지역·상수'!$H$6</f>
        <v/>
      </c>
      <c r="D204" s="79" t="n">
        <v>47</v>
      </c>
      <c r="E204" s="80">
        <f>INDEX($C$4:$C$15,MATCH(A204,$A$4:$A$15,0))</f>
        <v/>
      </c>
      <c r="F204" s="80">
        <f>15*(C204-12)</f>
        <v/>
      </c>
      <c r="G204" s="80">
        <f>-COS(RADIANS(E204))*SIN(RADIANS(F204))</f>
        <v/>
      </c>
      <c r="H204" s="80">
        <f>COS(RADIANS('11_발전량_모델'!$B$17))*SIN(RADIANS(E204))-SIN(RADIANS('11_발전량_모델'!$B$17))*COS(RADIANS(E204))*COS(RADIANS(F204))</f>
        <v/>
      </c>
      <c r="I204" s="80">
        <f>SIN(RADIANS('11_발전량_모델'!$B$17))*SIN(RADIANS(E204))+COS(RADIANS('11_발전량_모델'!$B$17))*COS(RADIANS(E204))*COS(RADIANS(F204))</f>
        <v/>
      </c>
      <c r="J204" s="80">
        <f>SIN(RADIANS('11_발전량_모델'!$B$7))*SIN(RADIANS('11_발전량_모델'!$B$8))</f>
        <v/>
      </c>
      <c r="K204" s="80">
        <f>SIN(RADIANS('11_발전량_모델'!$B$7))*COS(RADIANS('11_발전량_모델'!$B$8))</f>
        <v/>
      </c>
      <c r="L204" s="80">
        <f>COS(RADIANS('11_발전량_모델'!$B$7))</f>
        <v/>
      </c>
      <c r="M204" s="80">
        <f>G204*J204+H204*K204+I204*L204</f>
        <v/>
      </c>
      <c r="N204" s="80">
        <f>MAX(0,I204)</f>
        <v/>
      </c>
      <c r="O204" s="80">
        <f>IF(I204&gt;0,MAX(0,M204),0)</f>
        <v/>
      </c>
      <c r="P204" s="80">
        <f>IF($I204&gt;0,MAX(0,$G204*SIN(RADIANS('13_시나리오비교'!$B$5))*SIN(RADIANS('13_시나리오비교'!$C$5))+$H204*SIN(RADIANS('13_시나리오비교'!$B$5))*COS(RADIANS('13_시나리오비교'!$C$5))+$I204*COS(RADIANS('13_시나리오비교'!$B$5))),0)</f>
        <v/>
      </c>
      <c r="Q204" s="80">
        <f>IF($I204&gt;0,MAX(0,$G204*SIN(RADIANS('13_시나리오비교'!$B$6))*SIN(RADIANS('13_시나리오비교'!$C$6))+$H204*SIN(RADIANS('13_시나리오비교'!$B$6))*COS(RADIANS('13_시나리오비교'!$C$6))+$I204*COS(RADIANS('13_시나리오비교'!$B$6))),0)</f>
        <v/>
      </c>
      <c r="R204" s="80">
        <f>IF($I204&gt;0,MAX(0,$G204*SIN(RADIANS('13_시나리오비교'!$B$7))*SIN(RADIANS('13_시나리오비교'!$C$7))+$H204*SIN(RADIANS('13_시나리오비교'!$B$7))*COS(RADIANS('13_시나리오비교'!$C$7))+$I204*COS(RADIANS('13_시나리오비교'!$B$7))),0)</f>
        <v/>
      </c>
      <c r="S204" s="80">
        <f>IF($I204&gt;0,MAX(0,$G204*SIN(RADIANS('13_시나리오비교'!$B$8))*SIN(RADIANS('13_시나리오비교'!$C$8))+$H204*SIN(RADIANS('13_시나리오비교'!$B$8))*COS(RADIANS('13_시나리오비교'!$C$8))+$I204*COS(RADIANS('13_시나리오비교'!$B$8))),0)</f>
        <v/>
      </c>
      <c r="T204" s="80">
        <f>IF($I204&gt;0,MAX(0,$G204*SIN(RADIANS('13_시나리오비교'!$B$9))*SIN(RADIANS('13_시나리오비교'!$C$9))+$H204*SIN(RADIANS('13_시나리오비교'!$B$9))*COS(RADIANS('13_시나리오비교'!$C$9))+$I204*COS(RADIANS('13_시나리오비교'!$B$9))),0)</f>
        <v/>
      </c>
      <c r="U204" s="80">
        <f>IF($I204&gt;0,MAX(0,$G204*SIN(RADIANS('13_시나리오비교'!$B$10))*SIN(RADIANS('13_시나리오비교'!$C$10))+$H204*SIN(RADIANS('13_시나리오비교'!$B$10))*COS(RADIANS('13_시나리오비교'!$C$10))+$I204*COS(RADIANS('13_시나리오비교'!$B$10))),0)</f>
        <v/>
      </c>
      <c r="V204" s="80">
        <f>IF($I204&gt;0,MAX(0,$G204*SIN(RADIANS('13_시나리오비교'!$B$11))*SIN(RADIANS('13_시나리오비교'!$C$11))+$H204*SIN(RADIANS('13_시나리오비교'!$B$11))*COS(RADIANS('13_시나리오비교'!$C$11))+$I204*COS(RADIANS('13_시나리오비교'!$B$11))),0)</f>
        <v/>
      </c>
      <c r="W204" s="80">
        <f>IF($I204&gt;0,MAX(0,$G204*SIN(RADIANS('13_시나리오비교'!$B$12))*SIN(RADIANS('13_시나리오비교'!$C$12))+$H204*SIN(RADIANS('13_시나리오비교'!$B$12))*COS(RADIANS('13_시나리오비교'!$C$12))+$I204*COS(RADIANS('13_시나리오비교'!$B$12))),0)</f>
        <v/>
      </c>
      <c r="X204" s="80">
        <f>IF($I204&gt;0,MAX(0,$G204*SIN(RADIANS('13_시나리오비교'!$B$13))*SIN(RADIANS('13_시나리오비교'!$C$13))+$H204*SIN(RADIANS('13_시나리오비교'!$B$13))*COS(RADIANS('13_시나리오비교'!$C$13))+$I204*COS(RADIANS('13_시나리오비교'!$B$13))),0)</f>
        <v/>
      </c>
      <c r="Y204" s="80">
        <f>IF($I204&gt;0,MAX(0,$G204*SIN(RADIANS('13_시나리오비교'!$B$14))*SIN(RADIANS('13_시나리오비교'!$C$14))+$H204*SIN(RADIANS('13_시나리오비교'!$B$14))*COS(RADIANS('13_시나리오비교'!$C$14))+$I204*COS(RADIANS('13_시나리오비교'!$B$14))),0)</f>
        <v/>
      </c>
    </row>
    <row r="205" hidden="1" outlineLevel="1">
      <c r="A205" s="79" t="n">
        <v>2</v>
      </c>
      <c r="B205" s="79" t="n">
        <v>89</v>
      </c>
      <c r="C205" s="80">
        <f>(B205-0.5)*'14_지역·상수'!$H$6</f>
        <v/>
      </c>
      <c r="D205" s="79" t="n">
        <v>47</v>
      </c>
      <c r="E205" s="80">
        <f>INDEX($C$4:$C$15,MATCH(A205,$A$4:$A$15,0))</f>
        <v/>
      </c>
      <c r="F205" s="80">
        <f>15*(C205-12)</f>
        <v/>
      </c>
      <c r="G205" s="80">
        <f>-COS(RADIANS(E205))*SIN(RADIANS(F205))</f>
        <v/>
      </c>
      <c r="H205" s="80">
        <f>COS(RADIANS('11_발전량_모델'!$B$17))*SIN(RADIANS(E205))-SIN(RADIANS('11_발전량_모델'!$B$17))*COS(RADIANS(E205))*COS(RADIANS(F205))</f>
        <v/>
      </c>
      <c r="I205" s="80">
        <f>SIN(RADIANS('11_발전량_모델'!$B$17))*SIN(RADIANS(E205))+COS(RADIANS('11_발전량_모델'!$B$17))*COS(RADIANS(E205))*COS(RADIANS(F205))</f>
        <v/>
      </c>
      <c r="J205" s="80">
        <f>SIN(RADIANS('11_발전량_모델'!$B$7))*SIN(RADIANS('11_발전량_모델'!$B$8))</f>
        <v/>
      </c>
      <c r="K205" s="80">
        <f>SIN(RADIANS('11_발전량_모델'!$B$7))*COS(RADIANS('11_발전량_모델'!$B$8))</f>
        <v/>
      </c>
      <c r="L205" s="80">
        <f>COS(RADIANS('11_발전량_모델'!$B$7))</f>
        <v/>
      </c>
      <c r="M205" s="80">
        <f>G205*J205+H205*K205+I205*L205</f>
        <v/>
      </c>
      <c r="N205" s="80">
        <f>MAX(0,I205)</f>
        <v/>
      </c>
      <c r="O205" s="80">
        <f>IF(I205&gt;0,MAX(0,M205),0)</f>
        <v/>
      </c>
      <c r="P205" s="80">
        <f>IF($I205&gt;0,MAX(0,$G205*SIN(RADIANS('13_시나리오비교'!$B$5))*SIN(RADIANS('13_시나리오비교'!$C$5))+$H205*SIN(RADIANS('13_시나리오비교'!$B$5))*COS(RADIANS('13_시나리오비교'!$C$5))+$I205*COS(RADIANS('13_시나리오비교'!$B$5))),0)</f>
        <v/>
      </c>
      <c r="Q205" s="80">
        <f>IF($I205&gt;0,MAX(0,$G205*SIN(RADIANS('13_시나리오비교'!$B$6))*SIN(RADIANS('13_시나리오비교'!$C$6))+$H205*SIN(RADIANS('13_시나리오비교'!$B$6))*COS(RADIANS('13_시나리오비교'!$C$6))+$I205*COS(RADIANS('13_시나리오비교'!$B$6))),0)</f>
        <v/>
      </c>
      <c r="R205" s="80">
        <f>IF($I205&gt;0,MAX(0,$G205*SIN(RADIANS('13_시나리오비교'!$B$7))*SIN(RADIANS('13_시나리오비교'!$C$7))+$H205*SIN(RADIANS('13_시나리오비교'!$B$7))*COS(RADIANS('13_시나리오비교'!$C$7))+$I205*COS(RADIANS('13_시나리오비교'!$B$7))),0)</f>
        <v/>
      </c>
      <c r="S205" s="80">
        <f>IF($I205&gt;0,MAX(0,$G205*SIN(RADIANS('13_시나리오비교'!$B$8))*SIN(RADIANS('13_시나리오비교'!$C$8))+$H205*SIN(RADIANS('13_시나리오비교'!$B$8))*COS(RADIANS('13_시나리오비교'!$C$8))+$I205*COS(RADIANS('13_시나리오비교'!$B$8))),0)</f>
        <v/>
      </c>
      <c r="T205" s="80">
        <f>IF($I205&gt;0,MAX(0,$G205*SIN(RADIANS('13_시나리오비교'!$B$9))*SIN(RADIANS('13_시나리오비교'!$C$9))+$H205*SIN(RADIANS('13_시나리오비교'!$B$9))*COS(RADIANS('13_시나리오비교'!$C$9))+$I205*COS(RADIANS('13_시나리오비교'!$B$9))),0)</f>
        <v/>
      </c>
      <c r="U205" s="80">
        <f>IF($I205&gt;0,MAX(0,$G205*SIN(RADIANS('13_시나리오비교'!$B$10))*SIN(RADIANS('13_시나리오비교'!$C$10))+$H205*SIN(RADIANS('13_시나리오비교'!$B$10))*COS(RADIANS('13_시나리오비교'!$C$10))+$I205*COS(RADIANS('13_시나리오비교'!$B$10))),0)</f>
        <v/>
      </c>
      <c r="V205" s="80">
        <f>IF($I205&gt;0,MAX(0,$G205*SIN(RADIANS('13_시나리오비교'!$B$11))*SIN(RADIANS('13_시나리오비교'!$C$11))+$H205*SIN(RADIANS('13_시나리오비교'!$B$11))*COS(RADIANS('13_시나리오비교'!$C$11))+$I205*COS(RADIANS('13_시나리오비교'!$B$11))),0)</f>
        <v/>
      </c>
      <c r="W205" s="80">
        <f>IF($I205&gt;0,MAX(0,$G205*SIN(RADIANS('13_시나리오비교'!$B$12))*SIN(RADIANS('13_시나리오비교'!$C$12))+$H205*SIN(RADIANS('13_시나리오비교'!$B$12))*COS(RADIANS('13_시나리오비교'!$C$12))+$I205*COS(RADIANS('13_시나리오비교'!$B$12))),0)</f>
        <v/>
      </c>
      <c r="X205" s="80">
        <f>IF($I205&gt;0,MAX(0,$G205*SIN(RADIANS('13_시나리오비교'!$B$13))*SIN(RADIANS('13_시나리오비교'!$C$13))+$H205*SIN(RADIANS('13_시나리오비교'!$B$13))*COS(RADIANS('13_시나리오비교'!$C$13))+$I205*COS(RADIANS('13_시나리오비교'!$B$13))),0)</f>
        <v/>
      </c>
      <c r="Y205" s="80">
        <f>IF($I205&gt;0,MAX(0,$G205*SIN(RADIANS('13_시나리오비교'!$B$14))*SIN(RADIANS('13_시나리오비교'!$C$14))+$H205*SIN(RADIANS('13_시나리오비교'!$B$14))*COS(RADIANS('13_시나리오비교'!$C$14))+$I205*COS(RADIANS('13_시나리오비교'!$B$14))),0)</f>
        <v/>
      </c>
    </row>
    <row r="206" hidden="1" outlineLevel="1">
      <c r="A206" s="79" t="n">
        <v>2</v>
      </c>
      <c r="B206" s="79" t="n">
        <v>90</v>
      </c>
      <c r="C206" s="80">
        <f>(B206-0.5)*'14_지역·상수'!$H$6</f>
        <v/>
      </c>
      <c r="D206" s="79" t="n">
        <v>47</v>
      </c>
      <c r="E206" s="80">
        <f>INDEX($C$4:$C$15,MATCH(A206,$A$4:$A$15,0))</f>
        <v/>
      </c>
      <c r="F206" s="80">
        <f>15*(C206-12)</f>
        <v/>
      </c>
      <c r="G206" s="80">
        <f>-COS(RADIANS(E206))*SIN(RADIANS(F206))</f>
        <v/>
      </c>
      <c r="H206" s="80">
        <f>COS(RADIANS('11_발전량_모델'!$B$17))*SIN(RADIANS(E206))-SIN(RADIANS('11_발전량_모델'!$B$17))*COS(RADIANS(E206))*COS(RADIANS(F206))</f>
        <v/>
      </c>
      <c r="I206" s="80">
        <f>SIN(RADIANS('11_발전량_모델'!$B$17))*SIN(RADIANS(E206))+COS(RADIANS('11_발전량_모델'!$B$17))*COS(RADIANS(E206))*COS(RADIANS(F206))</f>
        <v/>
      </c>
      <c r="J206" s="80">
        <f>SIN(RADIANS('11_발전량_모델'!$B$7))*SIN(RADIANS('11_발전량_모델'!$B$8))</f>
        <v/>
      </c>
      <c r="K206" s="80">
        <f>SIN(RADIANS('11_발전량_모델'!$B$7))*COS(RADIANS('11_발전량_모델'!$B$8))</f>
        <v/>
      </c>
      <c r="L206" s="80">
        <f>COS(RADIANS('11_발전량_모델'!$B$7))</f>
        <v/>
      </c>
      <c r="M206" s="80">
        <f>G206*J206+H206*K206+I206*L206</f>
        <v/>
      </c>
      <c r="N206" s="80">
        <f>MAX(0,I206)</f>
        <v/>
      </c>
      <c r="O206" s="80">
        <f>IF(I206&gt;0,MAX(0,M206),0)</f>
        <v/>
      </c>
      <c r="P206" s="80">
        <f>IF($I206&gt;0,MAX(0,$G206*SIN(RADIANS('13_시나리오비교'!$B$5))*SIN(RADIANS('13_시나리오비교'!$C$5))+$H206*SIN(RADIANS('13_시나리오비교'!$B$5))*COS(RADIANS('13_시나리오비교'!$C$5))+$I206*COS(RADIANS('13_시나리오비교'!$B$5))),0)</f>
        <v/>
      </c>
      <c r="Q206" s="80">
        <f>IF($I206&gt;0,MAX(0,$G206*SIN(RADIANS('13_시나리오비교'!$B$6))*SIN(RADIANS('13_시나리오비교'!$C$6))+$H206*SIN(RADIANS('13_시나리오비교'!$B$6))*COS(RADIANS('13_시나리오비교'!$C$6))+$I206*COS(RADIANS('13_시나리오비교'!$B$6))),0)</f>
        <v/>
      </c>
      <c r="R206" s="80">
        <f>IF($I206&gt;0,MAX(0,$G206*SIN(RADIANS('13_시나리오비교'!$B$7))*SIN(RADIANS('13_시나리오비교'!$C$7))+$H206*SIN(RADIANS('13_시나리오비교'!$B$7))*COS(RADIANS('13_시나리오비교'!$C$7))+$I206*COS(RADIANS('13_시나리오비교'!$B$7))),0)</f>
        <v/>
      </c>
      <c r="S206" s="80">
        <f>IF($I206&gt;0,MAX(0,$G206*SIN(RADIANS('13_시나리오비교'!$B$8))*SIN(RADIANS('13_시나리오비교'!$C$8))+$H206*SIN(RADIANS('13_시나리오비교'!$B$8))*COS(RADIANS('13_시나리오비교'!$C$8))+$I206*COS(RADIANS('13_시나리오비교'!$B$8))),0)</f>
        <v/>
      </c>
      <c r="T206" s="80">
        <f>IF($I206&gt;0,MAX(0,$G206*SIN(RADIANS('13_시나리오비교'!$B$9))*SIN(RADIANS('13_시나리오비교'!$C$9))+$H206*SIN(RADIANS('13_시나리오비교'!$B$9))*COS(RADIANS('13_시나리오비교'!$C$9))+$I206*COS(RADIANS('13_시나리오비교'!$B$9))),0)</f>
        <v/>
      </c>
      <c r="U206" s="80">
        <f>IF($I206&gt;0,MAX(0,$G206*SIN(RADIANS('13_시나리오비교'!$B$10))*SIN(RADIANS('13_시나리오비교'!$C$10))+$H206*SIN(RADIANS('13_시나리오비교'!$B$10))*COS(RADIANS('13_시나리오비교'!$C$10))+$I206*COS(RADIANS('13_시나리오비교'!$B$10))),0)</f>
        <v/>
      </c>
      <c r="V206" s="80">
        <f>IF($I206&gt;0,MAX(0,$G206*SIN(RADIANS('13_시나리오비교'!$B$11))*SIN(RADIANS('13_시나리오비교'!$C$11))+$H206*SIN(RADIANS('13_시나리오비교'!$B$11))*COS(RADIANS('13_시나리오비교'!$C$11))+$I206*COS(RADIANS('13_시나리오비교'!$B$11))),0)</f>
        <v/>
      </c>
      <c r="W206" s="80">
        <f>IF($I206&gt;0,MAX(0,$G206*SIN(RADIANS('13_시나리오비교'!$B$12))*SIN(RADIANS('13_시나리오비교'!$C$12))+$H206*SIN(RADIANS('13_시나리오비교'!$B$12))*COS(RADIANS('13_시나리오비교'!$C$12))+$I206*COS(RADIANS('13_시나리오비교'!$B$12))),0)</f>
        <v/>
      </c>
      <c r="X206" s="80">
        <f>IF($I206&gt;0,MAX(0,$G206*SIN(RADIANS('13_시나리오비교'!$B$13))*SIN(RADIANS('13_시나리오비교'!$C$13))+$H206*SIN(RADIANS('13_시나리오비교'!$B$13))*COS(RADIANS('13_시나리오비교'!$C$13))+$I206*COS(RADIANS('13_시나리오비교'!$B$13))),0)</f>
        <v/>
      </c>
      <c r="Y206" s="80">
        <f>IF($I206&gt;0,MAX(0,$G206*SIN(RADIANS('13_시나리오비교'!$B$14))*SIN(RADIANS('13_시나리오비교'!$C$14))+$H206*SIN(RADIANS('13_시나리오비교'!$B$14))*COS(RADIANS('13_시나리오비교'!$C$14))+$I206*COS(RADIANS('13_시나리오비교'!$B$14))),0)</f>
        <v/>
      </c>
    </row>
    <row r="207" hidden="1" outlineLevel="1">
      <c r="A207" s="79" t="n">
        <v>2</v>
      </c>
      <c r="B207" s="79" t="n">
        <v>91</v>
      </c>
      <c r="C207" s="80">
        <f>(B207-0.5)*'14_지역·상수'!$H$6</f>
        <v/>
      </c>
      <c r="D207" s="79" t="n">
        <v>47</v>
      </c>
      <c r="E207" s="80">
        <f>INDEX($C$4:$C$15,MATCH(A207,$A$4:$A$15,0))</f>
        <v/>
      </c>
      <c r="F207" s="80">
        <f>15*(C207-12)</f>
        <v/>
      </c>
      <c r="G207" s="80">
        <f>-COS(RADIANS(E207))*SIN(RADIANS(F207))</f>
        <v/>
      </c>
      <c r="H207" s="80">
        <f>COS(RADIANS('11_발전량_모델'!$B$17))*SIN(RADIANS(E207))-SIN(RADIANS('11_발전량_모델'!$B$17))*COS(RADIANS(E207))*COS(RADIANS(F207))</f>
        <v/>
      </c>
      <c r="I207" s="80">
        <f>SIN(RADIANS('11_발전량_모델'!$B$17))*SIN(RADIANS(E207))+COS(RADIANS('11_발전량_모델'!$B$17))*COS(RADIANS(E207))*COS(RADIANS(F207))</f>
        <v/>
      </c>
      <c r="J207" s="80">
        <f>SIN(RADIANS('11_발전량_모델'!$B$7))*SIN(RADIANS('11_발전량_모델'!$B$8))</f>
        <v/>
      </c>
      <c r="K207" s="80">
        <f>SIN(RADIANS('11_발전량_모델'!$B$7))*COS(RADIANS('11_발전량_모델'!$B$8))</f>
        <v/>
      </c>
      <c r="L207" s="80">
        <f>COS(RADIANS('11_발전량_모델'!$B$7))</f>
        <v/>
      </c>
      <c r="M207" s="80">
        <f>G207*J207+H207*K207+I207*L207</f>
        <v/>
      </c>
      <c r="N207" s="80">
        <f>MAX(0,I207)</f>
        <v/>
      </c>
      <c r="O207" s="80">
        <f>IF(I207&gt;0,MAX(0,M207),0)</f>
        <v/>
      </c>
      <c r="P207" s="80">
        <f>IF($I207&gt;0,MAX(0,$G207*SIN(RADIANS('13_시나리오비교'!$B$5))*SIN(RADIANS('13_시나리오비교'!$C$5))+$H207*SIN(RADIANS('13_시나리오비교'!$B$5))*COS(RADIANS('13_시나리오비교'!$C$5))+$I207*COS(RADIANS('13_시나리오비교'!$B$5))),0)</f>
        <v/>
      </c>
      <c r="Q207" s="80">
        <f>IF($I207&gt;0,MAX(0,$G207*SIN(RADIANS('13_시나리오비교'!$B$6))*SIN(RADIANS('13_시나리오비교'!$C$6))+$H207*SIN(RADIANS('13_시나리오비교'!$B$6))*COS(RADIANS('13_시나리오비교'!$C$6))+$I207*COS(RADIANS('13_시나리오비교'!$B$6))),0)</f>
        <v/>
      </c>
      <c r="R207" s="80">
        <f>IF($I207&gt;0,MAX(0,$G207*SIN(RADIANS('13_시나리오비교'!$B$7))*SIN(RADIANS('13_시나리오비교'!$C$7))+$H207*SIN(RADIANS('13_시나리오비교'!$B$7))*COS(RADIANS('13_시나리오비교'!$C$7))+$I207*COS(RADIANS('13_시나리오비교'!$B$7))),0)</f>
        <v/>
      </c>
      <c r="S207" s="80">
        <f>IF($I207&gt;0,MAX(0,$G207*SIN(RADIANS('13_시나리오비교'!$B$8))*SIN(RADIANS('13_시나리오비교'!$C$8))+$H207*SIN(RADIANS('13_시나리오비교'!$B$8))*COS(RADIANS('13_시나리오비교'!$C$8))+$I207*COS(RADIANS('13_시나리오비교'!$B$8))),0)</f>
        <v/>
      </c>
      <c r="T207" s="80">
        <f>IF($I207&gt;0,MAX(0,$G207*SIN(RADIANS('13_시나리오비교'!$B$9))*SIN(RADIANS('13_시나리오비교'!$C$9))+$H207*SIN(RADIANS('13_시나리오비교'!$B$9))*COS(RADIANS('13_시나리오비교'!$C$9))+$I207*COS(RADIANS('13_시나리오비교'!$B$9))),0)</f>
        <v/>
      </c>
      <c r="U207" s="80">
        <f>IF($I207&gt;0,MAX(0,$G207*SIN(RADIANS('13_시나리오비교'!$B$10))*SIN(RADIANS('13_시나리오비교'!$C$10))+$H207*SIN(RADIANS('13_시나리오비교'!$B$10))*COS(RADIANS('13_시나리오비교'!$C$10))+$I207*COS(RADIANS('13_시나리오비교'!$B$10))),0)</f>
        <v/>
      </c>
      <c r="V207" s="80">
        <f>IF($I207&gt;0,MAX(0,$G207*SIN(RADIANS('13_시나리오비교'!$B$11))*SIN(RADIANS('13_시나리오비교'!$C$11))+$H207*SIN(RADIANS('13_시나리오비교'!$B$11))*COS(RADIANS('13_시나리오비교'!$C$11))+$I207*COS(RADIANS('13_시나리오비교'!$B$11))),0)</f>
        <v/>
      </c>
      <c r="W207" s="80">
        <f>IF($I207&gt;0,MAX(0,$G207*SIN(RADIANS('13_시나리오비교'!$B$12))*SIN(RADIANS('13_시나리오비교'!$C$12))+$H207*SIN(RADIANS('13_시나리오비교'!$B$12))*COS(RADIANS('13_시나리오비교'!$C$12))+$I207*COS(RADIANS('13_시나리오비교'!$B$12))),0)</f>
        <v/>
      </c>
      <c r="X207" s="80">
        <f>IF($I207&gt;0,MAX(0,$G207*SIN(RADIANS('13_시나리오비교'!$B$13))*SIN(RADIANS('13_시나리오비교'!$C$13))+$H207*SIN(RADIANS('13_시나리오비교'!$B$13))*COS(RADIANS('13_시나리오비교'!$C$13))+$I207*COS(RADIANS('13_시나리오비교'!$B$13))),0)</f>
        <v/>
      </c>
      <c r="Y207" s="80">
        <f>IF($I207&gt;0,MAX(0,$G207*SIN(RADIANS('13_시나리오비교'!$B$14))*SIN(RADIANS('13_시나리오비교'!$C$14))+$H207*SIN(RADIANS('13_시나리오비교'!$B$14))*COS(RADIANS('13_시나리오비교'!$C$14))+$I207*COS(RADIANS('13_시나리오비교'!$B$14))),0)</f>
        <v/>
      </c>
    </row>
    <row r="208" hidden="1" outlineLevel="1">
      <c r="A208" s="79" t="n">
        <v>2</v>
      </c>
      <c r="B208" s="79" t="n">
        <v>92</v>
      </c>
      <c r="C208" s="80">
        <f>(B208-0.5)*'14_지역·상수'!$H$6</f>
        <v/>
      </c>
      <c r="D208" s="79" t="n">
        <v>47</v>
      </c>
      <c r="E208" s="80">
        <f>INDEX($C$4:$C$15,MATCH(A208,$A$4:$A$15,0))</f>
        <v/>
      </c>
      <c r="F208" s="80">
        <f>15*(C208-12)</f>
        <v/>
      </c>
      <c r="G208" s="80">
        <f>-COS(RADIANS(E208))*SIN(RADIANS(F208))</f>
        <v/>
      </c>
      <c r="H208" s="80">
        <f>COS(RADIANS('11_발전량_모델'!$B$17))*SIN(RADIANS(E208))-SIN(RADIANS('11_발전량_모델'!$B$17))*COS(RADIANS(E208))*COS(RADIANS(F208))</f>
        <v/>
      </c>
      <c r="I208" s="80">
        <f>SIN(RADIANS('11_발전량_모델'!$B$17))*SIN(RADIANS(E208))+COS(RADIANS('11_발전량_모델'!$B$17))*COS(RADIANS(E208))*COS(RADIANS(F208))</f>
        <v/>
      </c>
      <c r="J208" s="80">
        <f>SIN(RADIANS('11_발전량_모델'!$B$7))*SIN(RADIANS('11_발전량_모델'!$B$8))</f>
        <v/>
      </c>
      <c r="K208" s="80">
        <f>SIN(RADIANS('11_발전량_모델'!$B$7))*COS(RADIANS('11_발전량_모델'!$B$8))</f>
        <v/>
      </c>
      <c r="L208" s="80">
        <f>COS(RADIANS('11_발전량_모델'!$B$7))</f>
        <v/>
      </c>
      <c r="M208" s="80">
        <f>G208*J208+H208*K208+I208*L208</f>
        <v/>
      </c>
      <c r="N208" s="80">
        <f>MAX(0,I208)</f>
        <v/>
      </c>
      <c r="O208" s="80">
        <f>IF(I208&gt;0,MAX(0,M208),0)</f>
        <v/>
      </c>
      <c r="P208" s="80">
        <f>IF($I208&gt;0,MAX(0,$G208*SIN(RADIANS('13_시나리오비교'!$B$5))*SIN(RADIANS('13_시나리오비교'!$C$5))+$H208*SIN(RADIANS('13_시나리오비교'!$B$5))*COS(RADIANS('13_시나리오비교'!$C$5))+$I208*COS(RADIANS('13_시나리오비교'!$B$5))),0)</f>
        <v/>
      </c>
      <c r="Q208" s="80">
        <f>IF($I208&gt;0,MAX(0,$G208*SIN(RADIANS('13_시나리오비교'!$B$6))*SIN(RADIANS('13_시나리오비교'!$C$6))+$H208*SIN(RADIANS('13_시나리오비교'!$B$6))*COS(RADIANS('13_시나리오비교'!$C$6))+$I208*COS(RADIANS('13_시나리오비교'!$B$6))),0)</f>
        <v/>
      </c>
      <c r="R208" s="80">
        <f>IF($I208&gt;0,MAX(0,$G208*SIN(RADIANS('13_시나리오비교'!$B$7))*SIN(RADIANS('13_시나리오비교'!$C$7))+$H208*SIN(RADIANS('13_시나리오비교'!$B$7))*COS(RADIANS('13_시나리오비교'!$C$7))+$I208*COS(RADIANS('13_시나리오비교'!$B$7))),0)</f>
        <v/>
      </c>
      <c r="S208" s="80">
        <f>IF($I208&gt;0,MAX(0,$G208*SIN(RADIANS('13_시나리오비교'!$B$8))*SIN(RADIANS('13_시나리오비교'!$C$8))+$H208*SIN(RADIANS('13_시나리오비교'!$B$8))*COS(RADIANS('13_시나리오비교'!$C$8))+$I208*COS(RADIANS('13_시나리오비교'!$B$8))),0)</f>
        <v/>
      </c>
      <c r="T208" s="80">
        <f>IF($I208&gt;0,MAX(0,$G208*SIN(RADIANS('13_시나리오비교'!$B$9))*SIN(RADIANS('13_시나리오비교'!$C$9))+$H208*SIN(RADIANS('13_시나리오비교'!$B$9))*COS(RADIANS('13_시나리오비교'!$C$9))+$I208*COS(RADIANS('13_시나리오비교'!$B$9))),0)</f>
        <v/>
      </c>
      <c r="U208" s="80">
        <f>IF($I208&gt;0,MAX(0,$G208*SIN(RADIANS('13_시나리오비교'!$B$10))*SIN(RADIANS('13_시나리오비교'!$C$10))+$H208*SIN(RADIANS('13_시나리오비교'!$B$10))*COS(RADIANS('13_시나리오비교'!$C$10))+$I208*COS(RADIANS('13_시나리오비교'!$B$10))),0)</f>
        <v/>
      </c>
      <c r="V208" s="80">
        <f>IF($I208&gt;0,MAX(0,$G208*SIN(RADIANS('13_시나리오비교'!$B$11))*SIN(RADIANS('13_시나리오비교'!$C$11))+$H208*SIN(RADIANS('13_시나리오비교'!$B$11))*COS(RADIANS('13_시나리오비교'!$C$11))+$I208*COS(RADIANS('13_시나리오비교'!$B$11))),0)</f>
        <v/>
      </c>
      <c r="W208" s="80">
        <f>IF($I208&gt;0,MAX(0,$G208*SIN(RADIANS('13_시나리오비교'!$B$12))*SIN(RADIANS('13_시나리오비교'!$C$12))+$H208*SIN(RADIANS('13_시나리오비교'!$B$12))*COS(RADIANS('13_시나리오비교'!$C$12))+$I208*COS(RADIANS('13_시나리오비교'!$B$12))),0)</f>
        <v/>
      </c>
      <c r="X208" s="80">
        <f>IF($I208&gt;0,MAX(0,$G208*SIN(RADIANS('13_시나리오비교'!$B$13))*SIN(RADIANS('13_시나리오비교'!$C$13))+$H208*SIN(RADIANS('13_시나리오비교'!$B$13))*COS(RADIANS('13_시나리오비교'!$C$13))+$I208*COS(RADIANS('13_시나리오비교'!$B$13))),0)</f>
        <v/>
      </c>
      <c r="Y208" s="80">
        <f>IF($I208&gt;0,MAX(0,$G208*SIN(RADIANS('13_시나리오비교'!$B$14))*SIN(RADIANS('13_시나리오비교'!$C$14))+$H208*SIN(RADIANS('13_시나리오비교'!$B$14))*COS(RADIANS('13_시나리오비교'!$C$14))+$I208*COS(RADIANS('13_시나리오비교'!$B$14))),0)</f>
        <v/>
      </c>
    </row>
    <row r="209" hidden="1" outlineLevel="1">
      <c r="A209" s="79" t="n">
        <v>2</v>
      </c>
      <c r="B209" s="79" t="n">
        <v>93</v>
      </c>
      <c r="C209" s="80">
        <f>(B209-0.5)*'14_지역·상수'!$H$6</f>
        <v/>
      </c>
      <c r="D209" s="79" t="n">
        <v>47</v>
      </c>
      <c r="E209" s="80">
        <f>INDEX($C$4:$C$15,MATCH(A209,$A$4:$A$15,0))</f>
        <v/>
      </c>
      <c r="F209" s="80">
        <f>15*(C209-12)</f>
        <v/>
      </c>
      <c r="G209" s="80">
        <f>-COS(RADIANS(E209))*SIN(RADIANS(F209))</f>
        <v/>
      </c>
      <c r="H209" s="80">
        <f>COS(RADIANS('11_발전량_모델'!$B$17))*SIN(RADIANS(E209))-SIN(RADIANS('11_발전량_모델'!$B$17))*COS(RADIANS(E209))*COS(RADIANS(F209))</f>
        <v/>
      </c>
      <c r="I209" s="80">
        <f>SIN(RADIANS('11_발전량_모델'!$B$17))*SIN(RADIANS(E209))+COS(RADIANS('11_발전량_모델'!$B$17))*COS(RADIANS(E209))*COS(RADIANS(F209))</f>
        <v/>
      </c>
      <c r="J209" s="80">
        <f>SIN(RADIANS('11_발전량_모델'!$B$7))*SIN(RADIANS('11_발전량_모델'!$B$8))</f>
        <v/>
      </c>
      <c r="K209" s="80">
        <f>SIN(RADIANS('11_발전량_모델'!$B$7))*COS(RADIANS('11_발전량_모델'!$B$8))</f>
        <v/>
      </c>
      <c r="L209" s="80">
        <f>COS(RADIANS('11_발전량_모델'!$B$7))</f>
        <v/>
      </c>
      <c r="M209" s="80">
        <f>G209*J209+H209*K209+I209*L209</f>
        <v/>
      </c>
      <c r="N209" s="80">
        <f>MAX(0,I209)</f>
        <v/>
      </c>
      <c r="O209" s="80">
        <f>IF(I209&gt;0,MAX(0,M209),0)</f>
        <v/>
      </c>
      <c r="P209" s="80">
        <f>IF($I209&gt;0,MAX(0,$G209*SIN(RADIANS('13_시나리오비교'!$B$5))*SIN(RADIANS('13_시나리오비교'!$C$5))+$H209*SIN(RADIANS('13_시나리오비교'!$B$5))*COS(RADIANS('13_시나리오비교'!$C$5))+$I209*COS(RADIANS('13_시나리오비교'!$B$5))),0)</f>
        <v/>
      </c>
      <c r="Q209" s="80">
        <f>IF($I209&gt;0,MAX(0,$G209*SIN(RADIANS('13_시나리오비교'!$B$6))*SIN(RADIANS('13_시나리오비교'!$C$6))+$H209*SIN(RADIANS('13_시나리오비교'!$B$6))*COS(RADIANS('13_시나리오비교'!$C$6))+$I209*COS(RADIANS('13_시나리오비교'!$B$6))),0)</f>
        <v/>
      </c>
      <c r="R209" s="80">
        <f>IF($I209&gt;0,MAX(0,$G209*SIN(RADIANS('13_시나리오비교'!$B$7))*SIN(RADIANS('13_시나리오비교'!$C$7))+$H209*SIN(RADIANS('13_시나리오비교'!$B$7))*COS(RADIANS('13_시나리오비교'!$C$7))+$I209*COS(RADIANS('13_시나리오비교'!$B$7))),0)</f>
        <v/>
      </c>
      <c r="S209" s="80">
        <f>IF($I209&gt;0,MAX(0,$G209*SIN(RADIANS('13_시나리오비교'!$B$8))*SIN(RADIANS('13_시나리오비교'!$C$8))+$H209*SIN(RADIANS('13_시나리오비교'!$B$8))*COS(RADIANS('13_시나리오비교'!$C$8))+$I209*COS(RADIANS('13_시나리오비교'!$B$8))),0)</f>
        <v/>
      </c>
      <c r="T209" s="80">
        <f>IF($I209&gt;0,MAX(0,$G209*SIN(RADIANS('13_시나리오비교'!$B$9))*SIN(RADIANS('13_시나리오비교'!$C$9))+$H209*SIN(RADIANS('13_시나리오비교'!$B$9))*COS(RADIANS('13_시나리오비교'!$C$9))+$I209*COS(RADIANS('13_시나리오비교'!$B$9))),0)</f>
        <v/>
      </c>
      <c r="U209" s="80">
        <f>IF($I209&gt;0,MAX(0,$G209*SIN(RADIANS('13_시나리오비교'!$B$10))*SIN(RADIANS('13_시나리오비교'!$C$10))+$H209*SIN(RADIANS('13_시나리오비교'!$B$10))*COS(RADIANS('13_시나리오비교'!$C$10))+$I209*COS(RADIANS('13_시나리오비교'!$B$10))),0)</f>
        <v/>
      </c>
      <c r="V209" s="80">
        <f>IF($I209&gt;0,MAX(0,$G209*SIN(RADIANS('13_시나리오비교'!$B$11))*SIN(RADIANS('13_시나리오비교'!$C$11))+$H209*SIN(RADIANS('13_시나리오비교'!$B$11))*COS(RADIANS('13_시나리오비교'!$C$11))+$I209*COS(RADIANS('13_시나리오비교'!$B$11))),0)</f>
        <v/>
      </c>
      <c r="W209" s="80">
        <f>IF($I209&gt;0,MAX(0,$G209*SIN(RADIANS('13_시나리오비교'!$B$12))*SIN(RADIANS('13_시나리오비교'!$C$12))+$H209*SIN(RADIANS('13_시나리오비교'!$B$12))*COS(RADIANS('13_시나리오비교'!$C$12))+$I209*COS(RADIANS('13_시나리오비교'!$B$12))),0)</f>
        <v/>
      </c>
      <c r="X209" s="80">
        <f>IF($I209&gt;0,MAX(0,$G209*SIN(RADIANS('13_시나리오비교'!$B$13))*SIN(RADIANS('13_시나리오비교'!$C$13))+$H209*SIN(RADIANS('13_시나리오비교'!$B$13))*COS(RADIANS('13_시나리오비교'!$C$13))+$I209*COS(RADIANS('13_시나리오비교'!$B$13))),0)</f>
        <v/>
      </c>
      <c r="Y209" s="80">
        <f>IF($I209&gt;0,MAX(0,$G209*SIN(RADIANS('13_시나리오비교'!$B$14))*SIN(RADIANS('13_시나리오비교'!$C$14))+$H209*SIN(RADIANS('13_시나리오비교'!$B$14))*COS(RADIANS('13_시나리오비교'!$C$14))+$I209*COS(RADIANS('13_시나리오비교'!$B$14))),0)</f>
        <v/>
      </c>
    </row>
    <row r="210" hidden="1" outlineLevel="1">
      <c r="A210" s="79" t="n">
        <v>2</v>
      </c>
      <c r="B210" s="79" t="n">
        <v>94</v>
      </c>
      <c r="C210" s="80">
        <f>(B210-0.5)*'14_지역·상수'!$H$6</f>
        <v/>
      </c>
      <c r="D210" s="79" t="n">
        <v>47</v>
      </c>
      <c r="E210" s="80">
        <f>INDEX($C$4:$C$15,MATCH(A210,$A$4:$A$15,0))</f>
        <v/>
      </c>
      <c r="F210" s="80">
        <f>15*(C210-12)</f>
        <v/>
      </c>
      <c r="G210" s="80">
        <f>-COS(RADIANS(E210))*SIN(RADIANS(F210))</f>
        <v/>
      </c>
      <c r="H210" s="80">
        <f>COS(RADIANS('11_발전량_모델'!$B$17))*SIN(RADIANS(E210))-SIN(RADIANS('11_발전량_모델'!$B$17))*COS(RADIANS(E210))*COS(RADIANS(F210))</f>
        <v/>
      </c>
      <c r="I210" s="80">
        <f>SIN(RADIANS('11_발전량_모델'!$B$17))*SIN(RADIANS(E210))+COS(RADIANS('11_발전량_모델'!$B$17))*COS(RADIANS(E210))*COS(RADIANS(F210))</f>
        <v/>
      </c>
      <c r="J210" s="80">
        <f>SIN(RADIANS('11_발전량_모델'!$B$7))*SIN(RADIANS('11_발전량_모델'!$B$8))</f>
        <v/>
      </c>
      <c r="K210" s="80">
        <f>SIN(RADIANS('11_발전량_모델'!$B$7))*COS(RADIANS('11_발전량_모델'!$B$8))</f>
        <v/>
      </c>
      <c r="L210" s="80">
        <f>COS(RADIANS('11_발전량_모델'!$B$7))</f>
        <v/>
      </c>
      <c r="M210" s="80">
        <f>G210*J210+H210*K210+I210*L210</f>
        <v/>
      </c>
      <c r="N210" s="80">
        <f>MAX(0,I210)</f>
        <v/>
      </c>
      <c r="O210" s="80">
        <f>IF(I210&gt;0,MAX(0,M210),0)</f>
        <v/>
      </c>
      <c r="P210" s="80">
        <f>IF($I210&gt;0,MAX(0,$G210*SIN(RADIANS('13_시나리오비교'!$B$5))*SIN(RADIANS('13_시나리오비교'!$C$5))+$H210*SIN(RADIANS('13_시나리오비교'!$B$5))*COS(RADIANS('13_시나리오비교'!$C$5))+$I210*COS(RADIANS('13_시나리오비교'!$B$5))),0)</f>
        <v/>
      </c>
      <c r="Q210" s="80">
        <f>IF($I210&gt;0,MAX(0,$G210*SIN(RADIANS('13_시나리오비교'!$B$6))*SIN(RADIANS('13_시나리오비교'!$C$6))+$H210*SIN(RADIANS('13_시나리오비교'!$B$6))*COS(RADIANS('13_시나리오비교'!$C$6))+$I210*COS(RADIANS('13_시나리오비교'!$B$6))),0)</f>
        <v/>
      </c>
      <c r="R210" s="80">
        <f>IF($I210&gt;0,MAX(0,$G210*SIN(RADIANS('13_시나리오비교'!$B$7))*SIN(RADIANS('13_시나리오비교'!$C$7))+$H210*SIN(RADIANS('13_시나리오비교'!$B$7))*COS(RADIANS('13_시나리오비교'!$C$7))+$I210*COS(RADIANS('13_시나리오비교'!$B$7))),0)</f>
        <v/>
      </c>
      <c r="S210" s="80">
        <f>IF($I210&gt;0,MAX(0,$G210*SIN(RADIANS('13_시나리오비교'!$B$8))*SIN(RADIANS('13_시나리오비교'!$C$8))+$H210*SIN(RADIANS('13_시나리오비교'!$B$8))*COS(RADIANS('13_시나리오비교'!$C$8))+$I210*COS(RADIANS('13_시나리오비교'!$B$8))),0)</f>
        <v/>
      </c>
      <c r="T210" s="80">
        <f>IF($I210&gt;0,MAX(0,$G210*SIN(RADIANS('13_시나리오비교'!$B$9))*SIN(RADIANS('13_시나리오비교'!$C$9))+$H210*SIN(RADIANS('13_시나리오비교'!$B$9))*COS(RADIANS('13_시나리오비교'!$C$9))+$I210*COS(RADIANS('13_시나리오비교'!$B$9))),0)</f>
        <v/>
      </c>
      <c r="U210" s="80">
        <f>IF($I210&gt;0,MAX(0,$G210*SIN(RADIANS('13_시나리오비교'!$B$10))*SIN(RADIANS('13_시나리오비교'!$C$10))+$H210*SIN(RADIANS('13_시나리오비교'!$B$10))*COS(RADIANS('13_시나리오비교'!$C$10))+$I210*COS(RADIANS('13_시나리오비교'!$B$10))),0)</f>
        <v/>
      </c>
      <c r="V210" s="80">
        <f>IF($I210&gt;0,MAX(0,$G210*SIN(RADIANS('13_시나리오비교'!$B$11))*SIN(RADIANS('13_시나리오비교'!$C$11))+$H210*SIN(RADIANS('13_시나리오비교'!$B$11))*COS(RADIANS('13_시나리오비교'!$C$11))+$I210*COS(RADIANS('13_시나리오비교'!$B$11))),0)</f>
        <v/>
      </c>
      <c r="W210" s="80">
        <f>IF($I210&gt;0,MAX(0,$G210*SIN(RADIANS('13_시나리오비교'!$B$12))*SIN(RADIANS('13_시나리오비교'!$C$12))+$H210*SIN(RADIANS('13_시나리오비교'!$B$12))*COS(RADIANS('13_시나리오비교'!$C$12))+$I210*COS(RADIANS('13_시나리오비교'!$B$12))),0)</f>
        <v/>
      </c>
      <c r="X210" s="80">
        <f>IF($I210&gt;0,MAX(0,$G210*SIN(RADIANS('13_시나리오비교'!$B$13))*SIN(RADIANS('13_시나리오비교'!$C$13))+$H210*SIN(RADIANS('13_시나리오비교'!$B$13))*COS(RADIANS('13_시나리오비교'!$C$13))+$I210*COS(RADIANS('13_시나리오비교'!$B$13))),0)</f>
        <v/>
      </c>
      <c r="Y210" s="80">
        <f>IF($I210&gt;0,MAX(0,$G210*SIN(RADIANS('13_시나리오비교'!$B$14))*SIN(RADIANS('13_시나리오비교'!$C$14))+$H210*SIN(RADIANS('13_시나리오비교'!$B$14))*COS(RADIANS('13_시나리오비교'!$C$14))+$I210*COS(RADIANS('13_시나리오비교'!$B$14))),0)</f>
        <v/>
      </c>
    </row>
    <row r="211" hidden="1" outlineLevel="1">
      <c r="A211" s="79" t="n">
        <v>2</v>
      </c>
      <c r="B211" s="79" t="n">
        <v>95</v>
      </c>
      <c r="C211" s="80">
        <f>(B211-0.5)*'14_지역·상수'!$H$6</f>
        <v/>
      </c>
      <c r="D211" s="79" t="n">
        <v>47</v>
      </c>
      <c r="E211" s="80">
        <f>INDEX($C$4:$C$15,MATCH(A211,$A$4:$A$15,0))</f>
        <v/>
      </c>
      <c r="F211" s="80">
        <f>15*(C211-12)</f>
        <v/>
      </c>
      <c r="G211" s="80">
        <f>-COS(RADIANS(E211))*SIN(RADIANS(F211))</f>
        <v/>
      </c>
      <c r="H211" s="80">
        <f>COS(RADIANS('11_발전량_모델'!$B$17))*SIN(RADIANS(E211))-SIN(RADIANS('11_발전량_모델'!$B$17))*COS(RADIANS(E211))*COS(RADIANS(F211))</f>
        <v/>
      </c>
      <c r="I211" s="80">
        <f>SIN(RADIANS('11_발전량_모델'!$B$17))*SIN(RADIANS(E211))+COS(RADIANS('11_발전량_모델'!$B$17))*COS(RADIANS(E211))*COS(RADIANS(F211))</f>
        <v/>
      </c>
      <c r="J211" s="80">
        <f>SIN(RADIANS('11_발전량_모델'!$B$7))*SIN(RADIANS('11_발전량_모델'!$B$8))</f>
        <v/>
      </c>
      <c r="K211" s="80">
        <f>SIN(RADIANS('11_발전량_모델'!$B$7))*COS(RADIANS('11_발전량_모델'!$B$8))</f>
        <v/>
      </c>
      <c r="L211" s="80">
        <f>COS(RADIANS('11_발전량_모델'!$B$7))</f>
        <v/>
      </c>
      <c r="M211" s="80">
        <f>G211*J211+H211*K211+I211*L211</f>
        <v/>
      </c>
      <c r="N211" s="80">
        <f>MAX(0,I211)</f>
        <v/>
      </c>
      <c r="O211" s="80">
        <f>IF(I211&gt;0,MAX(0,M211),0)</f>
        <v/>
      </c>
      <c r="P211" s="80">
        <f>IF($I211&gt;0,MAX(0,$G211*SIN(RADIANS('13_시나리오비교'!$B$5))*SIN(RADIANS('13_시나리오비교'!$C$5))+$H211*SIN(RADIANS('13_시나리오비교'!$B$5))*COS(RADIANS('13_시나리오비교'!$C$5))+$I211*COS(RADIANS('13_시나리오비교'!$B$5))),0)</f>
        <v/>
      </c>
      <c r="Q211" s="80">
        <f>IF($I211&gt;0,MAX(0,$G211*SIN(RADIANS('13_시나리오비교'!$B$6))*SIN(RADIANS('13_시나리오비교'!$C$6))+$H211*SIN(RADIANS('13_시나리오비교'!$B$6))*COS(RADIANS('13_시나리오비교'!$C$6))+$I211*COS(RADIANS('13_시나리오비교'!$B$6))),0)</f>
        <v/>
      </c>
      <c r="R211" s="80">
        <f>IF($I211&gt;0,MAX(0,$G211*SIN(RADIANS('13_시나리오비교'!$B$7))*SIN(RADIANS('13_시나리오비교'!$C$7))+$H211*SIN(RADIANS('13_시나리오비교'!$B$7))*COS(RADIANS('13_시나리오비교'!$C$7))+$I211*COS(RADIANS('13_시나리오비교'!$B$7))),0)</f>
        <v/>
      </c>
      <c r="S211" s="80">
        <f>IF($I211&gt;0,MAX(0,$G211*SIN(RADIANS('13_시나리오비교'!$B$8))*SIN(RADIANS('13_시나리오비교'!$C$8))+$H211*SIN(RADIANS('13_시나리오비교'!$B$8))*COS(RADIANS('13_시나리오비교'!$C$8))+$I211*COS(RADIANS('13_시나리오비교'!$B$8))),0)</f>
        <v/>
      </c>
      <c r="T211" s="80">
        <f>IF($I211&gt;0,MAX(0,$G211*SIN(RADIANS('13_시나리오비교'!$B$9))*SIN(RADIANS('13_시나리오비교'!$C$9))+$H211*SIN(RADIANS('13_시나리오비교'!$B$9))*COS(RADIANS('13_시나리오비교'!$C$9))+$I211*COS(RADIANS('13_시나리오비교'!$B$9))),0)</f>
        <v/>
      </c>
      <c r="U211" s="80">
        <f>IF($I211&gt;0,MAX(0,$G211*SIN(RADIANS('13_시나리오비교'!$B$10))*SIN(RADIANS('13_시나리오비교'!$C$10))+$H211*SIN(RADIANS('13_시나리오비교'!$B$10))*COS(RADIANS('13_시나리오비교'!$C$10))+$I211*COS(RADIANS('13_시나리오비교'!$B$10))),0)</f>
        <v/>
      </c>
      <c r="V211" s="80">
        <f>IF($I211&gt;0,MAX(0,$G211*SIN(RADIANS('13_시나리오비교'!$B$11))*SIN(RADIANS('13_시나리오비교'!$C$11))+$H211*SIN(RADIANS('13_시나리오비교'!$B$11))*COS(RADIANS('13_시나리오비교'!$C$11))+$I211*COS(RADIANS('13_시나리오비교'!$B$11))),0)</f>
        <v/>
      </c>
      <c r="W211" s="80">
        <f>IF($I211&gt;0,MAX(0,$G211*SIN(RADIANS('13_시나리오비교'!$B$12))*SIN(RADIANS('13_시나리오비교'!$C$12))+$H211*SIN(RADIANS('13_시나리오비교'!$B$12))*COS(RADIANS('13_시나리오비교'!$C$12))+$I211*COS(RADIANS('13_시나리오비교'!$B$12))),0)</f>
        <v/>
      </c>
      <c r="X211" s="80">
        <f>IF($I211&gt;0,MAX(0,$G211*SIN(RADIANS('13_시나리오비교'!$B$13))*SIN(RADIANS('13_시나리오비교'!$C$13))+$H211*SIN(RADIANS('13_시나리오비교'!$B$13))*COS(RADIANS('13_시나리오비교'!$C$13))+$I211*COS(RADIANS('13_시나리오비교'!$B$13))),0)</f>
        <v/>
      </c>
      <c r="Y211" s="80">
        <f>IF($I211&gt;0,MAX(0,$G211*SIN(RADIANS('13_시나리오비교'!$B$14))*SIN(RADIANS('13_시나리오비교'!$C$14))+$H211*SIN(RADIANS('13_시나리오비교'!$B$14))*COS(RADIANS('13_시나리오비교'!$C$14))+$I211*COS(RADIANS('13_시나리오비교'!$B$14))),0)</f>
        <v/>
      </c>
    </row>
    <row r="212" hidden="1" outlineLevel="1">
      <c r="A212" s="79" t="n">
        <v>2</v>
      </c>
      <c r="B212" s="79" t="n">
        <v>96</v>
      </c>
      <c r="C212" s="80">
        <f>(B212-0.5)*'14_지역·상수'!$H$6</f>
        <v/>
      </c>
      <c r="D212" s="79" t="n">
        <v>47</v>
      </c>
      <c r="E212" s="80">
        <f>INDEX($C$4:$C$15,MATCH(A212,$A$4:$A$15,0))</f>
        <v/>
      </c>
      <c r="F212" s="80">
        <f>15*(C212-12)</f>
        <v/>
      </c>
      <c r="G212" s="80">
        <f>-COS(RADIANS(E212))*SIN(RADIANS(F212))</f>
        <v/>
      </c>
      <c r="H212" s="80">
        <f>COS(RADIANS('11_발전량_모델'!$B$17))*SIN(RADIANS(E212))-SIN(RADIANS('11_발전량_모델'!$B$17))*COS(RADIANS(E212))*COS(RADIANS(F212))</f>
        <v/>
      </c>
      <c r="I212" s="80">
        <f>SIN(RADIANS('11_발전량_모델'!$B$17))*SIN(RADIANS(E212))+COS(RADIANS('11_발전량_모델'!$B$17))*COS(RADIANS(E212))*COS(RADIANS(F212))</f>
        <v/>
      </c>
      <c r="J212" s="80">
        <f>SIN(RADIANS('11_발전량_모델'!$B$7))*SIN(RADIANS('11_발전량_모델'!$B$8))</f>
        <v/>
      </c>
      <c r="K212" s="80">
        <f>SIN(RADIANS('11_발전량_모델'!$B$7))*COS(RADIANS('11_발전량_모델'!$B$8))</f>
        <v/>
      </c>
      <c r="L212" s="80">
        <f>COS(RADIANS('11_발전량_모델'!$B$7))</f>
        <v/>
      </c>
      <c r="M212" s="80">
        <f>G212*J212+H212*K212+I212*L212</f>
        <v/>
      </c>
      <c r="N212" s="80">
        <f>MAX(0,I212)</f>
        <v/>
      </c>
      <c r="O212" s="80">
        <f>IF(I212&gt;0,MAX(0,M212),0)</f>
        <v/>
      </c>
      <c r="P212" s="80">
        <f>IF($I212&gt;0,MAX(0,$G212*SIN(RADIANS('13_시나리오비교'!$B$5))*SIN(RADIANS('13_시나리오비교'!$C$5))+$H212*SIN(RADIANS('13_시나리오비교'!$B$5))*COS(RADIANS('13_시나리오비교'!$C$5))+$I212*COS(RADIANS('13_시나리오비교'!$B$5))),0)</f>
        <v/>
      </c>
      <c r="Q212" s="80">
        <f>IF($I212&gt;0,MAX(0,$G212*SIN(RADIANS('13_시나리오비교'!$B$6))*SIN(RADIANS('13_시나리오비교'!$C$6))+$H212*SIN(RADIANS('13_시나리오비교'!$B$6))*COS(RADIANS('13_시나리오비교'!$C$6))+$I212*COS(RADIANS('13_시나리오비교'!$B$6))),0)</f>
        <v/>
      </c>
      <c r="R212" s="80">
        <f>IF($I212&gt;0,MAX(0,$G212*SIN(RADIANS('13_시나리오비교'!$B$7))*SIN(RADIANS('13_시나리오비교'!$C$7))+$H212*SIN(RADIANS('13_시나리오비교'!$B$7))*COS(RADIANS('13_시나리오비교'!$C$7))+$I212*COS(RADIANS('13_시나리오비교'!$B$7))),0)</f>
        <v/>
      </c>
      <c r="S212" s="80">
        <f>IF($I212&gt;0,MAX(0,$G212*SIN(RADIANS('13_시나리오비교'!$B$8))*SIN(RADIANS('13_시나리오비교'!$C$8))+$H212*SIN(RADIANS('13_시나리오비교'!$B$8))*COS(RADIANS('13_시나리오비교'!$C$8))+$I212*COS(RADIANS('13_시나리오비교'!$B$8))),0)</f>
        <v/>
      </c>
      <c r="T212" s="80">
        <f>IF($I212&gt;0,MAX(0,$G212*SIN(RADIANS('13_시나리오비교'!$B$9))*SIN(RADIANS('13_시나리오비교'!$C$9))+$H212*SIN(RADIANS('13_시나리오비교'!$B$9))*COS(RADIANS('13_시나리오비교'!$C$9))+$I212*COS(RADIANS('13_시나리오비교'!$B$9))),0)</f>
        <v/>
      </c>
      <c r="U212" s="80">
        <f>IF($I212&gt;0,MAX(0,$G212*SIN(RADIANS('13_시나리오비교'!$B$10))*SIN(RADIANS('13_시나리오비교'!$C$10))+$H212*SIN(RADIANS('13_시나리오비교'!$B$10))*COS(RADIANS('13_시나리오비교'!$C$10))+$I212*COS(RADIANS('13_시나리오비교'!$B$10))),0)</f>
        <v/>
      </c>
      <c r="V212" s="80">
        <f>IF($I212&gt;0,MAX(0,$G212*SIN(RADIANS('13_시나리오비교'!$B$11))*SIN(RADIANS('13_시나리오비교'!$C$11))+$H212*SIN(RADIANS('13_시나리오비교'!$B$11))*COS(RADIANS('13_시나리오비교'!$C$11))+$I212*COS(RADIANS('13_시나리오비교'!$B$11))),0)</f>
        <v/>
      </c>
      <c r="W212" s="80">
        <f>IF($I212&gt;0,MAX(0,$G212*SIN(RADIANS('13_시나리오비교'!$B$12))*SIN(RADIANS('13_시나리오비교'!$C$12))+$H212*SIN(RADIANS('13_시나리오비교'!$B$12))*COS(RADIANS('13_시나리오비교'!$C$12))+$I212*COS(RADIANS('13_시나리오비교'!$B$12))),0)</f>
        <v/>
      </c>
      <c r="X212" s="80">
        <f>IF($I212&gt;0,MAX(0,$G212*SIN(RADIANS('13_시나리오비교'!$B$13))*SIN(RADIANS('13_시나리오비교'!$C$13))+$H212*SIN(RADIANS('13_시나리오비교'!$B$13))*COS(RADIANS('13_시나리오비교'!$C$13))+$I212*COS(RADIANS('13_시나리오비교'!$B$13))),0)</f>
        <v/>
      </c>
      <c r="Y212" s="80">
        <f>IF($I212&gt;0,MAX(0,$G212*SIN(RADIANS('13_시나리오비교'!$B$14))*SIN(RADIANS('13_시나리오비교'!$C$14))+$H212*SIN(RADIANS('13_시나리오비교'!$B$14))*COS(RADIANS('13_시나리오비교'!$C$14))+$I212*COS(RADIANS('13_시나리오비교'!$B$14))),0)</f>
        <v/>
      </c>
    </row>
    <row r="213" hidden="1" outlineLevel="1">
      <c r="A213" s="79" t="n">
        <v>3</v>
      </c>
      <c r="B213" s="79" t="n">
        <v>1</v>
      </c>
      <c r="C213" s="80">
        <f>(B213-0.5)*'14_지역·상수'!$H$6</f>
        <v/>
      </c>
      <c r="D213" s="79" t="n">
        <v>75</v>
      </c>
      <c r="E213" s="80">
        <f>INDEX($C$4:$C$15,MATCH(A213,$A$4:$A$15,0))</f>
        <v/>
      </c>
      <c r="F213" s="80">
        <f>15*(C213-12)</f>
        <v/>
      </c>
      <c r="G213" s="80">
        <f>-COS(RADIANS(E213))*SIN(RADIANS(F213))</f>
        <v/>
      </c>
      <c r="H213" s="80">
        <f>COS(RADIANS('11_발전량_모델'!$B$17))*SIN(RADIANS(E213))-SIN(RADIANS('11_발전량_모델'!$B$17))*COS(RADIANS(E213))*COS(RADIANS(F213))</f>
        <v/>
      </c>
      <c r="I213" s="80">
        <f>SIN(RADIANS('11_발전량_모델'!$B$17))*SIN(RADIANS(E213))+COS(RADIANS('11_발전량_모델'!$B$17))*COS(RADIANS(E213))*COS(RADIANS(F213))</f>
        <v/>
      </c>
      <c r="J213" s="80">
        <f>SIN(RADIANS('11_발전량_모델'!$B$7))*SIN(RADIANS('11_발전량_모델'!$B$8))</f>
        <v/>
      </c>
      <c r="K213" s="80">
        <f>SIN(RADIANS('11_발전량_모델'!$B$7))*COS(RADIANS('11_발전량_모델'!$B$8))</f>
        <v/>
      </c>
      <c r="L213" s="80">
        <f>COS(RADIANS('11_발전량_모델'!$B$7))</f>
        <v/>
      </c>
      <c r="M213" s="80">
        <f>G213*J213+H213*K213+I213*L213</f>
        <v/>
      </c>
      <c r="N213" s="80">
        <f>MAX(0,I213)</f>
        <v/>
      </c>
      <c r="O213" s="80">
        <f>IF(I213&gt;0,MAX(0,M213),0)</f>
        <v/>
      </c>
      <c r="P213" s="80">
        <f>IF($I213&gt;0,MAX(0,$G213*SIN(RADIANS('13_시나리오비교'!$B$5))*SIN(RADIANS('13_시나리오비교'!$C$5))+$H213*SIN(RADIANS('13_시나리오비교'!$B$5))*COS(RADIANS('13_시나리오비교'!$C$5))+$I213*COS(RADIANS('13_시나리오비교'!$B$5))),0)</f>
        <v/>
      </c>
      <c r="Q213" s="80">
        <f>IF($I213&gt;0,MAX(0,$G213*SIN(RADIANS('13_시나리오비교'!$B$6))*SIN(RADIANS('13_시나리오비교'!$C$6))+$H213*SIN(RADIANS('13_시나리오비교'!$B$6))*COS(RADIANS('13_시나리오비교'!$C$6))+$I213*COS(RADIANS('13_시나리오비교'!$B$6))),0)</f>
        <v/>
      </c>
      <c r="R213" s="80">
        <f>IF($I213&gt;0,MAX(0,$G213*SIN(RADIANS('13_시나리오비교'!$B$7))*SIN(RADIANS('13_시나리오비교'!$C$7))+$H213*SIN(RADIANS('13_시나리오비교'!$B$7))*COS(RADIANS('13_시나리오비교'!$C$7))+$I213*COS(RADIANS('13_시나리오비교'!$B$7))),0)</f>
        <v/>
      </c>
      <c r="S213" s="80">
        <f>IF($I213&gt;0,MAX(0,$G213*SIN(RADIANS('13_시나리오비교'!$B$8))*SIN(RADIANS('13_시나리오비교'!$C$8))+$H213*SIN(RADIANS('13_시나리오비교'!$B$8))*COS(RADIANS('13_시나리오비교'!$C$8))+$I213*COS(RADIANS('13_시나리오비교'!$B$8))),0)</f>
        <v/>
      </c>
      <c r="T213" s="80">
        <f>IF($I213&gt;0,MAX(0,$G213*SIN(RADIANS('13_시나리오비교'!$B$9))*SIN(RADIANS('13_시나리오비교'!$C$9))+$H213*SIN(RADIANS('13_시나리오비교'!$B$9))*COS(RADIANS('13_시나리오비교'!$C$9))+$I213*COS(RADIANS('13_시나리오비교'!$B$9))),0)</f>
        <v/>
      </c>
      <c r="U213" s="80">
        <f>IF($I213&gt;0,MAX(0,$G213*SIN(RADIANS('13_시나리오비교'!$B$10))*SIN(RADIANS('13_시나리오비교'!$C$10))+$H213*SIN(RADIANS('13_시나리오비교'!$B$10))*COS(RADIANS('13_시나리오비교'!$C$10))+$I213*COS(RADIANS('13_시나리오비교'!$B$10))),0)</f>
        <v/>
      </c>
      <c r="V213" s="80">
        <f>IF($I213&gt;0,MAX(0,$G213*SIN(RADIANS('13_시나리오비교'!$B$11))*SIN(RADIANS('13_시나리오비교'!$C$11))+$H213*SIN(RADIANS('13_시나리오비교'!$B$11))*COS(RADIANS('13_시나리오비교'!$C$11))+$I213*COS(RADIANS('13_시나리오비교'!$B$11))),0)</f>
        <v/>
      </c>
      <c r="W213" s="80">
        <f>IF($I213&gt;0,MAX(0,$G213*SIN(RADIANS('13_시나리오비교'!$B$12))*SIN(RADIANS('13_시나리오비교'!$C$12))+$H213*SIN(RADIANS('13_시나리오비교'!$B$12))*COS(RADIANS('13_시나리오비교'!$C$12))+$I213*COS(RADIANS('13_시나리오비교'!$B$12))),0)</f>
        <v/>
      </c>
      <c r="X213" s="80">
        <f>IF($I213&gt;0,MAX(0,$G213*SIN(RADIANS('13_시나리오비교'!$B$13))*SIN(RADIANS('13_시나리오비교'!$C$13))+$H213*SIN(RADIANS('13_시나리오비교'!$B$13))*COS(RADIANS('13_시나리오비교'!$C$13))+$I213*COS(RADIANS('13_시나리오비교'!$B$13))),0)</f>
        <v/>
      </c>
      <c r="Y213" s="80">
        <f>IF($I213&gt;0,MAX(0,$G213*SIN(RADIANS('13_시나리오비교'!$B$14))*SIN(RADIANS('13_시나리오비교'!$C$14))+$H213*SIN(RADIANS('13_시나리오비교'!$B$14))*COS(RADIANS('13_시나리오비교'!$C$14))+$I213*COS(RADIANS('13_시나리오비교'!$B$14))),0)</f>
        <v/>
      </c>
    </row>
    <row r="214" hidden="1" outlineLevel="1">
      <c r="A214" s="79" t="n">
        <v>3</v>
      </c>
      <c r="B214" s="79" t="n">
        <v>2</v>
      </c>
      <c r="C214" s="80">
        <f>(B214-0.5)*'14_지역·상수'!$H$6</f>
        <v/>
      </c>
      <c r="D214" s="79" t="n">
        <v>75</v>
      </c>
      <c r="E214" s="80">
        <f>INDEX($C$4:$C$15,MATCH(A214,$A$4:$A$15,0))</f>
        <v/>
      </c>
      <c r="F214" s="80">
        <f>15*(C214-12)</f>
        <v/>
      </c>
      <c r="G214" s="80">
        <f>-COS(RADIANS(E214))*SIN(RADIANS(F214))</f>
        <v/>
      </c>
      <c r="H214" s="80">
        <f>COS(RADIANS('11_발전량_모델'!$B$17))*SIN(RADIANS(E214))-SIN(RADIANS('11_발전량_모델'!$B$17))*COS(RADIANS(E214))*COS(RADIANS(F214))</f>
        <v/>
      </c>
      <c r="I214" s="80">
        <f>SIN(RADIANS('11_발전량_모델'!$B$17))*SIN(RADIANS(E214))+COS(RADIANS('11_발전량_모델'!$B$17))*COS(RADIANS(E214))*COS(RADIANS(F214))</f>
        <v/>
      </c>
      <c r="J214" s="80">
        <f>SIN(RADIANS('11_발전량_모델'!$B$7))*SIN(RADIANS('11_발전량_모델'!$B$8))</f>
        <v/>
      </c>
      <c r="K214" s="80">
        <f>SIN(RADIANS('11_발전량_모델'!$B$7))*COS(RADIANS('11_발전량_모델'!$B$8))</f>
        <v/>
      </c>
      <c r="L214" s="80">
        <f>COS(RADIANS('11_발전량_모델'!$B$7))</f>
        <v/>
      </c>
      <c r="M214" s="80">
        <f>G214*J214+H214*K214+I214*L214</f>
        <v/>
      </c>
      <c r="N214" s="80">
        <f>MAX(0,I214)</f>
        <v/>
      </c>
      <c r="O214" s="80">
        <f>IF(I214&gt;0,MAX(0,M214),0)</f>
        <v/>
      </c>
      <c r="P214" s="80">
        <f>IF($I214&gt;0,MAX(0,$G214*SIN(RADIANS('13_시나리오비교'!$B$5))*SIN(RADIANS('13_시나리오비교'!$C$5))+$H214*SIN(RADIANS('13_시나리오비교'!$B$5))*COS(RADIANS('13_시나리오비교'!$C$5))+$I214*COS(RADIANS('13_시나리오비교'!$B$5))),0)</f>
        <v/>
      </c>
      <c r="Q214" s="80">
        <f>IF($I214&gt;0,MAX(0,$G214*SIN(RADIANS('13_시나리오비교'!$B$6))*SIN(RADIANS('13_시나리오비교'!$C$6))+$H214*SIN(RADIANS('13_시나리오비교'!$B$6))*COS(RADIANS('13_시나리오비교'!$C$6))+$I214*COS(RADIANS('13_시나리오비교'!$B$6))),0)</f>
        <v/>
      </c>
      <c r="R214" s="80">
        <f>IF($I214&gt;0,MAX(0,$G214*SIN(RADIANS('13_시나리오비교'!$B$7))*SIN(RADIANS('13_시나리오비교'!$C$7))+$H214*SIN(RADIANS('13_시나리오비교'!$B$7))*COS(RADIANS('13_시나리오비교'!$C$7))+$I214*COS(RADIANS('13_시나리오비교'!$B$7))),0)</f>
        <v/>
      </c>
      <c r="S214" s="80">
        <f>IF($I214&gt;0,MAX(0,$G214*SIN(RADIANS('13_시나리오비교'!$B$8))*SIN(RADIANS('13_시나리오비교'!$C$8))+$H214*SIN(RADIANS('13_시나리오비교'!$B$8))*COS(RADIANS('13_시나리오비교'!$C$8))+$I214*COS(RADIANS('13_시나리오비교'!$B$8))),0)</f>
        <v/>
      </c>
      <c r="T214" s="80">
        <f>IF($I214&gt;0,MAX(0,$G214*SIN(RADIANS('13_시나리오비교'!$B$9))*SIN(RADIANS('13_시나리오비교'!$C$9))+$H214*SIN(RADIANS('13_시나리오비교'!$B$9))*COS(RADIANS('13_시나리오비교'!$C$9))+$I214*COS(RADIANS('13_시나리오비교'!$B$9))),0)</f>
        <v/>
      </c>
      <c r="U214" s="80">
        <f>IF($I214&gt;0,MAX(0,$G214*SIN(RADIANS('13_시나리오비교'!$B$10))*SIN(RADIANS('13_시나리오비교'!$C$10))+$H214*SIN(RADIANS('13_시나리오비교'!$B$10))*COS(RADIANS('13_시나리오비교'!$C$10))+$I214*COS(RADIANS('13_시나리오비교'!$B$10))),0)</f>
        <v/>
      </c>
      <c r="V214" s="80">
        <f>IF($I214&gt;0,MAX(0,$G214*SIN(RADIANS('13_시나리오비교'!$B$11))*SIN(RADIANS('13_시나리오비교'!$C$11))+$H214*SIN(RADIANS('13_시나리오비교'!$B$11))*COS(RADIANS('13_시나리오비교'!$C$11))+$I214*COS(RADIANS('13_시나리오비교'!$B$11))),0)</f>
        <v/>
      </c>
      <c r="W214" s="80">
        <f>IF($I214&gt;0,MAX(0,$G214*SIN(RADIANS('13_시나리오비교'!$B$12))*SIN(RADIANS('13_시나리오비교'!$C$12))+$H214*SIN(RADIANS('13_시나리오비교'!$B$12))*COS(RADIANS('13_시나리오비교'!$C$12))+$I214*COS(RADIANS('13_시나리오비교'!$B$12))),0)</f>
        <v/>
      </c>
      <c r="X214" s="80">
        <f>IF($I214&gt;0,MAX(0,$G214*SIN(RADIANS('13_시나리오비교'!$B$13))*SIN(RADIANS('13_시나리오비교'!$C$13))+$H214*SIN(RADIANS('13_시나리오비교'!$B$13))*COS(RADIANS('13_시나리오비교'!$C$13))+$I214*COS(RADIANS('13_시나리오비교'!$B$13))),0)</f>
        <v/>
      </c>
      <c r="Y214" s="80">
        <f>IF($I214&gt;0,MAX(0,$G214*SIN(RADIANS('13_시나리오비교'!$B$14))*SIN(RADIANS('13_시나리오비교'!$C$14))+$H214*SIN(RADIANS('13_시나리오비교'!$B$14))*COS(RADIANS('13_시나리오비교'!$C$14))+$I214*COS(RADIANS('13_시나리오비교'!$B$14))),0)</f>
        <v/>
      </c>
    </row>
    <row r="215" hidden="1" outlineLevel="1">
      <c r="A215" s="79" t="n">
        <v>3</v>
      </c>
      <c r="B215" s="79" t="n">
        <v>3</v>
      </c>
      <c r="C215" s="80">
        <f>(B215-0.5)*'14_지역·상수'!$H$6</f>
        <v/>
      </c>
      <c r="D215" s="79" t="n">
        <v>75</v>
      </c>
      <c r="E215" s="80">
        <f>INDEX($C$4:$C$15,MATCH(A215,$A$4:$A$15,0))</f>
        <v/>
      </c>
      <c r="F215" s="80">
        <f>15*(C215-12)</f>
        <v/>
      </c>
      <c r="G215" s="80">
        <f>-COS(RADIANS(E215))*SIN(RADIANS(F215))</f>
        <v/>
      </c>
      <c r="H215" s="80">
        <f>COS(RADIANS('11_발전량_모델'!$B$17))*SIN(RADIANS(E215))-SIN(RADIANS('11_발전량_모델'!$B$17))*COS(RADIANS(E215))*COS(RADIANS(F215))</f>
        <v/>
      </c>
      <c r="I215" s="80">
        <f>SIN(RADIANS('11_발전량_모델'!$B$17))*SIN(RADIANS(E215))+COS(RADIANS('11_발전량_모델'!$B$17))*COS(RADIANS(E215))*COS(RADIANS(F215))</f>
        <v/>
      </c>
      <c r="J215" s="80">
        <f>SIN(RADIANS('11_발전량_모델'!$B$7))*SIN(RADIANS('11_발전량_모델'!$B$8))</f>
        <v/>
      </c>
      <c r="K215" s="80">
        <f>SIN(RADIANS('11_발전량_모델'!$B$7))*COS(RADIANS('11_발전량_모델'!$B$8))</f>
        <v/>
      </c>
      <c r="L215" s="80">
        <f>COS(RADIANS('11_발전량_모델'!$B$7))</f>
        <v/>
      </c>
      <c r="M215" s="80">
        <f>G215*J215+H215*K215+I215*L215</f>
        <v/>
      </c>
      <c r="N215" s="80">
        <f>MAX(0,I215)</f>
        <v/>
      </c>
      <c r="O215" s="80">
        <f>IF(I215&gt;0,MAX(0,M215),0)</f>
        <v/>
      </c>
      <c r="P215" s="80">
        <f>IF($I215&gt;0,MAX(0,$G215*SIN(RADIANS('13_시나리오비교'!$B$5))*SIN(RADIANS('13_시나리오비교'!$C$5))+$H215*SIN(RADIANS('13_시나리오비교'!$B$5))*COS(RADIANS('13_시나리오비교'!$C$5))+$I215*COS(RADIANS('13_시나리오비교'!$B$5))),0)</f>
        <v/>
      </c>
      <c r="Q215" s="80">
        <f>IF($I215&gt;0,MAX(0,$G215*SIN(RADIANS('13_시나리오비교'!$B$6))*SIN(RADIANS('13_시나리오비교'!$C$6))+$H215*SIN(RADIANS('13_시나리오비교'!$B$6))*COS(RADIANS('13_시나리오비교'!$C$6))+$I215*COS(RADIANS('13_시나리오비교'!$B$6))),0)</f>
        <v/>
      </c>
      <c r="R215" s="80">
        <f>IF($I215&gt;0,MAX(0,$G215*SIN(RADIANS('13_시나리오비교'!$B$7))*SIN(RADIANS('13_시나리오비교'!$C$7))+$H215*SIN(RADIANS('13_시나리오비교'!$B$7))*COS(RADIANS('13_시나리오비교'!$C$7))+$I215*COS(RADIANS('13_시나리오비교'!$B$7))),0)</f>
        <v/>
      </c>
      <c r="S215" s="80">
        <f>IF($I215&gt;0,MAX(0,$G215*SIN(RADIANS('13_시나리오비교'!$B$8))*SIN(RADIANS('13_시나리오비교'!$C$8))+$H215*SIN(RADIANS('13_시나리오비교'!$B$8))*COS(RADIANS('13_시나리오비교'!$C$8))+$I215*COS(RADIANS('13_시나리오비교'!$B$8))),0)</f>
        <v/>
      </c>
      <c r="T215" s="80">
        <f>IF($I215&gt;0,MAX(0,$G215*SIN(RADIANS('13_시나리오비교'!$B$9))*SIN(RADIANS('13_시나리오비교'!$C$9))+$H215*SIN(RADIANS('13_시나리오비교'!$B$9))*COS(RADIANS('13_시나리오비교'!$C$9))+$I215*COS(RADIANS('13_시나리오비교'!$B$9))),0)</f>
        <v/>
      </c>
      <c r="U215" s="80">
        <f>IF($I215&gt;0,MAX(0,$G215*SIN(RADIANS('13_시나리오비교'!$B$10))*SIN(RADIANS('13_시나리오비교'!$C$10))+$H215*SIN(RADIANS('13_시나리오비교'!$B$10))*COS(RADIANS('13_시나리오비교'!$C$10))+$I215*COS(RADIANS('13_시나리오비교'!$B$10))),0)</f>
        <v/>
      </c>
      <c r="V215" s="80">
        <f>IF($I215&gt;0,MAX(0,$G215*SIN(RADIANS('13_시나리오비교'!$B$11))*SIN(RADIANS('13_시나리오비교'!$C$11))+$H215*SIN(RADIANS('13_시나리오비교'!$B$11))*COS(RADIANS('13_시나리오비교'!$C$11))+$I215*COS(RADIANS('13_시나리오비교'!$B$11))),0)</f>
        <v/>
      </c>
      <c r="W215" s="80">
        <f>IF($I215&gt;0,MAX(0,$G215*SIN(RADIANS('13_시나리오비교'!$B$12))*SIN(RADIANS('13_시나리오비교'!$C$12))+$H215*SIN(RADIANS('13_시나리오비교'!$B$12))*COS(RADIANS('13_시나리오비교'!$C$12))+$I215*COS(RADIANS('13_시나리오비교'!$B$12))),0)</f>
        <v/>
      </c>
      <c r="X215" s="80">
        <f>IF($I215&gt;0,MAX(0,$G215*SIN(RADIANS('13_시나리오비교'!$B$13))*SIN(RADIANS('13_시나리오비교'!$C$13))+$H215*SIN(RADIANS('13_시나리오비교'!$B$13))*COS(RADIANS('13_시나리오비교'!$C$13))+$I215*COS(RADIANS('13_시나리오비교'!$B$13))),0)</f>
        <v/>
      </c>
      <c r="Y215" s="80">
        <f>IF($I215&gt;0,MAX(0,$G215*SIN(RADIANS('13_시나리오비교'!$B$14))*SIN(RADIANS('13_시나리오비교'!$C$14))+$H215*SIN(RADIANS('13_시나리오비교'!$B$14))*COS(RADIANS('13_시나리오비교'!$C$14))+$I215*COS(RADIANS('13_시나리오비교'!$B$14))),0)</f>
        <v/>
      </c>
    </row>
    <row r="216" hidden="1" outlineLevel="1">
      <c r="A216" s="79" t="n">
        <v>3</v>
      </c>
      <c r="B216" s="79" t="n">
        <v>4</v>
      </c>
      <c r="C216" s="80">
        <f>(B216-0.5)*'14_지역·상수'!$H$6</f>
        <v/>
      </c>
      <c r="D216" s="79" t="n">
        <v>75</v>
      </c>
      <c r="E216" s="80">
        <f>INDEX($C$4:$C$15,MATCH(A216,$A$4:$A$15,0))</f>
        <v/>
      </c>
      <c r="F216" s="80">
        <f>15*(C216-12)</f>
        <v/>
      </c>
      <c r="G216" s="80">
        <f>-COS(RADIANS(E216))*SIN(RADIANS(F216))</f>
        <v/>
      </c>
      <c r="H216" s="80">
        <f>COS(RADIANS('11_발전량_모델'!$B$17))*SIN(RADIANS(E216))-SIN(RADIANS('11_발전량_모델'!$B$17))*COS(RADIANS(E216))*COS(RADIANS(F216))</f>
        <v/>
      </c>
      <c r="I216" s="80">
        <f>SIN(RADIANS('11_발전량_모델'!$B$17))*SIN(RADIANS(E216))+COS(RADIANS('11_발전량_모델'!$B$17))*COS(RADIANS(E216))*COS(RADIANS(F216))</f>
        <v/>
      </c>
      <c r="J216" s="80">
        <f>SIN(RADIANS('11_발전량_모델'!$B$7))*SIN(RADIANS('11_발전량_모델'!$B$8))</f>
        <v/>
      </c>
      <c r="K216" s="80">
        <f>SIN(RADIANS('11_발전량_모델'!$B$7))*COS(RADIANS('11_발전량_모델'!$B$8))</f>
        <v/>
      </c>
      <c r="L216" s="80">
        <f>COS(RADIANS('11_발전량_모델'!$B$7))</f>
        <v/>
      </c>
      <c r="M216" s="80">
        <f>G216*J216+H216*K216+I216*L216</f>
        <v/>
      </c>
      <c r="N216" s="80">
        <f>MAX(0,I216)</f>
        <v/>
      </c>
      <c r="O216" s="80">
        <f>IF(I216&gt;0,MAX(0,M216),0)</f>
        <v/>
      </c>
      <c r="P216" s="80">
        <f>IF($I216&gt;0,MAX(0,$G216*SIN(RADIANS('13_시나리오비교'!$B$5))*SIN(RADIANS('13_시나리오비교'!$C$5))+$H216*SIN(RADIANS('13_시나리오비교'!$B$5))*COS(RADIANS('13_시나리오비교'!$C$5))+$I216*COS(RADIANS('13_시나리오비교'!$B$5))),0)</f>
        <v/>
      </c>
      <c r="Q216" s="80">
        <f>IF($I216&gt;0,MAX(0,$G216*SIN(RADIANS('13_시나리오비교'!$B$6))*SIN(RADIANS('13_시나리오비교'!$C$6))+$H216*SIN(RADIANS('13_시나리오비교'!$B$6))*COS(RADIANS('13_시나리오비교'!$C$6))+$I216*COS(RADIANS('13_시나리오비교'!$B$6))),0)</f>
        <v/>
      </c>
      <c r="R216" s="80">
        <f>IF($I216&gt;0,MAX(0,$G216*SIN(RADIANS('13_시나리오비교'!$B$7))*SIN(RADIANS('13_시나리오비교'!$C$7))+$H216*SIN(RADIANS('13_시나리오비교'!$B$7))*COS(RADIANS('13_시나리오비교'!$C$7))+$I216*COS(RADIANS('13_시나리오비교'!$B$7))),0)</f>
        <v/>
      </c>
      <c r="S216" s="80">
        <f>IF($I216&gt;0,MAX(0,$G216*SIN(RADIANS('13_시나리오비교'!$B$8))*SIN(RADIANS('13_시나리오비교'!$C$8))+$H216*SIN(RADIANS('13_시나리오비교'!$B$8))*COS(RADIANS('13_시나리오비교'!$C$8))+$I216*COS(RADIANS('13_시나리오비교'!$B$8))),0)</f>
        <v/>
      </c>
      <c r="T216" s="80">
        <f>IF($I216&gt;0,MAX(0,$G216*SIN(RADIANS('13_시나리오비교'!$B$9))*SIN(RADIANS('13_시나리오비교'!$C$9))+$H216*SIN(RADIANS('13_시나리오비교'!$B$9))*COS(RADIANS('13_시나리오비교'!$C$9))+$I216*COS(RADIANS('13_시나리오비교'!$B$9))),0)</f>
        <v/>
      </c>
      <c r="U216" s="80">
        <f>IF($I216&gt;0,MAX(0,$G216*SIN(RADIANS('13_시나리오비교'!$B$10))*SIN(RADIANS('13_시나리오비교'!$C$10))+$H216*SIN(RADIANS('13_시나리오비교'!$B$10))*COS(RADIANS('13_시나리오비교'!$C$10))+$I216*COS(RADIANS('13_시나리오비교'!$B$10))),0)</f>
        <v/>
      </c>
      <c r="V216" s="80">
        <f>IF($I216&gt;0,MAX(0,$G216*SIN(RADIANS('13_시나리오비교'!$B$11))*SIN(RADIANS('13_시나리오비교'!$C$11))+$H216*SIN(RADIANS('13_시나리오비교'!$B$11))*COS(RADIANS('13_시나리오비교'!$C$11))+$I216*COS(RADIANS('13_시나리오비교'!$B$11))),0)</f>
        <v/>
      </c>
      <c r="W216" s="80">
        <f>IF($I216&gt;0,MAX(0,$G216*SIN(RADIANS('13_시나리오비교'!$B$12))*SIN(RADIANS('13_시나리오비교'!$C$12))+$H216*SIN(RADIANS('13_시나리오비교'!$B$12))*COS(RADIANS('13_시나리오비교'!$C$12))+$I216*COS(RADIANS('13_시나리오비교'!$B$12))),0)</f>
        <v/>
      </c>
      <c r="X216" s="80">
        <f>IF($I216&gt;0,MAX(0,$G216*SIN(RADIANS('13_시나리오비교'!$B$13))*SIN(RADIANS('13_시나리오비교'!$C$13))+$H216*SIN(RADIANS('13_시나리오비교'!$B$13))*COS(RADIANS('13_시나리오비교'!$C$13))+$I216*COS(RADIANS('13_시나리오비교'!$B$13))),0)</f>
        <v/>
      </c>
      <c r="Y216" s="80">
        <f>IF($I216&gt;0,MAX(0,$G216*SIN(RADIANS('13_시나리오비교'!$B$14))*SIN(RADIANS('13_시나리오비교'!$C$14))+$H216*SIN(RADIANS('13_시나리오비교'!$B$14))*COS(RADIANS('13_시나리오비교'!$C$14))+$I216*COS(RADIANS('13_시나리오비교'!$B$14))),0)</f>
        <v/>
      </c>
    </row>
    <row r="217" hidden="1" outlineLevel="1">
      <c r="A217" s="79" t="n">
        <v>3</v>
      </c>
      <c r="B217" s="79" t="n">
        <v>5</v>
      </c>
      <c r="C217" s="80">
        <f>(B217-0.5)*'14_지역·상수'!$H$6</f>
        <v/>
      </c>
      <c r="D217" s="79" t="n">
        <v>75</v>
      </c>
      <c r="E217" s="80">
        <f>INDEX($C$4:$C$15,MATCH(A217,$A$4:$A$15,0))</f>
        <v/>
      </c>
      <c r="F217" s="80">
        <f>15*(C217-12)</f>
        <v/>
      </c>
      <c r="G217" s="80">
        <f>-COS(RADIANS(E217))*SIN(RADIANS(F217))</f>
        <v/>
      </c>
      <c r="H217" s="80">
        <f>COS(RADIANS('11_발전량_모델'!$B$17))*SIN(RADIANS(E217))-SIN(RADIANS('11_발전량_모델'!$B$17))*COS(RADIANS(E217))*COS(RADIANS(F217))</f>
        <v/>
      </c>
      <c r="I217" s="80">
        <f>SIN(RADIANS('11_발전량_모델'!$B$17))*SIN(RADIANS(E217))+COS(RADIANS('11_발전량_모델'!$B$17))*COS(RADIANS(E217))*COS(RADIANS(F217))</f>
        <v/>
      </c>
      <c r="J217" s="80">
        <f>SIN(RADIANS('11_발전량_모델'!$B$7))*SIN(RADIANS('11_발전량_모델'!$B$8))</f>
        <v/>
      </c>
      <c r="K217" s="80">
        <f>SIN(RADIANS('11_발전량_모델'!$B$7))*COS(RADIANS('11_발전량_모델'!$B$8))</f>
        <v/>
      </c>
      <c r="L217" s="80">
        <f>COS(RADIANS('11_발전량_모델'!$B$7))</f>
        <v/>
      </c>
      <c r="M217" s="80">
        <f>G217*J217+H217*K217+I217*L217</f>
        <v/>
      </c>
      <c r="N217" s="80">
        <f>MAX(0,I217)</f>
        <v/>
      </c>
      <c r="O217" s="80">
        <f>IF(I217&gt;0,MAX(0,M217),0)</f>
        <v/>
      </c>
      <c r="P217" s="80">
        <f>IF($I217&gt;0,MAX(0,$G217*SIN(RADIANS('13_시나리오비교'!$B$5))*SIN(RADIANS('13_시나리오비교'!$C$5))+$H217*SIN(RADIANS('13_시나리오비교'!$B$5))*COS(RADIANS('13_시나리오비교'!$C$5))+$I217*COS(RADIANS('13_시나리오비교'!$B$5))),0)</f>
        <v/>
      </c>
      <c r="Q217" s="80">
        <f>IF($I217&gt;0,MAX(0,$G217*SIN(RADIANS('13_시나리오비교'!$B$6))*SIN(RADIANS('13_시나리오비교'!$C$6))+$H217*SIN(RADIANS('13_시나리오비교'!$B$6))*COS(RADIANS('13_시나리오비교'!$C$6))+$I217*COS(RADIANS('13_시나리오비교'!$B$6))),0)</f>
        <v/>
      </c>
      <c r="R217" s="80">
        <f>IF($I217&gt;0,MAX(0,$G217*SIN(RADIANS('13_시나리오비교'!$B$7))*SIN(RADIANS('13_시나리오비교'!$C$7))+$H217*SIN(RADIANS('13_시나리오비교'!$B$7))*COS(RADIANS('13_시나리오비교'!$C$7))+$I217*COS(RADIANS('13_시나리오비교'!$B$7))),0)</f>
        <v/>
      </c>
      <c r="S217" s="80">
        <f>IF($I217&gt;0,MAX(0,$G217*SIN(RADIANS('13_시나리오비교'!$B$8))*SIN(RADIANS('13_시나리오비교'!$C$8))+$H217*SIN(RADIANS('13_시나리오비교'!$B$8))*COS(RADIANS('13_시나리오비교'!$C$8))+$I217*COS(RADIANS('13_시나리오비교'!$B$8))),0)</f>
        <v/>
      </c>
      <c r="T217" s="80">
        <f>IF($I217&gt;0,MAX(0,$G217*SIN(RADIANS('13_시나리오비교'!$B$9))*SIN(RADIANS('13_시나리오비교'!$C$9))+$H217*SIN(RADIANS('13_시나리오비교'!$B$9))*COS(RADIANS('13_시나리오비교'!$C$9))+$I217*COS(RADIANS('13_시나리오비교'!$B$9))),0)</f>
        <v/>
      </c>
      <c r="U217" s="80">
        <f>IF($I217&gt;0,MAX(0,$G217*SIN(RADIANS('13_시나리오비교'!$B$10))*SIN(RADIANS('13_시나리오비교'!$C$10))+$H217*SIN(RADIANS('13_시나리오비교'!$B$10))*COS(RADIANS('13_시나리오비교'!$C$10))+$I217*COS(RADIANS('13_시나리오비교'!$B$10))),0)</f>
        <v/>
      </c>
      <c r="V217" s="80">
        <f>IF($I217&gt;0,MAX(0,$G217*SIN(RADIANS('13_시나리오비교'!$B$11))*SIN(RADIANS('13_시나리오비교'!$C$11))+$H217*SIN(RADIANS('13_시나리오비교'!$B$11))*COS(RADIANS('13_시나리오비교'!$C$11))+$I217*COS(RADIANS('13_시나리오비교'!$B$11))),0)</f>
        <v/>
      </c>
      <c r="W217" s="80">
        <f>IF($I217&gt;0,MAX(0,$G217*SIN(RADIANS('13_시나리오비교'!$B$12))*SIN(RADIANS('13_시나리오비교'!$C$12))+$H217*SIN(RADIANS('13_시나리오비교'!$B$12))*COS(RADIANS('13_시나리오비교'!$C$12))+$I217*COS(RADIANS('13_시나리오비교'!$B$12))),0)</f>
        <v/>
      </c>
      <c r="X217" s="80">
        <f>IF($I217&gt;0,MAX(0,$G217*SIN(RADIANS('13_시나리오비교'!$B$13))*SIN(RADIANS('13_시나리오비교'!$C$13))+$H217*SIN(RADIANS('13_시나리오비교'!$B$13))*COS(RADIANS('13_시나리오비교'!$C$13))+$I217*COS(RADIANS('13_시나리오비교'!$B$13))),0)</f>
        <v/>
      </c>
      <c r="Y217" s="80">
        <f>IF($I217&gt;0,MAX(0,$G217*SIN(RADIANS('13_시나리오비교'!$B$14))*SIN(RADIANS('13_시나리오비교'!$C$14))+$H217*SIN(RADIANS('13_시나리오비교'!$B$14))*COS(RADIANS('13_시나리오비교'!$C$14))+$I217*COS(RADIANS('13_시나리오비교'!$B$14))),0)</f>
        <v/>
      </c>
    </row>
    <row r="218" hidden="1" outlineLevel="1">
      <c r="A218" s="79" t="n">
        <v>3</v>
      </c>
      <c r="B218" s="79" t="n">
        <v>6</v>
      </c>
      <c r="C218" s="80">
        <f>(B218-0.5)*'14_지역·상수'!$H$6</f>
        <v/>
      </c>
      <c r="D218" s="79" t="n">
        <v>75</v>
      </c>
      <c r="E218" s="80">
        <f>INDEX($C$4:$C$15,MATCH(A218,$A$4:$A$15,0))</f>
        <v/>
      </c>
      <c r="F218" s="80">
        <f>15*(C218-12)</f>
        <v/>
      </c>
      <c r="G218" s="80">
        <f>-COS(RADIANS(E218))*SIN(RADIANS(F218))</f>
        <v/>
      </c>
      <c r="H218" s="80">
        <f>COS(RADIANS('11_발전량_모델'!$B$17))*SIN(RADIANS(E218))-SIN(RADIANS('11_발전량_모델'!$B$17))*COS(RADIANS(E218))*COS(RADIANS(F218))</f>
        <v/>
      </c>
      <c r="I218" s="80">
        <f>SIN(RADIANS('11_발전량_모델'!$B$17))*SIN(RADIANS(E218))+COS(RADIANS('11_발전량_모델'!$B$17))*COS(RADIANS(E218))*COS(RADIANS(F218))</f>
        <v/>
      </c>
      <c r="J218" s="80">
        <f>SIN(RADIANS('11_발전량_모델'!$B$7))*SIN(RADIANS('11_발전량_모델'!$B$8))</f>
        <v/>
      </c>
      <c r="K218" s="80">
        <f>SIN(RADIANS('11_발전량_모델'!$B$7))*COS(RADIANS('11_발전량_모델'!$B$8))</f>
        <v/>
      </c>
      <c r="L218" s="80">
        <f>COS(RADIANS('11_발전량_모델'!$B$7))</f>
        <v/>
      </c>
      <c r="M218" s="80">
        <f>G218*J218+H218*K218+I218*L218</f>
        <v/>
      </c>
      <c r="N218" s="80">
        <f>MAX(0,I218)</f>
        <v/>
      </c>
      <c r="O218" s="80">
        <f>IF(I218&gt;0,MAX(0,M218),0)</f>
        <v/>
      </c>
      <c r="P218" s="80">
        <f>IF($I218&gt;0,MAX(0,$G218*SIN(RADIANS('13_시나리오비교'!$B$5))*SIN(RADIANS('13_시나리오비교'!$C$5))+$H218*SIN(RADIANS('13_시나리오비교'!$B$5))*COS(RADIANS('13_시나리오비교'!$C$5))+$I218*COS(RADIANS('13_시나리오비교'!$B$5))),0)</f>
        <v/>
      </c>
      <c r="Q218" s="80">
        <f>IF($I218&gt;0,MAX(0,$G218*SIN(RADIANS('13_시나리오비교'!$B$6))*SIN(RADIANS('13_시나리오비교'!$C$6))+$H218*SIN(RADIANS('13_시나리오비교'!$B$6))*COS(RADIANS('13_시나리오비교'!$C$6))+$I218*COS(RADIANS('13_시나리오비교'!$B$6))),0)</f>
        <v/>
      </c>
      <c r="R218" s="80">
        <f>IF($I218&gt;0,MAX(0,$G218*SIN(RADIANS('13_시나리오비교'!$B$7))*SIN(RADIANS('13_시나리오비교'!$C$7))+$H218*SIN(RADIANS('13_시나리오비교'!$B$7))*COS(RADIANS('13_시나리오비교'!$C$7))+$I218*COS(RADIANS('13_시나리오비교'!$B$7))),0)</f>
        <v/>
      </c>
      <c r="S218" s="80">
        <f>IF($I218&gt;0,MAX(0,$G218*SIN(RADIANS('13_시나리오비교'!$B$8))*SIN(RADIANS('13_시나리오비교'!$C$8))+$H218*SIN(RADIANS('13_시나리오비교'!$B$8))*COS(RADIANS('13_시나리오비교'!$C$8))+$I218*COS(RADIANS('13_시나리오비교'!$B$8))),0)</f>
        <v/>
      </c>
      <c r="T218" s="80">
        <f>IF($I218&gt;0,MAX(0,$G218*SIN(RADIANS('13_시나리오비교'!$B$9))*SIN(RADIANS('13_시나리오비교'!$C$9))+$H218*SIN(RADIANS('13_시나리오비교'!$B$9))*COS(RADIANS('13_시나리오비교'!$C$9))+$I218*COS(RADIANS('13_시나리오비교'!$B$9))),0)</f>
        <v/>
      </c>
      <c r="U218" s="80">
        <f>IF($I218&gt;0,MAX(0,$G218*SIN(RADIANS('13_시나리오비교'!$B$10))*SIN(RADIANS('13_시나리오비교'!$C$10))+$H218*SIN(RADIANS('13_시나리오비교'!$B$10))*COS(RADIANS('13_시나리오비교'!$C$10))+$I218*COS(RADIANS('13_시나리오비교'!$B$10))),0)</f>
        <v/>
      </c>
      <c r="V218" s="80">
        <f>IF($I218&gt;0,MAX(0,$G218*SIN(RADIANS('13_시나리오비교'!$B$11))*SIN(RADIANS('13_시나리오비교'!$C$11))+$H218*SIN(RADIANS('13_시나리오비교'!$B$11))*COS(RADIANS('13_시나리오비교'!$C$11))+$I218*COS(RADIANS('13_시나리오비교'!$B$11))),0)</f>
        <v/>
      </c>
      <c r="W218" s="80">
        <f>IF($I218&gt;0,MAX(0,$G218*SIN(RADIANS('13_시나리오비교'!$B$12))*SIN(RADIANS('13_시나리오비교'!$C$12))+$H218*SIN(RADIANS('13_시나리오비교'!$B$12))*COS(RADIANS('13_시나리오비교'!$C$12))+$I218*COS(RADIANS('13_시나리오비교'!$B$12))),0)</f>
        <v/>
      </c>
      <c r="X218" s="80">
        <f>IF($I218&gt;0,MAX(0,$G218*SIN(RADIANS('13_시나리오비교'!$B$13))*SIN(RADIANS('13_시나리오비교'!$C$13))+$H218*SIN(RADIANS('13_시나리오비교'!$B$13))*COS(RADIANS('13_시나리오비교'!$C$13))+$I218*COS(RADIANS('13_시나리오비교'!$B$13))),0)</f>
        <v/>
      </c>
      <c r="Y218" s="80">
        <f>IF($I218&gt;0,MAX(0,$G218*SIN(RADIANS('13_시나리오비교'!$B$14))*SIN(RADIANS('13_시나리오비교'!$C$14))+$H218*SIN(RADIANS('13_시나리오비교'!$B$14))*COS(RADIANS('13_시나리오비교'!$C$14))+$I218*COS(RADIANS('13_시나리오비교'!$B$14))),0)</f>
        <v/>
      </c>
    </row>
    <row r="219" hidden="1" outlineLevel="1">
      <c r="A219" s="79" t="n">
        <v>3</v>
      </c>
      <c r="B219" s="79" t="n">
        <v>7</v>
      </c>
      <c r="C219" s="80">
        <f>(B219-0.5)*'14_지역·상수'!$H$6</f>
        <v/>
      </c>
      <c r="D219" s="79" t="n">
        <v>75</v>
      </c>
      <c r="E219" s="80">
        <f>INDEX($C$4:$C$15,MATCH(A219,$A$4:$A$15,0))</f>
        <v/>
      </c>
      <c r="F219" s="80">
        <f>15*(C219-12)</f>
        <v/>
      </c>
      <c r="G219" s="80">
        <f>-COS(RADIANS(E219))*SIN(RADIANS(F219))</f>
        <v/>
      </c>
      <c r="H219" s="80">
        <f>COS(RADIANS('11_발전량_모델'!$B$17))*SIN(RADIANS(E219))-SIN(RADIANS('11_발전량_모델'!$B$17))*COS(RADIANS(E219))*COS(RADIANS(F219))</f>
        <v/>
      </c>
      <c r="I219" s="80">
        <f>SIN(RADIANS('11_발전량_모델'!$B$17))*SIN(RADIANS(E219))+COS(RADIANS('11_발전량_모델'!$B$17))*COS(RADIANS(E219))*COS(RADIANS(F219))</f>
        <v/>
      </c>
      <c r="J219" s="80">
        <f>SIN(RADIANS('11_발전량_모델'!$B$7))*SIN(RADIANS('11_발전량_모델'!$B$8))</f>
        <v/>
      </c>
      <c r="K219" s="80">
        <f>SIN(RADIANS('11_발전량_모델'!$B$7))*COS(RADIANS('11_발전량_모델'!$B$8))</f>
        <v/>
      </c>
      <c r="L219" s="80">
        <f>COS(RADIANS('11_발전량_모델'!$B$7))</f>
        <v/>
      </c>
      <c r="M219" s="80">
        <f>G219*J219+H219*K219+I219*L219</f>
        <v/>
      </c>
      <c r="N219" s="80">
        <f>MAX(0,I219)</f>
        <v/>
      </c>
      <c r="O219" s="80">
        <f>IF(I219&gt;0,MAX(0,M219),0)</f>
        <v/>
      </c>
      <c r="P219" s="80">
        <f>IF($I219&gt;0,MAX(0,$G219*SIN(RADIANS('13_시나리오비교'!$B$5))*SIN(RADIANS('13_시나리오비교'!$C$5))+$H219*SIN(RADIANS('13_시나리오비교'!$B$5))*COS(RADIANS('13_시나리오비교'!$C$5))+$I219*COS(RADIANS('13_시나리오비교'!$B$5))),0)</f>
        <v/>
      </c>
      <c r="Q219" s="80">
        <f>IF($I219&gt;0,MAX(0,$G219*SIN(RADIANS('13_시나리오비교'!$B$6))*SIN(RADIANS('13_시나리오비교'!$C$6))+$H219*SIN(RADIANS('13_시나리오비교'!$B$6))*COS(RADIANS('13_시나리오비교'!$C$6))+$I219*COS(RADIANS('13_시나리오비교'!$B$6))),0)</f>
        <v/>
      </c>
      <c r="R219" s="80">
        <f>IF($I219&gt;0,MAX(0,$G219*SIN(RADIANS('13_시나리오비교'!$B$7))*SIN(RADIANS('13_시나리오비교'!$C$7))+$H219*SIN(RADIANS('13_시나리오비교'!$B$7))*COS(RADIANS('13_시나리오비교'!$C$7))+$I219*COS(RADIANS('13_시나리오비교'!$B$7))),0)</f>
        <v/>
      </c>
      <c r="S219" s="80">
        <f>IF($I219&gt;0,MAX(0,$G219*SIN(RADIANS('13_시나리오비교'!$B$8))*SIN(RADIANS('13_시나리오비교'!$C$8))+$H219*SIN(RADIANS('13_시나리오비교'!$B$8))*COS(RADIANS('13_시나리오비교'!$C$8))+$I219*COS(RADIANS('13_시나리오비교'!$B$8))),0)</f>
        <v/>
      </c>
      <c r="T219" s="80">
        <f>IF($I219&gt;0,MAX(0,$G219*SIN(RADIANS('13_시나리오비교'!$B$9))*SIN(RADIANS('13_시나리오비교'!$C$9))+$H219*SIN(RADIANS('13_시나리오비교'!$B$9))*COS(RADIANS('13_시나리오비교'!$C$9))+$I219*COS(RADIANS('13_시나리오비교'!$B$9))),0)</f>
        <v/>
      </c>
      <c r="U219" s="80">
        <f>IF($I219&gt;0,MAX(0,$G219*SIN(RADIANS('13_시나리오비교'!$B$10))*SIN(RADIANS('13_시나리오비교'!$C$10))+$H219*SIN(RADIANS('13_시나리오비교'!$B$10))*COS(RADIANS('13_시나리오비교'!$C$10))+$I219*COS(RADIANS('13_시나리오비교'!$B$10))),0)</f>
        <v/>
      </c>
      <c r="V219" s="80">
        <f>IF($I219&gt;0,MAX(0,$G219*SIN(RADIANS('13_시나리오비교'!$B$11))*SIN(RADIANS('13_시나리오비교'!$C$11))+$H219*SIN(RADIANS('13_시나리오비교'!$B$11))*COS(RADIANS('13_시나리오비교'!$C$11))+$I219*COS(RADIANS('13_시나리오비교'!$B$11))),0)</f>
        <v/>
      </c>
      <c r="W219" s="80">
        <f>IF($I219&gt;0,MAX(0,$G219*SIN(RADIANS('13_시나리오비교'!$B$12))*SIN(RADIANS('13_시나리오비교'!$C$12))+$H219*SIN(RADIANS('13_시나리오비교'!$B$12))*COS(RADIANS('13_시나리오비교'!$C$12))+$I219*COS(RADIANS('13_시나리오비교'!$B$12))),0)</f>
        <v/>
      </c>
      <c r="X219" s="80">
        <f>IF($I219&gt;0,MAX(0,$G219*SIN(RADIANS('13_시나리오비교'!$B$13))*SIN(RADIANS('13_시나리오비교'!$C$13))+$H219*SIN(RADIANS('13_시나리오비교'!$B$13))*COS(RADIANS('13_시나리오비교'!$C$13))+$I219*COS(RADIANS('13_시나리오비교'!$B$13))),0)</f>
        <v/>
      </c>
      <c r="Y219" s="80">
        <f>IF($I219&gt;0,MAX(0,$G219*SIN(RADIANS('13_시나리오비교'!$B$14))*SIN(RADIANS('13_시나리오비교'!$C$14))+$H219*SIN(RADIANS('13_시나리오비교'!$B$14))*COS(RADIANS('13_시나리오비교'!$C$14))+$I219*COS(RADIANS('13_시나리오비교'!$B$14))),0)</f>
        <v/>
      </c>
    </row>
    <row r="220" hidden="1" outlineLevel="1">
      <c r="A220" s="79" t="n">
        <v>3</v>
      </c>
      <c r="B220" s="79" t="n">
        <v>8</v>
      </c>
      <c r="C220" s="80">
        <f>(B220-0.5)*'14_지역·상수'!$H$6</f>
        <v/>
      </c>
      <c r="D220" s="79" t="n">
        <v>75</v>
      </c>
      <c r="E220" s="80">
        <f>INDEX($C$4:$C$15,MATCH(A220,$A$4:$A$15,0))</f>
        <v/>
      </c>
      <c r="F220" s="80">
        <f>15*(C220-12)</f>
        <v/>
      </c>
      <c r="G220" s="80">
        <f>-COS(RADIANS(E220))*SIN(RADIANS(F220))</f>
        <v/>
      </c>
      <c r="H220" s="80">
        <f>COS(RADIANS('11_발전량_모델'!$B$17))*SIN(RADIANS(E220))-SIN(RADIANS('11_발전량_모델'!$B$17))*COS(RADIANS(E220))*COS(RADIANS(F220))</f>
        <v/>
      </c>
      <c r="I220" s="80">
        <f>SIN(RADIANS('11_발전량_모델'!$B$17))*SIN(RADIANS(E220))+COS(RADIANS('11_발전량_모델'!$B$17))*COS(RADIANS(E220))*COS(RADIANS(F220))</f>
        <v/>
      </c>
      <c r="J220" s="80">
        <f>SIN(RADIANS('11_발전량_모델'!$B$7))*SIN(RADIANS('11_발전량_모델'!$B$8))</f>
        <v/>
      </c>
      <c r="K220" s="80">
        <f>SIN(RADIANS('11_발전량_모델'!$B$7))*COS(RADIANS('11_발전량_모델'!$B$8))</f>
        <v/>
      </c>
      <c r="L220" s="80">
        <f>COS(RADIANS('11_발전량_모델'!$B$7))</f>
        <v/>
      </c>
      <c r="M220" s="80">
        <f>G220*J220+H220*K220+I220*L220</f>
        <v/>
      </c>
      <c r="N220" s="80">
        <f>MAX(0,I220)</f>
        <v/>
      </c>
      <c r="O220" s="80">
        <f>IF(I220&gt;0,MAX(0,M220),0)</f>
        <v/>
      </c>
      <c r="P220" s="80">
        <f>IF($I220&gt;0,MAX(0,$G220*SIN(RADIANS('13_시나리오비교'!$B$5))*SIN(RADIANS('13_시나리오비교'!$C$5))+$H220*SIN(RADIANS('13_시나리오비교'!$B$5))*COS(RADIANS('13_시나리오비교'!$C$5))+$I220*COS(RADIANS('13_시나리오비교'!$B$5))),0)</f>
        <v/>
      </c>
      <c r="Q220" s="80">
        <f>IF($I220&gt;0,MAX(0,$G220*SIN(RADIANS('13_시나리오비교'!$B$6))*SIN(RADIANS('13_시나리오비교'!$C$6))+$H220*SIN(RADIANS('13_시나리오비교'!$B$6))*COS(RADIANS('13_시나리오비교'!$C$6))+$I220*COS(RADIANS('13_시나리오비교'!$B$6))),0)</f>
        <v/>
      </c>
      <c r="R220" s="80">
        <f>IF($I220&gt;0,MAX(0,$G220*SIN(RADIANS('13_시나리오비교'!$B$7))*SIN(RADIANS('13_시나리오비교'!$C$7))+$H220*SIN(RADIANS('13_시나리오비교'!$B$7))*COS(RADIANS('13_시나리오비교'!$C$7))+$I220*COS(RADIANS('13_시나리오비교'!$B$7))),0)</f>
        <v/>
      </c>
      <c r="S220" s="80">
        <f>IF($I220&gt;0,MAX(0,$G220*SIN(RADIANS('13_시나리오비교'!$B$8))*SIN(RADIANS('13_시나리오비교'!$C$8))+$H220*SIN(RADIANS('13_시나리오비교'!$B$8))*COS(RADIANS('13_시나리오비교'!$C$8))+$I220*COS(RADIANS('13_시나리오비교'!$B$8))),0)</f>
        <v/>
      </c>
      <c r="T220" s="80">
        <f>IF($I220&gt;0,MAX(0,$G220*SIN(RADIANS('13_시나리오비교'!$B$9))*SIN(RADIANS('13_시나리오비교'!$C$9))+$H220*SIN(RADIANS('13_시나리오비교'!$B$9))*COS(RADIANS('13_시나리오비교'!$C$9))+$I220*COS(RADIANS('13_시나리오비교'!$B$9))),0)</f>
        <v/>
      </c>
      <c r="U220" s="80">
        <f>IF($I220&gt;0,MAX(0,$G220*SIN(RADIANS('13_시나리오비교'!$B$10))*SIN(RADIANS('13_시나리오비교'!$C$10))+$H220*SIN(RADIANS('13_시나리오비교'!$B$10))*COS(RADIANS('13_시나리오비교'!$C$10))+$I220*COS(RADIANS('13_시나리오비교'!$B$10))),0)</f>
        <v/>
      </c>
      <c r="V220" s="80">
        <f>IF($I220&gt;0,MAX(0,$G220*SIN(RADIANS('13_시나리오비교'!$B$11))*SIN(RADIANS('13_시나리오비교'!$C$11))+$H220*SIN(RADIANS('13_시나리오비교'!$B$11))*COS(RADIANS('13_시나리오비교'!$C$11))+$I220*COS(RADIANS('13_시나리오비교'!$B$11))),0)</f>
        <v/>
      </c>
      <c r="W220" s="80">
        <f>IF($I220&gt;0,MAX(0,$G220*SIN(RADIANS('13_시나리오비교'!$B$12))*SIN(RADIANS('13_시나리오비교'!$C$12))+$H220*SIN(RADIANS('13_시나리오비교'!$B$12))*COS(RADIANS('13_시나리오비교'!$C$12))+$I220*COS(RADIANS('13_시나리오비교'!$B$12))),0)</f>
        <v/>
      </c>
      <c r="X220" s="80">
        <f>IF($I220&gt;0,MAX(0,$G220*SIN(RADIANS('13_시나리오비교'!$B$13))*SIN(RADIANS('13_시나리오비교'!$C$13))+$H220*SIN(RADIANS('13_시나리오비교'!$B$13))*COS(RADIANS('13_시나리오비교'!$C$13))+$I220*COS(RADIANS('13_시나리오비교'!$B$13))),0)</f>
        <v/>
      </c>
      <c r="Y220" s="80">
        <f>IF($I220&gt;0,MAX(0,$G220*SIN(RADIANS('13_시나리오비교'!$B$14))*SIN(RADIANS('13_시나리오비교'!$C$14))+$H220*SIN(RADIANS('13_시나리오비교'!$B$14))*COS(RADIANS('13_시나리오비교'!$C$14))+$I220*COS(RADIANS('13_시나리오비교'!$B$14))),0)</f>
        <v/>
      </c>
    </row>
    <row r="221" hidden="1" outlineLevel="1">
      <c r="A221" s="79" t="n">
        <v>3</v>
      </c>
      <c r="B221" s="79" t="n">
        <v>9</v>
      </c>
      <c r="C221" s="80">
        <f>(B221-0.5)*'14_지역·상수'!$H$6</f>
        <v/>
      </c>
      <c r="D221" s="79" t="n">
        <v>75</v>
      </c>
      <c r="E221" s="80">
        <f>INDEX($C$4:$C$15,MATCH(A221,$A$4:$A$15,0))</f>
        <v/>
      </c>
      <c r="F221" s="80">
        <f>15*(C221-12)</f>
        <v/>
      </c>
      <c r="G221" s="80">
        <f>-COS(RADIANS(E221))*SIN(RADIANS(F221))</f>
        <v/>
      </c>
      <c r="H221" s="80">
        <f>COS(RADIANS('11_발전량_모델'!$B$17))*SIN(RADIANS(E221))-SIN(RADIANS('11_발전량_모델'!$B$17))*COS(RADIANS(E221))*COS(RADIANS(F221))</f>
        <v/>
      </c>
      <c r="I221" s="80">
        <f>SIN(RADIANS('11_발전량_모델'!$B$17))*SIN(RADIANS(E221))+COS(RADIANS('11_발전량_모델'!$B$17))*COS(RADIANS(E221))*COS(RADIANS(F221))</f>
        <v/>
      </c>
      <c r="J221" s="80">
        <f>SIN(RADIANS('11_발전량_모델'!$B$7))*SIN(RADIANS('11_발전량_모델'!$B$8))</f>
        <v/>
      </c>
      <c r="K221" s="80">
        <f>SIN(RADIANS('11_발전량_모델'!$B$7))*COS(RADIANS('11_발전량_모델'!$B$8))</f>
        <v/>
      </c>
      <c r="L221" s="80">
        <f>COS(RADIANS('11_발전량_모델'!$B$7))</f>
        <v/>
      </c>
      <c r="M221" s="80">
        <f>G221*J221+H221*K221+I221*L221</f>
        <v/>
      </c>
      <c r="N221" s="80">
        <f>MAX(0,I221)</f>
        <v/>
      </c>
      <c r="O221" s="80">
        <f>IF(I221&gt;0,MAX(0,M221),0)</f>
        <v/>
      </c>
      <c r="P221" s="80">
        <f>IF($I221&gt;0,MAX(0,$G221*SIN(RADIANS('13_시나리오비교'!$B$5))*SIN(RADIANS('13_시나리오비교'!$C$5))+$H221*SIN(RADIANS('13_시나리오비교'!$B$5))*COS(RADIANS('13_시나리오비교'!$C$5))+$I221*COS(RADIANS('13_시나리오비교'!$B$5))),0)</f>
        <v/>
      </c>
      <c r="Q221" s="80">
        <f>IF($I221&gt;0,MAX(0,$G221*SIN(RADIANS('13_시나리오비교'!$B$6))*SIN(RADIANS('13_시나리오비교'!$C$6))+$H221*SIN(RADIANS('13_시나리오비교'!$B$6))*COS(RADIANS('13_시나리오비교'!$C$6))+$I221*COS(RADIANS('13_시나리오비교'!$B$6))),0)</f>
        <v/>
      </c>
      <c r="R221" s="80">
        <f>IF($I221&gt;0,MAX(0,$G221*SIN(RADIANS('13_시나리오비교'!$B$7))*SIN(RADIANS('13_시나리오비교'!$C$7))+$H221*SIN(RADIANS('13_시나리오비교'!$B$7))*COS(RADIANS('13_시나리오비교'!$C$7))+$I221*COS(RADIANS('13_시나리오비교'!$B$7))),0)</f>
        <v/>
      </c>
      <c r="S221" s="80">
        <f>IF($I221&gt;0,MAX(0,$G221*SIN(RADIANS('13_시나리오비교'!$B$8))*SIN(RADIANS('13_시나리오비교'!$C$8))+$H221*SIN(RADIANS('13_시나리오비교'!$B$8))*COS(RADIANS('13_시나리오비교'!$C$8))+$I221*COS(RADIANS('13_시나리오비교'!$B$8))),0)</f>
        <v/>
      </c>
      <c r="T221" s="80">
        <f>IF($I221&gt;0,MAX(0,$G221*SIN(RADIANS('13_시나리오비교'!$B$9))*SIN(RADIANS('13_시나리오비교'!$C$9))+$H221*SIN(RADIANS('13_시나리오비교'!$B$9))*COS(RADIANS('13_시나리오비교'!$C$9))+$I221*COS(RADIANS('13_시나리오비교'!$B$9))),0)</f>
        <v/>
      </c>
      <c r="U221" s="80">
        <f>IF($I221&gt;0,MAX(0,$G221*SIN(RADIANS('13_시나리오비교'!$B$10))*SIN(RADIANS('13_시나리오비교'!$C$10))+$H221*SIN(RADIANS('13_시나리오비교'!$B$10))*COS(RADIANS('13_시나리오비교'!$C$10))+$I221*COS(RADIANS('13_시나리오비교'!$B$10))),0)</f>
        <v/>
      </c>
      <c r="V221" s="80">
        <f>IF($I221&gt;0,MAX(0,$G221*SIN(RADIANS('13_시나리오비교'!$B$11))*SIN(RADIANS('13_시나리오비교'!$C$11))+$H221*SIN(RADIANS('13_시나리오비교'!$B$11))*COS(RADIANS('13_시나리오비교'!$C$11))+$I221*COS(RADIANS('13_시나리오비교'!$B$11))),0)</f>
        <v/>
      </c>
      <c r="W221" s="80">
        <f>IF($I221&gt;0,MAX(0,$G221*SIN(RADIANS('13_시나리오비교'!$B$12))*SIN(RADIANS('13_시나리오비교'!$C$12))+$H221*SIN(RADIANS('13_시나리오비교'!$B$12))*COS(RADIANS('13_시나리오비교'!$C$12))+$I221*COS(RADIANS('13_시나리오비교'!$B$12))),0)</f>
        <v/>
      </c>
      <c r="X221" s="80">
        <f>IF($I221&gt;0,MAX(0,$G221*SIN(RADIANS('13_시나리오비교'!$B$13))*SIN(RADIANS('13_시나리오비교'!$C$13))+$H221*SIN(RADIANS('13_시나리오비교'!$B$13))*COS(RADIANS('13_시나리오비교'!$C$13))+$I221*COS(RADIANS('13_시나리오비교'!$B$13))),0)</f>
        <v/>
      </c>
      <c r="Y221" s="80">
        <f>IF($I221&gt;0,MAX(0,$G221*SIN(RADIANS('13_시나리오비교'!$B$14))*SIN(RADIANS('13_시나리오비교'!$C$14))+$H221*SIN(RADIANS('13_시나리오비교'!$B$14))*COS(RADIANS('13_시나리오비교'!$C$14))+$I221*COS(RADIANS('13_시나리오비교'!$B$14))),0)</f>
        <v/>
      </c>
    </row>
    <row r="222" hidden="1" outlineLevel="1">
      <c r="A222" s="79" t="n">
        <v>3</v>
      </c>
      <c r="B222" s="79" t="n">
        <v>10</v>
      </c>
      <c r="C222" s="80">
        <f>(B222-0.5)*'14_지역·상수'!$H$6</f>
        <v/>
      </c>
      <c r="D222" s="79" t="n">
        <v>75</v>
      </c>
      <c r="E222" s="80">
        <f>INDEX($C$4:$C$15,MATCH(A222,$A$4:$A$15,0))</f>
        <v/>
      </c>
      <c r="F222" s="80">
        <f>15*(C222-12)</f>
        <v/>
      </c>
      <c r="G222" s="80">
        <f>-COS(RADIANS(E222))*SIN(RADIANS(F222))</f>
        <v/>
      </c>
      <c r="H222" s="80">
        <f>COS(RADIANS('11_발전량_모델'!$B$17))*SIN(RADIANS(E222))-SIN(RADIANS('11_발전량_모델'!$B$17))*COS(RADIANS(E222))*COS(RADIANS(F222))</f>
        <v/>
      </c>
      <c r="I222" s="80">
        <f>SIN(RADIANS('11_발전량_모델'!$B$17))*SIN(RADIANS(E222))+COS(RADIANS('11_발전량_모델'!$B$17))*COS(RADIANS(E222))*COS(RADIANS(F222))</f>
        <v/>
      </c>
      <c r="J222" s="80">
        <f>SIN(RADIANS('11_발전량_모델'!$B$7))*SIN(RADIANS('11_발전량_모델'!$B$8))</f>
        <v/>
      </c>
      <c r="K222" s="80">
        <f>SIN(RADIANS('11_발전량_모델'!$B$7))*COS(RADIANS('11_발전량_모델'!$B$8))</f>
        <v/>
      </c>
      <c r="L222" s="80">
        <f>COS(RADIANS('11_발전량_모델'!$B$7))</f>
        <v/>
      </c>
      <c r="M222" s="80">
        <f>G222*J222+H222*K222+I222*L222</f>
        <v/>
      </c>
      <c r="N222" s="80">
        <f>MAX(0,I222)</f>
        <v/>
      </c>
      <c r="O222" s="80">
        <f>IF(I222&gt;0,MAX(0,M222),0)</f>
        <v/>
      </c>
      <c r="P222" s="80">
        <f>IF($I222&gt;0,MAX(0,$G222*SIN(RADIANS('13_시나리오비교'!$B$5))*SIN(RADIANS('13_시나리오비교'!$C$5))+$H222*SIN(RADIANS('13_시나리오비교'!$B$5))*COS(RADIANS('13_시나리오비교'!$C$5))+$I222*COS(RADIANS('13_시나리오비교'!$B$5))),0)</f>
        <v/>
      </c>
      <c r="Q222" s="80">
        <f>IF($I222&gt;0,MAX(0,$G222*SIN(RADIANS('13_시나리오비교'!$B$6))*SIN(RADIANS('13_시나리오비교'!$C$6))+$H222*SIN(RADIANS('13_시나리오비교'!$B$6))*COS(RADIANS('13_시나리오비교'!$C$6))+$I222*COS(RADIANS('13_시나리오비교'!$B$6))),0)</f>
        <v/>
      </c>
      <c r="R222" s="80">
        <f>IF($I222&gt;0,MAX(0,$G222*SIN(RADIANS('13_시나리오비교'!$B$7))*SIN(RADIANS('13_시나리오비교'!$C$7))+$H222*SIN(RADIANS('13_시나리오비교'!$B$7))*COS(RADIANS('13_시나리오비교'!$C$7))+$I222*COS(RADIANS('13_시나리오비교'!$B$7))),0)</f>
        <v/>
      </c>
      <c r="S222" s="80">
        <f>IF($I222&gt;0,MAX(0,$G222*SIN(RADIANS('13_시나리오비교'!$B$8))*SIN(RADIANS('13_시나리오비교'!$C$8))+$H222*SIN(RADIANS('13_시나리오비교'!$B$8))*COS(RADIANS('13_시나리오비교'!$C$8))+$I222*COS(RADIANS('13_시나리오비교'!$B$8))),0)</f>
        <v/>
      </c>
      <c r="T222" s="80">
        <f>IF($I222&gt;0,MAX(0,$G222*SIN(RADIANS('13_시나리오비교'!$B$9))*SIN(RADIANS('13_시나리오비교'!$C$9))+$H222*SIN(RADIANS('13_시나리오비교'!$B$9))*COS(RADIANS('13_시나리오비교'!$C$9))+$I222*COS(RADIANS('13_시나리오비교'!$B$9))),0)</f>
        <v/>
      </c>
      <c r="U222" s="80">
        <f>IF($I222&gt;0,MAX(0,$G222*SIN(RADIANS('13_시나리오비교'!$B$10))*SIN(RADIANS('13_시나리오비교'!$C$10))+$H222*SIN(RADIANS('13_시나리오비교'!$B$10))*COS(RADIANS('13_시나리오비교'!$C$10))+$I222*COS(RADIANS('13_시나리오비교'!$B$10))),0)</f>
        <v/>
      </c>
      <c r="V222" s="80">
        <f>IF($I222&gt;0,MAX(0,$G222*SIN(RADIANS('13_시나리오비교'!$B$11))*SIN(RADIANS('13_시나리오비교'!$C$11))+$H222*SIN(RADIANS('13_시나리오비교'!$B$11))*COS(RADIANS('13_시나리오비교'!$C$11))+$I222*COS(RADIANS('13_시나리오비교'!$B$11))),0)</f>
        <v/>
      </c>
      <c r="W222" s="80">
        <f>IF($I222&gt;0,MAX(0,$G222*SIN(RADIANS('13_시나리오비교'!$B$12))*SIN(RADIANS('13_시나리오비교'!$C$12))+$H222*SIN(RADIANS('13_시나리오비교'!$B$12))*COS(RADIANS('13_시나리오비교'!$C$12))+$I222*COS(RADIANS('13_시나리오비교'!$B$12))),0)</f>
        <v/>
      </c>
      <c r="X222" s="80">
        <f>IF($I222&gt;0,MAX(0,$G222*SIN(RADIANS('13_시나리오비교'!$B$13))*SIN(RADIANS('13_시나리오비교'!$C$13))+$H222*SIN(RADIANS('13_시나리오비교'!$B$13))*COS(RADIANS('13_시나리오비교'!$C$13))+$I222*COS(RADIANS('13_시나리오비교'!$B$13))),0)</f>
        <v/>
      </c>
      <c r="Y222" s="80">
        <f>IF($I222&gt;0,MAX(0,$G222*SIN(RADIANS('13_시나리오비교'!$B$14))*SIN(RADIANS('13_시나리오비교'!$C$14))+$H222*SIN(RADIANS('13_시나리오비교'!$B$14))*COS(RADIANS('13_시나리오비교'!$C$14))+$I222*COS(RADIANS('13_시나리오비교'!$B$14))),0)</f>
        <v/>
      </c>
    </row>
    <row r="223" hidden="1" outlineLevel="1">
      <c r="A223" s="79" t="n">
        <v>3</v>
      </c>
      <c r="B223" s="79" t="n">
        <v>11</v>
      </c>
      <c r="C223" s="80">
        <f>(B223-0.5)*'14_지역·상수'!$H$6</f>
        <v/>
      </c>
      <c r="D223" s="79" t="n">
        <v>75</v>
      </c>
      <c r="E223" s="80">
        <f>INDEX($C$4:$C$15,MATCH(A223,$A$4:$A$15,0))</f>
        <v/>
      </c>
      <c r="F223" s="80">
        <f>15*(C223-12)</f>
        <v/>
      </c>
      <c r="G223" s="80">
        <f>-COS(RADIANS(E223))*SIN(RADIANS(F223))</f>
        <v/>
      </c>
      <c r="H223" s="80">
        <f>COS(RADIANS('11_발전량_모델'!$B$17))*SIN(RADIANS(E223))-SIN(RADIANS('11_발전량_모델'!$B$17))*COS(RADIANS(E223))*COS(RADIANS(F223))</f>
        <v/>
      </c>
      <c r="I223" s="80">
        <f>SIN(RADIANS('11_발전량_모델'!$B$17))*SIN(RADIANS(E223))+COS(RADIANS('11_발전량_모델'!$B$17))*COS(RADIANS(E223))*COS(RADIANS(F223))</f>
        <v/>
      </c>
      <c r="J223" s="80">
        <f>SIN(RADIANS('11_발전량_모델'!$B$7))*SIN(RADIANS('11_발전량_모델'!$B$8))</f>
        <v/>
      </c>
      <c r="K223" s="80">
        <f>SIN(RADIANS('11_발전량_모델'!$B$7))*COS(RADIANS('11_발전량_모델'!$B$8))</f>
        <v/>
      </c>
      <c r="L223" s="80">
        <f>COS(RADIANS('11_발전량_모델'!$B$7))</f>
        <v/>
      </c>
      <c r="M223" s="80">
        <f>G223*J223+H223*K223+I223*L223</f>
        <v/>
      </c>
      <c r="N223" s="80">
        <f>MAX(0,I223)</f>
        <v/>
      </c>
      <c r="O223" s="80">
        <f>IF(I223&gt;0,MAX(0,M223),0)</f>
        <v/>
      </c>
      <c r="P223" s="80">
        <f>IF($I223&gt;0,MAX(0,$G223*SIN(RADIANS('13_시나리오비교'!$B$5))*SIN(RADIANS('13_시나리오비교'!$C$5))+$H223*SIN(RADIANS('13_시나리오비교'!$B$5))*COS(RADIANS('13_시나리오비교'!$C$5))+$I223*COS(RADIANS('13_시나리오비교'!$B$5))),0)</f>
        <v/>
      </c>
      <c r="Q223" s="80">
        <f>IF($I223&gt;0,MAX(0,$G223*SIN(RADIANS('13_시나리오비교'!$B$6))*SIN(RADIANS('13_시나리오비교'!$C$6))+$H223*SIN(RADIANS('13_시나리오비교'!$B$6))*COS(RADIANS('13_시나리오비교'!$C$6))+$I223*COS(RADIANS('13_시나리오비교'!$B$6))),0)</f>
        <v/>
      </c>
      <c r="R223" s="80">
        <f>IF($I223&gt;0,MAX(0,$G223*SIN(RADIANS('13_시나리오비교'!$B$7))*SIN(RADIANS('13_시나리오비교'!$C$7))+$H223*SIN(RADIANS('13_시나리오비교'!$B$7))*COS(RADIANS('13_시나리오비교'!$C$7))+$I223*COS(RADIANS('13_시나리오비교'!$B$7))),0)</f>
        <v/>
      </c>
      <c r="S223" s="80">
        <f>IF($I223&gt;0,MAX(0,$G223*SIN(RADIANS('13_시나리오비교'!$B$8))*SIN(RADIANS('13_시나리오비교'!$C$8))+$H223*SIN(RADIANS('13_시나리오비교'!$B$8))*COS(RADIANS('13_시나리오비교'!$C$8))+$I223*COS(RADIANS('13_시나리오비교'!$B$8))),0)</f>
        <v/>
      </c>
      <c r="T223" s="80">
        <f>IF($I223&gt;0,MAX(0,$G223*SIN(RADIANS('13_시나리오비교'!$B$9))*SIN(RADIANS('13_시나리오비교'!$C$9))+$H223*SIN(RADIANS('13_시나리오비교'!$B$9))*COS(RADIANS('13_시나리오비교'!$C$9))+$I223*COS(RADIANS('13_시나리오비교'!$B$9))),0)</f>
        <v/>
      </c>
      <c r="U223" s="80">
        <f>IF($I223&gt;0,MAX(0,$G223*SIN(RADIANS('13_시나리오비교'!$B$10))*SIN(RADIANS('13_시나리오비교'!$C$10))+$H223*SIN(RADIANS('13_시나리오비교'!$B$10))*COS(RADIANS('13_시나리오비교'!$C$10))+$I223*COS(RADIANS('13_시나리오비교'!$B$10))),0)</f>
        <v/>
      </c>
      <c r="V223" s="80">
        <f>IF($I223&gt;0,MAX(0,$G223*SIN(RADIANS('13_시나리오비교'!$B$11))*SIN(RADIANS('13_시나리오비교'!$C$11))+$H223*SIN(RADIANS('13_시나리오비교'!$B$11))*COS(RADIANS('13_시나리오비교'!$C$11))+$I223*COS(RADIANS('13_시나리오비교'!$B$11))),0)</f>
        <v/>
      </c>
      <c r="W223" s="80">
        <f>IF($I223&gt;0,MAX(0,$G223*SIN(RADIANS('13_시나리오비교'!$B$12))*SIN(RADIANS('13_시나리오비교'!$C$12))+$H223*SIN(RADIANS('13_시나리오비교'!$B$12))*COS(RADIANS('13_시나리오비교'!$C$12))+$I223*COS(RADIANS('13_시나리오비교'!$B$12))),0)</f>
        <v/>
      </c>
      <c r="X223" s="80">
        <f>IF($I223&gt;0,MAX(0,$G223*SIN(RADIANS('13_시나리오비교'!$B$13))*SIN(RADIANS('13_시나리오비교'!$C$13))+$H223*SIN(RADIANS('13_시나리오비교'!$B$13))*COS(RADIANS('13_시나리오비교'!$C$13))+$I223*COS(RADIANS('13_시나리오비교'!$B$13))),0)</f>
        <v/>
      </c>
      <c r="Y223" s="80">
        <f>IF($I223&gt;0,MAX(0,$G223*SIN(RADIANS('13_시나리오비교'!$B$14))*SIN(RADIANS('13_시나리오비교'!$C$14))+$H223*SIN(RADIANS('13_시나리오비교'!$B$14))*COS(RADIANS('13_시나리오비교'!$C$14))+$I223*COS(RADIANS('13_시나리오비교'!$B$14))),0)</f>
        <v/>
      </c>
    </row>
    <row r="224" hidden="1" outlineLevel="1">
      <c r="A224" s="79" t="n">
        <v>3</v>
      </c>
      <c r="B224" s="79" t="n">
        <v>12</v>
      </c>
      <c r="C224" s="80">
        <f>(B224-0.5)*'14_지역·상수'!$H$6</f>
        <v/>
      </c>
      <c r="D224" s="79" t="n">
        <v>75</v>
      </c>
      <c r="E224" s="80">
        <f>INDEX($C$4:$C$15,MATCH(A224,$A$4:$A$15,0))</f>
        <v/>
      </c>
      <c r="F224" s="80">
        <f>15*(C224-12)</f>
        <v/>
      </c>
      <c r="G224" s="80">
        <f>-COS(RADIANS(E224))*SIN(RADIANS(F224))</f>
        <v/>
      </c>
      <c r="H224" s="80">
        <f>COS(RADIANS('11_발전량_모델'!$B$17))*SIN(RADIANS(E224))-SIN(RADIANS('11_발전량_모델'!$B$17))*COS(RADIANS(E224))*COS(RADIANS(F224))</f>
        <v/>
      </c>
      <c r="I224" s="80">
        <f>SIN(RADIANS('11_발전량_모델'!$B$17))*SIN(RADIANS(E224))+COS(RADIANS('11_발전량_모델'!$B$17))*COS(RADIANS(E224))*COS(RADIANS(F224))</f>
        <v/>
      </c>
      <c r="J224" s="80">
        <f>SIN(RADIANS('11_발전량_모델'!$B$7))*SIN(RADIANS('11_발전량_모델'!$B$8))</f>
        <v/>
      </c>
      <c r="K224" s="80">
        <f>SIN(RADIANS('11_발전량_모델'!$B$7))*COS(RADIANS('11_발전량_모델'!$B$8))</f>
        <v/>
      </c>
      <c r="L224" s="80">
        <f>COS(RADIANS('11_발전량_모델'!$B$7))</f>
        <v/>
      </c>
      <c r="M224" s="80">
        <f>G224*J224+H224*K224+I224*L224</f>
        <v/>
      </c>
      <c r="N224" s="80">
        <f>MAX(0,I224)</f>
        <v/>
      </c>
      <c r="O224" s="80">
        <f>IF(I224&gt;0,MAX(0,M224),0)</f>
        <v/>
      </c>
      <c r="P224" s="80">
        <f>IF($I224&gt;0,MAX(0,$G224*SIN(RADIANS('13_시나리오비교'!$B$5))*SIN(RADIANS('13_시나리오비교'!$C$5))+$H224*SIN(RADIANS('13_시나리오비교'!$B$5))*COS(RADIANS('13_시나리오비교'!$C$5))+$I224*COS(RADIANS('13_시나리오비교'!$B$5))),0)</f>
        <v/>
      </c>
      <c r="Q224" s="80">
        <f>IF($I224&gt;0,MAX(0,$G224*SIN(RADIANS('13_시나리오비교'!$B$6))*SIN(RADIANS('13_시나리오비교'!$C$6))+$H224*SIN(RADIANS('13_시나리오비교'!$B$6))*COS(RADIANS('13_시나리오비교'!$C$6))+$I224*COS(RADIANS('13_시나리오비교'!$B$6))),0)</f>
        <v/>
      </c>
      <c r="R224" s="80">
        <f>IF($I224&gt;0,MAX(0,$G224*SIN(RADIANS('13_시나리오비교'!$B$7))*SIN(RADIANS('13_시나리오비교'!$C$7))+$H224*SIN(RADIANS('13_시나리오비교'!$B$7))*COS(RADIANS('13_시나리오비교'!$C$7))+$I224*COS(RADIANS('13_시나리오비교'!$B$7))),0)</f>
        <v/>
      </c>
      <c r="S224" s="80">
        <f>IF($I224&gt;0,MAX(0,$G224*SIN(RADIANS('13_시나리오비교'!$B$8))*SIN(RADIANS('13_시나리오비교'!$C$8))+$H224*SIN(RADIANS('13_시나리오비교'!$B$8))*COS(RADIANS('13_시나리오비교'!$C$8))+$I224*COS(RADIANS('13_시나리오비교'!$B$8))),0)</f>
        <v/>
      </c>
      <c r="T224" s="80">
        <f>IF($I224&gt;0,MAX(0,$G224*SIN(RADIANS('13_시나리오비교'!$B$9))*SIN(RADIANS('13_시나리오비교'!$C$9))+$H224*SIN(RADIANS('13_시나리오비교'!$B$9))*COS(RADIANS('13_시나리오비교'!$C$9))+$I224*COS(RADIANS('13_시나리오비교'!$B$9))),0)</f>
        <v/>
      </c>
      <c r="U224" s="80">
        <f>IF($I224&gt;0,MAX(0,$G224*SIN(RADIANS('13_시나리오비교'!$B$10))*SIN(RADIANS('13_시나리오비교'!$C$10))+$H224*SIN(RADIANS('13_시나리오비교'!$B$10))*COS(RADIANS('13_시나리오비교'!$C$10))+$I224*COS(RADIANS('13_시나리오비교'!$B$10))),0)</f>
        <v/>
      </c>
      <c r="V224" s="80">
        <f>IF($I224&gt;0,MAX(0,$G224*SIN(RADIANS('13_시나리오비교'!$B$11))*SIN(RADIANS('13_시나리오비교'!$C$11))+$H224*SIN(RADIANS('13_시나리오비교'!$B$11))*COS(RADIANS('13_시나리오비교'!$C$11))+$I224*COS(RADIANS('13_시나리오비교'!$B$11))),0)</f>
        <v/>
      </c>
      <c r="W224" s="80">
        <f>IF($I224&gt;0,MAX(0,$G224*SIN(RADIANS('13_시나리오비교'!$B$12))*SIN(RADIANS('13_시나리오비교'!$C$12))+$H224*SIN(RADIANS('13_시나리오비교'!$B$12))*COS(RADIANS('13_시나리오비교'!$C$12))+$I224*COS(RADIANS('13_시나리오비교'!$B$12))),0)</f>
        <v/>
      </c>
      <c r="X224" s="80">
        <f>IF($I224&gt;0,MAX(0,$G224*SIN(RADIANS('13_시나리오비교'!$B$13))*SIN(RADIANS('13_시나리오비교'!$C$13))+$H224*SIN(RADIANS('13_시나리오비교'!$B$13))*COS(RADIANS('13_시나리오비교'!$C$13))+$I224*COS(RADIANS('13_시나리오비교'!$B$13))),0)</f>
        <v/>
      </c>
      <c r="Y224" s="80">
        <f>IF($I224&gt;0,MAX(0,$G224*SIN(RADIANS('13_시나리오비교'!$B$14))*SIN(RADIANS('13_시나리오비교'!$C$14))+$H224*SIN(RADIANS('13_시나리오비교'!$B$14))*COS(RADIANS('13_시나리오비교'!$C$14))+$I224*COS(RADIANS('13_시나리오비교'!$B$14))),0)</f>
        <v/>
      </c>
    </row>
    <row r="225" hidden="1" outlineLevel="1">
      <c r="A225" s="79" t="n">
        <v>3</v>
      </c>
      <c r="B225" s="79" t="n">
        <v>13</v>
      </c>
      <c r="C225" s="80">
        <f>(B225-0.5)*'14_지역·상수'!$H$6</f>
        <v/>
      </c>
      <c r="D225" s="79" t="n">
        <v>75</v>
      </c>
      <c r="E225" s="80">
        <f>INDEX($C$4:$C$15,MATCH(A225,$A$4:$A$15,0))</f>
        <v/>
      </c>
      <c r="F225" s="80">
        <f>15*(C225-12)</f>
        <v/>
      </c>
      <c r="G225" s="80">
        <f>-COS(RADIANS(E225))*SIN(RADIANS(F225))</f>
        <v/>
      </c>
      <c r="H225" s="80">
        <f>COS(RADIANS('11_발전량_모델'!$B$17))*SIN(RADIANS(E225))-SIN(RADIANS('11_발전량_모델'!$B$17))*COS(RADIANS(E225))*COS(RADIANS(F225))</f>
        <v/>
      </c>
      <c r="I225" s="80">
        <f>SIN(RADIANS('11_발전량_모델'!$B$17))*SIN(RADIANS(E225))+COS(RADIANS('11_발전량_모델'!$B$17))*COS(RADIANS(E225))*COS(RADIANS(F225))</f>
        <v/>
      </c>
      <c r="J225" s="80">
        <f>SIN(RADIANS('11_발전량_모델'!$B$7))*SIN(RADIANS('11_발전량_모델'!$B$8))</f>
        <v/>
      </c>
      <c r="K225" s="80">
        <f>SIN(RADIANS('11_발전량_모델'!$B$7))*COS(RADIANS('11_발전량_모델'!$B$8))</f>
        <v/>
      </c>
      <c r="L225" s="80">
        <f>COS(RADIANS('11_발전량_모델'!$B$7))</f>
        <v/>
      </c>
      <c r="M225" s="80">
        <f>G225*J225+H225*K225+I225*L225</f>
        <v/>
      </c>
      <c r="N225" s="80">
        <f>MAX(0,I225)</f>
        <v/>
      </c>
      <c r="O225" s="80">
        <f>IF(I225&gt;0,MAX(0,M225),0)</f>
        <v/>
      </c>
      <c r="P225" s="80">
        <f>IF($I225&gt;0,MAX(0,$G225*SIN(RADIANS('13_시나리오비교'!$B$5))*SIN(RADIANS('13_시나리오비교'!$C$5))+$H225*SIN(RADIANS('13_시나리오비교'!$B$5))*COS(RADIANS('13_시나리오비교'!$C$5))+$I225*COS(RADIANS('13_시나리오비교'!$B$5))),0)</f>
        <v/>
      </c>
      <c r="Q225" s="80">
        <f>IF($I225&gt;0,MAX(0,$G225*SIN(RADIANS('13_시나리오비교'!$B$6))*SIN(RADIANS('13_시나리오비교'!$C$6))+$H225*SIN(RADIANS('13_시나리오비교'!$B$6))*COS(RADIANS('13_시나리오비교'!$C$6))+$I225*COS(RADIANS('13_시나리오비교'!$B$6))),0)</f>
        <v/>
      </c>
      <c r="R225" s="80">
        <f>IF($I225&gt;0,MAX(0,$G225*SIN(RADIANS('13_시나리오비교'!$B$7))*SIN(RADIANS('13_시나리오비교'!$C$7))+$H225*SIN(RADIANS('13_시나리오비교'!$B$7))*COS(RADIANS('13_시나리오비교'!$C$7))+$I225*COS(RADIANS('13_시나리오비교'!$B$7))),0)</f>
        <v/>
      </c>
      <c r="S225" s="80">
        <f>IF($I225&gt;0,MAX(0,$G225*SIN(RADIANS('13_시나리오비교'!$B$8))*SIN(RADIANS('13_시나리오비교'!$C$8))+$H225*SIN(RADIANS('13_시나리오비교'!$B$8))*COS(RADIANS('13_시나리오비교'!$C$8))+$I225*COS(RADIANS('13_시나리오비교'!$B$8))),0)</f>
        <v/>
      </c>
      <c r="T225" s="80">
        <f>IF($I225&gt;0,MAX(0,$G225*SIN(RADIANS('13_시나리오비교'!$B$9))*SIN(RADIANS('13_시나리오비교'!$C$9))+$H225*SIN(RADIANS('13_시나리오비교'!$B$9))*COS(RADIANS('13_시나리오비교'!$C$9))+$I225*COS(RADIANS('13_시나리오비교'!$B$9))),0)</f>
        <v/>
      </c>
      <c r="U225" s="80">
        <f>IF($I225&gt;0,MAX(0,$G225*SIN(RADIANS('13_시나리오비교'!$B$10))*SIN(RADIANS('13_시나리오비교'!$C$10))+$H225*SIN(RADIANS('13_시나리오비교'!$B$10))*COS(RADIANS('13_시나리오비교'!$C$10))+$I225*COS(RADIANS('13_시나리오비교'!$B$10))),0)</f>
        <v/>
      </c>
      <c r="V225" s="80">
        <f>IF($I225&gt;0,MAX(0,$G225*SIN(RADIANS('13_시나리오비교'!$B$11))*SIN(RADIANS('13_시나리오비교'!$C$11))+$H225*SIN(RADIANS('13_시나리오비교'!$B$11))*COS(RADIANS('13_시나리오비교'!$C$11))+$I225*COS(RADIANS('13_시나리오비교'!$B$11))),0)</f>
        <v/>
      </c>
      <c r="W225" s="80">
        <f>IF($I225&gt;0,MAX(0,$G225*SIN(RADIANS('13_시나리오비교'!$B$12))*SIN(RADIANS('13_시나리오비교'!$C$12))+$H225*SIN(RADIANS('13_시나리오비교'!$B$12))*COS(RADIANS('13_시나리오비교'!$C$12))+$I225*COS(RADIANS('13_시나리오비교'!$B$12))),0)</f>
        <v/>
      </c>
      <c r="X225" s="80">
        <f>IF($I225&gt;0,MAX(0,$G225*SIN(RADIANS('13_시나리오비교'!$B$13))*SIN(RADIANS('13_시나리오비교'!$C$13))+$H225*SIN(RADIANS('13_시나리오비교'!$B$13))*COS(RADIANS('13_시나리오비교'!$C$13))+$I225*COS(RADIANS('13_시나리오비교'!$B$13))),0)</f>
        <v/>
      </c>
      <c r="Y225" s="80">
        <f>IF($I225&gt;0,MAX(0,$G225*SIN(RADIANS('13_시나리오비교'!$B$14))*SIN(RADIANS('13_시나리오비교'!$C$14))+$H225*SIN(RADIANS('13_시나리오비교'!$B$14))*COS(RADIANS('13_시나리오비교'!$C$14))+$I225*COS(RADIANS('13_시나리오비교'!$B$14))),0)</f>
        <v/>
      </c>
    </row>
    <row r="226" hidden="1" outlineLevel="1">
      <c r="A226" s="79" t="n">
        <v>3</v>
      </c>
      <c r="B226" s="79" t="n">
        <v>14</v>
      </c>
      <c r="C226" s="80">
        <f>(B226-0.5)*'14_지역·상수'!$H$6</f>
        <v/>
      </c>
      <c r="D226" s="79" t="n">
        <v>75</v>
      </c>
      <c r="E226" s="80">
        <f>INDEX($C$4:$C$15,MATCH(A226,$A$4:$A$15,0))</f>
        <v/>
      </c>
      <c r="F226" s="80">
        <f>15*(C226-12)</f>
        <v/>
      </c>
      <c r="G226" s="80">
        <f>-COS(RADIANS(E226))*SIN(RADIANS(F226))</f>
        <v/>
      </c>
      <c r="H226" s="80">
        <f>COS(RADIANS('11_발전량_모델'!$B$17))*SIN(RADIANS(E226))-SIN(RADIANS('11_발전량_모델'!$B$17))*COS(RADIANS(E226))*COS(RADIANS(F226))</f>
        <v/>
      </c>
      <c r="I226" s="80">
        <f>SIN(RADIANS('11_발전량_모델'!$B$17))*SIN(RADIANS(E226))+COS(RADIANS('11_발전량_모델'!$B$17))*COS(RADIANS(E226))*COS(RADIANS(F226))</f>
        <v/>
      </c>
      <c r="J226" s="80">
        <f>SIN(RADIANS('11_발전량_모델'!$B$7))*SIN(RADIANS('11_발전량_모델'!$B$8))</f>
        <v/>
      </c>
      <c r="K226" s="80">
        <f>SIN(RADIANS('11_발전량_모델'!$B$7))*COS(RADIANS('11_발전량_모델'!$B$8))</f>
        <v/>
      </c>
      <c r="L226" s="80">
        <f>COS(RADIANS('11_발전량_모델'!$B$7))</f>
        <v/>
      </c>
      <c r="M226" s="80">
        <f>G226*J226+H226*K226+I226*L226</f>
        <v/>
      </c>
      <c r="N226" s="80">
        <f>MAX(0,I226)</f>
        <v/>
      </c>
      <c r="O226" s="80">
        <f>IF(I226&gt;0,MAX(0,M226),0)</f>
        <v/>
      </c>
      <c r="P226" s="80">
        <f>IF($I226&gt;0,MAX(0,$G226*SIN(RADIANS('13_시나리오비교'!$B$5))*SIN(RADIANS('13_시나리오비교'!$C$5))+$H226*SIN(RADIANS('13_시나리오비교'!$B$5))*COS(RADIANS('13_시나리오비교'!$C$5))+$I226*COS(RADIANS('13_시나리오비교'!$B$5))),0)</f>
        <v/>
      </c>
      <c r="Q226" s="80">
        <f>IF($I226&gt;0,MAX(0,$G226*SIN(RADIANS('13_시나리오비교'!$B$6))*SIN(RADIANS('13_시나리오비교'!$C$6))+$H226*SIN(RADIANS('13_시나리오비교'!$B$6))*COS(RADIANS('13_시나리오비교'!$C$6))+$I226*COS(RADIANS('13_시나리오비교'!$B$6))),0)</f>
        <v/>
      </c>
      <c r="R226" s="80">
        <f>IF($I226&gt;0,MAX(0,$G226*SIN(RADIANS('13_시나리오비교'!$B$7))*SIN(RADIANS('13_시나리오비교'!$C$7))+$H226*SIN(RADIANS('13_시나리오비교'!$B$7))*COS(RADIANS('13_시나리오비교'!$C$7))+$I226*COS(RADIANS('13_시나리오비교'!$B$7))),0)</f>
        <v/>
      </c>
      <c r="S226" s="80">
        <f>IF($I226&gt;0,MAX(0,$G226*SIN(RADIANS('13_시나리오비교'!$B$8))*SIN(RADIANS('13_시나리오비교'!$C$8))+$H226*SIN(RADIANS('13_시나리오비교'!$B$8))*COS(RADIANS('13_시나리오비교'!$C$8))+$I226*COS(RADIANS('13_시나리오비교'!$B$8))),0)</f>
        <v/>
      </c>
      <c r="T226" s="80">
        <f>IF($I226&gt;0,MAX(0,$G226*SIN(RADIANS('13_시나리오비교'!$B$9))*SIN(RADIANS('13_시나리오비교'!$C$9))+$H226*SIN(RADIANS('13_시나리오비교'!$B$9))*COS(RADIANS('13_시나리오비교'!$C$9))+$I226*COS(RADIANS('13_시나리오비교'!$B$9))),0)</f>
        <v/>
      </c>
      <c r="U226" s="80">
        <f>IF($I226&gt;0,MAX(0,$G226*SIN(RADIANS('13_시나리오비교'!$B$10))*SIN(RADIANS('13_시나리오비교'!$C$10))+$H226*SIN(RADIANS('13_시나리오비교'!$B$10))*COS(RADIANS('13_시나리오비교'!$C$10))+$I226*COS(RADIANS('13_시나리오비교'!$B$10))),0)</f>
        <v/>
      </c>
      <c r="V226" s="80">
        <f>IF($I226&gt;0,MAX(0,$G226*SIN(RADIANS('13_시나리오비교'!$B$11))*SIN(RADIANS('13_시나리오비교'!$C$11))+$H226*SIN(RADIANS('13_시나리오비교'!$B$11))*COS(RADIANS('13_시나리오비교'!$C$11))+$I226*COS(RADIANS('13_시나리오비교'!$B$11))),0)</f>
        <v/>
      </c>
      <c r="W226" s="80">
        <f>IF($I226&gt;0,MAX(0,$G226*SIN(RADIANS('13_시나리오비교'!$B$12))*SIN(RADIANS('13_시나리오비교'!$C$12))+$H226*SIN(RADIANS('13_시나리오비교'!$B$12))*COS(RADIANS('13_시나리오비교'!$C$12))+$I226*COS(RADIANS('13_시나리오비교'!$B$12))),0)</f>
        <v/>
      </c>
      <c r="X226" s="80">
        <f>IF($I226&gt;0,MAX(0,$G226*SIN(RADIANS('13_시나리오비교'!$B$13))*SIN(RADIANS('13_시나리오비교'!$C$13))+$H226*SIN(RADIANS('13_시나리오비교'!$B$13))*COS(RADIANS('13_시나리오비교'!$C$13))+$I226*COS(RADIANS('13_시나리오비교'!$B$13))),0)</f>
        <v/>
      </c>
      <c r="Y226" s="80">
        <f>IF($I226&gt;0,MAX(0,$G226*SIN(RADIANS('13_시나리오비교'!$B$14))*SIN(RADIANS('13_시나리오비교'!$C$14))+$H226*SIN(RADIANS('13_시나리오비교'!$B$14))*COS(RADIANS('13_시나리오비교'!$C$14))+$I226*COS(RADIANS('13_시나리오비교'!$B$14))),0)</f>
        <v/>
      </c>
    </row>
    <row r="227" hidden="1" outlineLevel="1">
      <c r="A227" s="79" t="n">
        <v>3</v>
      </c>
      <c r="B227" s="79" t="n">
        <v>15</v>
      </c>
      <c r="C227" s="80">
        <f>(B227-0.5)*'14_지역·상수'!$H$6</f>
        <v/>
      </c>
      <c r="D227" s="79" t="n">
        <v>75</v>
      </c>
      <c r="E227" s="80">
        <f>INDEX($C$4:$C$15,MATCH(A227,$A$4:$A$15,0))</f>
        <v/>
      </c>
      <c r="F227" s="80">
        <f>15*(C227-12)</f>
        <v/>
      </c>
      <c r="G227" s="80">
        <f>-COS(RADIANS(E227))*SIN(RADIANS(F227))</f>
        <v/>
      </c>
      <c r="H227" s="80">
        <f>COS(RADIANS('11_발전량_모델'!$B$17))*SIN(RADIANS(E227))-SIN(RADIANS('11_발전량_모델'!$B$17))*COS(RADIANS(E227))*COS(RADIANS(F227))</f>
        <v/>
      </c>
      <c r="I227" s="80">
        <f>SIN(RADIANS('11_발전량_모델'!$B$17))*SIN(RADIANS(E227))+COS(RADIANS('11_발전량_모델'!$B$17))*COS(RADIANS(E227))*COS(RADIANS(F227))</f>
        <v/>
      </c>
      <c r="J227" s="80">
        <f>SIN(RADIANS('11_발전량_모델'!$B$7))*SIN(RADIANS('11_발전량_모델'!$B$8))</f>
        <v/>
      </c>
      <c r="K227" s="80">
        <f>SIN(RADIANS('11_발전량_모델'!$B$7))*COS(RADIANS('11_발전량_모델'!$B$8))</f>
        <v/>
      </c>
      <c r="L227" s="80">
        <f>COS(RADIANS('11_발전량_모델'!$B$7))</f>
        <v/>
      </c>
      <c r="M227" s="80">
        <f>G227*J227+H227*K227+I227*L227</f>
        <v/>
      </c>
      <c r="N227" s="80">
        <f>MAX(0,I227)</f>
        <v/>
      </c>
      <c r="O227" s="80">
        <f>IF(I227&gt;0,MAX(0,M227),0)</f>
        <v/>
      </c>
      <c r="P227" s="80">
        <f>IF($I227&gt;0,MAX(0,$G227*SIN(RADIANS('13_시나리오비교'!$B$5))*SIN(RADIANS('13_시나리오비교'!$C$5))+$H227*SIN(RADIANS('13_시나리오비교'!$B$5))*COS(RADIANS('13_시나리오비교'!$C$5))+$I227*COS(RADIANS('13_시나리오비교'!$B$5))),0)</f>
        <v/>
      </c>
      <c r="Q227" s="80">
        <f>IF($I227&gt;0,MAX(0,$G227*SIN(RADIANS('13_시나리오비교'!$B$6))*SIN(RADIANS('13_시나리오비교'!$C$6))+$H227*SIN(RADIANS('13_시나리오비교'!$B$6))*COS(RADIANS('13_시나리오비교'!$C$6))+$I227*COS(RADIANS('13_시나리오비교'!$B$6))),0)</f>
        <v/>
      </c>
      <c r="R227" s="80">
        <f>IF($I227&gt;0,MAX(0,$G227*SIN(RADIANS('13_시나리오비교'!$B$7))*SIN(RADIANS('13_시나리오비교'!$C$7))+$H227*SIN(RADIANS('13_시나리오비교'!$B$7))*COS(RADIANS('13_시나리오비교'!$C$7))+$I227*COS(RADIANS('13_시나리오비교'!$B$7))),0)</f>
        <v/>
      </c>
      <c r="S227" s="80">
        <f>IF($I227&gt;0,MAX(0,$G227*SIN(RADIANS('13_시나리오비교'!$B$8))*SIN(RADIANS('13_시나리오비교'!$C$8))+$H227*SIN(RADIANS('13_시나리오비교'!$B$8))*COS(RADIANS('13_시나리오비교'!$C$8))+$I227*COS(RADIANS('13_시나리오비교'!$B$8))),0)</f>
        <v/>
      </c>
      <c r="T227" s="80">
        <f>IF($I227&gt;0,MAX(0,$G227*SIN(RADIANS('13_시나리오비교'!$B$9))*SIN(RADIANS('13_시나리오비교'!$C$9))+$H227*SIN(RADIANS('13_시나리오비교'!$B$9))*COS(RADIANS('13_시나리오비교'!$C$9))+$I227*COS(RADIANS('13_시나리오비교'!$B$9))),0)</f>
        <v/>
      </c>
      <c r="U227" s="80">
        <f>IF($I227&gt;0,MAX(0,$G227*SIN(RADIANS('13_시나리오비교'!$B$10))*SIN(RADIANS('13_시나리오비교'!$C$10))+$H227*SIN(RADIANS('13_시나리오비교'!$B$10))*COS(RADIANS('13_시나리오비교'!$C$10))+$I227*COS(RADIANS('13_시나리오비교'!$B$10))),0)</f>
        <v/>
      </c>
      <c r="V227" s="80">
        <f>IF($I227&gt;0,MAX(0,$G227*SIN(RADIANS('13_시나리오비교'!$B$11))*SIN(RADIANS('13_시나리오비교'!$C$11))+$H227*SIN(RADIANS('13_시나리오비교'!$B$11))*COS(RADIANS('13_시나리오비교'!$C$11))+$I227*COS(RADIANS('13_시나리오비교'!$B$11))),0)</f>
        <v/>
      </c>
      <c r="W227" s="80">
        <f>IF($I227&gt;0,MAX(0,$G227*SIN(RADIANS('13_시나리오비교'!$B$12))*SIN(RADIANS('13_시나리오비교'!$C$12))+$H227*SIN(RADIANS('13_시나리오비교'!$B$12))*COS(RADIANS('13_시나리오비교'!$C$12))+$I227*COS(RADIANS('13_시나리오비교'!$B$12))),0)</f>
        <v/>
      </c>
      <c r="X227" s="80">
        <f>IF($I227&gt;0,MAX(0,$G227*SIN(RADIANS('13_시나리오비교'!$B$13))*SIN(RADIANS('13_시나리오비교'!$C$13))+$H227*SIN(RADIANS('13_시나리오비교'!$B$13))*COS(RADIANS('13_시나리오비교'!$C$13))+$I227*COS(RADIANS('13_시나리오비교'!$B$13))),0)</f>
        <v/>
      </c>
      <c r="Y227" s="80">
        <f>IF($I227&gt;0,MAX(0,$G227*SIN(RADIANS('13_시나리오비교'!$B$14))*SIN(RADIANS('13_시나리오비교'!$C$14))+$H227*SIN(RADIANS('13_시나리오비교'!$B$14))*COS(RADIANS('13_시나리오비교'!$C$14))+$I227*COS(RADIANS('13_시나리오비교'!$B$14))),0)</f>
        <v/>
      </c>
    </row>
    <row r="228" hidden="1" outlineLevel="1">
      <c r="A228" s="79" t="n">
        <v>3</v>
      </c>
      <c r="B228" s="79" t="n">
        <v>16</v>
      </c>
      <c r="C228" s="80">
        <f>(B228-0.5)*'14_지역·상수'!$H$6</f>
        <v/>
      </c>
      <c r="D228" s="79" t="n">
        <v>75</v>
      </c>
      <c r="E228" s="80">
        <f>INDEX($C$4:$C$15,MATCH(A228,$A$4:$A$15,0))</f>
        <v/>
      </c>
      <c r="F228" s="80">
        <f>15*(C228-12)</f>
        <v/>
      </c>
      <c r="G228" s="80">
        <f>-COS(RADIANS(E228))*SIN(RADIANS(F228))</f>
        <v/>
      </c>
      <c r="H228" s="80">
        <f>COS(RADIANS('11_발전량_모델'!$B$17))*SIN(RADIANS(E228))-SIN(RADIANS('11_발전량_모델'!$B$17))*COS(RADIANS(E228))*COS(RADIANS(F228))</f>
        <v/>
      </c>
      <c r="I228" s="80">
        <f>SIN(RADIANS('11_발전량_모델'!$B$17))*SIN(RADIANS(E228))+COS(RADIANS('11_발전량_모델'!$B$17))*COS(RADIANS(E228))*COS(RADIANS(F228))</f>
        <v/>
      </c>
      <c r="J228" s="80">
        <f>SIN(RADIANS('11_발전량_모델'!$B$7))*SIN(RADIANS('11_발전량_모델'!$B$8))</f>
        <v/>
      </c>
      <c r="K228" s="80">
        <f>SIN(RADIANS('11_발전량_모델'!$B$7))*COS(RADIANS('11_발전량_모델'!$B$8))</f>
        <v/>
      </c>
      <c r="L228" s="80">
        <f>COS(RADIANS('11_발전량_모델'!$B$7))</f>
        <v/>
      </c>
      <c r="M228" s="80">
        <f>G228*J228+H228*K228+I228*L228</f>
        <v/>
      </c>
      <c r="N228" s="80">
        <f>MAX(0,I228)</f>
        <v/>
      </c>
      <c r="O228" s="80">
        <f>IF(I228&gt;0,MAX(0,M228),0)</f>
        <v/>
      </c>
      <c r="P228" s="80">
        <f>IF($I228&gt;0,MAX(0,$G228*SIN(RADIANS('13_시나리오비교'!$B$5))*SIN(RADIANS('13_시나리오비교'!$C$5))+$H228*SIN(RADIANS('13_시나리오비교'!$B$5))*COS(RADIANS('13_시나리오비교'!$C$5))+$I228*COS(RADIANS('13_시나리오비교'!$B$5))),0)</f>
        <v/>
      </c>
      <c r="Q228" s="80">
        <f>IF($I228&gt;0,MAX(0,$G228*SIN(RADIANS('13_시나리오비교'!$B$6))*SIN(RADIANS('13_시나리오비교'!$C$6))+$H228*SIN(RADIANS('13_시나리오비교'!$B$6))*COS(RADIANS('13_시나리오비교'!$C$6))+$I228*COS(RADIANS('13_시나리오비교'!$B$6))),0)</f>
        <v/>
      </c>
      <c r="R228" s="80">
        <f>IF($I228&gt;0,MAX(0,$G228*SIN(RADIANS('13_시나리오비교'!$B$7))*SIN(RADIANS('13_시나리오비교'!$C$7))+$H228*SIN(RADIANS('13_시나리오비교'!$B$7))*COS(RADIANS('13_시나리오비교'!$C$7))+$I228*COS(RADIANS('13_시나리오비교'!$B$7))),0)</f>
        <v/>
      </c>
      <c r="S228" s="80">
        <f>IF($I228&gt;0,MAX(0,$G228*SIN(RADIANS('13_시나리오비교'!$B$8))*SIN(RADIANS('13_시나리오비교'!$C$8))+$H228*SIN(RADIANS('13_시나리오비교'!$B$8))*COS(RADIANS('13_시나리오비교'!$C$8))+$I228*COS(RADIANS('13_시나리오비교'!$B$8))),0)</f>
        <v/>
      </c>
      <c r="T228" s="80">
        <f>IF($I228&gt;0,MAX(0,$G228*SIN(RADIANS('13_시나리오비교'!$B$9))*SIN(RADIANS('13_시나리오비교'!$C$9))+$H228*SIN(RADIANS('13_시나리오비교'!$B$9))*COS(RADIANS('13_시나리오비교'!$C$9))+$I228*COS(RADIANS('13_시나리오비교'!$B$9))),0)</f>
        <v/>
      </c>
      <c r="U228" s="80">
        <f>IF($I228&gt;0,MAX(0,$G228*SIN(RADIANS('13_시나리오비교'!$B$10))*SIN(RADIANS('13_시나리오비교'!$C$10))+$H228*SIN(RADIANS('13_시나리오비교'!$B$10))*COS(RADIANS('13_시나리오비교'!$C$10))+$I228*COS(RADIANS('13_시나리오비교'!$B$10))),0)</f>
        <v/>
      </c>
      <c r="V228" s="80">
        <f>IF($I228&gt;0,MAX(0,$G228*SIN(RADIANS('13_시나리오비교'!$B$11))*SIN(RADIANS('13_시나리오비교'!$C$11))+$H228*SIN(RADIANS('13_시나리오비교'!$B$11))*COS(RADIANS('13_시나리오비교'!$C$11))+$I228*COS(RADIANS('13_시나리오비교'!$B$11))),0)</f>
        <v/>
      </c>
      <c r="W228" s="80">
        <f>IF($I228&gt;0,MAX(0,$G228*SIN(RADIANS('13_시나리오비교'!$B$12))*SIN(RADIANS('13_시나리오비교'!$C$12))+$H228*SIN(RADIANS('13_시나리오비교'!$B$12))*COS(RADIANS('13_시나리오비교'!$C$12))+$I228*COS(RADIANS('13_시나리오비교'!$B$12))),0)</f>
        <v/>
      </c>
      <c r="X228" s="80">
        <f>IF($I228&gt;0,MAX(0,$G228*SIN(RADIANS('13_시나리오비교'!$B$13))*SIN(RADIANS('13_시나리오비교'!$C$13))+$H228*SIN(RADIANS('13_시나리오비교'!$B$13))*COS(RADIANS('13_시나리오비교'!$C$13))+$I228*COS(RADIANS('13_시나리오비교'!$B$13))),0)</f>
        <v/>
      </c>
      <c r="Y228" s="80">
        <f>IF($I228&gt;0,MAX(0,$G228*SIN(RADIANS('13_시나리오비교'!$B$14))*SIN(RADIANS('13_시나리오비교'!$C$14))+$H228*SIN(RADIANS('13_시나리오비교'!$B$14))*COS(RADIANS('13_시나리오비교'!$C$14))+$I228*COS(RADIANS('13_시나리오비교'!$B$14))),0)</f>
        <v/>
      </c>
    </row>
    <row r="229" hidden="1" outlineLevel="1">
      <c r="A229" s="79" t="n">
        <v>3</v>
      </c>
      <c r="B229" s="79" t="n">
        <v>17</v>
      </c>
      <c r="C229" s="80">
        <f>(B229-0.5)*'14_지역·상수'!$H$6</f>
        <v/>
      </c>
      <c r="D229" s="79" t="n">
        <v>75</v>
      </c>
      <c r="E229" s="80">
        <f>INDEX($C$4:$C$15,MATCH(A229,$A$4:$A$15,0))</f>
        <v/>
      </c>
      <c r="F229" s="80">
        <f>15*(C229-12)</f>
        <v/>
      </c>
      <c r="G229" s="80">
        <f>-COS(RADIANS(E229))*SIN(RADIANS(F229))</f>
        <v/>
      </c>
      <c r="H229" s="80">
        <f>COS(RADIANS('11_발전량_모델'!$B$17))*SIN(RADIANS(E229))-SIN(RADIANS('11_발전량_모델'!$B$17))*COS(RADIANS(E229))*COS(RADIANS(F229))</f>
        <v/>
      </c>
      <c r="I229" s="80">
        <f>SIN(RADIANS('11_발전량_모델'!$B$17))*SIN(RADIANS(E229))+COS(RADIANS('11_발전량_모델'!$B$17))*COS(RADIANS(E229))*COS(RADIANS(F229))</f>
        <v/>
      </c>
      <c r="J229" s="80">
        <f>SIN(RADIANS('11_발전량_모델'!$B$7))*SIN(RADIANS('11_발전량_모델'!$B$8))</f>
        <v/>
      </c>
      <c r="K229" s="80">
        <f>SIN(RADIANS('11_발전량_모델'!$B$7))*COS(RADIANS('11_발전량_모델'!$B$8))</f>
        <v/>
      </c>
      <c r="L229" s="80">
        <f>COS(RADIANS('11_발전량_모델'!$B$7))</f>
        <v/>
      </c>
      <c r="M229" s="80">
        <f>G229*J229+H229*K229+I229*L229</f>
        <v/>
      </c>
      <c r="N229" s="80">
        <f>MAX(0,I229)</f>
        <v/>
      </c>
      <c r="O229" s="80">
        <f>IF(I229&gt;0,MAX(0,M229),0)</f>
        <v/>
      </c>
      <c r="P229" s="80">
        <f>IF($I229&gt;0,MAX(0,$G229*SIN(RADIANS('13_시나리오비교'!$B$5))*SIN(RADIANS('13_시나리오비교'!$C$5))+$H229*SIN(RADIANS('13_시나리오비교'!$B$5))*COS(RADIANS('13_시나리오비교'!$C$5))+$I229*COS(RADIANS('13_시나리오비교'!$B$5))),0)</f>
        <v/>
      </c>
      <c r="Q229" s="80">
        <f>IF($I229&gt;0,MAX(0,$G229*SIN(RADIANS('13_시나리오비교'!$B$6))*SIN(RADIANS('13_시나리오비교'!$C$6))+$H229*SIN(RADIANS('13_시나리오비교'!$B$6))*COS(RADIANS('13_시나리오비교'!$C$6))+$I229*COS(RADIANS('13_시나리오비교'!$B$6))),0)</f>
        <v/>
      </c>
      <c r="R229" s="80">
        <f>IF($I229&gt;0,MAX(0,$G229*SIN(RADIANS('13_시나리오비교'!$B$7))*SIN(RADIANS('13_시나리오비교'!$C$7))+$H229*SIN(RADIANS('13_시나리오비교'!$B$7))*COS(RADIANS('13_시나리오비교'!$C$7))+$I229*COS(RADIANS('13_시나리오비교'!$B$7))),0)</f>
        <v/>
      </c>
      <c r="S229" s="80">
        <f>IF($I229&gt;0,MAX(0,$G229*SIN(RADIANS('13_시나리오비교'!$B$8))*SIN(RADIANS('13_시나리오비교'!$C$8))+$H229*SIN(RADIANS('13_시나리오비교'!$B$8))*COS(RADIANS('13_시나리오비교'!$C$8))+$I229*COS(RADIANS('13_시나리오비교'!$B$8))),0)</f>
        <v/>
      </c>
      <c r="T229" s="80">
        <f>IF($I229&gt;0,MAX(0,$G229*SIN(RADIANS('13_시나리오비교'!$B$9))*SIN(RADIANS('13_시나리오비교'!$C$9))+$H229*SIN(RADIANS('13_시나리오비교'!$B$9))*COS(RADIANS('13_시나리오비교'!$C$9))+$I229*COS(RADIANS('13_시나리오비교'!$B$9))),0)</f>
        <v/>
      </c>
      <c r="U229" s="80">
        <f>IF($I229&gt;0,MAX(0,$G229*SIN(RADIANS('13_시나리오비교'!$B$10))*SIN(RADIANS('13_시나리오비교'!$C$10))+$H229*SIN(RADIANS('13_시나리오비교'!$B$10))*COS(RADIANS('13_시나리오비교'!$C$10))+$I229*COS(RADIANS('13_시나리오비교'!$B$10))),0)</f>
        <v/>
      </c>
      <c r="V229" s="80">
        <f>IF($I229&gt;0,MAX(0,$G229*SIN(RADIANS('13_시나리오비교'!$B$11))*SIN(RADIANS('13_시나리오비교'!$C$11))+$H229*SIN(RADIANS('13_시나리오비교'!$B$11))*COS(RADIANS('13_시나리오비교'!$C$11))+$I229*COS(RADIANS('13_시나리오비교'!$B$11))),0)</f>
        <v/>
      </c>
      <c r="W229" s="80">
        <f>IF($I229&gt;0,MAX(0,$G229*SIN(RADIANS('13_시나리오비교'!$B$12))*SIN(RADIANS('13_시나리오비교'!$C$12))+$H229*SIN(RADIANS('13_시나리오비교'!$B$12))*COS(RADIANS('13_시나리오비교'!$C$12))+$I229*COS(RADIANS('13_시나리오비교'!$B$12))),0)</f>
        <v/>
      </c>
      <c r="X229" s="80">
        <f>IF($I229&gt;0,MAX(0,$G229*SIN(RADIANS('13_시나리오비교'!$B$13))*SIN(RADIANS('13_시나리오비교'!$C$13))+$H229*SIN(RADIANS('13_시나리오비교'!$B$13))*COS(RADIANS('13_시나리오비교'!$C$13))+$I229*COS(RADIANS('13_시나리오비교'!$B$13))),0)</f>
        <v/>
      </c>
      <c r="Y229" s="80">
        <f>IF($I229&gt;0,MAX(0,$G229*SIN(RADIANS('13_시나리오비교'!$B$14))*SIN(RADIANS('13_시나리오비교'!$C$14))+$H229*SIN(RADIANS('13_시나리오비교'!$B$14))*COS(RADIANS('13_시나리오비교'!$C$14))+$I229*COS(RADIANS('13_시나리오비교'!$B$14))),0)</f>
        <v/>
      </c>
    </row>
    <row r="230" hidden="1" outlineLevel="1">
      <c r="A230" s="79" t="n">
        <v>3</v>
      </c>
      <c r="B230" s="79" t="n">
        <v>18</v>
      </c>
      <c r="C230" s="80">
        <f>(B230-0.5)*'14_지역·상수'!$H$6</f>
        <v/>
      </c>
      <c r="D230" s="79" t="n">
        <v>75</v>
      </c>
      <c r="E230" s="80">
        <f>INDEX($C$4:$C$15,MATCH(A230,$A$4:$A$15,0))</f>
        <v/>
      </c>
      <c r="F230" s="80">
        <f>15*(C230-12)</f>
        <v/>
      </c>
      <c r="G230" s="80">
        <f>-COS(RADIANS(E230))*SIN(RADIANS(F230))</f>
        <v/>
      </c>
      <c r="H230" s="80">
        <f>COS(RADIANS('11_발전량_모델'!$B$17))*SIN(RADIANS(E230))-SIN(RADIANS('11_발전량_모델'!$B$17))*COS(RADIANS(E230))*COS(RADIANS(F230))</f>
        <v/>
      </c>
      <c r="I230" s="80">
        <f>SIN(RADIANS('11_발전량_모델'!$B$17))*SIN(RADIANS(E230))+COS(RADIANS('11_발전량_모델'!$B$17))*COS(RADIANS(E230))*COS(RADIANS(F230))</f>
        <v/>
      </c>
      <c r="J230" s="80">
        <f>SIN(RADIANS('11_발전량_모델'!$B$7))*SIN(RADIANS('11_발전량_모델'!$B$8))</f>
        <v/>
      </c>
      <c r="K230" s="80">
        <f>SIN(RADIANS('11_발전량_모델'!$B$7))*COS(RADIANS('11_발전량_모델'!$B$8))</f>
        <v/>
      </c>
      <c r="L230" s="80">
        <f>COS(RADIANS('11_발전량_모델'!$B$7))</f>
        <v/>
      </c>
      <c r="M230" s="80">
        <f>G230*J230+H230*K230+I230*L230</f>
        <v/>
      </c>
      <c r="N230" s="80">
        <f>MAX(0,I230)</f>
        <v/>
      </c>
      <c r="O230" s="80">
        <f>IF(I230&gt;0,MAX(0,M230),0)</f>
        <v/>
      </c>
      <c r="P230" s="80">
        <f>IF($I230&gt;0,MAX(0,$G230*SIN(RADIANS('13_시나리오비교'!$B$5))*SIN(RADIANS('13_시나리오비교'!$C$5))+$H230*SIN(RADIANS('13_시나리오비교'!$B$5))*COS(RADIANS('13_시나리오비교'!$C$5))+$I230*COS(RADIANS('13_시나리오비교'!$B$5))),0)</f>
        <v/>
      </c>
      <c r="Q230" s="80">
        <f>IF($I230&gt;0,MAX(0,$G230*SIN(RADIANS('13_시나리오비교'!$B$6))*SIN(RADIANS('13_시나리오비교'!$C$6))+$H230*SIN(RADIANS('13_시나리오비교'!$B$6))*COS(RADIANS('13_시나리오비교'!$C$6))+$I230*COS(RADIANS('13_시나리오비교'!$B$6))),0)</f>
        <v/>
      </c>
      <c r="R230" s="80">
        <f>IF($I230&gt;0,MAX(0,$G230*SIN(RADIANS('13_시나리오비교'!$B$7))*SIN(RADIANS('13_시나리오비교'!$C$7))+$H230*SIN(RADIANS('13_시나리오비교'!$B$7))*COS(RADIANS('13_시나리오비교'!$C$7))+$I230*COS(RADIANS('13_시나리오비교'!$B$7))),0)</f>
        <v/>
      </c>
      <c r="S230" s="80">
        <f>IF($I230&gt;0,MAX(0,$G230*SIN(RADIANS('13_시나리오비교'!$B$8))*SIN(RADIANS('13_시나리오비교'!$C$8))+$H230*SIN(RADIANS('13_시나리오비교'!$B$8))*COS(RADIANS('13_시나리오비교'!$C$8))+$I230*COS(RADIANS('13_시나리오비교'!$B$8))),0)</f>
        <v/>
      </c>
      <c r="T230" s="80">
        <f>IF($I230&gt;0,MAX(0,$G230*SIN(RADIANS('13_시나리오비교'!$B$9))*SIN(RADIANS('13_시나리오비교'!$C$9))+$H230*SIN(RADIANS('13_시나리오비교'!$B$9))*COS(RADIANS('13_시나리오비교'!$C$9))+$I230*COS(RADIANS('13_시나리오비교'!$B$9))),0)</f>
        <v/>
      </c>
      <c r="U230" s="80">
        <f>IF($I230&gt;0,MAX(0,$G230*SIN(RADIANS('13_시나리오비교'!$B$10))*SIN(RADIANS('13_시나리오비교'!$C$10))+$H230*SIN(RADIANS('13_시나리오비교'!$B$10))*COS(RADIANS('13_시나리오비교'!$C$10))+$I230*COS(RADIANS('13_시나리오비교'!$B$10))),0)</f>
        <v/>
      </c>
      <c r="V230" s="80">
        <f>IF($I230&gt;0,MAX(0,$G230*SIN(RADIANS('13_시나리오비교'!$B$11))*SIN(RADIANS('13_시나리오비교'!$C$11))+$H230*SIN(RADIANS('13_시나리오비교'!$B$11))*COS(RADIANS('13_시나리오비교'!$C$11))+$I230*COS(RADIANS('13_시나리오비교'!$B$11))),0)</f>
        <v/>
      </c>
      <c r="W230" s="80">
        <f>IF($I230&gt;0,MAX(0,$G230*SIN(RADIANS('13_시나리오비교'!$B$12))*SIN(RADIANS('13_시나리오비교'!$C$12))+$H230*SIN(RADIANS('13_시나리오비교'!$B$12))*COS(RADIANS('13_시나리오비교'!$C$12))+$I230*COS(RADIANS('13_시나리오비교'!$B$12))),0)</f>
        <v/>
      </c>
      <c r="X230" s="80">
        <f>IF($I230&gt;0,MAX(0,$G230*SIN(RADIANS('13_시나리오비교'!$B$13))*SIN(RADIANS('13_시나리오비교'!$C$13))+$H230*SIN(RADIANS('13_시나리오비교'!$B$13))*COS(RADIANS('13_시나리오비교'!$C$13))+$I230*COS(RADIANS('13_시나리오비교'!$B$13))),0)</f>
        <v/>
      </c>
      <c r="Y230" s="80">
        <f>IF($I230&gt;0,MAX(0,$G230*SIN(RADIANS('13_시나리오비교'!$B$14))*SIN(RADIANS('13_시나리오비교'!$C$14))+$H230*SIN(RADIANS('13_시나리오비교'!$B$14))*COS(RADIANS('13_시나리오비교'!$C$14))+$I230*COS(RADIANS('13_시나리오비교'!$B$14))),0)</f>
        <v/>
      </c>
    </row>
    <row r="231" hidden="1" outlineLevel="1">
      <c r="A231" s="79" t="n">
        <v>3</v>
      </c>
      <c r="B231" s="79" t="n">
        <v>19</v>
      </c>
      <c r="C231" s="80">
        <f>(B231-0.5)*'14_지역·상수'!$H$6</f>
        <v/>
      </c>
      <c r="D231" s="79" t="n">
        <v>75</v>
      </c>
      <c r="E231" s="80">
        <f>INDEX($C$4:$C$15,MATCH(A231,$A$4:$A$15,0))</f>
        <v/>
      </c>
      <c r="F231" s="80">
        <f>15*(C231-12)</f>
        <v/>
      </c>
      <c r="G231" s="80">
        <f>-COS(RADIANS(E231))*SIN(RADIANS(F231))</f>
        <v/>
      </c>
      <c r="H231" s="80">
        <f>COS(RADIANS('11_발전량_모델'!$B$17))*SIN(RADIANS(E231))-SIN(RADIANS('11_발전량_모델'!$B$17))*COS(RADIANS(E231))*COS(RADIANS(F231))</f>
        <v/>
      </c>
      <c r="I231" s="80">
        <f>SIN(RADIANS('11_발전량_모델'!$B$17))*SIN(RADIANS(E231))+COS(RADIANS('11_발전량_모델'!$B$17))*COS(RADIANS(E231))*COS(RADIANS(F231))</f>
        <v/>
      </c>
      <c r="J231" s="80">
        <f>SIN(RADIANS('11_발전량_모델'!$B$7))*SIN(RADIANS('11_발전량_모델'!$B$8))</f>
        <v/>
      </c>
      <c r="K231" s="80">
        <f>SIN(RADIANS('11_발전량_모델'!$B$7))*COS(RADIANS('11_발전량_모델'!$B$8))</f>
        <v/>
      </c>
      <c r="L231" s="80">
        <f>COS(RADIANS('11_발전량_모델'!$B$7))</f>
        <v/>
      </c>
      <c r="M231" s="80">
        <f>G231*J231+H231*K231+I231*L231</f>
        <v/>
      </c>
      <c r="N231" s="80">
        <f>MAX(0,I231)</f>
        <v/>
      </c>
      <c r="O231" s="80">
        <f>IF(I231&gt;0,MAX(0,M231),0)</f>
        <v/>
      </c>
      <c r="P231" s="80">
        <f>IF($I231&gt;0,MAX(0,$G231*SIN(RADIANS('13_시나리오비교'!$B$5))*SIN(RADIANS('13_시나리오비교'!$C$5))+$H231*SIN(RADIANS('13_시나리오비교'!$B$5))*COS(RADIANS('13_시나리오비교'!$C$5))+$I231*COS(RADIANS('13_시나리오비교'!$B$5))),0)</f>
        <v/>
      </c>
      <c r="Q231" s="80">
        <f>IF($I231&gt;0,MAX(0,$G231*SIN(RADIANS('13_시나리오비교'!$B$6))*SIN(RADIANS('13_시나리오비교'!$C$6))+$H231*SIN(RADIANS('13_시나리오비교'!$B$6))*COS(RADIANS('13_시나리오비교'!$C$6))+$I231*COS(RADIANS('13_시나리오비교'!$B$6))),0)</f>
        <v/>
      </c>
      <c r="R231" s="80">
        <f>IF($I231&gt;0,MAX(0,$G231*SIN(RADIANS('13_시나리오비교'!$B$7))*SIN(RADIANS('13_시나리오비교'!$C$7))+$H231*SIN(RADIANS('13_시나리오비교'!$B$7))*COS(RADIANS('13_시나리오비교'!$C$7))+$I231*COS(RADIANS('13_시나리오비교'!$B$7))),0)</f>
        <v/>
      </c>
      <c r="S231" s="80">
        <f>IF($I231&gt;0,MAX(0,$G231*SIN(RADIANS('13_시나리오비교'!$B$8))*SIN(RADIANS('13_시나리오비교'!$C$8))+$H231*SIN(RADIANS('13_시나리오비교'!$B$8))*COS(RADIANS('13_시나리오비교'!$C$8))+$I231*COS(RADIANS('13_시나리오비교'!$B$8))),0)</f>
        <v/>
      </c>
      <c r="T231" s="80">
        <f>IF($I231&gt;0,MAX(0,$G231*SIN(RADIANS('13_시나리오비교'!$B$9))*SIN(RADIANS('13_시나리오비교'!$C$9))+$H231*SIN(RADIANS('13_시나리오비교'!$B$9))*COS(RADIANS('13_시나리오비교'!$C$9))+$I231*COS(RADIANS('13_시나리오비교'!$B$9))),0)</f>
        <v/>
      </c>
      <c r="U231" s="80">
        <f>IF($I231&gt;0,MAX(0,$G231*SIN(RADIANS('13_시나리오비교'!$B$10))*SIN(RADIANS('13_시나리오비교'!$C$10))+$H231*SIN(RADIANS('13_시나리오비교'!$B$10))*COS(RADIANS('13_시나리오비교'!$C$10))+$I231*COS(RADIANS('13_시나리오비교'!$B$10))),0)</f>
        <v/>
      </c>
      <c r="V231" s="80">
        <f>IF($I231&gt;0,MAX(0,$G231*SIN(RADIANS('13_시나리오비교'!$B$11))*SIN(RADIANS('13_시나리오비교'!$C$11))+$H231*SIN(RADIANS('13_시나리오비교'!$B$11))*COS(RADIANS('13_시나리오비교'!$C$11))+$I231*COS(RADIANS('13_시나리오비교'!$B$11))),0)</f>
        <v/>
      </c>
      <c r="W231" s="80">
        <f>IF($I231&gt;0,MAX(0,$G231*SIN(RADIANS('13_시나리오비교'!$B$12))*SIN(RADIANS('13_시나리오비교'!$C$12))+$H231*SIN(RADIANS('13_시나리오비교'!$B$12))*COS(RADIANS('13_시나리오비교'!$C$12))+$I231*COS(RADIANS('13_시나리오비교'!$B$12))),0)</f>
        <v/>
      </c>
      <c r="X231" s="80">
        <f>IF($I231&gt;0,MAX(0,$G231*SIN(RADIANS('13_시나리오비교'!$B$13))*SIN(RADIANS('13_시나리오비교'!$C$13))+$H231*SIN(RADIANS('13_시나리오비교'!$B$13))*COS(RADIANS('13_시나리오비교'!$C$13))+$I231*COS(RADIANS('13_시나리오비교'!$B$13))),0)</f>
        <v/>
      </c>
      <c r="Y231" s="80">
        <f>IF($I231&gt;0,MAX(0,$G231*SIN(RADIANS('13_시나리오비교'!$B$14))*SIN(RADIANS('13_시나리오비교'!$C$14))+$H231*SIN(RADIANS('13_시나리오비교'!$B$14))*COS(RADIANS('13_시나리오비교'!$C$14))+$I231*COS(RADIANS('13_시나리오비교'!$B$14))),0)</f>
        <v/>
      </c>
    </row>
    <row r="232" hidden="1" outlineLevel="1">
      <c r="A232" s="79" t="n">
        <v>3</v>
      </c>
      <c r="B232" s="79" t="n">
        <v>20</v>
      </c>
      <c r="C232" s="80">
        <f>(B232-0.5)*'14_지역·상수'!$H$6</f>
        <v/>
      </c>
      <c r="D232" s="79" t="n">
        <v>75</v>
      </c>
      <c r="E232" s="80">
        <f>INDEX($C$4:$C$15,MATCH(A232,$A$4:$A$15,0))</f>
        <v/>
      </c>
      <c r="F232" s="80">
        <f>15*(C232-12)</f>
        <v/>
      </c>
      <c r="G232" s="80">
        <f>-COS(RADIANS(E232))*SIN(RADIANS(F232))</f>
        <v/>
      </c>
      <c r="H232" s="80">
        <f>COS(RADIANS('11_발전량_모델'!$B$17))*SIN(RADIANS(E232))-SIN(RADIANS('11_발전량_모델'!$B$17))*COS(RADIANS(E232))*COS(RADIANS(F232))</f>
        <v/>
      </c>
      <c r="I232" s="80">
        <f>SIN(RADIANS('11_발전량_모델'!$B$17))*SIN(RADIANS(E232))+COS(RADIANS('11_발전량_모델'!$B$17))*COS(RADIANS(E232))*COS(RADIANS(F232))</f>
        <v/>
      </c>
      <c r="J232" s="80">
        <f>SIN(RADIANS('11_발전량_모델'!$B$7))*SIN(RADIANS('11_발전량_모델'!$B$8))</f>
        <v/>
      </c>
      <c r="K232" s="80">
        <f>SIN(RADIANS('11_발전량_모델'!$B$7))*COS(RADIANS('11_발전량_모델'!$B$8))</f>
        <v/>
      </c>
      <c r="L232" s="80">
        <f>COS(RADIANS('11_발전량_모델'!$B$7))</f>
        <v/>
      </c>
      <c r="M232" s="80">
        <f>G232*J232+H232*K232+I232*L232</f>
        <v/>
      </c>
      <c r="N232" s="80">
        <f>MAX(0,I232)</f>
        <v/>
      </c>
      <c r="O232" s="80">
        <f>IF(I232&gt;0,MAX(0,M232),0)</f>
        <v/>
      </c>
      <c r="P232" s="80">
        <f>IF($I232&gt;0,MAX(0,$G232*SIN(RADIANS('13_시나리오비교'!$B$5))*SIN(RADIANS('13_시나리오비교'!$C$5))+$H232*SIN(RADIANS('13_시나리오비교'!$B$5))*COS(RADIANS('13_시나리오비교'!$C$5))+$I232*COS(RADIANS('13_시나리오비교'!$B$5))),0)</f>
        <v/>
      </c>
      <c r="Q232" s="80">
        <f>IF($I232&gt;0,MAX(0,$G232*SIN(RADIANS('13_시나리오비교'!$B$6))*SIN(RADIANS('13_시나리오비교'!$C$6))+$H232*SIN(RADIANS('13_시나리오비교'!$B$6))*COS(RADIANS('13_시나리오비교'!$C$6))+$I232*COS(RADIANS('13_시나리오비교'!$B$6))),0)</f>
        <v/>
      </c>
      <c r="R232" s="80">
        <f>IF($I232&gt;0,MAX(0,$G232*SIN(RADIANS('13_시나리오비교'!$B$7))*SIN(RADIANS('13_시나리오비교'!$C$7))+$H232*SIN(RADIANS('13_시나리오비교'!$B$7))*COS(RADIANS('13_시나리오비교'!$C$7))+$I232*COS(RADIANS('13_시나리오비교'!$B$7))),0)</f>
        <v/>
      </c>
      <c r="S232" s="80">
        <f>IF($I232&gt;0,MAX(0,$G232*SIN(RADIANS('13_시나리오비교'!$B$8))*SIN(RADIANS('13_시나리오비교'!$C$8))+$H232*SIN(RADIANS('13_시나리오비교'!$B$8))*COS(RADIANS('13_시나리오비교'!$C$8))+$I232*COS(RADIANS('13_시나리오비교'!$B$8))),0)</f>
        <v/>
      </c>
      <c r="T232" s="80">
        <f>IF($I232&gt;0,MAX(0,$G232*SIN(RADIANS('13_시나리오비교'!$B$9))*SIN(RADIANS('13_시나리오비교'!$C$9))+$H232*SIN(RADIANS('13_시나리오비교'!$B$9))*COS(RADIANS('13_시나리오비교'!$C$9))+$I232*COS(RADIANS('13_시나리오비교'!$B$9))),0)</f>
        <v/>
      </c>
      <c r="U232" s="80">
        <f>IF($I232&gt;0,MAX(0,$G232*SIN(RADIANS('13_시나리오비교'!$B$10))*SIN(RADIANS('13_시나리오비교'!$C$10))+$H232*SIN(RADIANS('13_시나리오비교'!$B$10))*COS(RADIANS('13_시나리오비교'!$C$10))+$I232*COS(RADIANS('13_시나리오비교'!$B$10))),0)</f>
        <v/>
      </c>
      <c r="V232" s="80">
        <f>IF($I232&gt;0,MAX(0,$G232*SIN(RADIANS('13_시나리오비교'!$B$11))*SIN(RADIANS('13_시나리오비교'!$C$11))+$H232*SIN(RADIANS('13_시나리오비교'!$B$11))*COS(RADIANS('13_시나리오비교'!$C$11))+$I232*COS(RADIANS('13_시나리오비교'!$B$11))),0)</f>
        <v/>
      </c>
      <c r="W232" s="80">
        <f>IF($I232&gt;0,MAX(0,$G232*SIN(RADIANS('13_시나리오비교'!$B$12))*SIN(RADIANS('13_시나리오비교'!$C$12))+$H232*SIN(RADIANS('13_시나리오비교'!$B$12))*COS(RADIANS('13_시나리오비교'!$C$12))+$I232*COS(RADIANS('13_시나리오비교'!$B$12))),0)</f>
        <v/>
      </c>
      <c r="X232" s="80">
        <f>IF($I232&gt;0,MAX(0,$G232*SIN(RADIANS('13_시나리오비교'!$B$13))*SIN(RADIANS('13_시나리오비교'!$C$13))+$H232*SIN(RADIANS('13_시나리오비교'!$B$13))*COS(RADIANS('13_시나리오비교'!$C$13))+$I232*COS(RADIANS('13_시나리오비교'!$B$13))),0)</f>
        <v/>
      </c>
      <c r="Y232" s="80">
        <f>IF($I232&gt;0,MAX(0,$G232*SIN(RADIANS('13_시나리오비교'!$B$14))*SIN(RADIANS('13_시나리오비교'!$C$14))+$H232*SIN(RADIANS('13_시나리오비교'!$B$14))*COS(RADIANS('13_시나리오비교'!$C$14))+$I232*COS(RADIANS('13_시나리오비교'!$B$14))),0)</f>
        <v/>
      </c>
    </row>
    <row r="233" hidden="1" outlineLevel="1">
      <c r="A233" s="79" t="n">
        <v>3</v>
      </c>
      <c r="B233" s="79" t="n">
        <v>21</v>
      </c>
      <c r="C233" s="80">
        <f>(B233-0.5)*'14_지역·상수'!$H$6</f>
        <v/>
      </c>
      <c r="D233" s="79" t="n">
        <v>75</v>
      </c>
      <c r="E233" s="80">
        <f>INDEX($C$4:$C$15,MATCH(A233,$A$4:$A$15,0))</f>
        <v/>
      </c>
      <c r="F233" s="80">
        <f>15*(C233-12)</f>
        <v/>
      </c>
      <c r="G233" s="80">
        <f>-COS(RADIANS(E233))*SIN(RADIANS(F233))</f>
        <v/>
      </c>
      <c r="H233" s="80">
        <f>COS(RADIANS('11_발전량_모델'!$B$17))*SIN(RADIANS(E233))-SIN(RADIANS('11_발전량_모델'!$B$17))*COS(RADIANS(E233))*COS(RADIANS(F233))</f>
        <v/>
      </c>
      <c r="I233" s="80">
        <f>SIN(RADIANS('11_발전량_모델'!$B$17))*SIN(RADIANS(E233))+COS(RADIANS('11_발전량_모델'!$B$17))*COS(RADIANS(E233))*COS(RADIANS(F233))</f>
        <v/>
      </c>
      <c r="J233" s="80">
        <f>SIN(RADIANS('11_발전량_모델'!$B$7))*SIN(RADIANS('11_발전량_모델'!$B$8))</f>
        <v/>
      </c>
      <c r="K233" s="80">
        <f>SIN(RADIANS('11_발전량_모델'!$B$7))*COS(RADIANS('11_발전량_모델'!$B$8))</f>
        <v/>
      </c>
      <c r="L233" s="80">
        <f>COS(RADIANS('11_발전량_모델'!$B$7))</f>
        <v/>
      </c>
      <c r="M233" s="80">
        <f>G233*J233+H233*K233+I233*L233</f>
        <v/>
      </c>
      <c r="N233" s="80">
        <f>MAX(0,I233)</f>
        <v/>
      </c>
      <c r="O233" s="80">
        <f>IF(I233&gt;0,MAX(0,M233),0)</f>
        <v/>
      </c>
      <c r="P233" s="80">
        <f>IF($I233&gt;0,MAX(0,$G233*SIN(RADIANS('13_시나리오비교'!$B$5))*SIN(RADIANS('13_시나리오비교'!$C$5))+$H233*SIN(RADIANS('13_시나리오비교'!$B$5))*COS(RADIANS('13_시나리오비교'!$C$5))+$I233*COS(RADIANS('13_시나리오비교'!$B$5))),0)</f>
        <v/>
      </c>
      <c r="Q233" s="80">
        <f>IF($I233&gt;0,MAX(0,$G233*SIN(RADIANS('13_시나리오비교'!$B$6))*SIN(RADIANS('13_시나리오비교'!$C$6))+$H233*SIN(RADIANS('13_시나리오비교'!$B$6))*COS(RADIANS('13_시나리오비교'!$C$6))+$I233*COS(RADIANS('13_시나리오비교'!$B$6))),0)</f>
        <v/>
      </c>
      <c r="R233" s="80">
        <f>IF($I233&gt;0,MAX(0,$G233*SIN(RADIANS('13_시나리오비교'!$B$7))*SIN(RADIANS('13_시나리오비교'!$C$7))+$H233*SIN(RADIANS('13_시나리오비교'!$B$7))*COS(RADIANS('13_시나리오비교'!$C$7))+$I233*COS(RADIANS('13_시나리오비교'!$B$7))),0)</f>
        <v/>
      </c>
      <c r="S233" s="80">
        <f>IF($I233&gt;0,MAX(0,$G233*SIN(RADIANS('13_시나리오비교'!$B$8))*SIN(RADIANS('13_시나리오비교'!$C$8))+$H233*SIN(RADIANS('13_시나리오비교'!$B$8))*COS(RADIANS('13_시나리오비교'!$C$8))+$I233*COS(RADIANS('13_시나리오비교'!$B$8))),0)</f>
        <v/>
      </c>
      <c r="T233" s="80">
        <f>IF($I233&gt;0,MAX(0,$G233*SIN(RADIANS('13_시나리오비교'!$B$9))*SIN(RADIANS('13_시나리오비교'!$C$9))+$H233*SIN(RADIANS('13_시나리오비교'!$B$9))*COS(RADIANS('13_시나리오비교'!$C$9))+$I233*COS(RADIANS('13_시나리오비교'!$B$9))),0)</f>
        <v/>
      </c>
      <c r="U233" s="80">
        <f>IF($I233&gt;0,MAX(0,$G233*SIN(RADIANS('13_시나리오비교'!$B$10))*SIN(RADIANS('13_시나리오비교'!$C$10))+$H233*SIN(RADIANS('13_시나리오비교'!$B$10))*COS(RADIANS('13_시나리오비교'!$C$10))+$I233*COS(RADIANS('13_시나리오비교'!$B$10))),0)</f>
        <v/>
      </c>
      <c r="V233" s="80">
        <f>IF($I233&gt;0,MAX(0,$G233*SIN(RADIANS('13_시나리오비교'!$B$11))*SIN(RADIANS('13_시나리오비교'!$C$11))+$H233*SIN(RADIANS('13_시나리오비교'!$B$11))*COS(RADIANS('13_시나리오비교'!$C$11))+$I233*COS(RADIANS('13_시나리오비교'!$B$11))),0)</f>
        <v/>
      </c>
      <c r="W233" s="80">
        <f>IF($I233&gt;0,MAX(0,$G233*SIN(RADIANS('13_시나리오비교'!$B$12))*SIN(RADIANS('13_시나리오비교'!$C$12))+$H233*SIN(RADIANS('13_시나리오비교'!$B$12))*COS(RADIANS('13_시나리오비교'!$C$12))+$I233*COS(RADIANS('13_시나리오비교'!$B$12))),0)</f>
        <v/>
      </c>
      <c r="X233" s="80">
        <f>IF($I233&gt;0,MAX(0,$G233*SIN(RADIANS('13_시나리오비교'!$B$13))*SIN(RADIANS('13_시나리오비교'!$C$13))+$H233*SIN(RADIANS('13_시나리오비교'!$B$13))*COS(RADIANS('13_시나리오비교'!$C$13))+$I233*COS(RADIANS('13_시나리오비교'!$B$13))),0)</f>
        <v/>
      </c>
      <c r="Y233" s="80">
        <f>IF($I233&gt;0,MAX(0,$G233*SIN(RADIANS('13_시나리오비교'!$B$14))*SIN(RADIANS('13_시나리오비교'!$C$14))+$H233*SIN(RADIANS('13_시나리오비교'!$B$14))*COS(RADIANS('13_시나리오비교'!$C$14))+$I233*COS(RADIANS('13_시나리오비교'!$B$14))),0)</f>
        <v/>
      </c>
    </row>
    <row r="234" hidden="1" outlineLevel="1">
      <c r="A234" s="79" t="n">
        <v>3</v>
      </c>
      <c r="B234" s="79" t="n">
        <v>22</v>
      </c>
      <c r="C234" s="80">
        <f>(B234-0.5)*'14_지역·상수'!$H$6</f>
        <v/>
      </c>
      <c r="D234" s="79" t="n">
        <v>75</v>
      </c>
      <c r="E234" s="80">
        <f>INDEX($C$4:$C$15,MATCH(A234,$A$4:$A$15,0))</f>
        <v/>
      </c>
      <c r="F234" s="80">
        <f>15*(C234-12)</f>
        <v/>
      </c>
      <c r="G234" s="80">
        <f>-COS(RADIANS(E234))*SIN(RADIANS(F234))</f>
        <v/>
      </c>
      <c r="H234" s="80">
        <f>COS(RADIANS('11_발전량_모델'!$B$17))*SIN(RADIANS(E234))-SIN(RADIANS('11_발전량_모델'!$B$17))*COS(RADIANS(E234))*COS(RADIANS(F234))</f>
        <v/>
      </c>
      <c r="I234" s="80">
        <f>SIN(RADIANS('11_발전량_모델'!$B$17))*SIN(RADIANS(E234))+COS(RADIANS('11_발전량_모델'!$B$17))*COS(RADIANS(E234))*COS(RADIANS(F234))</f>
        <v/>
      </c>
      <c r="J234" s="80">
        <f>SIN(RADIANS('11_발전량_모델'!$B$7))*SIN(RADIANS('11_발전량_모델'!$B$8))</f>
        <v/>
      </c>
      <c r="K234" s="80">
        <f>SIN(RADIANS('11_발전량_모델'!$B$7))*COS(RADIANS('11_발전량_모델'!$B$8))</f>
        <v/>
      </c>
      <c r="L234" s="80">
        <f>COS(RADIANS('11_발전량_모델'!$B$7))</f>
        <v/>
      </c>
      <c r="M234" s="80">
        <f>G234*J234+H234*K234+I234*L234</f>
        <v/>
      </c>
      <c r="N234" s="80">
        <f>MAX(0,I234)</f>
        <v/>
      </c>
      <c r="O234" s="80">
        <f>IF(I234&gt;0,MAX(0,M234),0)</f>
        <v/>
      </c>
      <c r="P234" s="80">
        <f>IF($I234&gt;0,MAX(0,$G234*SIN(RADIANS('13_시나리오비교'!$B$5))*SIN(RADIANS('13_시나리오비교'!$C$5))+$H234*SIN(RADIANS('13_시나리오비교'!$B$5))*COS(RADIANS('13_시나리오비교'!$C$5))+$I234*COS(RADIANS('13_시나리오비교'!$B$5))),0)</f>
        <v/>
      </c>
      <c r="Q234" s="80">
        <f>IF($I234&gt;0,MAX(0,$G234*SIN(RADIANS('13_시나리오비교'!$B$6))*SIN(RADIANS('13_시나리오비교'!$C$6))+$H234*SIN(RADIANS('13_시나리오비교'!$B$6))*COS(RADIANS('13_시나리오비교'!$C$6))+$I234*COS(RADIANS('13_시나리오비교'!$B$6))),0)</f>
        <v/>
      </c>
      <c r="R234" s="80">
        <f>IF($I234&gt;0,MAX(0,$G234*SIN(RADIANS('13_시나리오비교'!$B$7))*SIN(RADIANS('13_시나리오비교'!$C$7))+$H234*SIN(RADIANS('13_시나리오비교'!$B$7))*COS(RADIANS('13_시나리오비교'!$C$7))+$I234*COS(RADIANS('13_시나리오비교'!$B$7))),0)</f>
        <v/>
      </c>
      <c r="S234" s="80">
        <f>IF($I234&gt;0,MAX(0,$G234*SIN(RADIANS('13_시나리오비교'!$B$8))*SIN(RADIANS('13_시나리오비교'!$C$8))+$H234*SIN(RADIANS('13_시나리오비교'!$B$8))*COS(RADIANS('13_시나리오비교'!$C$8))+$I234*COS(RADIANS('13_시나리오비교'!$B$8))),0)</f>
        <v/>
      </c>
      <c r="T234" s="80">
        <f>IF($I234&gt;0,MAX(0,$G234*SIN(RADIANS('13_시나리오비교'!$B$9))*SIN(RADIANS('13_시나리오비교'!$C$9))+$H234*SIN(RADIANS('13_시나리오비교'!$B$9))*COS(RADIANS('13_시나리오비교'!$C$9))+$I234*COS(RADIANS('13_시나리오비교'!$B$9))),0)</f>
        <v/>
      </c>
      <c r="U234" s="80">
        <f>IF($I234&gt;0,MAX(0,$G234*SIN(RADIANS('13_시나리오비교'!$B$10))*SIN(RADIANS('13_시나리오비교'!$C$10))+$H234*SIN(RADIANS('13_시나리오비교'!$B$10))*COS(RADIANS('13_시나리오비교'!$C$10))+$I234*COS(RADIANS('13_시나리오비교'!$B$10))),0)</f>
        <v/>
      </c>
      <c r="V234" s="80">
        <f>IF($I234&gt;0,MAX(0,$G234*SIN(RADIANS('13_시나리오비교'!$B$11))*SIN(RADIANS('13_시나리오비교'!$C$11))+$H234*SIN(RADIANS('13_시나리오비교'!$B$11))*COS(RADIANS('13_시나리오비교'!$C$11))+$I234*COS(RADIANS('13_시나리오비교'!$B$11))),0)</f>
        <v/>
      </c>
      <c r="W234" s="80">
        <f>IF($I234&gt;0,MAX(0,$G234*SIN(RADIANS('13_시나리오비교'!$B$12))*SIN(RADIANS('13_시나리오비교'!$C$12))+$H234*SIN(RADIANS('13_시나리오비교'!$B$12))*COS(RADIANS('13_시나리오비교'!$C$12))+$I234*COS(RADIANS('13_시나리오비교'!$B$12))),0)</f>
        <v/>
      </c>
      <c r="X234" s="80">
        <f>IF($I234&gt;0,MAX(0,$G234*SIN(RADIANS('13_시나리오비교'!$B$13))*SIN(RADIANS('13_시나리오비교'!$C$13))+$H234*SIN(RADIANS('13_시나리오비교'!$B$13))*COS(RADIANS('13_시나리오비교'!$C$13))+$I234*COS(RADIANS('13_시나리오비교'!$B$13))),0)</f>
        <v/>
      </c>
      <c r="Y234" s="80">
        <f>IF($I234&gt;0,MAX(0,$G234*SIN(RADIANS('13_시나리오비교'!$B$14))*SIN(RADIANS('13_시나리오비교'!$C$14))+$H234*SIN(RADIANS('13_시나리오비교'!$B$14))*COS(RADIANS('13_시나리오비교'!$C$14))+$I234*COS(RADIANS('13_시나리오비교'!$B$14))),0)</f>
        <v/>
      </c>
    </row>
    <row r="235" hidden="1" outlineLevel="1">
      <c r="A235" s="79" t="n">
        <v>3</v>
      </c>
      <c r="B235" s="79" t="n">
        <v>23</v>
      </c>
      <c r="C235" s="80">
        <f>(B235-0.5)*'14_지역·상수'!$H$6</f>
        <v/>
      </c>
      <c r="D235" s="79" t="n">
        <v>75</v>
      </c>
      <c r="E235" s="80">
        <f>INDEX($C$4:$C$15,MATCH(A235,$A$4:$A$15,0))</f>
        <v/>
      </c>
      <c r="F235" s="80">
        <f>15*(C235-12)</f>
        <v/>
      </c>
      <c r="G235" s="80">
        <f>-COS(RADIANS(E235))*SIN(RADIANS(F235))</f>
        <v/>
      </c>
      <c r="H235" s="80">
        <f>COS(RADIANS('11_발전량_모델'!$B$17))*SIN(RADIANS(E235))-SIN(RADIANS('11_발전량_모델'!$B$17))*COS(RADIANS(E235))*COS(RADIANS(F235))</f>
        <v/>
      </c>
      <c r="I235" s="80">
        <f>SIN(RADIANS('11_발전량_모델'!$B$17))*SIN(RADIANS(E235))+COS(RADIANS('11_발전량_모델'!$B$17))*COS(RADIANS(E235))*COS(RADIANS(F235))</f>
        <v/>
      </c>
      <c r="J235" s="80">
        <f>SIN(RADIANS('11_발전량_모델'!$B$7))*SIN(RADIANS('11_발전량_모델'!$B$8))</f>
        <v/>
      </c>
      <c r="K235" s="80">
        <f>SIN(RADIANS('11_발전량_모델'!$B$7))*COS(RADIANS('11_발전량_모델'!$B$8))</f>
        <v/>
      </c>
      <c r="L235" s="80">
        <f>COS(RADIANS('11_발전량_모델'!$B$7))</f>
        <v/>
      </c>
      <c r="M235" s="80">
        <f>G235*J235+H235*K235+I235*L235</f>
        <v/>
      </c>
      <c r="N235" s="80">
        <f>MAX(0,I235)</f>
        <v/>
      </c>
      <c r="O235" s="80">
        <f>IF(I235&gt;0,MAX(0,M235),0)</f>
        <v/>
      </c>
      <c r="P235" s="80">
        <f>IF($I235&gt;0,MAX(0,$G235*SIN(RADIANS('13_시나리오비교'!$B$5))*SIN(RADIANS('13_시나리오비교'!$C$5))+$H235*SIN(RADIANS('13_시나리오비교'!$B$5))*COS(RADIANS('13_시나리오비교'!$C$5))+$I235*COS(RADIANS('13_시나리오비교'!$B$5))),0)</f>
        <v/>
      </c>
      <c r="Q235" s="80">
        <f>IF($I235&gt;0,MAX(0,$G235*SIN(RADIANS('13_시나리오비교'!$B$6))*SIN(RADIANS('13_시나리오비교'!$C$6))+$H235*SIN(RADIANS('13_시나리오비교'!$B$6))*COS(RADIANS('13_시나리오비교'!$C$6))+$I235*COS(RADIANS('13_시나리오비교'!$B$6))),0)</f>
        <v/>
      </c>
      <c r="R235" s="80">
        <f>IF($I235&gt;0,MAX(0,$G235*SIN(RADIANS('13_시나리오비교'!$B$7))*SIN(RADIANS('13_시나리오비교'!$C$7))+$H235*SIN(RADIANS('13_시나리오비교'!$B$7))*COS(RADIANS('13_시나리오비교'!$C$7))+$I235*COS(RADIANS('13_시나리오비교'!$B$7))),0)</f>
        <v/>
      </c>
      <c r="S235" s="80">
        <f>IF($I235&gt;0,MAX(0,$G235*SIN(RADIANS('13_시나리오비교'!$B$8))*SIN(RADIANS('13_시나리오비교'!$C$8))+$H235*SIN(RADIANS('13_시나리오비교'!$B$8))*COS(RADIANS('13_시나리오비교'!$C$8))+$I235*COS(RADIANS('13_시나리오비교'!$B$8))),0)</f>
        <v/>
      </c>
      <c r="T235" s="80">
        <f>IF($I235&gt;0,MAX(0,$G235*SIN(RADIANS('13_시나리오비교'!$B$9))*SIN(RADIANS('13_시나리오비교'!$C$9))+$H235*SIN(RADIANS('13_시나리오비교'!$B$9))*COS(RADIANS('13_시나리오비교'!$C$9))+$I235*COS(RADIANS('13_시나리오비교'!$B$9))),0)</f>
        <v/>
      </c>
      <c r="U235" s="80">
        <f>IF($I235&gt;0,MAX(0,$G235*SIN(RADIANS('13_시나리오비교'!$B$10))*SIN(RADIANS('13_시나리오비교'!$C$10))+$H235*SIN(RADIANS('13_시나리오비교'!$B$10))*COS(RADIANS('13_시나리오비교'!$C$10))+$I235*COS(RADIANS('13_시나리오비교'!$B$10))),0)</f>
        <v/>
      </c>
      <c r="V235" s="80">
        <f>IF($I235&gt;0,MAX(0,$G235*SIN(RADIANS('13_시나리오비교'!$B$11))*SIN(RADIANS('13_시나리오비교'!$C$11))+$H235*SIN(RADIANS('13_시나리오비교'!$B$11))*COS(RADIANS('13_시나리오비교'!$C$11))+$I235*COS(RADIANS('13_시나리오비교'!$B$11))),0)</f>
        <v/>
      </c>
      <c r="W235" s="80">
        <f>IF($I235&gt;0,MAX(0,$G235*SIN(RADIANS('13_시나리오비교'!$B$12))*SIN(RADIANS('13_시나리오비교'!$C$12))+$H235*SIN(RADIANS('13_시나리오비교'!$B$12))*COS(RADIANS('13_시나리오비교'!$C$12))+$I235*COS(RADIANS('13_시나리오비교'!$B$12))),0)</f>
        <v/>
      </c>
      <c r="X235" s="80">
        <f>IF($I235&gt;0,MAX(0,$G235*SIN(RADIANS('13_시나리오비교'!$B$13))*SIN(RADIANS('13_시나리오비교'!$C$13))+$H235*SIN(RADIANS('13_시나리오비교'!$B$13))*COS(RADIANS('13_시나리오비교'!$C$13))+$I235*COS(RADIANS('13_시나리오비교'!$B$13))),0)</f>
        <v/>
      </c>
      <c r="Y235" s="80">
        <f>IF($I235&gt;0,MAX(0,$G235*SIN(RADIANS('13_시나리오비교'!$B$14))*SIN(RADIANS('13_시나리오비교'!$C$14))+$H235*SIN(RADIANS('13_시나리오비교'!$B$14))*COS(RADIANS('13_시나리오비교'!$C$14))+$I235*COS(RADIANS('13_시나리오비교'!$B$14))),0)</f>
        <v/>
      </c>
    </row>
    <row r="236" hidden="1" outlineLevel="1">
      <c r="A236" s="79" t="n">
        <v>3</v>
      </c>
      <c r="B236" s="79" t="n">
        <v>24</v>
      </c>
      <c r="C236" s="80">
        <f>(B236-0.5)*'14_지역·상수'!$H$6</f>
        <v/>
      </c>
      <c r="D236" s="79" t="n">
        <v>75</v>
      </c>
      <c r="E236" s="80">
        <f>INDEX($C$4:$C$15,MATCH(A236,$A$4:$A$15,0))</f>
        <v/>
      </c>
      <c r="F236" s="80">
        <f>15*(C236-12)</f>
        <v/>
      </c>
      <c r="G236" s="80">
        <f>-COS(RADIANS(E236))*SIN(RADIANS(F236))</f>
        <v/>
      </c>
      <c r="H236" s="80">
        <f>COS(RADIANS('11_발전량_모델'!$B$17))*SIN(RADIANS(E236))-SIN(RADIANS('11_발전량_모델'!$B$17))*COS(RADIANS(E236))*COS(RADIANS(F236))</f>
        <v/>
      </c>
      <c r="I236" s="80">
        <f>SIN(RADIANS('11_발전량_모델'!$B$17))*SIN(RADIANS(E236))+COS(RADIANS('11_발전량_모델'!$B$17))*COS(RADIANS(E236))*COS(RADIANS(F236))</f>
        <v/>
      </c>
      <c r="J236" s="80">
        <f>SIN(RADIANS('11_발전량_모델'!$B$7))*SIN(RADIANS('11_발전량_모델'!$B$8))</f>
        <v/>
      </c>
      <c r="K236" s="80">
        <f>SIN(RADIANS('11_발전량_모델'!$B$7))*COS(RADIANS('11_발전량_모델'!$B$8))</f>
        <v/>
      </c>
      <c r="L236" s="80">
        <f>COS(RADIANS('11_발전량_모델'!$B$7))</f>
        <v/>
      </c>
      <c r="M236" s="80">
        <f>G236*J236+H236*K236+I236*L236</f>
        <v/>
      </c>
      <c r="N236" s="80">
        <f>MAX(0,I236)</f>
        <v/>
      </c>
      <c r="O236" s="80">
        <f>IF(I236&gt;0,MAX(0,M236),0)</f>
        <v/>
      </c>
      <c r="P236" s="80">
        <f>IF($I236&gt;0,MAX(0,$G236*SIN(RADIANS('13_시나리오비교'!$B$5))*SIN(RADIANS('13_시나리오비교'!$C$5))+$H236*SIN(RADIANS('13_시나리오비교'!$B$5))*COS(RADIANS('13_시나리오비교'!$C$5))+$I236*COS(RADIANS('13_시나리오비교'!$B$5))),0)</f>
        <v/>
      </c>
      <c r="Q236" s="80">
        <f>IF($I236&gt;0,MAX(0,$G236*SIN(RADIANS('13_시나리오비교'!$B$6))*SIN(RADIANS('13_시나리오비교'!$C$6))+$H236*SIN(RADIANS('13_시나리오비교'!$B$6))*COS(RADIANS('13_시나리오비교'!$C$6))+$I236*COS(RADIANS('13_시나리오비교'!$B$6))),0)</f>
        <v/>
      </c>
      <c r="R236" s="80">
        <f>IF($I236&gt;0,MAX(0,$G236*SIN(RADIANS('13_시나리오비교'!$B$7))*SIN(RADIANS('13_시나리오비교'!$C$7))+$H236*SIN(RADIANS('13_시나리오비교'!$B$7))*COS(RADIANS('13_시나리오비교'!$C$7))+$I236*COS(RADIANS('13_시나리오비교'!$B$7))),0)</f>
        <v/>
      </c>
      <c r="S236" s="80">
        <f>IF($I236&gt;0,MAX(0,$G236*SIN(RADIANS('13_시나리오비교'!$B$8))*SIN(RADIANS('13_시나리오비교'!$C$8))+$H236*SIN(RADIANS('13_시나리오비교'!$B$8))*COS(RADIANS('13_시나리오비교'!$C$8))+$I236*COS(RADIANS('13_시나리오비교'!$B$8))),0)</f>
        <v/>
      </c>
      <c r="T236" s="80">
        <f>IF($I236&gt;0,MAX(0,$G236*SIN(RADIANS('13_시나리오비교'!$B$9))*SIN(RADIANS('13_시나리오비교'!$C$9))+$H236*SIN(RADIANS('13_시나리오비교'!$B$9))*COS(RADIANS('13_시나리오비교'!$C$9))+$I236*COS(RADIANS('13_시나리오비교'!$B$9))),0)</f>
        <v/>
      </c>
      <c r="U236" s="80">
        <f>IF($I236&gt;0,MAX(0,$G236*SIN(RADIANS('13_시나리오비교'!$B$10))*SIN(RADIANS('13_시나리오비교'!$C$10))+$H236*SIN(RADIANS('13_시나리오비교'!$B$10))*COS(RADIANS('13_시나리오비교'!$C$10))+$I236*COS(RADIANS('13_시나리오비교'!$B$10))),0)</f>
        <v/>
      </c>
      <c r="V236" s="80">
        <f>IF($I236&gt;0,MAX(0,$G236*SIN(RADIANS('13_시나리오비교'!$B$11))*SIN(RADIANS('13_시나리오비교'!$C$11))+$H236*SIN(RADIANS('13_시나리오비교'!$B$11))*COS(RADIANS('13_시나리오비교'!$C$11))+$I236*COS(RADIANS('13_시나리오비교'!$B$11))),0)</f>
        <v/>
      </c>
      <c r="W236" s="80">
        <f>IF($I236&gt;0,MAX(0,$G236*SIN(RADIANS('13_시나리오비교'!$B$12))*SIN(RADIANS('13_시나리오비교'!$C$12))+$H236*SIN(RADIANS('13_시나리오비교'!$B$12))*COS(RADIANS('13_시나리오비교'!$C$12))+$I236*COS(RADIANS('13_시나리오비교'!$B$12))),0)</f>
        <v/>
      </c>
      <c r="X236" s="80">
        <f>IF($I236&gt;0,MAX(0,$G236*SIN(RADIANS('13_시나리오비교'!$B$13))*SIN(RADIANS('13_시나리오비교'!$C$13))+$H236*SIN(RADIANS('13_시나리오비교'!$B$13))*COS(RADIANS('13_시나리오비교'!$C$13))+$I236*COS(RADIANS('13_시나리오비교'!$B$13))),0)</f>
        <v/>
      </c>
      <c r="Y236" s="80">
        <f>IF($I236&gt;0,MAX(0,$G236*SIN(RADIANS('13_시나리오비교'!$B$14))*SIN(RADIANS('13_시나리오비교'!$C$14))+$H236*SIN(RADIANS('13_시나리오비교'!$B$14))*COS(RADIANS('13_시나리오비교'!$C$14))+$I236*COS(RADIANS('13_시나리오비교'!$B$14))),0)</f>
        <v/>
      </c>
    </row>
    <row r="237" hidden="1" outlineLevel="1">
      <c r="A237" s="79" t="n">
        <v>3</v>
      </c>
      <c r="B237" s="79" t="n">
        <v>25</v>
      </c>
      <c r="C237" s="80">
        <f>(B237-0.5)*'14_지역·상수'!$H$6</f>
        <v/>
      </c>
      <c r="D237" s="79" t="n">
        <v>75</v>
      </c>
      <c r="E237" s="80">
        <f>INDEX($C$4:$C$15,MATCH(A237,$A$4:$A$15,0))</f>
        <v/>
      </c>
      <c r="F237" s="80">
        <f>15*(C237-12)</f>
        <v/>
      </c>
      <c r="G237" s="80">
        <f>-COS(RADIANS(E237))*SIN(RADIANS(F237))</f>
        <v/>
      </c>
      <c r="H237" s="80">
        <f>COS(RADIANS('11_발전량_모델'!$B$17))*SIN(RADIANS(E237))-SIN(RADIANS('11_발전량_모델'!$B$17))*COS(RADIANS(E237))*COS(RADIANS(F237))</f>
        <v/>
      </c>
      <c r="I237" s="80">
        <f>SIN(RADIANS('11_발전량_모델'!$B$17))*SIN(RADIANS(E237))+COS(RADIANS('11_발전량_모델'!$B$17))*COS(RADIANS(E237))*COS(RADIANS(F237))</f>
        <v/>
      </c>
      <c r="J237" s="80">
        <f>SIN(RADIANS('11_발전량_모델'!$B$7))*SIN(RADIANS('11_발전량_모델'!$B$8))</f>
        <v/>
      </c>
      <c r="K237" s="80">
        <f>SIN(RADIANS('11_발전량_모델'!$B$7))*COS(RADIANS('11_발전량_모델'!$B$8))</f>
        <v/>
      </c>
      <c r="L237" s="80">
        <f>COS(RADIANS('11_발전량_모델'!$B$7))</f>
        <v/>
      </c>
      <c r="M237" s="80">
        <f>G237*J237+H237*K237+I237*L237</f>
        <v/>
      </c>
      <c r="N237" s="80">
        <f>MAX(0,I237)</f>
        <v/>
      </c>
      <c r="O237" s="80">
        <f>IF(I237&gt;0,MAX(0,M237),0)</f>
        <v/>
      </c>
      <c r="P237" s="80">
        <f>IF($I237&gt;0,MAX(0,$G237*SIN(RADIANS('13_시나리오비교'!$B$5))*SIN(RADIANS('13_시나리오비교'!$C$5))+$H237*SIN(RADIANS('13_시나리오비교'!$B$5))*COS(RADIANS('13_시나리오비교'!$C$5))+$I237*COS(RADIANS('13_시나리오비교'!$B$5))),0)</f>
        <v/>
      </c>
      <c r="Q237" s="80">
        <f>IF($I237&gt;0,MAX(0,$G237*SIN(RADIANS('13_시나리오비교'!$B$6))*SIN(RADIANS('13_시나리오비교'!$C$6))+$H237*SIN(RADIANS('13_시나리오비교'!$B$6))*COS(RADIANS('13_시나리오비교'!$C$6))+$I237*COS(RADIANS('13_시나리오비교'!$B$6))),0)</f>
        <v/>
      </c>
      <c r="R237" s="80">
        <f>IF($I237&gt;0,MAX(0,$G237*SIN(RADIANS('13_시나리오비교'!$B$7))*SIN(RADIANS('13_시나리오비교'!$C$7))+$H237*SIN(RADIANS('13_시나리오비교'!$B$7))*COS(RADIANS('13_시나리오비교'!$C$7))+$I237*COS(RADIANS('13_시나리오비교'!$B$7))),0)</f>
        <v/>
      </c>
      <c r="S237" s="80">
        <f>IF($I237&gt;0,MAX(0,$G237*SIN(RADIANS('13_시나리오비교'!$B$8))*SIN(RADIANS('13_시나리오비교'!$C$8))+$H237*SIN(RADIANS('13_시나리오비교'!$B$8))*COS(RADIANS('13_시나리오비교'!$C$8))+$I237*COS(RADIANS('13_시나리오비교'!$B$8))),0)</f>
        <v/>
      </c>
      <c r="T237" s="80">
        <f>IF($I237&gt;0,MAX(0,$G237*SIN(RADIANS('13_시나리오비교'!$B$9))*SIN(RADIANS('13_시나리오비교'!$C$9))+$H237*SIN(RADIANS('13_시나리오비교'!$B$9))*COS(RADIANS('13_시나리오비교'!$C$9))+$I237*COS(RADIANS('13_시나리오비교'!$B$9))),0)</f>
        <v/>
      </c>
      <c r="U237" s="80">
        <f>IF($I237&gt;0,MAX(0,$G237*SIN(RADIANS('13_시나리오비교'!$B$10))*SIN(RADIANS('13_시나리오비교'!$C$10))+$H237*SIN(RADIANS('13_시나리오비교'!$B$10))*COS(RADIANS('13_시나리오비교'!$C$10))+$I237*COS(RADIANS('13_시나리오비교'!$B$10))),0)</f>
        <v/>
      </c>
      <c r="V237" s="80">
        <f>IF($I237&gt;0,MAX(0,$G237*SIN(RADIANS('13_시나리오비교'!$B$11))*SIN(RADIANS('13_시나리오비교'!$C$11))+$H237*SIN(RADIANS('13_시나리오비교'!$B$11))*COS(RADIANS('13_시나리오비교'!$C$11))+$I237*COS(RADIANS('13_시나리오비교'!$B$11))),0)</f>
        <v/>
      </c>
      <c r="W237" s="80">
        <f>IF($I237&gt;0,MAX(0,$G237*SIN(RADIANS('13_시나리오비교'!$B$12))*SIN(RADIANS('13_시나리오비교'!$C$12))+$H237*SIN(RADIANS('13_시나리오비교'!$B$12))*COS(RADIANS('13_시나리오비교'!$C$12))+$I237*COS(RADIANS('13_시나리오비교'!$B$12))),0)</f>
        <v/>
      </c>
      <c r="X237" s="80">
        <f>IF($I237&gt;0,MAX(0,$G237*SIN(RADIANS('13_시나리오비교'!$B$13))*SIN(RADIANS('13_시나리오비교'!$C$13))+$H237*SIN(RADIANS('13_시나리오비교'!$B$13))*COS(RADIANS('13_시나리오비교'!$C$13))+$I237*COS(RADIANS('13_시나리오비교'!$B$13))),0)</f>
        <v/>
      </c>
      <c r="Y237" s="80">
        <f>IF($I237&gt;0,MAX(0,$G237*SIN(RADIANS('13_시나리오비교'!$B$14))*SIN(RADIANS('13_시나리오비교'!$C$14))+$H237*SIN(RADIANS('13_시나리오비교'!$B$14))*COS(RADIANS('13_시나리오비교'!$C$14))+$I237*COS(RADIANS('13_시나리오비교'!$B$14))),0)</f>
        <v/>
      </c>
    </row>
    <row r="238" hidden="1" outlineLevel="1">
      <c r="A238" s="79" t="n">
        <v>3</v>
      </c>
      <c r="B238" s="79" t="n">
        <v>26</v>
      </c>
      <c r="C238" s="80">
        <f>(B238-0.5)*'14_지역·상수'!$H$6</f>
        <v/>
      </c>
      <c r="D238" s="79" t="n">
        <v>75</v>
      </c>
      <c r="E238" s="80">
        <f>INDEX($C$4:$C$15,MATCH(A238,$A$4:$A$15,0))</f>
        <v/>
      </c>
      <c r="F238" s="80">
        <f>15*(C238-12)</f>
        <v/>
      </c>
      <c r="G238" s="80">
        <f>-COS(RADIANS(E238))*SIN(RADIANS(F238))</f>
        <v/>
      </c>
      <c r="H238" s="80">
        <f>COS(RADIANS('11_발전량_모델'!$B$17))*SIN(RADIANS(E238))-SIN(RADIANS('11_발전량_모델'!$B$17))*COS(RADIANS(E238))*COS(RADIANS(F238))</f>
        <v/>
      </c>
      <c r="I238" s="80">
        <f>SIN(RADIANS('11_발전량_모델'!$B$17))*SIN(RADIANS(E238))+COS(RADIANS('11_발전량_모델'!$B$17))*COS(RADIANS(E238))*COS(RADIANS(F238))</f>
        <v/>
      </c>
      <c r="J238" s="80">
        <f>SIN(RADIANS('11_발전량_모델'!$B$7))*SIN(RADIANS('11_발전량_모델'!$B$8))</f>
        <v/>
      </c>
      <c r="K238" s="80">
        <f>SIN(RADIANS('11_발전량_모델'!$B$7))*COS(RADIANS('11_발전량_모델'!$B$8))</f>
        <v/>
      </c>
      <c r="L238" s="80">
        <f>COS(RADIANS('11_발전량_모델'!$B$7))</f>
        <v/>
      </c>
      <c r="M238" s="80">
        <f>G238*J238+H238*K238+I238*L238</f>
        <v/>
      </c>
      <c r="N238" s="80">
        <f>MAX(0,I238)</f>
        <v/>
      </c>
      <c r="O238" s="80">
        <f>IF(I238&gt;0,MAX(0,M238),0)</f>
        <v/>
      </c>
      <c r="P238" s="80">
        <f>IF($I238&gt;0,MAX(0,$G238*SIN(RADIANS('13_시나리오비교'!$B$5))*SIN(RADIANS('13_시나리오비교'!$C$5))+$H238*SIN(RADIANS('13_시나리오비교'!$B$5))*COS(RADIANS('13_시나리오비교'!$C$5))+$I238*COS(RADIANS('13_시나리오비교'!$B$5))),0)</f>
        <v/>
      </c>
      <c r="Q238" s="80">
        <f>IF($I238&gt;0,MAX(0,$G238*SIN(RADIANS('13_시나리오비교'!$B$6))*SIN(RADIANS('13_시나리오비교'!$C$6))+$H238*SIN(RADIANS('13_시나리오비교'!$B$6))*COS(RADIANS('13_시나리오비교'!$C$6))+$I238*COS(RADIANS('13_시나리오비교'!$B$6))),0)</f>
        <v/>
      </c>
      <c r="R238" s="80">
        <f>IF($I238&gt;0,MAX(0,$G238*SIN(RADIANS('13_시나리오비교'!$B$7))*SIN(RADIANS('13_시나리오비교'!$C$7))+$H238*SIN(RADIANS('13_시나리오비교'!$B$7))*COS(RADIANS('13_시나리오비교'!$C$7))+$I238*COS(RADIANS('13_시나리오비교'!$B$7))),0)</f>
        <v/>
      </c>
      <c r="S238" s="80">
        <f>IF($I238&gt;0,MAX(0,$G238*SIN(RADIANS('13_시나리오비교'!$B$8))*SIN(RADIANS('13_시나리오비교'!$C$8))+$H238*SIN(RADIANS('13_시나리오비교'!$B$8))*COS(RADIANS('13_시나리오비교'!$C$8))+$I238*COS(RADIANS('13_시나리오비교'!$B$8))),0)</f>
        <v/>
      </c>
      <c r="T238" s="80">
        <f>IF($I238&gt;0,MAX(0,$G238*SIN(RADIANS('13_시나리오비교'!$B$9))*SIN(RADIANS('13_시나리오비교'!$C$9))+$H238*SIN(RADIANS('13_시나리오비교'!$B$9))*COS(RADIANS('13_시나리오비교'!$C$9))+$I238*COS(RADIANS('13_시나리오비교'!$B$9))),0)</f>
        <v/>
      </c>
      <c r="U238" s="80">
        <f>IF($I238&gt;0,MAX(0,$G238*SIN(RADIANS('13_시나리오비교'!$B$10))*SIN(RADIANS('13_시나리오비교'!$C$10))+$H238*SIN(RADIANS('13_시나리오비교'!$B$10))*COS(RADIANS('13_시나리오비교'!$C$10))+$I238*COS(RADIANS('13_시나리오비교'!$B$10))),0)</f>
        <v/>
      </c>
      <c r="V238" s="80">
        <f>IF($I238&gt;0,MAX(0,$G238*SIN(RADIANS('13_시나리오비교'!$B$11))*SIN(RADIANS('13_시나리오비교'!$C$11))+$H238*SIN(RADIANS('13_시나리오비교'!$B$11))*COS(RADIANS('13_시나리오비교'!$C$11))+$I238*COS(RADIANS('13_시나리오비교'!$B$11))),0)</f>
        <v/>
      </c>
      <c r="W238" s="80">
        <f>IF($I238&gt;0,MAX(0,$G238*SIN(RADIANS('13_시나리오비교'!$B$12))*SIN(RADIANS('13_시나리오비교'!$C$12))+$H238*SIN(RADIANS('13_시나리오비교'!$B$12))*COS(RADIANS('13_시나리오비교'!$C$12))+$I238*COS(RADIANS('13_시나리오비교'!$B$12))),0)</f>
        <v/>
      </c>
      <c r="X238" s="80">
        <f>IF($I238&gt;0,MAX(0,$G238*SIN(RADIANS('13_시나리오비교'!$B$13))*SIN(RADIANS('13_시나리오비교'!$C$13))+$H238*SIN(RADIANS('13_시나리오비교'!$B$13))*COS(RADIANS('13_시나리오비교'!$C$13))+$I238*COS(RADIANS('13_시나리오비교'!$B$13))),0)</f>
        <v/>
      </c>
      <c r="Y238" s="80">
        <f>IF($I238&gt;0,MAX(0,$G238*SIN(RADIANS('13_시나리오비교'!$B$14))*SIN(RADIANS('13_시나리오비교'!$C$14))+$H238*SIN(RADIANS('13_시나리오비교'!$B$14))*COS(RADIANS('13_시나리오비교'!$C$14))+$I238*COS(RADIANS('13_시나리오비교'!$B$14))),0)</f>
        <v/>
      </c>
    </row>
    <row r="239" hidden="1" outlineLevel="1">
      <c r="A239" s="79" t="n">
        <v>3</v>
      </c>
      <c r="B239" s="79" t="n">
        <v>27</v>
      </c>
      <c r="C239" s="80">
        <f>(B239-0.5)*'14_지역·상수'!$H$6</f>
        <v/>
      </c>
      <c r="D239" s="79" t="n">
        <v>75</v>
      </c>
      <c r="E239" s="80">
        <f>INDEX($C$4:$C$15,MATCH(A239,$A$4:$A$15,0))</f>
        <v/>
      </c>
      <c r="F239" s="80">
        <f>15*(C239-12)</f>
        <v/>
      </c>
      <c r="G239" s="80">
        <f>-COS(RADIANS(E239))*SIN(RADIANS(F239))</f>
        <v/>
      </c>
      <c r="H239" s="80">
        <f>COS(RADIANS('11_발전량_모델'!$B$17))*SIN(RADIANS(E239))-SIN(RADIANS('11_발전량_모델'!$B$17))*COS(RADIANS(E239))*COS(RADIANS(F239))</f>
        <v/>
      </c>
      <c r="I239" s="80">
        <f>SIN(RADIANS('11_발전량_모델'!$B$17))*SIN(RADIANS(E239))+COS(RADIANS('11_발전량_모델'!$B$17))*COS(RADIANS(E239))*COS(RADIANS(F239))</f>
        <v/>
      </c>
      <c r="J239" s="80">
        <f>SIN(RADIANS('11_발전량_모델'!$B$7))*SIN(RADIANS('11_발전량_모델'!$B$8))</f>
        <v/>
      </c>
      <c r="K239" s="80">
        <f>SIN(RADIANS('11_발전량_모델'!$B$7))*COS(RADIANS('11_발전량_모델'!$B$8))</f>
        <v/>
      </c>
      <c r="L239" s="80">
        <f>COS(RADIANS('11_발전량_모델'!$B$7))</f>
        <v/>
      </c>
      <c r="M239" s="80">
        <f>G239*J239+H239*K239+I239*L239</f>
        <v/>
      </c>
      <c r="N239" s="80">
        <f>MAX(0,I239)</f>
        <v/>
      </c>
      <c r="O239" s="80">
        <f>IF(I239&gt;0,MAX(0,M239),0)</f>
        <v/>
      </c>
      <c r="P239" s="80">
        <f>IF($I239&gt;0,MAX(0,$G239*SIN(RADIANS('13_시나리오비교'!$B$5))*SIN(RADIANS('13_시나리오비교'!$C$5))+$H239*SIN(RADIANS('13_시나리오비교'!$B$5))*COS(RADIANS('13_시나리오비교'!$C$5))+$I239*COS(RADIANS('13_시나리오비교'!$B$5))),0)</f>
        <v/>
      </c>
      <c r="Q239" s="80">
        <f>IF($I239&gt;0,MAX(0,$G239*SIN(RADIANS('13_시나리오비교'!$B$6))*SIN(RADIANS('13_시나리오비교'!$C$6))+$H239*SIN(RADIANS('13_시나리오비교'!$B$6))*COS(RADIANS('13_시나리오비교'!$C$6))+$I239*COS(RADIANS('13_시나리오비교'!$B$6))),0)</f>
        <v/>
      </c>
      <c r="R239" s="80">
        <f>IF($I239&gt;0,MAX(0,$G239*SIN(RADIANS('13_시나리오비교'!$B$7))*SIN(RADIANS('13_시나리오비교'!$C$7))+$H239*SIN(RADIANS('13_시나리오비교'!$B$7))*COS(RADIANS('13_시나리오비교'!$C$7))+$I239*COS(RADIANS('13_시나리오비교'!$B$7))),0)</f>
        <v/>
      </c>
      <c r="S239" s="80">
        <f>IF($I239&gt;0,MAX(0,$G239*SIN(RADIANS('13_시나리오비교'!$B$8))*SIN(RADIANS('13_시나리오비교'!$C$8))+$H239*SIN(RADIANS('13_시나리오비교'!$B$8))*COS(RADIANS('13_시나리오비교'!$C$8))+$I239*COS(RADIANS('13_시나리오비교'!$B$8))),0)</f>
        <v/>
      </c>
      <c r="T239" s="80">
        <f>IF($I239&gt;0,MAX(0,$G239*SIN(RADIANS('13_시나리오비교'!$B$9))*SIN(RADIANS('13_시나리오비교'!$C$9))+$H239*SIN(RADIANS('13_시나리오비교'!$B$9))*COS(RADIANS('13_시나리오비교'!$C$9))+$I239*COS(RADIANS('13_시나리오비교'!$B$9))),0)</f>
        <v/>
      </c>
      <c r="U239" s="80">
        <f>IF($I239&gt;0,MAX(0,$G239*SIN(RADIANS('13_시나리오비교'!$B$10))*SIN(RADIANS('13_시나리오비교'!$C$10))+$H239*SIN(RADIANS('13_시나리오비교'!$B$10))*COS(RADIANS('13_시나리오비교'!$C$10))+$I239*COS(RADIANS('13_시나리오비교'!$B$10))),0)</f>
        <v/>
      </c>
      <c r="V239" s="80">
        <f>IF($I239&gt;0,MAX(0,$G239*SIN(RADIANS('13_시나리오비교'!$B$11))*SIN(RADIANS('13_시나리오비교'!$C$11))+$H239*SIN(RADIANS('13_시나리오비교'!$B$11))*COS(RADIANS('13_시나리오비교'!$C$11))+$I239*COS(RADIANS('13_시나리오비교'!$B$11))),0)</f>
        <v/>
      </c>
      <c r="W239" s="80">
        <f>IF($I239&gt;0,MAX(0,$G239*SIN(RADIANS('13_시나리오비교'!$B$12))*SIN(RADIANS('13_시나리오비교'!$C$12))+$H239*SIN(RADIANS('13_시나리오비교'!$B$12))*COS(RADIANS('13_시나리오비교'!$C$12))+$I239*COS(RADIANS('13_시나리오비교'!$B$12))),0)</f>
        <v/>
      </c>
      <c r="X239" s="80">
        <f>IF($I239&gt;0,MAX(0,$G239*SIN(RADIANS('13_시나리오비교'!$B$13))*SIN(RADIANS('13_시나리오비교'!$C$13))+$H239*SIN(RADIANS('13_시나리오비교'!$B$13))*COS(RADIANS('13_시나리오비교'!$C$13))+$I239*COS(RADIANS('13_시나리오비교'!$B$13))),0)</f>
        <v/>
      </c>
      <c r="Y239" s="80">
        <f>IF($I239&gt;0,MAX(0,$G239*SIN(RADIANS('13_시나리오비교'!$B$14))*SIN(RADIANS('13_시나리오비교'!$C$14))+$H239*SIN(RADIANS('13_시나리오비교'!$B$14))*COS(RADIANS('13_시나리오비교'!$C$14))+$I239*COS(RADIANS('13_시나리오비교'!$B$14))),0)</f>
        <v/>
      </c>
    </row>
    <row r="240" hidden="1" outlineLevel="1">
      <c r="A240" s="79" t="n">
        <v>3</v>
      </c>
      <c r="B240" s="79" t="n">
        <v>28</v>
      </c>
      <c r="C240" s="80">
        <f>(B240-0.5)*'14_지역·상수'!$H$6</f>
        <v/>
      </c>
      <c r="D240" s="79" t="n">
        <v>75</v>
      </c>
      <c r="E240" s="80">
        <f>INDEX($C$4:$C$15,MATCH(A240,$A$4:$A$15,0))</f>
        <v/>
      </c>
      <c r="F240" s="80">
        <f>15*(C240-12)</f>
        <v/>
      </c>
      <c r="G240" s="80">
        <f>-COS(RADIANS(E240))*SIN(RADIANS(F240))</f>
        <v/>
      </c>
      <c r="H240" s="80">
        <f>COS(RADIANS('11_발전량_모델'!$B$17))*SIN(RADIANS(E240))-SIN(RADIANS('11_발전량_모델'!$B$17))*COS(RADIANS(E240))*COS(RADIANS(F240))</f>
        <v/>
      </c>
      <c r="I240" s="80">
        <f>SIN(RADIANS('11_발전량_모델'!$B$17))*SIN(RADIANS(E240))+COS(RADIANS('11_발전량_모델'!$B$17))*COS(RADIANS(E240))*COS(RADIANS(F240))</f>
        <v/>
      </c>
      <c r="J240" s="80">
        <f>SIN(RADIANS('11_발전량_모델'!$B$7))*SIN(RADIANS('11_발전량_모델'!$B$8))</f>
        <v/>
      </c>
      <c r="K240" s="80">
        <f>SIN(RADIANS('11_발전량_모델'!$B$7))*COS(RADIANS('11_발전량_모델'!$B$8))</f>
        <v/>
      </c>
      <c r="L240" s="80">
        <f>COS(RADIANS('11_발전량_모델'!$B$7))</f>
        <v/>
      </c>
      <c r="M240" s="80">
        <f>G240*J240+H240*K240+I240*L240</f>
        <v/>
      </c>
      <c r="N240" s="80">
        <f>MAX(0,I240)</f>
        <v/>
      </c>
      <c r="O240" s="80">
        <f>IF(I240&gt;0,MAX(0,M240),0)</f>
        <v/>
      </c>
      <c r="P240" s="80">
        <f>IF($I240&gt;0,MAX(0,$G240*SIN(RADIANS('13_시나리오비교'!$B$5))*SIN(RADIANS('13_시나리오비교'!$C$5))+$H240*SIN(RADIANS('13_시나리오비교'!$B$5))*COS(RADIANS('13_시나리오비교'!$C$5))+$I240*COS(RADIANS('13_시나리오비교'!$B$5))),0)</f>
        <v/>
      </c>
      <c r="Q240" s="80">
        <f>IF($I240&gt;0,MAX(0,$G240*SIN(RADIANS('13_시나리오비교'!$B$6))*SIN(RADIANS('13_시나리오비교'!$C$6))+$H240*SIN(RADIANS('13_시나리오비교'!$B$6))*COS(RADIANS('13_시나리오비교'!$C$6))+$I240*COS(RADIANS('13_시나리오비교'!$B$6))),0)</f>
        <v/>
      </c>
      <c r="R240" s="80">
        <f>IF($I240&gt;0,MAX(0,$G240*SIN(RADIANS('13_시나리오비교'!$B$7))*SIN(RADIANS('13_시나리오비교'!$C$7))+$H240*SIN(RADIANS('13_시나리오비교'!$B$7))*COS(RADIANS('13_시나리오비교'!$C$7))+$I240*COS(RADIANS('13_시나리오비교'!$B$7))),0)</f>
        <v/>
      </c>
      <c r="S240" s="80">
        <f>IF($I240&gt;0,MAX(0,$G240*SIN(RADIANS('13_시나리오비교'!$B$8))*SIN(RADIANS('13_시나리오비교'!$C$8))+$H240*SIN(RADIANS('13_시나리오비교'!$B$8))*COS(RADIANS('13_시나리오비교'!$C$8))+$I240*COS(RADIANS('13_시나리오비교'!$B$8))),0)</f>
        <v/>
      </c>
      <c r="T240" s="80">
        <f>IF($I240&gt;0,MAX(0,$G240*SIN(RADIANS('13_시나리오비교'!$B$9))*SIN(RADIANS('13_시나리오비교'!$C$9))+$H240*SIN(RADIANS('13_시나리오비교'!$B$9))*COS(RADIANS('13_시나리오비교'!$C$9))+$I240*COS(RADIANS('13_시나리오비교'!$B$9))),0)</f>
        <v/>
      </c>
      <c r="U240" s="80">
        <f>IF($I240&gt;0,MAX(0,$G240*SIN(RADIANS('13_시나리오비교'!$B$10))*SIN(RADIANS('13_시나리오비교'!$C$10))+$H240*SIN(RADIANS('13_시나리오비교'!$B$10))*COS(RADIANS('13_시나리오비교'!$C$10))+$I240*COS(RADIANS('13_시나리오비교'!$B$10))),0)</f>
        <v/>
      </c>
      <c r="V240" s="80">
        <f>IF($I240&gt;0,MAX(0,$G240*SIN(RADIANS('13_시나리오비교'!$B$11))*SIN(RADIANS('13_시나리오비교'!$C$11))+$H240*SIN(RADIANS('13_시나리오비교'!$B$11))*COS(RADIANS('13_시나리오비교'!$C$11))+$I240*COS(RADIANS('13_시나리오비교'!$B$11))),0)</f>
        <v/>
      </c>
      <c r="W240" s="80">
        <f>IF($I240&gt;0,MAX(0,$G240*SIN(RADIANS('13_시나리오비교'!$B$12))*SIN(RADIANS('13_시나리오비교'!$C$12))+$H240*SIN(RADIANS('13_시나리오비교'!$B$12))*COS(RADIANS('13_시나리오비교'!$C$12))+$I240*COS(RADIANS('13_시나리오비교'!$B$12))),0)</f>
        <v/>
      </c>
      <c r="X240" s="80">
        <f>IF($I240&gt;0,MAX(0,$G240*SIN(RADIANS('13_시나리오비교'!$B$13))*SIN(RADIANS('13_시나리오비교'!$C$13))+$H240*SIN(RADIANS('13_시나리오비교'!$B$13))*COS(RADIANS('13_시나리오비교'!$C$13))+$I240*COS(RADIANS('13_시나리오비교'!$B$13))),0)</f>
        <v/>
      </c>
      <c r="Y240" s="80">
        <f>IF($I240&gt;0,MAX(0,$G240*SIN(RADIANS('13_시나리오비교'!$B$14))*SIN(RADIANS('13_시나리오비교'!$C$14))+$H240*SIN(RADIANS('13_시나리오비교'!$B$14))*COS(RADIANS('13_시나리오비교'!$C$14))+$I240*COS(RADIANS('13_시나리오비교'!$B$14))),0)</f>
        <v/>
      </c>
    </row>
    <row r="241" hidden="1" outlineLevel="1">
      <c r="A241" s="79" t="n">
        <v>3</v>
      </c>
      <c r="B241" s="79" t="n">
        <v>29</v>
      </c>
      <c r="C241" s="80">
        <f>(B241-0.5)*'14_지역·상수'!$H$6</f>
        <v/>
      </c>
      <c r="D241" s="79" t="n">
        <v>75</v>
      </c>
      <c r="E241" s="80">
        <f>INDEX($C$4:$C$15,MATCH(A241,$A$4:$A$15,0))</f>
        <v/>
      </c>
      <c r="F241" s="80">
        <f>15*(C241-12)</f>
        <v/>
      </c>
      <c r="G241" s="80">
        <f>-COS(RADIANS(E241))*SIN(RADIANS(F241))</f>
        <v/>
      </c>
      <c r="H241" s="80">
        <f>COS(RADIANS('11_발전량_모델'!$B$17))*SIN(RADIANS(E241))-SIN(RADIANS('11_발전량_모델'!$B$17))*COS(RADIANS(E241))*COS(RADIANS(F241))</f>
        <v/>
      </c>
      <c r="I241" s="80">
        <f>SIN(RADIANS('11_발전량_모델'!$B$17))*SIN(RADIANS(E241))+COS(RADIANS('11_발전량_모델'!$B$17))*COS(RADIANS(E241))*COS(RADIANS(F241))</f>
        <v/>
      </c>
      <c r="J241" s="80">
        <f>SIN(RADIANS('11_발전량_모델'!$B$7))*SIN(RADIANS('11_발전량_모델'!$B$8))</f>
        <v/>
      </c>
      <c r="K241" s="80">
        <f>SIN(RADIANS('11_발전량_모델'!$B$7))*COS(RADIANS('11_발전량_모델'!$B$8))</f>
        <v/>
      </c>
      <c r="L241" s="80">
        <f>COS(RADIANS('11_발전량_모델'!$B$7))</f>
        <v/>
      </c>
      <c r="M241" s="80">
        <f>G241*J241+H241*K241+I241*L241</f>
        <v/>
      </c>
      <c r="N241" s="80">
        <f>MAX(0,I241)</f>
        <v/>
      </c>
      <c r="O241" s="80">
        <f>IF(I241&gt;0,MAX(0,M241),0)</f>
        <v/>
      </c>
      <c r="P241" s="80">
        <f>IF($I241&gt;0,MAX(0,$G241*SIN(RADIANS('13_시나리오비교'!$B$5))*SIN(RADIANS('13_시나리오비교'!$C$5))+$H241*SIN(RADIANS('13_시나리오비교'!$B$5))*COS(RADIANS('13_시나리오비교'!$C$5))+$I241*COS(RADIANS('13_시나리오비교'!$B$5))),0)</f>
        <v/>
      </c>
      <c r="Q241" s="80">
        <f>IF($I241&gt;0,MAX(0,$G241*SIN(RADIANS('13_시나리오비교'!$B$6))*SIN(RADIANS('13_시나리오비교'!$C$6))+$H241*SIN(RADIANS('13_시나리오비교'!$B$6))*COS(RADIANS('13_시나리오비교'!$C$6))+$I241*COS(RADIANS('13_시나리오비교'!$B$6))),0)</f>
        <v/>
      </c>
      <c r="R241" s="80">
        <f>IF($I241&gt;0,MAX(0,$G241*SIN(RADIANS('13_시나리오비교'!$B$7))*SIN(RADIANS('13_시나리오비교'!$C$7))+$H241*SIN(RADIANS('13_시나리오비교'!$B$7))*COS(RADIANS('13_시나리오비교'!$C$7))+$I241*COS(RADIANS('13_시나리오비교'!$B$7))),0)</f>
        <v/>
      </c>
      <c r="S241" s="80">
        <f>IF($I241&gt;0,MAX(0,$G241*SIN(RADIANS('13_시나리오비교'!$B$8))*SIN(RADIANS('13_시나리오비교'!$C$8))+$H241*SIN(RADIANS('13_시나리오비교'!$B$8))*COS(RADIANS('13_시나리오비교'!$C$8))+$I241*COS(RADIANS('13_시나리오비교'!$B$8))),0)</f>
        <v/>
      </c>
      <c r="T241" s="80">
        <f>IF($I241&gt;0,MAX(0,$G241*SIN(RADIANS('13_시나리오비교'!$B$9))*SIN(RADIANS('13_시나리오비교'!$C$9))+$H241*SIN(RADIANS('13_시나리오비교'!$B$9))*COS(RADIANS('13_시나리오비교'!$C$9))+$I241*COS(RADIANS('13_시나리오비교'!$B$9))),0)</f>
        <v/>
      </c>
      <c r="U241" s="80">
        <f>IF($I241&gt;0,MAX(0,$G241*SIN(RADIANS('13_시나리오비교'!$B$10))*SIN(RADIANS('13_시나리오비교'!$C$10))+$H241*SIN(RADIANS('13_시나리오비교'!$B$10))*COS(RADIANS('13_시나리오비교'!$C$10))+$I241*COS(RADIANS('13_시나리오비교'!$B$10))),0)</f>
        <v/>
      </c>
      <c r="V241" s="80">
        <f>IF($I241&gt;0,MAX(0,$G241*SIN(RADIANS('13_시나리오비교'!$B$11))*SIN(RADIANS('13_시나리오비교'!$C$11))+$H241*SIN(RADIANS('13_시나리오비교'!$B$11))*COS(RADIANS('13_시나리오비교'!$C$11))+$I241*COS(RADIANS('13_시나리오비교'!$B$11))),0)</f>
        <v/>
      </c>
      <c r="W241" s="80">
        <f>IF($I241&gt;0,MAX(0,$G241*SIN(RADIANS('13_시나리오비교'!$B$12))*SIN(RADIANS('13_시나리오비교'!$C$12))+$H241*SIN(RADIANS('13_시나리오비교'!$B$12))*COS(RADIANS('13_시나리오비교'!$C$12))+$I241*COS(RADIANS('13_시나리오비교'!$B$12))),0)</f>
        <v/>
      </c>
      <c r="X241" s="80">
        <f>IF($I241&gt;0,MAX(0,$G241*SIN(RADIANS('13_시나리오비교'!$B$13))*SIN(RADIANS('13_시나리오비교'!$C$13))+$H241*SIN(RADIANS('13_시나리오비교'!$B$13))*COS(RADIANS('13_시나리오비교'!$C$13))+$I241*COS(RADIANS('13_시나리오비교'!$B$13))),0)</f>
        <v/>
      </c>
      <c r="Y241" s="80">
        <f>IF($I241&gt;0,MAX(0,$G241*SIN(RADIANS('13_시나리오비교'!$B$14))*SIN(RADIANS('13_시나리오비교'!$C$14))+$H241*SIN(RADIANS('13_시나리오비교'!$B$14))*COS(RADIANS('13_시나리오비교'!$C$14))+$I241*COS(RADIANS('13_시나리오비교'!$B$14))),0)</f>
        <v/>
      </c>
    </row>
    <row r="242" hidden="1" outlineLevel="1">
      <c r="A242" s="79" t="n">
        <v>3</v>
      </c>
      <c r="B242" s="79" t="n">
        <v>30</v>
      </c>
      <c r="C242" s="80">
        <f>(B242-0.5)*'14_지역·상수'!$H$6</f>
        <v/>
      </c>
      <c r="D242" s="79" t="n">
        <v>75</v>
      </c>
      <c r="E242" s="80">
        <f>INDEX($C$4:$C$15,MATCH(A242,$A$4:$A$15,0))</f>
        <v/>
      </c>
      <c r="F242" s="80">
        <f>15*(C242-12)</f>
        <v/>
      </c>
      <c r="G242" s="80">
        <f>-COS(RADIANS(E242))*SIN(RADIANS(F242))</f>
        <v/>
      </c>
      <c r="H242" s="80">
        <f>COS(RADIANS('11_발전량_모델'!$B$17))*SIN(RADIANS(E242))-SIN(RADIANS('11_발전량_모델'!$B$17))*COS(RADIANS(E242))*COS(RADIANS(F242))</f>
        <v/>
      </c>
      <c r="I242" s="80">
        <f>SIN(RADIANS('11_발전량_모델'!$B$17))*SIN(RADIANS(E242))+COS(RADIANS('11_발전량_모델'!$B$17))*COS(RADIANS(E242))*COS(RADIANS(F242))</f>
        <v/>
      </c>
      <c r="J242" s="80">
        <f>SIN(RADIANS('11_발전량_모델'!$B$7))*SIN(RADIANS('11_발전량_모델'!$B$8))</f>
        <v/>
      </c>
      <c r="K242" s="80">
        <f>SIN(RADIANS('11_발전량_모델'!$B$7))*COS(RADIANS('11_발전량_모델'!$B$8))</f>
        <v/>
      </c>
      <c r="L242" s="80">
        <f>COS(RADIANS('11_발전량_모델'!$B$7))</f>
        <v/>
      </c>
      <c r="M242" s="80">
        <f>G242*J242+H242*K242+I242*L242</f>
        <v/>
      </c>
      <c r="N242" s="80">
        <f>MAX(0,I242)</f>
        <v/>
      </c>
      <c r="O242" s="80">
        <f>IF(I242&gt;0,MAX(0,M242),0)</f>
        <v/>
      </c>
      <c r="P242" s="80">
        <f>IF($I242&gt;0,MAX(0,$G242*SIN(RADIANS('13_시나리오비교'!$B$5))*SIN(RADIANS('13_시나리오비교'!$C$5))+$H242*SIN(RADIANS('13_시나리오비교'!$B$5))*COS(RADIANS('13_시나리오비교'!$C$5))+$I242*COS(RADIANS('13_시나리오비교'!$B$5))),0)</f>
        <v/>
      </c>
      <c r="Q242" s="80">
        <f>IF($I242&gt;0,MAX(0,$G242*SIN(RADIANS('13_시나리오비교'!$B$6))*SIN(RADIANS('13_시나리오비교'!$C$6))+$H242*SIN(RADIANS('13_시나리오비교'!$B$6))*COS(RADIANS('13_시나리오비교'!$C$6))+$I242*COS(RADIANS('13_시나리오비교'!$B$6))),0)</f>
        <v/>
      </c>
      <c r="R242" s="80">
        <f>IF($I242&gt;0,MAX(0,$G242*SIN(RADIANS('13_시나리오비교'!$B$7))*SIN(RADIANS('13_시나리오비교'!$C$7))+$H242*SIN(RADIANS('13_시나리오비교'!$B$7))*COS(RADIANS('13_시나리오비교'!$C$7))+$I242*COS(RADIANS('13_시나리오비교'!$B$7))),0)</f>
        <v/>
      </c>
      <c r="S242" s="80">
        <f>IF($I242&gt;0,MAX(0,$G242*SIN(RADIANS('13_시나리오비교'!$B$8))*SIN(RADIANS('13_시나리오비교'!$C$8))+$H242*SIN(RADIANS('13_시나리오비교'!$B$8))*COS(RADIANS('13_시나리오비교'!$C$8))+$I242*COS(RADIANS('13_시나리오비교'!$B$8))),0)</f>
        <v/>
      </c>
      <c r="T242" s="80">
        <f>IF($I242&gt;0,MAX(0,$G242*SIN(RADIANS('13_시나리오비교'!$B$9))*SIN(RADIANS('13_시나리오비교'!$C$9))+$H242*SIN(RADIANS('13_시나리오비교'!$B$9))*COS(RADIANS('13_시나리오비교'!$C$9))+$I242*COS(RADIANS('13_시나리오비교'!$B$9))),0)</f>
        <v/>
      </c>
      <c r="U242" s="80">
        <f>IF($I242&gt;0,MAX(0,$G242*SIN(RADIANS('13_시나리오비교'!$B$10))*SIN(RADIANS('13_시나리오비교'!$C$10))+$H242*SIN(RADIANS('13_시나리오비교'!$B$10))*COS(RADIANS('13_시나리오비교'!$C$10))+$I242*COS(RADIANS('13_시나리오비교'!$B$10))),0)</f>
        <v/>
      </c>
      <c r="V242" s="80">
        <f>IF($I242&gt;0,MAX(0,$G242*SIN(RADIANS('13_시나리오비교'!$B$11))*SIN(RADIANS('13_시나리오비교'!$C$11))+$H242*SIN(RADIANS('13_시나리오비교'!$B$11))*COS(RADIANS('13_시나리오비교'!$C$11))+$I242*COS(RADIANS('13_시나리오비교'!$B$11))),0)</f>
        <v/>
      </c>
      <c r="W242" s="80">
        <f>IF($I242&gt;0,MAX(0,$G242*SIN(RADIANS('13_시나리오비교'!$B$12))*SIN(RADIANS('13_시나리오비교'!$C$12))+$H242*SIN(RADIANS('13_시나리오비교'!$B$12))*COS(RADIANS('13_시나리오비교'!$C$12))+$I242*COS(RADIANS('13_시나리오비교'!$B$12))),0)</f>
        <v/>
      </c>
      <c r="X242" s="80">
        <f>IF($I242&gt;0,MAX(0,$G242*SIN(RADIANS('13_시나리오비교'!$B$13))*SIN(RADIANS('13_시나리오비교'!$C$13))+$H242*SIN(RADIANS('13_시나리오비교'!$B$13))*COS(RADIANS('13_시나리오비교'!$C$13))+$I242*COS(RADIANS('13_시나리오비교'!$B$13))),0)</f>
        <v/>
      </c>
      <c r="Y242" s="80">
        <f>IF($I242&gt;0,MAX(0,$G242*SIN(RADIANS('13_시나리오비교'!$B$14))*SIN(RADIANS('13_시나리오비교'!$C$14))+$H242*SIN(RADIANS('13_시나리오비교'!$B$14))*COS(RADIANS('13_시나리오비교'!$C$14))+$I242*COS(RADIANS('13_시나리오비교'!$B$14))),0)</f>
        <v/>
      </c>
    </row>
    <row r="243" hidden="1" outlineLevel="1">
      <c r="A243" s="79" t="n">
        <v>3</v>
      </c>
      <c r="B243" s="79" t="n">
        <v>31</v>
      </c>
      <c r="C243" s="80">
        <f>(B243-0.5)*'14_지역·상수'!$H$6</f>
        <v/>
      </c>
      <c r="D243" s="79" t="n">
        <v>75</v>
      </c>
      <c r="E243" s="80">
        <f>INDEX($C$4:$C$15,MATCH(A243,$A$4:$A$15,0))</f>
        <v/>
      </c>
      <c r="F243" s="80">
        <f>15*(C243-12)</f>
        <v/>
      </c>
      <c r="G243" s="80">
        <f>-COS(RADIANS(E243))*SIN(RADIANS(F243))</f>
        <v/>
      </c>
      <c r="H243" s="80">
        <f>COS(RADIANS('11_발전량_모델'!$B$17))*SIN(RADIANS(E243))-SIN(RADIANS('11_발전량_모델'!$B$17))*COS(RADIANS(E243))*COS(RADIANS(F243))</f>
        <v/>
      </c>
      <c r="I243" s="80">
        <f>SIN(RADIANS('11_발전량_모델'!$B$17))*SIN(RADIANS(E243))+COS(RADIANS('11_발전량_모델'!$B$17))*COS(RADIANS(E243))*COS(RADIANS(F243))</f>
        <v/>
      </c>
      <c r="J243" s="80">
        <f>SIN(RADIANS('11_발전량_모델'!$B$7))*SIN(RADIANS('11_발전량_모델'!$B$8))</f>
        <v/>
      </c>
      <c r="K243" s="80">
        <f>SIN(RADIANS('11_발전량_모델'!$B$7))*COS(RADIANS('11_발전량_모델'!$B$8))</f>
        <v/>
      </c>
      <c r="L243" s="80">
        <f>COS(RADIANS('11_발전량_모델'!$B$7))</f>
        <v/>
      </c>
      <c r="M243" s="80">
        <f>G243*J243+H243*K243+I243*L243</f>
        <v/>
      </c>
      <c r="N243" s="80">
        <f>MAX(0,I243)</f>
        <v/>
      </c>
      <c r="O243" s="80">
        <f>IF(I243&gt;0,MAX(0,M243),0)</f>
        <v/>
      </c>
      <c r="P243" s="80">
        <f>IF($I243&gt;0,MAX(0,$G243*SIN(RADIANS('13_시나리오비교'!$B$5))*SIN(RADIANS('13_시나리오비교'!$C$5))+$H243*SIN(RADIANS('13_시나리오비교'!$B$5))*COS(RADIANS('13_시나리오비교'!$C$5))+$I243*COS(RADIANS('13_시나리오비교'!$B$5))),0)</f>
        <v/>
      </c>
      <c r="Q243" s="80">
        <f>IF($I243&gt;0,MAX(0,$G243*SIN(RADIANS('13_시나리오비교'!$B$6))*SIN(RADIANS('13_시나리오비교'!$C$6))+$H243*SIN(RADIANS('13_시나리오비교'!$B$6))*COS(RADIANS('13_시나리오비교'!$C$6))+$I243*COS(RADIANS('13_시나리오비교'!$B$6))),0)</f>
        <v/>
      </c>
      <c r="R243" s="80">
        <f>IF($I243&gt;0,MAX(0,$G243*SIN(RADIANS('13_시나리오비교'!$B$7))*SIN(RADIANS('13_시나리오비교'!$C$7))+$H243*SIN(RADIANS('13_시나리오비교'!$B$7))*COS(RADIANS('13_시나리오비교'!$C$7))+$I243*COS(RADIANS('13_시나리오비교'!$B$7))),0)</f>
        <v/>
      </c>
      <c r="S243" s="80">
        <f>IF($I243&gt;0,MAX(0,$G243*SIN(RADIANS('13_시나리오비교'!$B$8))*SIN(RADIANS('13_시나리오비교'!$C$8))+$H243*SIN(RADIANS('13_시나리오비교'!$B$8))*COS(RADIANS('13_시나리오비교'!$C$8))+$I243*COS(RADIANS('13_시나리오비교'!$B$8))),0)</f>
        <v/>
      </c>
      <c r="T243" s="80">
        <f>IF($I243&gt;0,MAX(0,$G243*SIN(RADIANS('13_시나리오비교'!$B$9))*SIN(RADIANS('13_시나리오비교'!$C$9))+$H243*SIN(RADIANS('13_시나리오비교'!$B$9))*COS(RADIANS('13_시나리오비교'!$C$9))+$I243*COS(RADIANS('13_시나리오비교'!$B$9))),0)</f>
        <v/>
      </c>
      <c r="U243" s="80">
        <f>IF($I243&gt;0,MAX(0,$G243*SIN(RADIANS('13_시나리오비교'!$B$10))*SIN(RADIANS('13_시나리오비교'!$C$10))+$H243*SIN(RADIANS('13_시나리오비교'!$B$10))*COS(RADIANS('13_시나리오비교'!$C$10))+$I243*COS(RADIANS('13_시나리오비교'!$B$10))),0)</f>
        <v/>
      </c>
      <c r="V243" s="80">
        <f>IF($I243&gt;0,MAX(0,$G243*SIN(RADIANS('13_시나리오비교'!$B$11))*SIN(RADIANS('13_시나리오비교'!$C$11))+$H243*SIN(RADIANS('13_시나리오비교'!$B$11))*COS(RADIANS('13_시나리오비교'!$C$11))+$I243*COS(RADIANS('13_시나리오비교'!$B$11))),0)</f>
        <v/>
      </c>
      <c r="W243" s="80">
        <f>IF($I243&gt;0,MAX(0,$G243*SIN(RADIANS('13_시나리오비교'!$B$12))*SIN(RADIANS('13_시나리오비교'!$C$12))+$H243*SIN(RADIANS('13_시나리오비교'!$B$12))*COS(RADIANS('13_시나리오비교'!$C$12))+$I243*COS(RADIANS('13_시나리오비교'!$B$12))),0)</f>
        <v/>
      </c>
      <c r="X243" s="80">
        <f>IF($I243&gt;0,MAX(0,$G243*SIN(RADIANS('13_시나리오비교'!$B$13))*SIN(RADIANS('13_시나리오비교'!$C$13))+$H243*SIN(RADIANS('13_시나리오비교'!$B$13))*COS(RADIANS('13_시나리오비교'!$C$13))+$I243*COS(RADIANS('13_시나리오비교'!$B$13))),0)</f>
        <v/>
      </c>
      <c r="Y243" s="80">
        <f>IF($I243&gt;0,MAX(0,$G243*SIN(RADIANS('13_시나리오비교'!$B$14))*SIN(RADIANS('13_시나리오비교'!$C$14))+$H243*SIN(RADIANS('13_시나리오비교'!$B$14))*COS(RADIANS('13_시나리오비교'!$C$14))+$I243*COS(RADIANS('13_시나리오비교'!$B$14))),0)</f>
        <v/>
      </c>
    </row>
    <row r="244" hidden="1" outlineLevel="1">
      <c r="A244" s="79" t="n">
        <v>3</v>
      </c>
      <c r="B244" s="79" t="n">
        <v>32</v>
      </c>
      <c r="C244" s="80">
        <f>(B244-0.5)*'14_지역·상수'!$H$6</f>
        <v/>
      </c>
      <c r="D244" s="79" t="n">
        <v>75</v>
      </c>
      <c r="E244" s="80">
        <f>INDEX($C$4:$C$15,MATCH(A244,$A$4:$A$15,0))</f>
        <v/>
      </c>
      <c r="F244" s="80">
        <f>15*(C244-12)</f>
        <v/>
      </c>
      <c r="G244" s="80">
        <f>-COS(RADIANS(E244))*SIN(RADIANS(F244))</f>
        <v/>
      </c>
      <c r="H244" s="80">
        <f>COS(RADIANS('11_발전량_모델'!$B$17))*SIN(RADIANS(E244))-SIN(RADIANS('11_발전량_모델'!$B$17))*COS(RADIANS(E244))*COS(RADIANS(F244))</f>
        <v/>
      </c>
      <c r="I244" s="80">
        <f>SIN(RADIANS('11_발전량_모델'!$B$17))*SIN(RADIANS(E244))+COS(RADIANS('11_발전량_모델'!$B$17))*COS(RADIANS(E244))*COS(RADIANS(F244))</f>
        <v/>
      </c>
      <c r="J244" s="80">
        <f>SIN(RADIANS('11_발전량_모델'!$B$7))*SIN(RADIANS('11_발전량_모델'!$B$8))</f>
        <v/>
      </c>
      <c r="K244" s="80">
        <f>SIN(RADIANS('11_발전량_모델'!$B$7))*COS(RADIANS('11_발전량_모델'!$B$8))</f>
        <v/>
      </c>
      <c r="L244" s="80">
        <f>COS(RADIANS('11_발전량_모델'!$B$7))</f>
        <v/>
      </c>
      <c r="M244" s="80">
        <f>G244*J244+H244*K244+I244*L244</f>
        <v/>
      </c>
      <c r="N244" s="80">
        <f>MAX(0,I244)</f>
        <v/>
      </c>
      <c r="O244" s="80">
        <f>IF(I244&gt;0,MAX(0,M244),0)</f>
        <v/>
      </c>
      <c r="P244" s="80">
        <f>IF($I244&gt;0,MAX(0,$G244*SIN(RADIANS('13_시나리오비교'!$B$5))*SIN(RADIANS('13_시나리오비교'!$C$5))+$H244*SIN(RADIANS('13_시나리오비교'!$B$5))*COS(RADIANS('13_시나리오비교'!$C$5))+$I244*COS(RADIANS('13_시나리오비교'!$B$5))),0)</f>
        <v/>
      </c>
      <c r="Q244" s="80">
        <f>IF($I244&gt;0,MAX(0,$G244*SIN(RADIANS('13_시나리오비교'!$B$6))*SIN(RADIANS('13_시나리오비교'!$C$6))+$H244*SIN(RADIANS('13_시나리오비교'!$B$6))*COS(RADIANS('13_시나리오비교'!$C$6))+$I244*COS(RADIANS('13_시나리오비교'!$B$6))),0)</f>
        <v/>
      </c>
      <c r="R244" s="80">
        <f>IF($I244&gt;0,MAX(0,$G244*SIN(RADIANS('13_시나리오비교'!$B$7))*SIN(RADIANS('13_시나리오비교'!$C$7))+$H244*SIN(RADIANS('13_시나리오비교'!$B$7))*COS(RADIANS('13_시나리오비교'!$C$7))+$I244*COS(RADIANS('13_시나리오비교'!$B$7))),0)</f>
        <v/>
      </c>
      <c r="S244" s="80">
        <f>IF($I244&gt;0,MAX(0,$G244*SIN(RADIANS('13_시나리오비교'!$B$8))*SIN(RADIANS('13_시나리오비교'!$C$8))+$H244*SIN(RADIANS('13_시나리오비교'!$B$8))*COS(RADIANS('13_시나리오비교'!$C$8))+$I244*COS(RADIANS('13_시나리오비교'!$B$8))),0)</f>
        <v/>
      </c>
      <c r="T244" s="80">
        <f>IF($I244&gt;0,MAX(0,$G244*SIN(RADIANS('13_시나리오비교'!$B$9))*SIN(RADIANS('13_시나리오비교'!$C$9))+$H244*SIN(RADIANS('13_시나리오비교'!$B$9))*COS(RADIANS('13_시나리오비교'!$C$9))+$I244*COS(RADIANS('13_시나리오비교'!$B$9))),0)</f>
        <v/>
      </c>
      <c r="U244" s="80">
        <f>IF($I244&gt;0,MAX(0,$G244*SIN(RADIANS('13_시나리오비교'!$B$10))*SIN(RADIANS('13_시나리오비교'!$C$10))+$H244*SIN(RADIANS('13_시나리오비교'!$B$10))*COS(RADIANS('13_시나리오비교'!$C$10))+$I244*COS(RADIANS('13_시나리오비교'!$B$10))),0)</f>
        <v/>
      </c>
      <c r="V244" s="80">
        <f>IF($I244&gt;0,MAX(0,$G244*SIN(RADIANS('13_시나리오비교'!$B$11))*SIN(RADIANS('13_시나리오비교'!$C$11))+$H244*SIN(RADIANS('13_시나리오비교'!$B$11))*COS(RADIANS('13_시나리오비교'!$C$11))+$I244*COS(RADIANS('13_시나리오비교'!$B$11))),0)</f>
        <v/>
      </c>
      <c r="W244" s="80">
        <f>IF($I244&gt;0,MAX(0,$G244*SIN(RADIANS('13_시나리오비교'!$B$12))*SIN(RADIANS('13_시나리오비교'!$C$12))+$H244*SIN(RADIANS('13_시나리오비교'!$B$12))*COS(RADIANS('13_시나리오비교'!$C$12))+$I244*COS(RADIANS('13_시나리오비교'!$B$12))),0)</f>
        <v/>
      </c>
      <c r="X244" s="80">
        <f>IF($I244&gt;0,MAX(0,$G244*SIN(RADIANS('13_시나리오비교'!$B$13))*SIN(RADIANS('13_시나리오비교'!$C$13))+$H244*SIN(RADIANS('13_시나리오비교'!$B$13))*COS(RADIANS('13_시나리오비교'!$C$13))+$I244*COS(RADIANS('13_시나리오비교'!$B$13))),0)</f>
        <v/>
      </c>
      <c r="Y244" s="80">
        <f>IF($I244&gt;0,MAX(0,$G244*SIN(RADIANS('13_시나리오비교'!$B$14))*SIN(RADIANS('13_시나리오비교'!$C$14))+$H244*SIN(RADIANS('13_시나리오비교'!$B$14))*COS(RADIANS('13_시나리오비교'!$C$14))+$I244*COS(RADIANS('13_시나리오비교'!$B$14))),0)</f>
        <v/>
      </c>
    </row>
    <row r="245" hidden="1" outlineLevel="1">
      <c r="A245" s="79" t="n">
        <v>3</v>
      </c>
      <c r="B245" s="79" t="n">
        <v>33</v>
      </c>
      <c r="C245" s="80">
        <f>(B245-0.5)*'14_지역·상수'!$H$6</f>
        <v/>
      </c>
      <c r="D245" s="79" t="n">
        <v>75</v>
      </c>
      <c r="E245" s="80">
        <f>INDEX($C$4:$C$15,MATCH(A245,$A$4:$A$15,0))</f>
        <v/>
      </c>
      <c r="F245" s="80">
        <f>15*(C245-12)</f>
        <v/>
      </c>
      <c r="G245" s="80">
        <f>-COS(RADIANS(E245))*SIN(RADIANS(F245))</f>
        <v/>
      </c>
      <c r="H245" s="80">
        <f>COS(RADIANS('11_발전량_모델'!$B$17))*SIN(RADIANS(E245))-SIN(RADIANS('11_발전량_모델'!$B$17))*COS(RADIANS(E245))*COS(RADIANS(F245))</f>
        <v/>
      </c>
      <c r="I245" s="80">
        <f>SIN(RADIANS('11_발전량_모델'!$B$17))*SIN(RADIANS(E245))+COS(RADIANS('11_발전량_모델'!$B$17))*COS(RADIANS(E245))*COS(RADIANS(F245))</f>
        <v/>
      </c>
      <c r="J245" s="80">
        <f>SIN(RADIANS('11_발전량_모델'!$B$7))*SIN(RADIANS('11_발전량_모델'!$B$8))</f>
        <v/>
      </c>
      <c r="K245" s="80">
        <f>SIN(RADIANS('11_발전량_모델'!$B$7))*COS(RADIANS('11_발전량_모델'!$B$8))</f>
        <v/>
      </c>
      <c r="L245" s="80">
        <f>COS(RADIANS('11_발전량_모델'!$B$7))</f>
        <v/>
      </c>
      <c r="M245" s="80">
        <f>G245*J245+H245*K245+I245*L245</f>
        <v/>
      </c>
      <c r="N245" s="80">
        <f>MAX(0,I245)</f>
        <v/>
      </c>
      <c r="O245" s="80">
        <f>IF(I245&gt;0,MAX(0,M245),0)</f>
        <v/>
      </c>
      <c r="P245" s="80">
        <f>IF($I245&gt;0,MAX(0,$G245*SIN(RADIANS('13_시나리오비교'!$B$5))*SIN(RADIANS('13_시나리오비교'!$C$5))+$H245*SIN(RADIANS('13_시나리오비교'!$B$5))*COS(RADIANS('13_시나리오비교'!$C$5))+$I245*COS(RADIANS('13_시나리오비교'!$B$5))),0)</f>
        <v/>
      </c>
      <c r="Q245" s="80">
        <f>IF($I245&gt;0,MAX(0,$G245*SIN(RADIANS('13_시나리오비교'!$B$6))*SIN(RADIANS('13_시나리오비교'!$C$6))+$H245*SIN(RADIANS('13_시나리오비교'!$B$6))*COS(RADIANS('13_시나리오비교'!$C$6))+$I245*COS(RADIANS('13_시나리오비교'!$B$6))),0)</f>
        <v/>
      </c>
      <c r="R245" s="80">
        <f>IF($I245&gt;0,MAX(0,$G245*SIN(RADIANS('13_시나리오비교'!$B$7))*SIN(RADIANS('13_시나리오비교'!$C$7))+$H245*SIN(RADIANS('13_시나리오비교'!$B$7))*COS(RADIANS('13_시나리오비교'!$C$7))+$I245*COS(RADIANS('13_시나리오비교'!$B$7))),0)</f>
        <v/>
      </c>
      <c r="S245" s="80">
        <f>IF($I245&gt;0,MAX(0,$G245*SIN(RADIANS('13_시나리오비교'!$B$8))*SIN(RADIANS('13_시나리오비교'!$C$8))+$H245*SIN(RADIANS('13_시나리오비교'!$B$8))*COS(RADIANS('13_시나리오비교'!$C$8))+$I245*COS(RADIANS('13_시나리오비교'!$B$8))),0)</f>
        <v/>
      </c>
      <c r="T245" s="80">
        <f>IF($I245&gt;0,MAX(0,$G245*SIN(RADIANS('13_시나리오비교'!$B$9))*SIN(RADIANS('13_시나리오비교'!$C$9))+$H245*SIN(RADIANS('13_시나리오비교'!$B$9))*COS(RADIANS('13_시나리오비교'!$C$9))+$I245*COS(RADIANS('13_시나리오비교'!$B$9))),0)</f>
        <v/>
      </c>
      <c r="U245" s="80">
        <f>IF($I245&gt;0,MAX(0,$G245*SIN(RADIANS('13_시나리오비교'!$B$10))*SIN(RADIANS('13_시나리오비교'!$C$10))+$H245*SIN(RADIANS('13_시나리오비교'!$B$10))*COS(RADIANS('13_시나리오비교'!$C$10))+$I245*COS(RADIANS('13_시나리오비교'!$B$10))),0)</f>
        <v/>
      </c>
      <c r="V245" s="80">
        <f>IF($I245&gt;0,MAX(0,$G245*SIN(RADIANS('13_시나리오비교'!$B$11))*SIN(RADIANS('13_시나리오비교'!$C$11))+$H245*SIN(RADIANS('13_시나리오비교'!$B$11))*COS(RADIANS('13_시나리오비교'!$C$11))+$I245*COS(RADIANS('13_시나리오비교'!$B$11))),0)</f>
        <v/>
      </c>
      <c r="W245" s="80">
        <f>IF($I245&gt;0,MAX(0,$G245*SIN(RADIANS('13_시나리오비교'!$B$12))*SIN(RADIANS('13_시나리오비교'!$C$12))+$H245*SIN(RADIANS('13_시나리오비교'!$B$12))*COS(RADIANS('13_시나리오비교'!$C$12))+$I245*COS(RADIANS('13_시나리오비교'!$B$12))),0)</f>
        <v/>
      </c>
      <c r="X245" s="80">
        <f>IF($I245&gt;0,MAX(0,$G245*SIN(RADIANS('13_시나리오비교'!$B$13))*SIN(RADIANS('13_시나리오비교'!$C$13))+$H245*SIN(RADIANS('13_시나리오비교'!$B$13))*COS(RADIANS('13_시나리오비교'!$C$13))+$I245*COS(RADIANS('13_시나리오비교'!$B$13))),0)</f>
        <v/>
      </c>
      <c r="Y245" s="80">
        <f>IF($I245&gt;0,MAX(0,$G245*SIN(RADIANS('13_시나리오비교'!$B$14))*SIN(RADIANS('13_시나리오비교'!$C$14))+$H245*SIN(RADIANS('13_시나리오비교'!$B$14))*COS(RADIANS('13_시나리오비교'!$C$14))+$I245*COS(RADIANS('13_시나리오비교'!$B$14))),0)</f>
        <v/>
      </c>
    </row>
    <row r="246" hidden="1" outlineLevel="1">
      <c r="A246" s="79" t="n">
        <v>3</v>
      </c>
      <c r="B246" s="79" t="n">
        <v>34</v>
      </c>
      <c r="C246" s="80">
        <f>(B246-0.5)*'14_지역·상수'!$H$6</f>
        <v/>
      </c>
      <c r="D246" s="79" t="n">
        <v>75</v>
      </c>
      <c r="E246" s="80">
        <f>INDEX($C$4:$C$15,MATCH(A246,$A$4:$A$15,0))</f>
        <v/>
      </c>
      <c r="F246" s="80">
        <f>15*(C246-12)</f>
        <v/>
      </c>
      <c r="G246" s="80">
        <f>-COS(RADIANS(E246))*SIN(RADIANS(F246))</f>
        <v/>
      </c>
      <c r="H246" s="80">
        <f>COS(RADIANS('11_발전량_모델'!$B$17))*SIN(RADIANS(E246))-SIN(RADIANS('11_발전량_모델'!$B$17))*COS(RADIANS(E246))*COS(RADIANS(F246))</f>
        <v/>
      </c>
      <c r="I246" s="80">
        <f>SIN(RADIANS('11_발전량_모델'!$B$17))*SIN(RADIANS(E246))+COS(RADIANS('11_발전량_모델'!$B$17))*COS(RADIANS(E246))*COS(RADIANS(F246))</f>
        <v/>
      </c>
      <c r="J246" s="80">
        <f>SIN(RADIANS('11_발전량_모델'!$B$7))*SIN(RADIANS('11_발전량_모델'!$B$8))</f>
        <v/>
      </c>
      <c r="K246" s="80">
        <f>SIN(RADIANS('11_발전량_모델'!$B$7))*COS(RADIANS('11_발전량_모델'!$B$8))</f>
        <v/>
      </c>
      <c r="L246" s="80">
        <f>COS(RADIANS('11_발전량_모델'!$B$7))</f>
        <v/>
      </c>
      <c r="M246" s="80">
        <f>G246*J246+H246*K246+I246*L246</f>
        <v/>
      </c>
      <c r="N246" s="80">
        <f>MAX(0,I246)</f>
        <v/>
      </c>
      <c r="O246" s="80">
        <f>IF(I246&gt;0,MAX(0,M246),0)</f>
        <v/>
      </c>
      <c r="P246" s="80">
        <f>IF($I246&gt;0,MAX(0,$G246*SIN(RADIANS('13_시나리오비교'!$B$5))*SIN(RADIANS('13_시나리오비교'!$C$5))+$H246*SIN(RADIANS('13_시나리오비교'!$B$5))*COS(RADIANS('13_시나리오비교'!$C$5))+$I246*COS(RADIANS('13_시나리오비교'!$B$5))),0)</f>
        <v/>
      </c>
      <c r="Q246" s="80">
        <f>IF($I246&gt;0,MAX(0,$G246*SIN(RADIANS('13_시나리오비교'!$B$6))*SIN(RADIANS('13_시나리오비교'!$C$6))+$H246*SIN(RADIANS('13_시나리오비교'!$B$6))*COS(RADIANS('13_시나리오비교'!$C$6))+$I246*COS(RADIANS('13_시나리오비교'!$B$6))),0)</f>
        <v/>
      </c>
      <c r="R246" s="80">
        <f>IF($I246&gt;0,MAX(0,$G246*SIN(RADIANS('13_시나리오비교'!$B$7))*SIN(RADIANS('13_시나리오비교'!$C$7))+$H246*SIN(RADIANS('13_시나리오비교'!$B$7))*COS(RADIANS('13_시나리오비교'!$C$7))+$I246*COS(RADIANS('13_시나리오비교'!$B$7))),0)</f>
        <v/>
      </c>
      <c r="S246" s="80">
        <f>IF($I246&gt;0,MAX(0,$G246*SIN(RADIANS('13_시나리오비교'!$B$8))*SIN(RADIANS('13_시나리오비교'!$C$8))+$H246*SIN(RADIANS('13_시나리오비교'!$B$8))*COS(RADIANS('13_시나리오비교'!$C$8))+$I246*COS(RADIANS('13_시나리오비교'!$B$8))),0)</f>
        <v/>
      </c>
      <c r="T246" s="80">
        <f>IF($I246&gt;0,MAX(0,$G246*SIN(RADIANS('13_시나리오비교'!$B$9))*SIN(RADIANS('13_시나리오비교'!$C$9))+$H246*SIN(RADIANS('13_시나리오비교'!$B$9))*COS(RADIANS('13_시나리오비교'!$C$9))+$I246*COS(RADIANS('13_시나리오비교'!$B$9))),0)</f>
        <v/>
      </c>
      <c r="U246" s="80">
        <f>IF($I246&gt;0,MAX(0,$G246*SIN(RADIANS('13_시나리오비교'!$B$10))*SIN(RADIANS('13_시나리오비교'!$C$10))+$H246*SIN(RADIANS('13_시나리오비교'!$B$10))*COS(RADIANS('13_시나리오비교'!$C$10))+$I246*COS(RADIANS('13_시나리오비교'!$B$10))),0)</f>
        <v/>
      </c>
      <c r="V246" s="80">
        <f>IF($I246&gt;0,MAX(0,$G246*SIN(RADIANS('13_시나리오비교'!$B$11))*SIN(RADIANS('13_시나리오비교'!$C$11))+$H246*SIN(RADIANS('13_시나리오비교'!$B$11))*COS(RADIANS('13_시나리오비교'!$C$11))+$I246*COS(RADIANS('13_시나리오비교'!$B$11))),0)</f>
        <v/>
      </c>
      <c r="W246" s="80">
        <f>IF($I246&gt;0,MAX(0,$G246*SIN(RADIANS('13_시나리오비교'!$B$12))*SIN(RADIANS('13_시나리오비교'!$C$12))+$H246*SIN(RADIANS('13_시나리오비교'!$B$12))*COS(RADIANS('13_시나리오비교'!$C$12))+$I246*COS(RADIANS('13_시나리오비교'!$B$12))),0)</f>
        <v/>
      </c>
      <c r="X246" s="80">
        <f>IF($I246&gt;0,MAX(0,$G246*SIN(RADIANS('13_시나리오비교'!$B$13))*SIN(RADIANS('13_시나리오비교'!$C$13))+$H246*SIN(RADIANS('13_시나리오비교'!$B$13))*COS(RADIANS('13_시나리오비교'!$C$13))+$I246*COS(RADIANS('13_시나리오비교'!$B$13))),0)</f>
        <v/>
      </c>
      <c r="Y246" s="80">
        <f>IF($I246&gt;0,MAX(0,$G246*SIN(RADIANS('13_시나리오비교'!$B$14))*SIN(RADIANS('13_시나리오비교'!$C$14))+$H246*SIN(RADIANS('13_시나리오비교'!$B$14))*COS(RADIANS('13_시나리오비교'!$C$14))+$I246*COS(RADIANS('13_시나리오비교'!$B$14))),0)</f>
        <v/>
      </c>
    </row>
    <row r="247" hidden="1" outlineLevel="1">
      <c r="A247" s="79" t="n">
        <v>3</v>
      </c>
      <c r="B247" s="79" t="n">
        <v>35</v>
      </c>
      <c r="C247" s="80">
        <f>(B247-0.5)*'14_지역·상수'!$H$6</f>
        <v/>
      </c>
      <c r="D247" s="79" t="n">
        <v>75</v>
      </c>
      <c r="E247" s="80">
        <f>INDEX($C$4:$C$15,MATCH(A247,$A$4:$A$15,0))</f>
        <v/>
      </c>
      <c r="F247" s="80">
        <f>15*(C247-12)</f>
        <v/>
      </c>
      <c r="G247" s="80">
        <f>-COS(RADIANS(E247))*SIN(RADIANS(F247))</f>
        <v/>
      </c>
      <c r="H247" s="80">
        <f>COS(RADIANS('11_발전량_모델'!$B$17))*SIN(RADIANS(E247))-SIN(RADIANS('11_발전량_모델'!$B$17))*COS(RADIANS(E247))*COS(RADIANS(F247))</f>
        <v/>
      </c>
      <c r="I247" s="80">
        <f>SIN(RADIANS('11_발전량_모델'!$B$17))*SIN(RADIANS(E247))+COS(RADIANS('11_발전량_모델'!$B$17))*COS(RADIANS(E247))*COS(RADIANS(F247))</f>
        <v/>
      </c>
      <c r="J247" s="80">
        <f>SIN(RADIANS('11_발전량_모델'!$B$7))*SIN(RADIANS('11_발전량_모델'!$B$8))</f>
        <v/>
      </c>
      <c r="K247" s="80">
        <f>SIN(RADIANS('11_발전량_모델'!$B$7))*COS(RADIANS('11_발전량_모델'!$B$8))</f>
        <v/>
      </c>
      <c r="L247" s="80">
        <f>COS(RADIANS('11_발전량_모델'!$B$7))</f>
        <v/>
      </c>
      <c r="M247" s="80">
        <f>G247*J247+H247*K247+I247*L247</f>
        <v/>
      </c>
      <c r="N247" s="80">
        <f>MAX(0,I247)</f>
        <v/>
      </c>
      <c r="O247" s="80">
        <f>IF(I247&gt;0,MAX(0,M247),0)</f>
        <v/>
      </c>
      <c r="P247" s="80">
        <f>IF($I247&gt;0,MAX(0,$G247*SIN(RADIANS('13_시나리오비교'!$B$5))*SIN(RADIANS('13_시나리오비교'!$C$5))+$H247*SIN(RADIANS('13_시나리오비교'!$B$5))*COS(RADIANS('13_시나리오비교'!$C$5))+$I247*COS(RADIANS('13_시나리오비교'!$B$5))),0)</f>
        <v/>
      </c>
      <c r="Q247" s="80">
        <f>IF($I247&gt;0,MAX(0,$G247*SIN(RADIANS('13_시나리오비교'!$B$6))*SIN(RADIANS('13_시나리오비교'!$C$6))+$H247*SIN(RADIANS('13_시나리오비교'!$B$6))*COS(RADIANS('13_시나리오비교'!$C$6))+$I247*COS(RADIANS('13_시나리오비교'!$B$6))),0)</f>
        <v/>
      </c>
      <c r="R247" s="80">
        <f>IF($I247&gt;0,MAX(0,$G247*SIN(RADIANS('13_시나리오비교'!$B$7))*SIN(RADIANS('13_시나리오비교'!$C$7))+$H247*SIN(RADIANS('13_시나리오비교'!$B$7))*COS(RADIANS('13_시나리오비교'!$C$7))+$I247*COS(RADIANS('13_시나리오비교'!$B$7))),0)</f>
        <v/>
      </c>
      <c r="S247" s="80">
        <f>IF($I247&gt;0,MAX(0,$G247*SIN(RADIANS('13_시나리오비교'!$B$8))*SIN(RADIANS('13_시나리오비교'!$C$8))+$H247*SIN(RADIANS('13_시나리오비교'!$B$8))*COS(RADIANS('13_시나리오비교'!$C$8))+$I247*COS(RADIANS('13_시나리오비교'!$B$8))),0)</f>
        <v/>
      </c>
      <c r="T247" s="80">
        <f>IF($I247&gt;0,MAX(0,$G247*SIN(RADIANS('13_시나리오비교'!$B$9))*SIN(RADIANS('13_시나리오비교'!$C$9))+$H247*SIN(RADIANS('13_시나리오비교'!$B$9))*COS(RADIANS('13_시나리오비교'!$C$9))+$I247*COS(RADIANS('13_시나리오비교'!$B$9))),0)</f>
        <v/>
      </c>
      <c r="U247" s="80">
        <f>IF($I247&gt;0,MAX(0,$G247*SIN(RADIANS('13_시나리오비교'!$B$10))*SIN(RADIANS('13_시나리오비교'!$C$10))+$H247*SIN(RADIANS('13_시나리오비교'!$B$10))*COS(RADIANS('13_시나리오비교'!$C$10))+$I247*COS(RADIANS('13_시나리오비교'!$B$10))),0)</f>
        <v/>
      </c>
      <c r="V247" s="80">
        <f>IF($I247&gt;0,MAX(0,$G247*SIN(RADIANS('13_시나리오비교'!$B$11))*SIN(RADIANS('13_시나리오비교'!$C$11))+$H247*SIN(RADIANS('13_시나리오비교'!$B$11))*COS(RADIANS('13_시나리오비교'!$C$11))+$I247*COS(RADIANS('13_시나리오비교'!$B$11))),0)</f>
        <v/>
      </c>
      <c r="W247" s="80">
        <f>IF($I247&gt;0,MAX(0,$G247*SIN(RADIANS('13_시나리오비교'!$B$12))*SIN(RADIANS('13_시나리오비교'!$C$12))+$H247*SIN(RADIANS('13_시나리오비교'!$B$12))*COS(RADIANS('13_시나리오비교'!$C$12))+$I247*COS(RADIANS('13_시나리오비교'!$B$12))),0)</f>
        <v/>
      </c>
      <c r="X247" s="80">
        <f>IF($I247&gt;0,MAX(0,$G247*SIN(RADIANS('13_시나리오비교'!$B$13))*SIN(RADIANS('13_시나리오비교'!$C$13))+$H247*SIN(RADIANS('13_시나리오비교'!$B$13))*COS(RADIANS('13_시나리오비교'!$C$13))+$I247*COS(RADIANS('13_시나리오비교'!$B$13))),0)</f>
        <v/>
      </c>
      <c r="Y247" s="80">
        <f>IF($I247&gt;0,MAX(0,$G247*SIN(RADIANS('13_시나리오비교'!$B$14))*SIN(RADIANS('13_시나리오비교'!$C$14))+$H247*SIN(RADIANS('13_시나리오비교'!$B$14))*COS(RADIANS('13_시나리오비교'!$C$14))+$I247*COS(RADIANS('13_시나리오비교'!$B$14))),0)</f>
        <v/>
      </c>
    </row>
    <row r="248" hidden="1" outlineLevel="1">
      <c r="A248" s="79" t="n">
        <v>3</v>
      </c>
      <c r="B248" s="79" t="n">
        <v>36</v>
      </c>
      <c r="C248" s="80">
        <f>(B248-0.5)*'14_지역·상수'!$H$6</f>
        <v/>
      </c>
      <c r="D248" s="79" t="n">
        <v>75</v>
      </c>
      <c r="E248" s="80">
        <f>INDEX($C$4:$C$15,MATCH(A248,$A$4:$A$15,0))</f>
        <v/>
      </c>
      <c r="F248" s="80">
        <f>15*(C248-12)</f>
        <v/>
      </c>
      <c r="G248" s="80">
        <f>-COS(RADIANS(E248))*SIN(RADIANS(F248))</f>
        <v/>
      </c>
      <c r="H248" s="80">
        <f>COS(RADIANS('11_발전량_모델'!$B$17))*SIN(RADIANS(E248))-SIN(RADIANS('11_발전량_모델'!$B$17))*COS(RADIANS(E248))*COS(RADIANS(F248))</f>
        <v/>
      </c>
      <c r="I248" s="80">
        <f>SIN(RADIANS('11_발전량_모델'!$B$17))*SIN(RADIANS(E248))+COS(RADIANS('11_발전량_모델'!$B$17))*COS(RADIANS(E248))*COS(RADIANS(F248))</f>
        <v/>
      </c>
      <c r="J248" s="80">
        <f>SIN(RADIANS('11_발전량_모델'!$B$7))*SIN(RADIANS('11_발전량_모델'!$B$8))</f>
        <v/>
      </c>
      <c r="K248" s="80">
        <f>SIN(RADIANS('11_발전량_모델'!$B$7))*COS(RADIANS('11_발전량_모델'!$B$8))</f>
        <v/>
      </c>
      <c r="L248" s="80">
        <f>COS(RADIANS('11_발전량_모델'!$B$7))</f>
        <v/>
      </c>
      <c r="M248" s="80">
        <f>G248*J248+H248*K248+I248*L248</f>
        <v/>
      </c>
      <c r="N248" s="80">
        <f>MAX(0,I248)</f>
        <v/>
      </c>
      <c r="O248" s="80">
        <f>IF(I248&gt;0,MAX(0,M248),0)</f>
        <v/>
      </c>
      <c r="P248" s="80">
        <f>IF($I248&gt;0,MAX(0,$G248*SIN(RADIANS('13_시나리오비교'!$B$5))*SIN(RADIANS('13_시나리오비교'!$C$5))+$H248*SIN(RADIANS('13_시나리오비교'!$B$5))*COS(RADIANS('13_시나리오비교'!$C$5))+$I248*COS(RADIANS('13_시나리오비교'!$B$5))),0)</f>
        <v/>
      </c>
      <c r="Q248" s="80">
        <f>IF($I248&gt;0,MAX(0,$G248*SIN(RADIANS('13_시나리오비교'!$B$6))*SIN(RADIANS('13_시나리오비교'!$C$6))+$H248*SIN(RADIANS('13_시나리오비교'!$B$6))*COS(RADIANS('13_시나리오비교'!$C$6))+$I248*COS(RADIANS('13_시나리오비교'!$B$6))),0)</f>
        <v/>
      </c>
      <c r="R248" s="80">
        <f>IF($I248&gt;0,MAX(0,$G248*SIN(RADIANS('13_시나리오비교'!$B$7))*SIN(RADIANS('13_시나리오비교'!$C$7))+$H248*SIN(RADIANS('13_시나리오비교'!$B$7))*COS(RADIANS('13_시나리오비교'!$C$7))+$I248*COS(RADIANS('13_시나리오비교'!$B$7))),0)</f>
        <v/>
      </c>
      <c r="S248" s="80">
        <f>IF($I248&gt;0,MAX(0,$G248*SIN(RADIANS('13_시나리오비교'!$B$8))*SIN(RADIANS('13_시나리오비교'!$C$8))+$H248*SIN(RADIANS('13_시나리오비교'!$B$8))*COS(RADIANS('13_시나리오비교'!$C$8))+$I248*COS(RADIANS('13_시나리오비교'!$B$8))),0)</f>
        <v/>
      </c>
      <c r="T248" s="80">
        <f>IF($I248&gt;0,MAX(0,$G248*SIN(RADIANS('13_시나리오비교'!$B$9))*SIN(RADIANS('13_시나리오비교'!$C$9))+$H248*SIN(RADIANS('13_시나리오비교'!$B$9))*COS(RADIANS('13_시나리오비교'!$C$9))+$I248*COS(RADIANS('13_시나리오비교'!$B$9))),0)</f>
        <v/>
      </c>
      <c r="U248" s="80">
        <f>IF($I248&gt;0,MAX(0,$G248*SIN(RADIANS('13_시나리오비교'!$B$10))*SIN(RADIANS('13_시나리오비교'!$C$10))+$H248*SIN(RADIANS('13_시나리오비교'!$B$10))*COS(RADIANS('13_시나리오비교'!$C$10))+$I248*COS(RADIANS('13_시나리오비교'!$B$10))),0)</f>
        <v/>
      </c>
      <c r="V248" s="80">
        <f>IF($I248&gt;0,MAX(0,$G248*SIN(RADIANS('13_시나리오비교'!$B$11))*SIN(RADIANS('13_시나리오비교'!$C$11))+$H248*SIN(RADIANS('13_시나리오비교'!$B$11))*COS(RADIANS('13_시나리오비교'!$C$11))+$I248*COS(RADIANS('13_시나리오비교'!$B$11))),0)</f>
        <v/>
      </c>
      <c r="W248" s="80">
        <f>IF($I248&gt;0,MAX(0,$G248*SIN(RADIANS('13_시나리오비교'!$B$12))*SIN(RADIANS('13_시나리오비교'!$C$12))+$H248*SIN(RADIANS('13_시나리오비교'!$B$12))*COS(RADIANS('13_시나리오비교'!$C$12))+$I248*COS(RADIANS('13_시나리오비교'!$B$12))),0)</f>
        <v/>
      </c>
      <c r="X248" s="80">
        <f>IF($I248&gt;0,MAX(0,$G248*SIN(RADIANS('13_시나리오비교'!$B$13))*SIN(RADIANS('13_시나리오비교'!$C$13))+$H248*SIN(RADIANS('13_시나리오비교'!$B$13))*COS(RADIANS('13_시나리오비교'!$C$13))+$I248*COS(RADIANS('13_시나리오비교'!$B$13))),0)</f>
        <v/>
      </c>
      <c r="Y248" s="80">
        <f>IF($I248&gt;0,MAX(0,$G248*SIN(RADIANS('13_시나리오비교'!$B$14))*SIN(RADIANS('13_시나리오비교'!$C$14))+$H248*SIN(RADIANS('13_시나리오비교'!$B$14))*COS(RADIANS('13_시나리오비교'!$C$14))+$I248*COS(RADIANS('13_시나리오비교'!$B$14))),0)</f>
        <v/>
      </c>
    </row>
    <row r="249" hidden="1" outlineLevel="1">
      <c r="A249" s="79" t="n">
        <v>3</v>
      </c>
      <c r="B249" s="79" t="n">
        <v>37</v>
      </c>
      <c r="C249" s="80">
        <f>(B249-0.5)*'14_지역·상수'!$H$6</f>
        <v/>
      </c>
      <c r="D249" s="79" t="n">
        <v>75</v>
      </c>
      <c r="E249" s="80">
        <f>INDEX($C$4:$C$15,MATCH(A249,$A$4:$A$15,0))</f>
        <v/>
      </c>
      <c r="F249" s="80">
        <f>15*(C249-12)</f>
        <v/>
      </c>
      <c r="G249" s="80">
        <f>-COS(RADIANS(E249))*SIN(RADIANS(F249))</f>
        <v/>
      </c>
      <c r="H249" s="80">
        <f>COS(RADIANS('11_발전량_모델'!$B$17))*SIN(RADIANS(E249))-SIN(RADIANS('11_발전량_모델'!$B$17))*COS(RADIANS(E249))*COS(RADIANS(F249))</f>
        <v/>
      </c>
      <c r="I249" s="80">
        <f>SIN(RADIANS('11_발전량_모델'!$B$17))*SIN(RADIANS(E249))+COS(RADIANS('11_발전량_모델'!$B$17))*COS(RADIANS(E249))*COS(RADIANS(F249))</f>
        <v/>
      </c>
      <c r="J249" s="80">
        <f>SIN(RADIANS('11_발전량_모델'!$B$7))*SIN(RADIANS('11_발전량_모델'!$B$8))</f>
        <v/>
      </c>
      <c r="K249" s="80">
        <f>SIN(RADIANS('11_발전량_모델'!$B$7))*COS(RADIANS('11_발전량_모델'!$B$8))</f>
        <v/>
      </c>
      <c r="L249" s="80">
        <f>COS(RADIANS('11_발전량_모델'!$B$7))</f>
        <v/>
      </c>
      <c r="M249" s="80">
        <f>G249*J249+H249*K249+I249*L249</f>
        <v/>
      </c>
      <c r="N249" s="80">
        <f>MAX(0,I249)</f>
        <v/>
      </c>
      <c r="O249" s="80">
        <f>IF(I249&gt;0,MAX(0,M249),0)</f>
        <v/>
      </c>
      <c r="P249" s="80">
        <f>IF($I249&gt;0,MAX(0,$G249*SIN(RADIANS('13_시나리오비교'!$B$5))*SIN(RADIANS('13_시나리오비교'!$C$5))+$H249*SIN(RADIANS('13_시나리오비교'!$B$5))*COS(RADIANS('13_시나리오비교'!$C$5))+$I249*COS(RADIANS('13_시나리오비교'!$B$5))),0)</f>
        <v/>
      </c>
      <c r="Q249" s="80">
        <f>IF($I249&gt;0,MAX(0,$G249*SIN(RADIANS('13_시나리오비교'!$B$6))*SIN(RADIANS('13_시나리오비교'!$C$6))+$H249*SIN(RADIANS('13_시나리오비교'!$B$6))*COS(RADIANS('13_시나리오비교'!$C$6))+$I249*COS(RADIANS('13_시나리오비교'!$B$6))),0)</f>
        <v/>
      </c>
      <c r="R249" s="80">
        <f>IF($I249&gt;0,MAX(0,$G249*SIN(RADIANS('13_시나리오비교'!$B$7))*SIN(RADIANS('13_시나리오비교'!$C$7))+$H249*SIN(RADIANS('13_시나리오비교'!$B$7))*COS(RADIANS('13_시나리오비교'!$C$7))+$I249*COS(RADIANS('13_시나리오비교'!$B$7))),0)</f>
        <v/>
      </c>
      <c r="S249" s="80">
        <f>IF($I249&gt;0,MAX(0,$G249*SIN(RADIANS('13_시나리오비교'!$B$8))*SIN(RADIANS('13_시나리오비교'!$C$8))+$H249*SIN(RADIANS('13_시나리오비교'!$B$8))*COS(RADIANS('13_시나리오비교'!$C$8))+$I249*COS(RADIANS('13_시나리오비교'!$B$8))),0)</f>
        <v/>
      </c>
      <c r="T249" s="80">
        <f>IF($I249&gt;0,MAX(0,$G249*SIN(RADIANS('13_시나리오비교'!$B$9))*SIN(RADIANS('13_시나리오비교'!$C$9))+$H249*SIN(RADIANS('13_시나리오비교'!$B$9))*COS(RADIANS('13_시나리오비교'!$C$9))+$I249*COS(RADIANS('13_시나리오비교'!$B$9))),0)</f>
        <v/>
      </c>
      <c r="U249" s="80">
        <f>IF($I249&gt;0,MAX(0,$G249*SIN(RADIANS('13_시나리오비교'!$B$10))*SIN(RADIANS('13_시나리오비교'!$C$10))+$H249*SIN(RADIANS('13_시나리오비교'!$B$10))*COS(RADIANS('13_시나리오비교'!$C$10))+$I249*COS(RADIANS('13_시나리오비교'!$B$10))),0)</f>
        <v/>
      </c>
      <c r="V249" s="80">
        <f>IF($I249&gt;0,MAX(0,$G249*SIN(RADIANS('13_시나리오비교'!$B$11))*SIN(RADIANS('13_시나리오비교'!$C$11))+$H249*SIN(RADIANS('13_시나리오비교'!$B$11))*COS(RADIANS('13_시나리오비교'!$C$11))+$I249*COS(RADIANS('13_시나리오비교'!$B$11))),0)</f>
        <v/>
      </c>
      <c r="W249" s="80">
        <f>IF($I249&gt;0,MAX(0,$G249*SIN(RADIANS('13_시나리오비교'!$B$12))*SIN(RADIANS('13_시나리오비교'!$C$12))+$H249*SIN(RADIANS('13_시나리오비교'!$B$12))*COS(RADIANS('13_시나리오비교'!$C$12))+$I249*COS(RADIANS('13_시나리오비교'!$B$12))),0)</f>
        <v/>
      </c>
      <c r="X249" s="80">
        <f>IF($I249&gt;0,MAX(0,$G249*SIN(RADIANS('13_시나리오비교'!$B$13))*SIN(RADIANS('13_시나리오비교'!$C$13))+$H249*SIN(RADIANS('13_시나리오비교'!$B$13))*COS(RADIANS('13_시나리오비교'!$C$13))+$I249*COS(RADIANS('13_시나리오비교'!$B$13))),0)</f>
        <v/>
      </c>
      <c r="Y249" s="80">
        <f>IF($I249&gt;0,MAX(0,$G249*SIN(RADIANS('13_시나리오비교'!$B$14))*SIN(RADIANS('13_시나리오비교'!$C$14))+$H249*SIN(RADIANS('13_시나리오비교'!$B$14))*COS(RADIANS('13_시나리오비교'!$C$14))+$I249*COS(RADIANS('13_시나리오비교'!$B$14))),0)</f>
        <v/>
      </c>
    </row>
    <row r="250" hidden="1" outlineLevel="1">
      <c r="A250" s="79" t="n">
        <v>3</v>
      </c>
      <c r="B250" s="79" t="n">
        <v>38</v>
      </c>
      <c r="C250" s="80">
        <f>(B250-0.5)*'14_지역·상수'!$H$6</f>
        <v/>
      </c>
      <c r="D250" s="79" t="n">
        <v>75</v>
      </c>
      <c r="E250" s="80">
        <f>INDEX($C$4:$C$15,MATCH(A250,$A$4:$A$15,0))</f>
        <v/>
      </c>
      <c r="F250" s="80">
        <f>15*(C250-12)</f>
        <v/>
      </c>
      <c r="G250" s="80">
        <f>-COS(RADIANS(E250))*SIN(RADIANS(F250))</f>
        <v/>
      </c>
      <c r="H250" s="80">
        <f>COS(RADIANS('11_발전량_모델'!$B$17))*SIN(RADIANS(E250))-SIN(RADIANS('11_발전량_모델'!$B$17))*COS(RADIANS(E250))*COS(RADIANS(F250))</f>
        <v/>
      </c>
      <c r="I250" s="80">
        <f>SIN(RADIANS('11_발전량_모델'!$B$17))*SIN(RADIANS(E250))+COS(RADIANS('11_발전량_모델'!$B$17))*COS(RADIANS(E250))*COS(RADIANS(F250))</f>
        <v/>
      </c>
      <c r="J250" s="80">
        <f>SIN(RADIANS('11_발전량_모델'!$B$7))*SIN(RADIANS('11_발전량_모델'!$B$8))</f>
        <v/>
      </c>
      <c r="K250" s="80">
        <f>SIN(RADIANS('11_발전량_모델'!$B$7))*COS(RADIANS('11_발전량_모델'!$B$8))</f>
        <v/>
      </c>
      <c r="L250" s="80">
        <f>COS(RADIANS('11_발전량_모델'!$B$7))</f>
        <v/>
      </c>
      <c r="M250" s="80">
        <f>G250*J250+H250*K250+I250*L250</f>
        <v/>
      </c>
      <c r="N250" s="80">
        <f>MAX(0,I250)</f>
        <v/>
      </c>
      <c r="O250" s="80">
        <f>IF(I250&gt;0,MAX(0,M250),0)</f>
        <v/>
      </c>
      <c r="P250" s="80">
        <f>IF($I250&gt;0,MAX(0,$G250*SIN(RADIANS('13_시나리오비교'!$B$5))*SIN(RADIANS('13_시나리오비교'!$C$5))+$H250*SIN(RADIANS('13_시나리오비교'!$B$5))*COS(RADIANS('13_시나리오비교'!$C$5))+$I250*COS(RADIANS('13_시나리오비교'!$B$5))),0)</f>
        <v/>
      </c>
      <c r="Q250" s="80">
        <f>IF($I250&gt;0,MAX(0,$G250*SIN(RADIANS('13_시나리오비교'!$B$6))*SIN(RADIANS('13_시나리오비교'!$C$6))+$H250*SIN(RADIANS('13_시나리오비교'!$B$6))*COS(RADIANS('13_시나리오비교'!$C$6))+$I250*COS(RADIANS('13_시나리오비교'!$B$6))),0)</f>
        <v/>
      </c>
      <c r="R250" s="80">
        <f>IF($I250&gt;0,MAX(0,$G250*SIN(RADIANS('13_시나리오비교'!$B$7))*SIN(RADIANS('13_시나리오비교'!$C$7))+$H250*SIN(RADIANS('13_시나리오비교'!$B$7))*COS(RADIANS('13_시나리오비교'!$C$7))+$I250*COS(RADIANS('13_시나리오비교'!$B$7))),0)</f>
        <v/>
      </c>
      <c r="S250" s="80">
        <f>IF($I250&gt;0,MAX(0,$G250*SIN(RADIANS('13_시나리오비교'!$B$8))*SIN(RADIANS('13_시나리오비교'!$C$8))+$H250*SIN(RADIANS('13_시나리오비교'!$B$8))*COS(RADIANS('13_시나리오비교'!$C$8))+$I250*COS(RADIANS('13_시나리오비교'!$B$8))),0)</f>
        <v/>
      </c>
      <c r="T250" s="80">
        <f>IF($I250&gt;0,MAX(0,$G250*SIN(RADIANS('13_시나리오비교'!$B$9))*SIN(RADIANS('13_시나리오비교'!$C$9))+$H250*SIN(RADIANS('13_시나리오비교'!$B$9))*COS(RADIANS('13_시나리오비교'!$C$9))+$I250*COS(RADIANS('13_시나리오비교'!$B$9))),0)</f>
        <v/>
      </c>
      <c r="U250" s="80">
        <f>IF($I250&gt;0,MAX(0,$G250*SIN(RADIANS('13_시나리오비교'!$B$10))*SIN(RADIANS('13_시나리오비교'!$C$10))+$H250*SIN(RADIANS('13_시나리오비교'!$B$10))*COS(RADIANS('13_시나리오비교'!$C$10))+$I250*COS(RADIANS('13_시나리오비교'!$B$10))),0)</f>
        <v/>
      </c>
      <c r="V250" s="80">
        <f>IF($I250&gt;0,MAX(0,$G250*SIN(RADIANS('13_시나리오비교'!$B$11))*SIN(RADIANS('13_시나리오비교'!$C$11))+$H250*SIN(RADIANS('13_시나리오비교'!$B$11))*COS(RADIANS('13_시나리오비교'!$C$11))+$I250*COS(RADIANS('13_시나리오비교'!$B$11))),0)</f>
        <v/>
      </c>
      <c r="W250" s="80">
        <f>IF($I250&gt;0,MAX(0,$G250*SIN(RADIANS('13_시나리오비교'!$B$12))*SIN(RADIANS('13_시나리오비교'!$C$12))+$H250*SIN(RADIANS('13_시나리오비교'!$B$12))*COS(RADIANS('13_시나리오비교'!$C$12))+$I250*COS(RADIANS('13_시나리오비교'!$B$12))),0)</f>
        <v/>
      </c>
      <c r="X250" s="80">
        <f>IF($I250&gt;0,MAX(0,$G250*SIN(RADIANS('13_시나리오비교'!$B$13))*SIN(RADIANS('13_시나리오비교'!$C$13))+$H250*SIN(RADIANS('13_시나리오비교'!$B$13))*COS(RADIANS('13_시나리오비교'!$C$13))+$I250*COS(RADIANS('13_시나리오비교'!$B$13))),0)</f>
        <v/>
      </c>
      <c r="Y250" s="80">
        <f>IF($I250&gt;0,MAX(0,$G250*SIN(RADIANS('13_시나리오비교'!$B$14))*SIN(RADIANS('13_시나리오비교'!$C$14))+$H250*SIN(RADIANS('13_시나리오비교'!$B$14))*COS(RADIANS('13_시나리오비교'!$C$14))+$I250*COS(RADIANS('13_시나리오비교'!$B$14))),0)</f>
        <v/>
      </c>
    </row>
    <row r="251" hidden="1" outlineLevel="1">
      <c r="A251" s="79" t="n">
        <v>3</v>
      </c>
      <c r="B251" s="79" t="n">
        <v>39</v>
      </c>
      <c r="C251" s="80">
        <f>(B251-0.5)*'14_지역·상수'!$H$6</f>
        <v/>
      </c>
      <c r="D251" s="79" t="n">
        <v>75</v>
      </c>
      <c r="E251" s="80">
        <f>INDEX($C$4:$C$15,MATCH(A251,$A$4:$A$15,0))</f>
        <v/>
      </c>
      <c r="F251" s="80">
        <f>15*(C251-12)</f>
        <v/>
      </c>
      <c r="G251" s="80">
        <f>-COS(RADIANS(E251))*SIN(RADIANS(F251))</f>
        <v/>
      </c>
      <c r="H251" s="80">
        <f>COS(RADIANS('11_발전량_모델'!$B$17))*SIN(RADIANS(E251))-SIN(RADIANS('11_발전량_모델'!$B$17))*COS(RADIANS(E251))*COS(RADIANS(F251))</f>
        <v/>
      </c>
      <c r="I251" s="80">
        <f>SIN(RADIANS('11_발전량_모델'!$B$17))*SIN(RADIANS(E251))+COS(RADIANS('11_발전량_모델'!$B$17))*COS(RADIANS(E251))*COS(RADIANS(F251))</f>
        <v/>
      </c>
      <c r="J251" s="80">
        <f>SIN(RADIANS('11_발전량_모델'!$B$7))*SIN(RADIANS('11_발전량_모델'!$B$8))</f>
        <v/>
      </c>
      <c r="K251" s="80">
        <f>SIN(RADIANS('11_발전량_모델'!$B$7))*COS(RADIANS('11_발전량_모델'!$B$8))</f>
        <v/>
      </c>
      <c r="L251" s="80">
        <f>COS(RADIANS('11_발전량_모델'!$B$7))</f>
        <v/>
      </c>
      <c r="M251" s="80">
        <f>G251*J251+H251*K251+I251*L251</f>
        <v/>
      </c>
      <c r="N251" s="80">
        <f>MAX(0,I251)</f>
        <v/>
      </c>
      <c r="O251" s="80">
        <f>IF(I251&gt;0,MAX(0,M251),0)</f>
        <v/>
      </c>
      <c r="P251" s="80">
        <f>IF($I251&gt;0,MAX(0,$G251*SIN(RADIANS('13_시나리오비교'!$B$5))*SIN(RADIANS('13_시나리오비교'!$C$5))+$H251*SIN(RADIANS('13_시나리오비교'!$B$5))*COS(RADIANS('13_시나리오비교'!$C$5))+$I251*COS(RADIANS('13_시나리오비교'!$B$5))),0)</f>
        <v/>
      </c>
      <c r="Q251" s="80">
        <f>IF($I251&gt;0,MAX(0,$G251*SIN(RADIANS('13_시나리오비교'!$B$6))*SIN(RADIANS('13_시나리오비교'!$C$6))+$H251*SIN(RADIANS('13_시나리오비교'!$B$6))*COS(RADIANS('13_시나리오비교'!$C$6))+$I251*COS(RADIANS('13_시나리오비교'!$B$6))),0)</f>
        <v/>
      </c>
      <c r="R251" s="80">
        <f>IF($I251&gt;0,MAX(0,$G251*SIN(RADIANS('13_시나리오비교'!$B$7))*SIN(RADIANS('13_시나리오비교'!$C$7))+$H251*SIN(RADIANS('13_시나리오비교'!$B$7))*COS(RADIANS('13_시나리오비교'!$C$7))+$I251*COS(RADIANS('13_시나리오비교'!$B$7))),0)</f>
        <v/>
      </c>
      <c r="S251" s="80">
        <f>IF($I251&gt;0,MAX(0,$G251*SIN(RADIANS('13_시나리오비교'!$B$8))*SIN(RADIANS('13_시나리오비교'!$C$8))+$H251*SIN(RADIANS('13_시나리오비교'!$B$8))*COS(RADIANS('13_시나리오비교'!$C$8))+$I251*COS(RADIANS('13_시나리오비교'!$B$8))),0)</f>
        <v/>
      </c>
      <c r="T251" s="80">
        <f>IF($I251&gt;0,MAX(0,$G251*SIN(RADIANS('13_시나리오비교'!$B$9))*SIN(RADIANS('13_시나리오비교'!$C$9))+$H251*SIN(RADIANS('13_시나리오비교'!$B$9))*COS(RADIANS('13_시나리오비교'!$C$9))+$I251*COS(RADIANS('13_시나리오비교'!$B$9))),0)</f>
        <v/>
      </c>
      <c r="U251" s="80">
        <f>IF($I251&gt;0,MAX(0,$G251*SIN(RADIANS('13_시나리오비교'!$B$10))*SIN(RADIANS('13_시나리오비교'!$C$10))+$H251*SIN(RADIANS('13_시나리오비교'!$B$10))*COS(RADIANS('13_시나리오비교'!$C$10))+$I251*COS(RADIANS('13_시나리오비교'!$B$10))),0)</f>
        <v/>
      </c>
      <c r="V251" s="80">
        <f>IF($I251&gt;0,MAX(0,$G251*SIN(RADIANS('13_시나리오비교'!$B$11))*SIN(RADIANS('13_시나리오비교'!$C$11))+$H251*SIN(RADIANS('13_시나리오비교'!$B$11))*COS(RADIANS('13_시나리오비교'!$C$11))+$I251*COS(RADIANS('13_시나리오비교'!$B$11))),0)</f>
        <v/>
      </c>
      <c r="W251" s="80">
        <f>IF($I251&gt;0,MAX(0,$G251*SIN(RADIANS('13_시나리오비교'!$B$12))*SIN(RADIANS('13_시나리오비교'!$C$12))+$H251*SIN(RADIANS('13_시나리오비교'!$B$12))*COS(RADIANS('13_시나리오비교'!$C$12))+$I251*COS(RADIANS('13_시나리오비교'!$B$12))),0)</f>
        <v/>
      </c>
      <c r="X251" s="80">
        <f>IF($I251&gt;0,MAX(0,$G251*SIN(RADIANS('13_시나리오비교'!$B$13))*SIN(RADIANS('13_시나리오비교'!$C$13))+$H251*SIN(RADIANS('13_시나리오비교'!$B$13))*COS(RADIANS('13_시나리오비교'!$C$13))+$I251*COS(RADIANS('13_시나리오비교'!$B$13))),0)</f>
        <v/>
      </c>
      <c r="Y251" s="80">
        <f>IF($I251&gt;0,MAX(0,$G251*SIN(RADIANS('13_시나리오비교'!$B$14))*SIN(RADIANS('13_시나리오비교'!$C$14))+$H251*SIN(RADIANS('13_시나리오비교'!$B$14))*COS(RADIANS('13_시나리오비교'!$C$14))+$I251*COS(RADIANS('13_시나리오비교'!$B$14))),0)</f>
        <v/>
      </c>
    </row>
    <row r="252" hidden="1" outlineLevel="1">
      <c r="A252" s="79" t="n">
        <v>3</v>
      </c>
      <c r="B252" s="79" t="n">
        <v>40</v>
      </c>
      <c r="C252" s="80">
        <f>(B252-0.5)*'14_지역·상수'!$H$6</f>
        <v/>
      </c>
      <c r="D252" s="79" t="n">
        <v>75</v>
      </c>
      <c r="E252" s="80">
        <f>INDEX($C$4:$C$15,MATCH(A252,$A$4:$A$15,0))</f>
        <v/>
      </c>
      <c r="F252" s="80">
        <f>15*(C252-12)</f>
        <v/>
      </c>
      <c r="G252" s="80">
        <f>-COS(RADIANS(E252))*SIN(RADIANS(F252))</f>
        <v/>
      </c>
      <c r="H252" s="80">
        <f>COS(RADIANS('11_발전량_모델'!$B$17))*SIN(RADIANS(E252))-SIN(RADIANS('11_발전량_모델'!$B$17))*COS(RADIANS(E252))*COS(RADIANS(F252))</f>
        <v/>
      </c>
      <c r="I252" s="80">
        <f>SIN(RADIANS('11_발전량_모델'!$B$17))*SIN(RADIANS(E252))+COS(RADIANS('11_발전량_모델'!$B$17))*COS(RADIANS(E252))*COS(RADIANS(F252))</f>
        <v/>
      </c>
      <c r="J252" s="80">
        <f>SIN(RADIANS('11_발전량_모델'!$B$7))*SIN(RADIANS('11_발전량_모델'!$B$8))</f>
        <v/>
      </c>
      <c r="K252" s="80">
        <f>SIN(RADIANS('11_발전량_모델'!$B$7))*COS(RADIANS('11_발전량_모델'!$B$8))</f>
        <v/>
      </c>
      <c r="L252" s="80">
        <f>COS(RADIANS('11_발전량_모델'!$B$7))</f>
        <v/>
      </c>
      <c r="M252" s="80">
        <f>G252*J252+H252*K252+I252*L252</f>
        <v/>
      </c>
      <c r="N252" s="80">
        <f>MAX(0,I252)</f>
        <v/>
      </c>
      <c r="O252" s="80">
        <f>IF(I252&gt;0,MAX(0,M252),0)</f>
        <v/>
      </c>
      <c r="P252" s="80">
        <f>IF($I252&gt;0,MAX(0,$G252*SIN(RADIANS('13_시나리오비교'!$B$5))*SIN(RADIANS('13_시나리오비교'!$C$5))+$H252*SIN(RADIANS('13_시나리오비교'!$B$5))*COS(RADIANS('13_시나리오비교'!$C$5))+$I252*COS(RADIANS('13_시나리오비교'!$B$5))),0)</f>
        <v/>
      </c>
      <c r="Q252" s="80">
        <f>IF($I252&gt;0,MAX(0,$G252*SIN(RADIANS('13_시나리오비교'!$B$6))*SIN(RADIANS('13_시나리오비교'!$C$6))+$H252*SIN(RADIANS('13_시나리오비교'!$B$6))*COS(RADIANS('13_시나리오비교'!$C$6))+$I252*COS(RADIANS('13_시나리오비교'!$B$6))),0)</f>
        <v/>
      </c>
      <c r="R252" s="80">
        <f>IF($I252&gt;0,MAX(0,$G252*SIN(RADIANS('13_시나리오비교'!$B$7))*SIN(RADIANS('13_시나리오비교'!$C$7))+$H252*SIN(RADIANS('13_시나리오비교'!$B$7))*COS(RADIANS('13_시나리오비교'!$C$7))+$I252*COS(RADIANS('13_시나리오비교'!$B$7))),0)</f>
        <v/>
      </c>
      <c r="S252" s="80">
        <f>IF($I252&gt;0,MAX(0,$G252*SIN(RADIANS('13_시나리오비교'!$B$8))*SIN(RADIANS('13_시나리오비교'!$C$8))+$H252*SIN(RADIANS('13_시나리오비교'!$B$8))*COS(RADIANS('13_시나리오비교'!$C$8))+$I252*COS(RADIANS('13_시나리오비교'!$B$8))),0)</f>
        <v/>
      </c>
      <c r="T252" s="80">
        <f>IF($I252&gt;0,MAX(0,$G252*SIN(RADIANS('13_시나리오비교'!$B$9))*SIN(RADIANS('13_시나리오비교'!$C$9))+$H252*SIN(RADIANS('13_시나리오비교'!$B$9))*COS(RADIANS('13_시나리오비교'!$C$9))+$I252*COS(RADIANS('13_시나리오비교'!$B$9))),0)</f>
        <v/>
      </c>
      <c r="U252" s="80">
        <f>IF($I252&gt;0,MAX(0,$G252*SIN(RADIANS('13_시나리오비교'!$B$10))*SIN(RADIANS('13_시나리오비교'!$C$10))+$H252*SIN(RADIANS('13_시나리오비교'!$B$10))*COS(RADIANS('13_시나리오비교'!$C$10))+$I252*COS(RADIANS('13_시나리오비교'!$B$10))),0)</f>
        <v/>
      </c>
      <c r="V252" s="80">
        <f>IF($I252&gt;0,MAX(0,$G252*SIN(RADIANS('13_시나리오비교'!$B$11))*SIN(RADIANS('13_시나리오비교'!$C$11))+$H252*SIN(RADIANS('13_시나리오비교'!$B$11))*COS(RADIANS('13_시나리오비교'!$C$11))+$I252*COS(RADIANS('13_시나리오비교'!$B$11))),0)</f>
        <v/>
      </c>
      <c r="W252" s="80">
        <f>IF($I252&gt;0,MAX(0,$G252*SIN(RADIANS('13_시나리오비교'!$B$12))*SIN(RADIANS('13_시나리오비교'!$C$12))+$H252*SIN(RADIANS('13_시나리오비교'!$B$12))*COS(RADIANS('13_시나리오비교'!$C$12))+$I252*COS(RADIANS('13_시나리오비교'!$B$12))),0)</f>
        <v/>
      </c>
      <c r="X252" s="80">
        <f>IF($I252&gt;0,MAX(0,$G252*SIN(RADIANS('13_시나리오비교'!$B$13))*SIN(RADIANS('13_시나리오비교'!$C$13))+$H252*SIN(RADIANS('13_시나리오비교'!$B$13))*COS(RADIANS('13_시나리오비교'!$C$13))+$I252*COS(RADIANS('13_시나리오비교'!$B$13))),0)</f>
        <v/>
      </c>
      <c r="Y252" s="80">
        <f>IF($I252&gt;0,MAX(0,$G252*SIN(RADIANS('13_시나리오비교'!$B$14))*SIN(RADIANS('13_시나리오비교'!$C$14))+$H252*SIN(RADIANS('13_시나리오비교'!$B$14))*COS(RADIANS('13_시나리오비교'!$C$14))+$I252*COS(RADIANS('13_시나리오비교'!$B$14))),0)</f>
        <v/>
      </c>
    </row>
    <row r="253" hidden="1" outlineLevel="1">
      <c r="A253" s="79" t="n">
        <v>3</v>
      </c>
      <c r="B253" s="79" t="n">
        <v>41</v>
      </c>
      <c r="C253" s="80">
        <f>(B253-0.5)*'14_지역·상수'!$H$6</f>
        <v/>
      </c>
      <c r="D253" s="79" t="n">
        <v>75</v>
      </c>
      <c r="E253" s="80">
        <f>INDEX($C$4:$C$15,MATCH(A253,$A$4:$A$15,0))</f>
        <v/>
      </c>
      <c r="F253" s="80">
        <f>15*(C253-12)</f>
        <v/>
      </c>
      <c r="G253" s="80">
        <f>-COS(RADIANS(E253))*SIN(RADIANS(F253))</f>
        <v/>
      </c>
      <c r="H253" s="80">
        <f>COS(RADIANS('11_발전량_모델'!$B$17))*SIN(RADIANS(E253))-SIN(RADIANS('11_발전량_모델'!$B$17))*COS(RADIANS(E253))*COS(RADIANS(F253))</f>
        <v/>
      </c>
      <c r="I253" s="80">
        <f>SIN(RADIANS('11_발전량_모델'!$B$17))*SIN(RADIANS(E253))+COS(RADIANS('11_발전량_모델'!$B$17))*COS(RADIANS(E253))*COS(RADIANS(F253))</f>
        <v/>
      </c>
      <c r="J253" s="80">
        <f>SIN(RADIANS('11_발전량_모델'!$B$7))*SIN(RADIANS('11_발전량_모델'!$B$8))</f>
        <v/>
      </c>
      <c r="K253" s="80">
        <f>SIN(RADIANS('11_발전량_모델'!$B$7))*COS(RADIANS('11_발전량_모델'!$B$8))</f>
        <v/>
      </c>
      <c r="L253" s="80">
        <f>COS(RADIANS('11_발전량_모델'!$B$7))</f>
        <v/>
      </c>
      <c r="M253" s="80">
        <f>G253*J253+H253*K253+I253*L253</f>
        <v/>
      </c>
      <c r="N253" s="80">
        <f>MAX(0,I253)</f>
        <v/>
      </c>
      <c r="O253" s="80">
        <f>IF(I253&gt;0,MAX(0,M253),0)</f>
        <v/>
      </c>
      <c r="P253" s="80">
        <f>IF($I253&gt;0,MAX(0,$G253*SIN(RADIANS('13_시나리오비교'!$B$5))*SIN(RADIANS('13_시나리오비교'!$C$5))+$H253*SIN(RADIANS('13_시나리오비교'!$B$5))*COS(RADIANS('13_시나리오비교'!$C$5))+$I253*COS(RADIANS('13_시나리오비교'!$B$5))),0)</f>
        <v/>
      </c>
      <c r="Q253" s="80">
        <f>IF($I253&gt;0,MAX(0,$G253*SIN(RADIANS('13_시나리오비교'!$B$6))*SIN(RADIANS('13_시나리오비교'!$C$6))+$H253*SIN(RADIANS('13_시나리오비교'!$B$6))*COS(RADIANS('13_시나리오비교'!$C$6))+$I253*COS(RADIANS('13_시나리오비교'!$B$6))),0)</f>
        <v/>
      </c>
      <c r="R253" s="80">
        <f>IF($I253&gt;0,MAX(0,$G253*SIN(RADIANS('13_시나리오비교'!$B$7))*SIN(RADIANS('13_시나리오비교'!$C$7))+$H253*SIN(RADIANS('13_시나리오비교'!$B$7))*COS(RADIANS('13_시나리오비교'!$C$7))+$I253*COS(RADIANS('13_시나리오비교'!$B$7))),0)</f>
        <v/>
      </c>
      <c r="S253" s="80">
        <f>IF($I253&gt;0,MAX(0,$G253*SIN(RADIANS('13_시나리오비교'!$B$8))*SIN(RADIANS('13_시나리오비교'!$C$8))+$H253*SIN(RADIANS('13_시나리오비교'!$B$8))*COS(RADIANS('13_시나리오비교'!$C$8))+$I253*COS(RADIANS('13_시나리오비교'!$B$8))),0)</f>
        <v/>
      </c>
      <c r="T253" s="80">
        <f>IF($I253&gt;0,MAX(0,$G253*SIN(RADIANS('13_시나리오비교'!$B$9))*SIN(RADIANS('13_시나리오비교'!$C$9))+$H253*SIN(RADIANS('13_시나리오비교'!$B$9))*COS(RADIANS('13_시나리오비교'!$C$9))+$I253*COS(RADIANS('13_시나리오비교'!$B$9))),0)</f>
        <v/>
      </c>
      <c r="U253" s="80">
        <f>IF($I253&gt;0,MAX(0,$G253*SIN(RADIANS('13_시나리오비교'!$B$10))*SIN(RADIANS('13_시나리오비교'!$C$10))+$H253*SIN(RADIANS('13_시나리오비교'!$B$10))*COS(RADIANS('13_시나리오비교'!$C$10))+$I253*COS(RADIANS('13_시나리오비교'!$B$10))),0)</f>
        <v/>
      </c>
      <c r="V253" s="80">
        <f>IF($I253&gt;0,MAX(0,$G253*SIN(RADIANS('13_시나리오비교'!$B$11))*SIN(RADIANS('13_시나리오비교'!$C$11))+$H253*SIN(RADIANS('13_시나리오비교'!$B$11))*COS(RADIANS('13_시나리오비교'!$C$11))+$I253*COS(RADIANS('13_시나리오비교'!$B$11))),0)</f>
        <v/>
      </c>
      <c r="W253" s="80">
        <f>IF($I253&gt;0,MAX(0,$G253*SIN(RADIANS('13_시나리오비교'!$B$12))*SIN(RADIANS('13_시나리오비교'!$C$12))+$H253*SIN(RADIANS('13_시나리오비교'!$B$12))*COS(RADIANS('13_시나리오비교'!$C$12))+$I253*COS(RADIANS('13_시나리오비교'!$B$12))),0)</f>
        <v/>
      </c>
      <c r="X253" s="80">
        <f>IF($I253&gt;0,MAX(0,$G253*SIN(RADIANS('13_시나리오비교'!$B$13))*SIN(RADIANS('13_시나리오비교'!$C$13))+$H253*SIN(RADIANS('13_시나리오비교'!$B$13))*COS(RADIANS('13_시나리오비교'!$C$13))+$I253*COS(RADIANS('13_시나리오비교'!$B$13))),0)</f>
        <v/>
      </c>
      <c r="Y253" s="80">
        <f>IF($I253&gt;0,MAX(0,$G253*SIN(RADIANS('13_시나리오비교'!$B$14))*SIN(RADIANS('13_시나리오비교'!$C$14))+$H253*SIN(RADIANS('13_시나리오비교'!$B$14))*COS(RADIANS('13_시나리오비교'!$C$14))+$I253*COS(RADIANS('13_시나리오비교'!$B$14))),0)</f>
        <v/>
      </c>
    </row>
    <row r="254" hidden="1" outlineLevel="1">
      <c r="A254" s="79" t="n">
        <v>3</v>
      </c>
      <c r="B254" s="79" t="n">
        <v>42</v>
      </c>
      <c r="C254" s="80">
        <f>(B254-0.5)*'14_지역·상수'!$H$6</f>
        <v/>
      </c>
      <c r="D254" s="79" t="n">
        <v>75</v>
      </c>
      <c r="E254" s="80">
        <f>INDEX($C$4:$C$15,MATCH(A254,$A$4:$A$15,0))</f>
        <v/>
      </c>
      <c r="F254" s="80">
        <f>15*(C254-12)</f>
        <v/>
      </c>
      <c r="G254" s="80">
        <f>-COS(RADIANS(E254))*SIN(RADIANS(F254))</f>
        <v/>
      </c>
      <c r="H254" s="80">
        <f>COS(RADIANS('11_발전량_모델'!$B$17))*SIN(RADIANS(E254))-SIN(RADIANS('11_발전량_모델'!$B$17))*COS(RADIANS(E254))*COS(RADIANS(F254))</f>
        <v/>
      </c>
      <c r="I254" s="80">
        <f>SIN(RADIANS('11_발전량_모델'!$B$17))*SIN(RADIANS(E254))+COS(RADIANS('11_발전량_모델'!$B$17))*COS(RADIANS(E254))*COS(RADIANS(F254))</f>
        <v/>
      </c>
      <c r="J254" s="80">
        <f>SIN(RADIANS('11_발전량_모델'!$B$7))*SIN(RADIANS('11_발전량_모델'!$B$8))</f>
        <v/>
      </c>
      <c r="K254" s="80">
        <f>SIN(RADIANS('11_발전량_모델'!$B$7))*COS(RADIANS('11_발전량_모델'!$B$8))</f>
        <v/>
      </c>
      <c r="L254" s="80">
        <f>COS(RADIANS('11_발전량_모델'!$B$7))</f>
        <v/>
      </c>
      <c r="M254" s="80">
        <f>G254*J254+H254*K254+I254*L254</f>
        <v/>
      </c>
      <c r="N254" s="80">
        <f>MAX(0,I254)</f>
        <v/>
      </c>
      <c r="O254" s="80">
        <f>IF(I254&gt;0,MAX(0,M254),0)</f>
        <v/>
      </c>
      <c r="P254" s="80">
        <f>IF($I254&gt;0,MAX(0,$G254*SIN(RADIANS('13_시나리오비교'!$B$5))*SIN(RADIANS('13_시나리오비교'!$C$5))+$H254*SIN(RADIANS('13_시나리오비교'!$B$5))*COS(RADIANS('13_시나리오비교'!$C$5))+$I254*COS(RADIANS('13_시나리오비교'!$B$5))),0)</f>
        <v/>
      </c>
      <c r="Q254" s="80">
        <f>IF($I254&gt;0,MAX(0,$G254*SIN(RADIANS('13_시나리오비교'!$B$6))*SIN(RADIANS('13_시나리오비교'!$C$6))+$H254*SIN(RADIANS('13_시나리오비교'!$B$6))*COS(RADIANS('13_시나리오비교'!$C$6))+$I254*COS(RADIANS('13_시나리오비교'!$B$6))),0)</f>
        <v/>
      </c>
      <c r="R254" s="80">
        <f>IF($I254&gt;0,MAX(0,$G254*SIN(RADIANS('13_시나리오비교'!$B$7))*SIN(RADIANS('13_시나리오비교'!$C$7))+$H254*SIN(RADIANS('13_시나리오비교'!$B$7))*COS(RADIANS('13_시나리오비교'!$C$7))+$I254*COS(RADIANS('13_시나리오비교'!$B$7))),0)</f>
        <v/>
      </c>
      <c r="S254" s="80">
        <f>IF($I254&gt;0,MAX(0,$G254*SIN(RADIANS('13_시나리오비교'!$B$8))*SIN(RADIANS('13_시나리오비교'!$C$8))+$H254*SIN(RADIANS('13_시나리오비교'!$B$8))*COS(RADIANS('13_시나리오비교'!$C$8))+$I254*COS(RADIANS('13_시나리오비교'!$B$8))),0)</f>
        <v/>
      </c>
      <c r="T254" s="80">
        <f>IF($I254&gt;0,MAX(0,$G254*SIN(RADIANS('13_시나리오비교'!$B$9))*SIN(RADIANS('13_시나리오비교'!$C$9))+$H254*SIN(RADIANS('13_시나리오비교'!$B$9))*COS(RADIANS('13_시나리오비교'!$C$9))+$I254*COS(RADIANS('13_시나리오비교'!$B$9))),0)</f>
        <v/>
      </c>
      <c r="U254" s="80">
        <f>IF($I254&gt;0,MAX(0,$G254*SIN(RADIANS('13_시나리오비교'!$B$10))*SIN(RADIANS('13_시나리오비교'!$C$10))+$H254*SIN(RADIANS('13_시나리오비교'!$B$10))*COS(RADIANS('13_시나리오비교'!$C$10))+$I254*COS(RADIANS('13_시나리오비교'!$B$10))),0)</f>
        <v/>
      </c>
      <c r="V254" s="80">
        <f>IF($I254&gt;0,MAX(0,$G254*SIN(RADIANS('13_시나리오비교'!$B$11))*SIN(RADIANS('13_시나리오비교'!$C$11))+$H254*SIN(RADIANS('13_시나리오비교'!$B$11))*COS(RADIANS('13_시나리오비교'!$C$11))+$I254*COS(RADIANS('13_시나리오비교'!$B$11))),0)</f>
        <v/>
      </c>
      <c r="W254" s="80">
        <f>IF($I254&gt;0,MAX(0,$G254*SIN(RADIANS('13_시나리오비교'!$B$12))*SIN(RADIANS('13_시나리오비교'!$C$12))+$H254*SIN(RADIANS('13_시나리오비교'!$B$12))*COS(RADIANS('13_시나리오비교'!$C$12))+$I254*COS(RADIANS('13_시나리오비교'!$B$12))),0)</f>
        <v/>
      </c>
      <c r="X254" s="80">
        <f>IF($I254&gt;0,MAX(0,$G254*SIN(RADIANS('13_시나리오비교'!$B$13))*SIN(RADIANS('13_시나리오비교'!$C$13))+$H254*SIN(RADIANS('13_시나리오비교'!$B$13))*COS(RADIANS('13_시나리오비교'!$C$13))+$I254*COS(RADIANS('13_시나리오비교'!$B$13))),0)</f>
        <v/>
      </c>
      <c r="Y254" s="80">
        <f>IF($I254&gt;0,MAX(0,$G254*SIN(RADIANS('13_시나리오비교'!$B$14))*SIN(RADIANS('13_시나리오비교'!$C$14))+$H254*SIN(RADIANS('13_시나리오비교'!$B$14))*COS(RADIANS('13_시나리오비교'!$C$14))+$I254*COS(RADIANS('13_시나리오비교'!$B$14))),0)</f>
        <v/>
      </c>
    </row>
    <row r="255" hidden="1" outlineLevel="1">
      <c r="A255" s="79" t="n">
        <v>3</v>
      </c>
      <c r="B255" s="79" t="n">
        <v>43</v>
      </c>
      <c r="C255" s="80">
        <f>(B255-0.5)*'14_지역·상수'!$H$6</f>
        <v/>
      </c>
      <c r="D255" s="79" t="n">
        <v>75</v>
      </c>
      <c r="E255" s="80">
        <f>INDEX($C$4:$C$15,MATCH(A255,$A$4:$A$15,0))</f>
        <v/>
      </c>
      <c r="F255" s="80">
        <f>15*(C255-12)</f>
        <v/>
      </c>
      <c r="G255" s="80">
        <f>-COS(RADIANS(E255))*SIN(RADIANS(F255))</f>
        <v/>
      </c>
      <c r="H255" s="80">
        <f>COS(RADIANS('11_발전량_모델'!$B$17))*SIN(RADIANS(E255))-SIN(RADIANS('11_발전량_모델'!$B$17))*COS(RADIANS(E255))*COS(RADIANS(F255))</f>
        <v/>
      </c>
      <c r="I255" s="80">
        <f>SIN(RADIANS('11_발전량_모델'!$B$17))*SIN(RADIANS(E255))+COS(RADIANS('11_발전량_모델'!$B$17))*COS(RADIANS(E255))*COS(RADIANS(F255))</f>
        <v/>
      </c>
      <c r="J255" s="80">
        <f>SIN(RADIANS('11_발전량_모델'!$B$7))*SIN(RADIANS('11_발전량_모델'!$B$8))</f>
        <v/>
      </c>
      <c r="K255" s="80">
        <f>SIN(RADIANS('11_발전량_모델'!$B$7))*COS(RADIANS('11_발전량_모델'!$B$8))</f>
        <v/>
      </c>
      <c r="L255" s="80">
        <f>COS(RADIANS('11_발전량_모델'!$B$7))</f>
        <v/>
      </c>
      <c r="M255" s="80">
        <f>G255*J255+H255*K255+I255*L255</f>
        <v/>
      </c>
      <c r="N255" s="80">
        <f>MAX(0,I255)</f>
        <v/>
      </c>
      <c r="O255" s="80">
        <f>IF(I255&gt;0,MAX(0,M255),0)</f>
        <v/>
      </c>
      <c r="P255" s="80">
        <f>IF($I255&gt;0,MAX(0,$G255*SIN(RADIANS('13_시나리오비교'!$B$5))*SIN(RADIANS('13_시나리오비교'!$C$5))+$H255*SIN(RADIANS('13_시나리오비교'!$B$5))*COS(RADIANS('13_시나리오비교'!$C$5))+$I255*COS(RADIANS('13_시나리오비교'!$B$5))),0)</f>
        <v/>
      </c>
      <c r="Q255" s="80">
        <f>IF($I255&gt;0,MAX(0,$G255*SIN(RADIANS('13_시나리오비교'!$B$6))*SIN(RADIANS('13_시나리오비교'!$C$6))+$H255*SIN(RADIANS('13_시나리오비교'!$B$6))*COS(RADIANS('13_시나리오비교'!$C$6))+$I255*COS(RADIANS('13_시나리오비교'!$B$6))),0)</f>
        <v/>
      </c>
      <c r="R255" s="80">
        <f>IF($I255&gt;0,MAX(0,$G255*SIN(RADIANS('13_시나리오비교'!$B$7))*SIN(RADIANS('13_시나리오비교'!$C$7))+$H255*SIN(RADIANS('13_시나리오비교'!$B$7))*COS(RADIANS('13_시나리오비교'!$C$7))+$I255*COS(RADIANS('13_시나리오비교'!$B$7))),0)</f>
        <v/>
      </c>
      <c r="S255" s="80">
        <f>IF($I255&gt;0,MAX(0,$G255*SIN(RADIANS('13_시나리오비교'!$B$8))*SIN(RADIANS('13_시나리오비교'!$C$8))+$H255*SIN(RADIANS('13_시나리오비교'!$B$8))*COS(RADIANS('13_시나리오비교'!$C$8))+$I255*COS(RADIANS('13_시나리오비교'!$B$8))),0)</f>
        <v/>
      </c>
      <c r="T255" s="80">
        <f>IF($I255&gt;0,MAX(0,$G255*SIN(RADIANS('13_시나리오비교'!$B$9))*SIN(RADIANS('13_시나리오비교'!$C$9))+$H255*SIN(RADIANS('13_시나리오비교'!$B$9))*COS(RADIANS('13_시나리오비교'!$C$9))+$I255*COS(RADIANS('13_시나리오비교'!$B$9))),0)</f>
        <v/>
      </c>
      <c r="U255" s="80">
        <f>IF($I255&gt;0,MAX(0,$G255*SIN(RADIANS('13_시나리오비교'!$B$10))*SIN(RADIANS('13_시나리오비교'!$C$10))+$H255*SIN(RADIANS('13_시나리오비교'!$B$10))*COS(RADIANS('13_시나리오비교'!$C$10))+$I255*COS(RADIANS('13_시나리오비교'!$B$10))),0)</f>
        <v/>
      </c>
      <c r="V255" s="80">
        <f>IF($I255&gt;0,MAX(0,$G255*SIN(RADIANS('13_시나리오비교'!$B$11))*SIN(RADIANS('13_시나리오비교'!$C$11))+$H255*SIN(RADIANS('13_시나리오비교'!$B$11))*COS(RADIANS('13_시나리오비교'!$C$11))+$I255*COS(RADIANS('13_시나리오비교'!$B$11))),0)</f>
        <v/>
      </c>
      <c r="W255" s="80">
        <f>IF($I255&gt;0,MAX(0,$G255*SIN(RADIANS('13_시나리오비교'!$B$12))*SIN(RADIANS('13_시나리오비교'!$C$12))+$H255*SIN(RADIANS('13_시나리오비교'!$B$12))*COS(RADIANS('13_시나리오비교'!$C$12))+$I255*COS(RADIANS('13_시나리오비교'!$B$12))),0)</f>
        <v/>
      </c>
      <c r="X255" s="80">
        <f>IF($I255&gt;0,MAX(0,$G255*SIN(RADIANS('13_시나리오비교'!$B$13))*SIN(RADIANS('13_시나리오비교'!$C$13))+$H255*SIN(RADIANS('13_시나리오비교'!$B$13))*COS(RADIANS('13_시나리오비교'!$C$13))+$I255*COS(RADIANS('13_시나리오비교'!$B$13))),0)</f>
        <v/>
      </c>
      <c r="Y255" s="80">
        <f>IF($I255&gt;0,MAX(0,$G255*SIN(RADIANS('13_시나리오비교'!$B$14))*SIN(RADIANS('13_시나리오비교'!$C$14))+$H255*SIN(RADIANS('13_시나리오비교'!$B$14))*COS(RADIANS('13_시나리오비교'!$C$14))+$I255*COS(RADIANS('13_시나리오비교'!$B$14))),0)</f>
        <v/>
      </c>
    </row>
    <row r="256" hidden="1" outlineLevel="1">
      <c r="A256" s="79" t="n">
        <v>3</v>
      </c>
      <c r="B256" s="79" t="n">
        <v>44</v>
      </c>
      <c r="C256" s="80">
        <f>(B256-0.5)*'14_지역·상수'!$H$6</f>
        <v/>
      </c>
      <c r="D256" s="79" t="n">
        <v>75</v>
      </c>
      <c r="E256" s="80">
        <f>INDEX($C$4:$C$15,MATCH(A256,$A$4:$A$15,0))</f>
        <v/>
      </c>
      <c r="F256" s="80">
        <f>15*(C256-12)</f>
        <v/>
      </c>
      <c r="G256" s="80">
        <f>-COS(RADIANS(E256))*SIN(RADIANS(F256))</f>
        <v/>
      </c>
      <c r="H256" s="80">
        <f>COS(RADIANS('11_발전량_모델'!$B$17))*SIN(RADIANS(E256))-SIN(RADIANS('11_발전량_모델'!$B$17))*COS(RADIANS(E256))*COS(RADIANS(F256))</f>
        <v/>
      </c>
      <c r="I256" s="80">
        <f>SIN(RADIANS('11_발전량_모델'!$B$17))*SIN(RADIANS(E256))+COS(RADIANS('11_발전량_모델'!$B$17))*COS(RADIANS(E256))*COS(RADIANS(F256))</f>
        <v/>
      </c>
      <c r="J256" s="80">
        <f>SIN(RADIANS('11_발전량_모델'!$B$7))*SIN(RADIANS('11_발전량_모델'!$B$8))</f>
        <v/>
      </c>
      <c r="K256" s="80">
        <f>SIN(RADIANS('11_발전량_모델'!$B$7))*COS(RADIANS('11_발전량_모델'!$B$8))</f>
        <v/>
      </c>
      <c r="L256" s="80">
        <f>COS(RADIANS('11_발전량_모델'!$B$7))</f>
        <v/>
      </c>
      <c r="M256" s="80">
        <f>G256*J256+H256*K256+I256*L256</f>
        <v/>
      </c>
      <c r="N256" s="80">
        <f>MAX(0,I256)</f>
        <v/>
      </c>
      <c r="O256" s="80">
        <f>IF(I256&gt;0,MAX(0,M256),0)</f>
        <v/>
      </c>
      <c r="P256" s="80">
        <f>IF($I256&gt;0,MAX(0,$G256*SIN(RADIANS('13_시나리오비교'!$B$5))*SIN(RADIANS('13_시나리오비교'!$C$5))+$H256*SIN(RADIANS('13_시나리오비교'!$B$5))*COS(RADIANS('13_시나리오비교'!$C$5))+$I256*COS(RADIANS('13_시나리오비교'!$B$5))),0)</f>
        <v/>
      </c>
      <c r="Q256" s="80">
        <f>IF($I256&gt;0,MAX(0,$G256*SIN(RADIANS('13_시나리오비교'!$B$6))*SIN(RADIANS('13_시나리오비교'!$C$6))+$H256*SIN(RADIANS('13_시나리오비교'!$B$6))*COS(RADIANS('13_시나리오비교'!$C$6))+$I256*COS(RADIANS('13_시나리오비교'!$B$6))),0)</f>
        <v/>
      </c>
      <c r="R256" s="80">
        <f>IF($I256&gt;0,MAX(0,$G256*SIN(RADIANS('13_시나리오비교'!$B$7))*SIN(RADIANS('13_시나리오비교'!$C$7))+$H256*SIN(RADIANS('13_시나리오비교'!$B$7))*COS(RADIANS('13_시나리오비교'!$C$7))+$I256*COS(RADIANS('13_시나리오비교'!$B$7))),0)</f>
        <v/>
      </c>
      <c r="S256" s="80">
        <f>IF($I256&gt;0,MAX(0,$G256*SIN(RADIANS('13_시나리오비교'!$B$8))*SIN(RADIANS('13_시나리오비교'!$C$8))+$H256*SIN(RADIANS('13_시나리오비교'!$B$8))*COS(RADIANS('13_시나리오비교'!$C$8))+$I256*COS(RADIANS('13_시나리오비교'!$B$8))),0)</f>
        <v/>
      </c>
      <c r="T256" s="80">
        <f>IF($I256&gt;0,MAX(0,$G256*SIN(RADIANS('13_시나리오비교'!$B$9))*SIN(RADIANS('13_시나리오비교'!$C$9))+$H256*SIN(RADIANS('13_시나리오비교'!$B$9))*COS(RADIANS('13_시나리오비교'!$C$9))+$I256*COS(RADIANS('13_시나리오비교'!$B$9))),0)</f>
        <v/>
      </c>
      <c r="U256" s="80">
        <f>IF($I256&gt;0,MAX(0,$G256*SIN(RADIANS('13_시나리오비교'!$B$10))*SIN(RADIANS('13_시나리오비교'!$C$10))+$H256*SIN(RADIANS('13_시나리오비교'!$B$10))*COS(RADIANS('13_시나리오비교'!$C$10))+$I256*COS(RADIANS('13_시나리오비교'!$B$10))),0)</f>
        <v/>
      </c>
      <c r="V256" s="80">
        <f>IF($I256&gt;0,MAX(0,$G256*SIN(RADIANS('13_시나리오비교'!$B$11))*SIN(RADIANS('13_시나리오비교'!$C$11))+$H256*SIN(RADIANS('13_시나리오비교'!$B$11))*COS(RADIANS('13_시나리오비교'!$C$11))+$I256*COS(RADIANS('13_시나리오비교'!$B$11))),0)</f>
        <v/>
      </c>
      <c r="W256" s="80">
        <f>IF($I256&gt;0,MAX(0,$G256*SIN(RADIANS('13_시나리오비교'!$B$12))*SIN(RADIANS('13_시나리오비교'!$C$12))+$H256*SIN(RADIANS('13_시나리오비교'!$B$12))*COS(RADIANS('13_시나리오비교'!$C$12))+$I256*COS(RADIANS('13_시나리오비교'!$B$12))),0)</f>
        <v/>
      </c>
      <c r="X256" s="80">
        <f>IF($I256&gt;0,MAX(0,$G256*SIN(RADIANS('13_시나리오비교'!$B$13))*SIN(RADIANS('13_시나리오비교'!$C$13))+$H256*SIN(RADIANS('13_시나리오비교'!$B$13))*COS(RADIANS('13_시나리오비교'!$C$13))+$I256*COS(RADIANS('13_시나리오비교'!$B$13))),0)</f>
        <v/>
      </c>
      <c r="Y256" s="80">
        <f>IF($I256&gt;0,MAX(0,$G256*SIN(RADIANS('13_시나리오비교'!$B$14))*SIN(RADIANS('13_시나리오비교'!$C$14))+$H256*SIN(RADIANS('13_시나리오비교'!$B$14))*COS(RADIANS('13_시나리오비교'!$C$14))+$I256*COS(RADIANS('13_시나리오비교'!$B$14))),0)</f>
        <v/>
      </c>
    </row>
    <row r="257" hidden="1" outlineLevel="1">
      <c r="A257" s="79" t="n">
        <v>3</v>
      </c>
      <c r="B257" s="79" t="n">
        <v>45</v>
      </c>
      <c r="C257" s="80">
        <f>(B257-0.5)*'14_지역·상수'!$H$6</f>
        <v/>
      </c>
      <c r="D257" s="79" t="n">
        <v>75</v>
      </c>
      <c r="E257" s="80">
        <f>INDEX($C$4:$C$15,MATCH(A257,$A$4:$A$15,0))</f>
        <v/>
      </c>
      <c r="F257" s="80">
        <f>15*(C257-12)</f>
        <v/>
      </c>
      <c r="G257" s="80">
        <f>-COS(RADIANS(E257))*SIN(RADIANS(F257))</f>
        <v/>
      </c>
      <c r="H257" s="80">
        <f>COS(RADIANS('11_발전량_모델'!$B$17))*SIN(RADIANS(E257))-SIN(RADIANS('11_발전량_모델'!$B$17))*COS(RADIANS(E257))*COS(RADIANS(F257))</f>
        <v/>
      </c>
      <c r="I257" s="80">
        <f>SIN(RADIANS('11_발전량_모델'!$B$17))*SIN(RADIANS(E257))+COS(RADIANS('11_발전량_모델'!$B$17))*COS(RADIANS(E257))*COS(RADIANS(F257))</f>
        <v/>
      </c>
      <c r="J257" s="80">
        <f>SIN(RADIANS('11_발전량_모델'!$B$7))*SIN(RADIANS('11_발전량_모델'!$B$8))</f>
        <v/>
      </c>
      <c r="K257" s="80">
        <f>SIN(RADIANS('11_발전량_모델'!$B$7))*COS(RADIANS('11_발전량_모델'!$B$8))</f>
        <v/>
      </c>
      <c r="L257" s="80">
        <f>COS(RADIANS('11_발전량_모델'!$B$7))</f>
        <v/>
      </c>
      <c r="M257" s="80">
        <f>G257*J257+H257*K257+I257*L257</f>
        <v/>
      </c>
      <c r="N257" s="80">
        <f>MAX(0,I257)</f>
        <v/>
      </c>
      <c r="O257" s="80">
        <f>IF(I257&gt;0,MAX(0,M257),0)</f>
        <v/>
      </c>
      <c r="P257" s="80">
        <f>IF($I257&gt;0,MAX(0,$G257*SIN(RADIANS('13_시나리오비교'!$B$5))*SIN(RADIANS('13_시나리오비교'!$C$5))+$H257*SIN(RADIANS('13_시나리오비교'!$B$5))*COS(RADIANS('13_시나리오비교'!$C$5))+$I257*COS(RADIANS('13_시나리오비교'!$B$5))),0)</f>
        <v/>
      </c>
      <c r="Q257" s="80">
        <f>IF($I257&gt;0,MAX(0,$G257*SIN(RADIANS('13_시나리오비교'!$B$6))*SIN(RADIANS('13_시나리오비교'!$C$6))+$H257*SIN(RADIANS('13_시나리오비교'!$B$6))*COS(RADIANS('13_시나리오비교'!$C$6))+$I257*COS(RADIANS('13_시나리오비교'!$B$6))),0)</f>
        <v/>
      </c>
      <c r="R257" s="80">
        <f>IF($I257&gt;0,MAX(0,$G257*SIN(RADIANS('13_시나리오비교'!$B$7))*SIN(RADIANS('13_시나리오비교'!$C$7))+$H257*SIN(RADIANS('13_시나리오비교'!$B$7))*COS(RADIANS('13_시나리오비교'!$C$7))+$I257*COS(RADIANS('13_시나리오비교'!$B$7))),0)</f>
        <v/>
      </c>
      <c r="S257" s="80">
        <f>IF($I257&gt;0,MAX(0,$G257*SIN(RADIANS('13_시나리오비교'!$B$8))*SIN(RADIANS('13_시나리오비교'!$C$8))+$H257*SIN(RADIANS('13_시나리오비교'!$B$8))*COS(RADIANS('13_시나리오비교'!$C$8))+$I257*COS(RADIANS('13_시나리오비교'!$B$8))),0)</f>
        <v/>
      </c>
      <c r="T257" s="80">
        <f>IF($I257&gt;0,MAX(0,$G257*SIN(RADIANS('13_시나리오비교'!$B$9))*SIN(RADIANS('13_시나리오비교'!$C$9))+$H257*SIN(RADIANS('13_시나리오비교'!$B$9))*COS(RADIANS('13_시나리오비교'!$C$9))+$I257*COS(RADIANS('13_시나리오비교'!$B$9))),0)</f>
        <v/>
      </c>
      <c r="U257" s="80">
        <f>IF($I257&gt;0,MAX(0,$G257*SIN(RADIANS('13_시나리오비교'!$B$10))*SIN(RADIANS('13_시나리오비교'!$C$10))+$H257*SIN(RADIANS('13_시나리오비교'!$B$10))*COS(RADIANS('13_시나리오비교'!$C$10))+$I257*COS(RADIANS('13_시나리오비교'!$B$10))),0)</f>
        <v/>
      </c>
      <c r="V257" s="80">
        <f>IF($I257&gt;0,MAX(0,$G257*SIN(RADIANS('13_시나리오비교'!$B$11))*SIN(RADIANS('13_시나리오비교'!$C$11))+$H257*SIN(RADIANS('13_시나리오비교'!$B$11))*COS(RADIANS('13_시나리오비교'!$C$11))+$I257*COS(RADIANS('13_시나리오비교'!$B$11))),0)</f>
        <v/>
      </c>
      <c r="W257" s="80">
        <f>IF($I257&gt;0,MAX(0,$G257*SIN(RADIANS('13_시나리오비교'!$B$12))*SIN(RADIANS('13_시나리오비교'!$C$12))+$H257*SIN(RADIANS('13_시나리오비교'!$B$12))*COS(RADIANS('13_시나리오비교'!$C$12))+$I257*COS(RADIANS('13_시나리오비교'!$B$12))),0)</f>
        <v/>
      </c>
      <c r="X257" s="80">
        <f>IF($I257&gt;0,MAX(0,$G257*SIN(RADIANS('13_시나리오비교'!$B$13))*SIN(RADIANS('13_시나리오비교'!$C$13))+$H257*SIN(RADIANS('13_시나리오비교'!$B$13))*COS(RADIANS('13_시나리오비교'!$C$13))+$I257*COS(RADIANS('13_시나리오비교'!$B$13))),0)</f>
        <v/>
      </c>
      <c r="Y257" s="80">
        <f>IF($I257&gt;0,MAX(0,$G257*SIN(RADIANS('13_시나리오비교'!$B$14))*SIN(RADIANS('13_시나리오비교'!$C$14))+$H257*SIN(RADIANS('13_시나리오비교'!$B$14))*COS(RADIANS('13_시나리오비교'!$C$14))+$I257*COS(RADIANS('13_시나리오비교'!$B$14))),0)</f>
        <v/>
      </c>
    </row>
    <row r="258" hidden="1" outlineLevel="1">
      <c r="A258" s="79" t="n">
        <v>3</v>
      </c>
      <c r="B258" s="79" t="n">
        <v>46</v>
      </c>
      <c r="C258" s="80">
        <f>(B258-0.5)*'14_지역·상수'!$H$6</f>
        <v/>
      </c>
      <c r="D258" s="79" t="n">
        <v>75</v>
      </c>
      <c r="E258" s="80">
        <f>INDEX($C$4:$C$15,MATCH(A258,$A$4:$A$15,0))</f>
        <v/>
      </c>
      <c r="F258" s="80">
        <f>15*(C258-12)</f>
        <v/>
      </c>
      <c r="G258" s="80">
        <f>-COS(RADIANS(E258))*SIN(RADIANS(F258))</f>
        <v/>
      </c>
      <c r="H258" s="80">
        <f>COS(RADIANS('11_발전량_모델'!$B$17))*SIN(RADIANS(E258))-SIN(RADIANS('11_발전량_모델'!$B$17))*COS(RADIANS(E258))*COS(RADIANS(F258))</f>
        <v/>
      </c>
      <c r="I258" s="80">
        <f>SIN(RADIANS('11_발전량_모델'!$B$17))*SIN(RADIANS(E258))+COS(RADIANS('11_발전량_모델'!$B$17))*COS(RADIANS(E258))*COS(RADIANS(F258))</f>
        <v/>
      </c>
      <c r="J258" s="80">
        <f>SIN(RADIANS('11_발전량_모델'!$B$7))*SIN(RADIANS('11_발전량_모델'!$B$8))</f>
        <v/>
      </c>
      <c r="K258" s="80">
        <f>SIN(RADIANS('11_발전량_모델'!$B$7))*COS(RADIANS('11_발전량_모델'!$B$8))</f>
        <v/>
      </c>
      <c r="L258" s="80">
        <f>COS(RADIANS('11_발전량_모델'!$B$7))</f>
        <v/>
      </c>
      <c r="M258" s="80">
        <f>G258*J258+H258*K258+I258*L258</f>
        <v/>
      </c>
      <c r="N258" s="80">
        <f>MAX(0,I258)</f>
        <v/>
      </c>
      <c r="O258" s="80">
        <f>IF(I258&gt;0,MAX(0,M258),0)</f>
        <v/>
      </c>
      <c r="P258" s="80">
        <f>IF($I258&gt;0,MAX(0,$G258*SIN(RADIANS('13_시나리오비교'!$B$5))*SIN(RADIANS('13_시나리오비교'!$C$5))+$H258*SIN(RADIANS('13_시나리오비교'!$B$5))*COS(RADIANS('13_시나리오비교'!$C$5))+$I258*COS(RADIANS('13_시나리오비교'!$B$5))),0)</f>
        <v/>
      </c>
      <c r="Q258" s="80">
        <f>IF($I258&gt;0,MAX(0,$G258*SIN(RADIANS('13_시나리오비교'!$B$6))*SIN(RADIANS('13_시나리오비교'!$C$6))+$H258*SIN(RADIANS('13_시나리오비교'!$B$6))*COS(RADIANS('13_시나리오비교'!$C$6))+$I258*COS(RADIANS('13_시나리오비교'!$B$6))),0)</f>
        <v/>
      </c>
      <c r="R258" s="80">
        <f>IF($I258&gt;0,MAX(0,$G258*SIN(RADIANS('13_시나리오비교'!$B$7))*SIN(RADIANS('13_시나리오비교'!$C$7))+$H258*SIN(RADIANS('13_시나리오비교'!$B$7))*COS(RADIANS('13_시나리오비교'!$C$7))+$I258*COS(RADIANS('13_시나리오비교'!$B$7))),0)</f>
        <v/>
      </c>
      <c r="S258" s="80">
        <f>IF($I258&gt;0,MAX(0,$G258*SIN(RADIANS('13_시나리오비교'!$B$8))*SIN(RADIANS('13_시나리오비교'!$C$8))+$H258*SIN(RADIANS('13_시나리오비교'!$B$8))*COS(RADIANS('13_시나리오비교'!$C$8))+$I258*COS(RADIANS('13_시나리오비교'!$B$8))),0)</f>
        <v/>
      </c>
      <c r="T258" s="80">
        <f>IF($I258&gt;0,MAX(0,$G258*SIN(RADIANS('13_시나리오비교'!$B$9))*SIN(RADIANS('13_시나리오비교'!$C$9))+$H258*SIN(RADIANS('13_시나리오비교'!$B$9))*COS(RADIANS('13_시나리오비교'!$C$9))+$I258*COS(RADIANS('13_시나리오비교'!$B$9))),0)</f>
        <v/>
      </c>
      <c r="U258" s="80">
        <f>IF($I258&gt;0,MAX(0,$G258*SIN(RADIANS('13_시나리오비교'!$B$10))*SIN(RADIANS('13_시나리오비교'!$C$10))+$H258*SIN(RADIANS('13_시나리오비교'!$B$10))*COS(RADIANS('13_시나리오비교'!$C$10))+$I258*COS(RADIANS('13_시나리오비교'!$B$10))),0)</f>
        <v/>
      </c>
      <c r="V258" s="80">
        <f>IF($I258&gt;0,MAX(0,$G258*SIN(RADIANS('13_시나리오비교'!$B$11))*SIN(RADIANS('13_시나리오비교'!$C$11))+$H258*SIN(RADIANS('13_시나리오비교'!$B$11))*COS(RADIANS('13_시나리오비교'!$C$11))+$I258*COS(RADIANS('13_시나리오비교'!$B$11))),0)</f>
        <v/>
      </c>
      <c r="W258" s="80">
        <f>IF($I258&gt;0,MAX(0,$G258*SIN(RADIANS('13_시나리오비교'!$B$12))*SIN(RADIANS('13_시나리오비교'!$C$12))+$H258*SIN(RADIANS('13_시나리오비교'!$B$12))*COS(RADIANS('13_시나리오비교'!$C$12))+$I258*COS(RADIANS('13_시나리오비교'!$B$12))),0)</f>
        <v/>
      </c>
      <c r="X258" s="80">
        <f>IF($I258&gt;0,MAX(0,$G258*SIN(RADIANS('13_시나리오비교'!$B$13))*SIN(RADIANS('13_시나리오비교'!$C$13))+$H258*SIN(RADIANS('13_시나리오비교'!$B$13))*COS(RADIANS('13_시나리오비교'!$C$13))+$I258*COS(RADIANS('13_시나리오비교'!$B$13))),0)</f>
        <v/>
      </c>
      <c r="Y258" s="80">
        <f>IF($I258&gt;0,MAX(0,$G258*SIN(RADIANS('13_시나리오비교'!$B$14))*SIN(RADIANS('13_시나리오비교'!$C$14))+$H258*SIN(RADIANS('13_시나리오비교'!$B$14))*COS(RADIANS('13_시나리오비교'!$C$14))+$I258*COS(RADIANS('13_시나리오비교'!$B$14))),0)</f>
        <v/>
      </c>
    </row>
    <row r="259" hidden="1" outlineLevel="1">
      <c r="A259" s="79" t="n">
        <v>3</v>
      </c>
      <c r="B259" s="79" t="n">
        <v>47</v>
      </c>
      <c r="C259" s="80">
        <f>(B259-0.5)*'14_지역·상수'!$H$6</f>
        <v/>
      </c>
      <c r="D259" s="79" t="n">
        <v>75</v>
      </c>
      <c r="E259" s="80">
        <f>INDEX($C$4:$C$15,MATCH(A259,$A$4:$A$15,0))</f>
        <v/>
      </c>
      <c r="F259" s="80">
        <f>15*(C259-12)</f>
        <v/>
      </c>
      <c r="G259" s="80">
        <f>-COS(RADIANS(E259))*SIN(RADIANS(F259))</f>
        <v/>
      </c>
      <c r="H259" s="80">
        <f>COS(RADIANS('11_발전량_모델'!$B$17))*SIN(RADIANS(E259))-SIN(RADIANS('11_발전량_모델'!$B$17))*COS(RADIANS(E259))*COS(RADIANS(F259))</f>
        <v/>
      </c>
      <c r="I259" s="80">
        <f>SIN(RADIANS('11_발전량_모델'!$B$17))*SIN(RADIANS(E259))+COS(RADIANS('11_발전량_모델'!$B$17))*COS(RADIANS(E259))*COS(RADIANS(F259))</f>
        <v/>
      </c>
      <c r="J259" s="80">
        <f>SIN(RADIANS('11_발전량_모델'!$B$7))*SIN(RADIANS('11_발전량_모델'!$B$8))</f>
        <v/>
      </c>
      <c r="K259" s="80">
        <f>SIN(RADIANS('11_발전량_모델'!$B$7))*COS(RADIANS('11_발전량_모델'!$B$8))</f>
        <v/>
      </c>
      <c r="L259" s="80">
        <f>COS(RADIANS('11_발전량_모델'!$B$7))</f>
        <v/>
      </c>
      <c r="M259" s="80">
        <f>G259*J259+H259*K259+I259*L259</f>
        <v/>
      </c>
      <c r="N259" s="80">
        <f>MAX(0,I259)</f>
        <v/>
      </c>
      <c r="O259" s="80">
        <f>IF(I259&gt;0,MAX(0,M259),0)</f>
        <v/>
      </c>
      <c r="P259" s="80">
        <f>IF($I259&gt;0,MAX(0,$G259*SIN(RADIANS('13_시나리오비교'!$B$5))*SIN(RADIANS('13_시나리오비교'!$C$5))+$H259*SIN(RADIANS('13_시나리오비교'!$B$5))*COS(RADIANS('13_시나리오비교'!$C$5))+$I259*COS(RADIANS('13_시나리오비교'!$B$5))),0)</f>
        <v/>
      </c>
      <c r="Q259" s="80">
        <f>IF($I259&gt;0,MAX(0,$G259*SIN(RADIANS('13_시나리오비교'!$B$6))*SIN(RADIANS('13_시나리오비교'!$C$6))+$H259*SIN(RADIANS('13_시나리오비교'!$B$6))*COS(RADIANS('13_시나리오비교'!$C$6))+$I259*COS(RADIANS('13_시나리오비교'!$B$6))),0)</f>
        <v/>
      </c>
      <c r="R259" s="80">
        <f>IF($I259&gt;0,MAX(0,$G259*SIN(RADIANS('13_시나리오비교'!$B$7))*SIN(RADIANS('13_시나리오비교'!$C$7))+$H259*SIN(RADIANS('13_시나리오비교'!$B$7))*COS(RADIANS('13_시나리오비교'!$C$7))+$I259*COS(RADIANS('13_시나리오비교'!$B$7))),0)</f>
        <v/>
      </c>
      <c r="S259" s="80">
        <f>IF($I259&gt;0,MAX(0,$G259*SIN(RADIANS('13_시나리오비교'!$B$8))*SIN(RADIANS('13_시나리오비교'!$C$8))+$H259*SIN(RADIANS('13_시나리오비교'!$B$8))*COS(RADIANS('13_시나리오비교'!$C$8))+$I259*COS(RADIANS('13_시나리오비교'!$B$8))),0)</f>
        <v/>
      </c>
      <c r="T259" s="80">
        <f>IF($I259&gt;0,MAX(0,$G259*SIN(RADIANS('13_시나리오비교'!$B$9))*SIN(RADIANS('13_시나리오비교'!$C$9))+$H259*SIN(RADIANS('13_시나리오비교'!$B$9))*COS(RADIANS('13_시나리오비교'!$C$9))+$I259*COS(RADIANS('13_시나리오비교'!$B$9))),0)</f>
        <v/>
      </c>
      <c r="U259" s="80">
        <f>IF($I259&gt;0,MAX(0,$G259*SIN(RADIANS('13_시나리오비교'!$B$10))*SIN(RADIANS('13_시나리오비교'!$C$10))+$H259*SIN(RADIANS('13_시나리오비교'!$B$10))*COS(RADIANS('13_시나리오비교'!$C$10))+$I259*COS(RADIANS('13_시나리오비교'!$B$10))),0)</f>
        <v/>
      </c>
      <c r="V259" s="80">
        <f>IF($I259&gt;0,MAX(0,$G259*SIN(RADIANS('13_시나리오비교'!$B$11))*SIN(RADIANS('13_시나리오비교'!$C$11))+$H259*SIN(RADIANS('13_시나리오비교'!$B$11))*COS(RADIANS('13_시나리오비교'!$C$11))+$I259*COS(RADIANS('13_시나리오비교'!$B$11))),0)</f>
        <v/>
      </c>
      <c r="W259" s="80">
        <f>IF($I259&gt;0,MAX(0,$G259*SIN(RADIANS('13_시나리오비교'!$B$12))*SIN(RADIANS('13_시나리오비교'!$C$12))+$H259*SIN(RADIANS('13_시나리오비교'!$B$12))*COS(RADIANS('13_시나리오비교'!$C$12))+$I259*COS(RADIANS('13_시나리오비교'!$B$12))),0)</f>
        <v/>
      </c>
      <c r="X259" s="80">
        <f>IF($I259&gt;0,MAX(0,$G259*SIN(RADIANS('13_시나리오비교'!$B$13))*SIN(RADIANS('13_시나리오비교'!$C$13))+$H259*SIN(RADIANS('13_시나리오비교'!$B$13))*COS(RADIANS('13_시나리오비교'!$C$13))+$I259*COS(RADIANS('13_시나리오비교'!$B$13))),0)</f>
        <v/>
      </c>
      <c r="Y259" s="80">
        <f>IF($I259&gt;0,MAX(0,$G259*SIN(RADIANS('13_시나리오비교'!$B$14))*SIN(RADIANS('13_시나리오비교'!$C$14))+$H259*SIN(RADIANS('13_시나리오비교'!$B$14))*COS(RADIANS('13_시나리오비교'!$C$14))+$I259*COS(RADIANS('13_시나리오비교'!$B$14))),0)</f>
        <v/>
      </c>
    </row>
    <row r="260" hidden="1" outlineLevel="1">
      <c r="A260" s="79" t="n">
        <v>3</v>
      </c>
      <c r="B260" s="79" t="n">
        <v>48</v>
      </c>
      <c r="C260" s="80">
        <f>(B260-0.5)*'14_지역·상수'!$H$6</f>
        <v/>
      </c>
      <c r="D260" s="79" t="n">
        <v>75</v>
      </c>
      <c r="E260" s="80">
        <f>INDEX($C$4:$C$15,MATCH(A260,$A$4:$A$15,0))</f>
        <v/>
      </c>
      <c r="F260" s="80">
        <f>15*(C260-12)</f>
        <v/>
      </c>
      <c r="G260" s="80">
        <f>-COS(RADIANS(E260))*SIN(RADIANS(F260))</f>
        <v/>
      </c>
      <c r="H260" s="80">
        <f>COS(RADIANS('11_발전량_모델'!$B$17))*SIN(RADIANS(E260))-SIN(RADIANS('11_발전량_모델'!$B$17))*COS(RADIANS(E260))*COS(RADIANS(F260))</f>
        <v/>
      </c>
      <c r="I260" s="80">
        <f>SIN(RADIANS('11_발전량_모델'!$B$17))*SIN(RADIANS(E260))+COS(RADIANS('11_발전량_모델'!$B$17))*COS(RADIANS(E260))*COS(RADIANS(F260))</f>
        <v/>
      </c>
      <c r="J260" s="80">
        <f>SIN(RADIANS('11_발전량_모델'!$B$7))*SIN(RADIANS('11_발전량_모델'!$B$8))</f>
        <v/>
      </c>
      <c r="K260" s="80">
        <f>SIN(RADIANS('11_발전량_모델'!$B$7))*COS(RADIANS('11_발전량_모델'!$B$8))</f>
        <v/>
      </c>
      <c r="L260" s="80">
        <f>COS(RADIANS('11_발전량_모델'!$B$7))</f>
        <v/>
      </c>
      <c r="M260" s="80">
        <f>G260*J260+H260*K260+I260*L260</f>
        <v/>
      </c>
      <c r="N260" s="80">
        <f>MAX(0,I260)</f>
        <v/>
      </c>
      <c r="O260" s="80">
        <f>IF(I260&gt;0,MAX(0,M260),0)</f>
        <v/>
      </c>
      <c r="P260" s="80">
        <f>IF($I260&gt;0,MAX(0,$G260*SIN(RADIANS('13_시나리오비교'!$B$5))*SIN(RADIANS('13_시나리오비교'!$C$5))+$H260*SIN(RADIANS('13_시나리오비교'!$B$5))*COS(RADIANS('13_시나리오비교'!$C$5))+$I260*COS(RADIANS('13_시나리오비교'!$B$5))),0)</f>
        <v/>
      </c>
      <c r="Q260" s="80">
        <f>IF($I260&gt;0,MAX(0,$G260*SIN(RADIANS('13_시나리오비교'!$B$6))*SIN(RADIANS('13_시나리오비교'!$C$6))+$H260*SIN(RADIANS('13_시나리오비교'!$B$6))*COS(RADIANS('13_시나리오비교'!$C$6))+$I260*COS(RADIANS('13_시나리오비교'!$B$6))),0)</f>
        <v/>
      </c>
      <c r="R260" s="80">
        <f>IF($I260&gt;0,MAX(0,$G260*SIN(RADIANS('13_시나리오비교'!$B$7))*SIN(RADIANS('13_시나리오비교'!$C$7))+$H260*SIN(RADIANS('13_시나리오비교'!$B$7))*COS(RADIANS('13_시나리오비교'!$C$7))+$I260*COS(RADIANS('13_시나리오비교'!$B$7))),0)</f>
        <v/>
      </c>
      <c r="S260" s="80">
        <f>IF($I260&gt;0,MAX(0,$G260*SIN(RADIANS('13_시나리오비교'!$B$8))*SIN(RADIANS('13_시나리오비교'!$C$8))+$H260*SIN(RADIANS('13_시나리오비교'!$B$8))*COS(RADIANS('13_시나리오비교'!$C$8))+$I260*COS(RADIANS('13_시나리오비교'!$B$8))),0)</f>
        <v/>
      </c>
      <c r="T260" s="80">
        <f>IF($I260&gt;0,MAX(0,$G260*SIN(RADIANS('13_시나리오비교'!$B$9))*SIN(RADIANS('13_시나리오비교'!$C$9))+$H260*SIN(RADIANS('13_시나리오비교'!$B$9))*COS(RADIANS('13_시나리오비교'!$C$9))+$I260*COS(RADIANS('13_시나리오비교'!$B$9))),0)</f>
        <v/>
      </c>
      <c r="U260" s="80">
        <f>IF($I260&gt;0,MAX(0,$G260*SIN(RADIANS('13_시나리오비교'!$B$10))*SIN(RADIANS('13_시나리오비교'!$C$10))+$H260*SIN(RADIANS('13_시나리오비교'!$B$10))*COS(RADIANS('13_시나리오비교'!$C$10))+$I260*COS(RADIANS('13_시나리오비교'!$B$10))),0)</f>
        <v/>
      </c>
      <c r="V260" s="80">
        <f>IF($I260&gt;0,MAX(0,$G260*SIN(RADIANS('13_시나리오비교'!$B$11))*SIN(RADIANS('13_시나리오비교'!$C$11))+$H260*SIN(RADIANS('13_시나리오비교'!$B$11))*COS(RADIANS('13_시나리오비교'!$C$11))+$I260*COS(RADIANS('13_시나리오비교'!$B$11))),0)</f>
        <v/>
      </c>
      <c r="W260" s="80">
        <f>IF($I260&gt;0,MAX(0,$G260*SIN(RADIANS('13_시나리오비교'!$B$12))*SIN(RADIANS('13_시나리오비교'!$C$12))+$H260*SIN(RADIANS('13_시나리오비교'!$B$12))*COS(RADIANS('13_시나리오비교'!$C$12))+$I260*COS(RADIANS('13_시나리오비교'!$B$12))),0)</f>
        <v/>
      </c>
      <c r="X260" s="80">
        <f>IF($I260&gt;0,MAX(0,$G260*SIN(RADIANS('13_시나리오비교'!$B$13))*SIN(RADIANS('13_시나리오비교'!$C$13))+$H260*SIN(RADIANS('13_시나리오비교'!$B$13))*COS(RADIANS('13_시나리오비교'!$C$13))+$I260*COS(RADIANS('13_시나리오비교'!$B$13))),0)</f>
        <v/>
      </c>
      <c r="Y260" s="80">
        <f>IF($I260&gt;0,MAX(0,$G260*SIN(RADIANS('13_시나리오비교'!$B$14))*SIN(RADIANS('13_시나리오비교'!$C$14))+$H260*SIN(RADIANS('13_시나리오비교'!$B$14))*COS(RADIANS('13_시나리오비교'!$C$14))+$I260*COS(RADIANS('13_시나리오비교'!$B$14))),0)</f>
        <v/>
      </c>
    </row>
    <row r="261" hidden="1" outlineLevel="1">
      <c r="A261" s="79" t="n">
        <v>3</v>
      </c>
      <c r="B261" s="79" t="n">
        <v>49</v>
      </c>
      <c r="C261" s="80">
        <f>(B261-0.5)*'14_지역·상수'!$H$6</f>
        <v/>
      </c>
      <c r="D261" s="79" t="n">
        <v>75</v>
      </c>
      <c r="E261" s="80">
        <f>INDEX($C$4:$C$15,MATCH(A261,$A$4:$A$15,0))</f>
        <v/>
      </c>
      <c r="F261" s="80">
        <f>15*(C261-12)</f>
        <v/>
      </c>
      <c r="G261" s="80">
        <f>-COS(RADIANS(E261))*SIN(RADIANS(F261))</f>
        <v/>
      </c>
      <c r="H261" s="80">
        <f>COS(RADIANS('11_발전량_모델'!$B$17))*SIN(RADIANS(E261))-SIN(RADIANS('11_발전량_모델'!$B$17))*COS(RADIANS(E261))*COS(RADIANS(F261))</f>
        <v/>
      </c>
      <c r="I261" s="80">
        <f>SIN(RADIANS('11_발전량_모델'!$B$17))*SIN(RADIANS(E261))+COS(RADIANS('11_발전량_모델'!$B$17))*COS(RADIANS(E261))*COS(RADIANS(F261))</f>
        <v/>
      </c>
      <c r="J261" s="80">
        <f>SIN(RADIANS('11_발전량_모델'!$B$7))*SIN(RADIANS('11_발전량_모델'!$B$8))</f>
        <v/>
      </c>
      <c r="K261" s="80">
        <f>SIN(RADIANS('11_발전량_모델'!$B$7))*COS(RADIANS('11_발전량_모델'!$B$8))</f>
        <v/>
      </c>
      <c r="L261" s="80">
        <f>COS(RADIANS('11_발전량_모델'!$B$7))</f>
        <v/>
      </c>
      <c r="M261" s="80">
        <f>G261*J261+H261*K261+I261*L261</f>
        <v/>
      </c>
      <c r="N261" s="80">
        <f>MAX(0,I261)</f>
        <v/>
      </c>
      <c r="O261" s="80">
        <f>IF(I261&gt;0,MAX(0,M261),0)</f>
        <v/>
      </c>
      <c r="P261" s="80">
        <f>IF($I261&gt;0,MAX(0,$G261*SIN(RADIANS('13_시나리오비교'!$B$5))*SIN(RADIANS('13_시나리오비교'!$C$5))+$H261*SIN(RADIANS('13_시나리오비교'!$B$5))*COS(RADIANS('13_시나리오비교'!$C$5))+$I261*COS(RADIANS('13_시나리오비교'!$B$5))),0)</f>
        <v/>
      </c>
      <c r="Q261" s="80">
        <f>IF($I261&gt;0,MAX(0,$G261*SIN(RADIANS('13_시나리오비교'!$B$6))*SIN(RADIANS('13_시나리오비교'!$C$6))+$H261*SIN(RADIANS('13_시나리오비교'!$B$6))*COS(RADIANS('13_시나리오비교'!$C$6))+$I261*COS(RADIANS('13_시나리오비교'!$B$6))),0)</f>
        <v/>
      </c>
      <c r="R261" s="80">
        <f>IF($I261&gt;0,MAX(0,$G261*SIN(RADIANS('13_시나리오비교'!$B$7))*SIN(RADIANS('13_시나리오비교'!$C$7))+$H261*SIN(RADIANS('13_시나리오비교'!$B$7))*COS(RADIANS('13_시나리오비교'!$C$7))+$I261*COS(RADIANS('13_시나리오비교'!$B$7))),0)</f>
        <v/>
      </c>
      <c r="S261" s="80">
        <f>IF($I261&gt;0,MAX(0,$G261*SIN(RADIANS('13_시나리오비교'!$B$8))*SIN(RADIANS('13_시나리오비교'!$C$8))+$H261*SIN(RADIANS('13_시나리오비교'!$B$8))*COS(RADIANS('13_시나리오비교'!$C$8))+$I261*COS(RADIANS('13_시나리오비교'!$B$8))),0)</f>
        <v/>
      </c>
      <c r="T261" s="80">
        <f>IF($I261&gt;0,MAX(0,$G261*SIN(RADIANS('13_시나리오비교'!$B$9))*SIN(RADIANS('13_시나리오비교'!$C$9))+$H261*SIN(RADIANS('13_시나리오비교'!$B$9))*COS(RADIANS('13_시나리오비교'!$C$9))+$I261*COS(RADIANS('13_시나리오비교'!$B$9))),0)</f>
        <v/>
      </c>
      <c r="U261" s="80">
        <f>IF($I261&gt;0,MAX(0,$G261*SIN(RADIANS('13_시나리오비교'!$B$10))*SIN(RADIANS('13_시나리오비교'!$C$10))+$H261*SIN(RADIANS('13_시나리오비교'!$B$10))*COS(RADIANS('13_시나리오비교'!$C$10))+$I261*COS(RADIANS('13_시나리오비교'!$B$10))),0)</f>
        <v/>
      </c>
      <c r="V261" s="80">
        <f>IF($I261&gt;0,MAX(0,$G261*SIN(RADIANS('13_시나리오비교'!$B$11))*SIN(RADIANS('13_시나리오비교'!$C$11))+$H261*SIN(RADIANS('13_시나리오비교'!$B$11))*COS(RADIANS('13_시나리오비교'!$C$11))+$I261*COS(RADIANS('13_시나리오비교'!$B$11))),0)</f>
        <v/>
      </c>
      <c r="W261" s="80">
        <f>IF($I261&gt;0,MAX(0,$G261*SIN(RADIANS('13_시나리오비교'!$B$12))*SIN(RADIANS('13_시나리오비교'!$C$12))+$H261*SIN(RADIANS('13_시나리오비교'!$B$12))*COS(RADIANS('13_시나리오비교'!$C$12))+$I261*COS(RADIANS('13_시나리오비교'!$B$12))),0)</f>
        <v/>
      </c>
      <c r="X261" s="80">
        <f>IF($I261&gt;0,MAX(0,$G261*SIN(RADIANS('13_시나리오비교'!$B$13))*SIN(RADIANS('13_시나리오비교'!$C$13))+$H261*SIN(RADIANS('13_시나리오비교'!$B$13))*COS(RADIANS('13_시나리오비교'!$C$13))+$I261*COS(RADIANS('13_시나리오비교'!$B$13))),0)</f>
        <v/>
      </c>
      <c r="Y261" s="80">
        <f>IF($I261&gt;0,MAX(0,$G261*SIN(RADIANS('13_시나리오비교'!$B$14))*SIN(RADIANS('13_시나리오비교'!$C$14))+$H261*SIN(RADIANS('13_시나리오비교'!$B$14))*COS(RADIANS('13_시나리오비교'!$C$14))+$I261*COS(RADIANS('13_시나리오비교'!$B$14))),0)</f>
        <v/>
      </c>
    </row>
    <row r="262" hidden="1" outlineLevel="1">
      <c r="A262" s="79" t="n">
        <v>3</v>
      </c>
      <c r="B262" s="79" t="n">
        <v>50</v>
      </c>
      <c r="C262" s="80">
        <f>(B262-0.5)*'14_지역·상수'!$H$6</f>
        <v/>
      </c>
      <c r="D262" s="79" t="n">
        <v>75</v>
      </c>
      <c r="E262" s="80">
        <f>INDEX($C$4:$C$15,MATCH(A262,$A$4:$A$15,0))</f>
        <v/>
      </c>
      <c r="F262" s="80">
        <f>15*(C262-12)</f>
        <v/>
      </c>
      <c r="G262" s="80">
        <f>-COS(RADIANS(E262))*SIN(RADIANS(F262))</f>
        <v/>
      </c>
      <c r="H262" s="80">
        <f>COS(RADIANS('11_발전량_모델'!$B$17))*SIN(RADIANS(E262))-SIN(RADIANS('11_발전량_모델'!$B$17))*COS(RADIANS(E262))*COS(RADIANS(F262))</f>
        <v/>
      </c>
      <c r="I262" s="80">
        <f>SIN(RADIANS('11_발전량_모델'!$B$17))*SIN(RADIANS(E262))+COS(RADIANS('11_발전량_모델'!$B$17))*COS(RADIANS(E262))*COS(RADIANS(F262))</f>
        <v/>
      </c>
      <c r="J262" s="80">
        <f>SIN(RADIANS('11_발전량_모델'!$B$7))*SIN(RADIANS('11_발전량_모델'!$B$8))</f>
        <v/>
      </c>
      <c r="K262" s="80">
        <f>SIN(RADIANS('11_발전량_모델'!$B$7))*COS(RADIANS('11_발전량_모델'!$B$8))</f>
        <v/>
      </c>
      <c r="L262" s="80">
        <f>COS(RADIANS('11_발전량_모델'!$B$7))</f>
        <v/>
      </c>
      <c r="M262" s="80">
        <f>G262*J262+H262*K262+I262*L262</f>
        <v/>
      </c>
      <c r="N262" s="80">
        <f>MAX(0,I262)</f>
        <v/>
      </c>
      <c r="O262" s="80">
        <f>IF(I262&gt;0,MAX(0,M262),0)</f>
        <v/>
      </c>
      <c r="P262" s="80">
        <f>IF($I262&gt;0,MAX(0,$G262*SIN(RADIANS('13_시나리오비교'!$B$5))*SIN(RADIANS('13_시나리오비교'!$C$5))+$H262*SIN(RADIANS('13_시나리오비교'!$B$5))*COS(RADIANS('13_시나리오비교'!$C$5))+$I262*COS(RADIANS('13_시나리오비교'!$B$5))),0)</f>
        <v/>
      </c>
      <c r="Q262" s="80">
        <f>IF($I262&gt;0,MAX(0,$G262*SIN(RADIANS('13_시나리오비교'!$B$6))*SIN(RADIANS('13_시나리오비교'!$C$6))+$H262*SIN(RADIANS('13_시나리오비교'!$B$6))*COS(RADIANS('13_시나리오비교'!$C$6))+$I262*COS(RADIANS('13_시나리오비교'!$B$6))),0)</f>
        <v/>
      </c>
      <c r="R262" s="80">
        <f>IF($I262&gt;0,MAX(0,$G262*SIN(RADIANS('13_시나리오비교'!$B$7))*SIN(RADIANS('13_시나리오비교'!$C$7))+$H262*SIN(RADIANS('13_시나리오비교'!$B$7))*COS(RADIANS('13_시나리오비교'!$C$7))+$I262*COS(RADIANS('13_시나리오비교'!$B$7))),0)</f>
        <v/>
      </c>
      <c r="S262" s="80">
        <f>IF($I262&gt;0,MAX(0,$G262*SIN(RADIANS('13_시나리오비교'!$B$8))*SIN(RADIANS('13_시나리오비교'!$C$8))+$H262*SIN(RADIANS('13_시나리오비교'!$B$8))*COS(RADIANS('13_시나리오비교'!$C$8))+$I262*COS(RADIANS('13_시나리오비교'!$B$8))),0)</f>
        <v/>
      </c>
      <c r="T262" s="80">
        <f>IF($I262&gt;0,MAX(0,$G262*SIN(RADIANS('13_시나리오비교'!$B$9))*SIN(RADIANS('13_시나리오비교'!$C$9))+$H262*SIN(RADIANS('13_시나리오비교'!$B$9))*COS(RADIANS('13_시나리오비교'!$C$9))+$I262*COS(RADIANS('13_시나리오비교'!$B$9))),0)</f>
        <v/>
      </c>
      <c r="U262" s="80">
        <f>IF($I262&gt;0,MAX(0,$G262*SIN(RADIANS('13_시나리오비교'!$B$10))*SIN(RADIANS('13_시나리오비교'!$C$10))+$H262*SIN(RADIANS('13_시나리오비교'!$B$10))*COS(RADIANS('13_시나리오비교'!$C$10))+$I262*COS(RADIANS('13_시나리오비교'!$B$10))),0)</f>
        <v/>
      </c>
      <c r="V262" s="80">
        <f>IF($I262&gt;0,MAX(0,$G262*SIN(RADIANS('13_시나리오비교'!$B$11))*SIN(RADIANS('13_시나리오비교'!$C$11))+$H262*SIN(RADIANS('13_시나리오비교'!$B$11))*COS(RADIANS('13_시나리오비교'!$C$11))+$I262*COS(RADIANS('13_시나리오비교'!$B$11))),0)</f>
        <v/>
      </c>
      <c r="W262" s="80">
        <f>IF($I262&gt;0,MAX(0,$G262*SIN(RADIANS('13_시나리오비교'!$B$12))*SIN(RADIANS('13_시나리오비교'!$C$12))+$H262*SIN(RADIANS('13_시나리오비교'!$B$12))*COS(RADIANS('13_시나리오비교'!$C$12))+$I262*COS(RADIANS('13_시나리오비교'!$B$12))),0)</f>
        <v/>
      </c>
      <c r="X262" s="80">
        <f>IF($I262&gt;0,MAX(0,$G262*SIN(RADIANS('13_시나리오비교'!$B$13))*SIN(RADIANS('13_시나리오비교'!$C$13))+$H262*SIN(RADIANS('13_시나리오비교'!$B$13))*COS(RADIANS('13_시나리오비교'!$C$13))+$I262*COS(RADIANS('13_시나리오비교'!$B$13))),0)</f>
        <v/>
      </c>
      <c r="Y262" s="80">
        <f>IF($I262&gt;0,MAX(0,$G262*SIN(RADIANS('13_시나리오비교'!$B$14))*SIN(RADIANS('13_시나리오비교'!$C$14))+$H262*SIN(RADIANS('13_시나리오비교'!$B$14))*COS(RADIANS('13_시나리오비교'!$C$14))+$I262*COS(RADIANS('13_시나리오비교'!$B$14))),0)</f>
        <v/>
      </c>
    </row>
    <row r="263" hidden="1" outlineLevel="1">
      <c r="A263" s="79" t="n">
        <v>3</v>
      </c>
      <c r="B263" s="79" t="n">
        <v>51</v>
      </c>
      <c r="C263" s="80">
        <f>(B263-0.5)*'14_지역·상수'!$H$6</f>
        <v/>
      </c>
      <c r="D263" s="79" t="n">
        <v>75</v>
      </c>
      <c r="E263" s="80">
        <f>INDEX($C$4:$C$15,MATCH(A263,$A$4:$A$15,0))</f>
        <v/>
      </c>
      <c r="F263" s="80">
        <f>15*(C263-12)</f>
        <v/>
      </c>
      <c r="G263" s="80">
        <f>-COS(RADIANS(E263))*SIN(RADIANS(F263))</f>
        <v/>
      </c>
      <c r="H263" s="80">
        <f>COS(RADIANS('11_발전량_모델'!$B$17))*SIN(RADIANS(E263))-SIN(RADIANS('11_발전량_모델'!$B$17))*COS(RADIANS(E263))*COS(RADIANS(F263))</f>
        <v/>
      </c>
      <c r="I263" s="80">
        <f>SIN(RADIANS('11_발전량_모델'!$B$17))*SIN(RADIANS(E263))+COS(RADIANS('11_발전량_모델'!$B$17))*COS(RADIANS(E263))*COS(RADIANS(F263))</f>
        <v/>
      </c>
      <c r="J263" s="80">
        <f>SIN(RADIANS('11_발전량_모델'!$B$7))*SIN(RADIANS('11_발전량_모델'!$B$8))</f>
        <v/>
      </c>
      <c r="K263" s="80">
        <f>SIN(RADIANS('11_발전량_모델'!$B$7))*COS(RADIANS('11_발전량_모델'!$B$8))</f>
        <v/>
      </c>
      <c r="L263" s="80">
        <f>COS(RADIANS('11_발전량_모델'!$B$7))</f>
        <v/>
      </c>
      <c r="M263" s="80">
        <f>G263*J263+H263*K263+I263*L263</f>
        <v/>
      </c>
      <c r="N263" s="80">
        <f>MAX(0,I263)</f>
        <v/>
      </c>
      <c r="O263" s="80">
        <f>IF(I263&gt;0,MAX(0,M263),0)</f>
        <v/>
      </c>
      <c r="P263" s="80">
        <f>IF($I263&gt;0,MAX(0,$G263*SIN(RADIANS('13_시나리오비교'!$B$5))*SIN(RADIANS('13_시나리오비교'!$C$5))+$H263*SIN(RADIANS('13_시나리오비교'!$B$5))*COS(RADIANS('13_시나리오비교'!$C$5))+$I263*COS(RADIANS('13_시나리오비교'!$B$5))),0)</f>
        <v/>
      </c>
      <c r="Q263" s="80">
        <f>IF($I263&gt;0,MAX(0,$G263*SIN(RADIANS('13_시나리오비교'!$B$6))*SIN(RADIANS('13_시나리오비교'!$C$6))+$H263*SIN(RADIANS('13_시나리오비교'!$B$6))*COS(RADIANS('13_시나리오비교'!$C$6))+$I263*COS(RADIANS('13_시나리오비교'!$B$6))),0)</f>
        <v/>
      </c>
      <c r="R263" s="80">
        <f>IF($I263&gt;0,MAX(0,$G263*SIN(RADIANS('13_시나리오비교'!$B$7))*SIN(RADIANS('13_시나리오비교'!$C$7))+$H263*SIN(RADIANS('13_시나리오비교'!$B$7))*COS(RADIANS('13_시나리오비교'!$C$7))+$I263*COS(RADIANS('13_시나리오비교'!$B$7))),0)</f>
        <v/>
      </c>
      <c r="S263" s="80">
        <f>IF($I263&gt;0,MAX(0,$G263*SIN(RADIANS('13_시나리오비교'!$B$8))*SIN(RADIANS('13_시나리오비교'!$C$8))+$H263*SIN(RADIANS('13_시나리오비교'!$B$8))*COS(RADIANS('13_시나리오비교'!$C$8))+$I263*COS(RADIANS('13_시나리오비교'!$B$8))),0)</f>
        <v/>
      </c>
      <c r="T263" s="80">
        <f>IF($I263&gt;0,MAX(0,$G263*SIN(RADIANS('13_시나리오비교'!$B$9))*SIN(RADIANS('13_시나리오비교'!$C$9))+$H263*SIN(RADIANS('13_시나리오비교'!$B$9))*COS(RADIANS('13_시나리오비교'!$C$9))+$I263*COS(RADIANS('13_시나리오비교'!$B$9))),0)</f>
        <v/>
      </c>
      <c r="U263" s="80">
        <f>IF($I263&gt;0,MAX(0,$G263*SIN(RADIANS('13_시나리오비교'!$B$10))*SIN(RADIANS('13_시나리오비교'!$C$10))+$H263*SIN(RADIANS('13_시나리오비교'!$B$10))*COS(RADIANS('13_시나리오비교'!$C$10))+$I263*COS(RADIANS('13_시나리오비교'!$B$10))),0)</f>
        <v/>
      </c>
      <c r="V263" s="80">
        <f>IF($I263&gt;0,MAX(0,$G263*SIN(RADIANS('13_시나리오비교'!$B$11))*SIN(RADIANS('13_시나리오비교'!$C$11))+$H263*SIN(RADIANS('13_시나리오비교'!$B$11))*COS(RADIANS('13_시나리오비교'!$C$11))+$I263*COS(RADIANS('13_시나리오비교'!$B$11))),0)</f>
        <v/>
      </c>
      <c r="W263" s="80">
        <f>IF($I263&gt;0,MAX(0,$G263*SIN(RADIANS('13_시나리오비교'!$B$12))*SIN(RADIANS('13_시나리오비교'!$C$12))+$H263*SIN(RADIANS('13_시나리오비교'!$B$12))*COS(RADIANS('13_시나리오비교'!$C$12))+$I263*COS(RADIANS('13_시나리오비교'!$B$12))),0)</f>
        <v/>
      </c>
      <c r="X263" s="80">
        <f>IF($I263&gt;0,MAX(0,$G263*SIN(RADIANS('13_시나리오비교'!$B$13))*SIN(RADIANS('13_시나리오비교'!$C$13))+$H263*SIN(RADIANS('13_시나리오비교'!$B$13))*COS(RADIANS('13_시나리오비교'!$C$13))+$I263*COS(RADIANS('13_시나리오비교'!$B$13))),0)</f>
        <v/>
      </c>
      <c r="Y263" s="80">
        <f>IF($I263&gt;0,MAX(0,$G263*SIN(RADIANS('13_시나리오비교'!$B$14))*SIN(RADIANS('13_시나리오비교'!$C$14))+$H263*SIN(RADIANS('13_시나리오비교'!$B$14))*COS(RADIANS('13_시나리오비교'!$C$14))+$I263*COS(RADIANS('13_시나리오비교'!$B$14))),0)</f>
        <v/>
      </c>
    </row>
    <row r="264" hidden="1" outlineLevel="1">
      <c r="A264" s="79" t="n">
        <v>3</v>
      </c>
      <c r="B264" s="79" t="n">
        <v>52</v>
      </c>
      <c r="C264" s="80">
        <f>(B264-0.5)*'14_지역·상수'!$H$6</f>
        <v/>
      </c>
      <c r="D264" s="79" t="n">
        <v>75</v>
      </c>
      <c r="E264" s="80">
        <f>INDEX($C$4:$C$15,MATCH(A264,$A$4:$A$15,0))</f>
        <v/>
      </c>
      <c r="F264" s="80">
        <f>15*(C264-12)</f>
        <v/>
      </c>
      <c r="G264" s="80">
        <f>-COS(RADIANS(E264))*SIN(RADIANS(F264))</f>
        <v/>
      </c>
      <c r="H264" s="80">
        <f>COS(RADIANS('11_발전량_모델'!$B$17))*SIN(RADIANS(E264))-SIN(RADIANS('11_발전량_모델'!$B$17))*COS(RADIANS(E264))*COS(RADIANS(F264))</f>
        <v/>
      </c>
      <c r="I264" s="80">
        <f>SIN(RADIANS('11_발전량_모델'!$B$17))*SIN(RADIANS(E264))+COS(RADIANS('11_발전량_모델'!$B$17))*COS(RADIANS(E264))*COS(RADIANS(F264))</f>
        <v/>
      </c>
      <c r="J264" s="80">
        <f>SIN(RADIANS('11_발전량_모델'!$B$7))*SIN(RADIANS('11_발전량_모델'!$B$8))</f>
        <v/>
      </c>
      <c r="K264" s="80">
        <f>SIN(RADIANS('11_발전량_모델'!$B$7))*COS(RADIANS('11_발전량_모델'!$B$8))</f>
        <v/>
      </c>
      <c r="L264" s="80">
        <f>COS(RADIANS('11_발전량_모델'!$B$7))</f>
        <v/>
      </c>
      <c r="M264" s="80">
        <f>G264*J264+H264*K264+I264*L264</f>
        <v/>
      </c>
      <c r="N264" s="80">
        <f>MAX(0,I264)</f>
        <v/>
      </c>
      <c r="O264" s="80">
        <f>IF(I264&gt;0,MAX(0,M264),0)</f>
        <v/>
      </c>
      <c r="P264" s="80">
        <f>IF($I264&gt;0,MAX(0,$G264*SIN(RADIANS('13_시나리오비교'!$B$5))*SIN(RADIANS('13_시나리오비교'!$C$5))+$H264*SIN(RADIANS('13_시나리오비교'!$B$5))*COS(RADIANS('13_시나리오비교'!$C$5))+$I264*COS(RADIANS('13_시나리오비교'!$B$5))),0)</f>
        <v/>
      </c>
      <c r="Q264" s="80">
        <f>IF($I264&gt;0,MAX(0,$G264*SIN(RADIANS('13_시나리오비교'!$B$6))*SIN(RADIANS('13_시나리오비교'!$C$6))+$H264*SIN(RADIANS('13_시나리오비교'!$B$6))*COS(RADIANS('13_시나리오비교'!$C$6))+$I264*COS(RADIANS('13_시나리오비교'!$B$6))),0)</f>
        <v/>
      </c>
      <c r="R264" s="80">
        <f>IF($I264&gt;0,MAX(0,$G264*SIN(RADIANS('13_시나리오비교'!$B$7))*SIN(RADIANS('13_시나리오비교'!$C$7))+$H264*SIN(RADIANS('13_시나리오비교'!$B$7))*COS(RADIANS('13_시나리오비교'!$C$7))+$I264*COS(RADIANS('13_시나리오비교'!$B$7))),0)</f>
        <v/>
      </c>
      <c r="S264" s="80">
        <f>IF($I264&gt;0,MAX(0,$G264*SIN(RADIANS('13_시나리오비교'!$B$8))*SIN(RADIANS('13_시나리오비교'!$C$8))+$H264*SIN(RADIANS('13_시나리오비교'!$B$8))*COS(RADIANS('13_시나리오비교'!$C$8))+$I264*COS(RADIANS('13_시나리오비교'!$B$8))),0)</f>
        <v/>
      </c>
      <c r="T264" s="80">
        <f>IF($I264&gt;0,MAX(0,$G264*SIN(RADIANS('13_시나리오비교'!$B$9))*SIN(RADIANS('13_시나리오비교'!$C$9))+$H264*SIN(RADIANS('13_시나리오비교'!$B$9))*COS(RADIANS('13_시나리오비교'!$C$9))+$I264*COS(RADIANS('13_시나리오비교'!$B$9))),0)</f>
        <v/>
      </c>
      <c r="U264" s="80">
        <f>IF($I264&gt;0,MAX(0,$G264*SIN(RADIANS('13_시나리오비교'!$B$10))*SIN(RADIANS('13_시나리오비교'!$C$10))+$H264*SIN(RADIANS('13_시나리오비교'!$B$10))*COS(RADIANS('13_시나리오비교'!$C$10))+$I264*COS(RADIANS('13_시나리오비교'!$B$10))),0)</f>
        <v/>
      </c>
      <c r="V264" s="80">
        <f>IF($I264&gt;0,MAX(0,$G264*SIN(RADIANS('13_시나리오비교'!$B$11))*SIN(RADIANS('13_시나리오비교'!$C$11))+$H264*SIN(RADIANS('13_시나리오비교'!$B$11))*COS(RADIANS('13_시나리오비교'!$C$11))+$I264*COS(RADIANS('13_시나리오비교'!$B$11))),0)</f>
        <v/>
      </c>
      <c r="W264" s="80">
        <f>IF($I264&gt;0,MAX(0,$G264*SIN(RADIANS('13_시나리오비교'!$B$12))*SIN(RADIANS('13_시나리오비교'!$C$12))+$H264*SIN(RADIANS('13_시나리오비교'!$B$12))*COS(RADIANS('13_시나리오비교'!$C$12))+$I264*COS(RADIANS('13_시나리오비교'!$B$12))),0)</f>
        <v/>
      </c>
      <c r="X264" s="80">
        <f>IF($I264&gt;0,MAX(0,$G264*SIN(RADIANS('13_시나리오비교'!$B$13))*SIN(RADIANS('13_시나리오비교'!$C$13))+$H264*SIN(RADIANS('13_시나리오비교'!$B$13))*COS(RADIANS('13_시나리오비교'!$C$13))+$I264*COS(RADIANS('13_시나리오비교'!$B$13))),0)</f>
        <v/>
      </c>
      <c r="Y264" s="80">
        <f>IF($I264&gt;0,MAX(0,$G264*SIN(RADIANS('13_시나리오비교'!$B$14))*SIN(RADIANS('13_시나리오비교'!$C$14))+$H264*SIN(RADIANS('13_시나리오비교'!$B$14))*COS(RADIANS('13_시나리오비교'!$C$14))+$I264*COS(RADIANS('13_시나리오비교'!$B$14))),0)</f>
        <v/>
      </c>
    </row>
    <row r="265" hidden="1" outlineLevel="1">
      <c r="A265" s="79" t="n">
        <v>3</v>
      </c>
      <c r="B265" s="79" t="n">
        <v>53</v>
      </c>
      <c r="C265" s="80">
        <f>(B265-0.5)*'14_지역·상수'!$H$6</f>
        <v/>
      </c>
      <c r="D265" s="79" t="n">
        <v>75</v>
      </c>
      <c r="E265" s="80">
        <f>INDEX($C$4:$C$15,MATCH(A265,$A$4:$A$15,0))</f>
        <v/>
      </c>
      <c r="F265" s="80">
        <f>15*(C265-12)</f>
        <v/>
      </c>
      <c r="G265" s="80">
        <f>-COS(RADIANS(E265))*SIN(RADIANS(F265))</f>
        <v/>
      </c>
      <c r="H265" s="80">
        <f>COS(RADIANS('11_발전량_모델'!$B$17))*SIN(RADIANS(E265))-SIN(RADIANS('11_발전량_모델'!$B$17))*COS(RADIANS(E265))*COS(RADIANS(F265))</f>
        <v/>
      </c>
      <c r="I265" s="80">
        <f>SIN(RADIANS('11_발전량_모델'!$B$17))*SIN(RADIANS(E265))+COS(RADIANS('11_발전량_모델'!$B$17))*COS(RADIANS(E265))*COS(RADIANS(F265))</f>
        <v/>
      </c>
      <c r="J265" s="80">
        <f>SIN(RADIANS('11_발전량_모델'!$B$7))*SIN(RADIANS('11_발전량_모델'!$B$8))</f>
        <v/>
      </c>
      <c r="K265" s="80">
        <f>SIN(RADIANS('11_발전량_모델'!$B$7))*COS(RADIANS('11_발전량_모델'!$B$8))</f>
        <v/>
      </c>
      <c r="L265" s="80">
        <f>COS(RADIANS('11_발전량_모델'!$B$7))</f>
        <v/>
      </c>
      <c r="M265" s="80">
        <f>G265*J265+H265*K265+I265*L265</f>
        <v/>
      </c>
      <c r="N265" s="80">
        <f>MAX(0,I265)</f>
        <v/>
      </c>
      <c r="O265" s="80">
        <f>IF(I265&gt;0,MAX(0,M265),0)</f>
        <v/>
      </c>
      <c r="P265" s="80">
        <f>IF($I265&gt;0,MAX(0,$G265*SIN(RADIANS('13_시나리오비교'!$B$5))*SIN(RADIANS('13_시나리오비교'!$C$5))+$H265*SIN(RADIANS('13_시나리오비교'!$B$5))*COS(RADIANS('13_시나리오비교'!$C$5))+$I265*COS(RADIANS('13_시나리오비교'!$B$5))),0)</f>
        <v/>
      </c>
      <c r="Q265" s="80">
        <f>IF($I265&gt;0,MAX(0,$G265*SIN(RADIANS('13_시나리오비교'!$B$6))*SIN(RADIANS('13_시나리오비교'!$C$6))+$H265*SIN(RADIANS('13_시나리오비교'!$B$6))*COS(RADIANS('13_시나리오비교'!$C$6))+$I265*COS(RADIANS('13_시나리오비교'!$B$6))),0)</f>
        <v/>
      </c>
      <c r="R265" s="80">
        <f>IF($I265&gt;0,MAX(0,$G265*SIN(RADIANS('13_시나리오비교'!$B$7))*SIN(RADIANS('13_시나리오비교'!$C$7))+$H265*SIN(RADIANS('13_시나리오비교'!$B$7))*COS(RADIANS('13_시나리오비교'!$C$7))+$I265*COS(RADIANS('13_시나리오비교'!$B$7))),0)</f>
        <v/>
      </c>
      <c r="S265" s="80">
        <f>IF($I265&gt;0,MAX(0,$G265*SIN(RADIANS('13_시나리오비교'!$B$8))*SIN(RADIANS('13_시나리오비교'!$C$8))+$H265*SIN(RADIANS('13_시나리오비교'!$B$8))*COS(RADIANS('13_시나리오비교'!$C$8))+$I265*COS(RADIANS('13_시나리오비교'!$B$8))),0)</f>
        <v/>
      </c>
      <c r="T265" s="80">
        <f>IF($I265&gt;0,MAX(0,$G265*SIN(RADIANS('13_시나리오비교'!$B$9))*SIN(RADIANS('13_시나리오비교'!$C$9))+$H265*SIN(RADIANS('13_시나리오비교'!$B$9))*COS(RADIANS('13_시나리오비교'!$C$9))+$I265*COS(RADIANS('13_시나리오비교'!$B$9))),0)</f>
        <v/>
      </c>
      <c r="U265" s="80">
        <f>IF($I265&gt;0,MAX(0,$G265*SIN(RADIANS('13_시나리오비교'!$B$10))*SIN(RADIANS('13_시나리오비교'!$C$10))+$H265*SIN(RADIANS('13_시나리오비교'!$B$10))*COS(RADIANS('13_시나리오비교'!$C$10))+$I265*COS(RADIANS('13_시나리오비교'!$B$10))),0)</f>
        <v/>
      </c>
      <c r="V265" s="80">
        <f>IF($I265&gt;0,MAX(0,$G265*SIN(RADIANS('13_시나리오비교'!$B$11))*SIN(RADIANS('13_시나리오비교'!$C$11))+$H265*SIN(RADIANS('13_시나리오비교'!$B$11))*COS(RADIANS('13_시나리오비교'!$C$11))+$I265*COS(RADIANS('13_시나리오비교'!$B$11))),0)</f>
        <v/>
      </c>
      <c r="W265" s="80">
        <f>IF($I265&gt;0,MAX(0,$G265*SIN(RADIANS('13_시나리오비교'!$B$12))*SIN(RADIANS('13_시나리오비교'!$C$12))+$H265*SIN(RADIANS('13_시나리오비교'!$B$12))*COS(RADIANS('13_시나리오비교'!$C$12))+$I265*COS(RADIANS('13_시나리오비교'!$B$12))),0)</f>
        <v/>
      </c>
      <c r="X265" s="80">
        <f>IF($I265&gt;0,MAX(0,$G265*SIN(RADIANS('13_시나리오비교'!$B$13))*SIN(RADIANS('13_시나리오비교'!$C$13))+$H265*SIN(RADIANS('13_시나리오비교'!$B$13))*COS(RADIANS('13_시나리오비교'!$C$13))+$I265*COS(RADIANS('13_시나리오비교'!$B$13))),0)</f>
        <v/>
      </c>
      <c r="Y265" s="80">
        <f>IF($I265&gt;0,MAX(0,$G265*SIN(RADIANS('13_시나리오비교'!$B$14))*SIN(RADIANS('13_시나리오비교'!$C$14))+$H265*SIN(RADIANS('13_시나리오비교'!$B$14))*COS(RADIANS('13_시나리오비교'!$C$14))+$I265*COS(RADIANS('13_시나리오비교'!$B$14))),0)</f>
        <v/>
      </c>
    </row>
    <row r="266" hidden="1" outlineLevel="1">
      <c r="A266" s="79" t="n">
        <v>3</v>
      </c>
      <c r="B266" s="79" t="n">
        <v>54</v>
      </c>
      <c r="C266" s="80">
        <f>(B266-0.5)*'14_지역·상수'!$H$6</f>
        <v/>
      </c>
      <c r="D266" s="79" t="n">
        <v>75</v>
      </c>
      <c r="E266" s="80">
        <f>INDEX($C$4:$C$15,MATCH(A266,$A$4:$A$15,0))</f>
        <v/>
      </c>
      <c r="F266" s="80">
        <f>15*(C266-12)</f>
        <v/>
      </c>
      <c r="G266" s="80">
        <f>-COS(RADIANS(E266))*SIN(RADIANS(F266))</f>
        <v/>
      </c>
      <c r="H266" s="80">
        <f>COS(RADIANS('11_발전량_모델'!$B$17))*SIN(RADIANS(E266))-SIN(RADIANS('11_발전량_모델'!$B$17))*COS(RADIANS(E266))*COS(RADIANS(F266))</f>
        <v/>
      </c>
      <c r="I266" s="80">
        <f>SIN(RADIANS('11_발전량_모델'!$B$17))*SIN(RADIANS(E266))+COS(RADIANS('11_발전량_모델'!$B$17))*COS(RADIANS(E266))*COS(RADIANS(F266))</f>
        <v/>
      </c>
      <c r="J266" s="80">
        <f>SIN(RADIANS('11_발전량_모델'!$B$7))*SIN(RADIANS('11_발전량_모델'!$B$8))</f>
        <v/>
      </c>
      <c r="K266" s="80">
        <f>SIN(RADIANS('11_발전량_모델'!$B$7))*COS(RADIANS('11_발전량_모델'!$B$8))</f>
        <v/>
      </c>
      <c r="L266" s="80">
        <f>COS(RADIANS('11_발전량_모델'!$B$7))</f>
        <v/>
      </c>
      <c r="M266" s="80">
        <f>G266*J266+H266*K266+I266*L266</f>
        <v/>
      </c>
      <c r="N266" s="80">
        <f>MAX(0,I266)</f>
        <v/>
      </c>
      <c r="O266" s="80">
        <f>IF(I266&gt;0,MAX(0,M266),0)</f>
        <v/>
      </c>
      <c r="P266" s="80">
        <f>IF($I266&gt;0,MAX(0,$G266*SIN(RADIANS('13_시나리오비교'!$B$5))*SIN(RADIANS('13_시나리오비교'!$C$5))+$H266*SIN(RADIANS('13_시나리오비교'!$B$5))*COS(RADIANS('13_시나리오비교'!$C$5))+$I266*COS(RADIANS('13_시나리오비교'!$B$5))),0)</f>
        <v/>
      </c>
      <c r="Q266" s="80">
        <f>IF($I266&gt;0,MAX(0,$G266*SIN(RADIANS('13_시나리오비교'!$B$6))*SIN(RADIANS('13_시나리오비교'!$C$6))+$H266*SIN(RADIANS('13_시나리오비교'!$B$6))*COS(RADIANS('13_시나리오비교'!$C$6))+$I266*COS(RADIANS('13_시나리오비교'!$B$6))),0)</f>
        <v/>
      </c>
      <c r="R266" s="80">
        <f>IF($I266&gt;0,MAX(0,$G266*SIN(RADIANS('13_시나리오비교'!$B$7))*SIN(RADIANS('13_시나리오비교'!$C$7))+$H266*SIN(RADIANS('13_시나리오비교'!$B$7))*COS(RADIANS('13_시나리오비교'!$C$7))+$I266*COS(RADIANS('13_시나리오비교'!$B$7))),0)</f>
        <v/>
      </c>
      <c r="S266" s="80">
        <f>IF($I266&gt;0,MAX(0,$G266*SIN(RADIANS('13_시나리오비교'!$B$8))*SIN(RADIANS('13_시나리오비교'!$C$8))+$H266*SIN(RADIANS('13_시나리오비교'!$B$8))*COS(RADIANS('13_시나리오비교'!$C$8))+$I266*COS(RADIANS('13_시나리오비교'!$B$8))),0)</f>
        <v/>
      </c>
      <c r="T266" s="80">
        <f>IF($I266&gt;0,MAX(0,$G266*SIN(RADIANS('13_시나리오비교'!$B$9))*SIN(RADIANS('13_시나리오비교'!$C$9))+$H266*SIN(RADIANS('13_시나리오비교'!$B$9))*COS(RADIANS('13_시나리오비교'!$C$9))+$I266*COS(RADIANS('13_시나리오비교'!$B$9))),0)</f>
        <v/>
      </c>
      <c r="U266" s="80">
        <f>IF($I266&gt;0,MAX(0,$G266*SIN(RADIANS('13_시나리오비교'!$B$10))*SIN(RADIANS('13_시나리오비교'!$C$10))+$H266*SIN(RADIANS('13_시나리오비교'!$B$10))*COS(RADIANS('13_시나리오비교'!$C$10))+$I266*COS(RADIANS('13_시나리오비교'!$B$10))),0)</f>
        <v/>
      </c>
      <c r="V266" s="80">
        <f>IF($I266&gt;0,MAX(0,$G266*SIN(RADIANS('13_시나리오비교'!$B$11))*SIN(RADIANS('13_시나리오비교'!$C$11))+$H266*SIN(RADIANS('13_시나리오비교'!$B$11))*COS(RADIANS('13_시나리오비교'!$C$11))+$I266*COS(RADIANS('13_시나리오비교'!$B$11))),0)</f>
        <v/>
      </c>
      <c r="W266" s="80">
        <f>IF($I266&gt;0,MAX(0,$G266*SIN(RADIANS('13_시나리오비교'!$B$12))*SIN(RADIANS('13_시나리오비교'!$C$12))+$H266*SIN(RADIANS('13_시나리오비교'!$B$12))*COS(RADIANS('13_시나리오비교'!$C$12))+$I266*COS(RADIANS('13_시나리오비교'!$B$12))),0)</f>
        <v/>
      </c>
      <c r="X266" s="80">
        <f>IF($I266&gt;0,MAX(0,$G266*SIN(RADIANS('13_시나리오비교'!$B$13))*SIN(RADIANS('13_시나리오비교'!$C$13))+$H266*SIN(RADIANS('13_시나리오비교'!$B$13))*COS(RADIANS('13_시나리오비교'!$C$13))+$I266*COS(RADIANS('13_시나리오비교'!$B$13))),0)</f>
        <v/>
      </c>
      <c r="Y266" s="80">
        <f>IF($I266&gt;0,MAX(0,$G266*SIN(RADIANS('13_시나리오비교'!$B$14))*SIN(RADIANS('13_시나리오비교'!$C$14))+$H266*SIN(RADIANS('13_시나리오비교'!$B$14))*COS(RADIANS('13_시나리오비교'!$C$14))+$I266*COS(RADIANS('13_시나리오비교'!$B$14))),0)</f>
        <v/>
      </c>
    </row>
    <row r="267" hidden="1" outlineLevel="1">
      <c r="A267" s="79" t="n">
        <v>3</v>
      </c>
      <c r="B267" s="79" t="n">
        <v>55</v>
      </c>
      <c r="C267" s="80">
        <f>(B267-0.5)*'14_지역·상수'!$H$6</f>
        <v/>
      </c>
      <c r="D267" s="79" t="n">
        <v>75</v>
      </c>
      <c r="E267" s="80">
        <f>INDEX($C$4:$C$15,MATCH(A267,$A$4:$A$15,0))</f>
        <v/>
      </c>
      <c r="F267" s="80">
        <f>15*(C267-12)</f>
        <v/>
      </c>
      <c r="G267" s="80">
        <f>-COS(RADIANS(E267))*SIN(RADIANS(F267))</f>
        <v/>
      </c>
      <c r="H267" s="80">
        <f>COS(RADIANS('11_발전량_모델'!$B$17))*SIN(RADIANS(E267))-SIN(RADIANS('11_발전량_모델'!$B$17))*COS(RADIANS(E267))*COS(RADIANS(F267))</f>
        <v/>
      </c>
      <c r="I267" s="80">
        <f>SIN(RADIANS('11_발전량_모델'!$B$17))*SIN(RADIANS(E267))+COS(RADIANS('11_발전량_모델'!$B$17))*COS(RADIANS(E267))*COS(RADIANS(F267))</f>
        <v/>
      </c>
      <c r="J267" s="80">
        <f>SIN(RADIANS('11_발전량_모델'!$B$7))*SIN(RADIANS('11_발전량_모델'!$B$8))</f>
        <v/>
      </c>
      <c r="K267" s="80">
        <f>SIN(RADIANS('11_발전량_모델'!$B$7))*COS(RADIANS('11_발전량_모델'!$B$8))</f>
        <v/>
      </c>
      <c r="L267" s="80">
        <f>COS(RADIANS('11_발전량_모델'!$B$7))</f>
        <v/>
      </c>
      <c r="M267" s="80">
        <f>G267*J267+H267*K267+I267*L267</f>
        <v/>
      </c>
      <c r="N267" s="80">
        <f>MAX(0,I267)</f>
        <v/>
      </c>
      <c r="O267" s="80">
        <f>IF(I267&gt;0,MAX(0,M267),0)</f>
        <v/>
      </c>
      <c r="P267" s="80">
        <f>IF($I267&gt;0,MAX(0,$G267*SIN(RADIANS('13_시나리오비교'!$B$5))*SIN(RADIANS('13_시나리오비교'!$C$5))+$H267*SIN(RADIANS('13_시나리오비교'!$B$5))*COS(RADIANS('13_시나리오비교'!$C$5))+$I267*COS(RADIANS('13_시나리오비교'!$B$5))),0)</f>
        <v/>
      </c>
      <c r="Q267" s="80">
        <f>IF($I267&gt;0,MAX(0,$G267*SIN(RADIANS('13_시나리오비교'!$B$6))*SIN(RADIANS('13_시나리오비교'!$C$6))+$H267*SIN(RADIANS('13_시나리오비교'!$B$6))*COS(RADIANS('13_시나리오비교'!$C$6))+$I267*COS(RADIANS('13_시나리오비교'!$B$6))),0)</f>
        <v/>
      </c>
      <c r="R267" s="80">
        <f>IF($I267&gt;0,MAX(0,$G267*SIN(RADIANS('13_시나리오비교'!$B$7))*SIN(RADIANS('13_시나리오비교'!$C$7))+$H267*SIN(RADIANS('13_시나리오비교'!$B$7))*COS(RADIANS('13_시나리오비교'!$C$7))+$I267*COS(RADIANS('13_시나리오비교'!$B$7))),0)</f>
        <v/>
      </c>
      <c r="S267" s="80">
        <f>IF($I267&gt;0,MAX(0,$G267*SIN(RADIANS('13_시나리오비교'!$B$8))*SIN(RADIANS('13_시나리오비교'!$C$8))+$H267*SIN(RADIANS('13_시나리오비교'!$B$8))*COS(RADIANS('13_시나리오비교'!$C$8))+$I267*COS(RADIANS('13_시나리오비교'!$B$8))),0)</f>
        <v/>
      </c>
      <c r="T267" s="80">
        <f>IF($I267&gt;0,MAX(0,$G267*SIN(RADIANS('13_시나리오비교'!$B$9))*SIN(RADIANS('13_시나리오비교'!$C$9))+$H267*SIN(RADIANS('13_시나리오비교'!$B$9))*COS(RADIANS('13_시나리오비교'!$C$9))+$I267*COS(RADIANS('13_시나리오비교'!$B$9))),0)</f>
        <v/>
      </c>
      <c r="U267" s="80">
        <f>IF($I267&gt;0,MAX(0,$G267*SIN(RADIANS('13_시나리오비교'!$B$10))*SIN(RADIANS('13_시나리오비교'!$C$10))+$H267*SIN(RADIANS('13_시나리오비교'!$B$10))*COS(RADIANS('13_시나리오비교'!$C$10))+$I267*COS(RADIANS('13_시나리오비교'!$B$10))),0)</f>
        <v/>
      </c>
      <c r="V267" s="80">
        <f>IF($I267&gt;0,MAX(0,$G267*SIN(RADIANS('13_시나리오비교'!$B$11))*SIN(RADIANS('13_시나리오비교'!$C$11))+$H267*SIN(RADIANS('13_시나리오비교'!$B$11))*COS(RADIANS('13_시나리오비교'!$C$11))+$I267*COS(RADIANS('13_시나리오비교'!$B$11))),0)</f>
        <v/>
      </c>
      <c r="W267" s="80">
        <f>IF($I267&gt;0,MAX(0,$G267*SIN(RADIANS('13_시나리오비교'!$B$12))*SIN(RADIANS('13_시나리오비교'!$C$12))+$H267*SIN(RADIANS('13_시나리오비교'!$B$12))*COS(RADIANS('13_시나리오비교'!$C$12))+$I267*COS(RADIANS('13_시나리오비교'!$B$12))),0)</f>
        <v/>
      </c>
      <c r="X267" s="80">
        <f>IF($I267&gt;0,MAX(0,$G267*SIN(RADIANS('13_시나리오비교'!$B$13))*SIN(RADIANS('13_시나리오비교'!$C$13))+$H267*SIN(RADIANS('13_시나리오비교'!$B$13))*COS(RADIANS('13_시나리오비교'!$C$13))+$I267*COS(RADIANS('13_시나리오비교'!$B$13))),0)</f>
        <v/>
      </c>
      <c r="Y267" s="80">
        <f>IF($I267&gt;0,MAX(0,$G267*SIN(RADIANS('13_시나리오비교'!$B$14))*SIN(RADIANS('13_시나리오비교'!$C$14))+$H267*SIN(RADIANS('13_시나리오비교'!$B$14))*COS(RADIANS('13_시나리오비교'!$C$14))+$I267*COS(RADIANS('13_시나리오비교'!$B$14))),0)</f>
        <v/>
      </c>
    </row>
    <row r="268" hidden="1" outlineLevel="1">
      <c r="A268" s="79" t="n">
        <v>3</v>
      </c>
      <c r="B268" s="79" t="n">
        <v>56</v>
      </c>
      <c r="C268" s="80">
        <f>(B268-0.5)*'14_지역·상수'!$H$6</f>
        <v/>
      </c>
      <c r="D268" s="79" t="n">
        <v>75</v>
      </c>
      <c r="E268" s="80">
        <f>INDEX($C$4:$C$15,MATCH(A268,$A$4:$A$15,0))</f>
        <v/>
      </c>
      <c r="F268" s="80">
        <f>15*(C268-12)</f>
        <v/>
      </c>
      <c r="G268" s="80">
        <f>-COS(RADIANS(E268))*SIN(RADIANS(F268))</f>
        <v/>
      </c>
      <c r="H268" s="80">
        <f>COS(RADIANS('11_발전량_모델'!$B$17))*SIN(RADIANS(E268))-SIN(RADIANS('11_발전량_모델'!$B$17))*COS(RADIANS(E268))*COS(RADIANS(F268))</f>
        <v/>
      </c>
      <c r="I268" s="80">
        <f>SIN(RADIANS('11_발전량_모델'!$B$17))*SIN(RADIANS(E268))+COS(RADIANS('11_발전량_모델'!$B$17))*COS(RADIANS(E268))*COS(RADIANS(F268))</f>
        <v/>
      </c>
      <c r="J268" s="80">
        <f>SIN(RADIANS('11_발전량_모델'!$B$7))*SIN(RADIANS('11_발전량_모델'!$B$8))</f>
        <v/>
      </c>
      <c r="K268" s="80">
        <f>SIN(RADIANS('11_발전량_모델'!$B$7))*COS(RADIANS('11_발전량_모델'!$B$8))</f>
        <v/>
      </c>
      <c r="L268" s="80">
        <f>COS(RADIANS('11_발전량_모델'!$B$7))</f>
        <v/>
      </c>
      <c r="M268" s="80">
        <f>G268*J268+H268*K268+I268*L268</f>
        <v/>
      </c>
      <c r="N268" s="80">
        <f>MAX(0,I268)</f>
        <v/>
      </c>
      <c r="O268" s="80">
        <f>IF(I268&gt;0,MAX(0,M268),0)</f>
        <v/>
      </c>
      <c r="P268" s="80">
        <f>IF($I268&gt;0,MAX(0,$G268*SIN(RADIANS('13_시나리오비교'!$B$5))*SIN(RADIANS('13_시나리오비교'!$C$5))+$H268*SIN(RADIANS('13_시나리오비교'!$B$5))*COS(RADIANS('13_시나리오비교'!$C$5))+$I268*COS(RADIANS('13_시나리오비교'!$B$5))),0)</f>
        <v/>
      </c>
      <c r="Q268" s="80">
        <f>IF($I268&gt;0,MAX(0,$G268*SIN(RADIANS('13_시나리오비교'!$B$6))*SIN(RADIANS('13_시나리오비교'!$C$6))+$H268*SIN(RADIANS('13_시나리오비교'!$B$6))*COS(RADIANS('13_시나리오비교'!$C$6))+$I268*COS(RADIANS('13_시나리오비교'!$B$6))),0)</f>
        <v/>
      </c>
      <c r="R268" s="80">
        <f>IF($I268&gt;0,MAX(0,$G268*SIN(RADIANS('13_시나리오비교'!$B$7))*SIN(RADIANS('13_시나리오비교'!$C$7))+$H268*SIN(RADIANS('13_시나리오비교'!$B$7))*COS(RADIANS('13_시나리오비교'!$C$7))+$I268*COS(RADIANS('13_시나리오비교'!$B$7))),0)</f>
        <v/>
      </c>
      <c r="S268" s="80">
        <f>IF($I268&gt;0,MAX(0,$G268*SIN(RADIANS('13_시나리오비교'!$B$8))*SIN(RADIANS('13_시나리오비교'!$C$8))+$H268*SIN(RADIANS('13_시나리오비교'!$B$8))*COS(RADIANS('13_시나리오비교'!$C$8))+$I268*COS(RADIANS('13_시나리오비교'!$B$8))),0)</f>
        <v/>
      </c>
      <c r="T268" s="80">
        <f>IF($I268&gt;0,MAX(0,$G268*SIN(RADIANS('13_시나리오비교'!$B$9))*SIN(RADIANS('13_시나리오비교'!$C$9))+$H268*SIN(RADIANS('13_시나리오비교'!$B$9))*COS(RADIANS('13_시나리오비교'!$C$9))+$I268*COS(RADIANS('13_시나리오비교'!$B$9))),0)</f>
        <v/>
      </c>
      <c r="U268" s="80">
        <f>IF($I268&gt;0,MAX(0,$G268*SIN(RADIANS('13_시나리오비교'!$B$10))*SIN(RADIANS('13_시나리오비교'!$C$10))+$H268*SIN(RADIANS('13_시나리오비교'!$B$10))*COS(RADIANS('13_시나리오비교'!$C$10))+$I268*COS(RADIANS('13_시나리오비교'!$B$10))),0)</f>
        <v/>
      </c>
      <c r="V268" s="80">
        <f>IF($I268&gt;0,MAX(0,$G268*SIN(RADIANS('13_시나리오비교'!$B$11))*SIN(RADIANS('13_시나리오비교'!$C$11))+$H268*SIN(RADIANS('13_시나리오비교'!$B$11))*COS(RADIANS('13_시나리오비교'!$C$11))+$I268*COS(RADIANS('13_시나리오비교'!$B$11))),0)</f>
        <v/>
      </c>
      <c r="W268" s="80">
        <f>IF($I268&gt;0,MAX(0,$G268*SIN(RADIANS('13_시나리오비교'!$B$12))*SIN(RADIANS('13_시나리오비교'!$C$12))+$H268*SIN(RADIANS('13_시나리오비교'!$B$12))*COS(RADIANS('13_시나리오비교'!$C$12))+$I268*COS(RADIANS('13_시나리오비교'!$B$12))),0)</f>
        <v/>
      </c>
      <c r="X268" s="80">
        <f>IF($I268&gt;0,MAX(0,$G268*SIN(RADIANS('13_시나리오비교'!$B$13))*SIN(RADIANS('13_시나리오비교'!$C$13))+$H268*SIN(RADIANS('13_시나리오비교'!$B$13))*COS(RADIANS('13_시나리오비교'!$C$13))+$I268*COS(RADIANS('13_시나리오비교'!$B$13))),0)</f>
        <v/>
      </c>
      <c r="Y268" s="80">
        <f>IF($I268&gt;0,MAX(0,$G268*SIN(RADIANS('13_시나리오비교'!$B$14))*SIN(RADIANS('13_시나리오비교'!$C$14))+$H268*SIN(RADIANS('13_시나리오비교'!$B$14))*COS(RADIANS('13_시나리오비교'!$C$14))+$I268*COS(RADIANS('13_시나리오비교'!$B$14))),0)</f>
        <v/>
      </c>
    </row>
    <row r="269" hidden="1" outlineLevel="1">
      <c r="A269" s="79" t="n">
        <v>3</v>
      </c>
      <c r="B269" s="79" t="n">
        <v>57</v>
      </c>
      <c r="C269" s="80">
        <f>(B269-0.5)*'14_지역·상수'!$H$6</f>
        <v/>
      </c>
      <c r="D269" s="79" t="n">
        <v>75</v>
      </c>
      <c r="E269" s="80">
        <f>INDEX($C$4:$C$15,MATCH(A269,$A$4:$A$15,0))</f>
        <v/>
      </c>
      <c r="F269" s="80">
        <f>15*(C269-12)</f>
        <v/>
      </c>
      <c r="G269" s="80">
        <f>-COS(RADIANS(E269))*SIN(RADIANS(F269))</f>
        <v/>
      </c>
      <c r="H269" s="80">
        <f>COS(RADIANS('11_발전량_모델'!$B$17))*SIN(RADIANS(E269))-SIN(RADIANS('11_발전량_모델'!$B$17))*COS(RADIANS(E269))*COS(RADIANS(F269))</f>
        <v/>
      </c>
      <c r="I269" s="80">
        <f>SIN(RADIANS('11_발전량_모델'!$B$17))*SIN(RADIANS(E269))+COS(RADIANS('11_발전량_모델'!$B$17))*COS(RADIANS(E269))*COS(RADIANS(F269))</f>
        <v/>
      </c>
      <c r="J269" s="80">
        <f>SIN(RADIANS('11_발전량_모델'!$B$7))*SIN(RADIANS('11_발전량_모델'!$B$8))</f>
        <v/>
      </c>
      <c r="K269" s="80">
        <f>SIN(RADIANS('11_발전량_모델'!$B$7))*COS(RADIANS('11_발전량_모델'!$B$8))</f>
        <v/>
      </c>
      <c r="L269" s="80">
        <f>COS(RADIANS('11_발전량_모델'!$B$7))</f>
        <v/>
      </c>
      <c r="M269" s="80">
        <f>G269*J269+H269*K269+I269*L269</f>
        <v/>
      </c>
      <c r="N269" s="80">
        <f>MAX(0,I269)</f>
        <v/>
      </c>
      <c r="O269" s="80">
        <f>IF(I269&gt;0,MAX(0,M269),0)</f>
        <v/>
      </c>
      <c r="P269" s="80">
        <f>IF($I269&gt;0,MAX(0,$G269*SIN(RADIANS('13_시나리오비교'!$B$5))*SIN(RADIANS('13_시나리오비교'!$C$5))+$H269*SIN(RADIANS('13_시나리오비교'!$B$5))*COS(RADIANS('13_시나리오비교'!$C$5))+$I269*COS(RADIANS('13_시나리오비교'!$B$5))),0)</f>
        <v/>
      </c>
      <c r="Q269" s="80">
        <f>IF($I269&gt;0,MAX(0,$G269*SIN(RADIANS('13_시나리오비교'!$B$6))*SIN(RADIANS('13_시나리오비교'!$C$6))+$H269*SIN(RADIANS('13_시나리오비교'!$B$6))*COS(RADIANS('13_시나리오비교'!$C$6))+$I269*COS(RADIANS('13_시나리오비교'!$B$6))),0)</f>
        <v/>
      </c>
      <c r="R269" s="80">
        <f>IF($I269&gt;0,MAX(0,$G269*SIN(RADIANS('13_시나리오비교'!$B$7))*SIN(RADIANS('13_시나리오비교'!$C$7))+$H269*SIN(RADIANS('13_시나리오비교'!$B$7))*COS(RADIANS('13_시나리오비교'!$C$7))+$I269*COS(RADIANS('13_시나리오비교'!$B$7))),0)</f>
        <v/>
      </c>
      <c r="S269" s="80">
        <f>IF($I269&gt;0,MAX(0,$G269*SIN(RADIANS('13_시나리오비교'!$B$8))*SIN(RADIANS('13_시나리오비교'!$C$8))+$H269*SIN(RADIANS('13_시나리오비교'!$B$8))*COS(RADIANS('13_시나리오비교'!$C$8))+$I269*COS(RADIANS('13_시나리오비교'!$B$8))),0)</f>
        <v/>
      </c>
      <c r="T269" s="80">
        <f>IF($I269&gt;0,MAX(0,$G269*SIN(RADIANS('13_시나리오비교'!$B$9))*SIN(RADIANS('13_시나리오비교'!$C$9))+$H269*SIN(RADIANS('13_시나리오비교'!$B$9))*COS(RADIANS('13_시나리오비교'!$C$9))+$I269*COS(RADIANS('13_시나리오비교'!$B$9))),0)</f>
        <v/>
      </c>
      <c r="U269" s="80">
        <f>IF($I269&gt;0,MAX(0,$G269*SIN(RADIANS('13_시나리오비교'!$B$10))*SIN(RADIANS('13_시나리오비교'!$C$10))+$H269*SIN(RADIANS('13_시나리오비교'!$B$10))*COS(RADIANS('13_시나리오비교'!$C$10))+$I269*COS(RADIANS('13_시나리오비교'!$B$10))),0)</f>
        <v/>
      </c>
      <c r="V269" s="80">
        <f>IF($I269&gt;0,MAX(0,$G269*SIN(RADIANS('13_시나리오비교'!$B$11))*SIN(RADIANS('13_시나리오비교'!$C$11))+$H269*SIN(RADIANS('13_시나리오비교'!$B$11))*COS(RADIANS('13_시나리오비교'!$C$11))+$I269*COS(RADIANS('13_시나리오비교'!$B$11))),0)</f>
        <v/>
      </c>
      <c r="W269" s="80">
        <f>IF($I269&gt;0,MAX(0,$G269*SIN(RADIANS('13_시나리오비교'!$B$12))*SIN(RADIANS('13_시나리오비교'!$C$12))+$H269*SIN(RADIANS('13_시나리오비교'!$B$12))*COS(RADIANS('13_시나리오비교'!$C$12))+$I269*COS(RADIANS('13_시나리오비교'!$B$12))),0)</f>
        <v/>
      </c>
      <c r="X269" s="80">
        <f>IF($I269&gt;0,MAX(0,$G269*SIN(RADIANS('13_시나리오비교'!$B$13))*SIN(RADIANS('13_시나리오비교'!$C$13))+$H269*SIN(RADIANS('13_시나리오비교'!$B$13))*COS(RADIANS('13_시나리오비교'!$C$13))+$I269*COS(RADIANS('13_시나리오비교'!$B$13))),0)</f>
        <v/>
      </c>
      <c r="Y269" s="80">
        <f>IF($I269&gt;0,MAX(0,$G269*SIN(RADIANS('13_시나리오비교'!$B$14))*SIN(RADIANS('13_시나리오비교'!$C$14))+$H269*SIN(RADIANS('13_시나리오비교'!$B$14))*COS(RADIANS('13_시나리오비교'!$C$14))+$I269*COS(RADIANS('13_시나리오비교'!$B$14))),0)</f>
        <v/>
      </c>
    </row>
    <row r="270" hidden="1" outlineLevel="1">
      <c r="A270" s="79" t="n">
        <v>3</v>
      </c>
      <c r="B270" s="79" t="n">
        <v>58</v>
      </c>
      <c r="C270" s="80">
        <f>(B270-0.5)*'14_지역·상수'!$H$6</f>
        <v/>
      </c>
      <c r="D270" s="79" t="n">
        <v>75</v>
      </c>
      <c r="E270" s="80">
        <f>INDEX($C$4:$C$15,MATCH(A270,$A$4:$A$15,0))</f>
        <v/>
      </c>
      <c r="F270" s="80">
        <f>15*(C270-12)</f>
        <v/>
      </c>
      <c r="G270" s="80">
        <f>-COS(RADIANS(E270))*SIN(RADIANS(F270))</f>
        <v/>
      </c>
      <c r="H270" s="80">
        <f>COS(RADIANS('11_발전량_모델'!$B$17))*SIN(RADIANS(E270))-SIN(RADIANS('11_발전량_모델'!$B$17))*COS(RADIANS(E270))*COS(RADIANS(F270))</f>
        <v/>
      </c>
      <c r="I270" s="80">
        <f>SIN(RADIANS('11_발전량_모델'!$B$17))*SIN(RADIANS(E270))+COS(RADIANS('11_발전량_모델'!$B$17))*COS(RADIANS(E270))*COS(RADIANS(F270))</f>
        <v/>
      </c>
      <c r="J270" s="80">
        <f>SIN(RADIANS('11_발전량_모델'!$B$7))*SIN(RADIANS('11_발전량_모델'!$B$8))</f>
        <v/>
      </c>
      <c r="K270" s="80">
        <f>SIN(RADIANS('11_발전량_모델'!$B$7))*COS(RADIANS('11_발전량_모델'!$B$8))</f>
        <v/>
      </c>
      <c r="L270" s="80">
        <f>COS(RADIANS('11_발전량_모델'!$B$7))</f>
        <v/>
      </c>
      <c r="M270" s="80">
        <f>G270*J270+H270*K270+I270*L270</f>
        <v/>
      </c>
      <c r="N270" s="80">
        <f>MAX(0,I270)</f>
        <v/>
      </c>
      <c r="O270" s="80">
        <f>IF(I270&gt;0,MAX(0,M270),0)</f>
        <v/>
      </c>
      <c r="P270" s="80">
        <f>IF($I270&gt;0,MAX(0,$G270*SIN(RADIANS('13_시나리오비교'!$B$5))*SIN(RADIANS('13_시나리오비교'!$C$5))+$H270*SIN(RADIANS('13_시나리오비교'!$B$5))*COS(RADIANS('13_시나리오비교'!$C$5))+$I270*COS(RADIANS('13_시나리오비교'!$B$5))),0)</f>
        <v/>
      </c>
      <c r="Q270" s="80">
        <f>IF($I270&gt;0,MAX(0,$G270*SIN(RADIANS('13_시나리오비교'!$B$6))*SIN(RADIANS('13_시나리오비교'!$C$6))+$H270*SIN(RADIANS('13_시나리오비교'!$B$6))*COS(RADIANS('13_시나리오비교'!$C$6))+$I270*COS(RADIANS('13_시나리오비교'!$B$6))),0)</f>
        <v/>
      </c>
      <c r="R270" s="80">
        <f>IF($I270&gt;0,MAX(0,$G270*SIN(RADIANS('13_시나리오비교'!$B$7))*SIN(RADIANS('13_시나리오비교'!$C$7))+$H270*SIN(RADIANS('13_시나리오비교'!$B$7))*COS(RADIANS('13_시나리오비교'!$C$7))+$I270*COS(RADIANS('13_시나리오비교'!$B$7))),0)</f>
        <v/>
      </c>
      <c r="S270" s="80">
        <f>IF($I270&gt;0,MAX(0,$G270*SIN(RADIANS('13_시나리오비교'!$B$8))*SIN(RADIANS('13_시나리오비교'!$C$8))+$H270*SIN(RADIANS('13_시나리오비교'!$B$8))*COS(RADIANS('13_시나리오비교'!$C$8))+$I270*COS(RADIANS('13_시나리오비교'!$B$8))),0)</f>
        <v/>
      </c>
      <c r="T270" s="80">
        <f>IF($I270&gt;0,MAX(0,$G270*SIN(RADIANS('13_시나리오비교'!$B$9))*SIN(RADIANS('13_시나리오비교'!$C$9))+$H270*SIN(RADIANS('13_시나리오비교'!$B$9))*COS(RADIANS('13_시나리오비교'!$C$9))+$I270*COS(RADIANS('13_시나리오비교'!$B$9))),0)</f>
        <v/>
      </c>
      <c r="U270" s="80">
        <f>IF($I270&gt;0,MAX(0,$G270*SIN(RADIANS('13_시나리오비교'!$B$10))*SIN(RADIANS('13_시나리오비교'!$C$10))+$H270*SIN(RADIANS('13_시나리오비교'!$B$10))*COS(RADIANS('13_시나리오비교'!$C$10))+$I270*COS(RADIANS('13_시나리오비교'!$B$10))),0)</f>
        <v/>
      </c>
      <c r="V270" s="80">
        <f>IF($I270&gt;0,MAX(0,$G270*SIN(RADIANS('13_시나리오비교'!$B$11))*SIN(RADIANS('13_시나리오비교'!$C$11))+$H270*SIN(RADIANS('13_시나리오비교'!$B$11))*COS(RADIANS('13_시나리오비교'!$C$11))+$I270*COS(RADIANS('13_시나리오비교'!$B$11))),0)</f>
        <v/>
      </c>
      <c r="W270" s="80">
        <f>IF($I270&gt;0,MAX(0,$G270*SIN(RADIANS('13_시나리오비교'!$B$12))*SIN(RADIANS('13_시나리오비교'!$C$12))+$H270*SIN(RADIANS('13_시나리오비교'!$B$12))*COS(RADIANS('13_시나리오비교'!$C$12))+$I270*COS(RADIANS('13_시나리오비교'!$B$12))),0)</f>
        <v/>
      </c>
      <c r="X270" s="80">
        <f>IF($I270&gt;0,MAX(0,$G270*SIN(RADIANS('13_시나리오비교'!$B$13))*SIN(RADIANS('13_시나리오비교'!$C$13))+$H270*SIN(RADIANS('13_시나리오비교'!$B$13))*COS(RADIANS('13_시나리오비교'!$C$13))+$I270*COS(RADIANS('13_시나리오비교'!$B$13))),0)</f>
        <v/>
      </c>
      <c r="Y270" s="80">
        <f>IF($I270&gt;0,MAX(0,$G270*SIN(RADIANS('13_시나리오비교'!$B$14))*SIN(RADIANS('13_시나리오비교'!$C$14))+$H270*SIN(RADIANS('13_시나리오비교'!$B$14))*COS(RADIANS('13_시나리오비교'!$C$14))+$I270*COS(RADIANS('13_시나리오비교'!$B$14))),0)</f>
        <v/>
      </c>
    </row>
    <row r="271" hidden="1" outlineLevel="1">
      <c r="A271" s="79" t="n">
        <v>3</v>
      </c>
      <c r="B271" s="79" t="n">
        <v>59</v>
      </c>
      <c r="C271" s="80">
        <f>(B271-0.5)*'14_지역·상수'!$H$6</f>
        <v/>
      </c>
      <c r="D271" s="79" t="n">
        <v>75</v>
      </c>
      <c r="E271" s="80">
        <f>INDEX($C$4:$C$15,MATCH(A271,$A$4:$A$15,0))</f>
        <v/>
      </c>
      <c r="F271" s="80">
        <f>15*(C271-12)</f>
        <v/>
      </c>
      <c r="G271" s="80">
        <f>-COS(RADIANS(E271))*SIN(RADIANS(F271))</f>
        <v/>
      </c>
      <c r="H271" s="80">
        <f>COS(RADIANS('11_발전량_모델'!$B$17))*SIN(RADIANS(E271))-SIN(RADIANS('11_발전량_모델'!$B$17))*COS(RADIANS(E271))*COS(RADIANS(F271))</f>
        <v/>
      </c>
      <c r="I271" s="80">
        <f>SIN(RADIANS('11_발전량_모델'!$B$17))*SIN(RADIANS(E271))+COS(RADIANS('11_발전량_모델'!$B$17))*COS(RADIANS(E271))*COS(RADIANS(F271))</f>
        <v/>
      </c>
      <c r="J271" s="80">
        <f>SIN(RADIANS('11_발전량_모델'!$B$7))*SIN(RADIANS('11_발전량_모델'!$B$8))</f>
        <v/>
      </c>
      <c r="K271" s="80">
        <f>SIN(RADIANS('11_발전량_모델'!$B$7))*COS(RADIANS('11_발전량_모델'!$B$8))</f>
        <v/>
      </c>
      <c r="L271" s="80">
        <f>COS(RADIANS('11_발전량_모델'!$B$7))</f>
        <v/>
      </c>
      <c r="M271" s="80">
        <f>G271*J271+H271*K271+I271*L271</f>
        <v/>
      </c>
      <c r="N271" s="80">
        <f>MAX(0,I271)</f>
        <v/>
      </c>
      <c r="O271" s="80">
        <f>IF(I271&gt;0,MAX(0,M271),0)</f>
        <v/>
      </c>
      <c r="P271" s="80">
        <f>IF($I271&gt;0,MAX(0,$G271*SIN(RADIANS('13_시나리오비교'!$B$5))*SIN(RADIANS('13_시나리오비교'!$C$5))+$H271*SIN(RADIANS('13_시나리오비교'!$B$5))*COS(RADIANS('13_시나리오비교'!$C$5))+$I271*COS(RADIANS('13_시나리오비교'!$B$5))),0)</f>
        <v/>
      </c>
      <c r="Q271" s="80">
        <f>IF($I271&gt;0,MAX(0,$G271*SIN(RADIANS('13_시나리오비교'!$B$6))*SIN(RADIANS('13_시나리오비교'!$C$6))+$H271*SIN(RADIANS('13_시나리오비교'!$B$6))*COS(RADIANS('13_시나리오비교'!$C$6))+$I271*COS(RADIANS('13_시나리오비교'!$B$6))),0)</f>
        <v/>
      </c>
      <c r="R271" s="80">
        <f>IF($I271&gt;0,MAX(0,$G271*SIN(RADIANS('13_시나리오비교'!$B$7))*SIN(RADIANS('13_시나리오비교'!$C$7))+$H271*SIN(RADIANS('13_시나리오비교'!$B$7))*COS(RADIANS('13_시나리오비교'!$C$7))+$I271*COS(RADIANS('13_시나리오비교'!$B$7))),0)</f>
        <v/>
      </c>
      <c r="S271" s="80">
        <f>IF($I271&gt;0,MAX(0,$G271*SIN(RADIANS('13_시나리오비교'!$B$8))*SIN(RADIANS('13_시나리오비교'!$C$8))+$H271*SIN(RADIANS('13_시나리오비교'!$B$8))*COS(RADIANS('13_시나리오비교'!$C$8))+$I271*COS(RADIANS('13_시나리오비교'!$B$8))),0)</f>
        <v/>
      </c>
      <c r="T271" s="80">
        <f>IF($I271&gt;0,MAX(0,$G271*SIN(RADIANS('13_시나리오비교'!$B$9))*SIN(RADIANS('13_시나리오비교'!$C$9))+$H271*SIN(RADIANS('13_시나리오비교'!$B$9))*COS(RADIANS('13_시나리오비교'!$C$9))+$I271*COS(RADIANS('13_시나리오비교'!$B$9))),0)</f>
        <v/>
      </c>
      <c r="U271" s="80">
        <f>IF($I271&gt;0,MAX(0,$G271*SIN(RADIANS('13_시나리오비교'!$B$10))*SIN(RADIANS('13_시나리오비교'!$C$10))+$H271*SIN(RADIANS('13_시나리오비교'!$B$10))*COS(RADIANS('13_시나리오비교'!$C$10))+$I271*COS(RADIANS('13_시나리오비교'!$B$10))),0)</f>
        <v/>
      </c>
      <c r="V271" s="80">
        <f>IF($I271&gt;0,MAX(0,$G271*SIN(RADIANS('13_시나리오비교'!$B$11))*SIN(RADIANS('13_시나리오비교'!$C$11))+$H271*SIN(RADIANS('13_시나리오비교'!$B$11))*COS(RADIANS('13_시나리오비교'!$C$11))+$I271*COS(RADIANS('13_시나리오비교'!$B$11))),0)</f>
        <v/>
      </c>
      <c r="W271" s="80">
        <f>IF($I271&gt;0,MAX(0,$G271*SIN(RADIANS('13_시나리오비교'!$B$12))*SIN(RADIANS('13_시나리오비교'!$C$12))+$H271*SIN(RADIANS('13_시나리오비교'!$B$12))*COS(RADIANS('13_시나리오비교'!$C$12))+$I271*COS(RADIANS('13_시나리오비교'!$B$12))),0)</f>
        <v/>
      </c>
      <c r="X271" s="80">
        <f>IF($I271&gt;0,MAX(0,$G271*SIN(RADIANS('13_시나리오비교'!$B$13))*SIN(RADIANS('13_시나리오비교'!$C$13))+$H271*SIN(RADIANS('13_시나리오비교'!$B$13))*COS(RADIANS('13_시나리오비교'!$C$13))+$I271*COS(RADIANS('13_시나리오비교'!$B$13))),0)</f>
        <v/>
      </c>
      <c r="Y271" s="80">
        <f>IF($I271&gt;0,MAX(0,$G271*SIN(RADIANS('13_시나리오비교'!$B$14))*SIN(RADIANS('13_시나리오비교'!$C$14))+$H271*SIN(RADIANS('13_시나리오비교'!$B$14))*COS(RADIANS('13_시나리오비교'!$C$14))+$I271*COS(RADIANS('13_시나리오비교'!$B$14))),0)</f>
        <v/>
      </c>
    </row>
    <row r="272" hidden="1" outlineLevel="1">
      <c r="A272" s="79" t="n">
        <v>3</v>
      </c>
      <c r="B272" s="79" t="n">
        <v>60</v>
      </c>
      <c r="C272" s="80">
        <f>(B272-0.5)*'14_지역·상수'!$H$6</f>
        <v/>
      </c>
      <c r="D272" s="79" t="n">
        <v>75</v>
      </c>
      <c r="E272" s="80">
        <f>INDEX($C$4:$C$15,MATCH(A272,$A$4:$A$15,0))</f>
        <v/>
      </c>
      <c r="F272" s="80">
        <f>15*(C272-12)</f>
        <v/>
      </c>
      <c r="G272" s="80">
        <f>-COS(RADIANS(E272))*SIN(RADIANS(F272))</f>
        <v/>
      </c>
      <c r="H272" s="80">
        <f>COS(RADIANS('11_발전량_모델'!$B$17))*SIN(RADIANS(E272))-SIN(RADIANS('11_발전량_모델'!$B$17))*COS(RADIANS(E272))*COS(RADIANS(F272))</f>
        <v/>
      </c>
      <c r="I272" s="80">
        <f>SIN(RADIANS('11_발전량_모델'!$B$17))*SIN(RADIANS(E272))+COS(RADIANS('11_발전량_모델'!$B$17))*COS(RADIANS(E272))*COS(RADIANS(F272))</f>
        <v/>
      </c>
      <c r="J272" s="80">
        <f>SIN(RADIANS('11_발전량_모델'!$B$7))*SIN(RADIANS('11_발전량_모델'!$B$8))</f>
        <v/>
      </c>
      <c r="K272" s="80">
        <f>SIN(RADIANS('11_발전량_모델'!$B$7))*COS(RADIANS('11_발전량_모델'!$B$8))</f>
        <v/>
      </c>
      <c r="L272" s="80">
        <f>COS(RADIANS('11_발전량_모델'!$B$7))</f>
        <v/>
      </c>
      <c r="M272" s="80">
        <f>G272*J272+H272*K272+I272*L272</f>
        <v/>
      </c>
      <c r="N272" s="80">
        <f>MAX(0,I272)</f>
        <v/>
      </c>
      <c r="O272" s="80">
        <f>IF(I272&gt;0,MAX(0,M272),0)</f>
        <v/>
      </c>
      <c r="P272" s="80">
        <f>IF($I272&gt;0,MAX(0,$G272*SIN(RADIANS('13_시나리오비교'!$B$5))*SIN(RADIANS('13_시나리오비교'!$C$5))+$H272*SIN(RADIANS('13_시나리오비교'!$B$5))*COS(RADIANS('13_시나리오비교'!$C$5))+$I272*COS(RADIANS('13_시나리오비교'!$B$5))),0)</f>
        <v/>
      </c>
      <c r="Q272" s="80">
        <f>IF($I272&gt;0,MAX(0,$G272*SIN(RADIANS('13_시나리오비교'!$B$6))*SIN(RADIANS('13_시나리오비교'!$C$6))+$H272*SIN(RADIANS('13_시나리오비교'!$B$6))*COS(RADIANS('13_시나리오비교'!$C$6))+$I272*COS(RADIANS('13_시나리오비교'!$B$6))),0)</f>
        <v/>
      </c>
      <c r="R272" s="80">
        <f>IF($I272&gt;0,MAX(0,$G272*SIN(RADIANS('13_시나리오비교'!$B$7))*SIN(RADIANS('13_시나리오비교'!$C$7))+$H272*SIN(RADIANS('13_시나리오비교'!$B$7))*COS(RADIANS('13_시나리오비교'!$C$7))+$I272*COS(RADIANS('13_시나리오비교'!$B$7))),0)</f>
        <v/>
      </c>
      <c r="S272" s="80">
        <f>IF($I272&gt;0,MAX(0,$G272*SIN(RADIANS('13_시나리오비교'!$B$8))*SIN(RADIANS('13_시나리오비교'!$C$8))+$H272*SIN(RADIANS('13_시나리오비교'!$B$8))*COS(RADIANS('13_시나리오비교'!$C$8))+$I272*COS(RADIANS('13_시나리오비교'!$B$8))),0)</f>
        <v/>
      </c>
      <c r="T272" s="80">
        <f>IF($I272&gt;0,MAX(0,$G272*SIN(RADIANS('13_시나리오비교'!$B$9))*SIN(RADIANS('13_시나리오비교'!$C$9))+$H272*SIN(RADIANS('13_시나리오비교'!$B$9))*COS(RADIANS('13_시나리오비교'!$C$9))+$I272*COS(RADIANS('13_시나리오비교'!$B$9))),0)</f>
        <v/>
      </c>
      <c r="U272" s="80">
        <f>IF($I272&gt;0,MAX(0,$G272*SIN(RADIANS('13_시나리오비교'!$B$10))*SIN(RADIANS('13_시나리오비교'!$C$10))+$H272*SIN(RADIANS('13_시나리오비교'!$B$10))*COS(RADIANS('13_시나리오비교'!$C$10))+$I272*COS(RADIANS('13_시나리오비교'!$B$10))),0)</f>
        <v/>
      </c>
      <c r="V272" s="80">
        <f>IF($I272&gt;0,MAX(0,$G272*SIN(RADIANS('13_시나리오비교'!$B$11))*SIN(RADIANS('13_시나리오비교'!$C$11))+$H272*SIN(RADIANS('13_시나리오비교'!$B$11))*COS(RADIANS('13_시나리오비교'!$C$11))+$I272*COS(RADIANS('13_시나리오비교'!$B$11))),0)</f>
        <v/>
      </c>
      <c r="W272" s="80">
        <f>IF($I272&gt;0,MAX(0,$G272*SIN(RADIANS('13_시나리오비교'!$B$12))*SIN(RADIANS('13_시나리오비교'!$C$12))+$H272*SIN(RADIANS('13_시나리오비교'!$B$12))*COS(RADIANS('13_시나리오비교'!$C$12))+$I272*COS(RADIANS('13_시나리오비교'!$B$12))),0)</f>
        <v/>
      </c>
      <c r="X272" s="80">
        <f>IF($I272&gt;0,MAX(0,$G272*SIN(RADIANS('13_시나리오비교'!$B$13))*SIN(RADIANS('13_시나리오비교'!$C$13))+$H272*SIN(RADIANS('13_시나리오비교'!$B$13))*COS(RADIANS('13_시나리오비교'!$C$13))+$I272*COS(RADIANS('13_시나리오비교'!$B$13))),0)</f>
        <v/>
      </c>
      <c r="Y272" s="80">
        <f>IF($I272&gt;0,MAX(0,$G272*SIN(RADIANS('13_시나리오비교'!$B$14))*SIN(RADIANS('13_시나리오비교'!$C$14))+$H272*SIN(RADIANS('13_시나리오비교'!$B$14))*COS(RADIANS('13_시나리오비교'!$C$14))+$I272*COS(RADIANS('13_시나리오비교'!$B$14))),0)</f>
        <v/>
      </c>
    </row>
    <row r="273" hidden="1" outlineLevel="1">
      <c r="A273" s="79" t="n">
        <v>3</v>
      </c>
      <c r="B273" s="79" t="n">
        <v>61</v>
      </c>
      <c r="C273" s="80">
        <f>(B273-0.5)*'14_지역·상수'!$H$6</f>
        <v/>
      </c>
      <c r="D273" s="79" t="n">
        <v>75</v>
      </c>
      <c r="E273" s="80">
        <f>INDEX($C$4:$C$15,MATCH(A273,$A$4:$A$15,0))</f>
        <v/>
      </c>
      <c r="F273" s="80">
        <f>15*(C273-12)</f>
        <v/>
      </c>
      <c r="G273" s="80">
        <f>-COS(RADIANS(E273))*SIN(RADIANS(F273))</f>
        <v/>
      </c>
      <c r="H273" s="80">
        <f>COS(RADIANS('11_발전량_모델'!$B$17))*SIN(RADIANS(E273))-SIN(RADIANS('11_발전량_모델'!$B$17))*COS(RADIANS(E273))*COS(RADIANS(F273))</f>
        <v/>
      </c>
      <c r="I273" s="80">
        <f>SIN(RADIANS('11_발전량_모델'!$B$17))*SIN(RADIANS(E273))+COS(RADIANS('11_발전량_모델'!$B$17))*COS(RADIANS(E273))*COS(RADIANS(F273))</f>
        <v/>
      </c>
      <c r="J273" s="80">
        <f>SIN(RADIANS('11_발전량_모델'!$B$7))*SIN(RADIANS('11_발전량_모델'!$B$8))</f>
        <v/>
      </c>
      <c r="K273" s="80">
        <f>SIN(RADIANS('11_발전량_모델'!$B$7))*COS(RADIANS('11_발전량_모델'!$B$8))</f>
        <v/>
      </c>
      <c r="L273" s="80">
        <f>COS(RADIANS('11_발전량_모델'!$B$7))</f>
        <v/>
      </c>
      <c r="M273" s="80">
        <f>G273*J273+H273*K273+I273*L273</f>
        <v/>
      </c>
      <c r="N273" s="80">
        <f>MAX(0,I273)</f>
        <v/>
      </c>
      <c r="O273" s="80">
        <f>IF(I273&gt;0,MAX(0,M273),0)</f>
        <v/>
      </c>
      <c r="P273" s="80">
        <f>IF($I273&gt;0,MAX(0,$G273*SIN(RADIANS('13_시나리오비교'!$B$5))*SIN(RADIANS('13_시나리오비교'!$C$5))+$H273*SIN(RADIANS('13_시나리오비교'!$B$5))*COS(RADIANS('13_시나리오비교'!$C$5))+$I273*COS(RADIANS('13_시나리오비교'!$B$5))),0)</f>
        <v/>
      </c>
      <c r="Q273" s="80">
        <f>IF($I273&gt;0,MAX(0,$G273*SIN(RADIANS('13_시나리오비교'!$B$6))*SIN(RADIANS('13_시나리오비교'!$C$6))+$H273*SIN(RADIANS('13_시나리오비교'!$B$6))*COS(RADIANS('13_시나리오비교'!$C$6))+$I273*COS(RADIANS('13_시나리오비교'!$B$6))),0)</f>
        <v/>
      </c>
      <c r="R273" s="80">
        <f>IF($I273&gt;0,MAX(0,$G273*SIN(RADIANS('13_시나리오비교'!$B$7))*SIN(RADIANS('13_시나리오비교'!$C$7))+$H273*SIN(RADIANS('13_시나리오비교'!$B$7))*COS(RADIANS('13_시나리오비교'!$C$7))+$I273*COS(RADIANS('13_시나리오비교'!$B$7))),0)</f>
        <v/>
      </c>
      <c r="S273" s="80">
        <f>IF($I273&gt;0,MAX(0,$G273*SIN(RADIANS('13_시나리오비교'!$B$8))*SIN(RADIANS('13_시나리오비교'!$C$8))+$H273*SIN(RADIANS('13_시나리오비교'!$B$8))*COS(RADIANS('13_시나리오비교'!$C$8))+$I273*COS(RADIANS('13_시나리오비교'!$B$8))),0)</f>
        <v/>
      </c>
      <c r="T273" s="80">
        <f>IF($I273&gt;0,MAX(0,$G273*SIN(RADIANS('13_시나리오비교'!$B$9))*SIN(RADIANS('13_시나리오비교'!$C$9))+$H273*SIN(RADIANS('13_시나리오비교'!$B$9))*COS(RADIANS('13_시나리오비교'!$C$9))+$I273*COS(RADIANS('13_시나리오비교'!$B$9))),0)</f>
        <v/>
      </c>
      <c r="U273" s="80">
        <f>IF($I273&gt;0,MAX(0,$G273*SIN(RADIANS('13_시나리오비교'!$B$10))*SIN(RADIANS('13_시나리오비교'!$C$10))+$H273*SIN(RADIANS('13_시나리오비교'!$B$10))*COS(RADIANS('13_시나리오비교'!$C$10))+$I273*COS(RADIANS('13_시나리오비교'!$B$10))),0)</f>
        <v/>
      </c>
      <c r="V273" s="80">
        <f>IF($I273&gt;0,MAX(0,$G273*SIN(RADIANS('13_시나리오비교'!$B$11))*SIN(RADIANS('13_시나리오비교'!$C$11))+$H273*SIN(RADIANS('13_시나리오비교'!$B$11))*COS(RADIANS('13_시나리오비교'!$C$11))+$I273*COS(RADIANS('13_시나리오비교'!$B$11))),0)</f>
        <v/>
      </c>
      <c r="W273" s="80">
        <f>IF($I273&gt;0,MAX(0,$G273*SIN(RADIANS('13_시나리오비교'!$B$12))*SIN(RADIANS('13_시나리오비교'!$C$12))+$H273*SIN(RADIANS('13_시나리오비교'!$B$12))*COS(RADIANS('13_시나리오비교'!$C$12))+$I273*COS(RADIANS('13_시나리오비교'!$B$12))),0)</f>
        <v/>
      </c>
      <c r="X273" s="80">
        <f>IF($I273&gt;0,MAX(0,$G273*SIN(RADIANS('13_시나리오비교'!$B$13))*SIN(RADIANS('13_시나리오비교'!$C$13))+$H273*SIN(RADIANS('13_시나리오비교'!$B$13))*COS(RADIANS('13_시나리오비교'!$C$13))+$I273*COS(RADIANS('13_시나리오비교'!$B$13))),0)</f>
        <v/>
      </c>
      <c r="Y273" s="80">
        <f>IF($I273&gt;0,MAX(0,$G273*SIN(RADIANS('13_시나리오비교'!$B$14))*SIN(RADIANS('13_시나리오비교'!$C$14))+$H273*SIN(RADIANS('13_시나리오비교'!$B$14))*COS(RADIANS('13_시나리오비교'!$C$14))+$I273*COS(RADIANS('13_시나리오비교'!$B$14))),0)</f>
        <v/>
      </c>
    </row>
    <row r="274" hidden="1" outlineLevel="1">
      <c r="A274" s="79" t="n">
        <v>3</v>
      </c>
      <c r="B274" s="79" t="n">
        <v>62</v>
      </c>
      <c r="C274" s="80">
        <f>(B274-0.5)*'14_지역·상수'!$H$6</f>
        <v/>
      </c>
      <c r="D274" s="79" t="n">
        <v>75</v>
      </c>
      <c r="E274" s="80">
        <f>INDEX($C$4:$C$15,MATCH(A274,$A$4:$A$15,0))</f>
        <v/>
      </c>
      <c r="F274" s="80">
        <f>15*(C274-12)</f>
        <v/>
      </c>
      <c r="G274" s="80">
        <f>-COS(RADIANS(E274))*SIN(RADIANS(F274))</f>
        <v/>
      </c>
      <c r="H274" s="80">
        <f>COS(RADIANS('11_발전량_모델'!$B$17))*SIN(RADIANS(E274))-SIN(RADIANS('11_발전량_모델'!$B$17))*COS(RADIANS(E274))*COS(RADIANS(F274))</f>
        <v/>
      </c>
      <c r="I274" s="80">
        <f>SIN(RADIANS('11_발전량_모델'!$B$17))*SIN(RADIANS(E274))+COS(RADIANS('11_발전량_모델'!$B$17))*COS(RADIANS(E274))*COS(RADIANS(F274))</f>
        <v/>
      </c>
      <c r="J274" s="80">
        <f>SIN(RADIANS('11_발전량_모델'!$B$7))*SIN(RADIANS('11_발전량_모델'!$B$8))</f>
        <v/>
      </c>
      <c r="K274" s="80">
        <f>SIN(RADIANS('11_발전량_모델'!$B$7))*COS(RADIANS('11_발전량_모델'!$B$8))</f>
        <v/>
      </c>
      <c r="L274" s="80">
        <f>COS(RADIANS('11_발전량_모델'!$B$7))</f>
        <v/>
      </c>
      <c r="M274" s="80">
        <f>G274*J274+H274*K274+I274*L274</f>
        <v/>
      </c>
      <c r="N274" s="80">
        <f>MAX(0,I274)</f>
        <v/>
      </c>
      <c r="O274" s="80">
        <f>IF(I274&gt;0,MAX(0,M274),0)</f>
        <v/>
      </c>
      <c r="P274" s="80">
        <f>IF($I274&gt;0,MAX(0,$G274*SIN(RADIANS('13_시나리오비교'!$B$5))*SIN(RADIANS('13_시나리오비교'!$C$5))+$H274*SIN(RADIANS('13_시나리오비교'!$B$5))*COS(RADIANS('13_시나리오비교'!$C$5))+$I274*COS(RADIANS('13_시나리오비교'!$B$5))),0)</f>
        <v/>
      </c>
      <c r="Q274" s="80">
        <f>IF($I274&gt;0,MAX(0,$G274*SIN(RADIANS('13_시나리오비교'!$B$6))*SIN(RADIANS('13_시나리오비교'!$C$6))+$H274*SIN(RADIANS('13_시나리오비교'!$B$6))*COS(RADIANS('13_시나리오비교'!$C$6))+$I274*COS(RADIANS('13_시나리오비교'!$B$6))),0)</f>
        <v/>
      </c>
      <c r="R274" s="80">
        <f>IF($I274&gt;0,MAX(0,$G274*SIN(RADIANS('13_시나리오비교'!$B$7))*SIN(RADIANS('13_시나리오비교'!$C$7))+$H274*SIN(RADIANS('13_시나리오비교'!$B$7))*COS(RADIANS('13_시나리오비교'!$C$7))+$I274*COS(RADIANS('13_시나리오비교'!$B$7))),0)</f>
        <v/>
      </c>
      <c r="S274" s="80">
        <f>IF($I274&gt;0,MAX(0,$G274*SIN(RADIANS('13_시나리오비교'!$B$8))*SIN(RADIANS('13_시나리오비교'!$C$8))+$H274*SIN(RADIANS('13_시나리오비교'!$B$8))*COS(RADIANS('13_시나리오비교'!$C$8))+$I274*COS(RADIANS('13_시나리오비교'!$B$8))),0)</f>
        <v/>
      </c>
      <c r="T274" s="80">
        <f>IF($I274&gt;0,MAX(0,$G274*SIN(RADIANS('13_시나리오비교'!$B$9))*SIN(RADIANS('13_시나리오비교'!$C$9))+$H274*SIN(RADIANS('13_시나리오비교'!$B$9))*COS(RADIANS('13_시나리오비교'!$C$9))+$I274*COS(RADIANS('13_시나리오비교'!$B$9))),0)</f>
        <v/>
      </c>
      <c r="U274" s="80">
        <f>IF($I274&gt;0,MAX(0,$G274*SIN(RADIANS('13_시나리오비교'!$B$10))*SIN(RADIANS('13_시나리오비교'!$C$10))+$H274*SIN(RADIANS('13_시나리오비교'!$B$10))*COS(RADIANS('13_시나리오비교'!$C$10))+$I274*COS(RADIANS('13_시나리오비교'!$B$10))),0)</f>
        <v/>
      </c>
      <c r="V274" s="80">
        <f>IF($I274&gt;0,MAX(0,$G274*SIN(RADIANS('13_시나리오비교'!$B$11))*SIN(RADIANS('13_시나리오비교'!$C$11))+$H274*SIN(RADIANS('13_시나리오비교'!$B$11))*COS(RADIANS('13_시나리오비교'!$C$11))+$I274*COS(RADIANS('13_시나리오비교'!$B$11))),0)</f>
        <v/>
      </c>
      <c r="W274" s="80">
        <f>IF($I274&gt;0,MAX(0,$G274*SIN(RADIANS('13_시나리오비교'!$B$12))*SIN(RADIANS('13_시나리오비교'!$C$12))+$H274*SIN(RADIANS('13_시나리오비교'!$B$12))*COS(RADIANS('13_시나리오비교'!$C$12))+$I274*COS(RADIANS('13_시나리오비교'!$B$12))),0)</f>
        <v/>
      </c>
      <c r="X274" s="80">
        <f>IF($I274&gt;0,MAX(0,$G274*SIN(RADIANS('13_시나리오비교'!$B$13))*SIN(RADIANS('13_시나리오비교'!$C$13))+$H274*SIN(RADIANS('13_시나리오비교'!$B$13))*COS(RADIANS('13_시나리오비교'!$C$13))+$I274*COS(RADIANS('13_시나리오비교'!$B$13))),0)</f>
        <v/>
      </c>
      <c r="Y274" s="80">
        <f>IF($I274&gt;0,MAX(0,$G274*SIN(RADIANS('13_시나리오비교'!$B$14))*SIN(RADIANS('13_시나리오비교'!$C$14))+$H274*SIN(RADIANS('13_시나리오비교'!$B$14))*COS(RADIANS('13_시나리오비교'!$C$14))+$I274*COS(RADIANS('13_시나리오비교'!$B$14))),0)</f>
        <v/>
      </c>
    </row>
    <row r="275" hidden="1" outlineLevel="1">
      <c r="A275" s="79" t="n">
        <v>3</v>
      </c>
      <c r="B275" s="79" t="n">
        <v>63</v>
      </c>
      <c r="C275" s="80">
        <f>(B275-0.5)*'14_지역·상수'!$H$6</f>
        <v/>
      </c>
      <c r="D275" s="79" t="n">
        <v>75</v>
      </c>
      <c r="E275" s="80">
        <f>INDEX($C$4:$C$15,MATCH(A275,$A$4:$A$15,0))</f>
        <v/>
      </c>
      <c r="F275" s="80">
        <f>15*(C275-12)</f>
        <v/>
      </c>
      <c r="G275" s="80">
        <f>-COS(RADIANS(E275))*SIN(RADIANS(F275))</f>
        <v/>
      </c>
      <c r="H275" s="80">
        <f>COS(RADIANS('11_발전량_모델'!$B$17))*SIN(RADIANS(E275))-SIN(RADIANS('11_발전량_모델'!$B$17))*COS(RADIANS(E275))*COS(RADIANS(F275))</f>
        <v/>
      </c>
      <c r="I275" s="80">
        <f>SIN(RADIANS('11_발전량_모델'!$B$17))*SIN(RADIANS(E275))+COS(RADIANS('11_발전량_모델'!$B$17))*COS(RADIANS(E275))*COS(RADIANS(F275))</f>
        <v/>
      </c>
      <c r="J275" s="80">
        <f>SIN(RADIANS('11_발전량_모델'!$B$7))*SIN(RADIANS('11_발전량_모델'!$B$8))</f>
        <v/>
      </c>
      <c r="K275" s="80">
        <f>SIN(RADIANS('11_발전량_모델'!$B$7))*COS(RADIANS('11_발전량_모델'!$B$8))</f>
        <v/>
      </c>
      <c r="L275" s="80">
        <f>COS(RADIANS('11_발전량_모델'!$B$7))</f>
        <v/>
      </c>
      <c r="M275" s="80">
        <f>G275*J275+H275*K275+I275*L275</f>
        <v/>
      </c>
      <c r="N275" s="80">
        <f>MAX(0,I275)</f>
        <v/>
      </c>
      <c r="O275" s="80">
        <f>IF(I275&gt;0,MAX(0,M275),0)</f>
        <v/>
      </c>
      <c r="P275" s="80">
        <f>IF($I275&gt;0,MAX(0,$G275*SIN(RADIANS('13_시나리오비교'!$B$5))*SIN(RADIANS('13_시나리오비교'!$C$5))+$H275*SIN(RADIANS('13_시나리오비교'!$B$5))*COS(RADIANS('13_시나리오비교'!$C$5))+$I275*COS(RADIANS('13_시나리오비교'!$B$5))),0)</f>
        <v/>
      </c>
      <c r="Q275" s="80">
        <f>IF($I275&gt;0,MAX(0,$G275*SIN(RADIANS('13_시나리오비교'!$B$6))*SIN(RADIANS('13_시나리오비교'!$C$6))+$H275*SIN(RADIANS('13_시나리오비교'!$B$6))*COS(RADIANS('13_시나리오비교'!$C$6))+$I275*COS(RADIANS('13_시나리오비교'!$B$6))),0)</f>
        <v/>
      </c>
      <c r="R275" s="80">
        <f>IF($I275&gt;0,MAX(0,$G275*SIN(RADIANS('13_시나리오비교'!$B$7))*SIN(RADIANS('13_시나리오비교'!$C$7))+$H275*SIN(RADIANS('13_시나리오비교'!$B$7))*COS(RADIANS('13_시나리오비교'!$C$7))+$I275*COS(RADIANS('13_시나리오비교'!$B$7))),0)</f>
        <v/>
      </c>
      <c r="S275" s="80">
        <f>IF($I275&gt;0,MAX(0,$G275*SIN(RADIANS('13_시나리오비교'!$B$8))*SIN(RADIANS('13_시나리오비교'!$C$8))+$H275*SIN(RADIANS('13_시나리오비교'!$B$8))*COS(RADIANS('13_시나리오비교'!$C$8))+$I275*COS(RADIANS('13_시나리오비교'!$B$8))),0)</f>
        <v/>
      </c>
      <c r="T275" s="80">
        <f>IF($I275&gt;0,MAX(0,$G275*SIN(RADIANS('13_시나리오비교'!$B$9))*SIN(RADIANS('13_시나리오비교'!$C$9))+$H275*SIN(RADIANS('13_시나리오비교'!$B$9))*COS(RADIANS('13_시나리오비교'!$C$9))+$I275*COS(RADIANS('13_시나리오비교'!$B$9))),0)</f>
        <v/>
      </c>
      <c r="U275" s="80">
        <f>IF($I275&gt;0,MAX(0,$G275*SIN(RADIANS('13_시나리오비교'!$B$10))*SIN(RADIANS('13_시나리오비교'!$C$10))+$H275*SIN(RADIANS('13_시나리오비교'!$B$10))*COS(RADIANS('13_시나리오비교'!$C$10))+$I275*COS(RADIANS('13_시나리오비교'!$B$10))),0)</f>
        <v/>
      </c>
      <c r="V275" s="80">
        <f>IF($I275&gt;0,MAX(0,$G275*SIN(RADIANS('13_시나리오비교'!$B$11))*SIN(RADIANS('13_시나리오비교'!$C$11))+$H275*SIN(RADIANS('13_시나리오비교'!$B$11))*COS(RADIANS('13_시나리오비교'!$C$11))+$I275*COS(RADIANS('13_시나리오비교'!$B$11))),0)</f>
        <v/>
      </c>
      <c r="W275" s="80">
        <f>IF($I275&gt;0,MAX(0,$G275*SIN(RADIANS('13_시나리오비교'!$B$12))*SIN(RADIANS('13_시나리오비교'!$C$12))+$H275*SIN(RADIANS('13_시나리오비교'!$B$12))*COS(RADIANS('13_시나리오비교'!$C$12))+$I275*COS(RADIANS('13_시나리오비교'!$B$12))),0)</f>
        <v/>
      </c>
      <c r="X275" s="80">
        <f>IF($I275&gt;0,MAX(0,$G275*SIN(RADIANS('13_시나리오비교'!$B$13))*SIN(RADIANS('13_시나리오비교'!$C$13))+$H275*SIN(RADIANS('13_시나리오비교'!$B$13))*COS(RADIANS('13_시나리오비교'!$C$13))+$I275*COS(RADIANS('13_시나리오비교'!$B$13))),0)</f>
        <v/>
      </c>
      <c r="Y275" s="80">
        <f>IF($I275&gt;0,MAX(0,$G275*SIN(RADIANS('13_시나리오비교'!$B$14))*SIN(RADIANS('13_시나리오비교'!$C$14))+$H275*SIN(RADIANS('13_시나리오비교'!$B$14))*COS(RADIANS('13_시나리오비교'!$C$14))+$I275*COS(RADIANS('13_시나리오비교'!$B$14))),0)</f>
        <v/>
      </c>
    </row>
    <row r="276" hidden="1" outlineLevel="1">
      <c r="A276" s="79" t="n">
        <v>3</v>
      </c>
      <c r="B276" s="79" t="n">
        <v>64</v>
      </c>
      <c r="C276" s="80">
        <f>(B276-0.5)*'14_지역·상수'!$H$6</f>
        <v/>
      </c>
      <c r="D276" s="79" t="n">
        <v>75</v>
      </c>
      <c r="E276" s="80">
        <f>INDEX($C$4:$C$15,MATCH(A276,$A$4:$A$15,0))</f>
        <v/>
      </c>
      <c r="F276" s="80">
        <f>15*(C276-12)</f>
        <v/>
      </c>
      <c r="G276" s="80">
        <f>-COS(RADIANS(E276))*SIN(RADIANS(F276))</f>
        <v/>
      </c>
      <c r="H276" s="80">
        <f>COS(RADIANS('11_발전량_모델'!$B$17))*SIN(RADIANS(E276))-SIN(RADIANS('11_발전량_모델'!$B$17))*COS(RADIANS(E276))*COS(RADIANS(F276))</f>
        <v/>
      </c>
      <c r="I276" s="80">
        <f>SIN(RADIANS('11_발전량_모델'!$B$17))*SIN(RADIANS(E276))+COS(RADIANS('11_발전량_모델'!$B$17))*COS(RADIANS(E276))*COS(RADIANS(F276))</f>
        <v/>
      </c>
      <c r="J276" s="80">
        <f>SIN(RADIANS('11_발전량_모델'!$B$7))*SIN(RADIANS('11_발전량_모델'!$B$8))</f>
        <v/>
      </c>
      <c r="K276" s="80">
        <f>SIN(RADIANS('11_발전량_모델'!$B$7))*COS(RADIANS('11_발전량_모델'!$B$8))</f>
        <v/>
      </c>
      <c r="L276" s="80">
        <f>COS(RADIANS('11_발전량_모델'!$B$7))</f>
        <v/>
      </c>
      <c r="M276" s="80">
        <f>G276*J276+H276*K276+I276*L276</f>
        <v/>
      </c>
      <c r="N276" s="80">
        <f>MAX(0,I276)</f>
        <v/>
      </c>
      <c r="O276" s="80">
        <f>IF(I276&gt;0,MAX(0,M276),0)</f>
        <v/>
      </c>
      <c r="P276" s="80">
        <f>IF($I276&gt;0,MAX(0,$G276*SIN(RADIANS('13_시나리오비교'!$B$5))*SIN(RADIANS('13_시나리오비교'!$C$5))+$H276*SIN(RADIANS('13_시나리오비교'!$B$5))*COS(RADIANS('13_시나리오비교'!$C$5))+$I276*COS(RADIANS('13_시나리오비교'!$B$5))),0)</f>
        <v/>
      </c>
      <c r="Q276" s="80">
        <f>IF($I276&gt;0,MAX(0,$G276*SIN(RADIANS('13_시나리오비교'!$B$6))*SIN(RADIANS('13_시나리오비교'!$C$6))+$H276*SIN(RADIANS('13_시나리오비교'!$B$6))*COS(RADIANS('13_시나리오비교'!$C$6))+$I276*COS(RADIANS('13_시나리오비교'!$B$6))),0)</f>
        <v/>
      </c>
      <c r="R276" s="80">
        <f>IF($I276&gt;0,MAX(0,$G276*SIN(RADIANS('13_시나리오비교'!$B$7))*SIN(RADIANS('13_시나리오비교'!$C$7))+$H276*SIN(RADIANS('13_시나리오비교'!$B$7))*COS(RADIANS('13_시나리오비교'!$C$7))+$I276*COS(RADIANS('13_시나리오비교'!$B$7))),0)</f>
        <v/>
      </c>
      <c r="S276" s="80">
        <f>IF($I276&gt;0,MAX(0,$G276*SIN(RADIANS('13_시나리오비교'!$B$8))*SIN(RADIANS('13_시나리오비교'!$C$8))+$H276*SIN(RADIANS('13_시나리오비교'!$B$8))*COS(RADIANS('13_시나리오비교'!$C$8))+$I276*COS(RADIANS('13_시나리오비교'!$B$8))),0)</f>
        <v/>
      </c>
      <c r="T276" s="80">
        <f>IF($I276&gt;0,MAX(0,$G276*SIN(RADIANS('13_시나리오비교'!$B$9))*SIN(RADIANS('13_시나리오비교'!$C$9))+$H276*SIN(RADIANS('13_시나리오비교'!$B$9))*COS(RADIANS('13_시나리오비교'!$C$9))+$I276*COS(RADIANS('13_시나리오비교'!$B$9))),0)</f>
        <v/>
      </c>
      <c r="U276" s="80">
        <f>IF($I276&gt;0,MAX(0,$G276*SIN(RADIANS('13_시나리오비교'!$B$10))*SIN(RADIANS('13_시나리오비교'!$C$10))+$H276*SIN(RADIANS('13_시나리오비교'!$B$10))*COS(RADIANS('13_시나리오비교'!$C$10))+$I276*COS(RADIANS('13_시나리오비교'!$B$10))),0)</f>
        <v/>
      </c>
      <c r="V276" s="80">
        <f>IF($I276&gt;0,MAX(0,$G276*SIN(RADIANS('13_시나리오비교'!$B$11))*SIN(RADIANS('13_시나리오비교'!$C$11))+$H276*SIN(RADIANS('13_시나리오비교'!$B$11))*COS(RADIANS('13_시나리오비교'!$C$11))+$I276*COS(RADIANS('13_시나리오비교'!$B$11))),0)</f>
        <v/>
      </c>
      <c r="W276" s="80">
        <f>IF($I276&gt;0,MAX(0,$G276*SIN(RADIANS('13_시나리오비교'!$B$12))*SIN(RADIANS('13_시나리오비교'!$C$12))+$H276*SIN(RADIANS('13_시나리오비교'!$B$12))*COS(RADIANS('13_시나리오비교'!$C$12))+$I276*COS(RADIANS('13_시나리오비교'!$B$12))),0)</f>
        <v/>
      </c>
      <c r="X276" s="80">
        <f>IF($I276&gt;0,MAX(0,$G276*SIN(RADIANS('13_시나리오비교'!$B$13))*SIN(RADIANS('13_시나리오비교'!$C$13))+$H276*SIN(RADIANS('13_시나리오비교'!$B$13))*COS(RADIANS('13_시나리오비교'!$C$13))+$I276*COS(RADIANS('13_시나리오비교'!$B$13))),0)</f>
        <v/>
      </c>
      <c r="Y276" s="80">
        <f>IF($I276&gt;0,MAX(0,$G276*SIN(RADIANS('13_시나리오비교'!$B$14))*SIN(RADIANS('13_시나리오비교'!$C$14))+$H276*SIN(RADIANS('13_시나리오비교'!$B$14))*COS(RADIANS('13_시나리오비교'!$C$14))+$I276*COS(RADIANS('13_시나리오비교'!$B$14))),0)</f>
        <v/>
      </c>
    </row>
    <row r="277" hidden="1" outlineLevel="1">
      <c r="A277" s="79" t="n">
        <v>3</v>
      </c>
      <c r="B277" s="79" t="n">
        <v>65</v>
      </c>
      <c r="C277" s="80">
        <f>(B277-0.5)*'14_지역·상수'!$H$6</f>
        <v/>
      </c>
      <c r="D277" s="79" t="n">
        <v>75</v>
      </c>
      <c r="E277" s="80">
        <f>INDEX($C$4:$C$15,MATCH(A277,$A$4:$A$15,0))</f>
        <v/>
      </c>
      <c r="F277" s="80">
        <f>15*(C277-12)</f>
        <v/>
      </c>
      <c r="G277" s="80">
        <f>-COS(RADIANS(E277))*SIN(RADIANS(F277))</f>
        <v/>
      </c>
      <c r="H277" s="80">
        <f>COS(RADIANS('11_발전량_모델'!$B$17))*SIN(RADIANS(E277))-SIN(RADIANS('11_발전량_모델'!$B$17))*COS(RADIANS(E277))*COS(RADIANS(F277))</f>
        <v/>
      </c>
      <c r="I277" s="80">
        <f>SIN(RADIANS('11_발전량_모델'!$B$17))*SIN(RADIANS(E277))+COS(RADIANS('11_발전량_모델'!$B$17))*COS(RADIANS(E277))*COS(RADIANS(F277))</f>
        <v/>
      </c>
      <c r="J277" s="80">
        <f>SIN(RADIANS('11_발전량_모델'!$B$7))*SIN(RADIANS('11_발전량_모델'!$B$8))</f>
        <v/>
      </c>
      <c r="K277" s="80">
        <f>SIN(RADIANS('11_발전량_모델'!$B$7))*COS(RADIANS('11_발전량_모델'!$B$8))</f>
        <v/>
      </c>
      <c r="L277" s="80">
        <f>COS(RADIANS('11_발전량_모델'!$B$7))</f>
        <v/>
      </c>
      <c r="M277" s="80">
        <f>G277*J277+H277*K277+I277*L277</f>
        <v/>
      </c>
      <c r="N277" s="80">
        <f>MAX(0,I277)</f>
        <v/>
      </c>
      <c r="O277" s="80">
        <f>IF(I277&gt;0,MAX(0,M277),0)</f>
        <v/>
      </c>
      <c r="P277" s="80">
        <f>IF($I277&gt;0,MAX(0,$G277*SIN(RADIANS('13_시나리오비교'!$B$5))*SIN(RADIANS('13_시나리오비교'!$C$5))+$H277*SIN(RADIANS('13_시나리오비교'!$B$5))*COS(RADIANS('13_시나리오비교'!$C$5))+$I277*COS(RADIANS('13_시나리오비교'!$B$5))),0)</f>
        <v/>
      </c>
      <c r="Q277" s="80">
        <f>IF($I277&gt;0,MAX(0,$G277*SIN(RADIANS('13_시나리오비교'!$B$6))*SIN(RADIANS('13_시나리오비교'!$C$6))+$H277*SIN(RADIANS('13_시나리오비교'!$B$6))*COS(RADIANS('13_시나리오비교'!$C$6))+$I277*COS(RADIANS('13_시나리오비교'!$B$6))),0)</f>
        <v/>
      </c>
      <c r="R277" s="80">
        <f>IF($I277&gt;0,MAX(0,$G277*SIN(RADIANS('13_시나리오비교'!$B$7))*SIN(RADIANS('13_시나리오비교'!$C$7))+$H277*SIN(RADIANS('13_시나리오비교'!$B$7))*COS(RADIANS('13_시나리오비교'!$C$7))+$I277*COS(RADIANS('13_시나리오비교'!$B$7))),0)</f>
        <v/>
      </c>
      <c r="S277" s="80">
        <f>IF($I277&gt;0,MAX(0,$G277*SIN(RADIANS('13_시나리오비교'!$B$8))*SIN(RADIANS('13_시나리오비교'!$C$8))+$H277*SIN(RADIANS('13_시나리오비교'!$B$8))*COS(RADIANS('13_시나리오비교'!$C$8))+$I277*COS(RADIANS('13_시나리오비교'!$B$8))),0)</f>
        <v/>
      </c>
      <c r="T277" s="80">
        <f>IF($I277&gt;0,MAX(0,$G277*SIN(RADIANS('13_시나리오비교'!$B$9))*SIN(RADIANS('13_시나리오비교'!$C$9))+$H277*SIN(RADIANS('13_시나리오비교'!$B$9))*COS(RADIANS('13_시나리오비교'!$C$9))+$I277*COS(RADIANS('13_시나리오비교'!$B$9))),0)</f>
        <v/>
      </c>
      <c r="U277" s="80">
        <f>IF($I277&gt;0,MAX(0,$G277*SIN(RADIANS('13_시나리오비교'!$B$10))*SIN(RADIANS('13_시나리오비교'!$C$10))+$H277*SIN(RADIANS('13_시나리오비교'!$B$10))*COS(RADIANS('13_시나리오비교'!$C$10))+$I277*COS(RADIANS('13_시나리오비교'!$B$10))),0)</f>
        <v/>
      </c>
      <c r="V277" s="80">
        <f>IF($I277&gt;0,MAX(0,$G277*SIN(RADIANS('13_시나리오비교'!$B$11))*SIN(RADIANS('13_시나리오비교'!$C$11))+$H277*SIN(RADIANS('13_시나리오비교'!$B$11))*COS(RADIANS('13_시나리오비교'!$C$11))+$I277*COS(RADIANS('13_시나리오비교'!$B$11))),0)</f>
        <v/>
      </c>
      <c r="W277" s="80">
        <f>IF($I277&gt;0,MAX(0,$G277*SIN(RADIANS('13_시나리오비교'!$B$12))*SIN(RADIANS('13_시나리오비교'!$C$12))+$H277*SIN(RADIANS('13_시나리오비교'!$B$12))*COS(RADIANS('13_시나리오비교'!$C$12))+$I277*COS(RADIANS('13_시나리오비교'!$B$12))),0)</f>
        <v/>
      </c>
      <c r="X277" s="80">
        <f>IF($I277&gt;0,MAX(0,$G277*SIN(RADIANS('13_시나리오비교'!$B$13))*SIN(RADIANS('13_시나리오비교'!$C$13))+$H277*SIN(RADIANS('13_시나리오비교'!$B$13))*COS(RADIANS('13_시나리오비교'!$C$13))+$I277*COS(RADIANS('13_시나리오비교'!$B$13))),0)</f>
        <v/>
      </c>
      <c r="Y277" s="80">
        <f>IF($I277&gt;0,MAX(0,$G277*SIN(RADIANS('13_시나리오비교'!$B$14))*SIN(RADIANS('13_시나리오비교'!$C$14))+$H277*SIN(RADIANS('13_시나리오비교'!$B$14))*COS(RADIANS('13_시나리오비교'!$C$14))+$I277*COS(RADIANS('13_시나리오비교'!$B$14))),0)</f>
        <v/>
      </c>
    </row>
    <row r="278" hidden="1" outlineLevel="1">
      <c r="A278" s="79" t="n">
        <v>3</v>
      </c>
      <c r="B278" s="79" t="n">
        <v>66</v>
      </c>
      <c r="C278" s="80">
        <f>(B278-0.5)*'14_지역·상수'!$H$6</f>
        <v/>
      </c>
      <c r="D278" s="79" t="n">
        <v>75</v>
      </c>
      <c r="E278" s="80">
        <f>INDEX($C$4:$C$15,MATCH(A278,$A$4:$A$15,0))</f>
        <v/>
      </c>
      <c r="F278" s="80">
        <f>15*(C278-12)</f>
        <v/>
      </c>
      <c r="G278" s="80">
        <f>-COS(RADIANS(E278))*SIN(RADIANS(F278))</f>
        <v/>
      </c>
      <c r="H278" s="80">
        <f>COS(RADIANS('11_발전량_모델'!$B$17))*SIN(RADIANS(E278))-SIN(RADIANS('11_발전량_모델'!$B$17))*COS(RADIANS(E278))*COS(RADIANS(F278))</f>
        <v/>
      </c>
      <c r="I278" s="80">
        <f>SIN(RADIANS('11_발전량_모델'!$B$17))*SIN(RADIANS(E278))+COS(RADIANS('11_발전량_모델'!$B$17))*COS(RADIANS(E278))*COS(RADIANS(F278))</f>
        <v/>
      </c>
      <c r="J278" s="80">
        <f>SIN(RADIANS('11_발전량_모델'!$B$7))*SIN(RADIANS('11_발전량_모델'!$B$8))</f>
        <v/>
      </c>
      <c r="K278" s="80">
        <f>SIN(RADIANS('11_발전량_모델'!$B$7))*COS(RADIANS('11_발전량_모델'!$B$8))</f>
        <v/>
      </c>
      <c r="L278" s="80">
        <f>COS(RADIANS('11_발전량_모델'!$B$7))</f>
        <v/>
      </c>
      <c r="M278" s="80">
        <f>G278*J278+H278*K278+I278*L278</f>
        <v/>
      </c>
      <c r="N278" s="80">
        <f>MAX(0,I278)</f>
        <v/>
      </c>
      <c r="O278" s="80">
        <f>IF(I278&gt;0,MAX(0,M278),0)</f>
        <v/>
      </c>
      <c r="P278" s="80">
        <f>IF($I278&gt;0,MAX(0,$G278*SIN(RADIANS('13_시나리오비교'!$B$5))*SIN(RADIANS('13_시나리오비교'!$C$5))+$H278*SIN(RADIANS('13_시나리오비교'!$B$5))*COS(RADIANS('13_시나리오비교'!$C$5))+$I278*COS(RADIANS('13_시나리오비교'!$B$5))),0)</f>
        <v/>
      </c>
      <c r="Q278" s="80">
        <f>IF($I278&gt;0,MAX(0,$G278*SIN(RADIANS('13_시나리오비교'!$B$6))*SIN(RADIANS('13_시나리오비교'!$C$6))+$H278*SIN(RADIANS('13_시나리오비교'!$B$6))*COS(RADIANS('13_시나리오비교'!$C$6))+$I278*COS(RADIANS('13_시나리오비교'!$B$6))),0)</f>
        <v/>
      </c>
      <c r="R278" s="80">
        <f>IF($I278&gt;0,MAX(0,$G278*SIN(RADIANS('13_시나리오비교'!$B$7))*SIN(RADIANS('13_시나리오비교'!$C$7))+$H278*SIN(RADIANS('13_시나리오비교'!$B$7))*COS(RADIANS('13_시나리오비교'!$C$7))+$I278*COS(RADIANS('13_시나리오비교'!$B$7))),0)</f>
        <v/>
      </c>
      <c r="S278" s="80">
        <f>IF($I278&gt;0,MAX(0,$G278*SIN(RADIANS('13_시나리오비교'!$B$8))*SIN(RADIANS('13_시나리오비교'!$C$8))+$H278*SIN(RADIANS('13_시나리오비교'!$B$8))*COS(RADIANS('13_시나리오비교'!$C$8))+$I278*COS(RADIANS('13_시나리오비교'!$B$8))),0)</f>
        <v/>
      </c>
      <c r="T278" s="80">
        <f>IF($I278&gt;0,MAX(0,$G278*SIN(RADIANS('13_시나리오비교'!$B$9))*SIN(RADIANS('13_시나리오비교'!$C$9))+$H278*SIN(RADIANS('13_시나리오비교'!$B$9))*COS(RADIANS('13_시나리오비교'!$C$9))+$I278*COS(RADIANS('13_시나리오비교'!$B$9))),0)</f>
        <v/>
      </c>
      <c r="U278" s="80">
        <f>IF($I278&gt;0,MAX(0,$G278*SIN(RADIANS('13_시나리오비교'!$B$10))*SIN(RADIANS('13_시나리오비교'!$C$10))+$H278*SIN(RADIANS('13_시나리오비교'!$B$10))*COS(RADIANS('13_시나리오비교'!$C$10))+$I278*COS(RADIANS('13_시나리오비교'!$B$10))),0)</f>
        <v/>
      </c>
      <c r="V278" s="80">
        <f>IF($I278&gt;0,MAX(0,$G278*SIN(RADIANS('13_시나리오비교'!$B$11))*SIN(RADIANS('13_시나리오비교'!$C$11))+$H278*SIN(RADIANS('13_시나리오비교'!$B$11))*COS(RADIANS('13_시나리오비교'!$C$11))+$I278*COS(RADIANS('13_시나리오비교'!$B$11))),0)</f>
        <v/>
      </c>
      <c r="W278" s="80">
        <f>IF($I278&gt;0,MAX(0,$G278*SIN(RADIANS('13_시나리오비교'!$B$12))*SIN(RADIANS('13_시나리오비교'!$C$12))+$H278*SIN(RADIANS('13_시나리오비교'!$B$12))*COS(RADIANS('13_시나리오비교'!$C$12))+$I278*COS(RADIANS('13_시나리오비교'!$B$12))),0)</f>
        <v/>
      </c>
      <c r="X278" s="80">
        <f>IF($I278&gt;0,MAX(0,$G278*SIN(RADIANS('13_시나리오비교'!$B$13))*SIN(RADIANS('13_시나리오비교'!$C$13))+$H278*SIN(RADIANS('13_시나리오비교'!$B$13))*COS(RADIANS('13_시나리오비교'!$C$13))+$I278*COS(RADIANS('13_시나리오비교'!$B$13))),0)</f>
        <v/>
      </c>
      <c r="Y278" s="80">
        <f>IF($I278&gt;0,MAX(0,$G278*SIN(RADIANS('13_시나리오비교'!$B$14))*SIN(RADIANS('13_시나리오비교'!$C$14))+$H278*SIN(RADIANS('13_시나리오비교'!$B$14))*COS(RADIANS('13_시나리오비교'!$C$14))+$I278*COS(RADIANS('13_시나리오비교'!$B$14))),0)</f>
        <v/>
      </c>
    </row>
    <row r="279" hidden="1" outlineLevel="1">
      <c r="A279" s="79" t="n">
        <v>3</v>
      </c>
      <c r="B279" s="79" t="n">
        <v>67</v>
      </c>
      <c r="C279" s="80">
        <f>(B279-0.5)*'14_지역·상수'!$H$6</f>
        <v/>
      </c>
      <c r="D279" s="79" t="n">
        <v>75</v>
      </c>
      <c r="E279" s="80">
        <f>INDEX($C$4:$C$15,MATCH(A279,$A$4:$A$15,0))</f>
        <v/>
      </c>
      <c r="F279" s="80">
        <f>15*(C279-12)</f>
        <v/>
      </c>
      <c r="G279" s="80">
        <f>-COS(RADIANS(E279))*SIN(RADIANS(F279))</f>
        <v/>
      </c>
      <c r="H279" s="80">
        <f>COS(RADIANS('11_발전량_모델'!$B$17))*SIN(RADIANS(E279))-SIN(RADIANS('11_발전량_모델'!$B$17))*COS(RADIANS(E279))*COS(RADIANS(F279))</f>
        <v/>
      </c>
      <c r="I279" s="80">
        <f>SIN(RADIANS('11_발전량_모델'!$B$17))*SIN(RADIANS(E279))+COS(RADIANS('11_발전량_모델'!$B$17))*COS(RADIANS(E279))*COS(RADIANS(F279))</f>
        <v/>
      </c>
      <c r="J279" s="80">
        <f>SIN(RADIANS('11_발전량_모델'!$B$7))*SIN(RADIANS('11_발전량_모델'!$B$8))</f>
        <v/>
      </c>
      <c r="K279" s="80">
        <f>SIN(RADIANS('11_발전량_모델'!$B$7))*COS(RADIANS('11_발전량_모델'!$B$8))</f>
        <v/>
      </c>
      <c r="L279" s="80">
        <f>COS(RADIANS('11_발전량_모델'!$B$7))</f>
        <v/>
      </c>
      <c r="M279" s="80">
        <f>G279*J279+H279*K279+I279*L279</f>
        <v/>
      </c>
      <c r="N279" s="80">
        <f>MAX(0,I279)</f>
        <v/>
      </c>
      <c r="O279" s="80">
        <f>IF(I279&gt;0,MAX(0,M279),0)</f>
        <v/>
      </c>
      <c r="P279" s="80">
        <f>IF($I279&gt;0,MAX(0,$G279*SIN(RADIANS('13_시나리오비교'!$B$5))*SIN(RADIANS('13_시나리오비교'!$C$5))+$H279*SIN(RADIANS('13_시나리오비교'!$B$5))*COS(RADIANS('13_시나리오비교'!$C$5))+$I279*COS(RADIANS('13_시나리오비교'!$B$5))),0)</f>
        <v/>
      </c>
      <c r="Q279" s="80">
        <f>IF($I279&gt;0,MAX(0,$G279*SIN(RADIANS('13_시나리오비교'!$B$6))*SIN(RADIANS('13_시나리오비교'!$C$6))+$H279*SIN(RADIANS('13_시나리오비교'!$B$6))*COS(RADIANS('13_시나리오비교'!$C$6))+$I279*COS(RADIANS('13_시나리오비교'!$B$6))),0)</f>
        <v/>
      </c>
      <c r="R279" s="80">
        <f>IF($I279&gt;0,MAX(0,$G279*SIN(RADIANS('13_시나리오비교'!$B$7))*SIN(RADIANS('13_시나리오비교'!$C$7))+$H279*SIN(RADIANS('13_시나리오비교'!$B$7))*COS(RADIANS('13_시나리오비교'!$C$7))+$I279*COS(RADIANS('13_시나리오비교'!$B$7))),0)</f>
        <v/>
      </c>
      <c r="S279" s="80">
        <f>IF($I279&gt;0,MAX(0,$G279*SIN(RADIANS('13_시나리오비교'!$B$8))*SIN(RADIANS('13_시나리오비교'!$C$8))+$H279*SIN(RADIANS('13_시나리오비교'!$B$8))*COS(RADIANS('13_시나리오비교'!$C$8))+$I279*COS(RADIANS('13_시나리오비교'!$B$8))),0)</f>
        <v/>
      </c>
      <c r="T279" s="80">
        <f>IF($I279&gt;0,MAX(0,$G279*SIN(RADIANS('13_시나리오비교'!$B$9))*SIN(RADIANS('13_시나리오비교'!$C$9))+$H279*SIN(RADIANS('13_시나리오비교'!$B$9))*COS(RADIANS('13_시나리오비교'!$C$9))+$I279*COS(RADIANS('13_시나리오비교'!$B$9))),0)</f>
        <v/>
      </c>
      <c r="U279" s="80">
        <f>IF($I279&gt;0,MAX(0,$G279*SIN(RADIANS('13_시나리오비교'!$B$10))*SIN(RADIANS('13_시나리오비교'!$C$10))+$H279*SIN(RADIANS('13_시나리오비교'!$B$10))*COS(RADIANS('13_시나리오비교'!$C$10))+$I279*COS(RADIANS('13_시나리오비교'!$B$10))),0)</f>
        <v/>
      </c>
      <c r="V279" s="80">
        <f>IF($I279&gt;0,MAX(0,$G279*SIN(RADIANS('13_시나리오비교'!$B$11))*SIN(RADIANS('13_시나리오비교'!$C$11))+$H279*SIN(RADIANS('13_시나리오비교'!$B$11))*COS(RADIANS('13_시나리오비교'!$C$11))+$I279*COS(RADIANS('13_시나리오비교'!$B$11))),0)</f>
        <v/>
      </c>
      <c r="W279" s="80">
        <f>IF($I279&gt;0,MAX(0,$G279*SIN(RADIANS('13_시나리오비교'!$B$12))*SIN(RADIANS('13_시나리오비교'!$C$12))+$H279*SIN(RADIANS('13_시나리오비교'!$B$12))*COS(RADIANS('13_시나리오비교'!$C$12))+$I279*COS(RADIANS('13_시나리오비교'!$B$12))),0)</f>
        <v/>
      </c>
      <c r="X279" s="80">
        <f>IF($I279&gt;0,MAX(0,$G279*SIN(RADIANS('13_시나리오비교'!$B$13))*SIN(RADIANS('13_시나리오비교'!$C$13))+$H279*SIN(RADIANS('13_시나리오비교'!$B$13))*COS(RADIANS('13_시나리오비교'!$C$13))+$I279*COS(RADIANS('13_시나리오비교'!$B$13))),0)</f>
        <v/>
      </c>
      <c r="Y279" s="80">
        <f>IF($I279&gt;0,MAX(0,$G279*SIN(RADIANS('13_시나리오비교'!$B$14))*SIN(RADIANS('13_시나리오비교'!$C$14))+$H279*SIN(RADIANS('13_시나리오비교'!$B$14))*COS(RADIANS('13_시나리오비교'!$C$14))+$I279*COS(RADIANS('13_시나리오비교'!$B$14))),0)</f>
        <v/>
      </c>
    </row>
    <row r="280" hidden="1" outlineLevel="1">
      <c r="A280" s="79" t="n">
        <v>3</v>
      </c>
      <c r="B280" s="79" t="n">
        <v>68</v>
      </c>
      <c r="C280" s="80">
        <f>(B280-0.5)*'14_지역·상수'!$H$6</f>
        <v/>
      </c>
      <c r="D280" s="79" t="n">
        <v>75</v>
      </c>
      <c r="E280" s="80">
        <f>INDEX($C$4:$C$15,MATCH(A280,$A$4:$A$15,0))</f>
        <v/>
      </c>
      <c r="F280" s="80">
        <f>15*(C280-12)</f>
        <v/>
      </c>
      <c r="G280" s="80">
        <f>-COS(RADIANS(E280))*SIN(RADIANS(F280))</f>
        <v/>
      </c>
      <c r="H280" s="80">
        <f>COS(RADIANS('11_발전량_모델'!$B$17))*SIN(RADIANS(E280))-SIN(RADIANS('11_발전량_모델'!$B$17))*COS(RADIANS(E280))*COS(RADIANS(F280))</f>
        <v/>
      </c>
      <c r="I280" s="80">
        <f>SIN(RADIANS('11_발전량_모델'!$B$17))*SIN(RADIANS(E280))+COS(RADIANS('11_발전량_모델'!$B$17))*COS(RADIANS(E280))*COS(RADIANS(F280))</f>
        <v/>
      </c>
      <c r="J280" s="80">
        <f>SIN(RADIANS('11_발전량_모델'!$B$7))*SIN(RADIANS('11_발전량_모델'!$B$8))</f>
        <v/>
      </c>
      <c r="K280" s="80">
        <f>SIN(RADIANS('11_발전량_모델'!$B$7))*COS(RADIANS('11_발전량_모델'!$B$8))</f>
        <v/>
      </c>
      <c r="L280" s="80">
        <f>COS(RADIANS('11_발전량_모델'!$B$7))</f>
        <v/>
      </c>
      <c r="M280" s="80">
        <f>G280*J280+H280*K280+I280*L280</f>
        <v/>
      </c>
      <c r="N280" s="80">
        <f>MAX(0,I280)</f>
        <v/>
      </c>
      <c r="O280" s="80">
        <f>IF(I280&gt;0,MAX(0,M280),0)</f>
        <v/>
      </c>
      <c r="P280" s="80">
        <f>IF($I280&gt;0,MAX(0,$G280*SIN(RADIANS('13_시나리오비교'!$B$5))*SIN(RADIANS('13_시나리오비교'!$C$5))+$H280*SIN(RADIANS('13_시나리오비교'!$B$5))*COS(RADIANS('13_시나리오비교'!$C$5))+$I280*COS(RADIANS('13_시나리오비교'!$B$5))),0)</f>
        <v/>
      </c>
      <c r="Q280" s="80">
        <f>IF($I280&gt;0,MAX(0,$G280*SIN(RADIANS('13_시나리오비교'!$B$6))*SIN(RADIANS('13_시나리오비교'!$C$6))+$H280*SIN(RADIANS('13_시나리오비교'!$B$6))*COS(RADIANS('13_시나리오비교'!$C$6))+$I280*COS(RADIANS('13_시나리오비교'!$B$6))),0)</f>
        <v/>
      </c>
      <c r="R280" s="80">
        <f>IF($I280&gt;0,MAX(0,$G280*SIN(RADIANS('13_시나리오비교'!$B$7))*SIN(RADIANS('13_시나리오비교'!$C$7))+$H280*SIN(RADIANS('13_시나리오비교'!$B$7))*COS(RADIANS('13_시나리오비교'!$C$7))+$I280*COS(RADIANS('13_시나리오비교'!$B$7))),0)</f>
        <v/>
      </c>
      <c r="S280" s="80">
        <f>IF($I280&gt;0,MAX(0,$G280*SIN(RADIANS('13_시나리오비교'!$B$8))*SIN(RADIANS('13_시나리오비교'!$C$8))+$H280*SIN(RADIANS('13_시나리오비교'!$B$8))*COS(RADIANS('13_시나리오비교'!$C$8))+$I280*COS(RADIANS('13_시나리오비교'!$B$8))),0)</f>
        <v/>
      </c>
      <c r="T280" s="80">
        <f>IF($I280&gt;0,MAX(0,$G280*SIN(RADIANS('13_시나리오비교'!$B$9))*SIN(RADIANS('13_시나리오비교'!$C$9))+$H280*SIN(RADIANS('13_시나리오비교'!$B$9))*COS(RADIANS('13_시나리오비교'!$C$9))+$I280*COS(RADIANS('13_시나리오비교'!$B$9))),0)</f>
        <v/>
      </c>
      <c r="U280" s="80">
        <f>IF($I280&gt;0,MAX(0,$G280*SIN(RADIANS('13_시나리오비교'!$B$10))*SIN(RADIANS('13_시나리오비교'!$C$10))+$H280*SIN(RADIANS('13_시나리오비교'!$B$10))*COS(RADIANS('13_시나리오비교'!$C$10))+$I280*COS(RADIANS('13_시나리오비교'!$B$10))),0)</f>
        <v/>
      </c>
      <c r="V280" s="80">
        <f>IF($I280&gt;0,MAX(0,$G280*SIN(RADIANS('13_시나리오비교'!$B$11))*SIN(RADIANS('13_시나리오비교'!$C$11))+$H280*SIN(RADIANS('13_시나리오비교'!$B$11))*COS(RADIANS('13_시나리오비교'!$C$11))+$I280*COS(RADIANS('13_시나리오비교'!$B$11))),0)</f>
        <v/>
      </c>
      <c r="W280" s="80">
        <f>IF($I280&gt;0,MAX(0,$G280*SIN(RADIANS('13_시나리오비교'!$B$12))*SIN(RADIANS('13_시나리오비교'!$C$12))+$H280*SIN(RADIANS('13_시나리오비교'!$B$12))*COS(RADIANS('13_시나리오비교'!$C$12))+$I280*COS(RADIANS('13_시나리오비교'!$B$12))),0)</f>
        <v/>
      </c>
      <c r="X280" s="80">
        <f>IF($I280&gt;0,MAX(0,$G280*SIN(RADIANS('13_시나리오비교'!$B$13))*SIN(RADIANS('13_시나리오비교'!$C$13))+$H280*SIN(RADIANS('13_시나리오비교'!$B$13))*COS(RADIANS('13_시나리오비교'!$C$13))+$I280*COS(RADIANS('13_시나리오비교'!$B$13))),0)</f>
        <v/>
      </c>
      <c r="Y280" s="80">
        <f>IF($I280&gt;0,MAX(0,$G280*SIN(RADIANS('13_시나리오비교'!$B$14))*SIN(RADIANS('13_시나리오비교'!$C$14))+$H280*SIN(RADIANS('13_시나리오비교'!$B$14))*COS(RADIANS('13_시나리오비교'!$C$14))+$I280*COS(RADIANS('13_시나리오비교'!$B$14))),0)</f>
        <v/>
      </c>
    </row>
    <row r="281" hidden="1" outlineLevel="1">
      <c r="A281" s="79" t="n">
        <v>3</v>
      </c>
      <c r="B281" s="79" t="n">
        <v>69</v>
      </c>
      <c r="C281" s="80">
        <f>(B281-0.5)*'14_지역·상수'!$H$6</f>
        <v/>
      </c>
      <c r="D281" s="79" t="n">
        <v>75</v>
      </c>
      <c r="E281" s="80">
        <f>INDEX($C$4:$C$15,MATCH(A281,$A$4:$A$15,0))</f>
        <v/>
      </c>
      <c r="F281" s="80">
        <f>15*(C281-12)</f>
        <v/>
      </c>
      <c r="G281" s="80">
        <f>-COS(RADIANS(E281))*SIN(RADIANS(F281))</f>
        <v/>
      </c>
      <c r="H281" s="80">
        <f>COS(RADIANS('11_발전량_모델'!$B$17))*SIN(RADIANS(E281))-SIN(RADIANS('11_발전량_모델'!$B$17))*COS(RADIANS(E281))*COS(RADIANS(F281))</f>
        <v/>
      </c>
      <c r="I281" s="80">
        <f>SIN(RADIANS('11_발전량_모델'!$B$17))*SIN(RADIANS(E281))+COS(RADIANS('11_발전량_모델'!$B$17))*COS(RADIANS(E281))*COS(RADIANS(F281))</f>
        <v/>
      </c>
      <c r="J281" s="80">
        <f>SIN(RADIANS('11_발전량_모델'!$B$7))*SIN(RADIANS('11_발전량_모델'!$B$8))</f>
        <v/>
      </c>
      <c r="K281" s="80">
        <f>SIN(RADIANS('11_발전량_모델'!$B$7))*COS(RADIANS('11_발전량_모델'!$B$8))</f>
        <v/>
      </c>
      <c r="L281" s="80">
        <f>COS(RADIANS('11_발전량_모델'!$B$7))</f>
        <v/>
      </c>
      <c r="M281" s="80">
        <f>G281*J281+H281*K281+I281*L281</f>
        <v/>
      </c>
      <c r="N281" s="80">
        <f>MAX(0,I281)</f>
        <v/>
      </c>
      <c r="O281" s="80">
        <f>IF(I281&gt;0,MAX(0,M281),0)</f>
        <v/>
      </c>
      <c r="P281" s="80">
        <f>IF($I281&gt;0,MAX(0,$G281*SIN(RADIANS('13_시나리오비교'!$B$5))*SIN(RADIANS('13_시나리오비교'!$C$5))+$H281*SIN(RADIANS('13_시나리오비교'!$B$5))*COS(RADIANS('13_시나리오비교'!$C$5))+$I281*COS(RADIANS('13_시나리오비교'!$B$5))),0)</f>
        <v/>
      </c>
      <c r="Q281" s="80">
        <f>IF($I281&gt;0,MAX(0,$G281*SIN(RADIANS('13_시나리오비교'!$B$6))*SIN(RADIANS('13_시나리오비교'!$C$6))+$H281*SIN(RADIANS('13_시나리오비교'!$B$6))*COS(RADIANS('13_시나리오비교'!$C$6))+$I281*COS(RADIANS('13_시나리오비교'!$B$6))),0)</f>
        <v/>
      </c>
      <c r="R281" s="80">
        <f>IF($I281&gt;0,MAX(0,$G281*SIN(RADIANS('13_시나리오비교'!$B$7))*SIN(RADIANS('13_시나리오비교'!$C$7))+$H281*SIN(RADIANS('13_시나리오비교'!$B$7))*COS(RADIANS('13_시나리오비교'!$C$7))+$I281*COS(RADIANS('13_시나리오비교'!$B$7))),0)</f>
        <v/>
      </c>
      <c r="S281" s="80">
        <f>IF($I281&gt;0,MAX(0,$G281*SIN(RADIANS('13_시나리오비교'!$B$8))*SIN(RADIANS('13_시나리오비교'!$C$8))+$H281*SIN(RADIANS('13_시나리오비교'!$B$8))*COS(RADIANS('13_시나리오비교'!$C$8))+$I281*COS(RADIANS('13_시나리오비교'!$B$8))),0)</f>
        <v/>
      </c>
      <c r="T281" s="80">
        <f>IF($I281&gt;0,MAX(0,$G281*SIN(RADIANS('13_시나리오비교'!$B$9))*SIN(RADIANS('13_시나리오비교'!$C$9))+$H281*SIN(RADIANS('13_시나리오비교'!$B$9))*COS(RADIANS('13_시나리오비교'!$C$9))+$I281*COS(RADIANS('13_시나리오비교'!$B$9))),0)</f>
        <v/>
      </c>
      <c r="U281" s="80">
        <f>IF($I281&gt;0,MAX(0,$G281*SIN(RADIANS('13_시나리오비교'!$B$10))*SIN(RADIANS('13_시나리오비교'!$C$10))+$H281*SIN(RADIANS('13_시나리오비교'!$B$10))*COS(RADIANS('13_시나리오비교'!$C$10))+$I281*COS(RADIANS('13_시나리오비교'!$B$10))),0)</f>
        <v/>
      </c>
      <c r="V281" s="80">
        <f>IF($I281&gt;0,MAX(0,$G281*SIN(RADIANS('13_시나리오비교'!$B$11))*SIN(RADIANS('13_시나리오비교'!$C$11))+$H281*SIN(RADIANS('13_시나리오비교'!$B$11))*COS(RADIANS('13_시나리오비교'!$C$11))+$I281*COS(RADIANS('13_시나리오비교'!$B$11))),0)</f>
        <v/>
      </c>
      <c r="W281" s="80">
        <f>IF($I281&gt;0,MAX(0,$G281*SIN(RADIANS('13_시나리오비교'!$B$12))*SIN(RADIANS('13_시나리오비교'!$C$12))+$H281*SIN(RADIANS('13_시나리오비교'!$B$12))*COS(RADIANS('13_시나리오비교'!$C$12))+$I281*COS(RADIANS('13_시나리오비교'!$B$12))),0)</f>
        <v/>
      </c>
      <c r="X281" s="80">
        <f>IF($I281&gt;0,MAX(0,$G281*SIN(RADIANS('13_시나리오비교'!$B$13))*SIN(RADIANS('13_시나리오비교'!$C$13))+$H281*SIN(RADIANS('13_시나리오비교'!$B$13))*COS(RADIANS('13_시나리오비교'!$C$13))+$I281*COS(RADIANS('13_시나리오비교'!$B$13))),0)</f>
        <v/>
      </c>
      <c r="Y281" s="80">
        <f>IF($I281&gt;0,MAX(0,$G281*SIN(RADIANS('13_시나리오비교'!$B$14))*SIN(RADIANS('13_시나리오비교'!$C$14))+$H281*SIN(RADIANS('13_시나리오비교'!$B$14))*COS(RADIANS('13_시나리오비교'!$C$14))+$I281*COS(RADIANS('13_시나리오비교'!$B$14))),0)</f>
        <v/>
      </c>
    </row>
    <row r="282" hidden="1" outlineLevel="1">
      <c r="A282" s="79" t="n">
        <v>3</v>
      </c>
      <c r="B282" s="79" t="n">
        <v>70</v>
      </c>
      <c r="C282" s="80">
        <f>(B282-0.5)*'14_지역·상수'!$H$6</f>
        <v/>
      </c>
      <c r="D282" s="79" t="n">
        <v>75</v>
      </c>
      <c r="E282" s="80">
        <f>INDEX($C$4:$C$15,MATCH(A282,$A$4:$A$15,0))</f>
        <v/>
      </c>
      <c r="F282" s="80">
        <f>15*(C282-12)</f>
        <v/>
      </c>
      <c r="G282" s="80">
        <f>-COS(RADIANS(E282))*SIN(RADIANS(F282))</f>
        <v/>
      </c>
      <c r="H282" s="80">
        <f>COS(RADIANS('11_발전량_모델'!$B$17))*SIN(RADIANS(E282))-SIN(RADIANS('11_발전량_모델'!$B$17))*COS(RADIANS(E282))*COS(RADIANS(F282))</f>
        <v/>
      </c>
      <c r="I282" s="80">
        <f>SIN(RADIANS('11_발전량_모델'!$B$17))*SIN(RADIANS(E282))+COS(RADIANS('11_발전량_모델'!$B$17))*COS(RADIANS(E282))*COS(RADIANS(F282))</f>
        <v/>
      </c>
      <c r="J282" s="80">
        <f>SIN(RADIANS('11_발전량_모델'!$B$7))*SIN(RADIANS('11_발전량_모델'!$B$8))</f>
        <v/>
      </c>
      <c r="K282" s="80">
        <f>SIN(RADIANS('11_발전량_모델'!$B$7))*COS(RADIANS('11_발전량_모델'!$B$8))</f>
        <v/>
      </c>
      <c r="L282" s="80">
        <f>COS(RADIANS('11_발전량_모델'!$B$7))</f>
        <v/>
      </c>
      <c r="M282" s="80">
        <f>G282*J282+H282*K282+I282*L282</f>
        <v/>
      </c>
      <c r="N282" s="80">
        <f>MAX(0,I282)</f>
        <v/>
      </c>
      <c r="O282" s="80">
        <f>IF(I282&gt;0,MAX(0,M282),0)</f>
        <v/>
      </c>
      <c r="P282" s="80">
        <f>IF($I282&gt;0,MAX(0,$G282*SIN(RADIANS('13_시나리오비교'!$B$5))*SIN(RADIANS('13_시나리오비교'!$C$5))+$H282*SIN(RADIANS('13_시나리오비교'!$B$5))*COS(RADIANS('13_시나리오비교'!$C$5))+$I282*COS(RADIANS('13_시나리오비교'!$B$5))),0)</f>
        <v/>
      </c>
      <c r="Q282" s="80">
        <f>IF($I282&gt;0,MAX(0,$G282*SIN(RADIANS('13_시나리오비교'!$B$6))*SIN(RADIANS('13_시나리오비교'!$C$6))+$H282*SIN(RADIANS('13_시나리오비교'!$B$6))*COS(RADIANS('13_시나리오비교'!$C$6))+$I282*COS(RADIANS('13_시나리오비교'!$B$6))),0)</f>
        <v/>
      </c>
      <c r="R282" s="80">
        <f>IF($I282&gt;0,MAX(0,$G282*SIN(RADIANS('13_시나리오비교'!$B$7))*SIN(RADIANS('13_시나리오비교'!$C$7))+$H282*SIN(RADIANS('13_시나리오비교'!$B$7))*COS(RADIANS('13_시나리오비교'!$C$7))+$I282*COS(RADIANS('13_시나리오비교'!$B$7))),0)</f>
        <v/>
      </c>
      <c r="S282" s="80">
        <f>IF($I282&gt;0,MAX(0,$G282*SIN(RADIANS('13_시나리오비교'!$B$8))*SIN(RADIANS('13_시나리오비교'!$C$8))+$H282*SIN(RADIANS('13_시나리오비교'!$B$8))*COS(RADIANS('13_시나리오비교'!$C$8))+$I282*COS(RADIANS('13_시나리오비교'!$B$8))),0)</f>
        <v/>
      </c>
      <c r="T282" s="80">
        <f>IF($I282&gt;0,MAX(0,$G282*SIN(RADIANS('13_시나리오비교'!$B$9))*SIN(RADIANS('13_시나리오비교'!$C$9))+$H282*SIN(RADIANS('13_시나리오비교'!$B$9))*COS(RADIANS('13_시나리오비교'!$C$9))+$I282*COS(RADIANS('13_시나리오비교'!$B$9))),0)</f>
        <v/>
      </c>
      <c r="U282" s="80">
        <f>IF($I282&gt;0,MAX(0,$G282*SIN(RADIANS('13_시나리오비교'!$B$10))*SIN(RADIANS('13_시나리오비교'!$C$10))+$H282*SIN(RADIANS('13_시나리오비교'!$B$10))*COS(RADIANS('13_시나리오비교'!$C$10))+$I282*COS(RADIANS('13_시나리오비교'!$B$10))),0)</f>
        <v/>
      </c>
      <c r="V282" s="80">
        <f>IF($I282&gt;0,MAX(0,$G282*SIN(RADIANS('13_시나리오비교'!$B$11))*SIN(RADIANS('13_시나리오비교'!$C$11))+$H282*SIN(RADIANS('13_시나리오비교'!$B$11))*COS(RADIANS('13_시나리오비교'!$C$11))+$I282*COS(RADIANS('13_시나리오비교'!$B$11))),0)</f>
        <v/>
      </c>
      <c r="W282" s="80">
        <f>IF($I282&gt;0,MAX(0,$G282*SIN(RADIANS('13_시나리오비교'!$B$12))*SIN(RADIANS('13_시나리오비교'!$C$12))+$H282*SIN(RADIANS('13_시나리오비교'!$B$12))*COS(RADIANS('13_시나리오비교'!$C$12))+$I282*COS(RADIANS('13_시나리오비교'!$B$12))),0)</f>
        <v/>
      </c>
      <c r="X282" s="80">
        <f>IF($I282&gt;0,MAX(0,$G282*SIN(RADIANS('13_시나리오비교'!$B$13))*SIN(RADIANS('13_시나리오비교'!$C$13))+$H282*SIN(RADIANS('13_시나리오비교'!$B$13))*COS(RADIANS('13_시나리오비교'!$C$13))+$I282*COS(RADIANS('13_시나리오비교'!$B$13))),0)</f>
        <v/>
      </c>
      <c r="Y282" s="80">
        <f>IF($I282&gt;0,MAX(0,$G282*SIN(RADIANS('13_시나리오비교'!$B$14))*SIN(RADIANS('13_시나리오비교'!$C$14))+$H282*SIN(RADIANS('13_시나리오비교'!$B$14))*COS(RADIANS('13_시나리오비교'!$C$14))+$I282*COS(RADIANS('13_시나리오비교'!$B$14))),0)</f>
        <v/>
      </c>
    </row>
    <row r="283" hidden="1" outlineLevel="1">
      <c r="A283" s="79" t="n">
        <v>3</v>
      </c>
      <c r="B283" s="79" t="n">
        <v>71</v>
      </c>
      <c r="C283" s="80">
        <f>(B283-0.5)*'14_지역·상수'!$H$6</f>
        <v/>
      </c>
      <c r="D283" s="79" t="n">
        <v>75</v>
      </c>
      <c r="E283" s="80">
        <f>INDEX($C$4:$C$15,MATCH(A283,$A$4:$A$15,0))</f>
        <v/>
      </c>
      <c r="F283" s="80">
        <f>15*(C283-12)</f>
        <v/>
      </c>
      <c r="G283" s="80">
        <f>-COS(RADIANS(E283))*SIN(RADIANS(F283))</f>
        <v/>
      </c>
      <c r="H283" s="80">
        <f>COS(RADIANS('11_발전량_모델'!$B$17))*SIN(RADIANS(E283))-SIN(RADIANS('11_발전량_모델'!$B$17))*COS(RADIANS(E283))*COS(RADIANS(F283))</f>
        <v/>
      </c>
      <c r="I283" s="80">
        <f>SIN(RADIANS('11_발전량_모델'!$B$17))*SIN(RADIANS(E283))+COS(RADIANS('11_발전량_모델'!$B$17))*COS(RADIANS(E283))*COS(RADIANS(F283))</f>
        <v/>
      </c>
      <c r="J283" s="80">
        <f>SIN(RADIANS('11_발전량_모델'!$B$7))*SIN(RADIANS('11_발전량_모델'!$B$8))</f>
        <v/>
      </c>
      <c r="K283" s="80">
        <f>SIN(RADIANS('11_발전량_모델'!$B$7))*COS(RADIANS('11_발전량_모델'!$B$8))</f>
        <v/>
      </c>
      <c r="L283" s="80">
        <f>COS(RADIANS('11_발전량_모델'!$B$7))</f>
        <v/>
      </c>
      <c r="M283" s="80">
        <f>G283*J283+H283*K283+I283*L283</f>
        <v/>
      </c>
      <c r="N283" s="80">
        <f>MAX(0,I283)</f>
        <v/>
      </c>
      <c r="O283" s="80">
        <f>IF(I283&gt;0,MAX(0,M283),0)</f>
        <v/>
      </c>
      <c r="P283" s="80">
        <f>IF($I283&gt;0,MAX(0,$G283*SIN(RADIANS('13_시나리오비교'!$B$5))*SIN(RADIANS('13_시나리오비교'!$C$5))+$H283*SIN(RADIANS('13_시나리오비교'!$B$5))*COS(RADIANS('13_시나리오비교'!$C$5))+$I283*COS(RADIANS('13_시나리오비교'!$B$5))),0)</f>
        <v/>
      </c>
      <c r="Q283" s="80">
        <f>IF($I283&gt;0,MAX(0,$G283*SIN(RADIANS('13_시나리오비교'!$B$6))*SIN(RADIANS('13_시나리오비교'!$C$6))+$H283*SIN(RADIANS('13_시나리오비교'!$B$6))*COS(RADIANS('13_시나리오비교'!$C$6))+$I283*COS(RADIANS('13_시나리오비교'!$B$6))),0)</f>
        <v/>
      </c>
      <c r="R283" s="80">
        <f>IF($I283&gt;0,MAX(0,$G283*SIN(RADIANS('13_시나리오비교'!$B$7))*SIN(RADIANS('13_시나리오비교'!$C$7))+$H283*SIN(RADIANS('13_시나리오비교'!$B$7))*COS(RADIANS('13_시나리오비교'!$C$7))+$I283*COS(RADIANS('13_시나리오비교'!$B$7))),0)</f>
        <v/>
      </c>
      <c r="S283" s="80">
        <f>IF($I283&gt;0,MAX(0,$G283*SIN(RADIANS('13_시나리오비교'!$B$8))*SIN(RADIANS('13_시나리오비교'!$C$8))+$H283*SIN(RADIANS('13_시나리오비교'!$B$8))*COS(RADIANS('13_시나리오비교'!$C$8))+$I283*COS(RADIANS('13_시나리오비교'!$B$8))),0)</f>
        <v/>
      </c>
      <c r="T283" s="80">
        <f>IF($I283&gt;0,MAX(0,$G283*SIN(RADIANS('13_시나리오비교'!$B$9))*SIN(RADIANS('13_시나리오비교'!$C$9))+$H283*SIN(RADIANS('13_시나리오비교'!$B$9))*COS(RADIANS('13_시나리오비교'!$C$9))+$I283*COS(RADIANS('13_시나리오비교'!$B$9))),0)</f>
        <v/>
      </c>
      <c r="U283" s="80">
        <f>IF($I283&gt;0,MAX(0,$G283*SIN(RADIANS('13_시나리오비교'!$B$10))*SIN(RADIANS('13_시나리오비교'!$C$10))+$H283*SIN(RADIANS('13_시나리오비교'!$B$10))*COS(RADIANS('13_시나리오비교'!$C$10))+$I283*COS(RADIANS('13_시나리오비교'!$B$10))),0)</f>
        <v/>
      </c>
      <c r="V283" s="80">
        <f>IF($I283&gt;0,MAX(0,$G283*SIN(RADIANS('13_시나리오비교'!$B$11))*SIN(RADIANS('13_시나리오비교'!$C$11))+$H283*SIN(RADIANS('13_시나리오비교'!$B$11))*COS(RADIANS('13_시나리오비교'!$C$11))+$I283*COS(RADIANS('13_시나리오비교'!$B$11))),0)</f>
        <v/>
      </c>
      <c r="W283" s="80">
        <f>IF($I283&gt;0,MAX(0,$G283*SIN(RADIANS('13_시나리오비교'!$B$12))*SIN(RADIANS('13_시나리오비교'!$C$12))+$H283*SIN(RADIANS('13_시나리오비교'!$B$12))*COS(RADIANS('13_시나리오비교'!$C$12))+$I283*COS(RADIANS('13_시나리오비교'!$B$12))),0)</f>
        <v/>
      </c>
      <c r="X283" s="80">
        <f>IF($I283&gt;0,MAX(0,$G283*SIN(RADIANS('13_시나리오비교'!$B$13))*SIN(RADIANS('13_시나리오비교'!$C$13))+$H283*SIN(RADIANS('13_시나리오비교'!$B$13))*COS(RADIANS('13_시나리오비교'!$C$13))+$I283*COS(RADIANS('13_시나리오비교'!$B$13))),0)</f>
        <v/>
      </c>
      <c r="Y283" s="80">
        <f>IF($I283&gt;0,MAX(0,$G283*SIN(RADIANS('13_시나리오비교'!$B$14))*SIN(RADIANS('13_시나리오비교'!$C$14))+$H283*SIN(RADIANS('13_시나리오비교'!$B$14))*COS(RADIANS('13_시나리오비교'!$C$14))+$I283*COS(RADIANS('13_시나리오비교'!$B$14))),0)</f>
        <v/>
      </c>
    </row>
    <row r="284" hidden="1" outlineLevel="1">
      <c r="A284" s="79" t="n">
        <v>3</v>
      </c>
      <c r="B284" s="79" t="n">
        <v>72</v>
      </c>
      <c r="C284" s="80">
        <f>(B284-0.5)*'14_지역·상수'!$H$6</f>
        <v/>
      </c>
      <c r="D284" s="79" t="n">
        <v>75</v>
      </c>
      <c r="E284" s="80">
        <f>INDEX($C$4:$C$15,MATCH(A284,$A$4:$A$15,0))</f>
        <v/>
      </c>
      <c r="F284" s="80">
        <f>15*(C284-12)</f>
        <v/>
      </c>
      <c r="G284" s="80">
        <f>-COS(RADIANS(E284))*SIN(RADIANS(F284))</f>
        <v/>
      </c>
      <c r="H284" s="80">
        <f>COS(RADIANS('11_발전량_모델'!$B$17))*SIN(RADIANS(E284))-SIN(RADIANS('11_발전량_모델'!$B$17))*COS(RADIANS(E284))*COS(RADIANS(F284))</f>
        <v/>
      </c>
      <c r="I284" s="80">
        <f>SIN(RADIANS('11_발전량_모델'!$B$17))*SIN(RADIANS(E284))+COS(RADIANS('11_발전량_모델'!$B$17))*COS(RADIANS(E284))*COS(RADIANS(F284))</f>
        <v/>
      </c>
      <c r="J284" s="80">
        <f>SIN(RADIANS('11_발전량_모델'!$B$7))*SIN(RADIANS('11_발전량_모델'!$B$8))</f>
        <v/>
      </c>
      <c r="K284" s="80">
        <f>SIN(RADIANS('11_발전량_모델'!$B$7))*COS(RADIANS('11_발전량_모델'!$B$8))</f>
        <v/>
      </c>
      <c r="L284" s="80">
        <f>COS(RADIANS('11_발전량_모델'!$B$7))</f>
        <v/>
      </c>
      <c r="M284" s="80">
        <f>G284*J284+H284*K284+I284*L284</f>
        <v/>
      </c>
      <c r="N284" s="80">
        <f>MAX(0,I284)</f>
        <v/>
      </c>
      <c r="O284" s="80">
        <f>IF(I284&gt;0,MAX(0,M284),0)</f>
        <v/>
      </c>
      <c r="P284" s="80">
        <f>IF($I284&gt;0,MAX(0,$G284*SIN(RADIANS('13_시나리오비교'!$B$5))*SIN(RADIANS('13_시나리오비교'!$C$5))+$H284*SIN(RADIANS('13_시나리오비교'!$B$5))*COS(RADIANS('13_시나리오비교'!$C$5))+$I284*COS(RADIANS('13_시나리오비교'!$B$5))),0)</f>
        <v/>
      </c>
      <c r="Q284" s="80">
        <f>IF($I284&gt;0,MAX(0,$G284*SIN(RADIANS('13_시나리오비교'!$B$6))*SIN(RADIANS('13_시나리오비교'!$C$6))+$H284*SIN(RADIANS('13_시나리오비교'!$B$6))*COS(RADIANS('13_시나리오비교'!$C$6))+$I284*COS(RADIANS('13_시나리오비교'!$B$6))),0)</f>
        <v/>
      </c>
      <c r="R284" s="80">
        <f>IF($I284&gt;0,MAX(0,$G284*SIN(RADIANS('13_시나리오비교'!$B$7))*SIN(RADIANS('13_시나리오비교'!$C$7))+$H284*SIN(RADIANS('13_시나리오비교'!$B$7))*COS(RADIANS('13_시나리오비교'!$C$7))+$I284*COS(RADIANS('13_시나리오비교'!$B$7))),0)</f>
        <v/>
      </c>
      <c r="S284" s="80">
        <f>IF($I284&gt;0,MAX(0,$G284*SIN(RADIANS('13_시나리오비교'!$B$8))*SIN(RADIANS('13_시나리오비교'!$C$8))+$H284*SIN(RADIANS('13_시나리오비교'!$B$8))*COS(RADIANS('13_시나리오비교'!$C$8))+$I284*COS(RADIANS('13_시나리오비교'!$B$8))),0)</f>
        <v/>
      </c>
      <c r="T284" s="80">
        <f>IF($I284&gt;0,MAX(0,$G284*SIN(RADIANS('13_시나리오비교'!$B$9))*SIN(RADIANS('13_시나리오비교'!$C$9))+$H284*SIN(RADIANS('13_시나리오비교'!$B$9))*COS(RADIANS('13_시나리오비교'!$C$9))+$I284*COS(RADIANS('13_시나리오비교'!$B$9))),0)</f>
        <v/>
      </c>
      <c r="U284" s="80">
        <f>IF($I284&gt;0,MAX(0,$G284*SIN(RADIANS('13_시나리오비교'!$B$10))*SIN(RADIANS('13_시나리오비교'!$C$10))+$H284*SIN(RADIANS('13_시나리오비교'!$B$10))*COS(RADIANS('13_시나리오비교'!$C$10))+$I284*COS(RADIANS('13_시나리오비교'!$B$10))),0)</f>
        <v/>
      </c>
      <c r="V284" s="80">
        <f>IF($I284&gt;0,MAX(0,$G284*SIN(RADIANS('13_시나리오비교'!$B$11))*SIN(RADIANS('13_시나리오비교'!$C$11))+$H284*SIN(RADIANS('13_시나리오비교'!$B$11))*COS(RADIANS('13_시나리오비교'!$C$11))+$I284*COS(RADIANS('13_시나리오비교'!$B$11))),0)</f>
        <v/>
      </c>
      <c r="W284" s="80">
        <f>IF($I284&gt;0,MAX(0,$G284*SIN(RADIANS('13_시나리오비교'!$B$12))*SIN(RADIANS('13_시나리오비교'!$C$12))+$H284*SIN(RADIANS('13_시나리오비교'!$B$12))*COS(RADIANS('13_시나리오비교'!$C$12))+$I284*COS(RADIANS('13_시나리오비교'!$B$12))),0)</f>
        <v/>
      </c>
      <c r="X284" s="80">
        <f>IF($I284&gt;0,MAX(0,$G284*SIN(RADIANS('13_시나리오비교'!$B$13))*SIN(RADIANS('13_시나리오비교'!$C$13))+$H284*SIN(RADIANS('13_시나리오비교'!$B$13))*COS(RADIANS('13_시나리오비교'!$C$13))+$I284*COS(RADIANS('13_시나리오비교'!$B$13))),0)</f>
        <v/>
      </c>
      <c r="Y284" s="80">
        <f>IF($I284&gt;0,MAX(0,$G284*SIN(RADIANS('13_시나리오비교'!$B$14))*SIN(RADIANS('13_시나리오비교'!$C$14))+$H284*SIN(RADIANS('13_시나리오비교'!$B$14))*COS(RADIANS('13_시나리오비교'!$C$14))+$I284*COS(RADIANS('13_시나리오비교'!$B$14))),0)</f>
        <v/>
      </c>
    </row>
    <row r="285" hidden="1" outlineLevel="1">
      <c r="A285" s="79" t="n">
        <v>3</v>
      </c>
      <c r="B285" s="79" t="n">
        <v>73</v>
      </c>
      <c r="C285" s="80">
        <f>(B285-0.5)*'14_지역·상수'!$H$6</f>
        <v/>
      </c>
      <c r="D285" s="79" t="n">
        <v>75</v>
      </c>
      <c r="E285" s="80">
        <f>INDEX($C$4:$C$15,MATCH(A285,$A$4:$A$15,0))</f>
        <v/>
      </c>
      <c r="F285" s="80">
        <f>15*(C285-12)</f>
        <v/>
      </c>
      <c r="G285" s="80">
        <f>-COS(RADIANS(E285))*SIN(RADIANS(F285))</f>
        <v/>
      </c>
      <c r="H285" s="80">
        <f>COS(RADIANS('11_발전량_모델'!$B$17))*SIN(RADIANS(E285))-SIN(RADIANS('11_발전량_모델'!$B$17))*COS(RADIANS(E285))*COS(RADIANS(F285))</f>
        <v/>
      </c>
      <c r="I285" s="80">
        <f>SIN(RADIANS('11_발전량_모델'!$B$17))*SIN(RADIANS(E285))+COS(RADIANS('11_발전량_모델'!$B$17))*COS(RADIANS(E285))*COS(RADIANS(F285))</f>
        <v/>
      </c>
      <c r="J285" s="80">
        <f>SIN(RADIANS('11_발전량_모델'!$B$7))*SIN(RADIANS('11_발전량_모델'!$B$8))</f>
        <v/>
      </c>
      <c r="K285" s="80">
        <f>SIN(RADIANS('11_발전량_모델'!$B$7))*COS(RADIANS('11_발전량_모델'!$B$8))</f>
        <v/>
      </c>
      <c r="L285" s="80">
        <f>COS(RADIANS('11_발전량_모델'!$B$7))</f>
        <v/>
      </c>
      <c r="M285" s="80">
        <f>G285*J285+H285*K285+I285*L285</f>
        <v/>
      </c>
      <c r="N285" s="80">
        <f>MAX(0,I285)</f>
        <v/>
      </c>
      <c r="O285" s="80">
        <f>IF(I285&gt;0,MAX(0,M285),0)</f>
        <v/>
      </c>
      <c r="P285" s="80">
        <f>IF($I285&gt;0,MAX(0,$G285*SIN(RADIANS('13_시나리오비교'!$B$5))*SIN(RADIANS('13_시나리오비교'!$C$5))+$H285*SIN(RADIANS('13_시나리오비교'!$B$5))*COS(RADIANS('13_시나리오비교'!$C$5))+$I285*COS(RADIANS('13_시나리오비교'!$B$5))),0)</f>
        <v/>
      </c>
      <c r="Q285" s="80">
        <f>IF($I285&gt;0,MAX(0,$G285*SIN(RADIANS('13_시나리오비교'!$B$6))*SIN(RADIANS('13_시나리오비교'!$C$6))+$H285*SIN(RADIANS('13_시나리오비교'!$B$6))*COS(RADIANS('13_시나리오비교'!$C$6))+$I285*COS(RADIANS('13_시나리오비교'!$B$6))),0)</f>
        <v/>
      </c>
      <c r="R285" s="80">
        <f>IF($I285&gt;0,MAX(0,$G285*SIN(RADIANS('13_시나리오비교'!$B$7))*SIN(RADIANS('13_시나리오비교'!$C$7))+$H285*SIN(RADIANS('13_시나리오비교'!$B$7))*COS(RADIANS('13_시나리오비교'!$C$7))+$I285*COS(RADIANS('13_시나리오비교'!$B$7))),0)</f>
        <v/>
      </c>
      <c r="S285" s="80">
        <f>IF($I285&gt;0,MAX(0,$G285*SIN(RADIANS('13_시나리오비교'!$B$8))*SIN(RADIANS('13_시나리오비교'!$C$8))+$H285*SIN(RADIANS('13_시나리오비교'!$B$8))*COS(RADIANS('13_시나리오비교'!$C$8))+$I285*COS(RADIANS('13_시나리오비교'!$B$8))),0)</f>
        <v/>
      </c>
      <c r="T285" s="80">
        <f>IF($I285&gt;0,MAX(0,$G285*SIN(RADIANS('13_시나리오비교'!$B$9))*SIN(RADIANS('13_시나리오비교'!$C$9))+$H285*SIN(RADIANS('13_시나리오비교'!$B$9))*COS(RADIANS('13_시나리오비교'!$C$9))+$I285*COS(RADIANS('13_시나리오비교'!$B$9))),0)</f>
        <v/>
      </c>
      <c r="U285" s="80">
        <f>IF($I285&gt;0,MAX(0,$G285*SIN(RADIANS('13_시나리오비교'!$B$10))*SIN(RADIANS('13_시나리오비교'!$C$10))+$H285*SIN(RADIANS('13_시나리오비교'!$B$10))*COS(RADIANS('13_시나리오비교'!$C$10))+$I285*COS(RADIANS('13_시나리오비교'!$B$10))),0)</f>
        <v/>
      </c>
      <c r="V285" s="80">
        <f>IF($I285&gt;0,MAX(0,$G285*SIN(RADIANS('13_시나리오비교'!$B$11))*SIN(RADIANS('13_시나리오비교'!$C$11))+$H285*SIN(RADIANS('13_시나리오비교'!$B$11))*COS(RADIANS('13_시나리오비교'!$C$11))+$I285*COS(RADIANS('13_시나리오비교'!$B$11))),0)</f>
        <v/>
      </c>
      <c r="W285" s="80">
        <f>IF($I285&gt;0,MAX(0,$G285*SIN(RADIANS('13_시나리오비교'!$B$12))*SIN(RADIANS('13_시나리오비교'!$C$12))+$H285*SIN(RADIANS('13_시나리오비교'!$B$12))*COS(RADIANS('13_시나리오비교'!$C$12))+$I285*COS(RADIANS('13_시나리오비교'!$B$12))),0)</f>
        <v/>
      </c>
      <c r="X285" s="80">
        <f>IF($I285&gt;0,MAX(0,$G285*SIN(RADIANS('13_시나리오비교'!$B$13))*SIN(RADIANS('13_시나리오비교'!$C$13))+$H285*SIN(RADIANS('13_시나리오비교'!$B$13))*COS(RADIANS('13_시나리오비교'!$C$13))+$I285*COS(RADIANS('13_시나리오비교'!$B$13))),0)</f>
        <v/>
      </c>
      <c r="Y285" s="80">
        <f>IF($I285&gt;0,MAX(0,$G285*SIN(RADIANS('13_시나리오비교'!$B$14))*SIN(RADIANS('13_시나리오비교'!$C$14))+$H285*SIN(RADIANS('13_시나리오비교'!$B$14))*COS(RADIANS('13_시나리오비교'!$C$14))+$I285*COS(RADIANS('13_시나리오비교'!$B$14))),0)</f>
        <v/>
      </c>
    </row>
    <row r="286" hidden="1" outlineLevel="1">
      <c r="A286" s="79" t="n">
        <v>3</v>
      </c>
      <c r="B286" s="79" t="n">
        <v>74</v>
      </c>
      <c r="C286" s="80">
        <f>(B286-0.5)*'14_지역·상수'!$H$6</f>
        <v/>
      </c>
      <c r="D286" s="79" t="n">
        <v>75</v>
      </c>
      <c r="E286" s="80">
        <f>INDEX($C$4:$C$15,MATCH(A286,$A$4:$A$15,0))</f>
        <v/>
      </c>
      <c r="F286" s="80">
        <f>15*(C286-12)</f>
        <v/>
      </c>
      <c r="G286" s="80">
        <f>-COS(RADIANS(E286))*SIN(RADIANS(F286))</f>
        <v/>
      </c>
      <c r="H286" s="80">
        <f>COS(RADIANS('11_발전량_모델'!$B$17))*SIN(RADIANS(E286))-SIN(RADIANS('11_발전량_모델'!$B$17))*COS(RADIANS(E286))*COS(RADIANS(F286))</f>
        <v/>
      </c>
      <c r="I286" s="80">
        <f>SIN(RADIANS('11_발전량_모델'!$B$17))*SIN(RADIANS(E286))+COS(RADIANS('11_발전량_모델'!$B$17))*COS(RADIANS(E286))*COS(RADIANS(F286))</f>
        <v/>
      </c>
      <c r="J286" s="80">
        <f>SIN(RADIANS('11_발전량_모델'!$B$7))*SIN(RADIANS('11_발전량_모델'!$B$8))</f>
        <v/>
      </c>
      <c r="K286" s="80">
        <f>SIN(RADIANS('11_발전량_모델'!$B$7))*COS(RADIANS('11_발전량_모델'!$B$8))</f>
        <v/>
      </c>
      <c r="L286" s="80">
        <f>COS(RADIANS('11_발전량_모델'!$B$7))</f>
        <v/>
      </c>
      <c r="M286" s="80">
        <f>G286*J286+H286*K286+I286*L286</f>
        <v/>
      </c>
      <c r="N286" s="80">
        <f>MAX(0,I286)</f>
        <v/>
      </c>
      <c r="O286" s="80">
        <f>IF(I286&gt;0,MAX(0,M286),0)</f>
        <v/>
      </c>
      <c r="P286" s="80">
        <f>IF($I286&gt;0,MAX(0,$G286*SIN(RADIANS('13_시나리오비교'!$B$5))*SIN(RADIANS('13_시나리오비교'!$C$5))+$H286*SIN(RADIANS('13_시나리오비교'!$B$5))*COS(RADIANS('13_시나리오비교'!$C$5))+$I286*COS(RADIANS('13_시나리오비교'!$B$5))),0)</f>
        <v/>
      </c>
      <c r="Q286" s="80">
        <f>IF($I286&gt;0,MAX(0,$G286*SIN(RADIANS('13_시나리오비교'!$B$6))*SIN(RADIANS('13_시나리오비교'!$C$6))+$H286*SIN(RADIANS('13_시나리오비교'!$B$6))*COS(RADIANS('13_시나리오비교'!$C$6))+$I286*COS(RADIANS('13_시나리오비교'!$B$6))),0)</f>
        <v/>
      </c>
      <c r="R286" s="80">
        <f>IF($I286&gt;0,MAX(0,$G286*SIN(RADIANS('13_시나리오비교'!$B$7))*SIN(RADIANS('13_시나리오비교'!$C$7))+$H286*SIN(RADIANS('13_시나리오비교'!$B$7))*COS(RADIANS('13_시나리오비교'!$C$7))+$I286*COS(RADIANS('13_시나리오비교'!$B$7))),0)</f>
        <v/>
      </c>
      <c r="S286" s="80">
        <f>IF($I286&gt;0,MAX(0,$G286*SIN(RADIANS('13_시나리오비교'!$B$8))*SIN(RADIANS('13_시나리오비교'!$C$8))+$H286*SIN(RADIANS('13_시나리오비교'!$B$8))*COS(RADIANS('13_시나리오비교'!$C$8))+$I286*COS(RADIANS('13_시나리오비교'!$B$8))),0)</f>
        <v/>
      </c>
      <c r="T286" s="80">
        <f>IF($I286&gt;0,MAX(0,$G286*SIN(RADIANS('13_시나리오비교'!$B$9))*SIN(RADIANS('13_시나리오비교'!$C$9))+$H286*SIN(RADIANS('13_시나리오비교'!$B$9))*COS(RADIANS('13_시나리오비교'!$C$9))+$I286*COS(RADIANS('13_시나리오비교'!$B$9))),0)</f>
        <v/>
      </c>
      <c r="U286" s="80">
        <f>IF($I286&gt;0,MAX(0,$G286*SIN(RADIANS('13_시나리오비교'!$B$10))*SIN(RADIANS('13_시나리오비교'!$C$10))+$H286*SIN(RADIANS('13_시나리오비교'!$B$10))*COS(RADIANS('13_시나리오비교'!$C$10))+$I286*COS(RADIANS('13_시나리오비교'!$B$10))),0)</f>
        <v/>
      </c>
      <c r="V286" s="80">
        <f>IF($I286&gt;0,MAX(0,$G286*SIN(RADIANS('13_시나리오비교'!$B$11))*SIN(RADIANS('13_시나리오비교'!$C$11))+$H286*SIN(RADIANS('13_시나리오비교'!$B$11))*COS(RADIANS('13_시나리오비교'!$C$11))+$I286*COS(RADIANS('13_시나리오비교'!$B$11))),0)</f>
        <v/>
      </c>
      <c r="W286" s="80">
        <f>IF($I286&gt;0,MAX(0,$G286*SIN(RADIANS('13_시나리오비교'!$B$12))*SIN(RADIANS('13_시나리오비교'!$C$12))+$H286*SIN(RADIANS('13_시나리오비교'!$B$12))*COS(RADIANS('13_시나리오비교'!$C$12))+$I286*COS(RADIANS('13_시나리오비교'!$B$12))),0)</f>
        <v/>
      </c>
      <c r="X286" s="80">
        <f>IF($I286&gt;0,MAX(0,$G286*SIN(RADIANS('13_시나리오비교'!$B$13))*SIN(RADIANS('13_시나리오비교'!$C$13))+$H286*SIN(RADIANS('13_시나리오비교'!$B$13))*COS(RADIANS('13_시나리오비교'!$C$13))+$I286*COS(RADIANS('13_시나리오비교'!$B$13))),0)</f>
        <v/>
      </c>
      <c r="Y286" s="80">
        <f>IF($I286&gt;0,MAX(0,$G286*SIN(RADIANS('13_시나리오비교'!$B$14))*SIN(RADIANS('13_시나리오비교'!$C$14))+$H286*SIN(RADIANS('13_시나리오비교'!$B$14))*COS(RADIANS('13_시나리오비교'!$C$14))+$I286*COS(RADIANS('13_시나리오비교'!$B$14))),0)</f>
        <v/>
      </c>
    </row>
    <row r="287" hidden="1" outlineLevel="1">
      <c r="A287" s="79" t="n">
        <v>3</v>
      </c>
      <c r="B287" s="79" t="n">
        <v>75</v>
      </c>
      <c r="C287" s="80">
        <f>(B287-0.5)*'14_지역·상수'!$H$6</f>
        <v/>
      </c>
      <c r="D287" s="79" t="n">
        <v>75</v>
      </c>
      <c r="E287" s="80">
        <f>INDEX($C$4:$C$15,MATCH(A287,$A$4:$A$15,0))</f>
        <v/>
      </c>
      <c r="F287" s="80">
        <f>15*(C287-12)</f>
        <v/>
      </c>
      <c r="G287" s="80">
        <f>-COS(RADIANS(E287))*SIN(RADIANS(F287))</f>
        <v/>
      </c>
      <c r="H287" s="80">
        <f>COS(RADIANS('11_발전량_모델'!$B$17))*SIN(RADIANS(E287))-SIN(RADIANS('11_발전량_모델'!$B$17))*COS(RADIANS(E287))*COS(RADIANS(F287))</f>
        <v/>
      </c>
      <c r="I287" s="80">
        <f>SIN(RADIANS('11_발전량_모델'!$B$17))*SIN(RADIANS(E287))+COS(RADIANS('11_발전량_모델'!$B$17))*COS(RADIANS(E287))*COS(RADIANS(F287))</f>
        <v/>
      </c>
      <c r="J287" s="80">
        <f>SIN(RADIANS('11_발전량_모델'!$B$7))*SIN(RADIANS('11_발전량_모델'!$B$8))</f>
        <v/>
      </c>
      <c r="K287" s="80">
        <f>SIN(RADIANS('11_발전량_모델'!$B$7))*COS(RADIANS('11_발전량_모델'!$B$8))</f>
        <v/>
      </c>
      <c r="L287" s="80">
        <f>COS(RADIANS('11_발전량_모델'!$B$7))</f>
        <v/>
      </c>
      <c r="M287" s="80">
        <f>G287*J287+H287*K287+I287*L287</f>
        <v/>
      </c>
      <c r="N287" s="80">
        <f>MAX(0,I287)</f>
        <v/>
      </c>
      <c r="O287" s="80">
        <f>IF(I287&gt;0,MAX(0,M287),0)</f>
        <v/>
      </c>
      <c r="P287" s="80">
        <f>IF($I287&gt;0,MAX(0,$G287*SIN(RADIANS('13_시나리오비교'!$B$5))*SIN(RADIANS('13_시나리오비교'!$C$5))+$H287*SIN(RADIANS('13_시나리오비교'!$B$5))*COS(RADIANS('13_시나리오비교'!$C$5))+$I287*COS(RADIANS('13_시나리오비교'!$B$5))),0)</f>
        <v/>
      </c>
      <c r="Q287" s="80">
        <f>IF($I287&gt;0,MAX(0,$G287*SIN(RADIANS('13_시나리오비교'!$B$6))*SIN(RADIANS('13_시나리오비교'!$C$6))+$H287*SIN(RADIANS('13_시나리오비교'!$B$6))*COS(RADIANS('13_시나리오비교'!$C$6))+$I287*COS(RADIANS('13_시나리오비교'!$B$6))),0)</f>
        <v/>
      </c>
      <c r="R287" s="80">
        <f>IF($I287&gt;0,MAX(0,$G287*SIN(RADIANS('13_시나리오비교'!$B$7))*SIN(RADIANS('13_시나리오비교'!$C$7))+$H287*SIN(RADIANS('13_시나리오비교'!$B$7))*COS(RADIANS('13_시나리오비교'!$C$7))+$I287*COS(RADIANS('13_시나리오비교'!$B$7))),0)</f>
        <v/>
      </c>
      <c r="S287" s="80">
        <f>IF($I287&gt;0,MAX(0,$G287*SIN(RADIANS('13_시나리오비교'!$B$8))*SIN(RADIANS('13_시나리오비교'!$C$8))+$H287*SIN(RADIANS('13_시나리오비교'!$B$8))*COS(RADIANS('13_시나리오비교'!$C$8))+$I287*COS(RADIANS('13_시나리오비교'!$B$8))),0)</f>
        <v/>
      </c>
      <c r="T287" s="80">
        <f>IF($I287&gt;0,MAX(0,$G287*SIN(RADIANS('13_시나리오비교'!$B$9))*SIN(RADIANS('13_시나리오비교'!$C$9))+$H287*SIN(RADIANS('13_시나리오비교'!$B$9))*COS(RADIANS('13_시나리오비교'!$C$9))+$I287*COS(RADIANS('13_시나리오비교'!$B$9))),0)</f>
        <v/>
      </c>
      <c r="U287" s="80">
        <f>IF($I287&gt;0,MAX(0,$G287*SIN(RADIANS('13_시나리오비교'!$B$10))*SIN(RADIANS('13_시나리오비교'!$C$10))+$H287*SIN(RADIANS('13_시나리오비교'!$B$10))*COS(RADIANS('13_시나리오비교'!$C$10))+$I287*COS(RADIANS('13_시나리오비교'!$B$10))),0)</f>
        <v/>
      </c>
      <c r="V287" s="80">
        <f>IF($I287&gt;0,MAX(0,$G287*SIN(RADIANS('13_시나리오비교'!$B$11))*SIN(RADIANS('13_시나리오비교'!$C$11))+$H287*SIN(RADIANS('13_시나리오비교'!$B$11))*COS(RADIANS('13_시나리오비교'!$C$11))+$I287*COS(RADIANS('13_시나리오비교'!$B$11))),0)</f>
        <v/>
      </c>
      <c r="W287" s="80">
        <f>IF($I287&gt;0,MAX(0,$G287*SIN(RADIANS('13_시나리오비교'!$B$12))*SIN(RADIANS('13_시나리오비교'!$C$12))+$H287*SIN(RADIANS('13_시나리오비교'!$B$12))*COS(RADIANS('13_시나리오비교'!$C$12))+$I287*COS(RADIANS('13_시나리오비교'!$B$12))),0)</f>
        <v/>
      </c>
      <c r="X287" s="80">
        <f>IF($I287&gt;0,MAX(0,$G287*SIN(RADIANS('13_시나리오비교'!$B$13))*SIN(RADIANS('13_시나리오비교'!$C$13))+$H287*SIN(RADIANS('13_시나리오비교'!$B$13))*COS(RADIANS('13_시나리오비교'!$C$13))+$I287*COS(RADIANS('13_시나리오비교'!$B$13))),0)</f>
        <v/>
      </c>
      <c r="Y287" s="80">
        <f>IF($I287&gt;0,MAX(0,$G287*SIN(RADIANS('13_시나리오비교'!$B$14))*SIN(RADIANS('13_시나리오비교'!$C$14))+$H287*SIN(RADIANS('13_시나리오비교'!$B$14))*COS(RADIANS('13_시나리오비교'!$C$14))+$I287*COS(RADIANS('13_시나리오비교'!$B$14))),0)</f>
        <v/>
      </c>
    </row>
    <row r="288" hidden="1" outlineLevel="1">
      <c r="A288" s="79" t="n">
        <v>3</v>
      </c>
      <c r="B288" s="79" t="n">
        <v>76</v>
      </c>
      <c r="C288" s="80">
        <f>(B288-0.5)*'14_지역·상수'!$H$6</f>
        <v/>
      </c>
      <c r="D288" s="79" t="n">
        <v>75</v>
      </c>
      <c r="E288" s="80">
        <f>INDEX($C$4:$C$15,MATCH(A288,$A$4:$A$15,0))</f>
        <v/>
      </c>
      <c r="F288" s="80">
        <f>15*(C288-12)</f>
        <v/>
      </c>
      <c r="G288" s="80">
        <f>-COS(RADIANS(E288))*SIN(RADIANS(F288))</f>
        <v/>
      </c>
      <c r="H288" s="80">
        <f>COS(RADIANS('11_발전량_모델'!$B$17))*SIN(RADIANS(E288))-SIN(RADIANS('11_발전량_모델'!$B$17))*COS(RADIANS(E288))*COS(RADIANS(F288))</f>
        <v/>
      </c>
      <c r="I288" s="80">
        <f>SIN(RADIANS('11_발전량_모델'!$B$17))*SIN(RADIANS(E288))+COS(RADIANS('11_발전량_모델'!$B$17))*COS(RADIANS(E288))*COS(RADIANS(F288))</f>
        <v/>
      </c>
      <c r="J288" s="80">
        <f>SIN(RADIANS('11_발전량_모델'!$B$7))*SIN(RADIANS('11_발전량_모델'!$B$8))</f>
        <v/>
      </c>
      <c r="K288" s="80">
        <f>SIN(RADIANS('11_발전량_모델'!$B$7))*COS(RADIANS('11_발전량_모델'!$B$8))</f>
        <v/>
      </c>
      <c r="L288" s="80">
        <f>COS(RADIANS('11_발전량_모델'!$B$7))</f>
        <v/>
      </c>
      <c r="M288" s="80">
        <f>G288*J288+H288*K288+I288*L288</f>
        <v/>
      </c>
      <c r="N288" s="80">
        <f>MAX(0,I288)</f>
        <v/>
      </c>
      <c r="O288" s="80">
        <f>IF(I288&gt;0,MAX(0,M288),0)</f>
        <v/>
      </c>
      <c r="P288" s="80">
        <f>IF($I288&gt;0,MAX(0,$G288*SIN(RADIANS('13_시나리오비교'!$B$5))*SIN(RADIANS('13_시나리오비교'!$C$5))+$H288*SIN(RADIANS('13_시나리오비교'!$B$5))*COS(RADIANS('13_시나리오비교'!$C$5))+$I288*COS(RADIANS('13_시나리오비교'!$B$5))),0)</f>
        <v/>
      </c>
      <c r="Q288" s="80">
        <f>IF($I288&gt;0,MAX(0,$G288*SIN(RADIANS('13_시나리오비교'!$B$6))*SIN(RADIANS('13_시나리오비교'!$C$6))+$H288*SIN(RADIANS('13_시나리오비교'!$B$6))*COS(RADIANS('13_시나리오비교'!$C$6))+$I288*COS(RADIANS('13_시나리오비교'!$B$6))),0)</f>
        <v/>
      </c>
      <c r="R288" s="80">
        <f>IF($I288&gt;0,MAX(0,$G288*SIN(RADIANS('13_시나리오비교'!$B$7))*SIN(RADIANS('13_시나리오비교'!$C$7))+$H288*SIN(RADIANS('13_시나리오비교'!$B$7))*COS(RADIANS('13_시나리오비교'!$C$7))+$I288*COS(RADIANS('13_시나리오비교'!$B$7))),0)</f>
        <v/>
      </c>
      <c r="S288" s="80">
        <f>IF($I288&gt;0,MAX(0,$G288*SIN(RADIANS('13_시나리오비교'!$B$8))*SIN(RADIANS('13_시나리오비교'!$C$8))+$H288*SIN(RADIANS('13_시나리오비교'!$B$8))*COS(RADIANS('13_시나리오비교'!$C$8))+$I288*COS(RADIANS('13_시나리오비교'!$B$8))),0)</f>
        <v/>
      </c>
      <c r="T288" s="80">
        <f>IF($I288&gt;0,MAX(0,$G288*SIN(RADIANS('13_시나리오비교'!$B$9))*SIN(RADIANS('13_시나리오비교'!$C$9))+$H288*SIN(RADIANS('13_시나리오비교'!$B$9))*COS(RADIANS('13_시나리오비교'!$C$9))+$I288*COS(RADIANS('13_시나리오비교'!$B$9))),0)</f>
        <v/>
      </c>
      <c r="U288" s="80">
        <f>IF($I288&gt;0,MAX(0,$G288*SIN(RADIANS('13_시나리오비교'!$B$10))*SIN(RADIANS('13_시나리오비교'!$C$10))+$H288*SIN(RADIANS('13_시나리오비교'!$B$10))*COS(RADIANS('13_시나리오비교'!$C$10))+$I288*COS(RADIANS('13_시나리오비교'!$B$10))),0)</f>
        <v/>
      </c>
      <c r="V288" s="80">
        <f>IF($I288&gt;0,MAX(0,$G288*SIN(RADIANS('13_시나리오비교'!$B$11))*SIN(RADIANS('13_시나리오비교'!$C$11))+$H288*SIN(RADIANS('13_시나리오비교'!$B$11))*COS(RADIANS('13_시나리오비교'!$C$11))+$I288*COS(RADIANS('13_시나리오비교'!$B$11))),0)</f>
        <v/>
      </c>
      <c r="W288" s="80">
        <f>IF($I288&gt;0,MAX(0,$G288*SIN(RADIANS('13_시나리오비교'!$B$12))*SIN(RADIANS('13_시나리오비교'!$C$12))+$H288*SIN(RADIANS('13_시나리오비교'!$B$12))*COS(RADIANS('13_시나리오비교'!$C$12))+$I288*COS(RADIANS('13_시나리오비교'!$B$12))),0)</f>
        <v/>
      </c>
      <c r="X288" s="80">
        <f>IF($I288&gt;0,MAX(0,$G288*SIN(RADIANS('13_시나리오비교'!$B$13))*SIN(RADIANS('13_시나리오비교'!$C$13))+$H288*SIN(RADIANS('13_시나리오비교'!$B$13))*COS(RADIANS('13_시나리오비교'!$C$13))+$I288*COS(RADIANS('13_시나리오비교'!$B$13))),0)</f>
        <v/>
      </c>
      <c r="Y288" s="80">
        <f>IF($I288&gt;0,MAX(0,$G288*SIN(RADIANS('13_시나리오비교'!$B$14))*SIN(RADIANS('13_시나리오비교'!$C$14))+$H288*SIN(RADIANS('13_시나리오비교'!$B$14))*COS(RADIANS('13_시나리오비교'!$C$14))+$I288*COS(RADIANS('13_시나리오비교'!$B$14))),0)</f>
        <v/>
      </c>
    </row>
    <row r="289" hidden="1" outlineLevel="1">
      <c r="A289" s="79" t="n">
        <v>3</v>
      </c>
      <c r="B289" s="79" t="n">
        <v>77</v>
      </c>
      <c r="C289" s="80">
        <f>(B289-0.5)*'14_지역·상수'!$H$6</f>
        <v/>
      </c>
      <c r="D289" s="79" t="n">
        <v>75</v>
      </c>
      <c r="E289" s="80">
        <f>INDEX($C$4:$C$15,MATCH(A289,$A$4:$A$15,0))</f>
        <v/>
      </c>
      <c r="F289" s="80">
        <f>15*(C289-12)</f>
        <v/>
      </c>
      <c r="G289" s="80">
        <f>-COS(RADIANS(E289))*SIN(RADIANS(F289))</f>
        <v/>
      </c>
      <c r="H289" s="80">
        <f>COS(RADIANS('11_발전량_모델'!$B$17))*SIN(RADIANS(E289))-SIN(RADIANS('11_발전량_모델'!$B$17))*COS(RADIANS(E289))*COS(RADIANS(F289))</f>
        <v/>
      </c>
      <c r="I289" s="80">
        <f>SIN(RADIANS('11_발전량_모델'!$B$17))*SIN(RADIANS(E289))+COS(RADIANS('11_발전량_모델'!$B$17))*COS(RADIANS(E289))*COS(RADIANS(F289))</f>
        <v/>
      </c>
      <c r="J289" s="80">
        <f>SIN(RADIANS('11_발전량_모델'!$B$7))*SIN(RADIANS('11_발전량_모델'!$B$8))</f>
        <v/>
      </c>
      <c r="K289" s="80">
        <f>SIN(RADIANS('11_발전량_모델'!$B$7))*COS(RADIANS('11_발전량_모델'!$B$8))</f>
        <v/>
      </c>
      <c r="L289" s="80">
        <f>COS(RADIANS('11_발전량_모델'!$B$7))</f>
        <v/>
      </c>
      <c r="M289" s="80">
        <f>G289*J289+H289*K289+I289*L289</f>
        <v/>
      </c>
      <c r="N289" s="80">
        <f>MAX(0,I289)</f>
        <v/>
      </c>
      <c r="O289" s="80">
        <f>IF(I289&gt;0,MAX(0,M289),0)</f>
        <v/>
      </c>
      <c r="P289" s="80">
        <f>IF($I289&gt;0,MAX(0,$G289*SIN(RADIANS('13_시나리오비교'!$B$5))*SIN(RADIANS('13_시나리오비교'!$C$5))+$H289*SIN(RADIANS('13_시나리오비교'!$B$5))*COS(RADIANS('13_시나리오비교'!$C$5))+$I289*COS(RADIANS('13_시나리오비교'!$B$5))),0)</f>
        <v/>
      </c>
      <c r="Q289" s="80">
        <f>IF($I289&gt;0,MAX(0,$G289*SIN(RADIANS('13_시나리오비교'!$B$6))*SIN(RADIANS('13_시나리오비교'!$C$6))+$H289*SIN(RADIANS('13_시나리오비교'!$B$6))*COS(RADIANS('13_시나리오비교'!$C$6))+$I289*COS(RADIANS('13_시나리오비교'!$B$6))),0)</f>
        <v/>
      </c>
      <c r="R289" s="80">
        <f>IF($I289&gt;0,MAX(0,$G289*SIN(RADIANS('13_시나리오비교'!$B$7))*SIN(RADIANS('13_시나리오비교'!$C$7))+$H289*SIN(RADIANS('13_시나리오비교'!$B$7))*COS(RADIANS('13_시나리오비교'!$C$7))+$I289*COS(RADIANS('13_시나리오비교'!$B$7))),0)</f>
        <v/>
      </c>
      <c r="S289" s="80">
        <f>IF($I289&gt;0,MAX(0,$G289*SIN(RADIANS('13_시나리오비교'!$B$8))*SIN(RADIANS('13_시나리오비교'!$C$8))+$H289*SIN(RADIANS('13_시나리오비교'!$B$8))*COS(RADIANS('13_시나리오비교'!$C$8))+$I289*COS(RADIANS('13_시나리오비교'!$B$8))),0)</f>
        <v/>
      </c>
      <c r="T289" s="80">
        <f>IF($I289&gt;0,MAX(0,$G289*SIN(RADIANS('13_시나리오비교'!$B$9))*SIN(RADIANS('13_시나리오비교'!$C$9))+$H289*SIN(RADIANS('13_시나리오비교'!$B$9))*COS(RADIANS('13_시나리오비교'!$C$9))+$I289*COS(RADIANS('13_시나리오비교'!$B$9))),0)</f>
        <v/>
      </c>
      <c r="U289" s="80">
        <f>IF($I289&gt;0,MAX(0,$G289*SIN(RADIANS('13_시나리오비교'!$B$10))*SIN(RADIANS('13_시나리오비교'!$C$10))+$H289*SIN(RADIANS('13_시나리오비교'!$B$10))*COS(RADIANS('13_시나리오비교'!$C$10))+$I289*COS(RADIANS('13_시나리오비교'!$B$10))),0)</f>
        <v/>
      </c>
      <c r="V289" s="80">
        <f>IF($I289&gt;0,MAX(0,$G289*SIN(RADIANS('13_시나리오비교'!$B$11))*SIN(RADIANS('13_시나리오비교'!$C$11))+$H289*SIN(RADIANS('13_시나리오비교'!$B$11))*COS(RADIANS('13_시나리오비교'!$C$11))+$I289*COS(RADIANS('13_시나리오비교'!$B$11))),0)</f>
        <v/>
      </c>
      <c r="W289" s="80">
        <f>IF($I289&gt;0,MAX(0,$G289*SIN(RADIANS('13_시나리오비교'!$B$12))*SIN(RADIANS('13_시나리오비교'!$C$12))+$H289*SIN(RADIANS('13_시나리오비교'!$B$12))*COS(RADIANS('13_시나리오비교'!$C$12))+$I289*COS(RADIANS('13_시나리오비교'!$B$12))),0)</f>
        <v/>
      </c>
      <c r="X289" s="80">
        <f>IF($I289&gt;0,MAX(0,$G289*SIN(RADIANS('13_시나리오비교'!$B$13))*SIN(RADIANS('13_시나리오비교'!$C$13))+$H289*SIN(RADIANS('13_시나리오비교'!$B$13))*COS(RADIANS('13_시나리오비교'!$C$13))+$I289*COS(RADIANS('13_시나리오비교'!$B$13))),0)</f>
        <v/>
      </c>
      <c r="Y289" s="80">
        <f>IF($I289&gt;0,MAX(0,$G289*SIN(RADIANS('13_시나리오비교'!$B$14))*SIN(RADIANS('13_시나리오비교'!$C$14))+$H289*SIN(RADIANS('13_시나리오비교'!$B$14))*COS(RADIANS('13_시나리오비교'!$C$14))+$I289*COS(RADIANS('13_시나리오비교'!$B$14))),0)</f>
        <v/>
      </c>
    </row>
    <row r="290" hidden="1" outlineLevel="1">
      <c r="A290" s="79" t="n">
        <v>3</v>
      </c>
      <c r="B290" s="79" t="n">
        <v>78</v>
      </c>
      <c r="C290" s="80">
        <f>(B290-0.5)*'14_지역·상수'!$H$6</f>
        <v/>
      </c>
      <c r="D290" s="79" t="n">
        <v>75</v>
      </c>
      <c r="E290" s="80">
        <f>INDEX($C$4:$C$15,MATCH(A290,$A$4:$A$15,0))</f>
        <v/>
      </c>
      <c r="F290" s="80">
        <f>15*(C290-12)</f>
        <v/>
      </c>
      <c r="G290" s="80">
        <f>-COS(RADIANS(E290))*SIN(RADIANS(F290))</f>
        <v/>
      </c>
      <c r="H290" s="80">
        <f>COS(RADIANS('11_발전량_모델'!$B$17))*SIN(RADIANS(E290))-SIN(RADIANS('11_발전량_모델'!$B$17))*COS(RADIANS(E290))*COS(RADIANS(F290))</f>
        <v/>
      </c>
      <c r="I290" s="80">
        <f>SIN(RADIANS('11_발전량_모델'!$B$17))*SIN(RADIANS(E290))+COS(RADIANS('11_발전량_모델'!$B$17))*COS(RADIANS(E290))*COS(RADIANS(F290))</f>
        <v/>
      </c>
      <c r="J290" s="80">
        <f>SIN(RADIANS('11_발전량_모델'!$B$7))*SIN(RADIANS('11_발전량_모델'!$B$8))</f>
        <v/>
      </c>
      <c r="K290" s="80">
        <f>SIN(RADIANS('11_발전량_모델'!$B$7))*COS(RADIANS('11_발전량_모델'!$B$8))</f>
        <v/>
      </c>
      <c r="L290" s="80">
        <f>COS(RADIANS('11_발전량_모델'!$B$7))</f>
        <v/>
      </c>
      <c r="M290" s="80">
        <f>G290*J290+H290*K290+I290*L290</f>
        <v/>
      </c>
      <c r="N290" s="80">
        <f>MAX(0,I290)</f>
        <v/>
      </c>
      <c r="O290" s="80">
        <f>IF(I290&gt;0,MAX(0,M290),0)</f>
        <v/>
      </c>
      <c r="P290" s="80">
        <f>IF($I290&gt;0,MAX(0,$G290*SIN(RADIANS('13_시나리오비교'!$B$5))*SIN(RADIANS('13_시나리오비교'!$C$5))+$H290*SIN(RADIANS('13_시나리오비교'!$B$5))*COS(RADIANS('13_시나리오비교'!$C$5))+$I290*COS(RADIANS('13_시나리오비교'!$B$5))),0)</f>
        <v/>
      </c>
      <c r="Q290" s="80">
        <f>IF($I290&gt;0,MAX(0,$G290*SIN(RADIANS('13_시나리오비교'!$B$6))*SIN(RADIANS('13_시나리오비교'!$C$6))+$H290*SIN(RADIANS('13_시나리오비교'!$B$6))*COS(RADIANS('13_시나리오비교'!$C$6))+$I290*COS(RADIANS('13_시나리오비교'!$B$6))),0)</f>
        <v/>
      </c>
      <c r="R290" s="80">
        <f>IF($I290&gt;0,MAX(0,$G290*SIN(RADIANS('13_시나리오비교'!$B$7))*SIN(RADIANS('13_시나리오비교'!$C$7))+$H290*SIN(RADIANS('13_시나리오비교'!$B$7))*COS(RADIANS('13_시나리오비교'!$C$7))+$I290*COS(RADIANS('13_시나리오비교'!$B$7))),0)</f>
        <v/>
      </c>
      <c r="S290" s="80">
        <f>IF($I290&gt;0,MAX(0,$G290*SIN(RADIANS('13_시나리오비교'!$B$8))*SIN(RADIANS('13_시나리오비교'!$C$8))+$H290*SIN(RADIANS('13_시나리오비교'!$B$8))*COS(RADIANS('13_시나리오비교'!$C$8))+$I290*COS(RADIANS('13_시나리오비교'!$B$8))),0)</f>
        <v/>
      </c>
      <c r="T290" s="80">
        <f>IF($I290&gt;0,MAX(0,$G290*SIN(RADIANS('13_시나리오비교'!$B$9))*SIN(RADIANS('13_시나리오비교'!$C$9))+$H290*SIN(RADIANS('13_시나리오비교'!$B$9))*COS(RADIANS('13_시나리오비교'!$C$9))+$I290*COS(RADIANS('13_시나리오비교'!$B$9))),0)</f>
        <v/>
      </c>
      <c r="U290" s="80">
        <f>IF($I290&gt;0,MAX(0,$G290*SIN(RADIANS('13_시나리오비교'!$B$10))*SIN(RADIANS('13_시나리오비교'!$C$10))+$H290*SIN(RADIANS('13_시나리오비교'!$B$10))*COS(RADIANS('13_시나리오비교'!$C$10))+$I290*COS(RADIANS('13_시나리오비교'!$B$10))),0)</f>
        <v/>
      </c>
      <c r="V290" s="80">
        <f>IF($I290&gt;0,MAX(0,$G290*SIN(RADIANS('13_시나리오비교'!$B$11))*SIN(RADIANS('13_시나리오비교'!$C$11))+$H290*SIN(RADIANS('13_시나리오비교'!$B$11))*COS(RADIANS('13_시나리오비교'!$C$11))+$I290*COS(RADIANS('13_시나리오비교'!$B$11))),0)</f>
        <v/>
      </c>
      <c r="W290" s="80">
        <f>IF($I290&gt;0,MAX(0,$G290*SIN(RADIANS('13_시나리오비교'!$B$12))*SIN(RADIANS('13_시나리오비교'!$C$12))+$H290*SIN(RADIANS('13_시나리오비교'!$B$12))*COS(RADIANS('13_시나리오비교'!$C$12))+$I290*COS(RADIANS('13_시나리오비교'!$B$12))),0)</f>
        <v/>
      </c>
      <c r="X290" s="80">
        <f>IF($I290&gt;0,MAX(0,$G290*SIN(RADIANS('13_시나리오비교'!$B$13))*SIN(RADIANS('13_시나리오비교'!$C$13))+$H290*SIN(RADIANS('13_시나리오비교'!$B$13))*COS(RADIANS('13_시나리오비교'!$C$13))+$I290*COS(RADIANS('13_시나리오비교'!$B$13))),0)</f>
        <v/>
      </c>
      <c r="Y290" s="80">
        <f>IF($I290&gt;0,MAX(0,$G290*SIN(RADIANS('13_시나리오비교'!$B$14))*SIN(RADIANS('13_시나리오비교'!$C$14))+$H290*SIN(RADIANS('13_시나리오비교'!$B$14))*COS(RADIANS('13_시나리오비교'!$C$14))+$I290*COS(RADIANS('13_시나리오비교'!$B$14))),0)</f>
        <v/>
      </c>
    </row>
    <row r="291" hidden="1" outlineLevel="1">
      <c r="A291" s="79" t="n">
        <v>3</v>
      </c>
      <c r="B291" s="79" t="n">
        <v>79</v>
      </c>
      <c r="C291" s="80">
        <f>(B291-0.5)*'14_지역·상수'!$H$6</f>
        <v/>
      </c>
      <c r="D291" s="79" t="n">
        <v>75</v>
      </c>
      <c r="E291" s="80">
        <f>INDEX($C$4:$C$15,MATCH(A291,$A$4:$A$15,0))</f>
        <v/>
      </c>
      <c r="F291" s="80">
        <f>15*(C291-12)</f>
        <v/>
      </c>
      <c r="G291" s="80">
        <f>-COS(RADIANS(E291))*SIN(RADIANS(F291))</f>
        <v/>
      </c>
      <c r="H291" s="80">
        <f>COS(RADIANS('11_발전량_모델'!$B$17))*SIN(RADIANS(E291))-SIN(RADIANS('11_발전량_모델'!$B$17))*COS(RADIANS(E291))*COS(RADIANS(F291))</f>
        <v/>
      </c>
      <c r="I291" s="80">
        <f>SIN(RADIANS('11_발전량_모델'!$B$17))*SIN(RADIANS(E291))+COS(RADIANS('11_발전량_모델'!$B$17))*COS(RADIANS(E291))*COS(RADIANS(F291))</f>
        <v/>
      </c>
      <c r="J291" s="80">
        <f>SIN(RADIANS('11_발전량_모델'!$B$7))*SIN(RADIANS('11_발전량_모델'!$B$8))</f>
        <v/>
      </c>
      <c r="K291" s="80">
        <f>SIN(RADIANS('11_발전량_모델'!$B$7))*COS(RADIANS('11_발전량_모델'!$B$8))</f>
        <v/>
      </c>
      <c r="L291" s="80">
        <f>COS(RADIANS('11_발전량_모델'!$B$7))</f>
        <v/>
      </c>
      <c r="M291" s="80">
        <f>G291*J291+H291*K291+I291*L291</f>
        <v/>
      </c>
      <c r="N291" s="80">
        <f>MAX(0,I291)</f>
        <v/>
      </c>
      <c r="O291" s="80">
        <f>IF(I291&gt;0,MAX(0,M291),0)</f>
        <v/>
      </c>
      <c r="P291" s="80">
        <f>IF($I291&gt;0,MAX(0,$G291*SIN(RADIANS('13_시나리오비교'!$B$5))*SIN(RADIANS('13_시나리오비교'!$C$5))+$H291*SIN(RADIANS('13_시나리오비교'!$B$5))*COS(RADIANS('13_시나리오비교'!$C$5))+$I291*COS(RADIANS('13_시나리오비교'!$B$5))),0)</f>
        <v/>
      </c>
      <c r="Q291" s="80">
        <f>IF($I291&gt;0,MAX(0,$G291*SIN(RADIANS('13_시나리오비교'!$B$6))*SIN(RADIANS('13_시나리오비교'!$C$6))+$H291*SIN(RADIANS('13_시나리오비교'!$B$6))*COS(RADIANS('13_시나리오비교'!$C$6))+$I291*COS(RADIANS('13_시나리오비교'!$B$6))),0)</f>
        <v/>
      </c>
      <c r="R291" s="80">
        <f>IF($I291&gt;0,MAX(0,$G291*SIN(RADIANS('13_시나리오비교'!$B$7))*SIN(RADIANS('13_시나리오비교'!$C$7))+$H291*SIN(RADIANS('13_시나리오비교'!$B$7))*COS(RADIANS('13_시나리오비교'!$C$7))+$I291*COS(RADIANS('13_시나리오비교'!$B$7))),0)</f>
        <v/>
      </c>
      <c r="S291" s="80">
        <f>IF($I291&gt;0,MAX(0,$G291*SIN(RADIANS('13_시나리오비교'!$B$8))*SIN(RADIANS('13_시나리오비교'!$C$8))+$H291*SIN(RADIANS('13_시나리오비교'!$B$8))*COS(RADIANS('13_시나리오비교'!$C$8))+$I291*COS(RADIANS('13_시나리오비교'!$B$8))),0)</f>
        <v/>
      </c>
      <c r="T291" s="80">
        <f>IF($I291&gt;0,MAX(0,$G291*SIN(RADIANS('13_시나리오비교'!$B$9))*SIN(RADIANS('13_시나리오비교'!$C$9))+$H291*SIN(RADIANS('13_시나리오비교'!$B$9))*COS(RADIANS('13_시나리오비교'!$C$9))+$I291*COS(RADIANS('13_시나리오비교'!$B$9))),0)</f>
        <v/>
      </c>
      <c r="U291" s="80">
        <f>IF($I291&gt;0,MAX(0,$G291*SIN(RADIANS('13_시나리오비교'!$B$10))*SIN(RADIANS('13_시나리오비교'!$C$10))+$H291*SIN(RADIANS('13_시나리오비교'!$B$10))*COS(RADIANS('13_시나리오비교'!$C$10))+$I291*COS(RADIANS('13_시나리오비교'!$B$10))),0)</f>
        <v/>
      </c>
      <c r="V291" s="80">
        <f>IF($I291&gt;0,MAX(0,$G291*SIN(RADIANS('13_시나리오비교'!$B$11))*SIN(RADIANS('13_시나리오비교'!$C$11))+$H291*SIN(RADIANS('13_시나리오비교'!$B$11))*COS(RADIANS('13_시나리오비교'!$C$11))+$I291*COS(RADIANS('13_시나리오비교'!$B$11))),0)</f>
        <v/>
      </c>
      <c r="W291" s="80">
        <f>IF($I291&gt;0,MAX(0,$G291*SIN(RADIANS('13_시나리오비교'!$B$12))*SIN(RADIANS('13_시나리오비교'!$C$12))+$H291*SIN(RADIANS('13_시나리오비교'!$B$12))*COS(RADIANS('13_시나리오비교'!$C$12))+$I291*COS(RADIANS('13_시나리오비교'!$B$12))),0)</f>
        <v/>
      </c>
      <c r="X291" s="80">
        <f>IF($I291&gt;0,MAX(0,$G291*SIN(RADIANS('13_시나리오비교'!$B$13))*SIN(RADIANS('13_시나리오비교'!$C$13))+$H291*SIN(RADIANS('13_시나리오비교'!$B$13))*COS(RADIANS('13_시나리오비교'!$C$13))+$I291*COS(RADIANS('13_시나리오비교'!$B$13))),0)</f>
        <v/>
      </c>
      <c r="Y291" s="80">
        <f>IF($I291&gt;0,MAX(0,$G291*SIN(RADIANS('13_시나리오비교'!$B$14))*SIN(RADIANS('13_시나리오비교'!$C$14))+$H291*SIN(RADIANS('13_시나리오비교'!$B$14))*COS(RADIANS('13_시나리오비교'!$C$14))+$I291*COS(RADIANS('13_시나리오비교'!$B$14))),0)</f>
        <v/>
      </c>
    </row>
    <row r="292" hidden="1" outlineLevel="1">
      <c r="A292" s="79" t="n">
        <v>3</v>
      </c>
      <c r="B292" s="79" t="n">
        <v>80</v>
      </c>
      <c r="C292" s="80">
        <f>(B292-0.5)*'14_지역·상수'!$H$6</f>
        <v/>
      </c>
      <c r="D292" s="79" t="n">
        <v>75</v>
      </c>
      <c r="E292" s="80">
        <f>INDEX($C$4:$C$15,MATCH(A292,$A$4:$A$15,0))</f>
        <v/>
      </c>
      <c r="F292" s="80">
        <f>15*(C292-12)</f>
        <v/>
      </c>
      <c r="G292" s="80">
        <f>-COS(RADIANS(E292))*SIN(RADIANS(F292))</f>
        <v/>
      </c>
      <c r="H292" s="80">
        <f>COS(RADIANS('11_발전량_모델'!$B$17))*SIN(RADIANS(E292))-SIN(RADIANS('11_발전량_모델'!$B$17))*COS(RADIANS(E292))*COS(RADIANS(F292))</f>
        <v/>
      </c>
      <c r="I292" s="80">
        <f>SIN(RADIANS('11_발전량_모델'!$B$17))*SIN(RADIANS(E292))+COS(RADIANS('11_발전량_모델'!$B$17))*COS(RADIANS(E292))*COS(RADIANS(F292))</f>
        <v/>
      </c>
      <c r="J292" s="80">
        <f>SIN(RADIANS('11_발전량_모델'!$B$7))*SIN(RADIANS('11_발전량_모델'!$B$8))</f>
        <v/>
      </c>
      <c r="K292" s="80">
        <f>SIN(RADIANS('11_발전량_모델'!$B$7))*COS(RADIANS('11_발전량_모델'!$B$8))</f>
        <v/>
      </c>
      <c r="L292" s="80">
        <f>COS(RADIANS('11_발전량_모델'!$B$7))</f>
        <v/>
      </c>
      <c r="M292" s="80">
        <f>G292*J292+H292*K292+I292*L292</f>
        <v/>
      </c>
      <c r="N292" s="80">
        <f>MAX(0,I292)</f>
        <v/>
      </c>
      <c r="O292" s="80">
        <f>IF(I292&gt;0,MAX(0,M292),0)</f>
        <v/>
      </c>
      <c r="P292" s="80">
        <f>IF($I292&gt;0,MAX(0,$G292*SIN(RADIANS('13_시나리오비교'!$B$5))*SIN(RADIANS('13_시나리오비교'!$C$5))+$H292*SIN(RADIANS('13_시나리오비교'!$B$5))*COS(RADIANS('13_시나리오비교'!$C$5))+$I292*COS(RADIANS('13_시나리오비교'!$B$5))),0)</f>
        <v/>
      </c>
      <c r="Q292" s="80">
        <f>IF($I292&gt;0,MAX(0,$G292*SIN(RADIANS('13_시나리오비교'!$B$6))*SIN(RADIANS('13_시나리오비교'!$C$6))+$H292*SIN(RADIANS('13_시나리오비교'!$B$6))*COS(RADIANS('13_시나리오비교'!$C$6))+$I292*COS(RADIANS('13_시나리오비교'!$B$6))),0)</f>
        <v/>
      </c>
      <c r="R292" s="80">
        <f>IF($I292&gt;0,MAX(0,$G292*SIN(RADIANS('13_시나리오비교'!$B$7))*SIN(RADIANS('13_시나리오비교'!$C$7))+$H292*SIN(RADIANS('13_시나리오비교'!$B$7))*COS(RADIANS('13_시나리오비교'!$C$7))+$I292*COS(RADIANS('13_시나리오비교'!$B$7))),0)</f>
        <v/>
      </c>
      <c r="S292" s="80">
        <f>IF($I292&gt;0,MAX(0,$G292*SIN(RADIANS('13_시나리오비교'!$B$8))*SIN(RADIANS('13_시나리오비교'!$C$8))+$H292*SIN(RADIANS('13_시나리오비교'!$B$8))*COS(RADIANS('13_시나리오비교'!$C$8))+$I292*COS(RADIANS('13_시나리오비교'!$B$8))),0)</f>
        <v/>
      </c>
      <c r="T292" s="80">
        <f>IF($I292&gt;0,MAX(0,$G292*SIN(RADIANS('13_시나리오비교'!$B$9))*SIN(RADIANS('13_시나리오비교'!$C$9))+$H292*SIN(RADIANS('13_시나리오비교'!$B$9))*COS(RADIANS('13_시나리오비교'!$C$9))+$I292*COS(RADIANS('13_시나리오비교'!$B$9))),0)</f>
        <v/>
      </c>
      <c r="U292" s="80">
        <f>IF($I292&gt;0,MAX(0,$G292*SIN(RADIANS('13_시나리오비교'!$B$10))*SIN(RADIANS('13_시나리오비교'!$C$10))+$H292*SIN(RADIANS('13_시나리오비교'!$B$10))*COS(RADIANS('13_시나리오비교'!$C$10))+$I292*COS(RADIANS('13_시나리오비교'!$B$10))),0)</f>
        <v/>
      </c>
      <c r="V292" s="80">
        <f>IF($I292&gt;0,MAX(0,$G292*SIN(RADIANS('13_시나리오비교'!$B$11))*SIN(RADIANS('13_시나리오비교'!$C$11))+$H292*SIN(RADIANS('13_시나리오비교'!$B$11))*COS(RADIANS('13_시나리오비교'!$C$11))+$I292*COS(RADIANS('13_시나리오비교'!$B$11))),0)</f>
        <v/>
      </c>
      <c r="W292" s="80">
        <f>IF($I292&gt;0,MAX(0,$G292*SIN(RADIANS('13_시나리오비교'!$B$12))*SIN(RADIANS('13_시나리오비교'!$C$12))+$H292*SIN(RADIANS('13_시나리오비교'!$B$12))*COS(RADIANS('13_시나리오비교'!$C$12))+$I292*COS(RADIANS('13_시나리오비교'!$B$12))),0)</f>
        <v/>
      </c>
      <c r="X292" s="80">
        <f>IF($I292&gt;0,MAX(0,$G292*SIN(RADIANS('13_시나리오비교'!$B$13))*SIN(RADIANS('13_시나리오비교'!$C$13))+$H292*SIN(RADIANS('13_시나리오비교'!$B$13))*COS(RADIANS('13_시나리오비교'!$C$13))+$I292*COS(RADIANS('13_시나리오비교'!$B$13))),0)</f>
        <v/>
      </c>
      <c r="Y292" s="80">
        <f>IF($I292&gt;0,MAX(0,$G292*SIN(RADIANS('13_시나리오비교'!$B$14))*SIN(RADIANS('13_시나리오비교'!$C$14))+$H292*SIN(RADIANS('13_시나리오비교'!$B$14))*COS(RADIANS('13_시나리오비교'!$C$14))+$I292*COS(RADIANS('13_시나리오비교'!$B$14))),0)</f>
        <v/>
      </c>
    </row>
    <row r="293" hidden="1" outlineLevel="1">
      <c r="A293" s="79" t="n">
        <v>3</v>
      </c>
      <c r="B293" s="79" t="n">
        <v>81</v>
      </c>
      <c r="C293" s="80">
        <f>(B293-0.5)*'14_지역·상수'!$H$6</f>
        <v/>
      </c>
      <c r="D293" s="79" t="n">
        <v>75</v>
      </c>
      <c r="E293" s="80">
        <f>INDEX($C$4:$C$15,MATCH(A293,$A$4:$A$15,0))</f>
        <v/>
      </c>
      <c r="F293" s="80">
        <f>15*(C293-12)</f>
        <v/>
      </c>
      <c r="G293" s="80">
        <f>-COS(RADIANS(E293))*SIN(RADIANS(F293))</f>
        <v/>
      </c>
      <c r="H293" s="80">
        <f>COS(RADIANS('11_발전량_모델'!$B$17))*SIN(RADIANS(E293))-SIN(RADIANS('11_발전량_모델'!$B$17))*COS(RADIANS(E293))*COS(RADIANS(F293))</f>
        <v/>
      </c>
      <c r="I293" s="80">
        <f>SIN(RADIANS('11_발전량_모델'!$B$17))*SIN(RADIANS(E293))+COS(RADIANS('11_발전량_모델'!$B$17))*COS(RADIANS(E293))*COS(RADIANS(F293))</f>
        <v/>
      </c>
      <c r="J293" s="80">
        <f>SIN(RADIANS('11_발전량_모델'!$B$7))*SIN(RADIANS('11_발전량_모델'!$B$8))</f>
        <v/>
      </c>
      <c r="K293" s="80">
        <f>SIN(RADIANS('11_발전량_모델'!$B$7))*COS(RADIANS('11_발전량_모델'!$B$8))</f>
        <v/>
      </c>
      <c r="L293" s="80">
        <f>COS(RADIANS('11_발전량_모델'!$B$7))</f>
        <v/>
      </c>
      <c r="M293" s="80">
        <f>G293*J293+H293*K293+I293*L293</f>
        <v/>
      </c>
      <c r="N293" s="80">
        <f>MAX(0,I293)</f>
        <v/>
      </c>
      <c r="O293" s="80">
        <f>IF(I293&gt;0,MAX(0,M293),0)</f>
        <v/>
      </c>
      <c r="P293" s="80">
        <f>IF($I293&gt;0,MAX(0,$G293*SIN(RADIANS('13_시나리오비교'!$B$5))*SIN(RADIANS('13_시나리오비교'!$C$5))+$H293*SIN(RADIANS('13_시나리오비교'!$B$5))*COS(RADIANS('13_시나리오비교'!$C$5))+$I293*COS(RADIANS('13_시나리오비교'!$B$5))),0)</f>
        <v/>
      </c>
      <c r="Q293" s="80">
        <f>IF($I293&gt;0,MAX(0,$G293*SIN(RADIANS('13_시나리오비교'!$B$6))*SIN(RADIANS('13_시나리오비교'!$C$6))+$H293*SIN(RADIANS('13_시나리오비교'!$B$6))*COS(RADIANS('13_시나리오비교'!$C$6))+$I293*COS(RADIANS('13_시나리오비교'!$B$6))),0)</f>
        <v/>
      </c>
      <c r="R293" s="80">
        <f>IF($I293&gt;0,MAX(0,$G293*SIN(RADIANS('13_시나리오비교'!$B$7))*SIN(RADIANS('13_시나리오비교'!$C$7))+$H293*SIN(RADIANS('13_시나리오비교'!$B$7))*COS(RADIANS('13_시나리오비교'!$C$7))+$I293*COS(RADIANS('13_시나리오비교'!$B$7))),0)</f>
        <v/>
      </c>
      <c r="S293" s="80">
        <f>IF($I293&gt;0,MAX(0,$G293*SIN(RADIANS('13_시나리오비교'!$B$8))*SIN(RADIANS('13_시나리오비교'!$C$8))+$H293*SIN(RADIANS('13_시나리오비교'!$B$8))*COS(RADIANS('13_시나리오비교'!$C$8))+$I293*COS(RADIANS('13_시나리오비교'!$B$8))),0)</f>
        <v/>
      </c>
      <c r="T293" s="80">
        <f>IF($I293&gt;0,MAX(0,$G293*SIN(RADIANS('13_시나리오비교'!$B$9))*SIN(RADIANS('13_시나리오비교'!$C$9))+$H293*SIN(RADIANS('13_시나리오비교'!$B$9))*COS(RADIANS('13_시나리오비교'!$C$9))+$I293*COS(RADIANS('13_시나리오비교'!$B$9))),0)</f>
        <v/>
      </c>
      <c r="U293" s="80">
        <f>IF($I293&gt;0,MAX(0,$G293*SIN(RADIANS('13_시나리오비교'!$B$10))*SIN(RADIANS('13_시나리오비교'!$C$10))+$H293*SIN(RADIANS('13_시나리오비교'!$B$10))*COS(RADIANS('13_시나리오비교'!$C$10))+$I293*COS(RADIANS('13_시나리오비교'!$B$10))),0)</f>
        <v/>
      </c>
      <c r="V293" s="80">
        <f>IF($I293&gt;0,MAX(0,$G293*SIN(RADIANS('13_시나리오비교'!$B$11))*SIN(RADIANS('13_시나리오비교'!$C$11))+$H293*SIN(RADIANS('13_시나리오비교'!$B$11))*COS(RADIANS('13_시나리오비교'!$C$11))+$I293*COS(RADIANS('13_시나리오비교'!$B$11))),0)</f>
        <v/>
      </c>
      <c r="W293" s="80">
        <f>IF($I293&gt;0,MAX(0,$G293*SIN(RADIANS('13_시나리오비교'!$B$12))*SIN(RADIANS('13_시나리오비교'!$C$12))+$H293*SIN(RADIANS('13_시나리오비교'!$B$12))*COS(RADIANS('13_시나리오비교'!$C$12))+$I293*COS(RADIANS('13_시나리오비교'!$B$12))),0)</f>
        <v/>
      </c>
      <c r="X293" s="80">
        <f>IF($I293&gt;0,MAX(0,$G293*SIN(RADIANS('13_시나리오비교'!$B$13))*SIN(RADIANS('13_시나리오비교'!$C$13))+$H293*SIN(RADIANS('13_시나리오비교'!$B$13))*COS(RADIANS('13_시나리오비교'!$C$13))+$I293*COS(RADIANS('13_시나리오비교'!$B$13))),0)</f>
        <v/>
      </c>
      <c r="Y293" s="80">
        <f>IF($I293&gt;0,MAX(0,$G293*SIN(RADIANS('13_시나리오비교'!$B$14))*SIN(RADIANS('13_시나리오비교'!$C$14))+$H293*SIN(RADIANS('13_시나리오비교'!$B$14))*COS(RADIANS('13_시나리오비교'!$C$14))+$I293*COS(RADIANS('13_시나리오비교'!$B$14))),0)</f>
        <v/>
      </c>
    </row>
    <row r="294" hidden="1" outlineLevel="1">
      <c r="A294" s="79" t="n">
        <v>3</v>
      </c>
      <c r="B294" s="79" t="n">
        <v>82</v>
      </c>
      <c r="C294" s="80">
        <f>(B294-0.5)*'14_지역·상수'!$H$6</f>
        <v/>
      </c>
      <c r="D294" s="79" t="n">
        <v>75</v>
      </c>
      <c r="E294" s="80">
        <f>INDEX($C$4:$C$15,MATCH(A294,$A$4:$A$15,0))</f>
        <v/>
      </c>
      <c r="F294" s="80">
        <f>15*(C294-12)</f>
        <v/>
      </c>
      <c r="G294" s="80">
        <f>-COS(RADIANS(E294))*SIN(RADIANS(F294))</f>
        <v/>
      </c>
      <c r="H294" s="80">
        <f>COS(RADIANS('11_발전량_모델'!$B$17))*SIN(RADIANS(E294))-SIN(RADIANS('11_발전량_모델'!$B$17))*COS(RADIANS(E294))*COS(RADIANS(F294))</f>
        <v/>
      </c>
      <c r="I294" s="80">
        <f>SIN(RADIANS('11_발전량_모델'!$B$17))*SIN(RADIANS(E294))+COS(RADIANS('11_발전량_모델'!$B$17))*COS(RADIANS(E294))*COS(RADIANS(F294))</f>
        <v/>
      </c>
      <c r="J294" s="80">
        <f>SIN(RADIANS('11_발전량_모델'!$B$7))*SIN(RADIANS('11_발전량_모델'!$B$8))</f>
        <v/>
      </c>
      <c r="K294" s="80">
        <f>SIN(RADIANS('11_발전량_모델'!$B$7))*COS(RADIANS('11_발전량_모델'!$B$8))</f>
        <v/>
      </c>
      <c r="L294" s="80">
        <f>COS(RADIANS('11_발전량_모델'!$B$7))</f>
        <v/>
      </c>
      <c r="M294" s="80">
        <f>G294*J294+H294*K294+I294*L294</f>
        <v/>
      </c>
      <c r="N294" s="80">
        <f>MAX(0,I294)</f>
        <v/>
      </c>
      <c r="O294" s="80">
        <f>IF(I294&gt;0,MAX(0,M294),0)</f>
        <v/>
      </c>
      <c r="P294" s="80">
        <f>IF($I294&gt;0,MAX(0,$G294*SIN(RADIANS('13_시나리오비교'!$B$5))*SIN(RADIANS('13_시나리오비교'!$C$5))+$H294*SIN(RADIANS('13_시나리오비교'!$B$5))*COS(RADIANS('13_시나리오비교'!$C$5))+$I294*COS(RADIANS('13_시나리오비교'!$B$5))),0)</f>
        <v/>
      </c>
      <c r="Q294" s="80">
        <f>IF($I294&gt;0,MAX(0,$G294*SIN(RADIANS('13_시나리오비교'!$B$6))*SIN(RADIANS('13_시나리오비교'!$C$6))+$H294*SIN(RADIANS('13_시나리오비교'!$B$6))*COS(RADIANS('13_시나리오비교'!$C$6))+$I294*COS(RADIANS('13_시나리오비교'!$B$6))),0)</f>
        <v/>
      </c>
      <c r="R294" s="80">
        <f>IF($I294&gt;0,MAX(0,$G294*SIN(RADIANS('13_시나리오비교'!$B$7))*SIN(RADIANS('13_시나리오비교'!$C$7))+$H294*SIN(RADIANS('13_시나리오비교'!$B$7))*COS(RADIANS('13_시나리오비교'!$C$7))+$I294*COS(RADIANS('13_시나리오비교'!$B$7))),0)</f>
        <v/>
      </c>
      <c r="S294" s="80">
        <f>IF($I294&gt;0,MAX(0,$G294*SIN(RADIANS('13_시나리오비교'!$B$8))*SIN(RADIANS('13_시나리오비교'!$C$8))+$H294*SIN(RADIANS('13_시나리오비교'!$B$8))*COS(RADIANS('13_시나리오비교'!$C$8))+$I294*COS(RADIANS('13_시나리오비교'!$B$8))),0)</f>
        <v/>
      </c>
      <c r="T294" s="80">
        <f>IF($I294&gt;0,MAX(0,$G294*SIN(RADIANS('13_시나리오비교'!$B$9))*SIN(RADIANS('13_시나리오비교'!$C$9))+$H294*SIN(RADIANS('13_시나리오비교'!$B$9))*COS(RADIANS('13_시나리오비교'!$C$9))+$I294*COS(RADIANS('13_시나리오비교'!$B$9))),0)</f>
        <v/>
      </c>
      <c r="U294" s="80">
        <f>IF($I294&gt;0,MAX(0,$G294*SIN(RADIANS('13_시나리오비교'!$B$10))*SIN(RADIANS('13_시나리오비교'!$C$10))+$H294*SIN(RADIANS('13_시나리오비교'!$B$10))*COS(RADIANS('13_시나리오비교'!$C$10))+$I294*COS(RADIANS('13_시나리오비교'!$B$10))),0)</f>
        <v/>
      </c>
      <c r="V294" s="80">
        <f>IF($I294&gt;0,MAX(0,$G294*SIN(RADIANS('13_시나리오비교'!$B$11))*SIN(RADIANS('13_시나리오비교'!$C$11))+$H294*SIN(RADIANS('13_시나리오비교'!$B$11))*COS(RADIANS('13_시나리오비교'!$C$11))+$I294*COS(RADIANS('13_시나리오비교'!$B$11))),0)</f>
        <v/>
      </c>
      <c r="W294" s="80">
        <f>IF($I294&gt;0,MAX(0,$G294*SIN(RADIANS('13_시나리오비교'!$B$12))*SIN(RADIANS('13_시나리오비교'!$C$12))+$H294*SIN(RADIANS('13_시나리오비교'!$B$12))*COS(RADIANS('13_시나리오비교'!$C$12))+$I294*COS(RADIANS('13_시나리오비교'!$B$12))),0)</f>
        <v/>
      </c>
      <c r="X294" s="80">
        <f>IF($I294&gt;0,MAX(0,$G294*SIN(RADIANS('13_시나리오비교'!$B$13))*SIN(RADIANS('13_시나리오비교'!$C$13))+$H294*SIN(RADIANS('13_시나리오비교'!$B$13))*COS(RADIANS('13_시나리오비교'!$C$13))+$I294*COS(RADIANS('13_시나리오비교'!$B$13))),0)</f>
        <v/>
      </c>
      <c r="Y294" s="80">
        <f>IF($I294&gt;0,MAX(0,$G294*SIN(RADIANS('13_시나리오비교'!$B$14))*SIN(RADIANS('13_시나리오비교'!$C$14))+$H294*SIN(RADIANS('13_시나리오비교'!$B$14))*COS(RADIANS('13_시나리오비교'!$C$14))+$I294*COS(RADIANS('13_시나리오비교'!$B$14))),0)</f>
        <v/>
      </c>
    </row>
    <row r="295" hidden="1" outlineLevel="1">
      <c r="A295" s="79" t="n">
        <v>3</v>
      </c>
      <c r="B295" s="79" t="n">
        <v>83</v>
      </c>
      <c r="C295" s="80">
        <f>(B295-0.5)*'14_지역·상수'!$H$6</f>
        <v/>
      </c>
      <c r="D295" s="79" t="n">
        <v>75</v>
      </c>
      <c r="E295" s="80">
        <f>INDEX($C$4:$C$15,MATCH(A295,$A$4:$A$15,0))</f>
        <v/>
      </c>
      <c r="F295" s="80">
        <f>15*(C295-12)</f>
        <v/>
      </c>
      <c r="G295" s="80">
        <f>-COS(RADIANS(E295))*SIN(RADIANS(F295))</f>
        <v/>
      </c>
      <c r="H295" s="80">
        <f>COS(RADIANS('11_발전량_모델'!$B$17))*SIN(RADIANS(E295))-SIN(RADIANS('11_발전량_모델'!$B$17))*COS(RADIANS(E295))*COS(RADIANS(F295))</f>
        <v/>
      </c>
      <c r="I295" s="80">
        <f>SIN(RADIANS('11_발전량_모델'!$B$17))*SIN(RADIANS(E295))+COS(RADIANS('11_발전량_모델'!$B$17))*COS(RADIANS(E295))*COS(RADIANS(F295))</f>
        <v/>
      </c>
      <c r="J295" s="80">
        <f>SIN(RADIANS('11_발전량_모델'!$B$7))*SIN(RADIANS('11_발전량_모델'!$B$8))</f>
        <v/>
      </c>
      <c r="K295" s="80">
        <f>SIN(RADIANS('11_발전량_모델'!$B$7))*COS(RADIANS('11_발전량_모델'!$B$8))</f>
        <v/>
      </c>
      <c r="L295" s="80">
        <f>COS(RADIANS('11_발전량_모델'!$B$7))</f>
        <v/>
      </c>
      <c r="M295" s="80">
        <f>G295*J295+H295*K295+I295*L295</f>
        <v/>
      </c>
      <c r="N295" s="80">
        <f>MAX(0,I295)</f>
        <v/>
      </c>
      <c r="O295" s="80">
        <f>IF(I295&gt;0,MAX(0,M295),0)</f>
        <v/>
      </c>
      <c r="P295" s="80">
        <f>IF($I295&gt;0,MAX(0,$G295*SIN(RADIANS('13_시나리오비교'!$B$5))*SIN(RADIANS('13_시나리오비교'!$C$5))+$H295*SIN(RADIANS('13_시나리오비교'!$B$5))*COS(RADIANS('13_시나리오비교'!$C$5))+$I295*COS(RADIANS('13_시나리오비교'!$B$5))),0)</f>
        <v/>
      </c>
      <c r="Q295" s="80">
        <f>IF($I295&gt;0,MAX(0,$G295*SIN(RADIANS('13_시나리오비교'!$B$6))*SIN(RADIANS('13_시나리오비교'!$C$6))+$H295*SIN(RADIANS('13_시나리오비교'!$B$6))*COS(RADIANS('13_시나리오비교'!$C$6))+$I295*COS(RADIANS('13_시나리오비교'!$B$6))),0)</f>
        <v/>
      </c>
      <c r="R295" s="80">
        <f>IF($I295&gt;0,MAX(0,$G295*SIN(RADIANS('13_시나리오비교'!$B$7))*SIN(RADIANS('13_시나리오비교'!$C$7))+$H295*SIN(RADIANS('13_시나리오비교'!$B$7))*COS(RADIANS('13_시나리오비교'!$C$7))+$I295*COS(RADIANS('13_시나리오비교'!$B$7))),0)</f>
        <v/>
      </c>
      <c r="S295" s="80">
        <f>IF($I295&gt;0,MAX(0,$G295*SIN(RADIANS('13_시나리오비교'!$B$8))*SIN(RADIANS('13_시나리오비교'!$C$8))+$H295*SIN(RADIANS('13_시나리오비교'!$B$8))*COS(RADIANS('13_시나리오비교'!$C$8))+$I295*COS(RADIANS('13_시나리오비교'!$B$8))),0)</f>
        <v/>
      </c>
      <c r="T295" s="80">
        <f>IF($I295&gt;0,MAX(0,$G295*SIN(RADIANS('13_시나리오비교'!$B$9))*SIN(RADIANS('13_시나리오비교'!$C$9))+$H295*SIN(RADIANS('13_시나리오비교'!$B$9))*COS(RADIANS('13_시나리오비교'!$C$9))+$I295*COS(RADIANS('13_시나리오비교'!$B$9))),0)</f>
        <v/>
      </c>
      <c r="U295" s="80">
        <f>IF($I295&gt;0,MAX(0,$G295*SIN(RADIANS('13_시나리오비교'!$B$10))*SIN(RADIANS('13_시나리오비교'!$C$10))+$H295*SIN(RADIANS('13_시나리오비교'!$B$10))*COS(RADIANS('13_시나리오비교'!$C$10))+$I295*COS(RADIANS('13_시나리오비교'!$B$10))),0)</f>
        <v/>
      </c>
      <c r="V295" s="80">
        <f>IF($I295&gt;0,MAX(0,$G295*SIN(RADIANS('13_시나리오비교'!$B$11))*SIN(RADIANS('13_시나리오비교'!$C$11))+$H295*SIN(RADIANS('13_시나리오비교'!$B$11))*COS(RADIANS('13_시나리오비교'!$C$11))+$I295*COS(RADIANS('13_시나리오비교'!$B$11))),0)</f>
        <v/>
      </c>
      <c r="W295" s="80">
        <f>IF($I295&gt;0,MAX(0,$G295*SIN(RADIANS('13_시나리오비교'!$B$12))*SIN(RADIANS('13_시나리오비교'!$C$12))+$H295*SIN(RADIANS('13_시나리오비교'!$B$12))*COS(RADIANS('13_시나리오비교'!$C$12))+$I295*COS(RADIANS('13_시나리오비교'!$B$12))),0)</f>
        <v/>
      </c>
      <c r="X295" s="80">
        <f>IF($I295&gt;0,MAX(0,$G295*SIN(RADIANS('13_시나리오비교'!$B$13))*SIN(RADIANS('13_시나리오비교'!$C$13))+$H295*SIN(RADIANS('13_시나리오비교'!$B$13))*COS(RADIANS('13_시나리오비교'!$C$13))+$I295*COS(RADIANS('13_시나리오비교'!$B$13))),0)</f>
        <v/>
      </c>
      <c r="Y295" s="80">
        <f>IF($I295&gt;0,MAX(0,$G295*SIN(RADIANS('13_시나리오비교'!$B$14))*SIN(RADIANS('13_시나리오비교'!$C$14))+$H295*SIN(RADIANS('13_시나리오비교'!$B$14))*COS(RADIANS('13_시나리오비교'!$C$14))+$I295*COS(RADIANS('13_시나리오비교'!$B$14))),0)</f>
        <v/>
      </c>
    </row>
    <row r="296" hidden="1" outlineLevel="1">
      <c r="A296" s="79" t="n">
        <v>3</v>
      </c>
      <c r="B296" s="79" t="n">
        <v>84</v>
      </c>
      <c r="C296" s="80">
        <f>(B296-0.5)*'14_지역·상수'!$H$6</f>
        <v/>
      </c>
      <c r="D296" s="79" t="n">
        <v>75</v>
      </c>
      <c r="E296" s="80">
        <f>INDEX($C$4:$C$15,MATCH(A296,$A$4:$A$15,0))</f>
        <v/>
      </c>
      <c r="F296" s="80">
        <f>15*(C296-12)</f>
        <v/>
      </c>
      <c r="G296" s="80">
        <f>-COS(RADIANS(E296))*SIN(RADIANS(F296))</f>
        <v/>
      </c>
      <c r="H296" s="80">
        <f>COS(RADIANS('11_발전량_모델'!$B$17))*SIN(RADIANS(E296))-SIN(RADIANS('11_발전량_모델'!$B$17))*COS(RADIANS(E296))*COS(RADIANS(F296))</f>
        <v/>
      </c>
      <c r="I296" s="80">
        <f>SIN(RADIANS('11_발전량_모델'!$B$17))*SIN(RADIANS(E296))+COS(RADIANS('11_발전량_모델'!$B$17))*COS(RADIANS(E296))*COS(RADIANS(F296))</f>
        <v/>
      </c>
      <c r="J296" s="80">
        <f>SIN(RADIANS('11_발전량_모델'!$B$7))*SIN(RADIANS('11_발전량_모델'!$B$8))</f>
        <v/>
      </c>
      <c r="K296" s="80">
        <f>SIN(RADIANS('11_발전량_모델'!$B$7))*COS(RADIANS('11_발전량_모델'!$B$8))</f>
        <v/>
      </c>
      <c r="L296" s="80">
        <f>COS(RADIANS('11_발전량_모델'!$B$7))</f>
        <v/>
      </c>
      <c r="M296" s="80">
        <f>G296*J296+H296*K296+I296*L296</f>
        <v/>
      </c>
      <c r="N296" s="80">
        <f>MAX(0,I296)</f>
        <v/>
      </c>
      <c r="O296" s="80">
        <f>IF(I296&gt;0,MAX(0,M296),0)</f>
        <v/>
      </c>
      <c r="P296" s="80">
        <f>IF($I296&gt;0,MAX(0,$G296*SIN(RADIANS('13_시나리오비교'!$B$5))*SIN(RADIANS('13_시나리오비교'!$C$5))+$H296*SIN(RADIANS('13_시나리오비교'!$B$5))*COS(RADIANS('13_시나리오비교'!$C$5))+$I296*COS(RADIANS('13_시나리오비교'!$B$5))),0)</f>
        <v/>
      </c>
      <c r="Q296" s="80">
        <f>IF($I296&gt;0,MAX(0,$G296*SIN(RADIANS('13_시나리오비교'!$B$6))*SIN(RADIANS('13_시나리오비교'!$C$6))+$H296*SIN(RADIANS('13_시나리오비교'!$B$6))*COS(RADIANS('13_시나리오비교'!$C$6))+$I296*COS(RADIANS('13_시나리오비교'!$B$6))),0)</f>
        <v/>
      </c>
      <c r="R296" s="80">
        <f>IF($I296&gt;0,MAX(0,$G296*SIN(RADIANS('13_시나리오비교'!$B$7))*SIN(RADIANS('13_시나리오비교'!$C$7))+$H296*SIN(RADIANS('13_시나리오비교'!$B$7))*COS(RADIANS('13_시나리오비교'!$C$7))+$I296*COS(RADIANS('13_시나리오비교'!$B$7))),0)</f>
        <v/>
      </c>
      <c r="S296" s="80">
        <f>IF($I296&gt;0,MAX(0,$G296*SIN(RADIANS('13_시나리오비교'!$B$8))*SIN(RADIANS('13_시나리오비교'!$C$8))+$H296*SIN(RADIANS('13_시나리오비교'!$B$8))*COS(RADIANS('13_시나리오비교'!$C$8))+$I296*COS(RADIANS('13_시나리오비교'!$B$8))),0)</f>
        <v/>
      </c>
      <c r="T296" s="80">
        <f>IF($I296&gt;0,MAX(0,$G296*SIN(RADIANS('13_시나리오비교'!$B$9))*SIN(RADIANS('13_시나리오비교'!$C$9))+$H296*SIN(RADIANS('13_시나리오비교'!$B$9))*COS(RADIANS('13_시나리오비교'!$C$9))+$I296*COS(RADIANS('13_시나리오비교'!$B$9))),0)</f>
        <v/>
      </c>
      <c r="U296" s="80">
        <f>IF($I296&gt;0,MAX(0,$G296*SIN(RADIANS('13_시나리오비교'!$B$10))*SIN(RADIANS('13_시나리오비교'!$C$10))+$H296*SIN(RADIANS('13_시나리오비교'!$B$10))*COS(RADIANS('13_시나리오비교'!$C$10))+$I296*COS(RADIANS('13_시나리오비교'!$B$10))),0)</f>
        <v/>
      </c>
      <c r="V296" s="80">
        <f>IF($I296&gt;0,MAX(0,$G296*SIN(RADIANS('13_시나리오비교'!$B$11))*SIN(RADIANS('13_시나리오비교'!$C$11))+$H296*SIN(RADIANS('13_시나리오비교'!$B$11))*COS(RADIANS('13_시나리오비교'!$C$11))+$I296*COS(RADIANS('13_시나리오비교'!$B$11))),0)</f>
        <v/>
      </c>
      <c r="W296" s="80">
        <f>IF($I296&gt;0,MAX(0,$G296*SIN(RADIANS('13_시나리오비교'!$B$12))*SIN(RADIANS('13_시나리오비교'!$C$12))+$H296*SIN(RADIANS('13_시나리오비교'!$B$12))*COS(RADIANS('13_시나리오비교'!$C$12))+$I296*COS(RADIANS('13_시나리오비교'!$B$12))),0)</f>
        <v/>
      </c>
      <c r="X296" s="80">
        <f>IF($I296&gt;0,MAX(0,$G296*SIN(RADIANS('13_시나리오비교'!$B$13))*SIN(RADIANS('13_시나리오비교'!$C$13))+$H296*SIN(RADIANS('13_시나리오비교'!$B$13))*COS(RADIANS('13_시나리오비교'!$C$13))+$I296*COS(RADIANS('13_시나리오비교'!$B$13))),0)</f>
        <v/>
      </c>
      <c r="Y296" s="80">
        <f>IF($I296&gt;0,MAX(0,$G296*SIN(RADIANS('13_시나리오비교'!$B$14))*SIN(RADIANS('13_시나리오비교'!$C$14))+$H296*SIN(RADIANS('13_시나리오비교'!$B$14))*COS(RADIANS('13_시나리오비교'!$C$14))+$I296*COS(RADIANS('13_시나리오비교'!$B$14))),0)</f>
        <v/>
      </c>
    </row>
    <row r="297" hidden="1" outlineLevel="1">
      <c r="A297" s="79" t="n">
        <v>3</v>
      </c>
      <c r="B297" s="79" t="n">
        <v>85</v>
      </c>
      <c r="C297" s="80">
        <f>(B297-0.5)*'14_지역·상수'!$H$6</f>
        <v/>
      </c>
      <c r="D297" s="79" t="n">
        <v>75</v>
      </c>
      <c r="E297" s="80">
        <f>INDEX($C$4:$C$15,MATCH(A297,$A$4:$A$15,0))</f>
        <v/>
      </c>
      <c r="F297" s="80">
        <f>15*(C297-12)</f>
        <v/>
      </c>
      <c r="G297" s="80">
        <f>-COS(RADIANS(E297))*SIN(RADIANS(F297))</f>
        <v/>
      </c>
      <c r="H297" s="80">
        <f>COS(RADIANS('11_발전량_모델'!$B$17))*SIN(RADIANS(E297))-SIN(RADIANS('11_발전량_모델'!$B$17))*COS(RADIANS(E297))*COS(RADIANS(F297))</f>
        <v/>
      </c>
      <c r="I297" s="80">
        <f>SIN(RADIANS('11_발전량_모델'!$B$17))*SIN(RADIANS(E297))+COS(RADIANS('11_발전량_모델'!$B$17))*COS(RADIANS(E297))*COS(RADIANS(F297))</f>
        <v/>
      </c>
      <c r="J297" s="80">
        <f>SIN(RADIANS('11_발전량_모델'!$B$7))*SIN(RADIANS('11_발전량_모델'!$B$8))</f>
        <v/>
      </c>
      <c r="K297" s="80">
        <f>SIN(RADIANS('11_발전량_모델'!$B$7))*COS(RADIANS('11_발전량_모델'!$B$8))</f>
        <v/>
      </c>
      <c r="L297" s="80">
        <f>COS(RADIANS('11_발전량_모델'!$B$7))</f>
        <v/>
      </c>
      <c r="M297" s="80">
        <f>G297*J297+H297*K297+I297*L297</f>
        <v/>
      </c>
      <c r="N297" s="80">
        <f>MAX(0,I297)</f>
        <v/>
      </c>
      <c r="O297" s="80">
        <f>IF(I297&gt;0,MAX(0,M297),0)</f>
        <v/>
      </c>
      <c r="P297" s="80">
        <f>IF($I297&gt;0,MAX(0,$G297*SIN(RADIANS('13_시나리오비교'!$B$5))*SIN(RADIANS('13_시나리오비교'!$C$5))+$H297*SIN(RADIANS('13_시나리오비교'!$B$5))*COS(RADIANS('13_시나리오비교'!$C$5))+$I297*COS(RADIANS('13_시나리오비교'!$B$5))),0)</f>
        <v/>
      </c>
      <c r="Q297" s="80">
        <f>IF($I297&gt;0,MAX(0,$G297*SIN(RADIANS('13_시나리오비교'!$B$6))*SIN(RADIANS('13_시나리오비교'!$C$6))+$H297*SIN(RADIANS('13_시나리오비교'!$B$6))*COS(RADIANS('13_시나리오비교'!$C$6))+$I297*COS(RADIANS('13_시나리오비교'!$B$6))),0)</f>
        <v/>
      </c>
      <c r="R297" s="80">
        <f>IF($I297&gt;0,MAX(0,$G297*SIN(RADIANS('13_시나리오비교'!$B$7))*SIN(RADIANS('13_시나리오비교'!$C$7))+$H297*SIN(RADIANS('13_시나리오비교'!$B$7))*COS(RADIANS('13_시나리오비교'!$C$7))+$I297*COS(RADIANS('13_시나리오비교'!$B$7))),0)</f>
        <v/>
      </c>
      <c r="S297" s="80">
        <f>IF($I297&gt;0,MAX(0,$G297*SIN(RADIANS('13_시나리오비교'!$B$8))*SIN(RADIANS('13_시나리오비교'!$C$8))+$H297*SIN(RADIANS('13_시나리오비교'!$B$8))*COS(RADIANS('13_시나리오비교'!$C$8))+$I297*COS(RADIANS('13_시나리오비교'!$B$8))),0)</f>
        <v/>
      </c>
      <c r="T297" s="80">
        <f>IF($I297&gt;0,MAX(0,$G297*SIN(RADIANS('13_시나리오비교'!$B$9))*SIN(RADIANS('13_시나리오비교'!$C$9))+$H297*SIN(RADIANS('13_시나리오비교'!$B$9))*COS(RADIANS('13_시나리오비교'!$C$9))+$I297*COS(RADIANS('13_시나리오비교'!$B$9))),0)</f>
        <v/>
      </c>
      <c r="U297" s="80">
        <f>IF($I297&gt;0,MAX(0,$G297*SIN(RADIANS('13_시나리오비교'!$B$10))*SIN(RADIANS('13_시나리오비교'!$C$10))+$H297*SIN(RADIANS('13_시나리오비교'!$B$10))*COS(RADIANS('13_시나리오비교'!$C$10))+$I297*COS(RADIANS('13_시나리오비교'!$B$10))),0)</f>
        <v/>
      </c>
      <c r="V297" s="80">
        <f>IF($I297&gt;0,MAX(0,$G297*SIN(RADIANS('13_시나리오비교'!$B$11))*SIN(RADIANS('13_시나리오비교'!$C$11))+$H297*SIN(RADIANS('13_시나리오비교'!$B$11))*COS(RADIANS('13_시나리오비교'!$C$11))+$I297*COS(RADIANS('13_시나리오비교'!$B$11))),0)</f>
        <v/>
      </c>
      <c r="W297" s="80">
        <f>IF($I297&gt;0,MAX(0,$G297*SIN(RADIANS('13_시나리오비교'!$B$12))*SIN(RADIANS('13_시나리오비교'!$C$12))+$H297*SIN(RADIANS('13_시나리오비교'!$B$12))*COS(RADIANS('13_시나리오비교'!$C$12))+$I297*COS(RADIANS('13_시나리오비교'!$B$12))),0)</f>
        <v/>
      </c>
      <c r="X297" s="80">
        <f>IF($I297&gt;0,MAX(0,$G297*SIN(RADIANS('13_시나리오비교'!$B$13))*SIN(RADIANS('13_시나리오비교'!$C$13))+$H297*SIN(RADIANS('13_시나리오비교'!$B$13))*COS(RADIANS('13_시나리오비교'!$C$13))+$I297*COS(RADIANS('13_시나리오비교'!$B$13))),0)</f>
        <v/>
      </c>
      <c r="Y297" s="80">
        <f>IF($I297&gt;0,MAX(0,$G297*SIN(RADIANS('13_시나리오비교'!$B$14))*SIN(RADIANS('13_시나리오비교'!$C$14))+$H297*SIN(RADIANS('13_시나리오비교'!$B$14))*COS(RADIANS('13_시나리오비교'!$C$14))+$I297*COS(RADIANS('13_시나리오비교'!$B$14))),0)</f>
        <v/>
      </c>
    </row>
    <row r="298" hidden="1" outlineLevel="1">
      <c r="A298" s="79" t="n">
        <v>3</v>
      </c>
      <c r="B298" s="79" t="n">
        <v>86</v>
      </c>
      <c r="C298" s="80">
        <f>(B298-0.5)*'14_지역·상수'!$H$6</f>
        <v/>
      </c>
      <c r="D298" s="79" t="n">
        <v>75</v>
      </c>
      <c r="E298" s="80">
        <f>INDEX($C$4:$C$15,MATCH(A298,$A$4:$A$15,0))</f>
        <v/>
      </c>
      <c r="F298" s="80">
        <f>15*(C298-12)</f>
        <v/>
      </c>
      <c r="G298" s="80">
        <f>-COS(RADIANS(E298))*SIN(RADIANS(F298))</f>
        <v/>
      </c>
      <c r="H298" s="80">
        <f>COS(RADIANS('11_발전량_모델'!$B$17))*SIN(RADIANS(E298))-SIN(RADIANS('11_발전량_모델'!$B$17))*COS(RADIANS(E298))*COS(RADIANS(F298))</f>
        <v/>
      </c>
      <c r="I298" s="80">
        <f>SIN(RADIANS('11_발전량_모델'!$B$17))*SIN(RADIANS(E298))+COS(RADIANS('11_발전량_모델'!$B$17))*COS(RADIANS(E298))*COS(RADIANS(F298))</f>
        <v/>
      </c>
      <c r="J298" s="80">
        <f>SIN(RADIANS('11_발전량_모델'!$B$7))*SIN(RADIANS('11_발전량_모델'!$B$8))</f>
        <v/>
      </c>
      <c r="K298" s="80">
        <f>SIN(RADIANS('11_발전량_모델'!$B$7))*COS(RADIANS('11_발전량_모델'!$B$8))</f>
        <v/>
      </c>
      <c r="L298" s="80">
        <f>COS(RADIANS('11_발전량_모델'!$B$7))</f>
        <v/>
      </c>
      <c r="M298" s="80">
        <f>G298*J298+H298*K298+I298*L298</f>
        <v/>
      </c>
      <c r="N298" s="80">
        <f>MAX(0,I298)</f>
        <v/>
      </c>
      <c r="O298" s="80">
        <f>IF(I298&gt;0,MAX(0,M298),0)</f>
        <v/>
      </c>
      <c r="P298" s="80">
        <f>IF($I298&gt;0,MAX(0,$G298*SIN(RADIANS('13_시나리오비교'!$B$5))*SIN(RADIANS('13_시나리오비교'!$C$5))+$H298*SIN(RADIANS('13_시나리오비교'!$B$5))*COS(RADIANS('13_시나리오비교'!$C$5))+$I298*COS(RADIANS('13_시나리오비교'!$B$5))),0)</f>
        <v/>
      </c>
      <c r="Q298" s="80">
        <f>IF($I298&gt;0,MAX(0,$G298*SIN(RADIANS('13_시나리오비교'!$B$6))*SIN(RADIANS('13_시나리오비교'!$C$6))+$H298*SIN(RADIANS('13_시나리오비교'!$B$6))*COS(RADIANS('13_시나리오비교'!$C$6))+$I298*COS(RADIANS('13_시나리오비교'!$B$6))),0)</f>
        <v/>
      </c>
      <c r="R298" s="80">
        <f>IF($I298&gt;0,MAX(0,$G298*SIN(RADIANS('13_시나리오비교'!$B$7))*SIN(RADIANS('13_시나리오비교'!$C$7))+$H298*SIN(RADIANS('13_시나리오비교'!$B$7))*COS(RADIANS('13_시나리오비교'!$C$7))+$I298*COS(RADIANS('13_시나리오비교'!$B$7))),0)</f>
        <v/>
      </c>
      <c r="S298" s="80">
        <f>IF($I298&gt;0,MAX(0,$G298*SIN(RADIANS('13_시나리오비교'!$B$8))*SIN(RADIANS('13_시나리오비교'!$C$8))+$H298*SIN(RADIANS('13_시나리오비교'!$B$8))*COS(RADIANS('13_시나리오비교'!$C$8))+$I298*COS(RADIANS('13_시나리오비교'!$B$8))),0)</f>
        <v/>
      </c>
      <c r="T298" s="80">
        <f>IF($I298&gt;0,MAX(0,$G298*SIN(RADIANS('13_시나리오비교'!$B$9))*SIN(RADIANS('13_시나리오비교'!$C$9))+$H298*SIN(RADIANS('13_시나리오비교'!$B$9))*COS(RADIANS('13_시나리오비교'!$C$9))+$I298*COS(RADIANS('13_시나리오비교'!$B$9))),0)</f>
        <v/>
      </c>
      <c r="U298" s="80">
        <f>IF($I298&gt;0,MAX(0,$G298*SIN(RADIANS('13_시나리오비교'!$B$10))*SIN(RADIANS('13_시나리오비교'!$C$10))+$H298*SIN(RADIANS('13_시나리오비교'!$B$10))*COS(RADIANS('13_시나리오비교'!$C$10))+$I298*COS(RADIANS('13_시나리오비교'!$B$10))),0)</f>
        <v/>
      </c>
      <c r="V298" s="80">
        <f>IF($I298&gt;0,MAX(0,$G298*SIN(RADIANS('13_시나리오비교'!$B$11))*SIN(RADIANS('13_시나리오비교'!$C$11))+$H298*SIN(RADIANS('13_시나리오비교'!$B$11))*COS(RADIANS('13_시나리오비교'!$C$11))+$I298*COS(RADIANS('13_시나리오비교'!$B$11))),0)</f>
        <v/>
      </c>
      <c r="W298" s="80">
        <f>IF($I298&gt;0,MAX(0,$G298*SIN(RADIANS('13_시나리오비교'!$B$12))*SIN(RADIANS('13_시나리오비교'!$C$12))+$H298*SIN(RADIANS('13_시나리오비교'!$B$12))*COS(RADIANS('13_시나리오비교'!$C$12))+$I298*COS(RADIANS('13_시나리오비교'!$B$12))),0)</f>
        <v/>
      </c>
      <c r="X298" s="80">
        <f>IF($I298&gt;0,MAX(0,$G298*SIN(RADIANS('13_시나리오비교'!$B$13))*SIN(RADIANS('13_시나리오비교'!$C$13))+$H298*SIN(RADIANS('13_시나리오비교'!$B$13))*COS(RADIANS('13_시나리오비교'!$C$13))+$I298*COS(RADIANS('13_시나리오비교'!$B$13))),0)</f>
        <v/>
      </c>
      <c r="Y298" s="80">
        <f>IF($I298&gt;0,MAX(0,$G298*SIN(RADIANS('13_시나리오비교'!$B$14))*SIN(RADIANS('13_시나리오비교'!$C$14))+$H298*SIN(RADIANS('13_시나리오비교'!$B$14))*COS(RADIANS('13_시나리오비교'!$C$14))+$I298*COS(RADIANS('13_시나리오비교'!$B$14))),0)</f>
        <v/>
      </c>
    </row>
    <row r="299" hidden="1" outlineLevel="1">
      <c r="A299" s="79" t="n">
        <v>3</v>
      </c>
      <c r="B299" s="79" t="n">
        <v>87</v>
      </c>
      <c r="C299" s="80">
        <f>(B299-0.5)*'14_지역·상수'!$H$6</f>
        <v/>
      </c>
      <c r="D299" s="79" t="n">
        <v>75</v>
      </c>
      <c r="E299" s="80">
        <f>INDEX($C$4:$C$15,MATCH(A299,$A$4:$A$15,0))</f>
        <v/>
      </c>
      <c r="F299" s="80">
        <f>15*(C299-12)</f>
        <v/>
      </c>
      <c r="G299" s="80">
        <f>-COS(RADIANS(E299))*SIN(RADIANS(F299))</f>
        <v/>
      </c>
      <c r="H299" s="80">
        <f>COS(RADIANS('11_발전량_모델'!$B$17))*SIN(RADIANS(E299))-SIN(RADIANS('11_발전량_모델'!$B$17))*COS(RADIANS(E299))*COS(RADIANS(F299))</f>
        <v/>
      </c>
      <c r="I299" s="80">
        <f>SIN(RADIANS('11_발전량_모델'!$B$17))*SIN(RADIANS(E299))+COS(RADIANS('11_발전량_모델'!$B$17))*COS(RADIANS(E299))*COS(RADIANS(F299))</f>
        <v/>
      </c>
      <c r="J299" s="80">
        <f>SIN(RADIANS('11_발전량_모델'!$B$7))*SIN(RADIANS('11_발전량_모델'!$B$8))</f>
        <v/>
      </c>
      <c r="K299" s="80">
        <f>SIN(RADIANS('11_발전량_모델'!$B$7))*COS(RADIANS('11_발전량_모델'!$B$8))</f>
        <v/>
      </c>
      <c r="L299" s="80">
        <f>COS(RADIANS('11_발전량_모델'!$B$7))</f>
        <v/>
      </c>
      <c r="M299" s="80">
        <f>G299*J299+H299*K299+I299*L299</f>
        <v/>
      </c>
      <c r="N299" s="80">
        <f>MAX(0,I299)</f>
        <v/>
      </c>
      <c r="O299" s="80">
        <f>IF(I299&gt;0,MAX(0,M299),0)</f>
        <v/>
      </c>
      <c r="P299" s="80">
        <f>IF($I299&gt;0,MAX(0,$G299*SIN(RADIANS('13_시나리오비교'!$B$5))*SIN(RADIANS('13_시나리오비교'!$C$5))+$H299*SIN(RADIANS('13_시나리오비교'!$B$5))*COS(RADIANS('13_시나리오비교'!$C$5))+$I299*COS(RADIANS('13_시나리오비교'!$B$5))),0)</f>
        <v/>
      </c>
      <c r="Q299" s="80">
        <f>IF($I299&gt;0,MAX(0,$G299*SIN(RADIANS('13_시나리오비교'!$B$6))*SIN(RADIANS('13_시나리오비교'!$C$6))+$H299*SIN(RADIANS('13_시나리오비교'!$B$6))*COS(RADIANS('13_시나리오비교'!$C$6))+$I299*COS(RADIANS('13_시나리오비교'!$B$6))),0)</f>
        <v/>
      </c>
      <c r="R299" s="80">
        <f>IF($I299&gt;0,MAX(0,$G299*SIN(RADIANS('13_시나리오비교'!$B$7))*SIN(RADIANS('13_시나리오비교'!$C$7))+$H299*SIN(RADIANS('13_시나리오비교'!$B$7))*COS(RADIANS('13_시나리오비교'!$C$7))+$I299*COS(RADIANS('13_시나리오비교'!$B$7))),0)</f>
        <v/>
      </c>
      <c r="S299" s="80">
        <f>IF($I299&gt;0,MAX(0,$G299*SIN(RADIANS('13_시나리오비교'!$B$8))*SIN(RADIANS('13_시나리오비교'!$C$8))+$H299*SIN(RADIANS('13_시나리오비교'!$B$8))*COS(RADIANS('13_시나리오비교'!$C$8))+$I299*COS(RADIANS('13_시나리오비교'!$B$8))),0)</f>
        <v/>
      </c>
      <c r="T299" s="80">
        <f>IF($I299&gt;0,MAX(0,$G299*SIN(RADIANS('13_시나리오비교'!$B$9))*SIN(RADIANS('13_시나리오비교'!$C$9))+$H299*SIN(RADIANS('13_시나리오비교'!$B$9))*COS(RADIANS('13_시나리오비교'!$C$9))+$I299*COS(RADIANS('13_시나리오비교'!$B$9))),0)</f>
        <v/>
      </c>
      <c r="U299" s="80">
        <f>IF($I299&gt;0,MAX(0,$G299*SIN(RADIANS('13_시나리오비교'!$B$10))*SIN(RADIANS('13_시나리오비교'!$C$10))+$H299*SIN(RADIANS('13_시나리오비교'!$B$10))*COS(RADIANS('13_시나리오비교'!$C$10))+$I299*COS(RADIANS('13_시나리오비교'!$B$10))),0)</f>
        <v/>
      </c>
      <c r="V299" s="80">
        <f>IF($I299&gt;0,MAX(0,$G299*SIN(RADIANS('13_시나리오비교'!$B$11))*SIN(RADIANS('13_시나리오비교'!$C$11))+$H299*SIN(RADIANS('13_시나리오비교'!$B$11))*COS(RADIANS('13_시나리오비교'!$C$11))+$I299*COS(RADIANS('13_시나리오비교'!$B$11))),0)</f>
        <v/>
      </c>
      <c r="W299" s="80">
        <f>IF($I299&gt;0,MAX(0,$G299*SIN(RADIANS('13_시나리오비교'!$B$12))*SIN(RADIANS('13_시나리오비교'!$C$12))+$H299*SIN(RADIANS('13_시나리오비교'!$B$12))*COS(RADIANS('13_시나리오비교'!$C$12))+$I299*COS(RADIANS('13_시나리오비교'!$B$12))),0)</f>
        <v/>
      </c>
      <c r="X299" s="80">
        <f>IF($I299&gt;0,MAX(0,$G299*SIN(RADIANS('13_시나리오비교'!$B$13))*SIN(RADIANS('13_시나리오비교'!$C$13))+$H299*SIN(RADIANS('13_시나리오비교'!$B$13))*COS(RADIANS('13_시나리오비교'!$C$13))+$I299*COS(RADIANS('13_시나리오비교'!$B$13))),0)</f>
        <v/>
      </c>
      <c r="Y299" s="80">
        <f>IF($I299&gt;0,MAX(0,$G299*SIN(RADIANS('13_시나리오비교'!$B$14))*SIN(RADIANS('13_시나리오비교'!$C$14))+$H299*SIN(RADIANS('13_시나리오비교'!$B$14))*COS(RADIANS('13_시나리오비교'!$C$14))+$I299*COS(RADIANS('13_시나리오비교'!$B$14))),0)</f>
        <v/>
      </c>
    </row>
    <row r="300" hidden="1" outlineLevel="1">
      <c r="A300" s="79" t="n">
        <v>3</v>
      </c>
      <c r="B300" s="79" t="n">
        <v>88</v>
      </c>
      <c r="C300" s="80">
        <f>(B300-0.5)*'14_지역·상수'!$H$6</f>
        <v/>
      </c>
      <c r="D300" s="79" t="n">
        <v>75</v>
      </c>
      <c r="E300" s="80">
        <f>INDEX($C$4:$C$15,MATCH(A300,$A$4:$A$15,0))</f>
        <v/>
      </c>
      <c r="F300" s="80">
        <f>15*(C300-12)</f>
        <v/>
      </c>
      <c r="G300" s="80">
        <f>-COS(RADIANS(E300))*SIN(RADIANS(F300))</f>
        <v/>
      </c>
      <c r="H300" s="80">
        <f>COS(RADIANS('11_발전량_모델'!$B$17))*SIN(RADIANS(E300))-SIN(RADIANS('11_발전량_모델'!$B$17))*COS(RADIANS(E300))*COS(RADIANS(F300))</f>
        <v/>
      </c>
      <c r="I300" s="80">
        <f>SIN(RADIANS('11_발전량_모델'!$B$17))*SIN(RADIANS(E300))+COS(RADIANS('11_발전량_모델'!$B$17))*COS(RADIANS(E300))*COS(RADIANS(F300))</f>
        <v/>
      </c>
      <c r="J300" s="80">
        <f>SIN(RADIANS('11_발전량_모델'!$B$7))*SIN(RADIANS('11_발전량_모델'!$B$8))</f>
        <v/>
      </c>
      <c r="K300" s="80">
        <f>SIN(RADIANS('11_발전량_모델'!$B$7))*COS(RADIANS('11_발전량_모델'!$B$8))</f>
        <v/>
      </c>
      <c r="L300" s="80">
        <f>COS(RADIANS('11_발전량_모델'!$B$7))</f>
        <v/>
      </c>
      <c r="M300" s="80">
        <f>G300*J300+H300*K300+I300*L300</f>
        <v/>
      </c>
      <c r="N300" s="80">
        <f>MAX(0,I300)</f>
        <v/>
      </c>
      <c r="O300" s="80">
        <f>IF(I300&gt;0,MAX(0,M300),0)</f>
        <v/>
      </c>
      <c r="P300" s="80">
        <f>IF($I300&gt;0,MAX(0,$G300*SIN(RADIANS('13_시나리오비교'!$B$5))*SIN(RADIANS('13_시나리오비교'!$C$5))+$H300*SIN(RADIANS('13_시나리오비교'!$B$5))*COS(RADIANS('13_시나리오비교'!$C$5))+$I300*COS(RADIANS('13_시나리오비교'!$B$5))),0)</f>
        <v/>
      </c>
      <c r="Q300" s="80">
        <f>IF($I300&gt;0,MAX(0,$G300*SIN(RADIANS('13_시나리오비교'!$B$6))*SIN(RADIANS('13_시나리오비교'!$C$6))+$H300*SIN(RADIANS('13_시나리오비교'!$B$6))*COS(RADIANS('13_시나리오비교'!$C$6))+$I300*COS(RADIANS('13_시나리오비교'!$B$6))),0)</f>
        <v/>
      </c>
      <c r="R300" s="80">
        <f>IF($I300&gt;0,MAX(0,$G300*SIN(RADIANS('13_시나리오비교'!$B$7))*SIN(RADIANS('13_시나리오비교'!$C$7))+$H300*SIN(RADIANS('13_시나리오비교'!$B$7))*COS(RADIANS('13_시나리오비교'!$C$7))+$I300*COS(RADIANS('13_시나리오비교'!$B$7))),0)</f>
        <v/>
      </c>
      <c r="S300" s="80">
        <f>IF($I300&gt;0,MAX(0,$G300*SIN(RADIANS('13_시나리오비교'!$B$8))*SIN(RADIANS('13_시나리오비교'!$C$8))+$H300*SIN(RADIANS('13_시나리오비교'!$B$8))*COS(RADIANS('13_시나리오비교'!$C$8))+$I300*COS(RADIANS('13_시나리오비교'!$B$8))),0)</f>
        <v/>
      </c>
      <c r="T300" s="80">
        <f>IF($I300&gt;0,MAX(0,$G300*SIN(RADIANS('13_시나리오비교'!$B$9))*SIN(RADIANS('13_시나리오비교'!$C$9))+$H300*SIN(RADIANS('13_시나리오비교'!$B$9))*COS(RADIANS('13_시나리오비교'!$C$9))+$I300*COS(RADIANS('13_시나리오비교'!$B$9))),0)</f>
        <v/>
      </c>
      <c r="U300" s="80">
        <f>IF($I300&gt;0,MAX(0,$G300*SIN(RADIANS('13_시나리오비교'!$B$10))*SIN(RADIANS('13_시나리오비교'!$C$10))+$H300*SIN(RADIANS('13_시나리오비교'!$B$10))*COS(RADIANS('13_시나리오비교'!$C$10))+$I300*COS(RADIANS('13_시나리오비교'!$B$10))),0)</f>
        <v/>
      </c>
      <c r="V300" s="80">
        <f>IF($I300&gt;0,MAX(0,$G300*SIN(RADIANS('13_시나리오비교'!$B$11))*SIN(RADIANS('13_시나리오비교'!$C$11))+$H300*SIN(RADIANS('13_시나리오비교'!$B$11))*COS(RADIANS('13_시나리오비교'!$C$11))+$I300*COS(RADIANS('13_시나리오비교'!$B$11))),0)</f>
        <v/>
      </c>
      <c r="W300" s="80">
        <f>IF($I300&gt;0,MAX(0,$G300*SIN(RADIANS('13_시나리오비교'!$B$12))*SIN(RADIANS('13_시나리오비교'!$C$12))+$H300*SIN(RADIANS('13_시나리오비교'!$B$12))*COS(RADIANS('13_시나리오비교'!$C$12))+$I300*COS(RADIANS('13_시나리오비교'!$B$12))),0)</f>
        <v/>
      </c>
      <c r="X300" s="80">
        <f>IF($I300&gt;0,MAX(0,$G300*SIN(RADIANS('13_시나리오비교'!$B$13))*SIN(RADIANS('13_시나리오비교'!$C$13))+$H300*SIN(RADIANS('13_시나리오비교'!$B$13))*COS(RADIANS('13_시나리오비교'!$C$13))+$I300*COS(RADIANS('13_시나리오비교'!$B$13))),0)</f>
        <v/>
      </c>
      <c r="Y300" s="80">
        <f>IF($I300&gt;0,MAX(0,$G300*SIN(RADIANS('13_시나리오비교'!$B$14))*SIN(RADIANS('13_시나리오비교'!$C$14))+$H300*SIN(RADIANS('13_시나리오비교'!$B$14))*COS(RADIANS('13_시나리오비교'!$C$14))+$I300*COS(RADIANS('13_시나리오비교'!$B$14))),0)</f>
        <v/>
      </c>
    </row>
    <row r="301" hidden="1" outlineLevel="1">
      <c r="A301" s="79" t="n">
        <v>3</v>
      </c>
      <c r="B301" s="79" t="n">
        <v>89</v>
      </c>
      <c r="C301" s="80">
        <f>(B301-0.5)*'14_지역·상수'!$H$6</f>
        <v/>
      </c>
      <c r="D301" s="79" t="n">
        <v>75</v>
      </c>
      <c r="E301" s="80">
        <f>INDEX($C$4:$C$15,MATCH(A301,$A$4:$A$15,0))</f>
        <v/>
      </c>
      <c r="F301" s="80">
        <f>15*(C301-12)</f>
        <v/>
      </c>
      <c r="G301" s="80">
        <f>-COS(RADIANS(E301))*SIN(RADIANS(F301))</f>
        <v/>
      </c>
      <c r="H301" s="80">
        <f>COS(RADIANS('11_발전량_모델'!$B$17))*SIN(RADIANS(E301))-SIN(RADIANS('11_발전량_모델'!$B$17))*COS(RADIANS(E301))*COS(RADIANS(F301))</f>
        <v/>
      </c>
      <c r="I301" s="80">
        <f>SIN(RADIANS('11_발전량_모델'!$B$17))*SIN(RADIANS(E301))+COS(RADIANS('11_발전량_모델'!$B$17))*COS(RADIANS(E301))*COS(RADIANS(F301))</f>
        <v/>
      </c>
      <c r="J301" s="80">
        <f>SIN(RADIANS('11_발전량_모델'!$B$7))*SIN(RADIANS('11_발전량_모델'!$B$8))</f>
        <v/>
      </c>
      <c r="K301" s="80">
        <f>SIN(RADIANS('11_발전량_모델'!$B$7))*COS(RADIANS('11_발전량_모델'!$B$8))</f>
        <v/>
      </c>
      <c r="L301" s="80">
        <f>COS(RADIANS('11_발전량_모델'!$B$7))</f>
        <v/>
      </c>
      <c r="M301" s="80">
        <f>G301*J301+H301*K301+I301*L301</f>
        <v/>
      </c>
      <c r="N301" s="80">
        <f>MAX(0,I301)</f>
        <v/>
      </c>
      <c r="O301" s="80">
        <f>IF(I301&gt;0,MAX(0,M301),0)</f>
        <v/>
      </c>
      <c r="P301" s="80">
        <f>IF($I301&gt;0,MAX(0,$G301*SIN(RADIANS('13_시나리오비교'!$B$5))*SIN(RADIANS('13_시나리오비교'!$C$5))+$H301*SIN(RADIANS('13_시나리오비교'!$B$5))*COS(RADIANS('13_시나리오비교'!$C$5))+$I301*COS(RADIANS('13_시나리오비교'!$B$5))),0)</f>
        <v/>
      </c>
      <c r="Q301" s="80">
        <f>IF($I301&gt;0,MAX(0,$G301*SIN(RADIANS('13_시나리오비교'!$B$6))*SIN(RADIANS('13_시나리오비교'!$C$6))+$H301*SIN(RADIANS('13_시나리오비교'!$B$6))*COS(RADIANS('13_시나리오비교'!$C$6))+$I301*COS(RADIANS('13_시나리오비교'!$B$6))),0)</f>
        <v/>
      </c>
      <c r="R301" s="80">
        <f>IF($I301&gt;0,MAX(0,$G301*SIN(RADIANS('13_시나리오비교'!$B$7))*SIN(RADIANS('13_시나리오비교'!$C$7))+$H301*SIN(RADIANS('13_시나리오비교'!$B$7))*COS(RADIANS('13_시나리오비교'!$C$7))+$I301*COS(RADIANS('13_시나리오비교'!$B$7))),0)</f>
        <v/>
      </c>
      <c r="S301" s="80">
        <f>IF($I301&gt;0,MAX(0,$G301*SIN(RADIANS('13_시나리오비교'!$B$8))*SIN(RADIANS('13_시나리오비교'!$C$8))+$H301*SIN(RADIANS('13_시나리오비교'!$B$8))*COS(RADIANS('13_시나리오비교'!$C$8))+$I301*COS(RADIANS('13_시나리오비교'!$B$8))),0)</f>
        <v/>
      </c>
      <c r="T301" s="80">
        <f>IF($I301&gt;0,MAX(0,$G301*SIN(RADIANS('13_시나리오비교'!$B$9))*SIN(RADIANS('13_시나리오비교'!$C$9))+$H301*SIN(RADIANS('13_시나리오비교'!$B$9))*COS(RADIANS('13_시나리오비교'!$C$9))+$I301*COS(RADIANS('13_시나리오비교'!$B$9))),0)</f>
        <v/>
      </c>
      <c r="U301" s="80">
        <f>IF($I301&gt;0,MAX(0,$G301*SIN(RADIANS('13_시나리오비교'!$B$10))*SIN(RADIANS('13_시나리오비교'!$C$10))+$H301*SIN(RADIANS('13_시나리오비교'!$B$10))*COS(RADIANS('13_시나리오비교'!$C$10))+$I301*COS(RADIANS('13_시나리오비교'!$B$10))),0)</f>
        <v/>
      </c>
      <c r="V301" s="80">
        <f>IF($I301&gt;0,MAX(0,$G301*SIN(RADIANS('13_시나리오비교'!$B$11))*SIN(RADIANS('13_시나리오비교'!$C$11))+$H301*SIN(RADIANS('13_시나리오비교'!$B$11))*COS(RADIANS('13_시나리오비교'!$C$11))+$I301*COS(RADIANS('13_시나리오비교'!$B$11))),0)</f>
        <v/>
      </c>
      <c r="W301" s="80">
        <f>IF($I301&gt;0,MAX(0,$G301*SIN(RADIANS('13_시나리오비교'!$B$12))*SIN(RADIANS('13_시나리오비교'!$C$12))+$H301*SIN(RADIANS('13_시나리오비교'!$B$12))*COS(RADIANS('13_시나리오비교'!$C$12))+$I301*COS(RADIANS('13_시나리오비교'!$B$12))),0)</f>
        <v/>
      </c>
      <c r="X301" s="80">
        <f>IF($I301&gt;0,MAX(0,$G301*SIN(RADIANS('13_시나리오비교'!$B$13))*SIN(RADIANS('13_시나리오비교'!$C$13))+$H301*SIN(RADIANS('13_시나리오비교'!$B$13))*COS(RADIANS('13_시나리오비교'!$C$13))+$I301*COS(RADIANS('13_시나리오비교'!$B$13))),0)</f>
        <v/>
      </c>
      <c r="Y301" s="80">
        <f>IF($I301&gt;0,MAX(0,$G301*SIN(RADIANS('13_시나리오비교'!$B$14))*SIN(RADIANS('13_시나리오비교'!$C$14))+$H301*SIN(RADIANS('13_시나리오비교'!$B$14))*COS(RADIANS('13_시나리오비교'!$C$14))+$I301*COS(RADIANS('13_시나리오비교'!$B$14))),0)</f>
        <v/>
      </c>
    </row>
    <row r="302" hidden="1" outlineLevel="1">
      <c r="A302" s="79" t="n">
        <v>3</v>
      </c>
      <c r="B302" s="79" t="n">
        <v>90</v>
      </c>
      <c r="C302" s="80">
        <f>(B302-0.5)*'14_지역·상수'!$H$6</f>
        <v/>
      </c>
      <c r="D302" s="79" t="n">
        <v>75</v>
      </c>
      <c r="E302" s="80">
        <f>INDEX($C$4:$C$15,MATCH(A302,$A$4:$A$15,0))</f>
        <v/>
      </c>
      <c r="F302" s="80">
        <f>15*(C302-12)</f>
        <v/>
      </c>
      <c r="G302" s="80">
        <f>-COS(RADIANS(E302))*SIN(RADIANS(F302))</f>
        <v/>
      </c>
      <c r="H302" s="80">
        <f>COS(RADIANS('11_발전량_모델'!$B$17))*SIN(RADIANS(E302))-SIN(RADIANS('11_발전량_모델'!$B$17))*COS(RADIANS(E302))*COS(RADIANS(F302))</f>
        <v/>
      </c>
      <c r="I302" s="80">
        <f>SIN(RADIANS('11_발전량_모델'!$B$17))*SIN(RADIANS(E302))+COS(RADIANS('11_발전량_모델'!$B$17))*COS(RADIANS(E302))*COS(RADIANS(F302))</f>
        <v/>
      </c>
      <c r="J302" s="80">
        <f>SIN(RADIANS('11_발전량_모델'!$B$7))*SIN(RADIANS('11_발전량_모델'!$B$8))</f>
        <v/>
      </c>
      <c r="K302" s="80">
        <f>SIN(RADIANS('11_발전량_모델'!$B$7))*COS(RADIANS('11_발전량_모델'!$B$8))</f>
        <v/>
      </c>
      <c r="L302" s="80">
        <f>COS(RADIANS('11_발전량_모델'!$B$7))</f>
        <v/>
      </c>
      <c r="M302" s="80">
        <f>G302*J302+H302*K302+I302*L302</f>
        <v/>
      </c>
      <c r="N302" s="80">
        <f>MAX(0,I302)</f>
        <v/>
      </c>
      <c r="O302" s="80">
        <f>IF(I302&gt;0,MAX(0,M302),0)</f>
        <v/>
      </c>
      <c r="P302" s="80">
        <f>IF($I302&gt;0,MAX(0,$G302*SIN(RADIANS('13_시나리오비교'!$B$5))*SIN(RADIANS('13_시나리오비교'!$C$5))+$H302*SIN(RADIANS('13_시나리오비교'!$B$5))*COS(RADIANS('13_시나리오비교'!$C$5))+$I302*COS(RADIANS('13_시나리오비교'!$B$5))),0)</f>
        <v/>
      </c>
      <c r="Q302" s="80">
        <f>IF($I302&gt;0,MAX(0,$G302*SIN(RADIANS('13_시나리오비교'!$B$6))*SIN(RADIANS('13_시나리오비교'!$C$6))+$H302*SIN(RADIANS('13_시나리오비교'!$B$6))*COS(RADIANS('13_시나리오비교'!$C$6))+$I302*COS(RADIANS('13_시나리오비교'!$B$6))),0)</f>
        <v/>
      </c>
      <c r="R302" s="80">
        <f>IF($I302&gt;0,MAX(0,$G302*SIN(RADIANS('13_시나리오비교'!$B$7))*SIN(RADIANS('13_시나리오비교'!$C$7))+$H302*SIN(RADIANS('13_시나리오비교'!$B$7))*COS(RADIANS('13_시나리오비교'!$C$7))+$I302*COS(RADIANS('13_시나리오비교'!$B$7))),0)</f>
        <v/>
      </c>
      <c r="S302" s="80">
        <f>IF($I302&gt;0,MAX(0,$G302*SIN(RADIANS('13_시나리오비교'!$B$8))*SIN(RADIANS('13_시나리오비교'!$C$8))+$H302*SIN(RADIANS('13_시나리오비교'!$B$8))*COS(RADIANS('13_시나리오비교'!$C$8))+$I302*COS(RADIANS('13_시나리오비교'!$B$8))),0)</f>
        <v/>
      </c>
      <c r="T302" s="80">
        <f>IF($I302&gt;0,MAX(0,$G302*SIN(RADIANS('13_시나리오비교'!$B$9))*SIN(RADIANS('13_시나리오비교'!$C$9))+$H302*SIN(RADIANS('13_시나리오비교'!$B$9))*COS(RADIANS('13_시나리오비교'!$C$9))+$I302*COS(RADIANS('13_시나리오비교'!$B$9))),0)</f>
        <v/>
      </c>
      <c r="U302" s="80">
        <f>IF($I302&gt;0,MAX(0,$G302*SIN(RADIANS('13_시나리오비교'!$B$10))*SIN(RADIANS('13_시나리오비교'!$C$10))+$H302*SIN(RADIANS('13_시나리오비교'!$B$10))*COS(RADIANS('13_시나리오비교'!$C$10))+$I302*COS(RADIANS('13_시나리오비교'!$B$10))),0)</f>
        <v/>
      </c>
      <c r="V302" s="80">
        <f>IF($I302&gt;0,MAX(0,$G302*SIN(RADIANS('13_시나리오비교'!$B$11))*SIN(RADIANS('13_시나리오비교'!$C$11))+$H302*SIN(RADIANS('13_시나리오비교'!$B$11))*COS(RADIANS('13_시나리오비교'!$C$11))+$I302*COS(RADIANS('13_시나리오비교'!$B$11))),0)</f>
        <v/>
      </c>
      <c r="W302" s="80">
        <f>IF($I302&gt;0,MAX(0,$G302*SIN(RADIANS('13_시나리오비교'!$B$12))*SIN(RADIANS('13_시나리오비교'!$C$12))+$H302*SIN(RADIANS('13_시나리오비교'!$B$12))*COS(RADIANS('13_시나리오비교'!$C$12))+$I302*COS(RADIANS('13_시나리오비교'!$B$12))),0)</f>
        <v/>
      </c>
      <c r="X302" s="80">
        <f>IF($I302&gt;0,MAX(0,$G302*SIN(RADIANS('13_시나리오비교'!$B$13))*SIN(RADIANS('13_시나리오비교'!$C$13))+$H302*SIN(RADIANS('13_시나리오비교'!$B$13))*COS(RADIANS('13_시나리오비교'!$C$13))+$I302*COS(RADIANS('13_시나리오비교'!$B$13))),0)</f>
        <v/>
      </c>
      <c r="Y302" s="80">
        <f>IF($I302&gt;0,MAX(0,$G302*SIN(RADIANS('13_시나리오비교'!$B$14))*SIN(RADIANS('13_시나리오비교'!$C$14))+$H302*SIN(RADIANS('13_시나리오비교'!$B$14))*COS(RADIANS('13_시나리오비교'!$C$14))+$I302*COS(RADIANS('13_시나리오비교'!$B$14))),0)</f>
        <v/>
      </c>
    </row>
    <row r="303" hidden="1" outlineLevel="1">
      <c r="A303" s="79" t="n">
        <v>3</v>
      </c>
      <c r="B303" s="79" t="n">
        <v>91</v>
      </c>
      <c r="C303" s="80">
        <f>(B303-0.5)*'14_지역·상수'!$H$6</f>
        <v/>
      </c>
      <c r="D303" s="79" t="n">
        <v>75</v>
      </c>
      <c r="E303" s="80">
        <f>INDEX($C$4:$C$15,MATCH(A303,$A$4:$A$15,0))</f>
        <v/>
      </c>
      <c r="F303" s="80">
        <f>15*(C303-12)</f>
        <v/>
      </c>
      <c r="G303" s="80">
        <f>-COS(RADIANS(E303))*SIN(RADIANS(F303))</f>
        <v/>
      </c>
      <c r="H303" s="80">
        <f>COS(RADIANS('11_발전량_모델'!$B$17))*SIN(RADIANS(E303))-SIN(RADIANS('11_발전량_모델'!$B$17))*COS(RADIANS(E303))*COS(RADIANS(F303))</f>
        <v/>
      </c>
      <c r="I303" s="80">
        <f>SIN(RADIANS('11_발전량_모델'!$B$17))*SIN(RADIANS(E303))+COS(RADIANS('11_발전량_모델'!$B$17))*COS(RADIANS(E303))*COS(RADIANS(F303))</f>
        <v/>
      </c>
      <c r="J303" s="80">
        <f>SIN(RADIANS('11_발전량_모델'!$B$7))*SIN(RADIANS('11_발전량_모델'!$B$8))</f>
        <v/>
      </c>
      <c r="K303" s="80">
        <f>SIN(RADIANS('11_발전량_모델'!$B$7))*COS(RADIANS('11_발전량_모델'!$B$8))</f>
        <v/>
      </c>
      <c r="L303" s="80">
        <f>COS(RADIANS('11_발전량_모델'!$B$7))</f>
        <v/>
      </c>
      <c r="M303" s="80">
        <f>G303*J303+H303*K303+I303*L303</f>
        <v/>
      </c>
      <c r="N303" s="80">
        <f>MAX(0,I303)</f>
        <v/>
      </c>
      <c r="O303" s="80">
        <f>IF(I303&gt;0,MAX(0,M303),0)</f>
        <v/>
      </c>
      <c r="P303" s="80">
        <f>IF($I303&gt;0,MAX(0,$G303*SIN(RADIANS('13_시나리오비교'!$B$5))*SIN(RADIANS('13_시나리오비교'!$C$5))+$H303*SIN(RADIANS('13_시나리오비교'!$B$5))*COS(RADIANS('13_시나리오비교'!$C$5))+$I303*COS(RADIANS('13_시나리오비교'!$B$5))),0)</f>
        <v/>
      </c>
      <c r="Q303" s="80">
        <f>IF($I303&gt;0,MAX(0,$G303*SIN(RADIANS('13_시나리오비교'!$B$6))*SIN(RADIANS('13_시나리오비교'!$C$6))+$H303*SIN(RADIANS('13_시나리오비교'!$B$6))*COS(RADIANS('13_시나리오비교'!$C$6))+$I303*COS(RADIANS('13_시나리오비교'!$B$6))),0)</f>
        <v/>
      </c>
      <c r="R303" s="80">
        <f>IF($I303&gt;0,MAX(0,$G303*SIN(RADIANS('13_시나리오비교'!$B$7))*SIN(RADIANS('13_시나리오비교'!$C$7))+$H303*SIN(RADIANS('13_시나리오비교'!$B$7))*COS(RADIANS('13_시나리오비교'!$C$7))+$I303*COS(RADIANS('13_시나리오비교'!$B$7))),0)</f>
        <v/>
      </c>
      <c r="S303" s="80">
        <f>IF($I303&gt;0,MAX(0,$G303*SIN(RADIANS('13_시나리오비교'!$B$8))*SIN(RADIANS('13_시나리오비교'!$C$8))+$H303*SIN(RADIANS('13_시나리오비교'!$B$8))*COS(RADIANS('13_시나리오비교'!$C$8))+$I303*COS(RADIANS('13_시나리오비교'!$B$8))),0)</f>
        <v/>
      </c>
      <c r="T303" s="80">
        <f>IF($I303&gt;0,MAX(0,$G303*SIN(RADIANS('13_시나리오비교'!$B$9))*SIN(RADIANS('13_시나리오비교'!$C$9))+$H303*SIN(RADIANS('13_시나리오비교'!$B$9))*COS(RADIANS('13_시나리오비교'!$C$9))+$I303*COS(RADIANS('13_시나리오비교'!$B$9))),0)</f>
        <v/>
      </c>
      <c r="U303" s="80">
        <f>IF($I303&gt;0,MAX(0,$G303*SIN(RADIANS('13_시나리오비교'!$B$10))*SIN(RADIANS('13_시나리오비교'!$C$10))+$H303*SIN(RADIANS('13_시나리오비교'!$B$10))*COS(RADIANS('13_시나리오비교'!$C$10))+$I303*COS(RADIANS('13_시나리오비교'!$B$10))),0)</f>
        <v/>
      </c>
      <c r="V303" s="80">
        <f>IF($I303&gt;0,MAX(0,$G303*SIN(RADIANS('13_시나리오비교'!$B$11))*SIN(RADIANS('13_시나리오비교'!$C$11))+$H303*SIN(RADIANS('13_시나리오비교'!$B$11))*COS(RADIANS('13_시나리오비교'!$C$11))+$I303*COS(RADIANS('13_시나리오비교'!$B$11))),0)</f>
        <v/>
      </c>
      <c r="W303" s="80">
        <f>IF($I303&gt;0,MAX(0,$G303*SIN(RADIANS('13_시나리오비교'!$B$12))*SIN(RADIANS('13_시나리오비교'!$C$12))+$H303*SIN(RADIANS('13_시나리오비교'!$B$12))*COS(RADIANS('13_시나리오비교'!$C$12))+$I303*COS(RADIANS('13_시나리오비교'!$B$12))),0)</f>
        <v/>
      </c>
      <c r="X303" s="80">
        <f>IF($I303&gt;0,MAX(0,$G303*SIN(RADIANS('13_시나리오비교'!$B$13))*SIN(RADIANS('13_시나리오비교'!$C$13))+$H303*SIN(RADIANS('13_시나리오비교'!$B$13))*COS(RADIANS('13_시나리오비교'!$C$13))+$I303*COS(RADIANS('13_시나리오비교'!$B$13))),0)</f>
        <v/>
      </c>
      <c r="Y303" s="80">
        <f>IF($I303&gt;0,MAX(0,$G303*SIN(RADIANS('13_시나리오비교'!$B$14))*SIN(RADIANS('13_시나리오비교'!$C$14))+$H303*SIN(RADIANS('13_시나리오비교'!$B$14))*COS(RADIANS('13_시나리오비교'!$C$14))+$I303*COS(RADIANS('13_시나리오비교'!$B$14))),0)</f>
        <v/>
      </c>
    </row>
    <row r="304" hidden="1" outlineLevel="1">
      <c r="A304" s="79" t="n">
        <v>3</v>
      </c>
      <c r="B304" s="79" t="n">
        <v>92</v>
      </c>
      <c r="C304" s="80">
        <f>(B304-0.5)*'14_지역·상수'!$H$6</f>
        <v/>
      </c>
      <c r="D304" s="79" t="n">
        <v>75</v>
      </c>
      <c r="E304" s="80">
        <f>INDEX($C$4:$C$15,MATCH(A304,$A$4:$A$15,0))</f>
        <v/>
      </c>
      <c r="F304" s="80">
        <f>15*(C304-12)</f>
        <v/>
      </c>
      <c r="G304" s="80">
        <f>-COS(RADIANS(E304))*SIN(RADIANS(F304))</f>
        <v/>
      </c>
      <c r="H304" s="80">
        <f>COS(RADIANS('11_발전량_모델'!$B$17))*SIN(RADIANS(E304))-SIN(RADIANS('11_발전량_모델'!$B$17))*COS(RADIANS(E304))*COS(RADIANS(F304))</f>
        <v/>
      </c>
      <c r="I304" s="80">
        <f>SIN(RADIANS('11_발전량_모델'!$B$17))*SIN(RADIANS(E304))+COS(RADIANS('11_발전량_모델'!$B$17))*COS(RADIANS(E304))*COS(RADIANS(F304))</f>
        <v/>
      </c>
      <c r="J304" s="80">
        <f>SIN(RADIANS('11_발전량_모델'!$B$7))*SIN(RADIANS('11_발전량_모델'!$B$8))</f>
        <v/>
      </c>
      <c r="K304" s="80">
        <f>SIN(RADIANS('11_발전량_모델'!$B$7))*COS(RADIANS('11_발전량_모델'!$B$8))</f>
        <v/>
      </c>
      <c r="L304" s="80">
        <f>COS(RADIANS('11_발전량_모델'!$B$7))</f>
        <v/>
      </c>
      <c r="M304" s="80">
        <f>G304*J304+H304*K304+I304*L304</f>
        <v/>
      </c>
      <c r="N304" s="80">
        <f>MAX(0,I304)</f>
        <v/>
      </c>
      <c r="O304" s="80">
        <f>IF(I304&gt;0,MAX(0,M304),0)</f>
        <v/>
      </c>
      <c r="P304" s="80">
        <f>IF($I304&gt;0,MAX(0,$G304*SIN(RADIANS('13_시나리오비교'!$B$5))*SIN(RADIANS('13_시나리오비교'!$C$5))+$H304*SIN(RADIANS('13_시나리오비교'!$B$5))*COS(RADIANS('13_시나리오비교'!$C$5))+$I304*COS(RADIANS('13_시나리오비교'!$B$5))),0)</f>
        <v/>
      </c>
      <c r="Q304" s="80">
        <f>IF($I304&gt;0,MAX(0,$G304*SIN(RADIANS('13_시나리오비교'!$B$6))*SIN(RADIANS('13_시나리오비교'!$C$6))+$H304*SIN(RADIANS('13_시나리오비교'!$B$6))*COS(RADIANS('13_시나리오비교'!$C$6))+$I304*COS(RADIANS('13_시나리오비교'!$B$6))),0)</f>
        <v/>
      </c>
      <c r="R304" s="80">
        <f>IF($I304&gt;0,MAX(0,$G304*SIN(RADIANS('13_시나리오비교'!$B$7))*SIN(RADIANS('13_시나리오비교'!$C$7))+$H304*SIN(RADIANS('13_시나리오비교'!$B$7))*COS(RADIANS('13_시나리오비교'!$C$7))+$I304*COS(RADIANS('13_시나리오비교'!$B$7))),0)</f>
        <v/>
      </c>
      <c r="S304" s="80">
        <f>IF($I304&gt;0,MAX(0,$G304*SIN(RADIANS('13_시나리오비교'!$B$8))*SIN(RADIANS('13_시나리오비교'!$C$8))+$H304*SIN(RADIANS('13_시나리오비교'!$B$8))*COS(RADIANS('13_시나리오비교'!$C$8))+$I304*COS(RADIANS('13_시나리오비교'!$B$8))),0)</f>
        <v/>
      </c>
      <c r="T304" s="80">
        <f>IF($I304&gt;0,MAX(0,$G304*SIN(RADIANS('13_시나리오비교'!$B$9))*SIN(RADIANS('13_시나리오비교'!$C$9))+$H304*SIN(RADIANS('13_시나리오비교'!$B$9))*COS(RADIANS('13_시나리오비교'!$C$9))+$I304*COS(RADIANS('13_시나리오비교'!$B$9))),0)</f>
        <v/>
      </c>
      <c r="U304" s="80">
        <f>IF($I304&gt;0,MAX(0,$G304*SIN(RADIANS('13_시나리오비교'!$B$10))*SIN(RADIANS('13_시나리오비교'!$C$10))+$H304*SIN(RADIANS('13_시나리오비교'!$B$10))*COS(RADIANS('13_시나리오비교'!$C$10))+$I304*COS(RADIANS('13_시나리오비교'!$B$10))),0)</f>
        <v/>
      </c>
      <c r="V304" s="80">
        <f>IF($I304&gt;0,MAX(0,$G304*SIN(RADIANS('13_시나리오비교'!$B$11))*SIN(RADIANS('13_시나리오비교'!$C$11))+$H304*SIN(RADIANS('13_시나리오비교'!$B$11))*COS(RADIANS('13_시나리오비교'!$C$11))+$I304*COS(RADIANS('13_시나리오비교'!$B$11))),0)</f>
        <v/>
      </c>
      <c r="W304" s="80">
        <f>IF($I304&gt;0,MAX(0,$G304*SIN(RADIANS('13_시나리오비교'!$B$12))*SIN(RADIANS('13_시나리오비교'!$C$12))+$H304*SIN(RADIANS('13_시나리오비교'!$B$12))*COS(RADIANS('13_시나리오비교'!$C$12))+$I304*COS(RADIANS('13_시나리오비교'!$B$12))),0)</f>
        <v/>
      </c>
      <c r="X304" s="80">
        <f>IF($I304&gt;0,MAX(0,$G304*SIN(RADIANS('13_시나리오비교'!$B$13))*SIN(RADIANS('13_시나리오비교'!$C$13))+$H304*SIN(RADIANS('13_시나리오비교'!$B$13))*COS(RADIANS('13_시나리오비교'!$C$13))+$I304*COS(RADIANS('13_시나리오비교'!$B$13))),0)</f>
        <v/>
      </c>
      <c r="Y304" s="80">
        <f>IF($I304&gt;0,MAX(0,$G304*SIN(RADIANS('13_시나리오비교'!$B$14))*SIN(RADIANS('13_시나리오비교'!$C$14))+$H304*SIN(RADIANS('13_시나리오비교'!$B$14))*COS(RADIANS('13_시나리오비교'!$C$14))+$I304*COS(RADIANS('13_시나리오비교'!$B$14))),0)</f>
        <v/>
      </c>
    </row>
    <row r="305" hidden="1" outlineLevel="1">
      <c r="A305" s="79" t="n">
        <v>3</v>
      </c>
      <c r="B305" s="79" t="n">
        <v>93</v>
      </c>
      <c r="C305" s="80">
        <f>(B305-0.5)*'14_지역·상수'!$H$6</f>
        <v/>
      </c>
      <c r="D305" s="79" t="n">
        <v>75</v>
      </c>
      <c r="E305" s="80">
        <f>INDEX($C$4:$C$15,MATCH(A305,$A$4:$A$15,0))</f>
        <v/>
      </c>
      <c r="F305" s="80">
        <f>15*(C305-12)</f>
        <v/>
      </c>
      <c r="G305" s="80">
        <f>-COS(RADIANS(E305))*SIN(RADIANS(F305))</f>
        <v/>
      </c>
      <c r="H305" s="80">
        <f>COS(RADIANS('11_발전량_모델'!$B$17))*SIN(RADIANS(E305))-SIN(RADIANS('11_발전량_모델'!$B$17))*COS(RADIANS(E305))*COS(RADIANS(F305))</f>
        <v/>
      </c>
      <c r="I305" s="80">
        <f>SIN(RADIANS('11_발전량_모델'!$B$17))*SIN(RADIANS(E305))+COS(RADIANS('11_발전량_모델'!$B$17))*COS(RADIANS(E305))*COS(RADIANS(F305))</f>
        <v/>
      </c>
      <c r="J305" s="80">
        <f>SIN(RADIANS('11_발전량_모델'!$B$7))*SIN(RADIANS('11_발전량_모델'!$B$8))</f>
        <v/>
      </c>
      <c r="K305" s="80">
        <f>SIN(RADIANS('11_발전량_모델'!$B$7))*COS(RADIANS('11_발전량_모델'!$B$8))</f>
        <v/>
      </c>
      <c r="L305" s="80">
        <f>COS(RADIANS('11_발전량_모델'!$B$7))</f>
        <v/>
      </c>
      <c r="M305" s="80">
        <f>G305*J305+H305*K305+I305*L305</f>
        <v/>
      </c>
      <c r="N305" s="80">
        <f>MAX(0,I305)</f>
        <v/>
      </c>
      <c r="O305" s="80">
        <f>IF(I305&gt;0,MAX(0,M305),0)</f>
        <v/>
      </c>
      <c r="P305" s="80">
        <f>IF($I305&gt;0,MAX(0,$G305*SIN(RADIANS('13_시나리오비교'!$B$5))*SIN(RADIANS('13_시나리오비교'!$C$5))+$H305*SIN(RADIANS('13_시나리오비교'!$B$5))*COS(RADIANS('13_시나리오비교'!$C$5))+$I305*COS(RADIANS('13_시나리오비교'!$B$5))),0)</f>
        <v/>
      </c>
      <c r="Q305" s="80">
        <f>IF($I305&gt;0,MAX(0,$G305*SIN(RADIANS('13_시나리오비교'!$B$6))*SIN(RADIANS('13_시나리오비교'!$C$6))+$H305*SIN(RADIANS('13_시나리오비교'!$B$6))*COS(RADIANS('13_시나리오비교'!$C$6))+$I305*COS(RADIANS('13_시나리오비교'!$B$6))),0)</f>
        <v/>
      </c>
      <c r="R305" s="80">
        <f>IF($I305&gt;0,MAX(0,$G305*SIN(RADIANS('13_시나리오비교'!$B$7))*SIN(RADIANS('13_시나리오비교'!$C$7))+$H305*SIN(RADIANS('13_시나리오비교'!$B$7))*COS(RADIANS('13_시나리오비교'!$C$7))+$I305*COS(RADIANS('13_시나리오비교'!$B$7))),0)</f>
        <v/>
      </c>
      <c r="S305" s="80">
        <f>IF($I305&gt;0,MAX(0,$G305*SIN(RADIANS('13_시나리오비교'!$B$8))*SIN(RADIANS('13_시나리오비교'!$C$8))+$H305*SIN(RADIANS('13_시나리오비교'!$B$8))*COS(RADIANS('13_시나리오비교'!$C$8))+$I305*COS(RADIANS('13_시나리오비교'!$B$8))),0)</f>
        <v/>
      </c>
      <c r="T305" s="80">
        <f>IF($I305&gt;0,MAX(0,$G305*SIN(RADIANS('13_시나리오비교'!$B$9))*SIN(RADIANS('13_시나리오비교'!$C$9))+$H305*SIN(RADIANS('13_시나리오비교'!$B$9))*COS(RADIANS('13_시나리오비교'!$C$9))+$I305*COS(RADIANS('13_시나리오비교'!$B$9))),0)</f>
        <v/>
      </c>
      <c r="U305" s="80">
        <f>IF($I305&gt;0,MAX(0,$G305*SIN(RADIANS('13_시나리오비교'!$B$10))*SIN(RADIANS('13_시나리오비교'!$C$10))+$H305*SIN(RADIANS('13_시나리오비교'!$B$10))*COS(RADIANS('13_시나리오비교'!$C$10))+$I305*COS(RADIANS('13_시나리오비교'!$B$10))),0)</f>
        <v/>
      </c>
      <c r="V305" s="80">
        <f>IF($I305&gt;0,MAX(0,$G305*SIN(RADIANS('13_시나리오비교'!$B$11))*SIN(RADIANS('13_시나리오비교'!$C$11))+$H305*SIN(RADIANS('13_시나리오비교'!$B$11))*COS(RADIANS('13_시나리오비교'!$C$11))+$I305*COS(RADIANS('13_시나리오비교'!$B$11))),0)</f>
        <v/>
      </c>
      <c r="W305" s="80">
        <f>IF($I305&gt;0,MAX(0,$G305*SIN(RADIANS('13_시나리오비교'!$B$12))*SIN(RADIANS('13_시나리오비교'!$C$12))+$H305*SIN(RADIANS('13_시나리오비교'!$B$12))*COS(RADIANS('13_시나리오비교'!$C$12))+$I305*COS(RADIANS('13_시나리오비교'!$B$12))),0)</f>
        <v/>
      </c>
      <c r="X305" s="80">
        <f>IF($I305&gt;0,MAX(0,$G305*SIN(RADIANS('13_시나리오비교'!$B$13))*SIN(RADIANS('13_시나리오비교'!$C$13))+$H305*SIN(RADIANS('13_시나리오비교'!$B$13))*COS(RADIANS('13_시나리오비교'!$C$13))+$I305*COS(RADIANS('13_시나리오비교'!$B$13))),0)</f>
        <v/>
      </c>
      <c r="Y305" s="80">
        <f>IF($I305&gt;0,MAX(0,$G305*SIN(RADIANS('13_시나리오비교'!$B$14))*SIN(RADIANS('13_시나리오비교'!$C$14))+$H305*SIN(RADIANS('13_시나리오비교'!$B$14))*COS(RADIANS('13_시나리오비교'!$C$14))+$I305*COS(RADIANS('13_시나리오비교'!$B$14))),0)</f>
        <v/>
      </c>
    </row>
    <row r="306" hidden="1" outlineLevel="1">
      <c r="A306" s="79" t="n">
        <v>3</v>
      </c>
      <c r="B306" s="79" t="n">
        <v>94</v>
      </c>
      <c r="C306" s="80">
        <f>(B306-0.5)*'14_지역·상수'!$H$6</f>
        <v/>
      </c>
      <c r="D306" s="79" t="n">
        <v>75</v>
      </c>
      <c r="E306" s="80">
        <f>INDEX($C$4:$C$15,MATCH(A306,$A$4:$A$15,0))</f>
        <v/>
      </c>
      <c r="F306" s="80">
        <f>15*(C306-12)</f>
        <v/>
      </c>
      <c r="G306" s="80">
        <f>-COS(RADIANS(E306))*SIN(RADIANS(F306))</f>
        <v/>
      </c>
      <c r="H306" s="80">
        <f>COS(RADIANS('11_발전량_모델'!$B$17))*SIN(RADIANS(E306))-SIN(RADIANS('11_발전량_모델'!$B$17))*COS(RADIANS(E306))*COS(RADIANS(F306))</f>
        <v/>
      </c>
      <c r="I306" s="80">
        <f>SIN(RADIANS('11_발전량_모델'!$B$17))*SIN(RADIANS(E306))+COS(RADIANS('11_발전량_모델'!$B$17))*COS(RADIANS(E306))*COS(RADIANS(F306))</f>
        <v/>
      </c>
      <c r="J306" s="80">
        <f>SIN(RADIANS('11_발전량_모델'!$B$7))*SIN(RADIANS('11_발전량_모델'!$B$8))</f>
        <v/>
      </c>
      <c r="K306" s="80">
        <f>SIN(RADIANS('11_발전량_모델'!$B$7))*COS(RADIANS('11_발전량_모델'!$B$8))</f>
        <v/>
      </c>
      <c r="L306" s="80">
        <f>COS(RADIANS('11_발전량_모델'!$B$7))</f>
        <v/>
      </c>
      <c r="M306" s="80">
        <f>G306*J306+H306*K306+I306*L306</f>
        <v/>
      </c>
      <c r="N306" s="80">
        <f>MAX(0,I306)</f>
        <v/>
      </c>
      <c r="O306" s="80">
        <f>IF(I306&gt;0,MAX(0,M306),0)</f>
        <v/>
      </c>
      <c r="P306" s="80">
        <f>IF($I306&gt;0,MAX(0,$G306*SIN(RADIANS('13_시나리오비교'!$B$5))*SIN(RADIANS('13_시나리오비교'!$C$5))+$H306*SIN(RADIANS('13_시나리오비교'!$B$5))*COS(RADIANS('13_시나리오비교'!$C$5))+$I306*COS(RADIANS('13_시나리오비교'!$B$5))),0)</f>
        <v/>
      </c>
      <c r="Q306" s="80">
        <f>IF($I306&gt;0,MAX(0,$G306*SIN(RADIANS('13_시나리오비교'!$B$6))*SIN(RADIANS('13_시나리오비교'!$C$6))+$H306*SIN(RADIANS('13_시나리오비교'!$B$6))*COS(RADIANS('13_시나리오비교'!$C$6))+$I306*COS(RADIANS('13_시나리오비교'!$B$6))),0)</f>
        <v/>
      </c>
      <c r="R306" s="80">
        <f>IF($I306&gt;0,MAX(0,$G306*SIN(RADIANS('13_시나리오비교'!$B$7))*SIN(RADIANS('13_시나리오비교'!$C$7))+$H306*SIN(RADIANS('13_시나리오비교'!$B$7))*COS(RADIANS('13_시나리오비교'!$C$7))+$I306*COS(RADIANS('13_시나리오비교'!$B$7))),0)</f>
        <v/>
      </c>
      <c r="S306" s="80">
        <f>IF($I306&gt;0,MAX(0,$G306*SIN(RADIANS('13_시나리오비교'!$B$8))*SIN(RADIANS('13_시나리오비교'!$C$8))+$H306*SIN(RADIANS('13_시나리오비교'!$B$8))*COS(RADIANS('13_시나리오비교'!$C$8))+$I306*COS(RADIANS('13_시나리오비교'!$B$8))),0)</f>
        <v/>
      </c>
      <c r="T306" s="80">
        <f>IF($I306&gt;0,MAX(0,$G306*SIN(RADIANS('13_시나리오비교'!$B$9))*SIN(RADIANS('13_시나리오비교'!$C$9))+$H306*SIN(RADIANS('13_시나리오비교'!$B$9))*COS(RADIANS('13_시나리오비교'!$C$9))+$I306*COS(RADIANS('13_시나리오비교'!$B$9))),0)</f>
        <v/>
      </c>
      <c r="U306" s="80">
        <f>IF($I306&gt;0,MAX(0,$G306*SIN(RADIANS('13_시나리오비교'!$B$10))*SIN(RADIANS('13_시나리오비교'!$C$10))+$H306*SIN(RADIANS('13_시나리오비교'!$B$10))*COS(RADIANS('13_시나리오비교'!$C$10))+$I306*COS(RADIANS('13_시나리오비교'!$B$10))),0)</f>
        <v/>
      </c>
      <c r="V306" s="80">
        <f>IF($I306&gt;0,MAX(0,$G306*SIN(RADIANS('13_시나리오비교'!$B$11))*SIN(RADIANS('13_시나리오비교'!$C$11))+$H306*SIN(RADIANS('13_시나리오비교'!$B$11))*COS(RADIANS('13_시나리오비교'!$C$11))+$I306*COS(RADIANS('13_시나리오비교'!$B$11))),0)</f>
        <v/>
      </c>
      <c r="W306" s="80">
        <f>IF($I306&gt;0,MAX(0,$G306*SIN(RADIANS('13_시나리오비교'!$B$12))*SIN(RADIANS('13_시나리오비교'!$C$12))+$H306*SIN(RADIANS('13_시나리오비교'!$B$12))*COS(RADIANS('13_시나리오비교'!$C$12))+$I306*COS(RADIANS('13_시나리오비교'!$B$12))),0)</f>
        <v/>
      </c>
      <c r="X306" s="80">
        <f>IF($I306&gt;0,MAX(0,$G306*SIN(RADIANS('13_시나리오비교'!$B$13))*SIN(RADIANS('13_시나리오비교'!$C$13))+$H306*SIN(RADIANS('13_시나리오비교'!$B$13))*COS(RADIANS('13_시나리오비교'!$C$13))+$I306*COS(RADIANS('13_시나리오비교'!$B$13))),0)</f>
        <v/>
      </c>
      <c r="Y306" s="80">
        <f>IF($I306&gt;0,MAX(0,$G306*SIN(RADIANS('13_시나리오비교'!$B$14))*SIN(RADIANS('13_시나리오비교'!$C$14))+$H306*SIN(RADIANS('13_시나리오비교'!$B$14))*COS(RADIANS('13_시나리오비교'!$C$14))+$I306*COS(RADIANS('13_시나리오비교'!$B$14))),0)</f>
        <v/>
      </c>
    </row>
    <row r="307" hidden="1" outlineLevel="1">
      <c r="A307" s="79" t="n">
        <v>3</v>
      </c>
      <c r="B307" s="79" t="n">
        <v>95</v>
      </c>
      <c r="C307" s="80">
        <f>(B307-0.5)*'14_지역·상수'!$H$6</f>
        <v/>
      </c>
      <c r="D307" s="79" t="n">
        <v>75</v>
      </c>
      <c r="E307" s="80">
        <f>INDEX($C$4:$C$15,MATCH(A307,$A$4:$A$15,0))</f>
        <v/>
      </c>
      <c r="F307" s="80">
        <f>15*(C307-12)</f>
        <v/>
      </c>
      <c r="G307" s="80">
        <f>-COS(RADIANS(E307))*SIN(RADIANS(F307))</f>
        <v/>
      </c>
      <c r="H307" s="80">
        <f>COS(RADIANS('11_발전량_모델'!$B$17))*SIN(RADIANS(E307))-SIN(RADIANS('11_발전량_모델'!$B$17))*COS(RADIANS(E307))*COS(RADIANS(F307))</f>
        <v/>
      </c>
      <c r="I307" s="80">
        <f>SIN(RADIANS('11_발전량_모델'!$B$17))*SIN(RADIANS(E307))+COS(RADIANS('11_발전량_모델'!$B$17))*COS(RADIANS(E307))*COS(RADIANS(F307))</f>
        <v/>
      </c>
      <c r="J307" s="80">
        <f>SIN(RADIANS('11_발전량_모델'!$B$7))*SIN(RADIANS('11_발전량_모델'!$B$8))</f>
        <v/>
      </c>
      <c r="K307" s="80">
        <f>SIN(RADIANS('11_발전량_모델'!$B$7))*COS(RADIANS('11_발전량_모델'!$B$8))</f>
        <v/>
      </c>
      <c r="L307" s="80">
        <f>COS(RADIANS('11_발전량_모델'!$B$7))</f>
        <v/>
      </c>
      <c r="M307" s="80">
        <f>G307*J307+H307*K307+I307*L307</f>
        <v/>
      </c>
      <c r="N307" s="80">
        <f>MAX(0,I307)</f>
        <v/>
      </c>
      <c r="O307" s="80">
        <f>IF(I307&gt;0,MAX(0,M307),0)</f>
        <v/>
      </c>
      <c r="P307" s="80">
        <f>IF($I307&gt;0,MAX(0,$G307*SIN(RADIANS('13_시나리오비교'!$B$5))*SIN(RADIANS('13_시나리오비교'!$C$5))+$H307*SIN(RADIANS('13_시나리오비교'!$B$5))*COS(RADIANS('13_시나리오비교'!$C$5))+$I307*COS(RADIANS('13_시나리오비교'!$B$5))),0)</f>
        <v/>
      </c>
      <c r="Q307" s="80">
        <f>IF($I307&gt;0,MAX(0,$G307*SIN(RADIANS('13_시나리오비교'!$B$6))*SIN(RADIANS('13_시나리오비교'!$C$6))+$H307*SIN(RADIANS('13_시나리오비교'!$B$6))*COS(RADIANS('13_시나리오비교'!$C$6))+$I307*COS(RADIANS('13_시나리오비교'!$B$6))),0)</f>
        <v/>
      </c>
      <c r="R307" s="80">
        <f>IF($I307&gt;0,MAX(0,$G307*SIN(RADIANS('13_시나리오비교'!$B$7))*SIN(RADIANS('13_시나리오비교'!$C$7))+$H307*SIN(RADIANS('13_시나리오비교'!$B$7))*COS(RADIANS('13_시나리오비교'!$C$7))+$I307*COS(RADIANS('13_시나리오비교'!$B$7))),0)</f>
        <v/>
      </c>
      <c r="S307" s="80">
        <f>IF($I307&gt;0,MAX(0,$G307*SIN(RADIANS('13_시나리오비교'!$B$8))*SIN(RADIANS('13_시나리오비교'!$C$8))+$H307*SIN(RADIANS('13_시나리오비교'!$B$8))*COS(RADIANS('13_시나리오비교'!$C$8))+$I307*COS(RADIANS('13_시나리오비교'!$B$8))),0)</f>
        <v/>
      </c>
      <c r="T307" s="80">
        <f>IF($I307&gt;0,MAX(0,$G307*SIN(RADIANS('13_시나리오비교'!$B$9))*SIN(RADIANS('13_시나리오비교'!$C$9))+$H307*SIN(RADIANS('13_시나리오비교'!$B$9))*COS(RADIANS('13_시나리오비교'!$C$9))+$I307*COS(RADIANS('13_시나리오비교'!$B$9))),0)</f>
        <v/>
      </c>
      <c r="U307" s="80">
        <f>IF($I307&gt;0,MAX(0,$G307*SIN(RADIANS('13_시나리오비교'!$B$10))*SIN(RADIANS('13_시나리오비교'!$C$10))+$H307*SIN(RADIANS('13_시나리오비교'!$B$10))*COS(RADIANS('13_시나리오비교'!$C$10))+$I307*COS(RADIANS('13_시나리오비교'!$B$10))),0)</f>
        <v/>
      </c>
      <c r="V307" s="80">
        <f>IF($I307&gt;0,MAX(0,$G307*SIN(RADIANS('13_시나리오비교'!$B$11))*SIN(RADIANS('13_시나리오비교'!$C$11))+$H307*SIN(RADIANS('13_시나리오비교'!$B$11))*COS(RADIANS('13_시나리오비교'!$C$11))+$I307*COS(RADIANS('13_시나리오비교'!$B$11))),0)</f>
        <v/>
      </c>
      <c r="W307" s="80">
        <f>IF($I307&gt;0,MAX(0,$G307*SIN(RADIANS('13_시나리오비교'!$B$12))*SIN(RADIANS('13_시나리오비교'!$C$12))+$H307*SIN(RADIANS('13_시나리오비교'!$B$12))*COS(RADIANS('13_시나리오비교'!$C$12))+$I307*COS(RADIANS('13_시나리오비교'!$B$12))),0)</f>
        <v/>
      </c>
      <c r="X307" s="80">
        <f>IF($I307&gt;0,MAX(0,$G307*SIN(RADIANS('13_시나리오비교'!$B$13))*SIN(RADIANS('13_시나리오비교'!$C$13))+$H307*SIN(RADIANS('13_시나리오비교'!$B$13))*COS(RADIANS('13_시나리오비교'!$C$13))+$I307*COS(RADIANS('13_시나리오비교'!$B$13))),0)</f>
        <v/>
      </c>
      <c r="Y307" s="80">
        <f>IF($I307&gt;0,MAX(0,$G307*SIN(RADIANS('13_시나리오비교'!$B$14))*SIN(RADIANS('13_시나리오비교'!$C$14))+$H307*SIN(RADIANS('13_시나리오비교'!$B$14))*COS(RADIANS('13_시나리오비교'!$C$14))+$I307*COS(RADIANS('13_시나리오비교'!$B$14))),0)</f>
        <v/>
      </c>
    </row>
    <row r="308" hidden="1" outlineLevel="1">
      <c r="A308" s="79" t="n">
        <v>3</v>
      </c>
      <c r="B308" s="79" t="n">
        <v>96</v>
      </c>
      <c r="C308" s="80">
        <f>(B308-0.5)*'14_지역·상수'!$H$6</f>
        <v/>
      </c>
      <c r="D308" s="79" t="n">
        <v>75</v>
      </c>
      <c r="E308" s="80">
        <f>INDEX($C$4:$C$15,MATCH(A308,$A$4:$A$15,0))</f>
        <v/>
      </c>
      <c r="F308" s="80">
        <f>15*(C308-12)</f>
        <v/>
      </c>
      <c r="G308" s="80">
        <f>-COS(RADIANS(E308))*SIN(RADIANS(F308))</f>
        <v/>
      </c>
      <c r="H308" s="80">
        <f>COS(RADIANS('11_발전량_모델'!$B$17))*SIN(RADIANS(E308))-SIN(RADIANS('11_발전량_모델'!$B$17))*COS(RADIANS(E308))*COS(RADIANS(F308))</f>
        <v/>
      </c>
      <c r="I308" s="80">
        <f>SIN(RADIANS('11_발전량_모델'!$B$17))*SIN(RADIANS(E308))+COS(RADIANS('11_발전량_모델'!$B$17))*COS(RADIANS(E308))*COS(RADIANS(F308))</f>
        <v/>
      </c>
      <c r="J308" s="80">
        <f>SIN(RADIANS('11_발전량_모델'!$B$7))*SIN(RADIANS('11_발전량_모델'!$B$8))</f>
        <v/>
      </c>
      <c r="K308" s="80">
        <f>SIN(RADIANS('11_발전량_모델'!$B$7))*COS(RADIANS('11_발전량_모델'!$B$8))</f>
        <v/>
      </c>
      <c r="L308" s="80">
        <f>COS(RADIANS('11_발전량_모델'!$B$7))</f>
        <v/>
      </c>
      <c r="M308" s="80">
        <f>G308*J308+H308*K308+I308*L308</f>
        <v/>
      </c>
      <c r="N308" s="80">
        <f>MAX(0,I308)</f>
        <v/>
      </c>
      <c r="O308" s="80">
        <f>IF(I308&gt;0,MAX(0,M308),0)</f>
        <v/>
      </c>
      <c r="P308" s="80">
        <f>IF($I308&gt;0,MAX(0,$G308*SIN(RADIANS('13_시나리오비교'!$B$5))*SIN(RADIANS('13_시나리오비교'!$C$5))+$H308*SIN(RADIANS('13_시나리오비교'!$B$5))*COS(RADIANS('13_시나리오비교'!$C$5))+$I308*COS(RADIANS('13_시나리오비교'!$B$5))),0)</f>
        <v/>
      </c>
      <c r="Q308" s="80">
        <f>IF($I308&gt;0,MAX(0,$G308*SIN(RADIANS('13_시나리오비교'!$B$6))*SIN(RADIANS('13_시나리오비교'!$C$6))+$H308*SIN(RADIANS('13_시나리오비교'!$B$6))*COS(RADIANS('13_시나리오비교'!$C$6))+$I308*COS(RADIANS('13_시나리오비교'!$B$6))),0)</f>
        <v/>
      </c>
      <c r="R308" s="80">
        <f>IF($I308&gt;0,MAX(0,$G308*SIN(RADIANS('13_시나리오비교'!$B$7))*SIN(RADIANS('13_시나리오비교'!$C$7))+$H308*SIN(RADIANS('13_시나리오비교'!$B$7))*COS(RADIANS('13_시나리오비교'!$C$7))+$I308*COS(RADIANS('13_시나리오비교'!$B$7))),0)</f>
        <v/>
      </c>
      <c r="S308" s="80">
        <f>IF($I308&gt;0,MAX(0,$G308*SIN(RADIANS('13_시나리오비교'!$B$8))*SIN(RADIANS('13_시나리오비교'!$C$8))+$H308*SIN(RADIANS('13_시나리오비교'!$B$8))*COS(RADIANS('13_시나리오비교'!$C$8))+$I308*COS(RADIANS('13_시나리오비교'!$B$8))),0)</f>
        <v/>
      </c>
      <c r="T308" s="80">
        <f>IF($I308&gt;0,MAX(0,$G308*SIN(RADIANS('13_시나리오비교'!$B$9))*SIN(RADIANS('13_시나리오비교'!$C$9))+$H308*SIN(RADIANS('13_시나리오비교'!$B$9))*COS(RADIANS('13_시나리오비교'!$C$9))+$I308*COS(RADIANS('13_시나리오비교'!$B$9))),0)</f>
        <v/>
      </c>
      <c r="U308" s="80">
        <f>IF($I308&gt;0,MAX(0,$G308*SIN(RADIANS('13_시나리오비교'!$B$10))*SIN(RADIANS('13_시나리오비교'!$C$10))+$H308*SIN(RADIANS('13_시나리오비교'!$B$10))*COS(RADIANS('13_시나리오비교'!$C$10))+$I308*COS(RADIANS('13_시나리오비교'!$B$10))),0)</f>
        <v/>
      </c>
      <c r="V308" s="80">
        <f>IF($I308&gt;0,MAX(0,$G308*SIN(RADIANS('13_시나리오비교'!$B$11))*SIN(RADIANS('13_시나리오비교'!$C$11))+$H308*SIN(RADIANS('13_시나리오비교'!$B$11))*COS(RADIANS('13_시나리오비교'!$C$11))+$I308*COS(RADIANS('13_시나리오비교'!$B$11))),0)</f>
        <v/>
      </c>
      <c r="W308" s="80">
        <f>IF($I308&gt;0,MAX(0,$G308*SIN(RADIANS('13_시나리오비교'!$B$12))*SIN(RADIANS('13_시나리오비교'!$C$12))+$H308*SIN(RADIANS('13_시나리오비교'!$B$12))*COS(RADIANS('13_시나리오비교'!$C$12))+$I308*COS(RADIANS('13_시나리오비교'!$B$12))),0)</f>
        <v/>
      </c>
      <c r="X308" s="80">
        <f>IF($I308&gt;0,MAX(0,$G308*SIN(RADIANS('13_시나리오비교'!$B$13))*SIN(RADIANS('13_시나리오비교'!$C$13))+$H308*SIN(RADIANS('13_시나리오비교'!$B$13))*COS(RADIANS('13_시나리오비교'!$C$13))+$I308*COS(RADIANS('13_시나리오비교'!$B$13))),0)</f>
        <v/>
      </c>
      <c r="Y308" s="80">
        <f>IF($I308&gt;0,MAX(0,$G308*SIN(RADIANS('13_시나리오비교'!$B$14))*SIN(RADIANS('13_시나리오비교'!$C$14))+$H308*SIN(RADIANS('13_시나리오비교'!$B$14))*COS(RADIANS('13_시나리오비교'!$C$14))+$I308*COS(RADIANS('13_시나리오비교'!$B$14))),0)</f>
        <v/>
      </c>
    </row>
    <row r="309" hidden="1" outlineLevel="1">
      <c r="A309" s="79" t="n">
        <v>4</v>
      </c>
      <c r="B309" s="79" t="n">
        <v>1</v>
      </c>
      <c r="C309" s="80">
        <f>(B309-0.5)*'14_지역·상수'!$H$6</f>
        <v/>
      </c>
      <c r="D309" s="79" t="n">
        <v>105</v>
      </c>
      <c r="E309" s="80">
        <f>INDEX($C$4:$C$15,MATCH(A309,$A$4:$A$15,0))</f>
        <v/>
      </c>
      <c r="F309" s="80">
        <f>15*(C309-12)</f>
        <v/>
      </c>
      <c r="G309" s="80">
        <f>-COS(RADIANS(E309))*SIN(RADIANS(F309))</f>
        <v/>
      </c>
      <c r="H309" s="80">
        <f>COS(RADIANS('11_발전량_모델'!$B$17))*SIN(RADIANS(E309))-SIN(RADIANS('11_발전량_모델'!$B$17))*COS(RADIANS(E309))*COS(RADIANS(F309))</f>
        <v/>
      </c>
      <c r="I309" s="80">
        <f>SIN(RADIANS('11_발전량_모델'!$B$17))*SIN(RADIANS(E309))+COS(RADIANS('11_발전량_모델'!$B$17))*COS(RADIANS(E309))*COS(RADIANS(F309))</f>
        <v/>
      </c>
      <c r="J309" s="80">
        <f>SIN(RADIANS('11_발전량_모델'!$B$7))*SIN(RADIANS('11_발전량_모델'!$B$8))</f>
        <v/>
      </c>
      <c r="K309" s="80">
        <f>SIN(RADIANS('11_발전량_모델'!$B$7))*COS(RADIANS('11_발전량_모델'!$B$8))</f>
        <v/>
      </c>
      <c r="L309" s="80">
        <f>COS(RADIANS('11_발전량_모델'!$B$7))</f>
        <v/>
      </c>
      <c r="M309" s="80">
        <f>G309*J309+H309*K309+I309*L309</f>
        <v/>
      </c>
      <c r="N309" s="80">
        <f>MAX(0,I309)</f>
        <v/>
      </c>
      <c r="O309" s="80">
        <f>IF(I309&gt;0,MAX(0,M309),0)</f>
        <v/>
      </c>
      <c r="P309" s="80">
        <f>IF($I309&gt;0,MAX(0,$G309*SIN(RADIANS('13_시나리오비교'!$B$5))*SIN(RADIANS('13_시나리오비교'!$C$5))+$H309*SIN(RADIANS('13_시나리오비교'!$B$5))*COS(RADIANS('13_시나리오비교'!$C$5))+$I309*COS(RADIANS('13_시나리오비교'!$B$5))),0)</f>
        <v/>
      </c>
      <c r="Q309" s="80">
        <f>IF($I309&gt;0,MAX(0,$G309*SIN(RADIANS('13_시나리오비교'!$B$6))*SIN(RADIANS('13_시나리오비교'!$C$6))+$H309*SIN(RADIANS('13_시나리오비교'!$B$6))*COS(RADIANS('13_시나리오비교'!$C$6))+$I309*COS(RADIANS('13_시나리오비교'!$B$6))),0)</f>
        <v/>
      </c>
      <c r="R309" s="80">
        <f>IF($I309&gt;0,MAX(0,$G309*SIN(RADIANS('13_시나리오비교'!$B$7))*SIN(RADIANS('13_시나리오비교'!$C$7))+$H309*SIN(RADIANS('13_시나리오비교'!$B$7))*COS(RADIANS('13_시나리오비교'!$C$7))+$I309*COS(RADIANS('13_시나리오비교'!$B$7))),0)</f>
        <v/>
      </c>
      <c r="S309" s="80">
        <f>IF($I309&gt;0,MAX(0,$G309*SIN(RADIANS('13_시나리오비교'!$B$8))*SIN(RADIANS('13_시나리오비교'!$C$8))+$H309*SIN(RADIANS('13_시나리오비교'!$B$8))*COS(RADIANS('13_시나리오비교'!$C$8))+$I309*COS(RADIANS('13_시나리오비교'!$B$8))),0)</f>
        <v/>
      </c>
      <c r="T309" s="80">
        <f>IF($I309&gt;0,MAX(0,$G309*SIN(RADIANS('13_시나리오비교'!$B$9))*SIN(RADIANS('13_시나리오비교'!$C$9))+$H309*SIN(RADIANS('13_시나리오비교'!$B$9))*COS(RADIANS('13_시나리오비교'!$C$9))+$I309*COS(RADIANS('13_시나리오비교'!$B$9))),0)</f>
        <v/>
      </c>
      <c r="U309" s="80">
        <f>IF($I309&gt;0,MAX(0,$G309*SIN(RADIANS('13_시나리오비교'!$B$10))*SIN(RADIANS('13_시나리오비교'!$C$10))+$H309*SIN(RADIANS('13_시나리오비교'!$B$10))*COS(RADIANS('13_시나리오비교'!$C$10))+$I309*COS(RADIANS('13_시나리오비교'!$B$10))),0)</f>
        <v/>
      </c>
      <c r="V309" s="80">
        <f>IF($I309&gt;0,MAX(0,$G309*SIN(RADIANS('13_시나리오비교'!$B$11))*SIN(RADIANS('13_시나리오비교'!$C$11))+$H309*SIN(RADIANS('13_시나리오비교'!$B$11))*COS(RADIANS('13_시나리오비교'!$C$11))+$I309*COS(RADIANS('13_시나리오비교'!$B$11))),0)</f>
        <v/>
      </c>
      <c r="W309" s="80">
        <f>IF($I309&gt;0,MAX(0,$G309*SIN(RADIANS('13_시나리오비교'!$B$12))*SIN(RADIANS('13_시나리오비교'!$C$12))+$H309*SIN(RADIANS('13_시나리오비교'!$B$12))*COS(RADIANS('13_시나리오비교'!$C$12))+$I309*COS(RADIANS('13_시나리오비교'!$B$12))),0)</f>
        <v/>
      </c>
      <c r="X309" s="80">
        <f>IF($I309&gt;0,MAX(0,$G309*SIN(RADIANS('13_시나리오비교'!$B$13))*SIN(RADIANS('13_시나리오비교'!$C$13))+$H309*SIN(RADIANS('13_시나리오비교'!$B$13))*COS(RADIANS('13_시나리오비교'!$C$13))+$I309*COS(RADIANS('13_시나리오비교'!$B$13))),0)</f>
        <v/>
      </c>
      <c r="Y309" s="80">
        <f>IF($I309&gt;0,MAX(0,$G309*SIN(RADIANS('13_시나리오비교'!$B$14))*SIN(RADIANS('13_시나리오비교'!$C$14))+$H309*SIN(RADIANS('13_시나리오비교'!$B$14))*COS(RADIANS('13_시나리오비교'!$C$14))+$I309*COS(RADIANS('13_시나리오비교'!$B$14))),0)</f>
        <v/>
      </c>
    </row>
    <row r="310" hidden="1" outlineLevel="1">
      <c r="A310" s="79" t="n">
        <v>4</v>
      </c>
      <c r="B310" s="79" t="n">
        <v>2</v>
      </c>
      <c r="C310" s="80">
        <f>(B310-0.5)*'14_지역·상수'!$H$6</f>
        <v/>
      </c>
      <c r="D310" s="79" t="n">
        <v>105</v>
      </c>
      <c r="E310" s="80">
        <f>INDEX($C$4:$C$15,MATCH(A310,$A$4:$A$15,0))</f>
        <v/>
      </c>
      <c r="F310" s="80">
        <f>15*(C310-12)</f>
        <v/>
      </c>
      <c r="G310" s="80">
        <f>-COS(RADIANS(E310))*SIN(RADIANS(F310))</f>
        <v/>
      </c>
      <c r="H310" s="80">
        <f>COS(RADIANS('11_발전량_모델'!$B$17))*SIN(RADIANS(E310))-SIN(RADIANS('11_발전량_모델'!$B$17))*COS(RADIANS(E310))*COS(RADIANS(F310))</f>
        <v/>
      </c>
      <c r="I310" s="80">
        <f>SIN(RADIANS('11_발전량_모델'!$B$17))*SIN(RADIANS(E310))+COS(RADIANS('11_발전량_모델'!$B$17))*COS(RADIANS(E310))*COS(RADIANS(F310))</f>
        <v/>
      </c>
      <c r="J310" s="80">
        <f>SIN(RADIANS('11_발전량_모델'!$B$7))*SIN(RADIANS('11_발전량_모델'!$B$8))</f>
        <v/>
      </c>
      <c r="K310" s="80">
        <f>SIN(RADIANS('11_발전량_모델'!$B$7))*COS(RADIANS('11_발전량_모델'!$B$8))</f>
        <v/>
      </c>
      <c r="L310" s="80">
        <f>COS(RADIANS('11_발전량_모델'!$B$7))</f>
        <v/>
      </c>
      <c r="M310" s="80">
        <f>G310*J310+H310*K310+I310*L310</f>
        <v/>
      </c>
      <c r="N310" s="80">
        <f>MAX(0,I310)</f>
        <v/>
      </c>
      <c r="O310" s="80">
        <f>IF(I310&gt;0,MAX(0,M310),0)</f>
        <v/>
      </c>
      <c r="P310" s="80">
        <f>IF($I310&gt;0,MAX(0,$G310*SIN(RADIANS('13_시나리오비교'!$B$5))*SIN(RADIANS('13_시나리오비교'!$C$5))+$H310*SIN(RADIANS('13_시나리오비교'!$B$5))*COS(RADIANS('13_시나리오비교'!$C$5))+$I310*COS(RADIANS('13_시나리오비교'!$B$5))),0)</f>
        <v/>
      </c>
      <c r="Q310" s="80">
        <f>IF($I310&gt;0,MAX(0,$G310*SIN(RADIANS('13_시나리오비교'!$B$6))*SIN(RADIANS('13_시나리오비교'!$C$6))+$H310*SIN(RADIANS('13_시나리오비교'!$B$6))*COS(RADIANS('13_시나리오비교'!$C$6))+$I310*COS(RADIANS('13_시나리오비교'!$B$6))),0)</f>
        <v/>
      </c>
      <c r="R310" s="80">
        <f>IF($I310&gt;0,MAX(0,$G310*SIN(RADIANS('13_시나리오비교'!$B$7))*SIN(RADIANS('13_시나리오비교'!$C$7))+$H310*SIN(RADIANS('13_시나리오비교'!$B$7))*COS(RADIANS('13_시나리오비교'!$C$7))+$I310*COS(RADIANS('13_시나리오비교'!$B$7))),0)</f>
        <v/>
      </c>
      <c r="S310" s="80">
        <f>IF($I310&gt;0,MAX(0,$G310*SIN(RADIANS('13_시나리오비교'!$B$8))*SIN(RADIANS('13_시나리오비교'!$C$8))+$H310*SIN(RADIANS('13_시나리오비교'!$B$8))*COS(RADIANS('13_시나리오비교'!$C$8))+$I310*COS(RADIANS('13_시나리오비교'!$B$8))),0)</f>
        <v/>
      </c>
      <c r="T310" s="80">
        <f>IF($I310&gt;0,MAX(0,$G310*SIN(RADIANS('13_시나리오비교'!$B$9))*SIN(RADIANS('13_시나리오비교'!$C$9))+$H310*SIN(RADIANS('13_시나리오비교'!$B$9))*COS(RADIANS('13_시나리오비교'!$C$9))+$I310*COS(RADIANS('13_시나리오비교'!$B$9))),0)</f>
        <v/>
      </c>
      <c r="U310" s="80">
        <f>IF($I310&gt;0,MAX(0,$G310*SIN(RADIANS('13_시나리오비교'!$B$10))*SIN(RADIANS('13_시나리오비교'!$C$10))+$H310*SIN(RADIANS('13_시나리오비교'!$B$10))*COS(RADIANS('13_시나리오비교'!$C$10))+$I310*COS(RADIANS('13_시나리오비교'!$B$10))),0)</f>
        <v/>
      </c>
      <c r="V310" s="80">
        <f>IF($I310&gt;0,MAX(0,$G310*SIN(RADIANS('13_시나리오비교'!$B$11))*SIN(RADIANS('13_시나리오비교'!$C$11))+$H310*SIN(RADIANS('13_시나리오비교'!$B$11))*COS(RADIANS('13_시나리오비교'!$C$11))+$I310*COS(RADIANS('13_시나리오비교'!$B$11))),0)</f>
        <v/>
      </c>
      <c r="W310" s="80">
        <f>IF($I310&gt;0,MAX(0,$G310*SIN(RADIANS('13_시나리오비교'!$B$12))*SIN(RADIANS('13_시나리오비교'!$C$12))+$H310*SIN(RADIANS('13_시나리오비교'!$B$12))*COS(RADIANS('13_시나리오비교'!$C$12))+$I310*COS(RADIANS('13_시나리오비교'!$B$12))),0)</f>
        <v/>
      </c>
      <c r="X310" s="80">
        <f>IF($I310&gt;0,MAX(0,$G310*SIN(RADIANS('13_시나리오비교'!$B$13))*SIN(RADIANS('13_시나리오비교'!$C$13))+$H310*SIN(RADIANS('13_시나리오비교'!$B$13))*COS(RADIANS('13_시나리오비교'!$C$13))+$I310*COS(RADIANS('13_시나리오비교'!$B$13))),0)</f>
        <v/>
      </c>
      <c r="Y310" s="80">
        <f>IF($I310&gt;0,MAX(0,$G310*SIN(RADIANS('13_시나리오비교'!$B$14))*SIN(RADIANS('13_시나리오비교'!$C$14))+$H310*SIN(RADIANS('13_시나리오비교'!$B$14))*COS(RADIANS('13_시나리오비교'!$C$14))+$I310*COS(RADIANS('13_시나리오비교'!$B$14))),0)</f>
        <v/>
      </c>
    </row>
    <row r="311" hidden="1" outlineLevel="1">
      <c r="A311" s="79" t="n">
        <v>4</v>
      </c>
      <c r="B311" s="79" t="n">
        <v>3</v>
      </c>
      <c r="C311" s="80">
        <f>(B311-0.5)*'14_지역·상수'!$H$6</f>
        <v/>
      </c>
      <c r="D311" s="79" t="n">
        <v>105</v>
      </c>
      <c r="E311" s="80">
        <f>INDEX($C$4:$C$15,MATCH(A311,$A$4:$A$15,0))</f>
        <v/>
      </c>
      <c r="F311" s="80">
        <f>15*(C311-12)</f>
        <v/>
      </c>
      <c r="G311" s="80">
        <f>-COS(RADIANS(E311))*SIN(RADIANS(F311))</f>
        <v/>
      </c>
      <c r="H311" s="80">
        <f>COS(RADIANS('11_발전량_모델'!$B$17))*SIN(RADIANS(E311))-SIN(RADIANS('11_발전량_모델'!$B$17))*COS(RADIANS(E311))*COS(RADIANS(F311))</f>
        <v/>
      </c>
      <c r="I311" s="80">
        <f>SIN(RADIANS('11_발전량_모델'!$B$17))*SIN(RADIANS(E311))+COS(RADIANS('11_발전량_모델'!$B$17))*COS(RADIANS(E311))*COS(RADIANS(F311))</f>
        <v/>
      </c>
      <c r="J311" s="80">
        <f>SIN(RADIANS('11_발전량_모델'!$B$7))*SIN(RADIANS('11_발전량_모델'!$B$8))</f>
        <v/>
      </c>
      <c r="K311" s="80">
        <f>SIN(RADIANS('11_발전량_모델'!$B$7))*COS(RADIANS('11_발전량_모델'!$B$8))</f>
        <v/>
      </c>
      <c r="L311" s="80">
        <f>COS(RADIANS('11_발전량_모델'!$B$7))</f>
        <v/>
      </c>
      <c r="M311" s="80">
        <f>G311*J311+H311*K311+I311*L311</f>
        <v/>
      </c>
      <c r="N311" s="80">
        <f>MAX(0,I311)</f>
        <v/>
      </c>
      <c r="O311" s="80">
        <f>IF(I311&gt;0,MAX(0,M311),0)</f>
        <v/>
      </c>
      <c r="P311" s="80">
        <f>IF($I311&gt;0,MAX(0,$G311*SIN(RADIANS('13_시나리오비교'!$B$5))*SIN(RADIANS('13_시나리오비교'!$C$5))+$H311*SIN(RADIANS('13_시나리오비교'!$B$5))*COS(RADIANS('13_시나리오비교'!$C$5))+$I311*COS(RADIANS('13_시나리오비교'!$B$5))),0)</f>
        <v/>
      </c>
      <c r="Q311" s="80">
        <f>IF($I311&gt;0,MAX(0,$G311*SIN(RADIANS('13_시나리오비교'!$B$6))*SIN(RADIANS('13_시나리오비교'!$C$6))+$H311*SIN(RADIANS('13_시나리오비교'!$B$6))*COS(RADIANS('13_시나리오비교'!$C$6))+$I311*COS(RADIANS('13_시나리오비교'!$B$6))),0)</f>
        <v/>
      </c>
      <c r="R311" s="80">
        <f>IF($I311&gt;0,MAX(0,$G311*SIN(RADIANS('13_시나리오비교'!$B$7))*SIN(RADIANS('13_시나리오비교'!$C$7))+$H311*SIN(RADIANS('13_시나리오비교'!$B$7))*COS(RADIANS('13_시나리오비교'!$C$7))+$I311*COS(RADIANS('13_시나리오비교'!$B$7))),0)</f>
        <v/>
      </c>
      <c r="S311" s="80">
        <f>IF($I311&gt;0,MAX(0,$G311*SIN(RADIANS('13_시나리오비교'!$B$8))*SIN(RADIANS('13_시나리오비교'!$C$8))+$H311*SIN(RADIANS('13_시나리오비교'!$B$8))*COS(RADIANS('13_시나리오비교'!$C$8))+$I311*COS(RADIANS('13_시나리오비교'!$B$8))),0)</f>
        <v/>
      </c>
      <c r="T311" s="80">
        <f>IF($I311&gt;0,MAX(0,$G311*SIN(RADIANS('13_시나리오비교'!$B$9))*SIN(RADIANS('13_시나리오비교'!$C$9))+$H311*SIN(RADIANS('13_시나리오비교'!$B$9))*COS(RADIANS('13_시나리오비교'!$C$9))+$I311*COS(RADIANS('13_시나리오비교'!$B$9))),0)</f>
        <v/>
      </c>
      <c r="U311" s="80">
        <f>IF($I311&gt;0,MAX(0,$G311*SIN(RADIANS('13_시나리오비교'!$B$10))*SIN(RADIANS('13_시나리오비교'!$C$10))+$H311*SIN(RADIANS('13_시나리오비교'!$B$10))*COS(RADIANS('13_시나리오비교'!$C$10))+$I311*COS(RADIANS('13_시나리오비교'!$B$10))),0)</f>
        <v/>
      </c>
      <c r="V311" s="80">
        <f>IF($I311&gt;0,MAX(0,$G311*SIN(RADIANS('13_시나리오비교'!$B$11))*SIN(RADIANS('13_시나리오비교'!$C$11))+$H311*SIN(RADIANS('13_시나리오비교'!$B$11))*COS(RADIANS('13_시나리오비교'!$C$11))+$I311*COS(RADIANS('13_시나리오비교'!$B$11))),0)</f>
        <v/>
      </c>
      <c r="W311" s="80">
        <f>IF($I311&gt;0,MAX(0,$G311*SIN(RADIANS('13_시나리오비교'!$B$12))*SIN(RADIANS('13_시나리오비교'!$C$12))+$H311*SIN(RADIANS('13_시나리오비교'!$B$12))*COS(RADIANS('13_시나리오비교'!$C$12))+$I311*COS(RADIANS('13_시나리오비교'!$B$12))),0)</f>
        <v/>
      </c>
      <c r="X311" s="80">
        <f>IF($I311&gt;0,MAX(0,$G311*SIN(RADIANS('13_시나리오비교'!$B$13))*SIN(RADIANS('13_시나리오비교'!$C$13))+$H311*SIN(RADIANS('13_시나리오비교'!$B$13))*COS(RADIANS('13_시나리오비교'!$C$13))+$I311*COS(RADIANS('13_시나리오비교'!$B$13))),0)</f>
        <v/>
      </c>
      <c r="Y311" s="80">
        <f>IF($I311&gt;0,MAX(0,$G311*SIN(RADIANS('13_시나리오비교'!$B$14))*SIN(RADIANS('13_시나리오비교'!$C$14))+$H311*SIN(RADIANS('13_시나리오비교'!$B$14))*COS(RADIANS('13_시나리오비교'!$C$14))+$I311*COS(RADIANS('13_시나리오비교'!$B$14))),0)</f>
        <v/>
      </c>
    </row>
    <row r="312" hidden="1" outlineLevel="1">
      <c r="A312" s="79" t="n">
        <v>4</v>
      </c>
      <c r="B312" s="79" t="n">
        <v>4</v>
      </c>
      <c r="C312" s="80">
        <f>(B312-0.5)*'14_지역·상수'!$H$6</f>
        <v/>
      </c>
      <c r="D312" s="79" t="n">
        <v>105</v>
      </c>
      <c r="E312" s="80">
        <f>INDEX($C$4:$C$15,MATCH(A312,$A$4:$A$15,0))</f>
        <v/>
      </c>
      <c r="F312" s="80">
        <f>15*(C312-12)</f>
        <v/>
      </c>
      <c r="G312" s="80">
        <f>-COS(RADIANS(E312))*SIN(RADIANS(F312))</f>
        <v/>
      </c>
      <c r="H312" s="80">
        <f>COS(RADIANS('11_발전량_모델'!$B$17))*SIN(RADIANS(E312))-SIN(RADIANS('11_발전량_모델'!$B$17))*COS(RADIANS(E312))*COS(RADIANS(F312))</f>
        <v/>
      </c>
      <c r="I312" s="80">
        <f>SIN(RADIANS('11_발전량_모델'!$B$17))*SIN(RADIANS(E312))+COS(RADIANS('11_발전량_모델'!$B$17))*COS(RADIANS(E312))*COS(RADIANS(F312))</f>
        <v/>
      </c>
      <c r="J312" s="80">
        <f>SIN(RADIANS('11_발전량_모델'!$B$7))*SIN(RADIANS('11_발전량_모델'!$B$8))</f>
        <v/>
      </c>
      <c r="K312" s="80">
        <f>SIN(RADIANS('11_발전량_모델'!$B$7))*COS(RADIANS('11_발전량_모델'!$B$8))</f>
        <v/>
      </c>
      <c r="L312" s="80">
        <f>COS(RADIANS('11_발전량_모델'!$B$7))</f>
        <v/>
      </c>
      <c r="M312" s="80">
        <f>G312*J312+H312*K312+I312*L312</f>
        <v/>
      </c>
      <c r="N312" s="80">
        <f>MAX(0,I312)</f>
        <v/>
      </c>
      <c r="O312" s="80">
        <f>IF(I312&gt;0,MAX(0,M312),0)</f>
        <v/>
      </c>
      <c r="P312" s="80">
        <f>IF($I312&gt;0,MAX(0,$G312*SIN(RADIANS('13_시나리오비교'!$B$5))*SIN(RADIANS('13_시나리오비교'!$C$5))+$H312*SIN(RADIANS('13_시나리오비교'!$B$5))*COS(RADIANS('13_시나리오비교'!$C$5))+$I312*COS(RADIANS('13_시나리오비교'!$B$5))),0)</f>
        <v/>
      </c>
      <c r="Q312" s="80">
        <f>IF($I312&gt;0,MAX(0,$G312*SIN(RADIANS('13_시나리오비교'!$B$6))*SIN(RADIANS('13_시나리오비교'!$C$6))+$H312*SIN(RADIANS('13_시나리오비교'!$B$6))*COS(RADIANS('13_시나리오비교'!$C$6))+$I312*COS(RADIANS('13_시나리오비교'!$B$6))),0)</f>
        <v/>
      </c>
      <c r="R312" s="80">
        <f>IF($I312&gt;0,MAX(0,$G312*SIN(RADIANS('13_시나리오비교'!$B$7))*SIN(RADIANS('13_시나리오비교'!$C$7))+$H312*SIN(RADIANS('13_시나리오비교'!$B$7))*COS(RADIANS('13_시나리오비교'!$C$7))+$I312*COS(RADIANS('13_시나리오비교'!$B$7))),0)</f>
        <v/>
      </c>
      <c r="S312" s="80">
        <f>IF($I312&gt;0,MAX(0,$G312*SIN(RADIANS('13_시나리오비교'!$B$8))*SIN(RADIANS('13_시나리오비교'!$C$8))+$H312*SIN(RADIANS('13_시나리오비교'!$B$8))*COS(RADIANS('13_시나리오비교'!$C$8))+$I312*COS(RADIANS('13_시나리오비교'!$B$8))),0)</f>
        <v/>
      </c>
      <c r="T312" s="80">
        <f>IF($I312&gt;0,MAX(0,$G312*SIN(RADIANS('13_시나리오비교'!$B$9))*SIN(RADIANS('13_시나리오비교'!$C$9))+$H312*SIN(RADIANS('13_시나리오비교'!$B$9))*COS(RADIANS('13_시나리오비교'!$C$9))+$I312*COS(RADIANS('13_시나리오비교'!$B$9))),0)</f>
        <v/>
      </c>
      <c r="U312" s="80">
        <f>IF($I312&gt;0,MAX(0,$G312*SIN(RADIANS('13_시나리오비교'!$B$10))*SIN(RADIANS('13_시나리오비교'!$C$10))+$H312*SIN(RADIANS('13_시나리오비교'!$B$10))*COS(RADIANS('13_시나리오비교'!$C$10))+$I312*COS(RADIANS('13_시나리오비교'!$B$10))),0)</f>
        <v/>
      </c>
      <c r="V312" s="80">
        <f>IF($I312&gt;0,MAX(0,$G312*SIN(RADIANS('13_시나리오비교'!$B$11))*SIN(RADIANS('13_시나리오비교'!$C$11))+$H312*SIN(RADIANS('13_시나리오비교'!$B$11))*COS(RADIANS('13_시나리오비교'!$C$11))+$I312*COS(RADIANS('13_시나리오비교'!$B$11))),0)</f>
        <v/>
      </c>
      <c r="W312" s="80">
        <f>IF($I312&gt;0,MAX(0,$G312*SIN(RADIANS('13_시나리오비교'!$B$12))*SIN(RADIANS('13_시나리오비교'!$C$12))+$H312*SIN(RADIANS('13_시나리오비교'!$B$12))*COS(RADIANS('13_시나리오비교'!$C$12))+$I312*COS(RADIANS('13_시나리오비교'!$B$12))),0)</f>
        <v/>
      </c>
      <c r="X312" s="80">
        <f>IF($I312&gt;0,MAX(0,$G312*SIN(RADIANS('13_시나리오비교'!$B$13))*SIN(RADIANS('13_시나리오비교'!$C$13))+$H312*SIN(RADIANS('13_시나리오비교'!$B$13))*COS(RADIANS('13_시나리오비교'!$C$13))+$I312*COS(RADIANS('13_시나리오비교'!$B$13))),0)</f>
        <v/>
      </c>
      <c r="Y312" s="80">
        <f>IF($I312&gt;0,MAX(0,$G312*SIN(RADIANS('13_시나리오비교'!$B$14))*SIN(RADIANS('13_시나리오비교'!$C$14))+$H312*SIN(RADIANS('13_시나리오비교'!$B$14))*COS(RADIANS('13_시나리오비교'!$C$14))+$I312*COS(RADIANS('13_시나리오비교'!$B$14))),0)</f>
        <v/>
      </c>
    </row>
    <row r="313" hidden="1" outlineLevel="1">
      <c r="A313" s="79" t="n">
        <v>4</v>
      </c>
      <c r="B313" s="79" t="n">
        <v>5</v>
      </c>
      <c r="C313" s="80">
        <f>(B313-0.5)*'14_지역·상수'!$H$6</f>
        <v/>
      </c>
      <c r="D313" s="79" t="n">
        <v>105</v>
      </c>
      <c r="E313" s="80">
        <f>INDEX($C$4:$C$15,MATCH(A313,$A$4:$A$15,0))</f>
        <v/>
      </c>
      <c r="F313" s="80">
        <f>15*(C313-12)</f>
        <v/>
      </c>
      <c r="G313" s="80">
        <f>-COS(RADIANS(E313))*SIN(RADIANS(F313))</f>
        <v/>
      </c>
      <c r="H313" s="80">
        <f>COS(RADIANS('11_발전량_모델'!$B$17))*SIN(RADIANS(E313))-SIN(RADIANS('11_발전량_모델'!$B$17))*COS(RADIANS(E313))*COS(RADIANS(F313))</f>
        <v/>
      </c>
      <c r="I313" s="80">
        <f>SIN(RADIANS('11_발전량_모델'!$B$17))*SIN(RADIANS(E313))+COS(RADIANS('11_발전량_모델'!$B$17))*COS(RADIANS(E313))*COS(RADIANS(F313))</f>
        <v/>
      </c>
      <c r="J313" s="80">
        <f>SIN(RADIANS('11_발전량_모델'!$B$7))*SIN(RADIANS('11_발전량_모델'!$B$8))</f>
        <v/>
      </c>
      <c r="K313" s="80">
        <f>SIN(RADIANS('11_발전량_모델'!$B$7))*COS(RADIANS('11_발전량_모델'!$B$8))</f>
        <v/>
      </c>
      <c r="L313" s="80">
        <f>COS(RADIANS('11_발전량_모델'!$B$7))</f>
        <v/>
      </c>
      <c r="M313" s="80">
        <f>G313*J313+H313*K313+I313*L313</f>
        <v/>
      </c>
      <c r="N313" s="80">
        <f>MAX(0,I313)</f>
        <v/>
      </c>
      <c r="O313" s="80">
        <f>IF(I313&gt;0,MAX(0,M313),0)</f>
        <v/>
      </c>
      <c r="P313" s="80">
        <f>IF($I313&gt;0,MAX(0,$G313*SIN(RADIANS('13_시나리오비교'!$B$5))*SIN(RADIANS('13_시나리오비교'!$C$5))+$H313*SIN(RADIANS('13_시나리오비교'!$B$5))*COS(RADIANS('13_시나리오비교'!$C$5))+$I313*COS(RADIANS('13_시나리오비교'!$B$5))),0)</f>
        <v/>
      </c>
      <c r="Q313" s="80">
        <f>IF($I313&gt;0,MAX(0,$G313*SIN(RADIANS('13_시나리오비교'!$B$6))*SIN(RADIANS('13_시나리오비교'!$C$6))+$H313*SIN(RADIANS('13_시나리오비교'!$B$6))*COS(RADIANS('13_시나리오비교'!$C$6))+$I313*COS(RADIANS('13_시나리오비교'!$B$6))),0)</f>
        <v/>
      </c>
      <c r="R313" s="80">
        <f>IF($I313&gt;0,MAX(0,$G313*SIN(RADIANS('13_시나리오비교'!$B$7))*SIN(RADIANS('13_시나리오비교'!$C$7))+$H313*SIN(RADIANS('13_시나리오비교'!$B$7))*COS(RADIANS('13_시나리오비교'!$C$7))+$I313*COS(RADIANS('13_시나리오비교'!$B$7))),0)</f>
        <v/>
      </c>
      <c r="S313" s="80">
        <f>IF($I313&gt;0,MAX(0,$G313*SIN(RADIANS('13_시나리오비교'!$B$8))*SIN(RADIANS('13_시나리오비교'!$C$8))+$H313*SIN(RADIANS('13_시나리오비교'!$B$8))*COS(RADIANS('13_시나리오비교'!$C$8))+$I313*COS(RADIANS('13_시나리오비교'!$B$8))),0)</f>
        <v/>
      </c>
      <c r="T313" s="80">
        <f>IF($I313&gt;0,MAX(0,$G313*SIN(RADIANS('13_시나리오비교'!$B$9))*SIN(RADIANS('13_시나리오비교'!$C$9))+$H313*SIN(RADIANS('13_시나리오비교'!$B$9))*COS(RADIANS('13_시나리오비교'!$C$9))+$I313*COS(RADIANS('13_시나리오비교'!$B$9))),0)</f>
        <v/>
      </c>
      <c r="U313" s="80">
        <f>IF($I313&gt;0,MAX(0,$G313*SIN(RADIANS('13_시나리오비교'!$B$10))*SIN(RADIANS('13_시나리오비교'!$C$10))+$H313*SIN(RADIANS('13_시나리오비교'!$B$10))*COS(RADIANS('13_시나리오비교'!$C$10))+$I313*COS(RADIANS('13_시나리오비교'!$B$10))),0)</f>
        <v/>
      </c>
      <c r="V313" s="80">
        <f>IF($I313&gt;0,MAX(0,$G313*SIN(RADIANS('13_시나리오비교'!$B$11))*SIN(RADIANS('13_시나리오비교'!$C$11))+$H313*SIN(RADIANS('13_시나리오비교'!$B$11))*COS(RADIANS('13_시나리오비교'!$C$11))+$I313*COS(RADIANS('13_시나리오비교'!$B$11))),0)</f>
        <v/>
      </c>
      <c r="W313" s="80">
        <f>IF($I313&gt;0,MAX(0,$G313*SIN(RADIANS('13_시나리오비교'!$B$12))*SIN(RADIANS('13_시나리오비교'!$C$12))+$H313*SIN(RADIANS('13_시나리오비교'!$B$12))*COS(RADIANS('13_시나리오비교'!$C$12))+$I313*COS(RADIANS('13_시나리오비교'!$B$12))),0)</f>
        <v/>
      </c>
      <c r="X313" s="80">
        <f>IF($I313&gt;0,MAX(0,$G313*SIN(RADIANS('13_시나리오비교'!$B$13))*SIN(RADIANS('13_시나리오비교'!$C$13))+$H313*SIN(RADIANS('13_시나리오비교'!$B$13))*COS(RADIANS('13_시나리오비교'!$C$13))+$I313*COS(RADIANS('13_시나리오비교'!$B$13))),0)</f>
        <v/>
      </c>
      <c r="Y313" s="80">
        <f>IF($I313&gt;0,MAX(0,$G313*SIN(RADIANS('13_시나리오비교'!$B$14))*SIN(RADIANS('13_시나리오비교'!$C$14))+$H313*SIN(RADIANS('13_시나리오비교'!$B$14))*COS(RADIANS('13_시나리오비교'!$C$14))+$I313*COS(RADIANS('13_시나리오비교'!$B$14))),0)</f>
        <v/>
      </c>
    </row>
    <row r="314" hidden="1" outlineLevel="1">
      <c r="A314" s="79" t="n">
        <v>4</v>
      </c>
      <c r="B314" s="79" t="n">
        <v>6</v>
      </c>
      <c r="C314" s="80">
        <f>(B314-0.5)*'14_지역·상수'!$H$6</f>
        <v/>
      </c>
      <c r="D314" s="79" t="n">
        <v>105</v>
      </c>
      <c r="E314" s="80">
        <f>INDEX($C$4:$C$15,MATCH(A314,$A$4:$A$15,0))</f>
        <v/>
      </c>
      <c r="F314" s="80">
        <f>15*(C314-12)</f>
        <v/>
      </c>
      <c r="G314" s="80">
        <f>-COS(RADIANS(E314))*SIN(RADIANS(F314))</f>
        <v/>
      </c>
      <c r="H314" s="80">
        <f>COS(RADIANS('11_발전량_모델'!$B$17))*SIN(RADIANS(E314))-SIN(RADIANS('11_발전량_모델'!$B$17))*COS(RADIANS(E314))*COS(RADIANS(F314))</f>
        <v/>
      </c>
      <c r="I314" s="80">
        <f>SIN(RADIANS('11_발전량_모델'!$B$17))*SIN(RADIANS(E314))+COS(RADIANS('11_발전량_모델'!$B$17))*COS(RADIANS(E314))*COS(RADIANS(F314))</f>
        <v/>
      </c>
      <c r="J314" s="80">
        <f>SIN(RADIANS('11_발전량_모델'!$B$7))*SIN(RADIANS('11_발전량_모델'!$B$8))</f>
        <v/>
      </c>
      <c r="K314" s="80">
        <f>SIN(RADIANS('11_발전량_모델'!$B$7))*COS(RADIANS('11_발전량_모델'!$B$8))</f>
        <v/>
      </c>
      <c r="L314" s="80">
        <f>COS(RADIANS('11_발전량_모델'!$B$7))</f>
        <v/>
      </c>
      <c r="M314" s="80">
        <f>G314*J314+H314*K314+I314*L314</f>
        <v/>
      </c>
      <c r="N314" s="80">
        <f>MAX(0,I314)</f>
        <v/>
      </c>
      <c r="O314" s="80">
        <f>IF(I314&gt;0,MAX(0,M314),0)</f>
        <v/>
      </c>
      <c r="P314" s="80">
        <f>IF($I314&gt;0,MAX(0,$G314*SIN(RADIANS('13_시나리오비교'!$B$5))*SIN(RADIANS('13_시나리오비교'!$C$5))+$H314*SIN(RADIANS('13_시나리오비교'!$B$5))*COS(RADIANS('13_시나리오비교'!$C$5))+$I314*COS(RADIANS('13_시나리오비교'!$B$5))),0)</f>
        <v/>
      </c>
      <c r="Q314" s="80">
        <f>IF($I314&gt;0,MAX(0,$G314*SIN(RADIANS('13_시나리오비교'!$B$6))*SIN(RADIANS('13_시나리오비교'!$C$6))+$H314*SIN(RADIANS('13_시나리오비교'!$B$6))*COS(RADIANS('13_시나리오비교'!$C$6))+$I314*COS(RADIANS('13_시나리오비교'!$B$6))),0)</f>
        <v/>
      </c>
      <c r="R314" s="80">
        <f>IF($I314&gt;0,MAX(0,$G314*SIN(RADIANS('13_시나리오비교'!$B$7))*SIN(RADIANS('13_시나리오비교'!$C$7))+$H314*SIN(RADIANS('13_시나리오비교'!$B$7))*COS(RADIANS('13_시나리오비교'!$C$7))+$I314*COS(RADIANS('13_시나리오비교'!$B$7))),0)</f>
        <v/>
      </c>
      <c r="S314" s="80">
        <f>IF($I314&gt;0,MAX(0,$G314*SIN(RADIANS('13_시나리오비교'!$B$8))*SIN(RADIANS('13_시나리오비교'!$C$8))+$H314*SIN(RADIANS('13_시나리오비교'!$B$8))*COS(RADIANS('13_시나리오비교'!$C$8))+$I314*COS(RADIANS('13_시나리오비교'!$B$8))),0)</f>
        <v/>
      </c>
      <c r="T314" s="80">
        <f>IF($I314&gt;0,MAX(0,$G314*SIN(RADIANS('13_시나리오비교'!$B$9))*SIN(RADIANS('13_시나리오비교'!$C$9))+$H314*SIN(RADIANS('13_시나리오비교'!$B$9))*COS(RADIANS('13_시나리오비교'!$C$9))+$I314*COS(RADIANS('13_시나리오비교'!$B$9))),0)</f>
        <v/>
      </c>
      <c r="U314" s="80">
        <f>IF($I314&gt;0,MAX(0,$G314*SIN(RADIANS('13_시나리오비교'!$B$10))*SIN(RADIANS('13_시나리오비교'!$C$10))+$H314*SIN(RADIANS('13_시나리오비교'!$B$10))*COS(RADIANS('13_시나리오비교'!$C$10))+$I314*COS(RADIANS('13_시나리오비교'!$B$10))),0)</f>
        <v/>
      </c>
      <c r="V314" s="80">
        <f>IF($I314&gt;0,MAX(0,$G314*SIN(RADIANS('13_시나리오비교'!$B$11))*SIN(RADIANS('13_시나리오비교'!$C$11))+$H314*SIN(RADIANS('13_시나리오비교'!$B$11))*COS(RADIANS('13_시나리오비교'!$C$11))+$I314*COS(RADIANS('13_시나리오비교'!$B$11))),0)</f>
        <v/>
      </c>
      <c r="W314" s="80">
        <f>IF($I314&gt;0,MAX(0,$G314*SIN(RADIANS('13_시나리오비교'!$B$12))*SIN(RADIANS('13_시나리오비교'!$C$12))+$H314*SIN(RADIANS('13_시나리오비교'!$B$12))*COS(RADIANS('13_시나리오비교'!$C$12))+$I314*COS(RADIANS('13_시나리오비교'!$B$12))),0)</f>
        <v/>
      </c>
      <c r="X314" s="80">
        <f>IF($I314&gt;0,MAX(0,$G314*SIN(RADIANS('13_시나리오비교'!$B$13))*SIN(RADIANS('13_시나리오비교'!$C$13))+$H314*SIN(RADIANS('13_시나리오비교'!$B$13))*COS(RADIANS('13_시나리오비교'!$C$13))+$I314*COS(RADIANS('13_시나리오비교'!$B$13))),0)</f>
        <v/>
      </c>
      <c r="Y314" s="80">
        <f>IF($I314&gt;0,MAX(0,$G314*SIN(RADIANS('13_시나리오비교'!$B$14))*SIN(RADIANS('13_시나리오비교'!$C$14))+$H314*SIN(RADIANS('13_시나리오비교'!$B$14))*COS(RADIANS('13_시나리오비교'!$C$14))+$I314*COS(RADIANS('13_시나리오비교'!$B$14))),0)</f>
        <v/>
      </c>
    </row>
    <row r="315" hidden="1" outlineLevel="1">
      <c r="A315" s="79" t="n">
        <v>4</v>
      </c>
      <c r="B315" s="79" t="n">
        <v>7</v>
      </c>
      <c r="C315" s="80">
        <f>(B315-0.5)*'14_지역·상수'!$H$6</f>
        <v/>
      </c>
      <c r="D315" s="79" t="n">
        <v>105</v>
      </c>
      <c r="E315" s="80">
        <f>INDEX($C$4:$C$15,MATCH(A315,$A$4:$A$15,0))</f>
        <v/>
      </c>
      <c r="F315" s="80">
        <f>15*(C315-12)</f>
        <v/>
      </c>
      <c r="G315" s="80">
        <f>-COS(RADIANS(E315))*SIN(RADIANS(F315))</f>
        <v/>
      </c>
      <c r="H315" s="80">
        <f>COS(RADIANS('11_발전량_모델'!$B$17))*SIN(RADIANS(E315))-SIN(RADIANS('11_발전량_모델'!$B$17))*COS(RADIANS(E315))*COS(RADIANS(F315))</f>
        <v/>
      </c>
      <c r="I315" s="80">
        <f>SIN(RADIANS('11_발전량_모델'!$B$17))*SIN(RADIANS(E315))+COS(RADIANS('11_발전량_모델'!$B$17))*COS(RADIANS(E315))*COS(RADIANS(F315))</f>
        <v/>
      </c>
      <c r="J315" s="80">
        <f>SIN(RADIANS('11_발전량_모델'!$B$7))*SIN(RADIANS('11_발전량_모델'!$B$8))</f>
        <v/>
      </c>
      <c r="K315" s="80">
        <f>SIN(RADIANS('11_발전량_모델'!$B$7))*COS(RADIANS('11_발전량_모델'!$B$8))</f>
        <v/>
      </c>
      <c r="L315" s="80">
        <f>COS(RADIANS('11_발전량_모델'!$B$7))</f>
        <v/>
      </c>
      <c r="M315" s="80">
        <f>G315*J315+H315*K315+I315*L315</f>
        <v/>
      </c>
      <c r="N315" s="80">
        <f>MAX(0,I315)</f>
        <v/>
      </c>
      <c r="O315" s="80">
        <f>IF(I315&gt;0,MAX(0,M315),0)</f>
        <v/>
      </c>
      <c r="P315" s="80">
        <f>IF($I315&gt;0,MAX(0,$G315*SIN(RADIANS('13_시나리오비교'!$B$5))*SIN(RADIANS('13_시나리오비교'!$C$5))+$H315*SIN(RADIANS('13_시나리오비교'!$B$5))*COS(RADIANS('13_시나리오비교'!$C$5))+$I315*COS(RADIANS('13_시나리오비교'!$B$5))),0)</f>
        <v/>
      </c>
      <c r="Q315" s="80">
        <f>IF($I315&gt;0,MAX(0,$G315*SIN(RADIANS('13_시나리오비교'!$B$6))*SIN(RADIANS('13_시나리오비교'!$C$6))+$H315*SIN(RADIANS('13_시나리오비교'!$B$6))*COS(RADIANS('13_시나리오비교'!$C$6))+$I315*COS(RADIANS('13_시나리오비교'!$B$6))),0)</f>
        <v/>
      </c>
      <c r="R315" s="80">
        <f>IF($I315&gt;0,MAX(0,$G315*SIN(RADIANS('13_시나리오비교'!$B$7))*SIN(RADIANS('13_시나리오비교'!$C$7))+$H315*SIN(RADIANS('13_시나리오비교'!$B$7))*COS(RADIANS('13_시나리오비교'!$C$7))+$I315*COS(RADIANS('13_시나리오비교'!$B$7))),0)</f>
        <v/>
      </c>
      <c r="S315" s="80">
        <f>IF($I315&gt;0,MAX(0,$G315*SIN(RADIANS('13_시나리오비교'!$B$8))*SIN(RADIANS('13_시나리오비교'!$C$8))+$H315*SIN(RADIANS('13_시나리오비교'!$B$8))*COS(RADIANS('13_시나리오비교'!$C$8))+$I315*COS(RADIANS('13_시나리오비교'!$B$8))),0)</f>
        <v/>
      </c>
      <c r="T315" s="80">
        <f>IF($I315&gt;0,MAX(0,$G315*SIN(RADIANS('13_시나리오비교'!$B$9))*SIN(RADIANS('13_시나리오비교'!$C$9))+$H315*SIN(RADIANS('13_시나리오비교'!$B$9))*COS(RADIANS('13_시나리오비교'!$C$9))+$I315*COS(RADIANS('13_시나리오비교'!$B$9))),0)</f>
        <v/>
      </c>
      <c r="U315" s="80">
        <f>IF($I315&gt;0,MAX(0,$G315*SIN(RADIANS('13_시나리오비교'!$B$10))*SIN(RADIANS('13_시나리오비교'!$C$10))+$H315*SIN(RADIANS('13_시나리오비교'!$B$10))*COS(RADIANS('13_시나리오비교'!$C$10))+$I315*COS(RADIANS('13_시나리오비교'!$B$10))),0)</f>
        <v/>
      </c>
      <c r="V315" s="80">
        <f>IF($I315&gt;0,MAX(0,$G315*SIN(RADIANS('13_시나리오비교'!$B$11))*SIN(RADIANS('13_시나리오비교'!$C$11))+$H315*SIN(RADIANS('13_시나리오비교'!$B$11))*COS(RADIANS('13_시나리오비교'!$C$11))+$I315*COS(RADIANS('13_시나리오비교'!$B$11))),0)</f>
        <v/>
      </c>
      <c r="W315" s="80">
        <f>IF($I315&gt;0,MAX(0,$G315*SIN(RADIANS('13_시나리오비교'!$B$12))*SIN(RADIANS('13_시나리오비교'!$C$12))+$H315*SIN(RADIANS('13_시나리오비교'!$B$12))*COS(RADIANS('13_시나리오비교'!$C$12))+$I315*COS(RADIANS('13_시나리오비교'!$B$12))),0)</f>
        <v/>
      </c>
      <c r="X315" s="80">
        <f>IF($I315&gt;0,MAX(0,$G315*SIN(RADIANS('13_시나리오비교'!$B$13))*SIN(RADIANS('13_시나리오비교'!$C$13))+$H315*SIN(RADIANS('13_시나리오비교'!$B$13))*COS(RADIANS('13_시나리오비교'!$C$13))+$I315*COS(RADIANS('13_시나리오비교'!$B$13))),0)</f>
        <v/>
      </c>
      <c r="Y315" s="80">
        <f>IF($I315&gt;0,MAX(0,$G315*SIN(RADIANS('13_시나리오비교'!$B$14))*SIN(RADIANS('13_시나리오비교'!$C$14))+$H315*SIN(RADIANS('13_시나리오비교'!$B$14))*COS(RADIANS('13_시나리오비교'!$C$14))+$I315*COS(RADIANS('13_시나리오비교'!$B$14))),0)</f>
        <v/>
      </c>
    </row>
    <row r="316" hidden="1" outlineLevel="1">
      <c r="A316" s="79" t="n">
        <v>4</v>
      </c>
      <c r="B316" s="79" t="n">
        <v>8</v>
      </c>
      <c r="C316" s="80">
        <f>(B316-0.5)*'14_지역·상수'!$H$6</f>
        <v/>
      </c>
      <c r="D316" s="79" t="n">
        <v>105</v>
      </c>
      <c r="E316" s="80">
        <f>INDEX($C$4:$C$15,MATCH(A316,$A$4:$A$15,0))</f>
        <v/>
      </c>
      <c r="F316" s="80">
        <f>15*(C316-12)</f>
        <v/>
      </c>
      <c r="G316" s="80">
        <f>-COS(RADIANS(E316))*SIN(RADIANS(F316))</f>
        <v/>
      </c>
      <c r="H316" s="80">
        <f>COS(RADIANS('11_발전량_모델'!$B$17))*SIN(RADIANS(E316))-SIN(RADIANS('11_발전량_모델'!$B$17))*COS(RADIANS(E316))*COS(RADIANS(F316))</f>
        <v/>
      </c>
      <c r="I316" s="80">
        <f>SIN(RADIANS('11_발전량_모델'!$B$17))*SIN(RADIANS(E316))+COS(RADIANS('11_발전량_모델'!$B$17))*COS(RADIANS(E316))*COS(RADIANS(F316))</f>
        <v/>
      </c>
      <c r="J316" s="80">
        <f>SIN(RADIANS('11_발전량_모델'!$B$7))*SIN(RADIANS('11_발전량_모델'!$B$8))</f>
        <v/>
      </c>
      <c r="K316" s="80">
        <f>SIN(RADIANS('11_발전량_모델'!$B$7))*COS(RADIANS('11_발전량_모델'!$B$8))</f>
        <v/>
      </c>
      <c r="L316" s="80">
        <f>COS(RADIANS('11_발전량_모델'!$B$7))</f>
        <v/>
      </c>
      <c r="M316" s="80">
        <f>G316*J316+H316*K316+I316*L316</f>
        <v/>
      </c>
      <c r="N316" s="80">
        <f>MAX(0,I316)</f>
        <v/>
      </c>
      <c r="O316" s="80">
        <f>IF(I316&gt;0,MAX(0,M316),0)</f>
        <v/>
      </c>
      <c r="P316" s="80">
        <f>IF($I316&gt;0,MAX(0,$G316*SIN(RADIANS('13_시나리오비교'!$B$5))*SIN(RADIANS('13_시나리오비교'!$C$5))+$H316*SIN(RADIANS('13_시나리오비교'!$B$5))*COS(RADIANS('13_시나리오비교'!$C$5))+$I316*COS(RADIANS('13_시나리오비교'!$B$5))),0)</f>
        <v/>
      </c>
      <c r="Q316" s="80">
        <f>IF($I316&gt;0,MAX(0,$G316*SIN(RADIANS('13_시나리오비교'!$B$6))*SIN(RADIANS('13_시나리오비교'!$C$6))+$H316*SIN(RADIANS('13_시나리오비교'!$B$6))*COS(RADIANS('13_시나리오비교'!$C$6))+$I316*COS(RADIANS('13_시나리오비교'!$B$6))),0)</f>
        <v/>
      </c>
      <c r="R316" s="80">
        <f>IF($I316&gt;0,MAX(0,$G316*SIN(RADIANS('13_시나리오비교'!$B$7))*SIN(RADIANS('13_시나리오비교'!$C$7))+$H316*SIN(RADIANS('13_시나리오비교'!$B$7))*COS(RADIANS('13_시나리오비교'!$C$7))+$I316*COS(RADIANS('13_시나리오비교'!$B$7))),0)</f>
        <v/>
      </c>
      <c r="S316" s="80">
        <f>IF($I316&gt;0,MAX(0,$G316*SIN(RADIANS('13_시나리오비교'!$B$8))*SIN(RADIANS('13_시나리오비교'!$C$8))+$H316*SIN(RADIANS('13_시나리오비교'!$B$8))*COS(RADIANS('13_시나리오비교'!$C$8))+$I316*COS(RADIANS('13_시나리오비교'!$B$8))),0)</f>
        <v/>
      </c>
      <c r="T316" s="80">
        <f>IF($I316&gt;0,MAX(0,$G316*SIN(RADIANS('13_시나리오비교'!$B$9))*SIN(RADIANS('13_시나리오비교'!$C$9))+$H316*SIN(RADIANS('13_시나리오비교'!$B$9))*COS(RADIANS('13_시나리오비교'!$C$9))+$I316*COS(RADIANS('13_시나리오비교'!$B$9))),0)</f>
        <v/>
      </c>
      <c r="U316" s="80">
        <f>IF($I316&gt;0,MAX(0,$G316*SIN(RADIANS('13_시나리오비교'!$B$10))*SIN(RADIANS('13_시나리오비교'!$C$10))+$H316*SIN(RADIANS('13_시나리오비교'!$B$10))*COS(RADIANS('13_시나리오비교'!$C$10))+$I316*COS(RADIANS('13_시나리오비교'!$B$10))),0)</f>
        <v/>
      </c>
      <c r="V316" s="80">
        <f>IF($I316&gt;0,MAX(0,$G316*SIN(RADIANS('13_시나리오비교'!$B$11))*SIN(RADIANS('13_시나리오비교'!$C$11))+$H316*SIN(RADIANS('13_시나리오비교'!$B$11))*COS(RADIANS('13_시나리오비교'!$C$11))+$I316*COS(RADIANS('13_시나리오비교'!$B$11))),0)</f>
        <v/>
      </c>
      <c r="W316" s="80">
        <f>IF($I316&gt;0,MAX(0,$G316*SIN(RADIANS('13_시나리오비교'!$B$12))*SIN(RADIANS('13_시나리오비교'!$C$12))+$H316*SIN(RADIANS('13_시나리오비교'!$B$12))*COS(RADIANS('13_시나리오비교'!$C$12))+$I316*COS(RADIANS('13_시나리오비교'!$B$12))),0)</f>
        <v/>
      </c>
      <c r="X316" s="80">
        <f>IF($I316&gt;0,MAX(0,$G316*SIN(RADIANS('13_시나리오비교'!$B$13))*SIN(RADIANS('13_시나리오비교'!$C$13))+$H316*SIN(RADIANS('13_시나리오비교'!$B$13))*COS(RADIANS('13_시나리오비교'!$C$13))+$I316*COS(RADIANS('13_시나리오비교'!$B$13))),0)</f>
        <v/>
      </c>
      <c r="Y316" s="80">
        <f>IF($I316&gt;0,MAX(0,$G316*SIN(RADIANS('13_시나리오비교'!$B$14))*SIN(RADIANS('13_시나리오비교'!$C$14))+$H316*SIN(RADIANS('13_시나리오비교'!$B$14))*COS(RADIANS('13_시나리오비교'!$C$14))+$I316*COS(RADIANS('13_시나리오비교'!$B$14))),0)</f>
        <v/>
      </c>
    </row>
    <row r="317" hidden="1" outlineLevel="1">
      <c r="A317" s="79" t="n">
        <v>4</v>
      </c>
      <c r="B317" s="79" t="n">
        <v>9</v>
      </c>
      <c r="C317" s="80">
        <f>(B317-0.5)*'14_지역·상수'!$H$6</f>
        <v/>
      </c>
      <c r="D317" s="79" t="n">
        <v>105</v>
      </c>
      <c r="E317" s="80">
        <f>INDEX($C$4:$C$15,MATCH(A317,$A$4:$A$15,0))</f>
        <v/>
      </c>
      <c r="F317" s="80">
        <f>15*(C317-12)</f>
        <v/>
      </c>
      <c r="G317" s="80">
        <f>-COS(RADIANS(E317))*SIN(RADIANS(F317))</f>
        <v/>
      </c>
      <c r="H317" s="80">
        <f>COS(RADIANS('11_발전량_모델'!$B$17))*SIN(RADIANS(E317))-SIN(RADIANS('11_발전량_모델'!$B$17))*COS(RADIANS(E317))*COS(RADIANS(F317))</f>
        <v/>
      </c>
      <c r="I317" s="80">
        <f>SIN(RADIANS('11_발전량_모델'!$B$17))*SIN(RADIANS(E317))+COS(RADIANS('11_발전량_모델'!$B$17))*COS(RADIANS(E317))*COS(RADIANS(F317))</f>
        <v/>
      </c>
      <c r="J317" s="80">
        <f>SIN(RADIANS('11_발전량_모델'!$B$7))*SIN(RADIANS('11_발전량_모델'!$B$8))</f>
        <v/>
      </c>
      <c r="K317" s="80">
        <f>SIN(RADIANS('11_발전량_모델'!$B$7))*COS(RADIANS('11_발전량_모델'!$B$8))</f>
        <v/>
      </c>
      <c r="L317" s="80">
        <f>COS(RADIANS('11_발전량_모델'!$B$7))</f>
        <v/>
      </c>
      <c r="M317" s="80">
        <f>G317*J317+H317*K317+I317*L317</f>
        <v/>
      </c>
      <c r="N317" s="80">
        <f>MAX(0,I317)</f>
        <v/>
      </c>
      <c r="O317" s="80">
        <f>IF(I317&gt;0,MAX(0,M317),0)</f>
        <v/>
      </c>
      <c r="P317" s="80">
        <f>IF($I317&gt;0,MAX(0,$G317*SIN(RADIANS('13_시나리오비교'!$B$5))*SIN(RADIANS('13_시나리오비교'!$C$5))+$H317*SIN(RADIANS('13_시나리오비교'!$B$5))*COS(RADIANS('13_시나리오비교'!$C$5))+$I317*COS(RADIANS('13_시나리오비교'!$B$5))),0)</f>
        <v/>
      </c>
      <c r="Q317" s="80">
        <f>IF($I317&gt;0,MAX(0,$G317*SIN(RADIANS('13_시나리오비교'!$B$6))*SIN(RADIANS('13_시나리오비교'!$C$6))+$H317*SIN(RADIANS('13_시나리오비교'!$B$6))*COS(RADIANS('13_시나리오비교'!$C$6))+$I317*COS(RADIANS('13_시나리오비교'!$B$6))),0)</f>
        <v/>
      </c>
      <c r="R317" s="80">
        <f>IF($I317&gt;0,MAX(0,$G317*SIN(RADIANS('13_시나리오비교'!$B$7))*SIN(RADIANS('13_시나리오비교'!$C$7))+$H317*SIN(RADIANS('13_시나리오비교'!$B$7))*COS(RADIANS('13_시나리오비교'!$C$7))+$I317*COS(RADIANS('13_시나리오비교'!$B$7))),0)</f>
        <v/>
      </c>
      <c r="S317" s="80">
        <f>IF($I317&gt;0,MAX(0,$G317*SIN(RADIANS('13_시나리오비교'!$B$8))*SIN(RADIANS('13_시나리오비교'!$C$8))+$H317*SIN(RADIANS('13_시나리오비교'!$B$8))*COS(RADIANS('13_시나리오비교'!$C$8))+$I317*COS(RADIANS('13_시나리오비교'!$B$8))),0)</f>
        <v/>
      </c>
      <c r="T317" s="80">
        <f>IF($I317&gt;0,MAX(0,$G317*SIN(RADIANS('13_시나리오비교'!$B$9))*SIN(RADIANS('13_시나리오비교'!$C$9))+$H317*SIN(RADIANS('13_시나리오비교'!$B$9))*COS(RADIANS('13_시나리오비교'!$C$9))+$I317*COS(RADIANS('13_시나리오비교'!$B$9))),0)</f>
        <v/>
      </c>
      <c r="U317" s="80">
        <f>IF($I317&gt;0,MAX(0,$G317*SIN(RADIANS('13_시나리오비교'!$B$10))*SIN(RADIANS('13_시나리오비교'!$C$10))+$H317*SIN(RADIANS('13_시나리오비교'!$B$10))*COS(RADIANS('13_시나리오비교'!$C$10))+$I317*COS(RADIANS('13_시나리오비교'!$B$10))),0)</f>
        <v/>
      </c>
      <c r="V317" s="80">
        <f>IF($I317&gt;0,MAX(0,$G317*SIN(RADIANS('13_시나리오비교'!$B$11))*SIN(RADIANS('13_시나리오비교'!$C$11))+$H317*SIN(RADIANS('13_시나리오비교'!$B$11))*COS(RADIANS('13_시나리오비교'!$C$11))+$I317*COS(RADIANS('13_시나리오비교'!$B$11))),0)</f>
        <v/>
      </c>
      <c r="W317" s="80">
        <f>IF($I317&gt;0,MAX(0,$G317*SIN(RADIANS('13_시나리오비교'!$B$12))*SIN(RADIANS('13_시나리오비교'!$C$12))+$H317*SIN(RADIANS('13_시나리오비교'!$B$12))*COS(RADIANS('13_시나리오비교'!$C$12))+$I317*COS(RADIANS('13_시나리오비교'!$B$12))),0)</f>
        <v/>
      </c>
      <c r="X317" s="80">
        <f>IF($I317&gt;0,MAX(0,$G317*SIN(RADIANS('13_시나리오비교'!$B$13))*SIN(RADIANS('13_시나리오비교'!$C$13))+$H317*SIN(RADIANS('13_시나리오비교'!$B$13))*COS(RADIANS('13_시나리오비교'!$C$13))+$I317*COS(RADIANS('13_시나리오비교'!$B$13))),0)</f>
        <v/>
      </c>
      <c r="Y317" s="80">
        <f>IF($I317&gt;0,MAX(0,$G317*SIN(RADIANS('13_시나리오비교'!$B$14))*SIN(RADIANS('13_시나리오비교'!$C$14))+$H317*SIN(RADIANS('13_시나리오비교'!$B$14))*COS(RADIANS('13_시나리오비교'!$C$14))+$I317*COS(RADIANS('13_시나리오비교'!$B$14))),0)</f>
        <v/>
      </c>
    </row>
    <row r="318" hidden="1" outlineLevel="1">
      <c r="A318" s="79" t="n">
        <v>4</v>
      </c>
      <c r="B318" s="79" t="n">
        <v>10</v>
      </c>
      <c r="C318" s="80">
        <f>(B318-0.5)*'14_지역·상수'!$H$6</f>
        <v/>
      </c>
      <c r="D318" s="79" t="n">
        <v>105</v>
      </c>
      <c r="E318" s="80">
        <f>INDEX($C$4:$C$15,MATCH(A318,$A$4:$A$15,0))</f>
        <v/>
      </c>
      <c r="F318" s="80">
        <f>15*(C318-12)</f>
        <v/>
      </c>
      <c r="G318" s="80">
        <f>-COS(RADIANS(E318))*SIN(RADIANS(F318))</f>
        <v/>
      </c>
      <c r="H318" s="80">
        <f>COS(RADIANS('11_발전량_모델'!$B$17))*SIN(RADIANS(E318))-SIN(RADIANS('11_발전량_모델'!$B$17))*COS(RADIANS(E318))*COS(RADIANS(F318))</f>
        <v/>
      </c>
      <c r="I318" s="80">
        <f>SIN(RADIANS('11_발전량_모델'!$B$17))*SIN(RADIANS(E318))+COS(RADIANS('11_발전량_모델'!$B$17))*COS(RADIANS(E318))*COS(RADIANS(F318))</f>
        <v/>
      </c>
      <c r="J318" s="80">
        <f>SIN(RADIANS('11_발전량_모델'!$B$7))*SIN(RADIANS('11_발전량_모델'!$B$8))</f>
        <v/>
      </c>
      <c r="K318" s="80">
        <f>SIN(RADIANS('11_발전량_모델'!$B$7))*COS(RADIANS('11_발전량_모델'!$B$8))</f>
        <v/>
      </c>
      <c r="L318" s="80">
        <f>COS(RADIANS('11_발전량_모델'!$B$7))</f>
        <v/>
      </c>
      <c r="M318" s="80">
        <f>G318*J318+H318*K318+I318*L318</f>
        <v/>
      </c>
      <c r="N318" s="80">
        <f>MAX(0,I318)</f>
        <v/>
      </c>
      <c r="O318" s="80">
        <f>IF(I318&gt;0,MAX(0,M318),0)</f>
        <v/>
      </c>
      <c r="P318" s="80">
        <f>IF($I318&gt;0,MAX(0,$G318*SIN(RADIANS('13_시나리오비교'!$B$5))*SIN(RADIANS('13_시나리오비교'!$C$5))+$H318*SIN(RADIANS('13_시나리오비교'!$B$5))*COS(RADIANS('13_시나리오비교'!$C$5))+$I318*COS(RADIANS('13_시나리오비교'!$B$5))),0)</f>
        <v/>
      </c>
      <c r="Q318" s="80">
        <f>IF($I318&gt;0,MAX(0,$G318*SIN(RADIANS('13_시나리오비교'!$B$6))*SIN(RADIANS('13_시나리오비교'!$C$6))+$H318*SIN(RADIANS('13_시나리오비교'!$B$6))*COS(RADIANS('13_시나리오비교'!$C$6))+$I318*COS(RADIANS('13_시나리오비교'!$B$6))),0)</f>
        <v/>
      </c>
      <c r="R318" s="80">
        <f>IF($I318&gt;0,MAX(0,$G318*SIN(RADIANS('13_시나리오비교'!$B$7))*SIN(RADIANS('13_시나리오비교'!$C$7))+$H318*SIN(RADIANS('13_시나리오비교'!$B$7))*COS(RADIANS('13_시나리오비교'!$C$7))+$I318*COS(RADIANS('13_시나리오비교'!$B$7))),0)</f>
        <v/>
      </c>
      <c r="S318" s="80">
        <f>IF($I318&gt;0,MAX(0,$G318*SIN(RADIANS('13_시나리오비교'!$B$8))*SIN(RADIANS('13_시나리오비교'!$C$8))+$H318*SIN(RADIANS('13_시나리오비교'!$B$8))*COS(RADIANS('13_시나리오비교'!$C$8))+$I318*COS(RADIANS('13_시나리오비교'!$B$8))),0)</f>
        <v/>
      </c>
      <c r="T318" s="80">
        <f>IF($I318&gt;0,MAX(0,$G318*SIN(RADIANS('13_시나리오비교'!$B$9))*SIN(RADIANS('13_시나리오비교'!$C$9))+$H318*SIN(RADIANS('13_시나리오비교'!$B$9))*COS(RADIANS('13_시나리오비교'!$C$9))+$I318*COS(RADIANS('13_시나리오비교'!$B$9))),0)</f>
        <v/>
      </c>
      <c r="U318" s="80">
        <f>IF($I318&gt;0,MAX(0,$G318*SIN(RADIANS('13_시나리오비교'!$B$10))*SIN(RADIANS('13_시나리오비교'!$C$10))+$H318*SIN(RADIANS('13_시나리오비교'!$B$10))*COS(RADIANS('13_시나리오비교'!$C$10))+$I318*COS(RADIANS('13_시나리오비교'!$B$10))),0)</f>
        <v/>
      </c>
      <c r="V318" s="80">
        <f>IF($I318&gt;0,MAX(0,$G318*SIN(RADIANS('13_시나리오비교'!$B$11))*SIN(RADIANS('13_시나리오비교'!$C$11))+$H318*SIN(RADIANS('13_시나리오비교'!$B$11))*COS(RADIANS('13_시나리오비교'!$C$11))+$I318*COS(RADIANS('13_시나리오비교'!$B$11))),0)</f>
        <v/>
      </c>
      <c r="W318" s="80">
        <f>IF($I318&gt;0,MAX(0,$G318*SIN(RADIANS('13_시나리오비교'!$B$12))*SIN(RADIANS('13_시나리오비교'!$C$12))+$H318*SIN(RADIANS('13_시나리오비교'!$B$12))*COS(RADIANS('13_시나리오비교'!$C$12))+$I318*COS(RADIANS('13_시나리오비교'!$B$12))),0)</f>
        <v/>
      </c>
      <c r="X318" s="80">
        <f>IF($I318&gt;0,MAX(0,$G318*SIN(RADIANS('13_시나리오비교'!$B$13))*SIN(RADIANS('13_시나리오비교'!$C$13))+$H318*SIN(RADIANS('13_시나리오비교'!$B$13))*COS(RADIANS('13_시나리오비교'!$C$13))+$I318*COS(RADIANS('13_시나리오비교'!$B$13))),0)</f>
        <v/>
      </c>
      <c r="Y318" s="80">
        <f>IF($I318&gt;0,MAX(0,$G318*SIN(RADIANS('13_시나리오비교'!$B$14))*SIN(RADIANS('13_시나리오비교'!$C$14))+$H318*SIN(RADIANS('13_시나리오비교'!$B$14))*COS(RADIANS('13_시나리오비교'!$C$14))+$I318*COS(RADIANS('13_시나리오비교'!$B$14))),0)</f>
        <v/>
      </c>
    </row>
    <row r="319" hidden="1" outlineLevel="1">
      <c r="A319" s="79" t="n">
        <v>4</v>
      </c>
      <c r="B319" s="79" t="n">
        <v>11</v>
      </c>
      <c r="C319" s="80">
        <f>(B319-0.5)*'14_지역·상수'!$H$6</f>
        <v/>
      </c>
      <c r="D319" s="79" t="n">
        <v>105</v>
      </c>
      <c r="E319" s="80">
        <f>INDEX($C$4:$C$15,MATCH(A319,$A$4:$A$15,0))</f>
        <v/>
      </c>
      <c r="F319" s="80">
        <f>15*(C319-12)</f>
        <v/>
      </c>
      <c r="G319" s="80">
        <f>-COS(RADIANS(E319))*SIN(RADIANS(F319))</f>
        <v/>
      </c>
      <c r="H319" s="80">
        <f>COS(RADIANS('11_발전량_모델'!$B$17))*SIN(RADIANS(E319))-SIN(RADIANS('11_발전량_모델'!$B$17))*COS(RADIANS(E319))*COS(RADIANS(F319))</f>
        <v/>
      </c>
      <c r="I319" s="80">
        <f>SIN(RADIANS('11_발전량_모델'!$B$17))*SIN(RADIANS(E319))+COS(RADIANS('11_발전량_모델'!$B$17))*COS(RADIANS(E319))*COS(RADIANS(F319))</f>
        <v/>
      </c>
      <c r="J319" s="80">
        <f>SIN(RADIANS('11_발전량_모델'!$B$7))*SIN(RADIANS('11_발전량_모델'!$B$8))</f>
        <v/>
      </c>
      <c r="K319" s="80">
        <f>SIN(RADIANS('11_발전량_모델'!$B$7))*COS(RADIANS('11_발전량_모델'!$B$8))</f>
        <v/>
      </c>
      <c r="L319" s="80">
        <f>COS(RADIANS('11_발전량_모델'!$B$7))</f>
        <v/>
      </c>
      <c r="M319" s="80">
        <f>G319*J319+H319*K319+I319*L319</f>
        <v/>
      </c>
      <c r="N319" s="80">
        <f>MAX(0,I319)</f>
        <v/>
      </c>
      <c r="O319" s="80">
        <f>IF(I319&gt;0,MAX(0,M319),0)</f>
        <v/>
      </c>
      <c r="P319" s="80">
        <f>IF($I319&gt;0,MAX(0,$G319*SIN(RADIANS('13_시나리오비교'!$B$5))*SIN(RADIANS('13_시나리오비교'!$C$5))+$H319*SIN(RADIANS('13_시나리오비교'!$B$5))*COS(RADIANS('13_시나리오비교'!$C$5))+$I319*COS(RADIANS('13_시나리오비교'!$B$5))),0)</f>
        <v/>
      </c>
      <c r="Q319" s="80">
        <f>IF($I319&gt;0,MAX(0,$G319*SIN(RADIANS('13_시나리오비교'!$B$6))*SIN(RADIANS('13_시나리오비교'!$C$6))+$H319*SIN(RADIANS('13_시나리오비교'!$B$6))*COS(RADIANS('13_시나리오비교'!$C$6))+$I319*COS(RADIANS('13_시나리오비교'!$B$6))),0)</f>
        <v/>
      </c>
      <c r="R319" s="80">
        <f>IF($I319&gt;0,MAX(0,$G319*SIN(RADIANS('13_시나리오비교'!$B$7))*SIN(RADIANS('13_시나리오비교'!$C$7))+$H319*SIN(RADIANS('13_시나리오비교'!$B$7))*COS(RADIANS('13_시나리오비교'!$C$7))+$I319*COS(RADIANS('13_시나리오비교'!$B$7))),0)</f>
        <v/>
      </c>
      <c r="S319" s="80">
        <f>IF($I319&gt;0,MAX(0,$G319*SIN(RADIANS('13_시나리오비교'!$B$8))*SIN(RADIANS('13_시나리오비교'!$C$8))+$H319*SIN(RADIANS('13_시나리오비교'!$B$8))*COS(RADIANS('13_시나리오비교'!$C$8))+$I319*COS(RADIANS('13_시나리오비교'!$B$8))),0)</f>
        <v/>
      </c>
      <c r="T319" s="80">
        <f>IF($I319&gt;0,MAX(0,$G319*SIN(RADIANS('13_시나리오비교'!$B$9))*SIN(RADIANS('13_시나리오비교'!$C$9))+$H319*SIN(RADIANS('13_시나리오비교'!$B$9))*COS(RADIANS('13_시나리오비교'!$C$9))+$I319*COS(RADIANS('13_시나리오비교'!$B$9))),0)</f>
        <v/>
      </c>
      <c r="U319" s="80">
        <f>IF($I319&gt;0,MAX(0,$G319*SIN(RADIANS('13_시나리오비교'!$B$10))*SIN(RADIANS('13_시나리오비교'!$C$10))+$H319*SIN(RADIANS('13_시나리오비교'!$B$10))*COS(RADIANS('13_시나리오비교'!$C$10))+$I319*COS(RADIANS('13_시나리오비교'!$B$10))),0)</f>
        <v/>
      </c>
      <c r="V319" s="80">
        <f>IF($I319&gt;0,MAX(0,$G319*SIN(RADIANS('13_시나리오비교'!$B$11))*SIN(RADIANS('13_시나리오비교'!$C$11))+$H319*SIN(RADIANS('13_시나리오비교'!$B$11))*COS(RADIANS('13_시나리오비교'!$C$11))+$I319*COS(RADIANS('13_시나리오비교'!$B$11))),0)</f>
        <v/>
      </c>
      <c r="W319" s="80">
        <f>IF($I319&gt;0,MAX(0,$G319*SIN(RADIANS('13_시나리오비교'!$B$12))*SIN(RADIANS('13_시나리오비교'!$C$12))+$H319*SIN(RADIANS('13_시나리오비교'!$B$12))*COS(RADIANS('13_시나리오비교'!$C$12))+$I319*COS(RADIANS('13_시나리오비교'!$B$12))),0)</f>
        <v/>
      </c>
      <c r="X319" s="80">
        <f>IF($I319&gt;0,MAX(0,$G319*SIN(RADIANS('13_시나리오비교'!$B$13))*SIN(RADIANS('13_시나리오비교'!$C$13))+$H319*SIN(RADIANS('13_시나리오비교'!$B$13))*COS(RADIANS('13_시나리오비교'!$C$13))+$I319*COS(RADIANS('13_시나리오비교'!$B$13))),0)</f>
        <v/>
      </c>
      <c r="Y319" s="80">
        <f>IF($I319&gt;0,MAX(0,$G319*SIN(RADIANS('13_시나리오비교'!$B$14))*SIN(RADIANS('13_시나리오비교'!$C$14))+$H319*SIN(RADIANS('13_시나리오비교'!$B$14))*COS(RADIANS('13_시나리오비교'!$C$14))+$I319*COS(RADIANS('13_시나리오비교'!$B$14))),0)</f>
        <v/>
      </c>
    </row>
    <row r="320" hidden="1" outlineLevel="1">
      <c r="A320" s="79" t="n">
        <v>4</v>
      </c>
      <c r="B320" s="79" t="n">
        <v>12</v>
      </c>
      <c r="C320" s="80">
        <f>(B320-0.5)*'14_지역·상수'!$H$6</f>
        <v/>
      </c>
      <c r="D320" s="79" t="n">
        <v>105</v>
      </c>
      <c r="E320" s="80">
        <f>INDEX($C$4:$C$15,MATCH(A320,$A$4:$A$15,0))</f>
        <v/>
      </c>
      <c r="F320" s="80">
        <f>15*(C320-12)</f>
        <v/>
      </c>
      <c r="G320" s="80">
        <f>-COS(RADIANS(E320))*SIN(RADIANS(F320))</f>
        <v/>
      </c>
      <c r="H320" s="80">
        <f>COS(RADIANS('11_발전량_모델'!$B$17))*SIN(RADIANS(E320))-SIN(RADIANS('11_발전량_모델'!$B$17))*COS(RADIANS(E320))*COS(RADIANS(F320))</f>
        <v/>
      </c>
      <c r="I320" s="80">
        <f>SIN(RADIANS('11_발전량_모델'!$B$17))*SIN(RADIANS(E320))+COS(RADIANS('11_발전량_모델'!$B$17))*COS(RADIANS(E320))*COS(RADIANS(F320))</f>
        <v/>
      </c>
      <c r="J320" s="80">
        <f>SIN(RADIANS('11_발전량_모델'!$B$7))*SIN(RADIANS('11_발전량_모델'!$B$8))</f>
        <v/>
      </c>
      <c r="K320" s="80">
        <f>SIN(RADIANS('11_발전량_모델'!$B$7))*COS(RADIANS('11_발전량_모델'!$B$8))</f>
        <v/>
      </c>
      <c r="L320" s="80">
        <f>COS(RADIANS('11_발전량_모델'!$B$7))</f>
        <v/>
      </c>
      <c r="M320" s="80">
        <f>G320*J320+H320*K320+I320*L320</f>
        <v/>
      </c>
      <c r="N320" s="80">
        <f>MAX(0,I320)</f>
        <v/>
      </c>
      <c r="O320" s="80">
        <f>IF(I320&gt;0,MAX(0,M320),0)</f>
        <v/>
      </c>
      <c r="P320" s="80">
        <f>IF($I320&gt;0,MAX(0,$G320*SIN(RADIANS('13_시나리오비교'!$B$5))*SIN(RADIANS('13_시나리오비교'!$C$5))+$H320*SIN(RADIANS('13_시나리오비교'!$B$5))*COS(RADIANS('13_시나리오비교'!$C$5))+$I320*COS(RADIANS('13_시나리오비교'!$B$5))),0)</f>
        <v/>
      </c>
      <c r="Q320" s="80">
        <f>IF($I320&gt;0,MAX(0,$G320*SIN(RADIANS('13_시나리오비교'!$B$6))*SIN(RADIANS('13_시나리오비교'!$C$6))+$H320*SIN(RADIANS('13_시나리오비교'!$B$6))*COS(RADIANS('13_시나리오비교'!$C$6))+$I320*COS(RADIANS('13_시나리오비교'!$B$6))),0)</f>
        <v/>
      </c>
      <c r="R320" s="80">
        <f>IF($I320&gt;0,MAX(0,$G320*SIN(RADIANS('13_시나리오비교'!$B$7))*SIN(RADIANS('13_시나리오비교'!$C$7))+$H320*SIN(RADIANS('13_시나리오비교'!$B$7))*COS(RADIANS('13_시나리오비교'!$C$7))+$I320*COS(RADIANS('13_시나리오비교'!$B$7))),0)</f>
        <v/>
      </c>
      <c r="S320" s="80">
        <f>IF($I320&gt;0,MAX(0,$G320*SIN(RADIANS('13_시나리오비교'!$B$8))*SIN(RADIANS('13_시나리오비교'!$C$8))+$H320*SIN(RADIANS('13_시나리오비교'!$B$8))*COS(RADIANS('13_시나리오비교'!$C$8))+$I320*COS(RADIANS('13_시나리오비교'!$B$8))),0)</f>
        <v/>
      </c>
      <c r="T320" s="80">
        <f>IF($I320&gt;0,MAX(0,$G320*SIN(RADIANS('13_시나리오비교'!$B$9))*SIN(RADIANS('13_시나리오비교'!$C$9))+$H320*SIN(RADIANS('13_시나리오비교'!$B$9))*COS(RADIANS('13_시나리오비교'!$C$9))+$I320*COS(RADIANS('13_시나리오비교'!$B$9))),0)</f>
        <v/>
      </c>
      <c r="U320" s="80">
        <f>IF($I320&gt;0,MAX(0,$G320*SIN(RADIANS('13_시나리오비교'!$B$10))*SIN(RADIANS('13_시나리오비교'!$C$10))+$H320*SIN(RADIANS('13_시나리오비교'!$B$10))*COS(RADIANS('13_시나리오비교'!$C$10))+$I320*COS(RADIANS('13_시나리오비교'!$B$10))),0)</f>
        <v/>
      </c>
      <c r="V320" s="80">
        <f>IF($I320&gt;0,MAX(0,$G320*SIN(RADIANS('13_시나리오비교'!$B$11))*SIN(RADIANS('13_시나리오비교'!$C$11))+$H320*SIN(RADIANS('13_시나리오비교'!$B$11))*COS(RADIANS('13_시나리오비교'!$C$11))+$I320*COS(RADIANS('13_시나리오비교'!$B$11))),0)</f>
        <v/>
      </c>
      <c r="W320" s="80">
        <f>IF($I320&gt;0,MAX(0,$G320*SIN(RADIANS('13_시나리오비교'!$B$12))*SIN(RADIANS('13_시나리오비교'!$C$12))+$H320*SIN(RADIANS('13_시나리오비교'!$B$12))*COS(RADIANS('13_시나리오비교'!$C$12))+$I320*COS(RADIANS('13_시나리오비교'!$B$12))),0)</f>
        <v/>
      </c>
      <c r="X320" s="80">
        <f>IF($I320&gt;0,MAX(0,$G320*SIN(RADIANS('13_시나리오비교'!$B$13))*SIN(RADIANS('13_시나리오비교'!$C$13))+$H320*SIN(RADIANS('13_시나리오비교'!$B$13))*COS(RADIANS('13_시나리오비교'!$C$13))+$I320*COS(RADIANS('13_시나리오비교'!$B$13))),0)</f>
        <v/>
      </c>
      <c r="Y320" s="80">
        <f>IF($I320&gt;0,MAX(0,$G320*SIN(RADIANS('13_시나리오비교'!$B$14))*SIN(RADIANS('13_시나리오비교'!$C$14))+$H320*SIN(RADIANS('13_시나리오비교'!$B$14))*COS(RADIANS('13_시나리오비교'!$C$14))+$I320*COS(RADIANS('13_시나리오비교'!$B$14))),0)</f>
        <v/>
      </c>
    </row>
    <row r="321" hidden="1" outlineLevel="1">
      <c r="A321" s="79" t="n">
        <v>4</v>
      </c>
      <c r="B321" s="79" t="n">
        <v>13</v>
      </c>
      <c r="C321" s="80">
        <f>(B321-0.5)*'14_지역·상수'!$H$6</f>
        <v/>
      </c>
      <c r="D321" s="79" t="n">
        <v>105</v>
      </c>
      <c r="E321" s="80">
        <f>INDEX($C$4:$C$15,MATCH(A321,$A$4:$A$15,0))</f>
        <v/>
      </c>
      <c r="F321" s="80">
        <f>15*(C321-12)</f>
        <v/>
      </c>
      <c r="G321" s="80">
        <f>-COS(RADIANS(E321))*SIN(RADIANS(F321))</f>
        <v/>
      </c>
      <c r="H321" s="80">
        <f>COS(RADIANS('11_발전량_모델'!$B$17))*SIN(RADIANS(E321))-SIN(RADIANS('11_발전량_모델'!$B$17))*COS(RADIANS(E321))*COS(RADIANS(F321))</f>
        <v/>
      </c>
      <c r="I321" s="80">
        <f>SIN(RADIANS('11_발전량_모델'!$B$17))*SIN(RADIANS(E321))+COS(RADIANS('11_발전량_모델'!$B$17))*COS(RADIANS(E321))*COS(RADIANS(F321))</f>
        <v/>
      </c>
      <c r="J321" s="80">
        <f>SIN(RADIANS('11_발전량_모델'!$B$7))*SIN(RADIANS('11_발전량_모델'!$B$8))</f>
        <v/>
      </c>
      <c r="K321" s="80">
        <f>SIN(RADIANS('11_발전량_모델'!$B$7))*COS(RADIANS('11_발전량_모델'!$B$8))</f>
        <v/>
      </c>
      <c r="L321" s="80">
        <f>COS(RADIANS('11_발전량_모델'!$B$7))</f>
        <v/>
      </c>
      <c r="M321" s="80">
        <f>G321*J321+H321*K321+I321*L321</f>
        <v/>
      </c>
      <c r="N321" s="80">
        <f>MAX(0,I321)</f>
        <v/>
      </c>
      <c r="O321" s="80">
        <f>IF(I321&gt;0,MAX(0,M321),0)</f>
        <v/>
      </c>
      <c r="P321" s="80">
        <f>IF($I321&gt;0,MAX(0,$G321*SIN(RADIANS('13_시나리오비교'!$B$5))*SIN(RADIANS('13_시나리오비교'!$C$5))+$H321*SIN(RADIANS('13_시나리오비교'!$B$5))*COS(RADIANS('13_시나리오비교'!$C$5))+$I321*COS(RADIANS('13_시나리오비교'!$B$5))),0)</f>
        <v/>
      </c>
      <c r="Q321" s="80">
        <f>IF($I321&gt;0,MAX(0,$G321*SIN(RADIANS('13_시나리오비교'!$B$6))*SIN(RADIANS('13_시나리오비교'!$C$6))+$H321*SIN(RADIANS('13_시나리오비교'!$B$6))*COS(RADIANS('13_시나리오비교'!$C$6))+$I321*COS(RADIANS('13_시나리오비교'!$B$6))),0)</f>
        <v/>
      </c>
      <c r="R321" s="80">
        <f>IF($I321&gt;0,MAX(0,$G321*SIN(RADIANS('13_시나리오비교'!$B$7))*SIN(RADIANS('13_시나리오비교'!$C$7))+$H321*SIN(RADIANS('13_시나리오비교'!$B$7))*COS(RADIANS('13_시나리오비교'!$C$7))+$I321*COS(RADIANS('13_시나리오비교'!$B$7))),0)</f>
        <v/>
      </c>
      <c r="S321" s="80">
        <f>IF($I321&gt;0,MAX(0,$G321*SIN(RADIANS('13_시나리오비교'!$B$8))*SIN(RADIANS('13_시나리오비교'!$C$8))+$H321*SIN(RADIANS('13_시나리오비교'!$B$8))*COS(RADIANS('13_시나리오비교'!$C$8))+$I321*COS(RADIANS('13_시나리오비교'!$B$8))),0)</f>
        <v/>
      </c>
      <c r="T321" s="80">
        <f>IF($I321&gt;0,MAX(0,$G321*SIN(RADIANS('13_시나리오비교'!$B$9))*SIN(RADIANS('13_시나리오비교'!$C$9))+$H321*SIN(RADIANS('13_시나리오비교'!$B$9))*COS(RADIANS('13_시나리오비교'!$C$9))+$I321*COS(RADIANS('13_시나리오비교'!$B$9))),0)</f>
        <v/>
      </c>
      <c r="U321" s="80">
        <f>IF($I321&gt;0,MAX(0,$G321*SIN(RADIANS('13_시나리오비교'!$B$10))*SIN(RADIANS('13_시나리오비교'!$C$10))+$H321*SIN(RADIANS('13_시나리오비교'!$B$10))*COS(RADIANS('13_시나리오비교'!$C$10))+$I321*COS(RADIANS('13_시나리오비교'!$B$10))),0)</f>
        <v/>
      </c>
      <c r="V321" s="80">
        <f>IF($I321&gt;0,MAX(0,$G321*SIN(RADIANS('13_시나리오비교'!$B$11))*SIN(RADIANS('13_시나리오비교'!$C$11))+$H321*SIN(RADIANS('13_시나리오비교'!$B$11))*COS(RADIANS('13_시나리오비교'!$C$11))+$I321*COS(RADIANS('13_시나리오비교'!$B$11))),0)</f>
        <v/>
      </c>
      <c r="W321" s="80">
        <f>IF($I321&gt;0,MAX(0,$G321*SIN(RADIANS('13_시나리오비교'!$B$12))*SIN(RADIANS('13_시나리오비교'!$C$12))+$H321*SIN(RADIANS('13_시나리오비교'!$B$12))*COS(RADIANS('13_시나리오비교'!$C$12))+$I321*COS(RADIANS('13_시나리오비교'!$B$12))),0)</f>
        <v/>
      </c>
      <c r="X321" s="80">
        <f>IF($I321&gt;0,MAX(0,$G321*SIN(RADIANS('13_시나리오비교'!$B$13))*SIN(RADIANS('13_시나리오비교'!$C$13))+$H321*SIN(RADIANS('13_시나리오비교'!$B$13))*COS(RADIANS('13_시나리오비교'!$C$13))+$I321*COS(RADIANS('13_시나리오비교'!$B$13))),0)</f>
        <v/>
      </c>
      <c r="Y321" s="80">
        <f>IF($I321&gt;0,MAX(0,$G321*SIN(RADIANS('13_시나리오비교'!$B$14))*SIN(RADIANS('13_시나리오비교'!$C$14))+$H321*SIN(RADIANS('13_시나리오비교'!$B$14))*COS(RADIANS('13_시나리오비교'!$C$14))+$I321*COS(RADIANS('13_시나리오비교'!$B$14))),0)</f>
        <v/>
      </c>
    </row>
    <row r="322" hidden="1" outlineLevel="1">
      <c r="A322" s="79" t="n">
        <v>4</v>
      </c>
      <c r="B322" s="79" t="n">
        <v>14</v>
      </c>
      <c r="C322" s="80">
        <f>(B322-0.5)*'14_지역·상수'!$H$6</f>
        <v/>
      </c>
      <c r="D322" s="79" t="n">
        <v>105</v>
      </c>
      <c r="E322" s="80">
        <f>INDEX($C$4:$C$15,MATCH(A322,$A$4:$A$15,0))</f>
        <v/>
      </c>
      <c r="F322" s="80">
        <f>15*(C322-12)</f>
        <v/>
      </c>
      <c r="G322" s="80">
        <f>-COS(RADIANS(E322))*SIN(RADIANS(F322))</f>
        <v/>
      </c>
      <c r="H322" s="80">
        <f>COS(RADIANS('11_발전량_모델'!$B$17))*SIN(RADIANS(E322))-SIN(RADIANS('11_발전량_모델'!$B$17))*COS(RADIANS(E322))*COS(RADIANS(F322))</f>
        <v/>
      </c>
      <c r="I322" s="80">
        <f>SIN(RADIANS('11_발전량_모델'!$B$17))*SIN(RADIANS(E322))+COS(RADIANS('11_발전량_모델'!$B$17))*COS(RADIANS(E322))*COS(RADIANS(F322))</f>
        <v/>
      </c>
      <c r="J322" s="80">
        <f>SIN(RADIANS('11_발전량_모델'!$B$7))*SIN(RADIANS('11_발전량_모델'!$B$8))</f>
        <v/>
      </c>
      <c r="K322" s="80">
        <f>SIN(RADIANS('11_발전량_모델'!$B$7))*COS(RADIANS('11_발전량_모델'!$B$8))</f>
        <v/>
      </c>
      <c r="L322" s="80">
        <f>COS(RADIANS('11_발전량_모델'!$B$7))</f>
        <v/>
      </c>
      <c r="M322" s="80">
        <f>G322*J322+H322*K322+I322*L322</f>
        <v/>
      </c>
      <c r="N322" s="80">
        <f>MAX(0,I322)</f>
        <v/>
      </c>
      <c r="O322" s="80">
        <f>IF(I322&gt;0,MAX(0,M322),0)</f>
        <v/>
      </c>
      <c r="P322" s="80">
        <f>IF($I322&gt;0,MAX(0,$G322*SIN(RADIANS('13_시나리오비교'!$B$5))*SIN(RADIANS('13_시나리오비교'!$C$5))+$H322*SIN(RADIANS('13_시나리오비교'!$B$5))*COS(RADIANS('13_시나리오비교'!$C$5))+$I322*COS(RADIANS('13_시나리오비교'!$B$5))),0)</f>
        <v/>
      </c>
      <c r="Q322" s="80">
        <f>IF($I322&gt;0,MAX(0,$G322*SIN(RADIANS('13_시나리오비교'!$B$6))*SIN(RADIANS('13_시나리오비교'!$C$6))+$H322*SIN(RADIANS('13_시나리오비교'!$B$6))*COS(RADIANS('13_시나리오비교'!$C$6))+$I322*COS(RADIANS('13_시나리오비교'!$B$6))),0)</f>
        <v/>
      </c>
      <c r="R322" s="80">
        <f>IF($I322&gt;0,MAX(0,$G322*SIN(RADIANS('13_시나리오비교'!$B$7))*SIN(RADIANS('13_시나리오비교'!$C$7))+$H322*SIN(RADIANS('13_시나리오비교'!$B$7))*COS(RADIANS('13_시나리오비교'!$C$7))+$I322*COS(RADIANS('13_시나리오비교'!$B$7))),0)</f>
        <v/>
      </c>
      <c r="S322" s="80">
        <f>IF($I322&gt;0,MAX(0,$G322*SIN(RADIANS('13_시나리오비교'!$B$8))*SIN(RADIANS('13_시나리오비교'!$C$8))+$H322*SIN(RADIANS('13_시나리오비교'!$B$8))*COS(RADIANS('13_시나리오비교'!$C$8))+$I322*COS(RADIANS('13_시나리오비교'!$B$8))),0)</f>
        <v/>
      </c>
      <c r="T322" s="80">
        <f>IF($I322&gt;0,MAX(0,$G322*SIN(RADIANS('13_시나리오비교'!$B$9))*SIN(RADIANS('13_시나리오비교'!$C$9))+$H322*SIN(RADIANS('13_시나리오비교'!$B$9))*COS(RADIANS('13_시나리오비교'!$C$9))+$I322*COS(RADIANS('13_시나리오비교'!$B$9))),0)</f>
        <v/>
      </c>
      <c r="U322" s="80">
        <f>IF($I322&gt;0,MAX(0,$G322*SIN(RADIANS('13_시나리오비교'!$B$10))*SIN(RADIANS('13_시나리오비교'!$C$10))+$H322*SIN(RADIANS('13_시나리오비교'!$B$10))*COS(RADIANS('13_시나리오비교'!$C$10))+$I322*COS(RADIANS('13_시나리오비교'!$B$10))),0)</f>
        <v/>
      </c>
      <c r="V322" s="80">
        <f>IF($I322&gt;0,MAX(0,$G322*SIN(RADIANS('13_시나리오비교'!$B$11))*SIN(RADIANS('13_시나리오비교'!$C$11))+$H322*SIN(RADIANS('13_시나리오비교'!$B$11))*COS(RADIANS('13_시나리오비교'!$C$11))+$I322*COS(RADIANS('13_시나리오비교'!$B$11))),0)</f>
        <v/>
      </c>
      <c r="W322" s="80">
        <f>IF($I322&gt;0,MAX(0,$G322*SIN(RADIANS('13_시나리오비교'!$B$12))*SIN(RADIANS('13_시나리오비교'!$C$12))+$H322*SIN(RADIANS('13_시나리오비교'!$B$12))*COS(RADIANS('13_시나리오비교'!$C$12))+$I322*COS(RADIANS('13_시나리오비교'!$B$12))),0)</f>
        <v/>
      </c>
      <c r="X322" s="80">
        <f>IF($I322&gt;0,MAX(0,$G322*SIN(RADIANS('13_시나리오비교'!$B$13))*SIN(RADIANS('13_시나리오비교'!$C$13))+$H322*SIN(RADIANS('13_시나리오비교'!$B$13))*COS(RADIANS('13_시나리오비교'!$C$13))+$I322*COS(RADIANS('13_시나리오비교'!$B$13))),0)</f>
        <v/>
      </c>
      <c r="Y322" s="80">
        <f>IF($I322&gt;0,MAX(0,$G322*SIN(RADIANS('13_시나리오비교'!$B$14))*SIN(RADIANS('13_시나리오비교'!$C$14))+$H322*SIN(RADIANS('13_시나리오비교'!$B$14))*COS(RADIANS('13_시나리오비교'!$C$14))+$I322*COS(RADIANS('13_시나리오비교'!$B$14))),0)</f>
        <v/>
      </c>
    </row>
    <row r="323" hidden="1" outlineLevel="1">
      <c r="A323" s="79" t="n">
        <v>4</v>
      </c>
      <c r="B323" s="79" t="n">
        <v>15</v>
      </c>
      <c r="C323" s="80">
        <f>(B323-0.5)*'14_지역·상수'!$H$6</f>
        <v/>
      </c>
      <c r="D323" s="79" t="n">
        <v>105</v>
      </c>
      <c r="E323" s="80">
        <f>INDEX($C$4:$C$15,MATCH(A323,$A$4:$A$15,0))</f>
        <v/>
      </c>
      <c r="F323" s="80">
        <f>15*(C323-12)</f>
        <v/>
      </c>
      <c r="G323" s="80">
        <f>-COS(RADIANS(E323))*SIN(RADIANS(F323))</f>
        <v/>
      </c>
      <c r="H323" s="80">
        <f>COS(RADIANS('11_발전량_모델'!$B$17))*SIN(RADIANS(E323))-SIN(RADIANS('11_발전량_모델'!$B$17))*COS(RADIANS(E323))*COS(RADIANS(F323))</f>
        <v/>
      </c>
      <c r="I323" s="80">
        <f>SIN(RADIANS('11_발전량_모델'!$B$17))*SIN(RADIANS(E323))+COS(RADIANS('11_발전량_모델'!$B$17))*COS(RADIANS(E323))*COS(RADIANS(F323))</f>
        <v/>
      </c>
      <c r="J323" s="80">
        <f>SIN(RADIANS('11_발전량_모델'!$B$7))*SIN(RADIANS('11_발전량_모델'!$B$8))</f>
        <v/>
      </c>
      <c r="K323" s="80">
        <f>SIN(RADIANS('11_발전량_모델'!$B$7))*COS(RADIANS('11_발전량_모델'!$B$8))</f>
        <v/>
      </c>
      <c r="L323" s="80">
        <f>COS(RADIANS('11_발전량_모델'!$B$7))</f>
        <v/>
      </c>
      <c r="M323" s="80">
        <f>G323*J323+H323*K323+I323*L323</f>
        <v/>
      </c>
      <c r="N323" s="80">
        <f>MAX(0,I323)</f>
        <v/>
      </c>
      <c r="O323" s="80">
        <f>IF(I323&gt;0,MAX(0,M323),0)</f>
        <v/>
      </c>
      <c r="P323" s="80">
        <f>IF($I323&gt;0,MAX(0,$G323*SIN(RADIANS('13_시나리오비교'!$B$5))*SIN(RADIANS('13_시나리오비교'!$C$5))+$H323*SIN(RADIANS('13_시나리오비교'!$B$5))*COS(RADIANS('13_시나리오비교'!$C$5))+$I323*COS(RADIANS('13_시나리오비교'!$B$5))),0)</f>
        <v/>
      </c>
      <c r="Q323" s="80">
        <f>IF($I323&gt;0,MAX(0,$G323*SIN(RADIANS('13_시나리오비교'!$B$6))*SIN(RADIANS('13_시나리오비교'!$C$6))+$H323*SIN(RADIANS('13_시나리오비교'!$B$6))*COS(RADIANS('13_시나리오비교'!$C$6))+$I323*COS(RADIANS('13_시나리오비교'!$B$6))),0)</f>
        <v/>
      </c>
      <c r="R323" s="80">
        <f>IF($I323&gt;0,MAX(0,$G323*SIN(RADIANS('13_시나리오비교'!$B$7))*SIN(RADIANS('13_시나리오비교'!$C$7))+$H323*SIN(RADIANS('13_시나리오비교'!$B$7))*COS(RADIANS('13_시나리오비교'!$C$7))+$I323*COS(RADIANS('13_시나리오비교'!$B$7))),0)</f>
        <v/>
      </c>
      <c r="S323" s="80">
        <f>IF($I323&gt;0,MAX(0,$G323*SIN(RADIANS('13_시나리오비교'!$B$8))*SIN(RADIANS('13_시나리오비교'!$C$8))+$H323*SIN(RADIANS('13_시나리오비교'!$B$8))*COS(RADIANS('13_시나리오비교'!$C$8))+$I323*COS(RADIANS('13_시나리오비교'!$B$8))),0)</f>
        <v/>
      </c>
      <c r="T323" s="80">
        <f>IF($I323&gt;0,MAX(0,$G323*SIN(RADIANS('13_시나리오비교'!$B$9))*SIN(RADIANS('13_시나리오비교'!$C$9))+$H323*SIN(RADIANS('13_시나리오비교'!$B$9))*COS(RADIANS('13_시나리오비교'!$C$9))+$I323*COS(RADIANS('13_시나리오비교'!$B$9))),0)</f>
        <v/>
      </c>
      <c r="U323" s="80">
        <f>IF($I323&gt;0,MAX(0,$G323*SIN(RADIANS('13_시나리오비교'!$B$10))*SIN(RADIANS('13_시나리오비교'!$C$10))+$H323*SIN(RADIANS('13_시나리오비교'!$B$10))*COS(RADIANS('13_시나리오비교'!$C$10))+$I323*COS(RADIANS('13_시나리오비교'!$B$10))),0)</f>
        <v/>
      </c>
      <c r="V323" s="80">
        <f>IF($I323&gt;0,MAX(0,$G323*SIN(RADIANS('13_시나리오비교'!$B$11))*SIN(RADIANS('13_시나리오비교'!$C$11))+$H323*SIN(RADIANS('13_시나리오비교'!$B$11))*COS(RADIANS('13_시나리오비교'!$C$11))+$I323*COS(RADIANS('13_시나리오비교'!$B$11))),0)</f>
        <v/>
      </c>
      <c r="W323" s="80">
        <f>IF($I323&gt;0,MAX(0,$G323*SIN(RADIANS('13_시나리오비교'!$B$12))*SIN(RADIANS('13_시나리오비교'!$C$12))+$H323*SIN(RADIANS('13_시나리오비교'!$B$12))*COS(RADIANS('13_시나리오비교'!$C$12))+$I323*COS(RADIANS('13_시나리오비교'!$B$12))),0)</f>
        <v/>
      </c>
      <c r="X323" s="80">
        <f>IF($I323&gt;0,MAX(0,$G323*SIN(RADIANS('13_시나리오비교'!$B$13))*SIN(RADIANS('13_시나리오비교'!$C$13))+$H323*SIN(RADIANS('13_시나리오비교'!$B$13))*COS(RADIANS('13_시나리오비교'!$C$13))+$I323*COS(RADIANS('13_시나리오비교'!$B$13))),0)</f>
        <v/>
      </c>
      <c r="Y323" s="80">
        <f>IF($I323&gt;0,MAX(0,$G323*SIN(RADIANS('13_시나리오비교'!$B$14))*SIN(RADIANS('13_시나리오비교'!$C$14))+$H323*SIN(RADIANS('13_시나리오비교'!$B$14))*COS(RADIANS('13_시나리오비교'!$C$14))+$I323*COS(RADIANS('13_시나리오비교'!$B$14))),0)</f>
        <v/>
      </c>
    </row>
    <row r="324" hidden="1" outlineLevel="1">
      <c r="A324" s="79" t="n">
        <v>4</v>
      </c>
      <c r="B324" s="79" t="n">
        <v>16</v>
      </c>
      <c r="C324" s="80">
        <f>(B324-0.5)*'14_지역·상수'!$H$6</f>
        <v/>
      </c>
      <c r="D324" s="79" t="n">
        <v>105</v>
      </c>
      <c r="E324" s="80">
        <f>INDEX($C$4:$C$15,MATCH(A324,$A$4:$A$15,0))</f>
        <v/>
      </c>
      <c r="F324" s="80">
        <f>15*(C324-12)</f>
        <v/>
      </c>
      <c r="G324" s="80">
        <f>-COS(RADIANS(E324))*SIN(RADIANS(F324))</f>
        <v/>
      </c>
      <c r="H324" s="80">
        <f>COS(RADIANS('11_발전량_모델'!$B$17))*SIN(RADIANS(E324))-SIN(RADIANS('11_발전량_모델'!$B$17))*COS(RADIANS(E324))*COS(RADIANS(F324))</f>
        <v/>
      </c>
      <c r="I324" s="80">
        <f>SIN(RADIANS('11_발전량_모델'!$B$17))*SIN(RADIANS(E324))+COS(RADIANS('11_발전량_모델'!$B$17))*COS(RADIANS(E324))*COS(RADIANS(F324))</f>
        <v/>
      </c>
      <c r="J324" s="80">
        <f>SIN(RADIANS('11_발전량_모델'!$B$7))*SIN(RADIANS('11_발전량_모델'!$B$8))</f>
        <v/>
      </c>
      <c r="K324" s="80">
        <f>SIN(RADIANS('11_발전량_모델'!$B$7))*COS(RADIANS('11_발전량_모델'!$B$8))</f>
        <v/>
      </c>
      <c r="L324" s="80">
        <f>COS(RADIANS('11_발전량_모델'!$B$7))</f>
        <v/>
      </c>
      <c r="M324" s="80">
        <f>G324*J324+H324*K324+I324*L324</f>
        <v/>
      </c>
      <c r="N324" s="80">
        <f>MAX(0,I324)</f>
        <v/>
      </c>
      <c r="O324" s="80">
        <f>IF(I324&gt;0,MAX(0,M324),0)</f>
        <v/>
      </c>
      <c r="P324" s="80">
        <f>IF($I324&gt;0,MAX(0,$G324*SIN(RADIANS('13_시나리오비교'!$B$5))*SIN(RADIANS('13_시나리오비교'!$C$5))+$H324*SIN(RADIANS('13_시나리오비교'!$B$5))*COS(RADIANS('13_시나리오비교'!$C$5))+$I324*COS(RADIANS('13_시나리오비교'!$B$5))),0)</f>
        <v/>
      </c>
      <c r="Q324" s="80">
        <f>IF($I324&gt;0,MAX(0,$G324*SIN(RADIANS('13_시나리오비교'!$B$6))*SIN(RADIANS('13_시나리오비교'!$C$6))+$H324*SIN(RADIANS('13_시나리오비교'!$B$6))*COS(RADIANS('13_시나리오비교'!$C$6))+$I324*COS(RADIANS('13_시나리오비교'!$B$6))),0)</f>
        <v/>
      </c>
      <c r="R324" s="80">
        <f>IF($I324&gt;0,MAX(0,$G324*SIN(RADIANS('13_시나리오비교'!$B$7))*SIN(RADIANS('13_시나리오비교'!$C$7))+$H324*SIN(RADIANS('13_시나리오비교'!$B$7))*COS(RADIANS('13_시나리오비교'!$C$7))+$I324*COS(RADIANS('13_시나리오비교'!$B$7))),0)</f>
        <v/>
      </c>
      <c r="S324" s="80">
        <f>IF($I324&gt;0,MAX(0,$G324*SIN(RADIANS('13_시나리오비교'!$B$8))*SIN(RADIANS('13_시나리오비교'!$C$8))+$H324*SIN(RADIANS('13_시나리오비교'!$B$8))*COS(RADIANS('13_시나리오비교'!$C$8))+$I324*COS(RADIANS('13_시나리오비교'!$B$8))),0)</f>
        <v/>
      </c>
      <c r="T324" s="80">
        <f>IF($I324&gt;0,MAX(0,$G324*SIN(RADIANS('13_시나리오비교'!$B$9))*SIN(RADIANS('13_시나리오비교'!$C$9))+$H324*SIN(RADIANS('13_시나리오비교'!$B$9))*COS(RADIANS('13_시나리오비교'!$C$9))+$I324*COS(RADIANS('13_시나리오비교'!$B$9))),0)</f>
        <v/>
      </c>
      <c r="U324" s="80">
        <f>IF($I324&gt;0,MAX(0,$G324*SIN(RADIANS('13_시나리오비교'!$B$10))*SIN(RADIANS('13_시나리오비교'!$C$10))+$H324*SIN(RADIANS('13_시나리오비교'!$B$10))*COS(RADIANS('13_시나리오비교'!$C$10))+$I324*COS(RADIANS('13_시나리오비교'!$B$10))),0)</f>
        <v/>
      </c>
      <c r="V324" s="80">
        <f>IF($I324&gt;0,MAX(0,$G324*SIN(RADIANS('13_시나리오비교'!$B$11))*SIN(RADIANS('13_시나리오비교'!$C$11))+$H324*SIN(RADIANS('13_시나리오비교'!$B$11))*COS(RADIANS('13_시나리오비교'!$C$11))+$I324*COS(RADIANS('13_시나리오비교'!$B$11))),0)</f>
        <v/>
      </c>
      <c r="W324" s="80">
        <f>IF($I324&gt;0,MAX(0,$G324*SIN(RADIANS('13_시나리오비교'!$B$12))*SIN(RADIANS('13_시나리오비교'!$C$12))+$H324*SIN(RADIANS('13_시나리오비교'!$B$12))*COS(RADIANS('13_시나리오비교'!$C$12))+$I324*COS(RADIANS('13_시나리오비교'!$B$12))),0)</f>
        <v/>
      </c>
      <c r="X324" s="80">
        <f>IF($I324&gt;0,MAX(0,$G324*SIN(RADIANS('13_시나리오비교'!$B$13))*SIN(RADIANS('13_시나리오비교'!$C$13))+$H324*SIN(RADIANS('13_시나리오비교'!$B$13))*COS(RADIANS('13_시나리오비교'!$C$13))+$I324*COS(RADIANS('13_시나리오비교'!$B$13))),0)</f>
        <v/>
      </c>
      <c r="Y324" s="80">
        <f>IF($I324&gt;0,MAX(0,$G324*SIN(RADIANS('13_시나리오비교'!$B$14))*SIN(RADIANS('13_시나리오비교'!$C$14))+$H324*SIN(RADIANS('13_시나리오비교'!$B$14))*COS(RADIANS('13_시나리오비교'!$C$14))+$I324*COS(RADIANS('13_시나리오비교'!$B$14))),0)</f>
        <v/>
      </c>
    </row>
    <row r="325" hidden="1" outlineLevel="1">
      <c r="A325" s="79" t="n">
        <v>4</v>
      </c>
      <c r="B325" s="79" t="n">
        <v>17</v>
      </c>
      <c r="C325" s="80">
        <f>(B325-0.5)*'14_지역·상수'!$H$6</f>
        <v/>
      </c>
      <c r="D325" s="79" t="n">
        <v>105</v>
      </c>
      <c r="E325" s="80">
        <f>INDEX($C$4:$C$15,MATCH(A325,$A$4:$A$15,0))</f>
        <v/>
      </c>
      <c r="F325" s="80">
        <f>15*(C325-12)</f>
        <v/>
      </c>
      <c r="G325" s="80">
        <f>-COS(RADIANS(E325))*SIN(RADIANS(F325))</f>
        <v/>
      </c>
      <c r="H325" s="80">
        <f>COS(RADIANS('11_발전량_모델'!$B$17))*SIN(RADIANS(E325))-SIN(RADIANS('11_발전량_모델'!$B$17))*COS(RADIANS(E325))*COS(RADIANS(F325))</f>
        <v/>
      </c>
      <c r="I325" s="80">
        <f>SIN(RADIANS('11_발전량_모델'!$B$17))*SIN(RADIANS(E325))+COS(RADIANS('11_발전량_모델'!$B$17))*COS(RADIANS(E325))*COS(RADIANS(F325))</f>
        <v/>
      </c>
      <c r="J325" s="80">
        <f>SIN(RADIANS('11_발전량_모델'!$B$7))*SIN(RADIANS('11_발전량_모델'!$B$8))</f>
        <v/>
      </c>
      <c r="K325" s="80">
        <f>SIN(RADIANS('11_발전량_모델'!$B$7))*COS(RADIANS('11_발전량_모델'!$B$8))</f>
        <v/>
      </c>
      <c r="L325" s="80">
        <f>COS(RADIANS('11_발전량_모델'!$B$7))</f>
        <v/>
      </c>
      <c r="M325" s="80">
        <f>G325*J325+H325*K325+I325*L325</f>
        <v/>
      </c>
      <c r="N325" s="80">
        <f>MAX(0,I325)</f>
        <v/>
      </c>
      <c r="O325" s="80">
        <f>IF(I325&gt;0,MAX(0,M325),0)</f>
        <v/>
      </c>
      <c r="P325" s="80">
        <f>IF($I325&gt;0,MAX(0,$G325*SIN(RADIANS('13_시나리오비교'!$B$5))*SIN(RADIANS('13_시나리오비교'!$C$5))+$H325*SIN(RADIANS('13_시나리오비교'!$B$5))*COS(RADIANS('13_시나리오비교'!$C$5))+$I325*COS(RADIANS('13_시나리오비교'!$B$5))),0)</f>
        <v/>
      </c>
      <c r="Q325" s="80">
        <f>IF($I325&gt;0,MAX(0,$G325*SIN(RADIANS('13_시나리오비교'!$B$6))*SIN(RADIANS('13_시나리오비교'!$C$6))+$H325*SIN(RADIANS('13_시나리오비교'!$B$6))*COS(RADIANS('13_시나리오비교'!$C$6))+$I325*COS(RADIANS('13_시나리오비교'!$B$6))),0)</f>
        <v/>
      </c>
      <c r="R325" s="80">
        <f>IF($I325&gt;0,MAX(0,$G325*SIN(RADIANS('13_시나리오비교'!$B$7))*SIN(RADIANS('13_시나리오비교'!$C$7))+$H325*SIN(RADIANS('13_시나리오비교'!$B$7))*COS(RADIANS('13_시나리오비교'!$C$7))+$I325*COS(RADIANS('13_시나리오비교'!$B$7))),0)</f>
        <v/>
      </c>
      <c r="S325" s="80">
        <f>IF($I325&gt;0,MAX(0,$G325*SIN(RADIANS('13_시나리오비교'!$B$8))*SIN(RADIANS('13_시나리오비교'!$C$8))+$H325*SIN(RADIANS('13_시나리오비교'!$B$8))*COS(RADIANS('13_시나리오비교'!$C$8))+$I325*COS(RADIANS('13_시나리오비교'!$B$8))),0)</f>
        <v/>
      </c>
      <c r="T325" s="80">
        <f>IF($I325&gt;0,MAX(0,$G325*SIN(RADIANS('13_시나리오비교'!$B$9))*SIN(RADIANS('13_시나리오비교'!$C$9))+$H325*SIN(RADIANS('13_시나리오비교'!$B$9))*COS(RADIANS('13_시나리오비교'!$C$9))+$I325*COS(RADIANS('13_시나리오비교'!$B$9))),0)</f>
        <v/>
      </c>
      <c r="U325" s="80">
        <f>IF($I325&gt;0,MAX(0,$G325*SIN(RADIANS('13_시나리오비교'!$B$10))*SIN(RADIANS('13_시나리오비교'!$C$10))+$H325*SIN(RADIANS('13_시나리오비교'!$B$10))*COS(RADIANS('13_시나리오비교'!$C$10))+$I325*COS(RADIANS('13_시나리오비교'!$B$10))),0)</f>
        <v/>
      </c>
      <c r="V325" s="80">
        <f>IF($I325&gt;0,MAX(0,$G325*SIN(RADIANS('13_시나리오비교'!$B$11))*SIN(RADIANS('13_시나리오비교'!$C$11))+$H325*SIN(RADIANS('13_시나리오비교'!$B$11))*COS(RADIANS('13_시나리오비교'!$C$11))+$I325*COS(RADIANS('13_시나리오비교'!$B$11))),0)</f>
        <v/>
      </c>
      <c r="W325" s="80">
        <f>IF($I325&gt;0,MAX(0,$G325*SIN(RADIANS('13_시나리오비교'!$B$12))*SIN(RADIANS('13_시나리오비교'!$C$12))+$H325*SIN(RADIANS('13_시나리오비교'!$B$12))*COS(RADIANS('13_시나리오비교'!$C$12))+$I325*COS(RADIANS('13_시나리오비교'!$B$12))),0)</f>
        <v/>
      </c>
      <c r="X325" s="80">
        <f>IF($I325&gt;0,MAX(0,$G325*SIN(RADIANS('13_시나리오비교'!$B$13))*SIN(RADIANS('13_시나리오비교'!$C$13))+$H325*SIN(RADIANS('13_시나리오비교'!$B$13))*COS(RADIANS('13_시나리오비교'!$C$13))+$I325*COS(RADIANS('13_시나리오비교'!$B$13))),0)</f>
        <v/>
      </c>
      <c r="Y325" s="80">
        <f>IF($I325&gt;0,MAX(0,$G325*SIN(RADIANS('13_시나리오비교'!$B$14))*SIN(RADIANS('13_시나리오비교'!$C$14))+$H325*SIN(RADIANS('13_시나리오비교'!$B$14))*COS(RADIANS('13_시나리오비교'!$C$14))+$I325*COS(RADIANS('13_시나리오비교'!$B$14))),0)</f>
        <v/>
      </c>
    </row>
    <row r="326" hidden="1" outlineLevel="1">
      <c r="A326" s="79" t="n">
        <v>4</v>
      </c>
      <c r="B326" s="79" t="n">
        <v>18</v>
      </c>
      <c r="C326" s="80">
        <f>(B326-0.5)*'14_지역·상수'!$H$6</f>
        <v/>
      </c>
      <c r="D326" s="79" t="n">
        <v>105</v>
      </c>
      <c r="E326" s="80">
        <f>INDEX($C$4:$C$15,MATCH(A326,$A$4:$A$15,0))</f>
        <v/>
      </c>
      <c r="F326" s="80">
        <f>15*(C326-12)</f>
        <v/>
      </c>
      <c r="G326" s="80">
        <f>-COS(RADIANS(E326))*SIN(RADIANS(F326))</f>
        <v/>
      </c>
      <c r="H326" s="80">
        <f>COS(RADIANS('11_발전량_모델'!$B$17))*SIN(RADIANS(E326))-SIN(RADIANS('11_발전량_모델'!$B$17))*COS(RADIANS(E326))*COS(RADIANS(F326))</f>
        <v/>
      </c>
      <c r="I326" s="80">
        <f>SIN(RADIANS('11_발전량_모델'!$B$17))*SIN(RADIANS(E326))+COS(RADIANS('11_발전량_모델'!$B$17))*COS(RADIANS(E326))*COS(RADIANS(F326))</f>
        <v/>
      </c>
      <c r="J326" s="80">
        <f>SIN(RADIANS('11_발전량_모델'!$B$7))*SIN(RADIANS('11_발전량_모델'!$B$8))</f>
        <v/>
      </c>
      <c r="K326" s="80">
        <f>SIN(RADIANS('11_발전량_모델'!$B$7))*COS(RADIANS('11_발전량_모델'!$B$8))</f>
        <v/>
      </c>
      <c r="L326" s="80">
        <f>COS(RADIANS('11_발전량_모델'!$B$7))</f>
        <v/>
      </c>
      <c r="M326" s="80">
        <f>G326*J326+H326*K326+I326*L326</f>
        <v/>
      </c>
      <c r="N326" s="80">
        <f>MAX(0,I326)</f>
        <v/>
      </c>
      <c r="O326" s="80">
        <f>IF(I326&gt;0,MAX(0,M326),0)</f>
        <v/>
      </c>
      <c r="P326" s="80">
        <f>IF($I326&gt;0,MAX(0,$G326*SIN(RADIANS('13_시나리오비교'!$B$5))*SIN(RADIANS('13_시나리오비교'!$C$5))+$H326*SIN(RADIANS('13_시나리오비교'!$B$5))*COS(RADIANS('13_시나리오비교'!$C$5))+$I326*COS(RADIANS('13_시나리오비교'!$B$5))),0)</f>
        <v/>
      </c>
      <c r="Q326" s="80">
        <f>IF($I326&gt;0,MAX(0,$G326*SIN(RADIANS('13_시나리오비교'!$B$6))*SIN(RADIANS('13_시나리오비교'!$C$6))+$H326*SIN(RADIANS('13_시나리오비교'!$B$6))*COS(RADIANS('13_시나리오비교'!$C$6))+$I326*COS(RADIANS('13_시나리오비교'!$B$6))),0)</f>
        <v/>
      </c>
      <c r="R326" s="80">
        <f>IF($I326&gt;0,MAX(0,$G326*SIN(RADIANS('13_시나리오비교'!$B$7))*SIN(RADIANS('13_시나리오비교'!$C$7))+$H326*SIN(RADIANS('13_시나리오비교'!$B$7))*COS(RADIANS('13_시나리오비교'!$C$7))+$I326*COS(RADIANS('13_시나리오비교'!$B$7))),0)</f>
        <v/>
      </c>
      <c r="S326" s="80">
        <f>IF($I326&gt;0,MAX(0,$G326*SIN(RADIANS('13_시나리오비교'!$B$8))*SIN(RADIANS('13_시나리오비교'!$C$8))+$H326*SIN(RADIANS('13_시나리오비교'!$B$8))*COS(RADIANS('13_시나리오비교'!$C$8))+$I326*COS(RADIANS('13_시나리오비교'!$B$8))),0)</f>
        <v/>
      </c>
      <c r="T326" s="80">
        <f>IF($I326&gt;0,MAX(0,$G326*SIN(RADIANS('13_시나리오비교'!$B$9))*SIN(RADIANS('13_시나리오비교'!$C$9))+$H326*SIN(RADIANS('13_시나리오비교'!$B$9))*COS(RADIANS('13_시나리오비교'!$C$9))+$I326*COS(RADIANS('13_시나리오비교'!$B$9))),0)</f>
        <v/>
      </c>
      <c r="U326" s="80">
        <f>IF($I326&gt;0,MAX(0,$G326*SIN(RADIANS('13_시나리오비교'!$B$10))*SIN(RADIANS('13_시나리오비교'!$C$10))+$H326*SIN(RADIANS('13_시나리오비교'!$B$10))*COS(RADIANS('13_시나리오비교'!$C$10))+$I326*COS(RADIANS('13_시나리오비교'!$B$10))),0)</f>
        <v/>
      </c>
      <c r="V326" s="80">
        <f>IF($I326&gt;0,MAX(0,$G326*SIN(RADIANS('13_시나리오비교'!$B$11))*SIN(RADIANS('13_시나리오비교'!$C$11))+$H326*SIN(RADIANS('13_시나리오비교'!$B$11))*COS(RADIANS('13_시나리오비교'!$C$11))+$I326*COS(RADIANS('13_시나리오비교'!$B$11))),0)</f>
        <v/>
      </c>
      <c r="W326" s="80">
        <f>IF($I326&gt;0,MAX(0,$G326*SIN(RADIANS('13_시나리오비교'!$B$12))*SIN(RADIANS('13_시나리오비교'!$C$12))+$H326*SIN(RADIANS('13_시나리오비교'!$B$12))*COS(RADIANS('13_시나리오비교'!$C$12))+$I326*COS(RADIANS('13_시나리오비교'!$B$12))),0)</f>
        <v/>
      </c>
      <c r="X326" s="80">
        <f>IF($I326&gt;0,MAX(0,$G326*SIN(RADIANS('13_시나리오비교'!$B$13))*SIN(RADIANS('13_시나리오비교'!$C$13))+$H326*SIN(RADIANS('13_시나리오비교'!$B$13))*COS(RADIANS('13_시나리오비교'!$C$13))+$I326*COS(RADIANS('13_시나리오비교'!$B$13))),0)</f>
        <v/>
      </c>
      <c r="Y326" s="80">
        <f>IF($I326&gt;0,MAX(0,$G326*SIN(RADIANS('13_시나리오비교'!$B$14))*SIN(RADIANS('13_시나리오비교'!$C$14))+$H326*SIN(RADIANS('13_시나리오비교'!$B$14))*COS(RADIANS('13_시나리오비교'!$C$14))+$I326*COS(RADIANS('13_시나리오비교'!$B$14))),0)</f>
        <v/>
      </c>
    </row>
    <row r="327" hidden="1" outlineLevel="1">
      <c r="A327" s="79" t="n">
        <v>4</v>
      </c>
      <c r="B327" s="79" t="n">
        <v>19</v>
      </c>
      <c r="C327" s="80">
        <f>(B327-0.5)*'14_지역·상수'!$H$6</f>
        <v/>
      </c>
      <c r="D327" s="79" t="n">
        <v>105</v>
      </c>
      <c r="E327" s="80">
        <f>INDEX($C$4:$C$15,MATCH(A327,$A$4:$A$15,0))</f>
        <v/>
      </c>
      <c r="F327" s="80">
        <f>15*(C327-12)</f>
        <v/>
      </c>
      <c r="G327" s="80">
        <f>-COS(RADIANS(E327))*SIN(RADIANS(F327))</f>
        <v/>
      </c>
      <c r="H327" s="80">
        <f>COS(RADIANS('11_발전량_모델'!$B$17))*SIN(RADIANS(E327))-SIN(RADIANS('11_발전량_모델'!$B$17))*COS(RADIANS(E327))*COS(RADIANS(F327))</f>
        <v/>
      </c>
      <c r="I327" s="80">
        <f>SIN(RADIANS('11_발전량_모델'!$B$17))*SIN(RADIANS(E327))+COS(RADIANS('11_발전량_모델'!$B$17))*COS(RADIANS(E327))*COS(RADIANS(F327))</f>
        <v/>
      </c>
      <c r="J327" s="80">
        <f>SIN(RADIANS('11_발전량_모델'!$B$7))*SIN(RADIANS('11_발전량_모델'!$B$8))</f>
        <v/>
      </c>
      <c r="K327" s="80">
        <f>SIN(RADIANS('11_발전량_모델'!$B$7))*COS(RADIANS('11_발전량_모델'!$B$8))</f>
        <v/>
      </c>
      <c r="L327" s="80">
        <f>COS(RADIANS('11_발전량_모델'!$B$7))</f>
        <v/>
      </c>
      <c r="M327" s="80">
        <f>G327*J327+H327*K327+I327*L327</f>
        <v/>
      </c>
      <c r="N327" s="80">
        <f>MAX(0,I327)</f>
        <v/>
      </c>
      <c r="O327" s="80">
        <f>IF(I327&gt;0,MAX(0,M327),0)</f>
        <v/>
      </c>
      <c r="P327" s="80">
        <f>IF($I327&gt;0,MAX(0,$G327*SIN(RADIANS('13_시나리오비교'!$B$5))*SIN(RADIANS('13_시나리오비교'!$C$5))+$H327*SIN(RADIANS('13_시나리오비교'!$B$5))*COS(RADIANS('13_시나리오비교'!$C$5))+$I327*COS(RADIANS('13_시나리오비교'!$B$5))),0)</f>
        <v/>
      </c>
      <c r="Q327" s="80">
        <f>IF($I327&gt;0,MAX(0,$G327*SIN(RADIANS('13_시나리오비교'!$B$6))*SIN(RADIANS('13_시나리오비교'!$C$6))+$H327*SIN(RADIANS('13_시나리오비교'!$B$6))*COS(RADIANS('13_시나리오비교'!$C$6))+$I327*COS(RADIANS('13_시나리오비교'!$B$6))),0)</f>
        <v/>
      </c>
      <c r="R327" s="80">
        <f>IF($I327&gt;0,MAX(0,$G327*SIN(RADIANS('13_시나리오비교'!$B$7))*SIN(RADIANS('13_시나리오비교'!$C$7))+$H327*SIN(RADIANS('13_시나리오비교'!$B$7))*COS(RADIANS('13_시나리오비교'!$C$7))+$I327*COS(RADIANS('13_시나리오비교'!$B$7))),0)</f>
        <v/>
      </c>
      <c r="S327" s="80">
        <f>IF($I327&gt;0,MAX(0,$G327*SIN(RADIANS('13_시나리오비교'!$B$8))*SIN(RADIANS('13_시나리오비교'!$C$8))+$H327*SIN(RADIANS('13_시나리오비교'!$B$8))*COS(RADIANS('13_시나리오비교'!$C$8))+$I327*COS(RADIANS('13_시나리오비교'!$B$8))),0)</f>
        <v/>
      </c>
      <c r="T327" s="80">
        <f>IF($I327&gt;0,MAX(0,$G327*SIN(RADIANS('13_시나리오비교'!$B$9))*SIN(RADIANS('13_시나리오비교'!$C$9))+$H327*SIN(RADIANS('13_시나리오비교'!$B$9))*COS(RADIANS('13_시나리오비교'!$C$9))+$I327*COS(RADIANS('13_시나리오비교'!$B$9))),0)</f>
        <v/>
      </c>
      <c r="U327" s="80">
        <f>IF($I327&gt;0,MAX(0,$G327*SIN(RADIANS('13_시나리오비교'!$B$10))*SIN(RADIANS('13_시나리오비교'!$C$10))+$H327*SIN(RADIANS('13_시나리오비교'!$B$10))*COS(RADIANS('13_시나리오비교'!$C$10))+$I327*COS(RADIANS('13_시나리오비교'!$B$10))),0)</f>
        <v/>
      </c>
      <c r="V327" s="80">
        <f>IF($I327&gt;0,MAX(0,$G327*SIN(RADIANS('13_시나리오비교'!$B$11))*SIN(RADIANS('13_시나리오비교'!$C$11))+$H327*SIN(RADIANS('13_시나리오비교'!$B$11))*COS(RADIANS('13_시나리오비교'!$C$11))+$I327*COS(RADIANS('13_시나리오비교'!$B$11))),0)</f>
        <v/>
      </c>
      <c r="W327" s="80">
        <f>IF($I327&gt;0,MAX(0,$G327*SIN(RADIANS('13_시나리오비교'!$B$12))*SIN(RADIANS('13_시나리오비교'!$C$12))+$H327*SIN(RADIANS('13_시나리오비교'!$B$12))*COS(RADIANS('13_시나리오비교'!$C$12))+$I327*COS(RADIANS('13_시나리오비교'!$B$12))),0)</f>
        <v/>
      </c>
      <c r="X327" s="80">
        <f>IF($I327&gt;0,MAX(0,$G327*SIN(RADIANS('13_시나리오비교'!$B$13))*SIN(RADIANS('13_시나리오비교'!$C$13))+$H327*SIN(RADIANS('13_시나리오비교'!$B$13))*COS(RADIANS('13_시나리오비교'!$C$13))+$I327*COS(RADIANS('13_시나리오비교'!$B$13))),0)</f>
        <v/>
      </c>
      <c r="Y327" s="80">
        <f>IF($I327&gt;0,MAX(0,$G327*SIN(RADIANS('13_시나리오비교'!$B$14))*SIN(RADIANS('13_시나리오비교'!$C$14))+$H327*SIN(RADIANS('13_시나리오비교'!$B$14))*COS(RADIANS('13_시나리오비교'!$C$14))+$I327*COS(RADIANS('13_시나리오비교'!$B$14))),0)</f>
        <v/>
      </c>
    </row>
    <row r="328" hidden="1" outlineLevel="1">
      <c r="A328" s="79" t="n">
        <v>4</v>
      </c>
      <c r="B328" s="79" t="n">
        <v>20</v>
      </c>
      <c r="C328" s="80">
        <f>(B328-0.5)*'14_지역·상수'!$H$6</f>
        <v/>
      </c>
      <c r="D328" s="79" t="n">
        <v>105</v>
      </c>
      <c r="E328" s="80">
        <f>INDEX($C$4:$C$15,MATCH(A328,$A$4:$A$15,0))</f>
        <v/>
      </c>
      <c r="F328" s="80">
        <f>15*(C328-12)</f>
        <v/>
      </c>
      <c r="G328" s="80">
        <f>-COS(RADIANS(E328))*SIN(RADIANS(F328))</f>
        <v/>
      </c>
      <c r="H328" s="80">
        <f>COS(RADIANS('11_발전량_모델'!$B$17))*SIN(RADIANS(E328))-SIN(RADIANS('11_발전량_모델'!$B$17))*COS(RADIANS(E328))*COS(RADIANS(F328))</f>
        <v/>
      </c>
      <c r="I328" s="80">
        <f>SIN(RADIANS('11_발전량_모델'!$B$17))*SIN(RADIANS(E328))+COS(RADIANS('11_발전량_모델'!$B$17))*COS(RADIANS(E328))*COS(RADIANS(F328))</f>
        <v/>
      </c>
      <c r="J328" s="80">
        <f>SIN(RADIANS('11_발전량_모델'!$B$7))*SIN(RADIANS('11_발전량_모델'!$B$8))</f>
        <v/>
      </c>
      <c r="K328" s="80">
        <f>SIN(RADIANS('11_발전량_모델'!$B$7))*COS(RADIANS('11_발전량_모델'!$B$8))</f>
        <v/>
      </c>
      <c r="L328" s="80">
        <f>COS(RADIANS('11_발전량_모델'!$B$7))</f>
        <v/>
      </c>
      <c r="M328" s="80">
        <f>G328*J328+H328*K328+I328*L328</f>
        <v/>
      </c>
      <c r="N328" s="80">
        <f>MAX(0,I328)</f>
        <v/>
      </c>
      <c r="O328" s="80">
        <f>IF(I328&gt;0,MAX(0,M328),0)</f>
        <v/>
      </c>
      <c r="P328" s="80">
        <f>IF($I328&gt;0,MAX(0,$G328*SIN(RADIANS('13_시나리오비교'!$B$5))*SIN(RADIANS('13_시나리오비교'!$C$5))+$H328*SIN(RADIANS('13_시나리오비교'!$B$5))*COS(RADIANS('13_시나리오비교'!$C$5))+$I328*COS(RADIANS('13_시나리오비교'!$B$5))),0)</f>
        <v/>
      </c>
      <c r="Q328" s="80">
        <f>IF($I328&gt;0,MAX(0,$G328*SIN(RADIANS('13_시나리오비교'!$B$6))*SIN(RADIANS('13_시나리오비교'!$C$6))+$H328*SIN(RADIANS('13_시나리오비교'!$B$6))*COS(RADIANS('13_시나리오비교'!$C$6))+$I328*COS(RADIANS('13_시나리오비교'!$B$6))),0)</f>
        <v/>
      </c>
      <c r="R328" s="80">
        <f>IF($I328&gt;0,MAX(0,$G328*SIN(RADIANS('13_시나리오비교'!$B$7))*SIN(RADIANS('13_시나리오비교'!$C$7))+$H328*SIN(RADIANS('13_시나리오비교'!$B$7))*COS(RADIANS('13_시나리오비교'!$C$7))+$I328*COS(RADIANS('13_시나리오비교'!$B$7))),0)</f>
        <v/>
      </c>
      <c r="S328" s="80">
        <f>IF($I328&gt;0,MAX(0,$G328*SIN(RADIANS('13_시나리오비교'!$B$8))*SIN(RADIANS('13_시나리오비교'!$C$8))+$H328*SIN(RADIANS('13_시나리오비교'!$B$8))*COS(RADIANS('13_시나리오비교'!$C$8))+$I328*COS(RADIANS('13_시나리오비교'!$B$8))),0)</f>
        <v/>
      </c>
      <c r="T328" s="80">
        <f>IF($I328&gt;0,MAX(0,$G328*SIN(RADIANS('13_시나리오비교'!$B$9))*SIN(RADIANS('13_시나리오비교'!$C$9))+$H328*SIN(RADIANS('13_시나리오비교'!$B$9))*COS(RADIANS('13_시나리오비교'!$C$9))+$I328*COS(RADIANS('13_시나리오비교'!$B$9))),0)</f>
        <v/>
      </c>
      <c r="U328" s="80">
        <f>IF($I328&gt;0,MAX(0,$G328*SIN(RADIANS('13_시나리오비교'!$B$10))*SIN(RADIANS('13_시나리오비교'!$C$10))+$H328*SIN(RADIANS('13_시나리오비교'!$B$10))*COS(RADIANS('13_시나리오비교'!$C$10))+$I328*COS(RADIANS('13_시나리오비교'!$B$10))),0)</f>
        <v/>
      </c>
      <c r="V328" s="80">
        <f>IF($I328&gt;0,MAX(0,$G328*SIN(RADIANS('13_시나리오비교'!$B$11))*SIN(RADIANS('13_시나리오비교'!$C$11))+$H328*SIN(RADIANS('13_시나리오비교'!$B$11))*COS(RADIANS('13_시나리오비교'!$C$11))+$I328*COS(RADIANS('13_시나리오비교'!$B$11))),0)</f>
        <v/>
      </c>
      <c r="W328" s="80">
        <f>IF($I328&gt;0,MAX(0,$G328*SIN(RADIANS('13_시나리오비교'!$B$12))*SIN(RADIANS('13_시나리오비교'!$C$12))+$H328*SIN(RADIANS('13_시나리오비교'!$B$12))*COS(RADIANS('13_시나리오비교'!$C$12))+$I328*COS(RADIANS('13_시나리오비교'!$B$12))),0)</f>
        <v/>
      </c>
      <c r="X328" s="80">
        <f>IF($I328&gt;0,MAX(0,$G328*SIN(RADIANS('13_시나리오비교'!$B$13))*SIN(RADIANS('13_시나리오비교'!$C$13))+$H328*SIN(RADIANS('13_시나리오비교'!$B$13))*COS(RADIANS('13_시나리오비교'!$C$13))+$I328*COS(RADIANS('13_시나리오비교'!$B$13))),0)</f>
        <v/>
      </c>
      <c r="Y328" s="80">
        <f>IF($I328&gt;0,MAX(0,$G328*SIN(RADIANS('13_시나리오비교'!$B$14))*SIN(RADIANS('13_시나리오비교'!$C$14))+$H328*SIN(RADIANS('13_시나리오비교'!$B$14))*COS(RADIANS('13_시나리오비교'!$C$14))+$I328*COS(RADIANS('13_시나리오비교'!$B$14))),0)</f>
        <v/>
      </c>
    </row>
    <row r="329" hidden="1" outlineLevel="1">
      <c r="A329" s="79" t="n">
        <v>4</v>
      </c>
      <c r="B329" s="79" t="n">
        <v>21</v>
      </c>
      <c r="C329" s="80">
        <f>(B329-0.5)*'14_지역·상수'!$H$6</f>
        <v/>
      </c>
      <c r="D329" s="79" t="n">
        <v>105</v>
      </c>
      <c r="E329" s="80">
        <f>INDEX($C$4:$C$15,MATCH(A329,$A$4:$A$15,0))</f>
        <v/>
      </c>
      <c r="F329" s="80">
        <f>15*(C329-12)</f>
        <v/>
      </c>
      <c r="G329" s="80">
        <f>-COS(RADIANS(E329))*SIN(RADIANS(F329))</f>
        <v/>
      </c>
      <c r="H329" s="80">
        <f>COS(RADIANS('11_발전량_모델'!$B$17))*SIN(RADIANS(E329))-SIN(RADIANS('11_발전량_모델'!$B$17))*COS(RADIANS(E329))*COS(RADIANS(F329))</f>
        <v/>
      </c>
      <c r="I329" s="80">
        <f>SIN(RADIANS('11_발전량_모델'!$B$17))*SIN(RADIANS(E329))+COS(RADIANS('11_발전량_모델'!$B$17))*COS(RADIANS(E329))*COS(RADIANS(F329))</f>
        <v/>
      </c>
      <c r="J329" s="80">
        <f>SIN(RADIANS('11_발전량_모델'!$B$7))*SIN(RADIANS('11_발전량_모델'!$B$8))</f>
        <v/>
      </c>
      <c r="K329" s="80">
        <f>SIN(RADIANS('11_발전량_모델'!$B$7))*COS(RADIANS('11_발전량_모델'!$B$8))</f>
        <v/>
      </c>
      <c r="L329" s="80">
        <f>COS(RADIANS('11_발전량_모델'!$B$7))</f>
        <v/>
      </c>
      <c r="M329" s="80">
        <f>G329*J329+H329*K329+I329*L329</f>
        <v/>
      </c>
      <c r="N329" s="80">
        <f>MAX(0,I329)</f>
        <v/>
      </c>
      <c r="O329" s="80">
        <f>IF(I329&gt;0,MAX(0,M329),0)</f>
        <v/>
      </c>
      <c r="P329" s="80">
        <f>IF($I329&gt;0,MAX(0,$G329*SIN(RADIANS('13_시나리오비교'!$B$5))*SIN(RADIANS('13_시나리오비교'!$C$5))+$H329*SIN(RADIANS('13_시나리오비교'!$B$5))*COS(RADIANS('13_시나리오비교'!$C$5))+$I329*COS(RADIANS('13_시나리오비교'!$B$5))),0)</f>
        <v/>
      </c>
      <c r="Q329" s="80">
        <f>IF($I329&gt;0,MAX(0,$G329*SIN(RADIANS('13_시나리오비교'!$B$6))*SIN(RADIANS('13_시나리오비교'!$C$6))+$H329*SIN(RADIANS('13_시나리오비교'!$B$6))*COS(RADIANS('13_시나리오비교'!$C$6))+$I329*COS(RADIANS('13_시나리오비교'!$B$6))),0)</f>
        <v/>
      </c>
      <c r="R329" s="80">
        <f>IF($I329&gt;0,MAX(0,$G329*SIN(RADIANS('13_시나리오비교'!$B$7))*SIN(RADIANS('13_시나리오비교'!$C$7))+$H329*SIN(RADIANS('13_시나리오비교'!$B$7))*COS(RADIANS('13_시나리오비교'!$C$7))+$I329*COS(RADIANS('13_시나리오비교'!$B$7))),0)</f>
        <v/>
      </c>
      <c r="S329" s="80">
        <f>IF($I329&gt;0,MAX(0,$G329*SIN(RADIANS('13_시나리오비교'!$B$8))*SIN(RADIANS('13_시나리오비교'!$C$8))+$H329*SIN(RADIANS('13_시나리오비교'!$B$8))*COS(RADIANS('13_시나리오비교'!$C$8))+$I329*COS(RADIANS('13_시나리오비교'!$B$8))),0)</f>
        <v/>
      </c>
      <c r="T329" s="80">
        <f>IF($I329&gt;0,MAX(0,$G329*SIN(RADIANS('13_시나리오비교'!$B$9))*SIN(RADIANS('13_시나리오비교'!$C$9))+$H329*SIN(RADIANS('13_시나리오비교'!$B$9))*COS(RADIANS('13_시나리오비교'!$C$9))+$I329*COS(RADIANS('13_시나리오비교'!$B$9))),0)</f>
        <v/>
      </c>
      <c r="U329" s="80">
        <f>IF($I329&gt;0,MAX(0,$G329*SIN(RADIANS('13_시나리오비교'!$B$10))*SIN(RADIANS('13_시나리오비교'!$C$10))+$H329*SIN(RADIANS('13_시나리오비교'!$B$10))*COS(RADIANS('13_시나리오비교'!$C$10))+$I329*COS(RADIANS('13_시나리오비교'!$B$10))),0)</f>
        <v/>
      </c>
      <c r="V329" s="80">
        <f>IF($I329&gt;0,MAX(0,$G329*SIN(RADIANS('13_시나리오비교'!$B$11))*SIN(RADIANS('13_시나리오비교'!$C$11))+$H329*SIN(RADIANS('13_시나리오비교'!$B$11))*COS(RADIANS('13_시나리오비교'!$C$11))+$I329*COS(RADIANS('13_시나리오비교'!$B$11))),0)</f>
        <v/>
      </c>
      <c r="W329" s="80">
        <f>IF($I329&gt;0,MAX(0,$G329*SIN(RADIANS('13_시나리오비교'!$B$12))*SIN(RADIANS('13_시나리오비교'!$C$12))+$H329*SIN(RADIANS('13_시나리오비교'!$B$12))*COS(RADIANS('13_시나리오비교'!$C$12))+$I329*COS(RADIANS('13_시나리오비교'!$B$12))),0)</f>
        <v/>
      </c>
      <c r="X329" s="80">
        <f>IF($I329&gt;0,MAX(0,$G329*SIN(RADIANS('13_시나리오비교'!$B$13))*SIN(RADIANS('13_시나리오비교'!$C$13))+$H329*SIN(RADIANS('13_시나리오비교'!$B$13))*COS(RADIANS('13_시나리오비교'!$C$13))+$I329*COS(RADIANS('13_시나리오비교'!$B$13))),0)</f>
        <v/>
      </c>
      <c r="Y329" s="80">
        <f>IF($I329&gt;0,MAX(0,$G329*SIN(RADIANS('13_시나리오비교'!$B$14))*SIN(RADIANS('13_시나리오비교'!$C$14))+$H329*SIN(RADIANS('13_시나리오비교'!$B$14))*COS(RADIANS('13_시나리오비교'!$C$14))+$I329*COS(RADIANS('13_시나리오비교'!$B$14))),0)</f>
        <v/>
      </c>
    </row>
    <row r="330" hidden="1" outlineLevel="1">
      <c r="A330" s="79" t="n">
        <v>4</v>
      </c>
      <c r="B330" s="79" t="n">
        <v>22</v>
      </c>
      <c r="C330" s="80">
        <f>(B330-0.5)*'14_지역·상수'!$H$6</f>
        <v/>
      </c>
      <c r="D330" s="79" t="n">
        <v>105</v>
      </c>
      <c r="E330" s="80">
        <f>INDEX($C$4:$C$15,MATCH(A330,$A$4:$A$15,0))</f>
        <v/>
      </c>
      <c r="F330" s="80">
        <f>15*(C330-12)</f>
        <v/>
      </c>
      <c r="G330" s="80">
        <f>-COS(RADIANS(E330))*SIN(RADIANS(F330))</f>
        <v/>
      </c>
      <c r="H330" s="80">
        <f>COS(RADIANS('11_발전량_모델'!$B$17))*SIN(RADIANS(E330))-SIN(RADIANS('11_발전량_모델'!$B$17))*COS(RADIANS(E330))*COS(RADIANS(F330))</f>
        <v/>
      </c>
      <c r="I330" s="80">
        <f>SIN(RADIANS('11_발전량_모델'!$B$17))*SIN(RADIANS(E330))+COS(RADIANS('11_발전량_모델'!$B$17))*COS(RADIANS(E330))*COS(RADIANS(F330))</f>
        <v/>
      </c>
      <c r="J330" s="80">
        <f>SIN(RADIANS('11_발전량_모델'!$B$7))*SIN(RADIANS('11_발전량_모델'!$B$8))</f>
        <v/>
      </c>
      <c r="K330" s="80">
        <f>SIN(RADIANS('11_발전량_모델'!$B$7))*COS(RADIANS('11_발전량_모델'!$B$8))</f>
        <v/>
      </c>
      <c r="L330" s="80">
        <f>COS(RADIANS('11_발전량_모델'!$B$7))</f>
        <v/>
      </c>
      <c r="M330" s="80">
        <f>G330*J330+H330*K330+I330*L330</f>
        <v/>
      </c>
      <c r="N330" s="80">
        <f>MAX(0,I330)</f>
        <v/>
      </c>
      <c r="O330" s="80">
        <f>IF(I330&gt;0,MAX(0,M330),0)</f>
        <v/>
      </c>
      <c r="P330" s="80">
        <f>IF($I330&gt;0,MAX(0,$G330*SIN(RADIANS('13_시나리오비교'!$B$5))*SIN(RADIANS('13_시나리오비교'!$C$5))+$H330*SIN(RADIANS('13_시나리오비교'!$B$5))*COS(RADIANS('13_시나리오비교'!$C$5))+$I330*COS(RADIANS('13_시나리오비교'!$B$5))),0)</f>
        <v/>
      </c>
      <c r="Q330" s="80">
        <f>IF($I330&gt;0,MAX(0,$G330*SIN(RADIANS('13_시나리오비교'!$B$6))*SIN(RADIANS('13_시나리오비교'!$C$6))+$H330*SIN(RADIANS('13_시나리오비교'!$B$6))*COS(RADIANS('13_시나리오비교'!$C$6))+$I330*COS(RADIANS('13_시나리오비교'!$B$6))),0)</f>
        <v/>
      </c>
      <c r="R330" s="80">
        <f>IF($I330&gt;0,MAX(0,$G330*SIN(RADIANS('13_시나리오비교'!$B$7))*SIN(RADIANS('13_시나리오비교'!$C$7))+$H330*SIN(RADIANS('13_시나리오비교'!$B$7))*COS(RADIANS('13_시나리오비교'!$C$7))+$I330*COS(RADIANS('13_시나리오비교'!$B$7))),0)</f>
        <v/>
      </c>
      <c r="S330" s="80">
        <f>IF($I330&gt;0,MAX(0,$G330*SIN(RADIANS('13_시나리오비교'!$B$8))*SIN(RADIANS('13_시나리오비교'!$C$8))+$H330*SIN(RADIANS('13_시나리오비교'!$B$8))*COS(RADIANS('13_시나리오비교'!$C$8))+$I330*COS(RADIANS('13_시나리오비교'!$B$8))),0)</f>
        <v/>
      </c>
      <c r="T330" s="80">
        <f>IF($I330&gt;0,MAX(0,$G330*SIN(RADIANS('13_시나리오비교'!$B$9))*SIN(RADIANS('13_시나리오비교'!$C$9))+$H330*SIN(RADIANS('13_시나리오비교'!$B$9))*COS(RADIANS('13_시나리오비교'!$C$9))+$I330*COS(RADIANS('13_시나리오비교'!$B$9))),0)</f>
        <v/>
      </c>
      <c r="U330" s="80">
        <f>IF($I330&gt;0,MAX(0,$G330*SIN(RADIANS('13_시나리오비교'!$B$10))*SIN(RADIANS('13_시나리오비교'!$C$10))+$H330*SIN(RADIANS('13_시나리오비교'!$B$10))*COS(RADIANS('13_시나리오비교'!$C$10))+$I330*COS(RADIANS('13_시나리오비교'!$B$10))),0)</f>
        <v/>
      </c>
      <c r="V330" s="80">
        <f>IF($I330&gt;0,MAX(0,$G330*SIN(RADIANS('13_시나리오비교'!$B$11))*SIN(RADIANS('13_시나리오비교'!$C$11))+$H330*SIN(RADIANS('13_시나리오비교'!$B$11))*COS(RADIANS('13_시나리오비교'!$C$11))+$I330*COS(RADIANS('13_시나리오비교'!$B$11))),0)</f>
        <v/>
      </c>
      <c r="W330" s="80">
        <f>IF($I330&gt;0,MAX(0,$G330*SIN(RADIANS('13_시나리오비교'!$B$12))*SIN(RADIANS('13_시나리오비교'!$C$12))+$H330*SIN(RADIANS('13_시나리오비교'!$B$12))*COS(RADIANS('13_시나리오비교'!$C$12))+$I330*COS(RADIANS('13_시나리오비교'!$B$12))),0)</f>
        <v/>
      </c>
      <c r="X330" s="80">
        <f>IF($I330&gt;0,MAX(0,$G330*SIN(RADIANS('13_시나리오비교'!$B$13))*SIN(RADIANS('13_시나리오비교'!$C$13))+$H330*SIN(RADIANS('13_시나리오비교'!$B$13))*COS(RADIANS('13_시나리오비교'!$C$13))+$I330*COS(RADIANS('13_시나리오비교'!$B$13))),0)</f>
        <v/>
      </c>
      <c r="Y330" s="80">
        <f>IF($I330&gt;0,MAX(0,$G330*SIN(RADIANS('13_시나리오비교'!$B$14))*SIN(RADIANS('13_시나리오비교'!$C$14))+$H330*SIN(RADIANS('13_시나리오비교'!$B$14))*COS(RADIANS('13_시나리오비교'!$C$14))+$I330*COS(RADIANS('13_시나리오비교'!$B$14))),0)</f>
        <v/>
      </c>
    </row>
    <row r="331" hidden="1" outlineLevel="1">
      <c r="A331" s="79" t="n">
        <v>4</v>
      </c>
      <c r="B331" s="79" t="n">
        <v>23</v>
      </c>
      <c r="C331" s="80">
        <f>(B331-0.5)*'14_지역·상수'!$H$6</f>
        <v/>
      </c>
      <c r="D331" s="79" t="n">
        <v>105</v>
      </c>
      <c r="E331" s="80">
        <f>INDEX($C$4:$C$15,MATCH(A331,$A$4:$A$15,0))</f>
        <v/>
      </c>
      <c r="F331" s="80">
        <f>15*(C331-12)</f>
        <v/>
      </c>
      <c r="G331" s="80">
        <f>-COS(RADIANS(E331))*SIN(RADIANS(F331))</f>
        <v/>
      </c>
      <c r="H331" s="80">
        <f>COS(RADIANS('11_발전량_모델'!$B$17))*SIN(RADIANS(E331))-SIN(RADIANS('11_발전량_모델'!$B$17))*COS(RADIANS(E331))*COS(RADIANS(F331))</f>
        <v/>
      </c>
      <c r="I331" s="80">
        <f>SIN(RADIANS('11_발전량_모델'!$B$17))*SIN(RADIANS(E331))+COS(RADIANS('11_발전량_모델'!$B$17))*COS(RADIANS(E331))*COS(RADIANS(F331))</f>
        <v/>
      </c>
      <c r="J331" s="80">
        <f>SIN(RADIANS('11_발전량_모델'!$B$7))*SIN(RADIANS('11_발전량_모델'!$B$8))</f>
        <v/>
      </c>
      <c r="K331" s="80">
        <f>SIN(RADIANS('11_발전량_모델'!$B$7))*COS(RADIANS('11_발전량_모델'!$B$8))</f>
        <v/>
      </c>
      <c r="L331" s="80">
        <f>COS(RADIANS('11_발전량_모델'!$B$7))</f>
        <v/>
      </c>
      <c r="M331" s="80">
        <f>G331*J331+H331*K331+I331*L331</f>
        <v/>
      </c>
      <c r="N331" s="80">
        <f>MAX(0,I331)</f>
        <v/>
      </c>
      <c r="O331" s="80">
        <f>IF(I331&gt;0,MAX(0,M331),0)</f>
        <v/>
      </c>
      <c r="P331" s="80">
        <f>IF($I331&gt;0,MAX(0,$G331*SIN(RADIANS('13_시나리오비교'!$B$5))*SIN(RADIANS('13_시나리오비교'!$C$5))+$H331*SIN(RADIANS('13_시나리오비교'!$B$5))*COS(RADIANS('13_시나리오비교'!$C$5))+$I331*COS(RADIANS('13_시나리오비교'!$B$5))),0)</f>
        <v/>
      </c>
      <c r="Q331" s="80">
        <f>IF($I331&gt;0,MAX(0,$G331*SIN(RADIANS('13_시나리오비교'!$B$6))*SIN(RADIANS('13_시나리오비교'!$C$6))+$H331*SIN(RADIANS('13_시나리오비교'!$B$6))*COS(RADIANS('13_시나리오비교'!$C$6))+$I331*COS(RADIANS('13_시나리오비교'!$B$6))),0)</f>
        <v/>
      </c>
      <c r="R331" s="80">
        <f>IF($I331&gt;0,MAX(0,$G331*SIN(RADIANS('13_시나리오비교'!$B$7))*SIN(RADIANS('13_시나리오비교'!$C$7))+$H331*SIN(RADIANS('13_시나리오비교'!$B$7))*COS(RADIANS('13_시나리오비교'!$C$7))+$I331*COS(RADIANS('13_시나리오비교'!$B$7))),0)</f>
        <v/>
      </c>
      <c r="S331" s="80">
        <f>IF($I331&gt;0,MAX(0,$G331*SIN(RADIANS('13_시나리오비교'!$B$8))*SIN(RADIANS('13_시나리오비교'!$C$8))+$H331*SIN(RADIANS('13_시나리오비교'!$B$8))*COS(RADIANS('13_시나리오비교'!$C$8))+$I331*COS(RADIANS('13_시나리오비교'!$B$8))),0)</f>
        <v/>
      </c>
      <c r="T331" s="80">
        <f>IF($I331&gt;0,MAX(0,$G331*SIN(RADIANS('13_시나리오비교'!$B$9))*SIN(RADIANS('13_시나리오비교'!$C$9))+$H331*SIN(RADIANS('13_시나리오비교'!$B$9))*COS(RADIANS('13_시나리오비교'!$C$9))+$I331*COS(RADIANS('13_시나리오비교'!$B$9))),0)</f>
        <v/>
      </c>
      <c r="U331" s="80">
        <f>IF($I331&gt;0,MAX(0,$G331*SIN(RADIANS('13_시나리오비교'!$B$10))*SIN(RADIANS('13_시나리오비교'!$C$10))+$H331*SIN(RADIANS('13_시나리오비교'!$B$10))*COS(RADIANS('13_시나리오비교'!$C$10))+$I331*COS(RADIANS('13_시나리오비교'!$B$10))),0)</f>
        <v/>
      </c>
      <c r="V331" s="80">
        <f>IF($I331&gt;0,MAX(0,$G331*SIN(RADIANS('13_시나리오비교'!$B$11))*SIN(RADIANS('13_시나리오비교'!$C$11))+$H331*SIN(RADIANS('13_시나리오비교'!$B$11))*COS(RADIANS('13_시나리오비교'!$C$11))+$I331*COS(RADIANS('13_시나리오비교'!$B$11))),0)</f>
        <v/>
      </c>
      <c r="W331" s="80">
        <f>IF($I331&gt;0,MAX(0,$G331*SIN(RADIANS('13_시나리오비교'!$B$12))*SIN(RADIANS('13_시나리오비교'!$C$12))+$H331*SIN(RADIANS('13_시나리오비교'!$B$12))*COS(RADIANS('13_시나리오비교'!$C$12))+$I331*COS(RADIANS('13_시나리오비교'!$B$12))),0)</f>
        <v/>
      </c>
      <c r="X331" s="80">
        <f>IF($I331&gt;0,MAX(0,$G331*SIN(RADIANS('13_시나리오비교'!$B$13))*SIN(RADIANS('13_시나리오비교'!$C$13))+$H331*SIN(RADIANS('13_시나리오비교'!$B$13))*COS(RADIANS('13_시나리오비교'!$C$13))+$I331*COS(RADIANS('13_시나리오비교'!$B$13))),0)</f>
        <v/>
      </c>
      <c r="Y331" s="80">
        <f>IF($I331&gt;0,MAX(0,$G331*SIN(RADIANS('13_시나리오비교'!$B$14))*SIN(RADIANS('13_시나리오비교'!$C$14))+$H331*SIN(RADIANS('13_시나리오비교'!$B$14))*COS(RADIANS('13_시나리오비교'!$C$14))+$I331*COS(RADIANS('13_시나리오비교'!$B$14))),0)</f>
        <v/>
      </c>
    </row>
    <row r="332" hidden="1" outlineLevel="1">
      <c r="A332" s="79" t="n">
        <v>4</v>
      </c>
      <c r="B332" s="79" t="n">
        <v>24</v>
      </c>
      <c r="C332" s="80">
        <f>(B332-0.5)*'14_지역·상수'!$H$6</f>
        <v/>
      </c>
      <c r="D332" s="79" t="n">
        <v>105</v>
      </c>
      <c r="E332" s="80">
        <f>INDEX($C$4:$C$15,MATCH(A332,$A$4:$A$15,0))</f>
        <v/>
      </c>
      <c r="F332" s="80">
        <f>15*(C332-12)</f>
        <v/>
      </c>
      <c r="G332" s="80">
        <f>-COS(RADIANS(E332))*SIN(RADIANS(F332))</f>
        <v/>
      </c>
      <c r="H332" s="80">
        <f>COS(RADIANS('11_발전량_모델'!$B$17))*SIN(RADIANS(E332))-SIN(RADIANS('11_발전량_모델'!$B$17))*COS(RADIANS(E332))*COS(RADIANS(F332))</f>
        <v/>
      </c>
      <c r="I332" s="80">
        <f>SIN(RADIANS('11_발전량_모델'!$B$17))*SIN(RADIANS(E332))+COS(RADIANS('11_발전량_모델'!$B$17))*COS(RADIANS(E332))*COS(RADIANS(F332))</f>
        <v/>
      </c>
      <c r="J332" s="80">
        <f>SIN(RADIANS('11_발전량_모델'!$B$7))*SIN(RADIANS('11_발전량_모델'!$B$8))</f>
        <v/>
      </c>
      <c r="K332" s="80">
        <f>SIN(RADIANS('11_발전량_모델'!$B$7))*COS(RADIANS('11_발전량_모델'!$B$8))</f>
        <v/>
      </c>
      <c r="L332" s="80">
        <f>COS(RADIANS('11_발전량_모델'!$B$7))</f>
        <v/>
      </c>
      <c r="M332" s="80">
        <f>G332*J332+H332*K332+I332*L332</f>
        <v/>
      </c>
      <c r="N332" s="80">
        <f>MAX(0,I332)</f>
        <v/>
      </c>
      <c r="O332" s="80">
        <f>IF(I332&gt;0,MAX(0,M332),0)</f>
        <v/>
      </c>
      <c r="P332" s="80">
        <f>IF($I332&gt;0,MAX(0,$G332*SIN(RADIANS('13_시나리오비교'!$B$5))*SIN(RADIANS('13_시나리오비교'!$C$5))+$H332*SIN(RADIANS('13_시나리오비교'!$B$5))*COS(RADIANS('13_시나리오비교'!$C$5))+$I332*COS(RADIANS('13_시나리오비교'!$B$5))),0)</f>
        <v/>
      </c>
      <c r="Q332" s="80">
        <f>IF($I332&gt;0,MAX(0,$G332*SIN(RADIANS('13_시나리오비교'!$B$6))*SIN(RADIANS('13_시나리오비교'!$C$6))+$H332*SIN(RADIANS('13_시나리오비교'!$B$6))*COS(RADIANS('13_시나리오비교'!$C$6))+$I332*COS(RADIANS('13_시나리오비교'!$B$6))),0)</f>
        <v/>
      </c>
      <c r="R332" s="80">
        <f>IF($I332&gt;0,MAX(0,$G332*SIN(RADIANS('13_시나리오비교'!$B$7))*SIN(RADIANS('13_시나리오비교'!$C$7))+$H332*SIN(RADIANS('13_시나리오비교'!$B$7))*COS(RADIANS('13_시나리오비교'!$C$7))+$I332*COS(RADIANS('13_시나리오비교'!$B$7))),0)</f>
        <v/>
      </c>
      <c r="S332" s="80">
        <f>IF($I332&gt;0,MAX(0,$G332*SIN(RADIANS('13_시나리오비교'!$B$8))*SIN(RADIANS('13_시나리오비교'!$C$8))+$H332*SIN(RADIANS('13_시나리오비교'!$B$8))*COS(RADIANS('13_시나리오비교'!$C$8))+$I332*COS(RADIANS('13_시나리오비교'!$B$8))),0)</f>
        <v/>
      </c>
      <c r="T332" s="80">
        <f>IF($I332&gt;0,MAX(0,$G332*SIN(RADIANS('13_시나리오비교'!$B$9))*SIN(RADIANS('13_시나리오비교'!$C$9))+$H332*SIN(RADIANS('13_시나리오비교'!$B$9))*COS(RADIANS('13_시나리오비교'!$C$9))+$I332*COS(RADIANS('13_시나리오비교'!$B$9))),0)</f>
        <v/>
      </c>
      <c r="U332" s="80">
        <f>IF($I332&gt;0,MAX(0,$G332*SIN(RADIANS('13_시나리오비교'!$B$10))*SIN(RADIANS('13_시나리오비교'!$C$10))+$H332*SIN(RADIANS('13_시나리오비교'!$B$10))*COS(RADIANS('13_시나리오비교'!$C$10))+$I332*COS(RADIANS('13_시나리오비교'!$B$10))),0)</f>
        <v/>
      </c>
      <c r="V332" s="80">
        <f>IF($I332&gt;0,MAX(0,$G332*SIN(RADIANS('13_시나리오비교'!$B$11))*SIN(RADIANS('13_시나리오비교'!$C$11))+$H332*SIN(RADIANS('13_시나리오비교'!$B$11))*COS(RADIANS('13_시나리오비교'!$C$11))+$I332*COS(RADIANS('13_시나리오비교'!$B$11))),0)</f>
        <v/>
      </c>
      <c r="W332" s="80">
        <f>IF($I332&gt;0,MAX(0,$G332*SIN(RADIANS('13_시나리오비교'!$B$12))*SIN(RADIANS('13_시나리오비교'!$C$12))+$H332*SIN(RADIANS('13_시나리오비교'!$B$12))*COS(RADIANS('13_시나리오비교'!$C$12))+$I332*COS(RADIANS('13_시나리오비교'!$B$12))),0)</f>
        <v/>
      </c>
      <c r="X332" s="80">
        <f>IF($I332&gt;0,MAX(0,$G332*SIN(RADIANS('13_시나리오비교'!$B$13))*SIN(RADIANS('13_시나리오비교'!$C$13))+$H332*SIN(RADIANS('13_시나리오비교'!$B$13))*COS(RADIANS('13_시나리오비교'!$C$13))+$I332*COS(RADIANS('13_시나리오비교'!$B$13))),0)</f>
        <v/>
      </c>
      <c r="Y332" s="80">
        <f>IF($I332&gt;0,MAX(0,$G332*SIN(RADIANS('13_시나리오비교'!$B$14))*SIN(RADIANS('13_시나리오비교'!$C$14))+$H332*SIN(RADIANS('13_시나리오비교'!$B$14))*COS(RADIANS('13_시나리오비교'!$C$14))+$I332*COS(RADIANS('13_시나리오비교'!$B$14))),0)</f>
        <v/>
      </c>
    </row>
    <row r="333" hidden="1" outlineLevel="1">
      <c r="A333" s="79" t="n">
        <v>4</v>
      </c>
      <c r="B333" s="79" t="n">
        <v>25</v>
      </c>
      <c r="C333" s="80">
        <f>(B333-0.5)*'14_지역·상수'!$H$6</f>
        <v/>
      </c>
      <c r="D333" s="79" t="n">
        <v>105</v>
      </c>
      <c r="E333" s="80">
        <f>INDEX($C$4:$C$15,MATCH(A333,$A$4:$A$15,0))</f>
        <v/>
      </c>
      <c r="F333" s="80">
        <f>15*(C333-12)</f>
        <v/>
      </c>
      <c r="G333" s="80">
        <f>-COS(RADIANS(E333))*SIN(RADIANS(F333))</f>
        <v/>
      </c>
      <c r="H333" s="80">
        <f>COS(RADIANS('11_발전량_모델'!$B$17))*SIN(RADIANS(E333))-SIN(RADIANS('11_발전량_모델'!$B$17))*COS(RADIANS(E333))*COS(RADIANS(F333))</f>
        <v/>
      </c>
      <c r="I333" s="80">
        <f>SIN(RADIANS('11_발전량_모델'!$B$17))*SIN(RADIANS(E333))+COS(RADIANS('11_발전량_모델'!$B$17))*COS(RADIANS(E333))*COS(RADIANS(F333))</f>
        <v/>
      </c>
      <c r="J333" s="80">
        <f>SIN(RADIANS('11_발전량_모델'!$B$7))*SIN(RADIANS('11_발전량_모델'!$B$8))</f>
        <v/>
      </c>
      <c r="K333" s="80">
        <f>SIN(RADIANS('11_발전량_모델'!$B$7))*COS(RADIANS('11_발전량_모델'!$B$8))</f>
        <v/>
      </c>
      <c r="L333" s="80">
        <f>COS(RADIANS('11_발전량_모델'!$B$7))</f>
        <v/>
      </c>
      <c r="M333" s="80">
        <f>G333*J333+H333*K333+I333*L333</f>
        <v/>
      </c>
      <c r="N333" s="80">
        <f>MAX(0,I333)</f>
        <v/>
      </c>
      <c r="O333" s="80">
        <f>IF(I333&gt;0,MAX(0,M333),0)</f>
        <v/>
      </c>
      <c r="P333" s="80">
        <f>IF($I333&gt;0,MAX(0,$G333*SIN(RADIANS('13_시나리오비교'!$B$5))*SIN(RADIANS('13_시나리오비교'!$C$5))+$H333*SIN(RADIANS('13_시나리오비교'!$B$5))*COS(RADIANS('13_시나리오비교'!$C$5))+$I333*COS(RADIANS('13_시나리오비교'!$B$5))),0)</f>
        <v/>
      </c>
      <c r="Q333" s="80">
        <f>IF($I333&gt;0,MAX(0,$G333*SIN(RADIANS('13_시나리오비교'!$B$6))*SIN(RADIANS('13_시나리오비교'!$C$6))+$H333*SIN(RADIANS('13_시나리오비교'!$B$6))*COS(RADIANS('13_시나리오비교'!$C$6))+$I333*COS(RADIANS('13_시나리오비교'!$B$6))),0)</f>
        <v/>
      </c>
      <c r="R333" s="80">
        <f>IF($I333&gt;0,MAX(0,$G333*SIN(RADIANS('13_시나리오비교'!$B$7))*SIN(RADIANS('13_시나리오비교'!$C$7))+$H333*SIN(RADIANS('13_시나리오비교'!$B$7))*COS(RADIANS('13_시나리오비교'!$C$7))+$I333*COS(RADIANS('13_시나리오비교'!$B$7))),0)</f>
        <v/>
      </c>
      <c r="S333" s="80">
        <f>IF($I333&gt;0,MAX(0,$G333*SIN(RADIANS('13_시나리오비교'!$B$8))*SIN(RADIANS('13_시나리오비교'!$C$8))+$H333*SIN(RADIANS('13_시나리오비교'!$B$8))*COS(RADIANS('13_시나리오비교'!$C$8))+$I333*COS(RADIANS('13_시나리오비교'!$B$8))),0)</f>
        <v/>
      </c>
      <c r="T333" s="80">
        <f>IF($I333&gt;0,MAX(0,$G333*SIN(RADIANS('13_시나리오비교'!$B$9))*SIN(RADIANS('13_시나리오비교'!$C$9))+$H333*SIN(RADIANS('13_시나리오비교'!$B$9))*COS(RADIANS('13_시나리오비교'!$C$9))+$I333*COS(RADIANS('13_시나리오비교'!$B$9))),0)</f>
        <v/>
      </c>
      <c r="U333" s="80">
        <f>IF($I333&gt;0,MAX(0,$G333*SIN(RADIANS('13_시나리오비교'!$B$10))*SIN(RADIANS('13_시나리오비교'!$C$10))+$H333*SIN(RADIANS('13_시나리오비교'!$B$10))*COS(RADIANS('13_시나리오비교'!$C$10))+$I333*COS(RADIANS('13_시나리오비교'!$B$10))),0)</f>
        <v/>
      </c>
      <c r="V333" s="80">
        <f>IF($I333&gt;0,MAX(0,$G333*SIN(RADIANS('13_시나리오비교'!$B$11))*SIN(RADIANS('13_시나리오비교'!$C$11))+$H333*SIN(RADIANS('13_시나리오비교'!$B$11))*COS(RADIANS('13_시나리오비교'!$C$11))+$I333*COS(RADIANS('13_시나리오비교'!$B$11))),0)</f>
        <v/>
      </c>
      <c r="W333" s="80">
        <f>IF($I333&gt;0,MAX(0,$G333*SIN(RADIANS('13_시나리오비교'!$B$12))*SIN(RADIANS('13_시나리오비교'!$C$12))+$H333*SIN(RADIANS('13_시나리오비교'!$B$12))*COS(RADIANS('13_시나리오비교'!$C$12))+$I333*COS(RADIANS('13_시나리오비교'!$B$12))),0)</f>
        <v/>
      </c>
      <c r="X333" s="80">
        <f>IF($I333&gt;0,MAX(0,$G333*SIN(RADIANS('13_시나리오비교'!$B$13))*SIN(RADIANS('13_시나리오비교'!$C$13))+$H333*SIN(RADIANS('13_시나리오비교'!$B$13))*COS(RADIANS('13_시나리오비교'!$C$13))+$I333*COS(RADIANS('13_시나리오비교'!$B$13))),0)</f>
        <v/>
      </c>
      <c r="Y333" s="80">
        <f>IF($I333&gt;0,MAX(0,$G333*SIN(RADIANS('13_시나리오비교'!$B$14))*SIN(RADIANS('13_시나리오비교'!$C$14))+$H333*SIN(RADIANS('13_시나리오비교'!$B$14))*COS(RADIANS('13_시나리오비교'!$C$14))+$I333*COS(RADIANS('13_시나리오비교'!$B$14))),0)</f>
        <v/>
      </c>
    </row>
    <row r="334" hidden="1" outlineLevel="1">
      <c r="A334" s="79" t="n">
        <v>4</v>
      </c>
      <c r="B334" s="79" t="n">
        <v>26</v>
      </c>
      <c r="C334" s="80">
        <f>(B334-0.5)*'14_지역·상수'!$H$6</f>
        <v/>
      </c>
      <c r="D334" s="79" t="n">
        <v>105</v>
      </c>
      <c r="E334" s="80">
        <f>INDEX($C$4:$C$15,MATCH(A334,$A$4:$A$15,0))</f>
        <v/>
      </c>
      <c r="F334" s="80">
        <f>15*(C334-12)</f>
        <v/>
      </c>
      <c r="G334" s="80">
        <f>-COS(RADIANS(E334))*SIN(RADIANS(F334))</f>
        <v/>
      </c>
      <c r="H334" s="80">
        <f>COS(RADIANS('11_발전량_모델'!$B$17))*SIN(RADIANS(E334))-SIN(RADIANS('11_발전량_모델'!$B$17))*COS(RADIANS(E334))*COS(RADIANS(F334))</f>
        <v/>
      </c>
      <c r="I334" s="80">
        <f>SIN(RADIANS('11_발전량_모델'!$B$17))*SIN(RADIANS(E334))+COS(RADIANS('11_발전량_모델'!$B$17))*COS(RADIANS(E334))*COS(RADIANS(F334))</f>
        <v/>
      </c>
      <c r="J334" s="80">
        <f>SIN(RADIANS('11_발전량_모델'!$B$7))*SIN(RADIANS('11_발전량_모델'!$B$8))</f>
        <v/>
      </c>
      <c r="K334" s="80">
        <f>SIN(RADIANS('11_발전량_모델'!$B$7))*COS(RADIANS('11_발전량_모델'!$B$8))</f>
        <v/>
      </c>
      <c r="L334" s="80">
        <f>COS(RADIANS('11_발전량_모델'!$B$7))</f>
        <v/>
      </c>
      <c r="M334" s="80">
        <f>G334*J334+H334*K334+I334*L334</f>
        <v/>
      </c>
      <c r="N334" s="80">
        <f>MAX(0,I334)</f>
        <v/>
      </c>
      <c r="O334" s="80">
        <f>IF(I334&gt;0,MAX(0,M334),0)</f>
        <v/>
      </c>
      <c r="P334" s="80">
        <f>IF($I334&gt;0,MAX(0,$G334*SIN(RADIANS('13_시나리오비교'!$B$5))*SIN(RADIANS('13_시나리오비교'!$C$5))+$H334*SIN(RADIANS('13_시나리오비교'!$B$5))*COS(RADIANS('13_시나리오비교'!$C$5))+$I334*COS(RADIANS('13_시나리오비교'!$B$5))),0)</f>
        <v/>
      </c>
      <c r="Q334" s="80">
        <f>IF($I334&gt;0,MAX(0,$G334*SIN(RADIANS('13_시나리오비교'!$B$6))*SIN(RADIANS('13_시나리오비교'!$C$6))+$H334*SIN(RADIANS('13_시나리오비교'!$B$6))*COS(RADIANS('13_시나리오비교'!$C$6))+$I334*COS(RADIANS('13_시나리오비교'!$B$6))),0)</f>
        <v/>
      </c>
      <c r="R334" s="80">
        <f>IF($I334&gt;0,MAX(0,$G334*SIN(RADIANS('13_시나리오비교'!$B$7))*SIN(RADIANS('13_시나리오비교'!$C$7))+$H334*SIN(RADIANS('13_시나리오비교'!$B$7))*COS(RADIANS('13_시나리오비교'!$C$7))+$I334*COS(RADIANS('13_시나리오비교'!$B$7))),0)</f>
        <v/>
      </c>
      <c r="S334" s="80">
        <f>IF($I334&gt;0,MAX(0,$G334*SIN(RADIANS('13_시나리오비교'!$B$8))*SIN(RADIANS('13_시나리오비교'!$C$8))+$H334*SIN(RADIANS('13_시나리오비교'!$B$8))*COS(RADIANS('13_시나리오비교'!$C$8))+$I334*COS(RADIANS('13_시나리오비교'!$B$8))),0)</f>
        <v/>
      </c>
      <c r="T334" s="80">
        <f>IF($I334&gt;0,MAX(0,$G334*SIN(RADIANS('13_시나리오비교'!$B$9))*SIN(RADIANS('13_시나리오비교'!$C$9))+$H334*SIN(RADIANS('13_시나리오비교'!$B$9))*COS(RADIANS('13_시나리오비교'!$C$9))+$I334*COS(RADIANS('13_시나리오비교'!$B$9))),0)</f>
        <v/>
      </c>
      <c r="U334" s="80">
        <f>IF($I334&gt;0,MAX(0,$G334*SIN(RADIANS('13_시나리오비교'!$B$10))*SIN(RADIANS('13_시나리오비교'!$C$10))+$H334*SIN(RADIANS('13_시나리오비교'!$B$10))*COS(RADIANS('13_시나리오비교'!$C$10))+$I334*COS(RADIANS('13_시나리오비교'!$B$10))),0)</f>
        <v/>
      </c>
      <c r="V334" s="80">
        <f>IF($I334&gt;0,MAX(0,$G334*SIN(RADIANS('13_시나리오비교'!$B$11))*SIN(RADIANS('13_시나리오비교'!$C$11))+$H334*SIN(RADIANS('13_시나리오비교'!$B$11))*COS(RADIANS('13_시나리오비교'!$C$11))+$I334*COS(RADIANS('13_시나리오비교'!$B$11))),0)</f>
        <v/>
      </c>
      <c r="W334" s="80">
        <f>IF($I334&gt;0,MAX(0,$G334*SIN(RADIANS('13_시나리오비교'!$B$12))*SIN(RADIANS('13_시나리오비교'!$C$12))+$H334*SIN(RADIANS('13_시나리오비교'!$B$12))*COS(RADIANS('13_시나리오비교'!$C$12))+$I334*COS(RADIANS('13_시나리오비교'!$B$12))),0)</f>
        <v/>
      </c>
      <c r="X334" s="80">
        <f>IF($I334&gt;0,MAX(0,$G334*SIN(RADIANS('13_시나리오비교'!$B$13))*SIN(RADIANS('13_시나리오비교'!$C$13))+$H334*SIN(RADIANS('13_시나리오비교'!$B$13))*COS(RADIANS('13_시나리오비교'!$C$13))+$I334*COS(RADIANS('13_시나리오비교'!$B$13))),0)</f>
        <v/>
      </c>
      <c r="Y334" s="80">
        <f>IF($I334&gt;0,MAX(0,$G334*SIN(RADIANS('13_시나리오비교'!$B$14))*SIN(RADIANS('13_시나리오비교'!$C$14))+$H334*SIN(RADIANS('13_시나리오비교'!$B$14))*COS(RADIANS('13_시나리오비교'!$C$14))+$I334*COS(RADIANS('13_시나리오비교'!$B$14))),0)</f>
        <v/>
      </c>
    </row>
    <row r="335" hidden="1" outlineLevel="1">
      <c r="A335" s="79" t="n">
        <v>4</v>
      </c>
      <c r="B335" s="79" t="n">
        <v>27</v>
      </c>
      <c r="C335" s="80">
        <f>(B335-0.5)*'14_지역·상수'!$H$6</f>
        <v/>
      </c>
      <c r="D335" s="79" t="n">
        <v>105</v>
      </c>
      <c r="E335" s="80">
        <f>INDEX($C$4:$C$15,MATCH(A335,$A$4:$A$15,0))</f>
        <v/>
      </c>
      <c r="F335" s="80">
        <f>15*(C335-12)</f>
        <v/>
      </c>
      <c r="G335" s="80">
        <f>-COS(RADIANS(E335))*SIN(RADIANS(F335))</f>
        <v/>
      </c>
      <c r="H335" s="80">
        <f>COS(RADIANS('11_발전량_모델'!$B$17))*SIN(RADIANS(E335))-SIN(RADIANS('11_발전량_모델'!$B$17))*COS(RADIANS(E335))*COS(RADIANS(F335))</f>
        <v/>
      </c>
      <c r="I335" s="80">
        <f>SIN(RADIANS('11_발전량_모델'!$B$17))*SIN(RADIANS(E335))+COS(RADIANS('11_발전량_모델'!$B$17))*COS(RADIANS(E335))*COS(RADIANS(F335))</f>
        <v/>
      </c>
      <c r="J335" s="80">
        <f>SIN(RADIANS('11_발전량_모델'!$B$7))*SIN(RADIANS('11_발전량_모델'!$B$8))</f>
        <v/>
      </c>
      <c r="K335" s="80">
        <f>SIN(RADIANS('11_발전량_모델'!$B$7))*COS(RADIANS('11_발전량_모델'!$B$8))</f>
        <v/>
      </c>
      <c r="L335" s="80">
        <f>COS(RADIANS('11_발전량_모델'!$B$7))</f>
        <v/>
      </c>
      <c r="M335" s="80">
        <f>G335*J335+H335*K335+I335*L335</f>
        <v/>
      </c>
      <c r="N335" s="80">
        <f>MAX(0,I335)</f>
        <v/>
      </c>
      <c r="O335" s="80">
        <f>IF(I335&gt;0,MAX(0,M335),0)</f>
        <v/>
      </c>
      <c r="P335" s="80">
        <f>IF($I335&gt;0,MAX(0,$G335*SIN(RADIANS('13_시나리오비교'!$B$5))*SIN(RADIANS('13_시나리오비교'!$C$5))+$H335*SIN(RADIANS('13_시나리오비교'!$B$5))*COS(RADIANS('13_시나리오비교'!$C$5))+$I335*COS(RADIANS('13_시나리오비교'!$B$5))),0)</f>
        <v/>
      </c>
      <c r="Q335" s="80">
        <f>IF($I335&gt;0,MAX(0,$G335*SIN(RADIANS('13_시나리오비교'!$B$6))*SIN(RADIANS('13_시나리오비교'!$C$6))+$H335*SIN(RADIANS('13_시나리오비교'!$B$6))*COS(RADIANS('13_시나리오비교'!$C$6))+$I335*COS(RADIANS('13_시나리오비교'!$B$6))),0)</f>
        <v/>
      </c>
      <c r="R335" s="80">
        <f>IF($I335&gt;0,MAX(0,$G335*SIN(RADIANS('13_시나리오비교'!$B$7))*SIN(RADIANS('13_시나리오비교'!$C$7))+$H335*SIN(RADIANS('13_시나리오비교'!$B$7))*COS(RADIANS('13_시나리오비교'!$C$7))+$I335*COS(RADIANS('13_시나리오비교'!$B$7))),0)</f>
        <v/>
      </c>
      <c r="S335" s="80">
        <f>IF($I335&gt;0,MAX(0,$G335*SIN(RADIANS('13_시나리오비교'!$B$8))*SIN(RADIANS('13_시나리오비교'!$C$8))+$H335*SIN(RADIANS('13_시나리오비교'!$B$8))*COS(RADIANS('13_시나리오비교'!$C$8))+$I335*COS(RADIANS('13_시나리오비교'!$B$8))),0)</f>
        <v/>
      </c>
      <c r="T335" s="80">
        <f>IF($I335&gt;0,MAX(0,$G335*SIN(RADIANS('13_시나리오비교'!$B$9))*SIN(RADIANS('13_시나리오비교'!$C$9))+$H335*SIN(RADIANS('13_시나리오비교'!$B$9))*COS(RADIANS('13_시나리오비교'!$C$9))+$I335*COS(RADIANS('13_시나리오비교'!$B$9))),0)</f>
        <v/>
      </c>
      <c r="U335" s="80">
        <f>IF($I335&gt;0,MAX(0,$G335*SIN(RADIANS('13_시나리오비교'!$B$10))*SIN(RADIANS('13_시나리오비교'!$C$10))+$H335*SIN(RADIANS('13_시나리오비교'!$B$10))*COS(RADIANS('13_시나리오비교'!$C$10))+$I335*COS(RADIANS('13_시나리오비교'!$B$10))),0)</f>
        <v/>
      </c>
      <c r="V335" s="80">
        <f>IF($I335&gt;0,MAX(0,$G335*SIN(RADIANS('13_시나리오비교'!$B$11))*SIN(RADIANS('13_시나리오비교'!$C$11))+$H335*SIN(RADIANS('13_시나리오비교'!$B$11))*COS(RADIANS('13_시나리오비교'!$C$11))+$I335*COS(RADIANS('13_시나리오비교'!$B$11))),0)</f>
        <v/>
      </c>
      <c r="W335" s="80">
        <f>IF($I335&gt;0,MAX(0,$G335*SIN(RADIANS('13_시나리오비교'!$B$12))*SIN(RADIANS('13_시나리오비교'!$C$12))+$H335*SIN(RADIANS('13_시나리오비교'!$B$12))*COS(RADIANS('13_시나리오비교'!$C$12))+$I335*COS(RADIANS('13_시나리오비교'!$B$12))),0)</f>
        <v/>
      </c>
      <c r="X335" s="80">
        <f>IF($I335&gt;0,MAX(0,$G335*SIN(RADIANS('13_시나리오비교'!$B$13))*SIN(RADIANS('13_시나리오비교'!$C$13))+$H335*SIN(RADIANS('13_시나리오비교'!$B$13))*COS(RADIANS('13_시나리오비교'!$C$13))+$I335*COS(RADIANS('13_시나리오비교'!$B$13))),0)</f>
        <v/>
      </c>
      <c r="Y335" s="80">
        <f>IF($I335&gt;0,MAX(0,$G335*SIN(RADIANS('13_시나리오비교'!$B$14))*SIN(RADIANS('13_시나리오비교'!$C$14))+$H335*SIN(RADIANS('13_시나리오비교'!$B$14))*COS(RADIANS('13_시나리오비교'!$C$14))+$I335*COS(RADIANS('13_시나리오비교'!$B$14))),0)</f>
        <v/>
      </c>
    </row>
    <row r="336" hidden="1" outlineLevel="1">
      <c r="A336" s="79" t="n">
        <v>4</v>
      </c>
      <c r="B336" s="79" t="n">
        <v>28</v>
      </c>
      <c r="C336" s="80">
        <f>(B336-0.5)*'14_지역·상수'!$H$6</f>
        <v/>
      </c>
      <c r="D336" s="79" t="n">
        <v>105</v>
      </c>
      <c r="E336" s="80">
        <f>INDEX($C$4:$C$15,MATCH(A336,$A$4:$A$15,0))</f>
        <v/>
      </c>
      <c r="F336" s="80">
        <f>15*(C336-12)</f>
        <v/>
      </c>
      <c r="G336" s="80">
        <f>-COS(RADIANS(E336))*SIN(RADIANS(F336))</f>
        <v/>
      </c>
      <c r="H336" s="80">
        <f>COS(RADIANS('11_발전량_모델'!$B$17))*SIN(RADIANS(E336))-SIN(RADIANS('11_발전량_모델'!$B$17))*COS(RADIANS(E336))*COS(RADIANS(F336))</f>
        <v/>
      </c>
      <c r="I336" s="80">
        <f>SIN(RADIANS('11_발전량_모델'!$B$17))*SIN(RADIANS(E336))+COS(RADIANS('11_발전량_모델'!$B$17))*COS(RADIANS(E336))*COS(RADIANS(F336))</f>
        <v/>
      </c>
      <c r="J336" s="80">
        <f>SIN(RADIANS('11_발전량_모델'!$B$7))*SIN(RADIANS('11_발전량_모델'!$B$8))</f>
        <v/>
      </c>
      <c r="K336" s="80">
        <f>SIN(RADIANS('11_발전량_모델'!$B$7))*COS(RADIANS('11_발전량_모델'!$B$8))</f>
        <v/>
      </c>
      <c r="L336" s="80">
        <f>COS(RADIANS('11_발전량_모델'!$B$7))</f>
        <v/>
      </c>
      <c r="M336" s="80">
        <f>G336*J336+H336*K336+I336*L336</f>
        <v/>
      </c>
      <c r="N336" s="80">
        <f>MAX(0,I336)</f>
        <v/>
      </c>
      <c r="O336" s="80">
        <f>IF(I336&gt;0,MAX(0,M336),0)</f>
        <v/>
      </c>
      <c r="P336" s="80">
        <f>IF($I336&gt;0,MAX(0,$G336*SIN(RADIANS('13_시나리오비교'!$B$5))*SIN(RADIANS('13_시나리오비교'!$C$5))+$H336*SIN(RADIANS('13_시나리오비교'!$B$5))*COS(RADIANS('13_시나리오비교'!$C$5))+$I336*COS(RADIANS('13_시나리오비교'!$B$5))),0)</f>
        <v/>
      </c>
      <c r="Q336" s="80">
        <f>IF($I336&gt;0,MAX(0,$G336*SIN(RADIANS('13_시나리오비교'!$B$6))*SIN(RADIANS('13_시나리오비교'!$C$6))+$H336*SIN(RADIANS('13_시나리오비교'!$B$6))*COS(RADIANS('13_시나리오비교'!$C$6))+$I336*COS(RADIANS('13_시나리오비교'!$B$6))),0)</f>
        <v/>
      </c>
      <c r="R336" s="80">
        <f>IF($I336&gt;0,MAX(0,$G336*SIN(RADIANS('13_시나리오비교'!$B$7))*SIN(RADIANS('13_시나리오비교'!$C$7))+$H336*SIN(RADIANS('13_시나리오비교'!$B$7))*COS(RADIANS('13_시나리오비교'!$C$7))+$I336*COS(RADIANS('13_시나리오비교'!$B$7))),0)</f>
        <v/>
      </c>
      <c r="S336" s="80">
        <f>IF($I336&gt;0,MAX(0,$G336*SIN(RADIANS('13_시나리오비교'!$B$8))*SIN(RADIANS('13_시나리오비교'!$C$8))+$H336*SIN(RADIANS('13_시나리오비교'!$B$8))*COS(RADIANS('13_시나리오비교'!$C$8))+$I336*COS(RADIANS('13_시나리오비교'!$B$8))),0)</f>
        <v/>
      </c>
      <c r="T336" s="80">
        <f>IF($I336&gt;0,MAX(0,$G336*SIN(RADIANS('13_시나리오비교'!$B$9))*SIN(RADIANS('13_시나리오비교'!$C$9))+$H336*SIN(RADIANS('13_시나리오비교'!$B$9))*COS(RADIANS('13_시나리오비교'!$C$9))+$I336*COS(RADIANS('13_시나리오비교'!$B$9))),0)</f>
        <v/>
      </c>
      <c r="U336" s="80">
        <f>IF($I336&gt;0,MAX(0,$G336*SIN(RADIANS('13_시나리오비교'!$B$10))*SIN(RADIANS('13_시나리오비교'!$C$10))+$H336*SIN(RADIANS('13_시나리오비교'!$B$10))*COS(RADIANS('13_시나리오비교'!$C$10))+$I336*COS(RADIANS('13_시나리오비교'!$B$10))),0)</f>
        <v/>
      </c>
      <c r="V336" s="80">
        <f>IF($I336&gt;0,MAX(0,$G336*SIN(RADIANS('13_시나리오비교'!$B$11))*SIN(RADIANS('13_시나리오비교'!$C$11))+$H336*SIN(RADIANS('13_시나리오비교'!$B$11))*COS(RADIANS('13_시나리오비교'!$C$11))+$I336*COS(RADIANS('13_시나리오비교'!$B$11))),0)</f>
        <v/>
      </c>
      <c r="W336" s="80">
        <f>IF($I336&gt;0,MAX(0,$G336*SIN(RADIANS('13_시나리오비교'!$B$12))*SIN(RADIANS('13_시나리오비교'!$C$12))+$H336*SIN(RADIANS('13_시나리오비교'!$B$12))*COS(RADIANS('13_시나리오비교'!$C$12))+$I336*COS(RADIANS('13_시나리오비교'!$B$12))),0)</f>
        <v/>
      </c>
      <c r="X336" s="80">
        <f>IF($I336&gt;0,MAX(0,$G336*SIN(RADIANS('13_시나리오비교'!$B$13))*SIN(RADIANS('13_시나리오비교'!$C$13))+$H336*SIN(RADIANS('13_시나리오비교'!$B$13))*COS(RADIANS('13_시나리오비교'!$C$13))+$I336*COS(RADIANS('13_시나리오비교'!$B$13))),0)</f>
        <v/>
      </c>
      <c r="Y336" s="80">
        <f>IF($I336&gt;0,MAX(0,$G336*SIN(RADIANS('13_시나리오비교'!$B$14))*SIN(RADIANS('13_시나리오비교'!$C$14))+$H336*SIN(RADIANS('13_시나리오비교'!$B$14))*COS(RADIANS('13_시나리오비교'!$C$14))+$I336*COS(RADIANS('13_시나리오비교'!$B$14))),0)</f>
        <v/>
      </c>
    </row>
    <row r="337" hidden="1" outlineLevel="1">
      <c r="A337" s="79" t="n">
        <v>4</v>
      </c>
      <c r="B337" s="79" t="n">
        <v>29</v>
      </c>
      <c r="C337" s="80">
        <f>(B337-0.5)*'14_지역·상수'!$H$6</f>
        <v/>
      </c>
      <c r="D337" s="79" t="n">
        <v>105</v>
      </c>
      <c r="E337" s="80">
        <f>INDEX($C$4:$C$15,MATCH(A337,$A$4:$A$15,0))</f>
        <v/>
      </c>
      <c r="F337" s="80">
        <f>15*(C337-12)</f>
        <v/>
      </c>
      <c r="G337" s="80">
        <f>-COS(RADIANS(E337))*SIN(RADIANS(F337))</f>
        <v/>
      </c>
      <c r="H337" s="80">
        <f>COS(RADIANS('11_발전량_모델'!$B$17))*SIN(RADIANS(E337))-SIN(RADIANS('11_발전량_모델'!$B$17))*COS(RADIANS(E337))*COS(RADIANS(F337))</f>
        <v/>
      </c>
      <c r="I337" s="80">
        <f>SIN(RADIANS('11_발전량_모델'!$B$17))*SIN(RADIANS(E337))+COS(RADIANS('11_발전량_모델'!$B$17))*COS(RADIANS(E337))*COS(RADIANS(F337))</f>
        <v/>
      </c>
      <c r="J337" s="80">
        <f>SIN(RADIANS('11_발전량_모델'!$B$7))*SIN(RADIANS('11_발전량_모델'!$B$8))</f>
        <v/>
      </c>
      <c r="K337" s="80">
        <f>SIN(RADIANS('11_발전량_모델'!$B$7))*COS(RADIANS('11_발전량_모델'!$B$8))</f>
        <v/>
      </c>
      <c r="L337" s="80">
        <f>COS(RADIANS('11_발전량_모델'!$B$7))</f>
        <v/>
      </c>
      <c r="M337" s="80">
        <f>G337*J337+H337*K337+I337*L337</f>
        <v/>
      </c>
      <c r="N337" s="80">
        <f>MAX(0,I337)</f>
        <v/>
      </c>
      <c r="O337" s="80">
        <f>IF(I337&gt;0,MAX(0,M337),0)</f>
        <v/>
      </c>
      <c r="P337" s="80">
        <f>IF($I337&gt;0,MAX(0,$G337*SIN(RADIANS('13_시나리오비교'!$B$5))*SIN(RADIANS('13_시나리오비교'!$C$5))+$H337*SIN(RADIANS('13_시나리오비교'!$B$5))*COS(RADIANS('13_시나리오비교'!$C$5))+$I337*COS(RADIANS('13_시나리오비교'!$B$5))),0)</f>
        <v/>
      </c>
      <c r="Q337" s="80">
        <f>IF($I337&gt;0,MAX(0,$G337*SIN(RADIANS('13_시나리오비교'!$B$6))*SIN(RADIANS('13_시나리오비교'!$C$6))+$H337*SIN(RADIANS('13_시나리오비교'!$B$6))*COS(RADIANS('13_시나리오비교'!$C$6))+$I337*COS(RADIANS('13_시나리오비교'!$B$6))),0)</f>
        <v/>
      </c>
      <c r="R337" s="80">
        <f>IF($I337&gt;0,MAX(0,$G337*SIN(RADIANS('13_시나리오비교'!$B$7))*SIN(RADIANS('13_시나리오비교'!$C$7))+$H337*SIN(RADIANS('13_시나리오비교'!$B$7))*COS(RADIANS('13_시나리오비교'!$C$7))+$I337*COS(RADIANS('13_시나리오비교'!$B$7))),0)</f>
        <v/>
      </c>
      <c r="S337" s="80">
        <f>IF($I337&gt;0,MAX(0,$G337*SIN(RADIANS('13_시나리오비교'!$B$8))*SIN(RADIANS('13_시나리오비교'!$C$8))+$H337*SIN(RADIANS('13_시나리오비교'!$B$8))*COS(RADIANS('13_시나리오비교'!$C$8))+$I337*COS(RADIANS('13_시나리오비교'!$B$8))),0)</f>
        <v/>
      </c>
      <c r="T337" s="80">
        <f>IF($I337&gt;0,MAX(0,$G337*SIN(RADIANS('13_시나리오비교'!$B$9))*SIN(RADIANS('13_시나리오비교'!$C$9))+$H337*SIN(RADIANS('13_시나리오비교'!$B$9))*COS(RADIANS('13_시나리오비교'!$C$9))+$I337*COS(RADIANS('13_시나리오비교'!$B$9))),0)</f>
        <v/>
      </c>
      <c r="U337" s="80">
        <f>IF($I337&gt;0,MAX(0,$G337*SIN(RADIANS('13_시나리오비교'!$B$10))*SIN(RADIANS('13_시나리오비교'!$C$10))+$H337*SIN(RADIANS('13_시나리오비교'!$B$10))*COS(RADIANS('13_시나리오비교'!$C$10))+$I337*COS(RADIANS('13_시나리오비교'!$B$10))),0)</f>
        <v/>
      </c>
      <c r="V337" s="80">
        <f>IF($I337&gt;0,MAX(0,$G337*SIN(RADIANS('13_시나리오비교'!$B$11))*SIN(RADIANS('13_시나리오비교'!$C$11))+$H337*SIN(RADIANS('13_시나리오비교'!$B$11))*COS(RADIANS('13_시나리오비교'!$C$11))+$I337*COS(RADIANS('13_시나리오비교'!$B$11))),0)</f>
        <v/>
      </c>
      <c r="W337" s="80">
        <f>IF($I337&gt;0,MAX(0,$G337*SIN(RADIANS('13_시나리오비교'!$B$12))*SIN(RADIANS('13_시나리오비교'!$C$12))+$H337*SIN(RADIANS('13_시나리오비교'!$B$12))*COS(RADIANS('13_시나리오비교'!$C$12))+$I337*COS(RADIANS('13_시나리오비교'!$B$12))),0)</f>
        <v/>
      </c>
      <c r="X337" s="80">
        <f>IF($I337&gt;0,MAX(0,$G337*SIN(RADIANS('13_시나리오비교'!$B$13))*SIN(RADIANS('13_시나리오비교'!$C$13))+$H337*SIN(RADIANS('13_시나리오비교'!$B$13))*COS(RADIANS('13_시나리오비교'!$C$13))+$I337*COS(RADIANS('13_시나리오비교'!$B$13))),0)</f>
        <v/>
      </c>
      <c r="Y337" s="80">
        <f>IF($I337&gt;0,MAX(0,$G337*SIN(RADIANS('13_시나리오비교'!$B$14))*SIN(RADIANS('13_시나리오비교'!$C$14))+$H337*SIN(RADIANS('13_시나리오비교'!$B$14))*COS(RADIANS('13_시나리오비교'!$C$14))+$I337*COS(RADIANS('13_시나리오비교'!$B$14))),0)</f>
        <v/>
      </c>
    </row>
    <row r="338" hidden="1" outlineLevel="1">
      <c r="A338" s="79" t="n">
        <v>4</v>
      </c>
      <c r="B338" s="79" t="n">
        <v>30</v>
      </c>
      <c r="C338" s="80">
        <f>(B338-0.5)*'14_지역·상수'!$H$6</f>
        <v/>
      </c>
      <c r="D338" s="79" t="n">
        <v>105</v>
      </c>
      <c r="E338" s="80">
        <f>INDEX($C$4:$C$15,MATCH(A338,$A$4:$A$15,0))</f>
        <v/>
      </c>
      <c r="F338" s="80">
        <f>15*(C338-12)</f>
        <v/>
      </c>
      <c r="G338" s="80">
        <f>-COS(RADIANS(E338))*SIN(RADIANS(F338))</f>
        <v/>
      </c>
      <c r="H338" s="80">
        <f>COS(RADIANS('11_발전량_모델'!$B$17))*SIN(RADIANS(E338))-SIN(RADIANS('11_발전량_모델'!$B$17))*COS(RADIANS(E338))*COS(RADIANS(F338))</f>
        <v/>
      </c>
      <c r="I338" s="80">
        <f>SIN(RADIANS('11_발전량_모델'!$B$17))*SIN(RADIANS(E338))+COS(RADIANS('11_발전량_모델'!$B$17))*COS(RADIANS(E338))*COS(RADIANS(F338))</f>
        <v/>
      </c>
      <c r="J338" s="80">
        <f>SIN(RADIANS('11_발전량_모델'!$B$7))*SIN(RADIANS('11_발전량_모델'!$B$8))</f>
        <v/>
      </c>
      <c r="K338" s="80">
        <f>SIN(RADIANS('11_발전량_모델'!$B$7))*COS(RADIANS('11_발전량_모델'!$B$8))</f>
        <v/>
      </c>
      <c r="L338" s="80">
        <f>COS(RADIANS('11_발전량_모델'!$B$7))</f>
        <v/>
      </c>
      <c r="M338" s="80">
        <f>G338*J338+H338*K338+I338*L338</f>
        <v/>
      </c>
      <c r="N338" s="80">
        <f>MAX(0,I338)</f>
        <v/>
      </c>
      <c r="O338" s="80">
        <f>IF(I338&gt;0,MAX(0,M338),0)</f>
        <v/>
      </c>
      <c r="P338" s="80">
        <f>IF($I338&gt;0,MAX(0,$G338*SIN(RADIANS('13_시나리오비교'!$B$5))*SIN(RADIANS('13_시나리오비교'!$C$5))+$H338*SIN(RADIANS('13_시나리오비교'!$B$5))*COS(RADIANS('13_시나리오비교'!$C$5))+$I338*COS(RADIANS('13_시나리오비교'!$B$5))),0)</f>
        <v/>
      </c>
      <c r="Q338" s="80">
        <f>IF($I338&gt;0,MAX(0,$G338*SIN(RADIANS('13_시나리오비교'!$B$6))*SIN(RADIANS('13_시나리오비교'!$C$6))+$H338*SIN(RADIANS('13_시나리오비교'!$B$6))*COS(RADIANS('13_시나리오비교'!$C$6))+$I338*COS(RADIANS('13_시나리오비교'!$B$6))),0)</f>
        <v/>
      </c>
      <c r="R338" s="80">
        <f>IF($I338&gt;0,MAX(0,$G338*SIN(RADIANS('13_시나리오비교'!$B$7))*SIN(RADIANS('13_시나리오비교'!$C$7))+$H338*SIN(RADIANS('13_시나리오비교'!$B$7))*COS(RADIANS('13_시나리오비교'!$C$7))+$I338*COS(RADIANS('13_시나리오비교'!$B$7))),0)</f>
        <v/>
      </c>
      <c r="S338" s="80">
        <f>IF($I338&gt;0,MAX(0,$G338*SIN(RADIANS('13_시나리오비교'!$B$8))*SIN(RADIANS('13_시나리오비교'!$C$8))+$H338*SIN(RADIANS('13_시나리오비교'!$B$8))*COS(RADIANS('13_시나리오비교'!$C$8))+$I338*COS(RADIANS('13_시나리오비교'!$B$8))),0)</f>
        <v/>
      </c>
      <c r="T338" s="80">
        <f>IF($I338&gt;0,MAX(0,$G338*SIN(RADIANS('13_시나리오비교'!$B$9))*SIN(RADIANS('13_시나리오비교'!$C$9))+$H338*SIN(RADIANS('13_시나리오비교'!$B$9))*COS(RADIANS('13_시나리오비교'!$C$9))+$I338*COS(RADIANS('13_시나리오비교'!$B$9))),0)</f>
        <v/>
      </c>
      <c r="U338" s="80">
        <f>IF($I338&gt;0,MAX(0,$G338*SIN(RADIANS('13_시나리오비교'!$B$10))*SIN(RADIANS('13_시나리오비교'!$C$10))+$H338*SIN(RADIANS('13_시나리오비교'!$B$10))*COS(RADIANS('13_시나리오비교'!$C$10))+$I338*COS(RADIANS('13_시나리오비교'!$B$10))),0)</f>
        <v/>
      </c>
      <c r="V338" s="80">
        <f>IF($I338&gt;0,MAX(0,$G338*SIN(RADIANS('13_시나리오비교'!$B$11))*SIN(RADIANS('13_시나리오비교'!$C$11))+$H338*SIN(RADIANS('13_시나리오비교'!$B$11))*COS(RADIANS('13_시나리오비교'!$C$11))+$I338*COS(RADIANS('13_시나리오비교'!$B$11))),0)</f>
        <v/>
      </c>
      <c r="W338" s="80">
        <f>IF($I338&gt;0,MAX(0,$G338*SIN(RADIANS('13_시나리오비교'!$B$12))*SIN(RADIANS('13_시나리오비교'!$C$12))+$H338*SIN(RADIANS('13_시나리오비교'!$B$12))*COS(RADIANS('13_시나리오비교'!$C$12))+$I338*COS(RADIANS('13_시나리오비교'!$B$12))),0)</f>
        <v/>
      </c>
      <c r="X338" s="80">
        <f>IF($I338&gt;0,MAX(0,$G338*SIN(RADIANS('13_시나리오비교'!$B$13))*SIN(RADIANS('13_시나리오비교'!$C$13))+$H338*SIN(RADIANS('13_시나리오비교'!$B$13))*COS(RADIANS('13_시나리오비교'!$C$13))+$I338*COS(RADIANS('13_시나리오비교'!$B$13))),0)</f>
        <v/>
      </c>
      <c r="Y338" s="80">
        <f>IF($I338&gt;0,MAX(0,$G338*SIN(RADIANS('13_시나리오비교'!$B$14))*SIN(RADIANS('13_시나리오비교'!$C$14))+$H338*SIN(RADIANS('13_시나리오비교'!$B$14))*COS(RADIANS('13_시나리오비교'!$C$14))+$I338*COS(RADIANS('13_시나리오비교'!$B$14))),0)</f>
        <v/>
      </c>
    </row>
    <row r="339" hidden="1" outlineLevel="1">
      <c r="A339" s="79" t="n">
        <v>4</v>
      </c>
      <c r="B339" s="79" t="n">
        <v>31</v>
      </c>
      <c r="C339" s="80">
        <f>(B339-0.5)*'14_지역·상수'!$H$6</f>
        <v/>
      </c>
      <c r="D339" s="79" t="n">
        <v>105</v>
      </c>
      <c r="E339" s="80">
        <f>INDEX($C$4:$C$15,MATCH(A339,$A$4:$A$15,0))</f>
        <v/>
      </c>
      <c r="F339" s="80">
        <f>15*(C339-12)</f>
        <v/>
      </c>
      <c r="G339" s="80">
        <f>-COS(RADIANS(E339))*SIN(RADIANS(F339))</f>
        <v/>
      </c>
      <c r="H339" s="80">
        <f>COS(RADIANS('11_발전량_모델'!$B$17))*SIN(RADIANS(E339))-SIN(RADIANS('11_발전량_모델'!$B$17))*COS(RADIANS(E339))*COS(RADIANS(F339))</f>
        <v/>
      </c>
      <c r="I339" s="80">
        <f>SIN(RADIANS('11_발전량_모델'!$B$17))*SIN(RADIANS(E339))+COS(RADIANS('11_발전량_모델'!$B$17))*COS(RADIANS(E339))*COS(RADIANS(F339))</f>
        <v/>
      </c>
      <c r="J339" s="80">
        <f>SIN(RADIANS('11_발전량_모델'!$B$7))*SIN(RADIANS('11_발전량_모델'!$B$8))</f>
        <v/>
      </c>
      <c r="K339" s="80">
        <f>SIN(RADIANS('11_발전량_모델'!$B$7))*COS(RADIANS('11_발전량_모델'!$B$8))</f>
        <v/>
      </c>
      <c r="L339" s="80">
        <f>COS(RADIANS('11_발전량_모델'!$B$7))</f>
        <v/>
      </c>
      <c r="M339" s="80">
        <f>G339*J339+H339*K339+I339*L339</f>
        <v/>
      </c>
      <c r="N339" s="80">
        <f>MAX(0,I339)</f>
        <v/>
      </c>
      <c r="O339" s="80">
        <f>IF(I339&gt;0,MAX(0,M339),0)</f>
        <v/>
      </c>
      <c r="P339" s="80">
        <f>IF($I339&gt;0,MAX(0,$G339*SIN(RADIANS('13_시나리오비교'!$B$5))*SIN(RADIANS('13_시나리오비교'!$C$5))+$H339*SIN(RADIANS('13_시나리오비교'!$B$5))*COS(RADIANS('13_시나리오비교'!$C$5))+$I339*COS(RADIANS('13_시나리오비교'!$B$5))),0)</f>
        <v/>
      </c>
      <c r="Q339" s="80">
        <f>IF($I339&gt;0,MAX(0,$G339*SIN(RADIANS('13_시나리오비교'!$B$6))*SIN(RADIANS('13_시나리오비교'!$C$6))+$H339*SIN(RADIANS('13_시나리오비교'!$B$6))*COS(RADIANS('13_시나리오비교'!$C$6))+$I339*COS(RADIANS('13_시나리오비교'!$B$6))),0)</f>
        <v/>
      </c>
      <c r="R339" s="80">
        <f>IF($I339&gt;0,MAX(0,$G339*SIN(RADIANS('13_시나리오비교'!$B$7))*SIN(RADIANS('13_시나리오비교'!$C$7))+$H339*SIN(RADIANS('13_시나리오비교'!$B$7))*COS(RADIANS('13_시나리오비교'!$C$7))+$I339*COS(RADIANS('13_시나리오비교'!$B$7))),0)</f>
        <v/>
      </c>
      <c r="S339" s="80">
        <f>IF($I339&gt;0,MAX(0,$G339*SIN(RADIANS('13_시나리오비교'!$B$8))*SIN(RADIANS('13_시나리오비교'!$C$8))+$H339*SIN(RADIANS('13_시나리오비교'!$B$8))*COS(RADIANS('13_시나리오비교'!$C$8))+$I339*COS(RADIANS('13_시나리오비교'!$B$8))),0)</f>
        <v/>
      </c>
      <c r="T339" s="80">
        <f>IF($I339&gt;0,MAX(0,$G339*SIN(RADIANS('13_시나리오비교'!$B$9))*SIN(RADIANS('13_시나리오비교'!$C$9))+$H339*SIN(RADIANS('13_시나리오비교'!$B$9))*COS(RADIANS('13_시나리오비교'!$C$9))+$I339*COS(RADIANS('13_시나리오비교'!$B$9))),0)</f>
        <v/>
      </c>
      <c r="U339" s="80">
        <f>IF($I339&gt;0,MAX(0,$G339*SIN(RADIANS('13_시나리오비교'!$B$10))*SIN(RADIANS('13_시나리오비교'!$C$10))+$H339*SIN(RADIANS('13_시나리오비교'!$B$10))*COS(RADIANS('13_시나리오비교'!$C$10))+$I339*COS(RADIANS('13_시나리오비교'!$B$10))),0)</f>
        <v/>
      </c>
      <c r="V339" s="80">
        <f>IF($I339&gt;0,MAX(0,$G339*SIN(RADIANS('13_시나리오비교'!$B$11))*SIN(RADIANS('13_시나리오비교'!$C$11))+$H339*SIN(RADIANS('13_시나리오비교'!$B$11))*COS(RADIANS('13_시나리오비교'!$C$11))+$I339*COS(RADIANS('13_시나리오비교'!$B$11))),0)</f>
        <v/>
      </c>
      <c r="W339" s="80">
        <f>IF($I339&gt;0,MAX(0,$G339*SIN(RADIANS('13_시나리오비교'!$B$12))*SIN(RADIANS('13_시나리오비교'!$C$12))+$H339*SIN(RADIANS('13_시나리오비교'!$B$12))*COS(RADIANS('13_시나리오비교'!$C$12))+$I339*COS(RADIANS('13_시나리오비교'!$B$12))),0)</f>
        <v/>
      </c>
      <c r="X339" s="80">
        <f>IF($I339&gt;0,MAX(0,$G339*SIN(RADIANS('13_시나리오비교'!$B$13))*SIN(RADIANS('13_시나리오비교'!$C$13))+$H339*SIN(RADIANS('13_시나리오비교'!$B$13))*COS(RADIANS('13_시나리오비교'!$C$13))+$I339*COS(RADIANS('13_시나리오비교'!$B$13))),0)</f>
        <v/>
      </c>
      <c r="Y339" s="80">
        <f>IF($I339&gt;0,MAX(0,$G339*SIN(RADIANS('13_시나리오비교'!$B$14))*SIN(RADIANS('13_시나리오비교'!$C$14))+$H339*SIN(RADIANS('13_시나리오비교'!$B$14))*COS(RADIANS('13_시나리오비교'!$C$14))+$I339*COS(RADIANS('13_시나리오비교'!$B$14))),0)</f>
        <v/>
      </c>
    </row>
    <row r="340" hidden="1" outlineLevel="1">
      <c r="A340" s="79" t="n">
        <v>4</v>
      </c>
      <c r="B340" s="79" t="n">
        <v>32</v>
      </c>
      <c r="C340" s="80">
        <f>(B340-0.5)*'14_지역·상수'!$H$6</f>
        <v/>
      </c>
      <c r="D340" s="79" t="n">
        <v>105</v>
      </c>
      <c r="E340" s="80">
        <f>INDEX($C$4:$C$15,MATCH(A340,$A$4:$A$15,0))</f>
        <v/>
      </c>
      <c r="F340" s="80">
        <f>15*(C340-12)</f>
        <v/>
      </c>
      <c r="G340" s="80">
        <f>-COS(RADIANS(E340))*SIN(RADIANS(F340))</f>
        <v/>
      </c>
      <c r="H340" s="80">
        <f>COS(RADIANS('11_발전량_모델'!$B$17))*SIN(RADIANS(E340))-SIN(RADIANS('11_발전량_모델'!$B$17))*COS(RADIANS(E340))*COS(RADIANS(F340))</f>
        <v/>
      </c>
      <c r="I340" s="80">
        <f>SIN(RADIANS('11_발전량_모델'!$B$17))*SIN(RADIANS(E340))+COS(RADIANS('11_발전량_모델'!$B$17))*COS(RADIANS(E340))*COS(RADIANS(F340))</f>
        <v/>
      </c>
      <c r="J340" s="80">
        <f>SIN(RADIANS('11_발전량_모델'!$B$7))*SIN(RADIANS('11_발전량_모델'!$B$8))</f>
        <v/>
      </c>
      <c r="K340" s="80">
        <f>SIN(RADIANS('11_발전량_모델'!$B$7))*COS(RADIANS('11_발전량_모델'!$B$8))</f>
        <v/>
      </c>
      <c r="L340" s="80">
        <f>COS(RADIANS('11_발전량_모델'!$B$7))</f>
        <v/>
      </c>
      <c r="M340" s="80">
        <f>G340*J340+H340*K340+I340*L340</f>
        <v/>
      </c>
      <c r="N340" s="80">
        <f>MAX(0,I340)</f>
        <v/>
      </c>
      <c r="O340" s="80">
        <f>IF(I340&gt;0,MAX(0,M340),0)</f>
        <v/>
      </c>
      <c r="P340" s="80">
        <f>IF($I340&gt;0,MAX(0,$G340*SIN(RADIANS('13_시나리오비교'!$B$5))*SIN(RADIANS('13_시나리오비교'!$C$5))+$H340*SIN(RADIANS('13_시나리오비교'!$B$5))*COS(RADIANS('13_시나리오비교'!$C$5))+$I340*COS(RADIANS('13_시나리오비교'!$B$5))),0)</f>
        <v/>
      </c>
      <c r="Q340" s="80">
        <f>IF($I340&gt;0,MAX(0,$G340*SIN(RADIANS('13_시나리오비교'!$B$6))*SIN(RADIANS('13_시나리오비교'!$C$6))+$H340*SIN(RADIANS('13_시나리오비교'!$B$6))*COS(RADIANS('13_시나리오비교'!$C$6))+$I340*COS(RADIANS('13_시나리오비교'!$B$6))),0)</f>
        <v/>
      </c>
      <c r="R340" s="80">
        <f>IF($I340&gt;0,MAX(0,$G340*SIN(RADIANS('13_시나리오비교'!$B$7))*SIN(RADIANS('13_시나리오비교'!$C$7))+$H340*SIN(RADIANS('13_시나리오비교'!$B$7))*COS(RADIANS('13_시나리오비교'!$C$7))+$I340*COS(RADIANS('13_시나리오비교'!$B$7))),0)</f>
        <v/>
      </c>
      <c r="S340" s="80">
        <f>IF($I340&gt;0,MAX(0,$G340*SIN(RADIANS('13_시나리오비교'!$B$8))*SIN(RADIANS('13_시나리오비교'!$C$8))+$H340*SIN(RADIANS('13_시나리오비교'!$B$8))*COS(RADIANS('13_시나리오비교'!$C$8))+$I340*COS(RADIANS('13_시나리오비교'!$B$8))),0)</f>
        <v/>
      </c>
      <c r="T340" s="80">
        <f>IF($I340&gt;0,MAX(0,$G340*SIN(RADIANS('13_시나리오비교'!$B$9))*SIN(RADIANS('13_시나리오비교'!$C$9))+$H340*SIN(RADIANS('13_시나리오비교'!$B$9))*COS(RADIANS('13_시나리오비교'!$C$9))+$I340*COS(RADIANS('13_시나리오비교'!$B$9))),0)</f>
        <v/>
      </c>
      <c r="U340" s="80">
        <f>IF($I340&gt;0,MAX(0,$G340*SIN(RADIANS('13_시나리오비교'!$B$10))*SIN(RADIANS('13_시나리오비교'!$C$10))+$H340*SIN(RADIANS('13_시나리오비교'!$B$10))*COS(RADIANS('13_시나리오비교'!$C$10))+$I340*COS(RADIANS('13_시나리오비교'!$B$10))),0)</f>
        <v/>
      </c>
      <c r="V340" s="80">
        <f>IF($I340&gt;0,MAX(0,$G340*SIN(RADIANS('13_시나리오비교'!$B$11))*SIN(RADIANS('13_시나리오비교'!$C$11))+$H340*SIN(RADIANS('13_시나리오비교'!$B$11))*COS(RADIANS('13_시나리오비교'!$C$11))+$I340*COS(RADIANS('13_시나리오비교'!$B$11))),0)</f>
        <v/>
      </c>
      <c r="W340" s="80">
        <f>IF($I340&gt;0,MAX(0,$G340*SIN(RADIANS('13_시나리오비교'!$B$12))*SIN(RADIANS('13_시나리오비교'!$C$12))+$H340*SIN(RADIANS('13_시나리오비교'!$B$12))*COS(RADIANS('13_시나리오비교'!$C$12))+$I340*COS(RADIANS('13_시나리오비교'!$B$12))),0)</f>
        <v/>
      </c>
      <c r="X340" s="80">
        <f>IF($I340&gt;0,MAX(0,$G340*SIN(RADIANS('13_시나리오비교'!$B$13))*SIN(RADIANS('13_시나리오비교'!$C$13))+$H340*SIN(RADIANS('13_시나리오비교'!$B$13))*COS(RADIANS('13_시나리오비교'!$C$13))+$I340*COS(RADIANS('13_시나리오비교'!$B$13))),0)</f>
        <v/>
      </c>
      <c r="Y340" s="80">
        <f>IF($I340&gt;0,MAX(0,$G340*SIN(RADIANS('13_시나리오비교'!$B$14))*SIN(RADIANS('13_시나리오비교'!$C$14))+$H340*SIN(RADIANS('13_시나리오비교'!$B$14))*COS(RADIANS('13_시나리오비교'!$C$14))+$I340*COS(RADIANS('13_시나리오비교'!$B$14))),0)</f>
        <v/>
      </c>
    </row>
    <row r="341" hidden="1" outlineLevel="1">
      <c r="A341" s="79" t="n">
        <v>4</v>
      </c>
      <c r="B341" s="79" t="n">
        <v>33</v>
      </c>
      <c r="C341" s="80">
        <f>(B341-0.5)*'14_지역·상수'!$H$6</f>
        <v/>
      </c>
      <c r="D341" s="79" t="n">
        <v>105</v>
      </c>
      <c r="E341" s="80">
        <f>INDEX($C$4:$C$15,MATCH(A341,$A$4:$A$15,0))</f>
        <v/>
      </c>
      <c r="F341" s="80">
        <f>15*(C341-12)</f>
        <v/>
      </c>
      <c r="G341" s="80">
        <f>-COS(RADIANS(E341))*SIN(RADIANS(F341))</f>
        <v/>
      </c>
      <c r="H341" s="80">
        <f>COS(RADIANS('11_발전량_모델'!$B$17))*SIN(RADIANS(E341))-SIN(RADIANS('11_발전량_모델'!$B$17))*COS(RADIANS(E341))*COS(RADIANS(F341))</f>
        <v/>
      </c>
      <c r="I341" s="80">
        <f>SIN(RADIANS('11_발전량_모델'!$B$17))*SIN(RADIANS(E341))+COS(RADIANS('11_발전량_모델'!$B$17))*COS(RADIANS(E341))*COS(RADIANS(F341))</f>
        <v/>
      </c>
      <c r="J341" s="80">
        <f>SIN(RADIANS('11_발전량_모델'!$B$7))*SIN(RADIANS('11_발전량_모델'!$B$8))</f>
        <v/>
      </c>
      <c r="K341" s="80">
        <f>SIN(RADIANS('11_발전량_모델'!$B$7))*COS(RADIANS('11_발전량_모델'!$B$8))</f>
        <v/>
      </c>
      <c r="L341" s="80">
        <f>COS(RADIANS('11_발전량_모델'!$B$7))</f>
        <v/>
      </c>
      <c r="M341" s="80">
        <f>G341*J341+H341*K341+I341*L341</f>
        <v/>
      </c>
      <c r="N341" s="80">
        <f>MAX(0,I341)</f>
        <v/>
      </c>
      <c r="O341" s="80">
        <f>IF(I341&gt;0,MAX(0,M341),0)</f>
        <v/>
      </c>
      <c r="P341" s="80">
        <f>IF($I341&gt;0,MAX(0,$G341*SIN(RADIANS('13_시나리오비교'!$B$5))*SIN(RADIANS('13_시나리오비교'!$C$5))+$H341*SIN(RADIANS('13_시나리오비교'!$B$5))*COS(RADIANS('13_시나리오비교'!$C$5))+$I341*COS(RADIANS('13_시나리오비교'!$B$5))),0)</f>
        <v/>
      </c>
      <c r="Q341" s="80">
        <f>IF($I341&gt;0,MAX(0,$G341*SIN(RADIANS('13_시나리오비교'!$B$6))*SIN(RADIANS('13_시나리오비교'!$C$6))+$H341*SIN(RADIANS('13_시나리오비교'!$B$6))*COS(RADIANS('13_시나리오비교'!$C$6))+$I341*COS(RADIANS('13_시나리오비교'!$B$6))),0)</f>
        <v/>
      </c>
      <c r="R341" s="80">
        <f>IF($I341&gt;0,MAX(0,$G341*SIN(RADIANS('13_시나리오비교'!$B$7))*SIN(RADIANS('13_시나리오비교'!$C$7))+$H341*SIN(RADIANS('13_시나리오비교'!$B$7))*COS(RADIANS('13_시나리오비교'!$C$7))+$I341*COS(RADIANS('13_시나리오비교'!$B$7))),0)</f>
        <v/>
      </c>
      <c r="S341" s="80">
        <f>IF($I341&gt;0,MAX(0,$G341*SIN(RADIANS('13_시나리오비교'!$B$8))*SIN(RADIANS('13_시나리오비교'!$C$8))+$H341*SIN(RADIANS('13_시나리오비교'!$B$8))*COS(RADIANS('13_시나리오비교'!$C$8))+$I341*COS(RADIANS('13_시나리오비교'!$B$8))),0)</f>
        <v/>
      </c>
      <c r="T341" s="80">
        <f>IF($I341&gt;0,MAX(0,$G341*SIN(RADIANS('13_시나리오비교'!$B$9))*SIN(RADIANS('13_시나리오비교'!$C$9))+$H341*SIN(RADIANS('13_시나리오비교'!$B$9))*COS(RADIANS('13_시나리오비교'!$C$9))+$I341*COS(RADIANS('13_시나리오비교'!$B$9))),0)</f>
        <v/>
      </c>
      <c r="U341" s="80">
        <f>IF($I341&gt;0,MAX(0,$G341*SIN(RADIANS('13_시나리오비교'!$B$10))*SIN(RADIANS('13_시나리오비교'!$C$10))+$H341*SIN(RADIANS('13_시나리오비교'!$B$10))*COS(RADIANS('13_시나리오비교'!$C$10))+$I341*COS(RADIANS('13_시나리오비교'!$B$10))),0)</f>
        <v/>
      </c>
      <c r="V341" s="80">
        <f>IF($I341&gt;0,MAX(0,$G341*SIN(RADIANS('13_시나리오비교'!$B$11))*SIN(RADIANS('13_시나리오비교'!$C$11))+$H341*SIN(RADIANS('13_시나리오비교'!$B$11))*COS(RADIANS('13_시나리오비교'!$C$11))+$I341*COS(RADIANS('13_시나리오비교'!$B$11))),0)</f>
        <v/>
      </c>
      <c r="W341" s="80">
        <f>IF($I341&gt;0,MAX(0,$G341*SIN(RADIANS('13_시나리오비교'!$B$12))*SIN(RADIANS('13_시나리오비교'!$C$12))+$H341*SIN(RADIANS('13_시나리오비교'!$B$12))*COS(RADIANS('13_시나리오비교'!$C$12))+$I341*COS(RADIANS('13_시나리오비교'!$B$12))),0)</f>
        <v/>
      </c>
      <c r="X341" s="80">
        <f>IF($I341&gt;0,MAX(0,$G341*SIN(RADIANS('13_시나리오비교'!$B$13))*SIN(RADIANS('13_시나리오비교'!$C$13))+$H341*SIN(RADIANS('13_시나리오비교'!$B$13))*COS(RADIANS('13_시나리오비교'!$C$13))+$I341*COS(RADIANS('13_시나리오비교'!$B$13))),0)</f>
        <v/>
      </c>
      <c r="Y341" s="80">
        <f>IF($I341&gt;0,MAX(0,$G341*SIN(RADIANS('13_시나리오비교'!$B$14))*SIN(RADIANS('13_시나리오비교'!$C$14))+$H341*SIN(RADIANS('13_시나리오비교'!$B$14))*COS(RADIANS('13_시나리오비교'!$C$14))+$I341*COS(RADIANS('13_시나리오비교'!$B$14))),0)</f>
        <v/>
      </c>
    </row>
    <row r="342" hidden="1" outlineLevel="1">
      <c r="A342" s="79" t="n">
        <v>4</v>
      </c>
      <c r="B342" s="79" t="n">
        <v>34</v>
      </c>
      <c r="C342" s="80">
        <f>(B342-0.5)*'14_지역·상수'!$H$6</f>
        <v/>
      </c>
      <c r="D342" s="79" t="n">
        <v>105</v>
      </c>
      <c r="E342" s="80">
        <f>INDEX($C$4:$C$15,MATCH(A342,$A$4:$A$15,0))</f>
        <v/>
      </c>
      <c r="F342" s="80">
        <f>15*(C342-12)</f>
        <v/>
      </c>
      <c r="G342" s="80">
        <f>-COS(RADIANS(E342))*SIN(RADIANS(F342))</f>
        <v/>
      </c>
      <c r="H342" s="80">
        <f>COS(RADIANS('11_발전량_모델'!$B$17))*SIN(RADIANS(E342))-SIN(RADIANS('11_발전량_모델'!$B$17))*COS(RADIANS(E342))*COS(RADIANS(F342))</f>
        <v/>
      </c>
      <c r="I342" s="80">
        <f>SIN(RADIANS('11_발전량_모델'!$B$17))*SIN(RADIANS(E342))+COS(RADIANS('11_발전량_모델'!$B$17))*COS(RADIANS(E342))*COS(RADIANS(F342))</f>
        <v/>
      </c>
      <c r="J342" s="80">
        <f>SIN(RADIANS('11_발전량_모델'!$B$7))*SIN(RADIANS('11_발전량_모델'!$B$8))</f>
        <v/>
      </c>
      <c r="K342" s="80">
        <f>SIN(RADIANS('11_발전량_모델'!$B$7))*COS(RADIANS('11_발전량_모델'!$B$8))</f>
        <v/>
      </c>
      <c r="L342" s="80">
        <f>COS(RADIANS('11_발전량_모델'!$B$7))</f>
        <v/>
      </c>
      <c r="M342" s="80">
        <f>G342*J342+H342*K342+I342*L342</f>
        <v/>
      </c>
      <c r="N342" s="80">
        <f>MAX(0,I342)</f>
        <v/>
      </c>
      <c r="O342" s="80">
        <f>IF(I342&gt;0,MAX(0,M342),0)</f>
        <v/>
      </c>
      <c r="P342" s="80">
        <f>IF($I342&gt;0,MAX(0,$G342*SIN(RADIANS('13_시나리오비교'!$B$5))*SIN(RADIANS('13_시나리오비교'!$C$5))+$H342*SIN(RADIANS('13_시나리오비교'!$B$5))*COS(RADIANS('13_시나리오비교'!$C$5))+$I342*COS(RADIANS('13_시나리오비교'!$B$5))),0)</f>
        <v/>
      </c>
      <c r="Q342" s="80">
        <f>IF($I342&gt;0,MAX(0,$G342*SIN(RADIANS('13_시나리오비교'!$B$6))*SIN(RADIANS('13_시나리오비교'!$C$6))+$H342*SIN(RADIANS('13_시나리오비교'!$B$6))*COS(RADIANS('13_시나리오비교'!$C$6))+$I342*COS(RADIANS('13_시나리오비교'!$B$6))),0)</f>
        <v/>
      </c>
      <c r="R342" s="80">
        <f>IF($I342&gt;0,MAX(0,$G342*SIN(RADIANS('13_시나리오비교'!$B$7))*SIN(RADIANS('13_시나리오비교'!$C$7))+$H342*SIN(RADIANS('13_시나리오비교'!$B$7))*COS(RADIANS('13_시나리오비교'!$C$7))+$I342*COS(RADIANS('13_시나리오비교'!$B$7))),0)</f>
        <v/>
      </c>
      <c r="S342" s="80">
        <f>IF($I342&gt;0,MAX(0,$G342*SIN(RADIANS('13_시나리오비교'!$B$8))*SIN(RADIANS('13_시나리오비교'!$C$8))+$H342*SIN(RADIANS('13_시나리오비교'!$B$8))*COS(RADIANS('13_시나리오비교'!$C$8))+$I342*COS(RADIANS('13_시나리오비교'!$B$8))),0)</f>
        <v/>
      </c>
      <c r="T342" s="80">
        <f>IF($I342&gt;0,MAX(0,$G342*SIN(RADIANS('13_시나리오비교'!$B$9))*SIN(RADIANS('13_시나리오비교'!$C$9))+$H342*SIN(RADIANS('13_시나리오비교'!$B$9))*COS(RADIANS('13_시나리오비교'!$C$9))+$I342*COS(RADIANS('13_시나리오비교'!$B$9))),0)</f>
        <v/>
      </c>
      <c r="U342" s="80">
        <f>IF($I342&gt;0,MAX(0,$G342*SIN(RADIANS('13_시나리오비교'!$B$10))*SIN(RADIANS('13_시나리오비교'!$C$10))+$H342*SIN(RADIANS('13_시나리오비교'!$B$10))*COS(RADIANS('13_시나리오비교'!$C$10))+$I342*COS(RADIANS('13_시나리오비교'!$B$10))),0)</f>
        <v/>
      </c>
      <c r="V342" s="80">
        <f>IF($I342&gt;0,MAX(0,$G342*SIN(RADIANS('13_시나리오비교'!$B$11))*SIN(RADIANS('13_시나리오비교'!$C$11))+$H342*SIN(RADIANS('13_시나리오비교'!$B$11))*COS(RADIANS('13_시나리오비교'!$C$11))+$I342*COS(RADIANS('13_시나리오비교'!$B$11))),0)</f>
        <v/>
      </c>
      <c r="W342" s="80">
        <f>IF($I342&gt;0,MAX(0,$G342*SIN(RADIANS('13_시나리오비교'!$B$12))*SIN(RADIANS('13_시나리오비교'!$C$12))+$H342*SIN(RADIANS('13_시나리오비교'!$B$12))*COS(RADIANS('13_시나리오비교'!$C$12))+$I342*COS(RADIANS('13_시나리오비교'!$B$12))),0)</f>
        <v/>
      </c>
      <c r="X342" s="80">
        <f>IF($I342&gt;0,MAX(0,$G342*SIN(RADIANS('13_시나리오비교'!$B$13))*SIN(RADIANS('13_시나리오비교'!$C$13))+$H342*SIN(RADIANS('13_시나리오비교'!$B$13))*COS(RADIANS('13_시나리오비교'!$C$13))+$I342*COS(RADIANS('13_시나리오비교'!$B$13))),0)</f>
        <v/>
      </c>
      <c r="Y342" s="80">
        <f>IF($I342&gt;0,MAX(0,$G342*SIN(RADIANS('13_시나리오비교'!$B$14))*SIN(RADIANS('13_시나리오비교'!$C$14))+$H342*SIN(RADIANS('13_시나리오비교'!$B$14))*COS(RADIANS('13_시나리오비교'!$C$14))+$I342*COS(RADIANS('13_시나리오비교'!$B$14))),0)</f>
        <v/>
      </c>
    </row>
    <row r="343" hidden="1" outlineLevel="1">
      <c r="A343" s="79" t="n">
        <v>4</v>
      </c>
      <c r="B343" s="79" t="n">
        <v>35</v>
      </c>
      <c r="C343" s="80">
        <f>(B343-0.5)*'14_지역·상수'!$H$6</f>
        <v/>
      </c>
      <c r="D343" s="79" t="n">
        <v>105</v>
      </c>
      <c r="E343" s="80">
        <f>INDEX($C$4:$C$15,MATCH(A343,$A$4:$A$15,0))</f>
        <v/>
      </c>
      <c r="F343" s="80">
        <f>15*(C343-12)</f>
        <v/>
      </c>
      <c r="G343" s="80">
        <f>-COS(RADIANS(E343))*SIN(RADIANS(F343))</f>
        <v/>
      </c>
      <c r="H343" s="80">
        <f>COS(RADIANS('11_발전량_모델'!$B$17))*SIN(RADIANS(E343))-SIN(RADIANS('11_발전량_모델'!$B$17))*COS(RADIANS(E343))*COS(RADIANS(F343))</f>
        <v/>
      </c>
      <c r="I343" s="80">
        <f>SIN(RADIANS('11_발전량_모델'!$B$17))*SIN(RADIANS(E343))+COS(RADIANS('11_발전량_모델'!$B$17))*COS(RADIANS(E343))*COS(RADIANS(F343))</f>
        <v/>
      </c>
      <c r="J343" s="80">
        <f>SIN(RADIANS('11_발전량_모델'!$B$7))*SIN(RADIANS('11_발전량_모델'!$B$8))</f>
        <v/>
      </c>
      <c r="K343" s="80">
        <f>SIN(RADIANS('11_발전량_모델'!$B$7))*COS(RADIANS('11_발전량_모델'!$B$8))</f>
        <v/>
      </c>
      <c r="L343" s="80">
        <f>COS(RADIANS('11_발전량_모델'!$B$7))</f>
        <v/>
      </c>
      <c r="M343" s="80">
        <f>G343*J343+H343*K343+I343*L343</f>
        <v/>
      </c>
      <c r="N343" s="80">
        <f>MAX(0,I343)</f>
        <v/>
      </c>
      <c r="O343" s="80">
        <f>IF(I343&gt;0,MAX(0,M343),0)</f>
        <v/>
      </c>
      <c r="P343" s="80">
        <f>IF($I343&gt;0,MAX(0,$G343*SIN(RADIANS('13_시나리오비교'!$B$5))*SIN(RADIANS('13_시나리오비교'!$C$5))+$H343*SIN(RADIANS('13_시나리오비교'!$B$5))*COS(RADIANS('13_시나리오비교'!$C$5))+$I343*COS(RADIANS('13_시나리오비교'!$B$5))),0)</f>
        <v/>
      </c>
      <c r="Q343" s="80">
        <f>IF($I343&gt;0,MAX(0,$G343*SIN(RADIANS('13_시나리오비교'!$B$6))*SIN(RADIANS('13_시나리오비교'!$C$6))+$H343*SIN(RADIANS('13_시나리오비교'!$B$6))*COS(RADIANS('13_시나리오비교'!$C$6))+$I343*COS(RADIANS('13_시나리오비교'!$B$6))),0)</f>
        <v/>
      </c>
      <c r="R343" s="80">
        <f>IF($I343&gt;0,MAX(0,$G343*SIN(RADIANS('13_시나리오비교'!$B$7))*SIN(RADIANS('13_시나리오비교'!$C$7))+$H343*SIN(RADIANS('13_시나리오비교'!$B$7))*COS(RADIANS('13_시나리오비교'!$C$7))+$I343*COS(RADIANS('13_시나리오비교'!$B$7))),0)</f>
        <v/>
      </c>
      <c r="S343" s="80">
        <f>IF($I343&gt;0,MAX(0,$G343*SIN(RADIANS('13_시나리오비교'!$B$8))*SIN(RADIANS('13_시나리오비교'!$C$8))+$H343*SIN(RADIANS('13_시나리오비교'!$B$8))*COS(RADIANS('13_시나리오비교'!$C$8))+$I343*COS(RADIANS('13_시나리오비교'!$B$8))),0)</f>
        <v/>
      </c>
      <c r="T343" s="80">
        <f>IF($I343&gt;0,MAX(0,$G343*SIN(RADIANS('13_시나리오비교'!$B$9))*SIN(RADIANS('13_시나리오비교'!$C$9))+$H343*SIN(RADIANS('13_시나리오비교'!$B$9))*COS(RADIANS('13_시나리오비교'!$C$9))+$I343*COS(RADIANS('13_시나리오비교'!$B$9))),0)</f>
        <v/>
      </c>
      <c r="U343" s="80">
        <f>IF($I343&gt;0,MAX(0,$G343*SIN(RADIANS('13_시나리오비교'!$B$10))*SIN(RADIANS('13_시나리오비교'!$C$10))+$H343*SIN(RADIANS('13_시나리오비교'!$B$10))*COS(RADIANS('13_시나리오비교'!$C$10))+$I343*COS(RADIANS('13_시나리오비교'!$B$10))),0)</f>
        <v/>
      </c>
      <c r="V343" s="80">
        <f>IF($I343&gt;0,MAX(0,$G343*SIN(RADIANS('13_시나리오비교'!$B$11))*SIN(RADIANS('13_시나리오비교'!$C$11))+$H343*SIN(RADIANS('13_시나리오비교'!$B$11))*COS(RADIANS('13_시나리오비교'!$C$11))+$I343*COS(RADIANS('13_시나리오비교'!$B$11))),0)</f>
        <v/>
      </c>
      <c r="W343" s="80">
        <f>IF($I343&gt;0,MAX(0,$G343*SIN(RADIANS('13_시나리오비교'!$B$12))*SIN(RADIANS('13_시나리오비교'!$C$12))+$H343*SIN(RADIANS('13_시나리오비교'!$B$12))*COS(RADIANS('13_시나리오비교'!$C$12))+$I343*COS(RADIANS('13_시나리오비교'!$B$12))),0)</f>
        <v/>
      </c>
      <c r="X343" s="80">
        <f>IF($I343&gt;0,MAX(0,$G343*SIN(RADIANS('13_시나리오비교'!$B$13))*SIN(RADIANS('13_시나리오비교'!$C$13))+$H343*SIN(RADIANS('13_시나리오비교'!$B$13))*COS(RADIANS('13_시나리오비교'!$C$13))+$I343*COS(RADIANS('13_시나리오비교'!$B$13))),0)</f>
        <v/>
      </c>
      <c r="Y343" s="80">
        <f>IF($I343&gt;0,MAX(0,$G343*SIN(RADIANS('13_시나리오비교'!$B$14))*SIN(RADIANS('13_시나리오비교'!$C$14))+$H343*SIN(RADIANS('13_시나리오비교'!$B$14))*COS(RADIANS('13_시나리오비교'!$C$14))+$I343*COS(RADIANS('13_시나리오비교'!$B$14))),0)</f>
        <v/>
      </c>
    </row>
    <row r="344" hidden="1" outlineLevel="1">
      <c r="A344" s="79" t="n">
        <v>4</v>
      </c>
      <c r="B344" s="79" t="n">
        <v>36</v>
      </c>
      <c r="C344" s="80">
        <f>(B344-0.5)*'14_지역·상수'!$H$6</f>
        <v/>
      </c>
      <c r="D344" s="79" t="n">
        <v>105</v>
      </c>
      <c r="E344" s="80">
        <f>INDEX($C$4:$C$15,MATCH(A344,$A$4:$A$15,0))</f>
        <v/>
      </c>
      <c r="F344" s="80">
        <f>15*(C344-12)</f>
        <v/>
      </c>
      <c r="G344" s="80">
        <f>-COS(RADIANS(E344))*SIN(RADIANS(F344))</f>
        <v/>
      </c>
      <c r="H344" s="80">
        <f>COS(RADIANS('11_발전량_모델'!$B$17))*SIN(RADIANS(E344))-SIN(RADIANS('11_발전량_모델'!$B$17))*COS(RADIANS(E344))*COS(RADIANS(F344))</f>
        <v/>
      </c>
      <c r="I344" s="80">
        <f>SIN(RADIANS('11_발전량_모델'!$B$17))*SIN(RADIANS(E344))+COS(RADIANS('11_발전량_모델'!$B$17))*COS(RADIANS(E344))*COS(RADIANS(F344))</f>
        <v/>
      </c>
      <c r="J344" s="80">
        <f>SIN(RADIANS('11_발전량_모델'!$B$7))*SIN(RADIANS('11_발전량_모델'!$B$8))</f>
        <v/>
      </c>
      <c r="K344" s="80">
        <f>SIN(RADIANS('11_발전량_모델'!$B$7))*COS(RADIANS('11_발전량_모델'!$B$8))</f>
        <v/>
      </c>
      <c r="L344" s="80">
        <f>COS(RADIANS('11_발전량_모델'!$B$7))</f>
        <v/>
      </c>
      <c r="M344" s="80">
        <f>G344*J344+H344*K344+I344*L344</f>
        <v/>
      </c>
      <c r="N344" s="80">
        <f>MAX(0,I344)</f>
        <v/>
      </c>
      <c r="O344" s="80">
        <f>IF(I344&gt;0,MAX(0,M344),0)</f>
        <v/>
      </c>
      <c r="P344" s="80">
        <f>IF($I344&gt;0,MAX(0,$G344*SIN(RADIANS('13_시나리오비교'!$B$5))*SIN(RADIANS('13_시나리오비교'!$C$5))+$H344*SIN(RADIANS('13_시나리오비교'!$B$5))*COS(RADIANS('13_시나리오비교'!$C$5))+$I344*COS(RADIANS('13_시나리오비교'!$B$5))),0)</f>
        <v/>
      </c>
      <c r="Q344" s="80">
        <f>IF($I344&gt;0,MAX(0,$G344*SIN(RADIANS('13_시나리오비교'!$B$6))*SIN(RADIANS('13_시나리오비교'!$C$6))+$H344*SIN(RADIANS('13_시나리오비교'!$B$6))*COS(RADIANS('13_시나리오비교'!$C$6))+$I344*COS(RADIANS('13_시나리오비교'!$B$6))),0)</f>
        <v/>
      </c>
      <c r="R344" s="80">
        <f>IF($I344&gt;0,MAX(0,$G344*SIN(RADIANS('13_시나리오비교'!$B$7))*SIN(RADIANS('13_시나리오비교'!$C$7))+$H344*SIN(RADIANS('13_시나리오비교'!$B$7))*COS(RADIANS('13_시나리오비교'!$C$7))+$I344*COS(RADIANS('13_시나리오비교'!$B$7))),0)</f>
        <v/>
      </c>
      <c r="S344" s="80">
        <f>IF($I344&gt;0,MAX(0,$G344*SIN(RADIANS('13_시나리오비교'!$B$8))*SIN(RADIANS('13_시나리오비교'!$C$8))+$H344*SIN(RADIANS('13_시나리오비교'!$B$8))*COS(RADIANS('13_시나리오비교'!$C$8))+$I344*COS(RADIANS('13_시나리오비교'!$B$8))),0)</f>
        <v/>
      </c>
      <c r="T344" s="80">
        <f>IF($I344&gt;0,MAX(0,$G344*SIN(RADIANS('13_시나리오비교'!$B$9))*SIN(RADIANS('13_시나리오비교'!$C$9))+$H344*SIN(RADIANS('13_시나리오비교'!$B$9))*COS(RADIANS('13_시나리오비교'!$C$9))+$I344*COS(RADIANS('13_시나리오비교'!$B$9))),0)</f>
        <v/>
      </c>
      <c r="U344" s="80">
        <f>IF($I344&gt;0,MAX(0,$G344*SIN(RADIANS('13_시나리오비교'!$B$10))*SIN(RADIANS('13_시나리오비교'!$C$10))+$H344*SIN(RADIANS('13_시나리오비교'!$B$10))*COS(RADIANS('13_시나리오비교'!$C$10))+$I344*COS(RADIANS('13_시나리오비교'!$B$10))),0)</f>
        <v/>
      </c>
      <c r="V344" s="80">
        <f>IF($I344&gt;0,MAX(0,$G344*SIN(RADIANS('13_시나리오비교'!$B$11))*SIN(RADIANS('13_시나리오비교'!$C$11))+$H344*SIN(RADIANS('13_시나리오비교'!$B$11))*COS(RADIANS('13_시나리오비교'!$C$11))+$I344*COS(RADIANS('13_시나리오비교'!$B$11))),0)</f>
        <v/>
      </c>
      <c r="W344" s="80">
        <f>IF($I344&gt;0,MAX(0,$G344*SIN(RADIANS('13_시나리오비교'!$B$12))*SIN(RADIANS('13_시나리오비교'!$C$12))+$H344*SIN(RADIANS('13_시나리오비교'!$B$12))*COS(RADIANS('13_시나리오비교'!$C$12))+$I344*COS(RADIANS('13_시나리오비교'!$B$12))),0)</f>
        <v/>
      </c>
      <c r="X344" s="80">
        <f>IF($I344&gt;0,MAX(0,$G344*SIN(RADIANS('13_시나리오비교'!$B$13))*SIN(RADIANS('13_시나리오비교'!$C$13))+$H344*SIN(RADIANS('13_시나리오비교'!$B$13))*COS(RADIANS('13_시나리오비교'!$C$13))+$I344*COS(RADIANS('13_시나리오비교'!$B$13))),0)</f>
        <v/>
      </c>
      <c r="Y344" s="80">
        <f>IF($I344&gt;0,MAX(0,$G344*SIN(RADIANS('13_시나리오비교'!$B$14))*SIN(RADIANS('13_시나리오비교'!$C$14))+$H344*SIN(RADIANS('13_시나리오비교'!$B$14))*COS(RADIANS('13_시나리오비교'!$C$14))+$I344*COS(RADIANS('13_시나리오비교'!$B$14))),0)</f>
        <v/>
      </c>
    </row>
    <row r="345" hidden="1" outlineLevel="1">
      <c r="A345" s="79" t="n">
        <v>4</v>
      </c>
      <c r="B345" s="79" t="n">
        <v>37</v>
      </c>
      <c r="C345" s="80">
        <f>(B345-0.5)*'14_지역·상수'!$H$6</f>
        <v/>
      </c>
      <c r="D345" s="79" t="n">
        <v>105</v>
      </c>
      <c r="E345" s="80">
        <f>INDEX($C$4:$C$15,MATCH(A345,$A$4:$A$15,0))</f>
        <v/>
      </c>
      <c r="F345" s="80">
        <f>15*(C345-12)</f>
        <v/>
      </c>
      <c r="G345" s="80">
        <f>-COS(RADIANS(E345))*SIN(RADIANS(F345))</f>
        <v/>
      </c>
      <c r="H345" s="80">
        <f>COS(RADIANS('11_발전량_모델'!$B$17))*SIN(RADIANS(E345))-SIN(RADIANS('11_발전량_모델'!$B$17))*COS(RADIANS(E345))*COS(RADIANS(F345))</f>
        <v/>
      </c>
      <c r="I345" s="80">
        <f>SIN(RADIANS('11_발전량_모델'!$B$17))*SIN(RADIANS(E345))+COS(RADIANS('11_발전량_모델'!$B$17))*COS(RADIANS(E345))*COS(RADIANS(F345))</f>
        <v/>
      </c>
      <c r="J345" s="80">
        <f>SIN(RADIANS('11_발전량_모델'!$B$7))*SIN(RADIANS('11_발전량_모델'!$B$8))</f>
        <v/>
      </c>
      <c r="K345" s="80">
        <f>SIN(RADIANS('11_발전량_모델'!$B$7))*COS(RADIANS('11_발전량_모델'!$B$8))</f>
        <v/>
      </c>
      <c r="L345" s="80">
        <f>COS(RADIANS('11_발전량_모델'!$B$7))</f>
        <v/>
      </c>
      <c r="M345" s="80">
        <f>G345*J345+H345*K345+I345*L345</f>
        <v/>
      </c>
      <c r="N345" s="80">
        <f>MAX(0,I345)</f>
        <v/>
      </c>
      <c r="O345" s="80">
        <f>IF(I345&gt;0,MAX(0,M345),0)</f>
        <v/>
      </c>
      <c r="P345" s="80">
        <f>IF($I345&gt;0,MAX(0,$G345*SIN(RADIANS('13_시나리오비교'!$B$5))*SIN(RADIANS('13_시나리오비교'!$C$5))+$H345*SIN(RADIANS('13_시나리오비교'!$B$5))*COS(RADIANS('13_시나리오비교'!$C$5))+$I345*COS(RADIANS('13_시나리오비교'!$B$5))),0)</f>
        <v/>
      </c>
      <c r="Q345" s="80">
        <f>IF($I345&gt;0,MAX(0,$G345*SIN(RADIANS('13_시나리오비교'!$B$6))*SIN(RADIANS('13_시나리오비교'!$C$6))+$H345*SIN(RADIANS('13_시나리오비교'!$B$6))*COS(RADIANS('13_시나리오비교'!$C$6))+$I345*COS(RADIANS('13_시나리오비교'!$B$6))),0)</f>
        <v/>
      </c>
      <c r="R345" s="80">
        <f>IF($I345&gt;0,MAX(0,$G345*SIN(RADIANS('13_시나리오비교'!$B$7))*SIN(RADIANS('13_시나리오비교'!$C$7))+$H345*SIN(RADIANS('13_시나리오비교'!$B$7))*COS(RADIANS('13_시나리오비교'!$C$7))+$I345*COS(RADIANS('13_시나리오비교'!$B$7))),0)</f>
        <v/>
      </c>
      <c r="S345" s="80">
        <f>IF($I345&gt;0,MAX(0,$G345*SIN(RADIANS('13_시나리오비교'!$B$8))*SIN(RADIANS('13_시나리오비교'!$C$8))+$H345*SIN(RADIANS('13_시나리오비교'!$B$8))*COS(RADIANS('13_시나리오비교'!$C$8))+$I345*COS(RADIANS('13_시나리오비교'!$B$8))),0)</f>
        <v/>
      </c>
      <c r="T345" s="80">
        <f>IF($I345&gt;0,MAX(0,$G345*SIN(RADIANS('13_시나리오비교'!$B$9))*SIN(RADIANS('13_시나리오비교'!$C$9))+$H345*SIN(RADIANS('13_시나리오비교'!$B$9))*COS(RADIANS('13_시나리오비교'!$C$9))+$I345*COS(RADIANS('13_시나리오비교'!$B$9))),0)</f>
        <v/>
      </c>
      <c r="U345" s="80">
        <f>IF($I345&gt;0,MAX(0,$G345*SIN(RADIANS('13_시나리오비교'!$B$10))*SIN(RADIANS('13_시나리오비교'!$C$10))+$H345*SIN(RADIANS('13_시나리오비교'!$B$10))*COS(RADIANS('13_시나리오비교'!$C$10))+$I345*COS(RADIANS('13_시나리오비교'!$B$10))),0)</f>
        <v/>
      </c>
      <c r="V345" s="80">
        <f>IF($I345&gt;0,MAX(0,$G345*SIN(RADIANS('13_시나리오비교'!$B$11))*SIN(RADIANS('13_시나리오비교'!$C$11))+$H345*SIN(RADIANS('13_시나리오비교'!$B$11))*COS(RADIANS('13_시나리오비교'!$C$11))+$I345*COS(RADIANS('13_시나리오비교'!$B$11))),0)</f>
        <v/>
      </c>
      <c r="W345" s="80">
        <f>IF($I345&gt;0,MAX(0,$G345*SIN(RADIANS('13_시나리오비교'!$B$12))*SIN(RADIANS('13_시나리오비교'!$C$12))+$H345*SIN(RADIANS('13_시나리오비교'!$B$12))*COS(RADIANS('13_시나리오비교'!$C$12))+$I345*COS(RADIANS('13_시나리오비교'!$B$12))),0)</f>
        <v/>
      </c>
      <c r="X345" s="80">
        <f>IF($I345&gt;0,MAX(0,$G345*SIN(RADIANS('13_시나리오비교'!$B$13))*SIN(RADIANS('13_시나리오비교'!$C$13))+$H345*SIN(RADIANS('13_시나리오비교'!$B$13))*COS(RADIANS('13_시나리오비교'!$C$13))+$I345*COS(RADIANS('13_시나리오비교'!$B$13))),0)</f>
        <v/>
      </c>
      <c r="Y345" s="80">
        <f>IF($I345&gt;0,MAX(0,$G345*SIN(RADIANS('13_시나리오비교'!$B$14))*SIN(RADIANS('13_시나리오비교'!$C$14))+$H345*SIN(RADIANS('13_시나리오비교'!$B$14))*COS(RADIANS('13_시나리오비교'!$C$14))+$I345*COS(RADIANS('13_시나리오비교'!$B$14))),0)</f>
        <v/>
      </c>
    </row>
    <row r="346" hidden="1" outlineLevel="1">
      <c r="A346" s="79" t="n">
        <v>4</v>
      </c>
      <c r="B346" s="79" t="n">
        <v>38</v>
      </c>
      <c r="C346" s="80">
        <f>(B346-0.5)*'14_지역·상수'!$H$6</f>
        <v/>
      </c>
      <c r="D346" s="79" t="n">
        <v>105</v>
      </c>
      <c r="E346" s="80">
        <f>INDEX($C$4:$C$15,MATCH(A346,$A$4:$A$15,0))</f>
        <v/>
      </c>
      <c r="F346" s="80">
        <f>15*(C346-12)</f>
        <v/>
      </c>
      <c r="G346" s="80">
        <f>-COS(RADIANS(E346))*SIN(RADIANS(F346))</f>
        <v/>
      </c>
      <c r="H346" s="80">
        <f>COS(RADIANS('11_발전량_모델'!$B$17))*SIN(RADIANS(E346))-SIN(RADIANS('11_발전량_모델'!$B$17))*COS(RADIANS(E346))*COS(RADIANS(F346))</f>
        <v/>
      </c>
      <c r="I346" s="80">
        <f>SIN(RADIANS('11_발전량_모델'!$B$17))*SIN(RADIANS(E346))+COS(RADIANS('11_발전량_모델'!$B$17))*COS(RADIANS(E346))*COS(RADIANS(F346))</f>
        <v/>
      </c>
      <c r="J346" s="80">
        <f>SIN(RADIANS('11_발전량_모델'!$B$7))*SIN(RADIANS('11_발전량_모델'!$B$8))</f>
        <v/>
      </c>
      <c r="K346" s="80">
        <f>SIN(RADIANS('11_발전량_모델'!$B$7))*COS(RADIANS('11_발전량_모델'!$B$8))</f>
        <v/>
      </c>
      <c r="L346" s="80">
        <f>COS(RADIANS('11_발전량_모델'!$B$7))</f>
        <v/>
      </c>
      <c r="M346" s="80">
        <f>G346*J346+H346*K346+I346*L346</f>
        <v/>
      </c>
      <c r="N346" s="80">
        <f>MAX(0,I346)</f>
        <v/>
      </c>
      <c r="O346" s="80">
        <f>IF(I346&gt;0,MAX(0,M346),0)</f>
        <v/>
      </c>
      <c r="P346" s="80">
        <f>IF($I346&gt;0,MAX(0,$G346*SIN(RADIANS('13_시나리오비교'!$B$5))*SIN(RADIANS('13_시나리오비교'!$C$5))+$H346*SIN(RADIANS('13_시나리오비교'!$B$5))*COS(RADIANS('13_시나리오비교'!$C$5))+$I346*COS(RADIANS('13_시나리오비교'!$B$5))),0)</f>
        <v/>
      </c>
      <c r="Q346" s="80">
        <f>IF($I346&gt;0,MAX(0,$G346*SIN(RADIANS('13_시나리오비교'!$B$6))*SIN(RADIANS('13_시나리오비교'!$C$6))+$H346*SIN(RADIANS('13_시나리오비교'!$B$6))*COS(RADIANS('13_시나리오비교'!$C$6))+$I346*COS(RADIANS('13_시나리오비교'!$B$6))),0)</f>
        <v/>
      </c>
      <c r="R346" s="80">
        <f>IF($I346&gt;0,MAX(0,$G346*SIN(RADIANS('13_시나리오비교'!$B$7))*SIN(RADIANS('13_시나리오비교'!$C$7))+$H346*SIN(RADIANS('13_시나리오비교'!$B$7))*COS(RADIANS('13_시나리오비교'!$C$7))+$I346*COS(RADIANS('13_시나리오비교'!$B$7))),0)</f>
        <v/>
      </c>
      <c r="S346" s="80">
        <f>IF($I346&gt;0,MAX(0,$G346*SIN(RADIANS('13_시나리오비교'!$B$8))*SIN(RADIANS('13_시나리오비교'!$C$8))+$H346*SIN(RADIANS('13_시나리오비교'!$B$8))*COS(RADIANS('13_시나리오비교'!$C$8))+$I346*COS(RADIANS('13_시나리오비교'!$B$8))),0)</f>
        <v/>
      </c>
      <c r="T346" s="80">
        <f>IF($I346&gt;0,MAX(0,$G346*SIN(RADIANS('13_시나리오비교'!$B$9))*SIN(RADIANS('13_시나리오비교'!$C$9))+$H346*SIN(RADIANS('13_시나리오비교'!$B$9))*COS(RADIANS('13_시나리오비교'!$C$9))+$I346*COS(RADIANS('13_시나리오비교'!$B$9))),0)</f>
        <v/>
      </c>
      <c r="U346" s="80">
        <f>IF($I346&gt;0,MAX(0,$G346*SIN(RADIANS('13_시나리오비교'!$B$10))*SIN(RADIANS('13_시나리오비교'!$C$10))+$H346*SIN(RADIANS('13_시나리오비교'!$B$10))*COS(RADIANS('13_시나리오비교'!$C$10))+$I346*COS(RADIANS('13_시나리오비교'!$B$10))),0)</f>
        <v/>
      </c>
      <c r="V346" s="80">
        <f>IF($I346&gt;0,MAX(0,$G346*SIN(RADIANS('13_시나리오비교'!$B$11))*SIN(RADIANS('13_시나리오비교'!$C$11))+$H346*SIN(RADIANS('13_시나리오비교'!$B$11))*COS(RADIANS('13_시나리오비교'!$C$11))+$I346*COS(RADIANS('13_시나리오비교'!$B$11))),0)</f>
        <v/>
      </c>
      <c r="W346" s="80">
        <f>IF($I346&gt;0,MAX(0,$G346*SIN(RADIANS('13_시나리오비교'!$B$12))*SIN(RADIANS('13_시나리오비교'!$C$12))+$H346*SIN(RADIANS('13_시나리오비교'!$B$12))*COS(RADIANS('13_시나리오비교'!$C$12))+$I346*COS(RADIANS('13_시나리오비교'!$B$12))),0)</f>
        <v/>
      </c>
      <c r="X346" s="80">
        <f>IF($I346&gt;0,MAX(0,$G346*SIN(RADIANS('13_시나리오비교'!$B$13))*SIN(RADIANS('13_시나리오비교'!$C$13))+$H346*SIN(RADIANS('13_시나리오비교'!$B$13))*COS(RADIANS('13_시나리오비교'!$C$13))+$I346*COS(RADIANS('13_시나리오비교'!$B$13))),0)</f>
        <v/>
      </c>
      <c r="Y346" s="80">
        <f>IF($I346&gt;0,MAX(0,$G346*SIN(RADIANS('13_시나리오비교'!$B$14))*SIN(RADIANS('13_시나리오비교'!$C$14))+$H346*SIN(RADIANS('13_시나리오비교'!$B$14))*COS(RADIANS('13_시나리오비교'!$C$14))+$I346*COS(RADIANS('13_시나리오비교'!$B$14))),0)</f>
        <v/>
      </c>
    </row>
    <row r="347" hidden="1" outlineLevel="1">
      <c r="A347" s="79" t="n">
        <v>4</v>
      </c>
      <c r="B347" s="79" t="n">
        <v>39</v>
      </c>
      <c r="C347" s="80">
        <f>(B347-0.5)*'14_지역·상수'!$H$6</f>
        <v/>
      </c>
      <c r="D347" s="79" t="n">
        <v>105</v>
      </c>
      <c r="E347" s="80">
        <f>INDEX($C$4:$C$15,MATCH(A347,$A$4:$A$15,0))</f>
        <v/>
      </c>
      <c r="F347" s="80">
        <f>15*(C347-12)</f>
        <v/>
      </c>
      <c r="G347" s="80">
        <f>-COS(RADIANS(E347))*SIN(RADIANS(F347))</f>
        <v/>
      </c>
      <c r="H347" s="80">
        <f>COS(RADIANS('11_발전량_모델'!$B$17))*SIN(RADIANS(E347))-SIN(RADIANS('11_발전량_모델'!$B$17))*COS(RADIANS(E347))*COS(RADIANS(F347))</f>
        <v/>
      </c>
      <c r="I347" s="80">
        <f>SIN(RADIANS('11_발전량_모델'!$B$17))*SIN(RADIANS(E347))+COS(RADIANS('11_발전량_모델'!$B$17))*COS(RADIANS(E347))*COS(RADIANS(F347))</f>
        <v/>
      </c>
      <c r="J347" s="80">
        <f>SIN(RADIANS('11_발전량_모델'!$B$7))*SIN(RADIANS('11_발전량_모델'!$B$8))</f>
        <v/>
      </c>
      <c r="K347" s="80">
        <f>SIN(RADIANS('11_발전량_모델'!$B$7))*COS(RADIANS('11_발전량_모델'!$B$8))</f>
        <v/>
      </c>
      <c r="L347" s="80">
        <f>COS(RADIANS('11_발전량_모델'!$B$7))</f>
        <v/>
      </c>
      <c r="M347" s="80">
        <f>G347*J347+H347*K347+I347*L347</f>
        <v/>
      </c>
      <c r="N347" s="80">
        <f>MAX(0,I347)</f>
        <v/>
      </c>
      <c r="O347" s="80">
        <f>IF(I347&gt;0,MAX(0,M347),0)</f>
        <v/>
      </c>
      <c r="P347" s="80">
        <f>IF($I347&gt;0,MAX(0,$G347*SIN(RADIANS('13_시나리오비교'!$B$5))*SIN(RADIANS('13_시나리오비교'!$C$5))+$H347*SIN(RADIANS('13_시나리오비교'!$B$5))*COS(RADIANS('13_시나리오비교'!$C$5))+$I347*COS(RADIANS('13_시나리오비교'!$B$5))),0)</f>
        <v/>
      </c>
      <c r="Q347" s="80">
        <f>IF($I347&gt;0,MAX(0,$G347*SIN(RADIANS('13_시나리오비교'!$B$6))*SIN(RADIANS('13_시나리오비교'!$C$6))+$H347*SIN(RADIANS('13_시나리오비교'!$B$6))*COS(RADIANS('13_시나리오비교'!$C$6))+$I347*COS(RADIANS('13_시나리오비교'!$B$6))),0)</f>
        <v/>
      </c>
      <c r="R347" s="80">
        <f>IF($I347&gt;0,MAX(0,$G347*SIN(RADIANS('13_시나리오비교'!$B$7))*SIN(RADIANS('13_시나리오비교'!$C$7))+$H347*SIN(RADIANS('13_시나리오비교'!$B$7))*COS(RADIANS('13_시나리오비교'!$C$7))+$I347*COS(RADIANS('13_시나리오비교'!$B$7))),0)</f>
        <v/>
      </c>
      <c r="S347" s="80">
        <f>IF($I347&gt;0,MAX(0,$G347*SIN(RADIANS('13_시나리오비교'!$B$8))*SIN(RADIANS('13_시나리오비교'!$C$8))+$H347*SIN(RADIANS('13_시나리오비교'!$B$8))*COS(RADIANS('13_시나리오비교'!$C$8))+$I347*COS(RADIANS('13_시나리오비교'!$B$8))),0)</f>
        <v/>
      </c>
      <c r="T347" s="80">
        <f>IF($I347&gt;0,MAX(0,$G347*SIN(RADIANS('13_시나리오비교'!$B$9))*SIN(RADIANS('13_시나리오비교'!$C$9))+$H347*SIN(RADIANS('13_시나리오비교'!$B$9))*COS(RADIANS('13_시나리오비교'!$C$9))+$I347*COS(RADIANS('13_시나리오비교'!$B$9))),0)</f>
        <v/>
      </c>
      <c r="U347" s="80">
        <f>IF($I347&gt;0,MAX(0,$G347*SIN(RADIANS('13_시나리오비교'!$B$10))*SIN(RADIANS('13_시나리오비교'!$C$10))+$H347*SIN(RADIANS('13_시나리오비교'!$B$10))*COS(RADIANS('13_시나리오비교'!$C$10))+$I347*COS(RADIANS('13_시나리오비교'!$B$10))),0)</f>
        <v/>
      </c>
      <c r="V347" s="80">
        <f>IF($I347&gt;0,MAX(0,$G347*SIN(RADIANS('13_시나리오비교'!$B$11))*SIN(RADIANS('13_시나리오비교'!$C$11))+$H347*SIN(RADIANS('13_시나리오비교'!$B$11))*COS(RADIANS('13_시나리오비교'!$C$11))+$I347*COS(RADIANS('13_시나리오비교'!$B$11))),0)</f>
        <v/>
      </c>
      <c r="W347" s="80">
        <f>IF($I347&gt;0,MAX(0,$G347*SIN(RADIANS('13_시나리오비교'!$B$12))*SIN(RADIANS('13_시나리오비교'!$C$12))+$H347*SIN(RADIANS('13_시나리오비교'!$B$12))*COS(RADIANS('13_시나리오비교'!$C$12))+$I347*COS(RADIANS('13_시나리오비교'!$B$12))),0)</f>
        <v/>
      </c>
      <c r="X347" s="80">
        <f>IF($I347&gt;0,MAX(0,$G347*SIN(RADIANS('13_시나리오비교'!$B$13))*SIN(RADIANS('13_시나리오비교'!$C$13))+$H347*SIN(RADIANS('13_시나리오비교'!$B$13))*COS(RADIANS('13_시나리오비교'!$C$13))+$I347*COS(RADIANS('13_시나리오비교'!$B$13))),0)</f>
        <v/>
      </c>
      <c r="Y347" s="80">
        <f>IF($I347&gt;0,MAX(0,$G347*SIN(RADIANS('13_시나리오비교'!$B$14))*SIN(RADIANS('13_시나리오비교'!$C$14))+$H347*SIN(RADIANS('13_시나리오비교'!$B$14))*COS(RADIANS('13_시나리오비교'!$C$14))+$I347*COS(RADIANS('13_시나리오비교'!$B$14))),0)</f>
        <v/>
      </c>
    </row>
    <row r="348" hidden="1" outlineLevel="1">
      <c r="A348" s="79" t="n">
        <v>4</v>
      </c>
      <c r="B348" s="79" t="n">
        <v>40</v>
      </c>
      <c r="C348" s="80">
        <f>(B348-0.5)*'14_지역·상수'!$H$6</f>
        <v/>
      </c>
      <c r="D348" s="79" t="n">
        <v>105</v>
      </c>
      <c r="E348" s="80">
        <f>INDEX($C$4:$C$15,MATCH(A348,$A$4:$A$15,0))</f>
        <v/>
      </c>
      <c r="F348" s="80">
        <f>15*(C348-12)</f>
        <v/>
      </c>
      <c r="G348" s="80">
        <f>-COS(RADIANS(E348))*SIN(RADIANS(F348))</f>
        <v/>
      </c>
      <c r="H348" s="80">
        <f>COS(RADIANS('11_발전량_모델'!$B$17))*SIN(RADIANS(E348))-SIN(RADIANS('11_발전량_모델'!$B$17))*COS(RADIANS(E348))*COS(RADIANS(F348))</f>
        <v/>
      </c>
      <c r="I348" s="80">
        <f>SIN(RADIANS('11_발전량_모델'!$B$17))*SIN(RADIANS(E348))+COS(RADIANS('11_발전량_모델'!$B$17))*COS(RADIANS(E348))*COS(RADIANS(F348))</f>
        <v/>
      </c>
      <c r="J348" s="80">
        <f>SIN(RADIANS('11_발전량_모델'!$B$7))*SIN(RADIANS('11_발전량_모델'!$B$8))</f>
        <v/>
      </c>
      <c r="K348" s="80">
        <f>SIN(RADIANS('11_발전량_모델'!$B$7))*COS(RADIANS('11_발전량_모델'!$B$8))</f>
        <v/>
      </c>
      <c r="L348" s="80">
        <f>COS(RADIANS('11_발전량_모델'!$B$7))</f>
        <v/>
      </c>
      <c r="M348" s="80">
        <f>G348*J348+H348*K348+I348*L348</f>
        <v/>
      </c>
      <c r="N348" s="80">
        <f>MAX(0,I348)</f>
        <v/>
      </c>
      <c r="O348" s="80">
        <f>IF(I348&gt;0,MAX(0,M348),0)</f>
        <v/>
      </c>
      <c r="P348" s="80">
        <f>IF($I348&gt;0,MAX(0,$G348*SIN(RADIANS('13_시나리오비교'!$B$5))*SIN(RADIANS('13_시나리오비교'!$C$5))+$H348*SIN(RADIANS('13_시나리오비교'!$B$5))*COS(RADIANS('13_시나리오비교'!$C$5))+$I348*COS(RADIANS('13_시나리오비교'!$B$5))),0)</f>
        <v/>
      </c>
      <c r="Q348" s="80">
        <f>IF($I348&gt;0,MAX(0,$G348*SIN(RADIANS('13_시나리오비교'!$B$6))*SIN(RADIANS('13_시나리오비교'!$C$6))+$H348*SIN(RADIANS('13_시나리오비교'!$B$6))*COS(RADIANS('13_시나리오비교'!$C$6))+$I348*COS(RADIANS('13_시나리오비교'!$B$6))),0)</f>
        <v/>
      </c>
      <c r="R348" s="80">
        <f>IF($I348&gt;0,MAX(0,$G348*SIN(RADIANS('13_시나리오비교'!$B$7))*SIN(RADIANS('13_시나리오비교'!$C$7))+$H348*SIN(RADIANS('13_시나리오비교'!$B$7))*COS(RADIANS('13_시나리오비교'!$C$7))+$I348*COS(RADIANS('13_시나리오비교'!$B$7))),0)</f>
        <v/>
      </c>
      <c r="S348" s="80">
        <f>IF($I348&gt;0,MAX(0,$G348*SIN(RADIANS('13_시나리오비교'!$B$8))*SIN(RADIANS('13_시나리오비교'!$C$8))+$H348*SIN(RADIANS('13_시나리오비교'!$B$8))*COS(RADIANS('13_시나리오비교'!$C$8))+$I348*COS(RADIANS('13_시나리오비교'!$B$8))),0)</f>
        <v/>
      </c>
      <c r="T348" s="80">
        <f>IF($I348&gt;0,MAX(0,$G348*SIN(RADIANS('13_시나리오비교'!$B$9))*SIN(RADIANS('13_시나리오비교'!$C$9))+$H348*SIN(RADIANS('13_시나리오비교'!$B$9))*COS(RADIANS('13_시나리오비교'!$C$9))+$I348*COS(RADIANS('13_시나리오비교'!$B$9))),0)</f>
        <v/>
      </c>
      <c r="U348" s="80">
        <f>IF($I348&gt;0,MAX(0,$G348*SIN(RADIANS('13_시나리오비교'!$B$10))*SIN(RADIANS('13_시나리오비교'!$C$10))+$H348*SIN(RADIANS('13_시나리오비교'!$B$10))*COS(RADIANS('13_시나리오비교'!$C$10))+$I348*COS(RADIANS('13_시나리오비교'!$B$10))),0)</f>
        <v/>
      </c>
      <c r="V348" s="80">
        <f>IF($I348&gt;0,MAX(0,$G348*SIN(RADIANS('13_시나리오비교'!$B$11))*SIN(RADIANS('13_시나리오비교'!$C$11))+$H348*SIN(RADIANS('13_시나리오비교'!$B$11))*COS(RADIANS('13_시나리오비교'!$C$11))+$I348*COS(RADIANS('13_시나리오비교'!$B$11))),0)</f>
        <v/>
      </c>
      <c r="W348" s="80">
        <f>IF($I348&gt;0,MAX(0,$G348*SIN(RADIANS('13_시나리오비교'!$B$12))*SIN(RADIANS('13_시나리오비교'!$C$12))+$H348*SIN(RADIANS('13_시나리오비교'!$B$12))*COS(RADIANS('13_시나리오비교'!$C$12))+$I348*COS(RADIANS('13_시나리오비교'!$B$12))),0)</f>
        <v/>
      </c>
      <c r="X348" s="80">
        <f>IF($I348&gt;0,MAX(0,$G348*SIN(RADIANS('13_시나리오비교'!$B$13))*SIN(RADIANS('13_시나리오비교'!$C$13))+$H348*SIN(RADIANS('13_시나리오비교'!$B$13))*COS(RADIANS('13_시나리오비교'!$C$13))+$I348*COS(RADIANS('13_시나리오비교'!$B$13))),0)</f>
        <v/>
      </c>
      <c r="Y348" s="80">
        <f>IF($I348&gt;0,MAX(0,$G348*SIN(RADIANS('13_시나리오비교'!$B$14))*SIN(RADIANS('13_시나리오비교'!$C$14))+$H348*SIN(RADIANS('13_시나리오비교'!$B$14))*COS(RADIANS('13_시나리오비교'!$C$14))+$I348*COS(RADIANS('13_시나리오비교'!$B$14))),0)</f>
        <v/>
      </c>
    </row>
    <row r="349" hidden="1" outlineLevel="1">
      <c r="A349" s="79" t="n">
        <v>4</v>
      </c>
      <c r="B349" s="79" t="n">
        <v>41</v>
      </c>
      <c r="C349" s="80">
        <f>(B349-0.5)*'14_지역·상수'!$H$6</f>
        <v/>
      </c>
      <c r="D349" s="79" t="n">
        <v>105</v>
      </c>
      <c r="E349" s="80">
        <f>INDEX($C$4:$C$15,MATCH(A349,$A$4:$A$15,0))</f>
        <v/>
      </c>
      <c r="F349" s="80">
        <f>15*(C349-12)</f>
        <v/>
      </c>
      <c r="G349" s="80">
        <f>-COS(RADIANS(E349))*SIN(RADIANS(F349))</f>
        <v/>
      </c>
      <c r="H349" s="80">
        <f>COS(RADIANS('11_발전량_모델'!$B$17))*SIN(RADIANS(E349))-SIN(RADIANS('11_발전량_모델'!$B$17))*COS(RADIANS(E349))*COS(RADIANS(F349))</f>
        <v/>
      </c>
      <c r="I349" s="80">
        <f>SIN(RADIANS('11_발전량_모델'!$B$17))*SIN(RADIANS(E349))+COS(RADIANS('11_발전량_모델'!$B$17))*COS(RADIANS(E349))*COS(RADIANS(F349))</f>
        <v/>
      </c>
      <c r="J349" s="80">
        <f>SIN(RADIANS('11_발전량_모델'!$B$7))*SIN(RADIANS('11_발전량_모델'!$B$8))</f>
        <v/>
      </c>
      <c r="K349" s="80">
        <f>SIN(RADIANS('11_발전량_모델'!$B$7))*COS(RADIANS('11_발전량_모델'!$B$8))</f>
        <v/>
      </c>
      <c r="L349" s="80">
        <f>COS(RADIANS('11_발전량_모델'!$B$7))</f>
        <v/>
      </c>
      <c r="M349" s="80">
        <f>G349*J349+H349*K349+I349*L349</f>
        <v/>
      </c>
      <c r="N349" s="80">
        <f>MAX(0,I349)</f>
        <v/>
      </c>
      <c r="O349" s="80">
        <f>IF(I349&gt;0,MAX(0,M349),0)</f>
        <v/>
      </c>
      <c r="P349" s="80">
        <f>IF($I349&gt;0,MAX(0,$G349*SIN(RADIANS('13_시나리오비교'!$B$5))*SIN(RADIANS('13_시나리오비교'!$C$5))+$H349*SIN(RADIANS('13_시나리오비교'!$B$5))*COS(RADIANS('13_시나리오비교'!$C$5))+$I349*COS(RADIANS('13_시나리오비교'!$B$5))),0)</f>
        <v/>
      </c>
      <c r="Q349" s="80">
        <f>IF($I349&gt;0,MAX(0,$G349*SIN(RADIANS('13_시나리오비교'!$B$6))*SIN(RADIANS('13_시나리오비교'!$C$6))+$H349*SIN(RADIANS('13_시나리오비교'!$B$6))*COS(RADIANS('13_시나리오비교'!$C$6))+$I349*COS(RADIANS('13_시나리오비교'!$B$6))),0)</f>
        <v/>
      </c>
      <c r="R349" s="80">
        <f>IF($I349&gt;0,MAX(0,$G349*SIN(RADIANS('13_시나리오비교'!$B$7))*SIN(RADIANS('13_시나리오비교'!$C$7))+$H349*SIN(RADIANS('13_시나리오비교'!$B$7))*COS(RADIANS('13_시나리오비교'!$C$7))+$I349*COS(RADIANS('13_시나리오비교'!$B$7))),0)</f>
        <v/>
      </c>
      <c r="S349" s="80">
        <f>IF($I349&gt;0,MAX(0,$G349*SIN(RADIANS('13_시나리오비교'!$B$8))*SIN(RADIANS('13_시나리오비교'!$C$8))+$H349*SIN(RADIANS('13_시나리오비교'!$B$8))*COS(RADIANS('13_시나리오비교'!$C$8))+$I349*COS(RADIANS('13_시나리오비교'!$B$8))),0)</f>
        <v/>
      </c>
      <c r="T349" s="80">
        <f>IF($I349&gt;0,MAX(0,$G349*SIN(RADIANS('13_시나리오비교'!$B$9))*SIN(RADIANS('13_시나리오비교'!$C$9))+$H349*SIN(RADIANS('13_시나리오비교'!$B$9))*COS(RADIANS('13_시나리오비교'!$C$9))+$I349*COS(RADIANS('13_시나리오비교'!$B$9))),0)</f>
        <v/>
      </c>
      <c r="U349" s="80">
        <f>IF($I349&gt;0,MAX(0,$G349*SIN(RADIANS('13_시나리오비교'!$B$10))*SIN(RADIANS('13_시나리오비교'!$C$10))+$H349*SIN(RADIANS('13_시나리오비교'!$B$10))*COS(RADIANS('13_시나리오비교'!$C$10))+$I349*COS(RADIANS('13_시나리오비교'!$B$10))),0)</f>
        <v/>
      </c>
      <c r="V349" s="80">
        <f>IF($I349&gt;0,MAX(0,$G349*SIN(RADIANS('13_시나리오비교'!$B$11))*SIN(RADIANS('13_시나리오비교'!$C$11))+$H349*SIN(RADIANS('13_시나리오비교'!$B$11))*COS(RADIANS('13_시나리오비교'!$C$11))+$I349*COS(RADIANS('13_시나리오비교'!$B$11))),0)</f>
        <v/>
      </c>
      <c r="W349" s="80">
        <f>IF($I349&gt;0,MAX(0,$G349*SIN(RADIANS('13_시나리오비교'!$B$12))*SIN(RADIANS('13_시나리오비교'!$C$12))+$H349*SIN(RADIANS('13_시나리오비교'!$B$12))*COS(RADIANS('13_시나리오비교'!$C$12))+$I349*COS(RADIANS('13_시나리오비교'!$B$12))),0)</f>
        <v/>
      </c>
      <c r="X349" s="80">
        <f>IF($I349&gt;0,MAX(0,$G349*SIN(RADIANS('13_시나리오비교'!$B$13))*SIN(RADIANS('13_시나리오비교'!$C$13))+$H349*SIN(RADIANS('13_시나리오비교'!$B$13))*COS(RADIANS('13_시나리오비교'!$C$13))+$I349*COS(RADIANS('13_시나리오비교'!$B$13))),0)</f>
        <v/>
      </c>
      <c r="Y349" s="80">
        <f>IF($I349&gt;0,MAX(0,$G349*SIN(RADIANS('13_시나리오비교'!$B$14))*SIN(RADIANS('13_시나리오비교'!$C$14))+$H349*SIN(RADIANS('13_시나리오비교'!$B$14))*COS(RADIANS('13_시나리오비교'!$C$14))+$I349*COS(RADIANS('13_시나리오비교'!$B$14))),0)</f>
        <v/>
      </c>
    </row>
    <row r="350" hidden="1" outlineLevel="1">
      <c r="A350" s="79" t="n">
        <v>4</v>
      </c>
      <c r="B350" s="79" t="n">
        <v>42</v>
      </c>
      <c r="C350" s="80">
        <f>(B350-0.5)*'14_지역·상수'!$H$6</f>
        <v/>
      </c>
      <c r="D350" s="79" t="n">
        <v>105</v>
      </c>
      <c r="E350" s="80">
        <f>INDEX($C$4:$C$15,MATCH(A350,$A$4:$A$15,0))</f>
        <v/>
      </c>
      <c r="F350" s="80">
        <f>15*(C350-12)</f>
        <v/>
      </c>
      <c r="G350" s="80">
        <f>-COS(RADIANS(E350))*SIN(RADIANS(F350))</f>
        <v/>
      </c>
      <c r="H350" s="80">
        <f>COS(RADIANS('11_발전량_모델'!$B$17))*SIN(RADIANS(E350))-SIN(RADIANS('11_발전량_모델'!$B$17))*COS(RADIANS(E350))*COS(RADIANS(F350))</f>
        <v/>
      </c>
      <c r="I350" s="80">
        <f>SIN(RADIANS('11_발전량_모델'!$B$17))*SIN(RADIANS(E350))+COS(RADIANS('11_발전량_모델'!$B$17))*COS(RADIANS(E350))*COS(RADIANS(F350))</f>
        <v/>
      </c>
      <c r="J350" s="80">
        <f>SIN(RADIANS('11_발전량_모델'!$B$7))*SIN(RADIANS('11_발전량_모델'!$B$8))</f>
        <v/>
      </c>
      <c r="K350" s="80">
        <f>SIN(RADIANS('11_발전량_모델'!$B$7))*COS(RADIANS('11_발전량_모델'!$B$8))</f>
        <v/>
      </c>
      <c r="L350" s="80">
        <f>COS(RADIANS('11_발전량_모델'!$B$7))</f>
        <v/>
      </c>
      <c r="M350" s="80">
        <f>G350*J350+H350*K350+I350*L350</f>
        <v/>
      </c>
      <c r="N350" s="80">
        <f>MAX(0,I350)</f>
        <v/>
      </c>
      <c r="O350" s="80">
        <f>IF(I350&gt;0,MAX(0,M350),0)</f>
        <v/>
      </c>
      <c r="P350" s="80">
        <f>IF($I350&gt;0,MAX(0,$G350*SIN(RADIANS('13_시나리오비교'!$B$5))*SIN(RADIANS('13_시나리오비교'!$C$5))+$H350*SIN(RADIANS('13_시나리오비교'!$B$5))*COS(RADIANS('13_시나리오비교'!$C$5))+$I350*COS(RADIANS('13_시나리오비교'!$B$5))),0)</f>
        <v/>
      </c>
      <c r="Q350" s="80">
        <f>IF($I350&gt;0,MAX(0,$G350*SIN(RADIANS('13_시나리오비교'!$B$6))*SIN(RADIANS('13_시나리오비교'!$C$6))+$H350*SIN(RADIANS('13_시나리오비교'!$B$6))*COS(RADIANS('13_시나리오비교'!$C$6))+$I350*COS(RADIANS('13_시나리오비교'!$B$6))),0)</f>
        <v/>
      </c>
      <c r="R350" s="80">
        <f>IF($I350&gt;0,MAX(0,$G350*SIN(RADIANS('13_시나리오비교'!$B$7))*SIN(RADIANS('13_시나리오비교'!$C$7))+$H350*SIN(RADIANS('13_시나리오비교'!$B$7))*COS(RADIANS('13_시나리오비교'!$C$7))+$I350*COS(RADIANS('13_시나리오비교'!$B$7))),0)</f>
        <v/>
      </c>
      <c r="S350" s="80">
        <f>IF($I350&gt;0,MAX(0,$G350*SIN(RADIANS('13_시나리오비교'!$B$8))*SIN(RADIANS('13_시나리오비교'!$C$8))+$H350*SIN(RADIANS('13_시나리오비교'!$B$8))*COS(RADIANS('13_시나리오비교'!$C$8))+$I350*COS(RADIANS('13_시나리오비교'!$B$8))),0)</f>
        <v/>
      </c>
      <c r="T350" s="80">
        <f>IF($I350&gt;0,MAX(0,$G350*SIN(RADIANS('13_시나리오비교'!$B$9))*SIN(RADIANS('13_시나리오비교'!$C$9))+$H350*SIN(RADIANS('13_시나리오비교'!$B$9))*COS(RADIANS('13_시나리오비교'!$C$9))+$I350*COS(RADIANS('13_시나리오비교'!$B$9))),0)</f>
        <v/>
      </c>
      <c r="U350" s="80">
        <f>IF($I350&gt;0,MAX(0,$G350*SIN(RADIANS('13_시나리오비교'!$B$10))*SIN(RADIANS('13_시나리오비교'!$C$10))+$H350*SIN(RADIANS('13_시나리오비교'!$B$10))*COS(RADIANS('13_시나리오비교'!$C$10))+$I350*COS(RADIANS('13_시나리오비교'!$B$10))),0)</f>
        <v/>
      </c>
      <c r="V350" s="80">
        <f>IF($I350&gt;0,MAX(0,$G350*SIN(RADIANS('13_시나리오비교'!$B$11))*SIN(RADIANS('13_시나리오비교'!$C$11))+$H350*SIN(RADIANS('13_시나리오비교'!$B$11))*COS(RADIANS('13_시나리오비교'!$C$11))+$I350*COS(RADIANS('13_시나리오비교'!$B$11))),0)</f>
        <v/>
      </c>
      <c r="W350" s="80">
        <f>IF($I350&gt;0,MAX(0,$G350*SIN(RADIANS('13_시나리오비교'!$B$12))*SIN(RADIANS('13_시나리오비교'!$C$12))+$H350*SIN(RADIANS('13_시나리오비교'!$B$12))*COS(RADIANS('13_시나리오비교'!$C$12))+$I350*COS(RADIANS('13_시나리오비교'!$B$12))),0)</f>
        <v/>
      </c>
      <c r="X350" s="80">
        <f>IF($I350&gt;0,MAX(0,$G350*SIN(RADIANS('13_시나리오비교'!$B$13))*SIN(RADIANS('13_시나리오비교'!$C$13))+$H350*SIN(RADIANS('13_시나리오비교'!$B$13))*COS(RADIANS('13_시나리오비교'!$C$13))+$I350*COS(RADIANS('13_시나리오비교'!$B$13))),0)</f>
        <v/>
      </c>
      <c r="Y350" s="80">
        <f>IF($I350&gt;0,MAX(0,$G350*SIN(RADIANS('13_시나리오비교'!$B$14))*SIN(RADIANS('13_시나리오비교'!$C$14))+$H350*SIN(RADIANS('13_시나리오비교'!$B$14))*COS(RADIANS('13_시나리오비교'!$C$14))+$I350*COS(RADIANS('13_시나리오비교'!$B$14))),0)</f>
        <v/>
      </c>
    </row>
    <row r="351" hidden="1" outlineLevel="1">
      <c r="A351" s="79" t="n">
        <v>4</v>
      </c>
      <c r="B351" s="79" t="n">
        <v>43</v>
      </c>
      <c r="C351" s="80">
        <f>(B351-0.5)*'14_지역·상수'!$H$6</f>
        <v/>
      </c>
      <c r="D351" s="79" t="n">
        <v>105</v>
      </c>
      <c r="E351" s="80">
        <f>INDEX($C$4:$C$15,MATCH(A351,$A$4:$A$15,0))</f>
        <v/>
      </c>
      <c r="F351" s="80">
        <f>15*(C351-12)</f>
        <v/>
      </c>
      <c r="G351" s="80">
        <f>-COS(RADIANS(E351))*SIN(RADIANS(F351))</f>
        <v/>
      </c>
      <c r="H351" s="80">
        <f>COS(RADIANS('11_발전량_모델'!$B$17))*SIN(RADIANS(E351))-SIN(RADIANS('11_발전량_모델'!$B$17))*COS(RADIANS(E351))*COS(RADIANS(F351))</f>
        <v/>
      </c>
      <c r="I351" s="80">
        <f>SIN(RADIANS('11_발전량_모델'!$B$17))*SIN(RADIANS(E351))+COS(RADIANS('11_발전량_모델'!$B$17))*COS(RADIANS(E351))*COS(RADIANS(F351))</f>
        <v/>
      </c>
      <c r="J351" s="80">
        <f>SIN(RADIANS('11_발전량_모델'!$B$7))*SIN(RADIANS('11_발전량_모델'!$B$8))</f>
        <v/>
      </c>
      <c r="K351" s="80">
        <f>SIN(RADIANS('11_발전량_모델'!$B$7))*COS(RADIANS('11_발전량_모델'!$B$8))</f>
        <v/>
      </c>
      <c r="L351" s="80">
        <f>COS(RADIANS('11_발전량_모델'!$B$7))</f>
        <v/>
      </c>
      <c r="M351" s="80">
        <f>G351*J351+H351*K351+I351*L351</f>
        <v/>
      </c>
      <c r="N351" s="80">
        <f>MAX(0,I351)</f>
        <v/>
      </c>
      <c r="O351" s="80">
        <f>IF(I351&gt;0,MAX(0,M351),0)</f>
        <v/>
      </c>
      <c r="P351" s="80">
        <f>IF($I351&gt;0,MAX(0,$G351*SIN(RADIANS('13_시나리오비교'!$B$5))*SIN(RADIANS('13_시나리오비교'!$C$5))+$H351*SIN(RADIANS('13_시나리오비교'!$B$5))*COS(RADIANS('13_시나리오비교'!$C$5))+$I351*COS(RADIANS('13_시나리오비교'!$B$5))),0)</f>
        <v/>
      </c>
      <c r="Q351" s="80">
        <f>IF($I351&gt;0,MAX(0,$G351*SIN(RADIANS('13_시나리오비교'!$B$6))*SIN(RADIANS('13_시나리오비교'!$C$6))+$H351*SIN(RADIANS('13_시나리오비교'!$B$6))*COS(RADIANS('13_시나리오비교'!$C$6))+$I351*COS(RADIANS('13_시나리오비교'!$B$6))),0)</f>
        <v/>
      </c>
      <c r="R351" s="80">
        <f>IF($I351&gt;0,MAX(0,$G351*SIN(RADIANS('13_시나리오비교'!$B$7))*SIN(RADIANS('13_시나리오비교'!$C$7))+$H351*SIN(RADIANS('13_시나리오비교'!$B$7))*COS(RADIANS('13_시나리오비교'!$C$7))+$I351*COS(RADIANS('13_시나리오비교'!$B$7))),0)</f>
        <v/>
      </c>
      <c r="S351" s="80">
        <f>IF($I351&gt;0,MAX(0,$G351*SIN(RADIANS('13_시나리오비교'!$B$8))*SIN(RADIANS('13_시나리오비교'!$C$8))+$H351*SIN(RADIANS('13_시나리오비교'!$B$8))*COS(RADIANS('13_시나리오비교'!$C$8))+$I351*COS(RADIANS('13_시나리오비교'!$B$8))),0)</f>
        <v/>
      </c>
      <c r="T351" s="80">
        <f>IF($I351&gt;0,MAX(0,$G351*SIN(RADIANS('13_시나리오비교'!$B$9))*SIN(RADIANS('13_시나리오비교'!$C$9))+$H351*SIN(RADIANS('13_시나리오비교'!$B$9))*COS(RADIANS('13_시나리오비교'!$C$9))+$I351*COS(RADIANS('13_시나리오비교'!$B$9))),0)</f>
        <v/>
      </c>
      <c r="U351" s="80">
        <f>IF($I351&gt;0,MAX(0,$G351*SIN(RADIANS('13_시나리오비교'!$B$10))*SIN(RADIANS('13_시나리오비교'!$C$10))+$H351*SIN(RADIANS('13_시나리오비교'!$B$10))*COS(RADIANS('13_시나리오비교'!$C$10))+$I351*COS(RADIANS('13_시나리오비교'!$B$10))),0)</f>
        <v/>
      </c>
      <c r="V351" s="80">
        <f>IF($I351&gt;0,MAX(0,$G351*SIN(RADIANS('13_시나리오비교'!$B$11))*SIN(RADIANS('13_시나리오비교'!$C$11))+$H351*SIN(RADIANS('13_시나리오비교'!$B$11))*COS(RADIANS('13_시나리오비교'!$C$11))+$I351*COS(RADIANS('13_시나리오비교'!$B$11))),0)</f>
        <v/>
      </c>
      <c r="W351" s="80">
        <f>IF($I351&gt;0,MAX(0,$G351*SIN(RADIANS('13_시나리오비교'!$B$12))*SIN(RADIANS('13_시나리오비교'!$C$12))+$H351*SIN(RADIANS('13_시나리오비교'!$B$12))*COS(RADIANS('13_시나리오비교'!$C$12))+$I351*COS(RADIANS('13_시나리오비교'!$B$12))),0)</f>
        <v/>
      </c>
      <c r="X351" s="80">
        <f>IF($I351&gt;0,MAX(0,$G351*SIN(RADIANS('13_시나리오비교'!$B$13))*SIN(RADIANS('13_시나리오비교'!$C$13))+$H351*SIN(RADIANS('13_시나리오비교'!$B$13))*COS(RADIANS('13_시나리오비교'!$C$13))+$I351*COS(RADIANS('13_시나리오비교'!$B$13))),0)</f>
        <v/>
      </c>
      <c r="Y351" s="80">
        <f>IF($I351&gt;0,MAX(0,$G351*SIN(RADIANS('13_시나리오비교'!$B$14))*SIN(RADIANS('13_시나리오비교'!$C$14))+$H351*SIN(RADIANS('13_시나리오비교'!$B$14))*COS(RADIANS('13_시나리오비교'!$C$14))+$I351*COS(RADIANS('13_시나리오비교'!$B$14))),0)</f>
        <v/>
      </c>
    </row>
    <row r="352" hidden="1" outlineLevel="1">
      <c r="A352" s="79" t="n">
        <v>4</v>
      </c>
      <c r="B352" s="79" t="n">
        <v>44</v>
      </c>
      <c r="C352" s="80">
        <f>(B352-0.5)*'14_지역·상수'!$H$6</f>
        <v/>
      </c>
      <c r="D352" s="79" t="n">
        <v>105</v>
      </c>
      <c r="E352" s="80">
        <f>INDEX($C$4:$C$15,MATCH(A352,$A$4:$A$15,0))</f>
        <v/>
      </c>
      <c r="F352" s="80">
        <f>15*(C352-12)</f>
        <v/>
      </c>
      <c r="G352" s="80">
        <f>-COS(RADIANS(E352))*SIN(RADIANS(F352))</f>
        <v/>
      </c>
      <c r="H352" s="80">
        <f>COS(RADIANS('11_발전량_모델'!$B$17))*SIN(RADIANS(E352))-SIN(RADIANS('11_발전량_모델'!$B$17))*COS(RADIANS(E352))*COS(RADIANS(F352))</f>
        <v/>
      </c>
      <c r="I352" s="80">
        <f>SIN(RADIANS('11_발전량_모델'!$B$17))*SIN(RADIANS(E352))+COS(RADIANS('11_발전량_모델'!$B$17))*COS(RADIANS(E352))*COS(RADIANS(F352))</f>
        <v/>
      </c>
      <c r="J352" s="80">
        <f>SIN(RADIANS('11_발전량_모델'!$B$7))*SIN(RADIANS('11_발전량_모델'!$B$8))</f>
        <v/>
      </c>
      <c r="K352" s="80">
        <f>SIN(RADIANS('11_발전량_모델'!$B$7))*COS(RADIANS('11_발전량_모델'!$B$8))</f>
        <v/>
      </c>
      <c r="L352" s="80">
        <f>COS(RADIANS('11_발전량_모델'!$B$7))</f>
        <v/>
      </c>
      <c r="M352" s="80">
        <f>G352*J352+H352*K352+I352*L352</f>
        <v/>
      </c>
      <c r="N352" s="80">
        <f>MAX(0,I352)</f>
        <v/>
      </c>
      <c r="O352" s="80">
        <f>IF(I352&gt;0,MAX(0,M352),0)</f>
        <v/>
      </c>
      <c r="P352" s="80">
        <f>IF($I352&gt;0,MAX(0,$G352*SIN(RADIANS('13_시나리오비교'!$B$5))*SIN(RADIANS('13_시나리오비교'!$C$5))+$H352*SIN(RADIANS('13_시나리오비교'!$B$5))*COS(RADIANS('13_시나리오비교'!$C$5))+$I352*COS(RADIANS('13_시나리오비교'!$B$5))),0)</f>
        <v/>
      </c>
      <c r="Q352" s="80">
        <f>IF($I352&gt;0,MAX(0,$G352*SIN(RADIANS('13_시나리오비교'!$B$6))*SIN(RADIANS('13_시나리오비교'!$C$6))+$H352*SIN(RADIANS('13_시나리오비교'!$B$6))*COS(RADIANS('13_시나리오비교'!$C$6))+$I352*COS(RADIANS('13_시나리오비교'!$B$6))),0)</f>
        <v/>
      </c>
      <c r="R352" s="80">
        <f>IF($I352&gt;0,MAX(0,$G352*SIN(RADIANS('13_시나리오비교'!$B$7))*SIN(RADIANS('13_시나리오비교'!$C$7))+$H352*SIN(RADIANS('13_시나리오비교'!$B$7))*COS(RADIANS('13_시나리오비교'!$C$7))+$I352*COS(RADIANS('13_시나리오비교'!$B$7))),0)</f>
        <v/>
      </c>
      <c r="S352" s="80">
        <f>IF($I352&gt;0,MAX(0,$G352*SIN(RADIANS('13_시나리오비교'!$B$8))*SIN(RADIANS('13_시나리오비교'!$C$8))+$H352*SIN(RADIANS('13_시나리오비교'!$B$8))*COS(RADIANS('13_시나리오비교'!$C$8))+$I352*COS(RADIANS('13_시나리오비교'!$B$8))),0)</f>
        <v/>
      </c>
      <c r="T352" s="80">
        <f>IF($I352&gt;0,MAX(0,$G352*SIN(RADIANS('13_시나리오비교'!$B$9))*SIN(RADIANS('13_시나리오비교'!$C$9))+$H352*SIN(RADIANS('13_시나리오비교'!$B$9))*COS(RADIANS('13_시나리오비교'!$C$9))+$I352*COS(RADIANS('13_시나리오비교'!$B$9))),0)</f>
        <v/>
      </c>
      <c r="U352" s="80">
        <f>IF($I352&gt;0,MAX(0,$G352*SIN(RADIANS('13_시나리오비교'!$B$10))*SIN(RADIANS('13_시나리오비교'!$C$10))+$H352*SIN(RADIANS('13_시나리오비교'!$B$10))*COS(RADIANS('13_시나리오비교'!$C$10))+$I352*COS(RADIANS('13_시나리오비교'!$B$10))),0)</f>
        <v/>
      </c>
      <c r="V352" s="80">
        <f>IF($I352&gt;0,MAX(0,$G352*SIN(RADIANS('13_시나리오비교'!$B$11))*SIN(RADIANS('13_시나리오비교'!$C$11))+$H352*SIN(RADIANS('13_시나리오비교'!$B$11))*COS(RADIANS('13_시나리오비교'!$C$11))+$I352*COS(RADIANS('13_시나리오비교'!$B$11))),0)</f>
        <v/>
      </c>
      <c r="W352" s="80">
        <f>IF($I352&gt;0,MAX(0,$G352*SIN(RADIANS('13_시나리오비교'!$B$12))*SIN(RADIANS('13_시나리오비교'!$C$12))+$H352*SIN(RADIANS('13_시나리오비교'!$B$12))*COS(RADIANS('13_시나리오비교'!$C$12))+$I352*COS(RADIANS('13_시나리오비교'!$B$12))),0)</f>
        <v/>
      </c>
      <c r="X352" s="80">
        <f>IF($I352&gt;0,MAX(0,$G352*SIN(RADIANS('13_시나리오비교'!$B$13))*SIN(RADIANS('13_시나리오비교'!$C$13))+$H352*SIN(RADIANS('13_시나리오비교'!$B$13))*COS(RADIANS('13_시나리오비교'!$C$13))+$I352*COS(RADIANS('13_시나리오비교'!$B$13))),0)</f>
        <v/>
      </c>
      <c r="Y352" s="80">
        <f>IF($I352&gt;0,MAX(0,$G352*SIN(RADIANS('13_시나리오비교'!$B$14))*SIN(RADIANS('13_시나리오비교'!$C$14))+$H352*SIN(RADIANS('13_시나리오비교'!$B$14))*COS(RADIANS('13_시나리오비교'!$C$14))+$I352*COS(RADIANS('13_시나리오비교'!$B$14))),0)</f>
        <v/>
      </c>
    </row>
    <row r="353" hidden="1" outlineLevel="1">
      <c r="A353" s="79" t="n">
        <v>4</v>
      </c>
      <c r="B353" s="79" t="n">
        <v>45</v>
      </c>
      <c r="C353" s="80">
        <f>(B353-0.5)*'14_지역·상수'!$H$6</f>
        <v/>
      </c>
      <c r="D353" s="79" t="n">
        <v>105</v>
      </c>
      <c r="E353" s="80">
        <f>INDEX($C$4:$C$15,MATCH(A353,$A$4:$A$15,0))</f>
        <v/>
      </c>
      <c r="F353" s="80">
        <f>15*(C353-12)</f>
        <v/>
      </c>
      <c r="G353" s="80">
        <f>-COS(RADIANS(E353))*SIN(RADIANS(F353))</f>
        <v/>
      </c>
      <c r="H353" s="80">
        <f>COS(RADIANS('11_발전량_모델'!$B$17))*SIN(RADIANS(E353))-SIN(RADIANS('11_발전량_모델'!$B$17))*COS(RADIANS(E353))*COS(RADIANS(F353))</f>
        <v/>
      </c>
      <c r="I353" s="80">
        <f>SIN(RADIANS('11_발전량_모델'!$B$17))*SIN(RADIANS(E353))+COS(RADIANS('11_발전량_모델'!$B$17))*COS(RADIANS(E353))*COS(RADIANS(F353))</f>
        <v/>
      </c>
      <c r="J353" s="80">
        <f>SIN(RADIANS('11_발전량_모델'!$B$7))*SIN(RADIANS('11_발전량_모델'!$B$8))</f>
        <v/>
      </c>
      <c r="K353" s="80">
        <f>SIN(RADIANS('11_발전량_모델'!$B$7))*COS(RADIANS('11_발전량_모델'!$B$8))</f>
        <v/>
      </c>
      <c r="L353" s="80">
        <f>COS(RADIANS('11_발전량_모델'!$B$7))</f>
        <v/>
      </c>
      <c r="M353" s="80">
        <f>G353*J353+H353*K353+I353*L353</f>
        <v/>
      </c>
      <c r="N353" s="80">
        <f>MAX(0,I353)</f>
        <v/>
      </c>
      <c r="O353" s="80">
        <f>IF(I353&gt;0,MAX(0,M353),0)</f>
        <v/>
      </c>
      <c r="P353" s="80">
        <f>IF($I353&gt;0,MAX(0,$G353*SIN(RADIANS('13_시나리오비교'!$B$5))*SIN(RADIANS('13_시나리오비교'!$C$5))+$H353*SIN(RADIANS('13_시나리오비교'!$B$5))*COS(RADIANS('13_시나리오비교'!$C$5))+$I353*COS(RADIANS('13_시나리오비교'!$B$5))),0)</f>
        <v/>
      </c>
      <c r="Q353" s="80">
        <f>IF($I353&gt;0,MAX(0,$G353*SIN(RADIANS('13_시나리오비교'!$B$6))*SIN(RADIANS('13_시나리오비교'!$C$6))+$H353*SIN(RADIANS('13_시나리오비교'!$B$6))*COS(RADIANS('13_시나리오비교'!$C$6))+$I353*COS(RADIANS('13_시나리오비교'!$B$6))),0)</f>
        <v/>
      </c>
      <c r="R353" s="80">
        <f>IF($I353&gt;0,MAX(0,$G353*SIN(RADIANS('13_시나리오비교'!$B$7))*SIN(RADIANS('13_시나리오비교'!$C$7))+$H353*SIN(RADIANS('13_시나리오비교'!$B$7))*COS(RADIANS('13_시나리오비교'!$C$7))+$I353*COS(RADIANS('13_시나리오비교'!$B$7))),0)</f>
        <v/>
      </c>
      <c r="S353" s="80">
        <f>IF($I353&gt;0,MAX(0,$G353*SIN(RADIANS('13_시나리오비교'!$B$8))*SIN(RADIANS('13_시나리오비교'!$C$8))+$H353*SIN(RADIANS('13_시나리오비교'!$B$8))*COS(RADIANS('13_시나리오비교'!$C$8))+$I353*COS(RADIANS('13_시나리오비교'!$B$8))),0)</f>
        <v/>
      </c>
      <c r="T353" s="80">
        <f>IF($I353&gt;0,MAX(0,$G353*SIN(RADIANS('13_시나리오비교'!$B$9))*SIN(RADIANS('13_시나리오비교'!$C$9))+$H353*SIN(RADIANS('13_시나리오비교'!$B$9))*COS(RADIANS('13_시나리오비교'!$C$9))+$I353*COS(RADIANS('13_시나리오비교'!$B$9))),0)</f>
        <v/>
      </c>
      <c r="U353" s="80">
        <f>IF($I353&gt;0,MAX(0,$G353*SIN(RADIANS('13_시나리오비교'!$B$10))*SIN(RADIANS('13_시나리오비교'!$C$10))+$H353*SIN(RADIANS('13_시나리오비교'!$B$10))*COS(RADIANS('13_시나리오비교'!$C$10))+$I353*COS(RADIANS('13_시나리오비교'!$B$10))),0)</f>
        <v/>
      </c>
      <c r="V353" s="80">
        <f>IF($I353&gt;0,MAX(0,$G353*SIN(RADIANS('13_시나리오비교'!$B$11))*SIN(RADIANS('13_시나리오비교'!$C$11))+$H353*SIN(RADIANS('13_시나리오비교'!$B$11))*COS(RADIANS('13_시나리오비교'!$C$11))+$I353*COS(RADIANS('13_시나리오비교'!$B$11))),0)</f>
        <v/>
      </c>
      <c r="W353" s="80">
        <f>IF($I353&gt;0,MAX(0,$G353*SIN(RADIANS('13_시나리오비교'!$B$12))*SIN(RADIANS('13_시나리오비교'!$C$12))+$H353*SIN(RADIANS('13_시나리오비교'!$B$12))*COS(RADIANS('13_시나리오비교'!$C$12))+$I353*COS(RADIANS('13_시나리오비교'!$B$12))),0)</f>
        <v/>
      </c>
      <c r="X353" s="80">
        <f>IF($I353&gt;0,MAX(0,$G353*SIN(RADIANS('13_시나리오비교'!$B$13))*SIN(RADIANS('13_시나리오비교'!$C$13))+$H353*SIN(RADIANS('13_시나리오비교'!$B$13))*COS(RADIANS('13_시나리오비교'!$C$13))+$I353*COS(RADIANS('13_시나리오비교'!$B$13))),0)</f>
        <v/>
      </c>
      <c r="Y353" s="80">
        <f>IF($I353&gt;0,MAX(0,$G353*SIN(RADIANS('13_시나리오비교'!$B$14))*SIN(RADIANS('13_시나리오비교'!$C$14))+$H353*SIN(RADIANS('13_시나리오비교'!$B$14))*COS(RADIANS('13_시나리오비교'!$C$14))+$I353*COS(RADIANS('13_시나리오비교'!$B$14))),0)</f>
        <v/>
      </c>
    </row>
    <row r="354" hidden="1" outlineLevel="1">
      <c r="A354" s="79" t="n">
        <v>4</v>
      </c>
      <c r="B354" s="79" t="n">
        <v>46</v>
      </c>
      <c r="C354" s="80">
        <f>(B354-0.5)*'14_지역·상수'!$H$6</f>
        <v/>
      </c>
      <c r="D354" s="79" t="n">
        <v>105</v>
      </c>
      <c r="E354" s="80">
        <f>INDEX($C$4:$C$15,MATCH(A354,$A$4:$A$15,0))</f>
        <v/>
      </c>
      <c r="F354" s="80">
        <f>15*(C354-12)</f>
        <v/>
      </c>
      <c r="G354" s="80">
        <f>-COS(RADIANS(E354))*SIN(RADIANS(F354))</f>
        <v/>
      </c>
      <c r="H354" s="80">
        <f>COS(RADIANS('11_발전량_모델'!$B$17))*SIN(RADIANS(E354))-SIN(RADIANS('11_발전량_모델'!$B$17))*COS(RADIANS(E354))*COS(RADIANS(F354))</f>
        <v/>
      </c>
      <c r="I354" s="80">
        <f>SIN(RADIANS('11_발전량_모델'!$B$17))*SIN(RADIANS(E354))+COS(RADIANS('11_발전량_모델'!$B$17))*COS(RADIANS(E354))*COS(RADIANS(F354))</f>
        <v/>
      </c>
      <c r="J354" s="80">
        <f>SIN(RADIANS('11_발전량_모델'!$B$7))*SIN(RADIANS('11_발전량_모델'!$B$8))</f>
        <v/>
      </c>
      <c r="K354" s="80">
        <f>SIN(RADIANS('11_발전량_모델'!$B$7))*COS(RADIANS('11_발전량_모델'!$B$8))</f>
        <v/>
      </c>
      <c r="L354" s="80">
        <f>COS(RADIANS('11_발전량_모델'!$B$7))</f>
        <v/>
      </c>
      <c r="M354" s="80">
        <f>G354*J354+H354*K354+I354*L354</f>
        <v/>
      </c>
      <c r="N354" s="80">
        <f>MAX(0,I354)</f>
        <v/>
      </c>
      <c r="O354" s="80">
        <f>IF(I354&gt;0,MAX(0,M354),0)</f>
        <v/>
      </c>
      <c r="P354" s="80">
        <f>IF($I354&gt;0,MAX(0,$G354*SIN(RADIANS('13_시나리오비교'!$B$5))*SIN(RADIANS('13_시나리오비교'!$C$5))+$H354*SIN(RADIANS('13_시나리오비교'!$B$5))*COS(RADIANS('13_시나리오비교'!$C$5))+$I354*COS(RADIANS('13_시나리오비교'!$B$5))),0)</f>
        <v/>
      </c>
      <c r="Q354" s="80">
        <f>IF($I354&gt;0,MAX(0,$G354*SIN(RADIANS('13_시나리오비교'!$B$6))*SIN(RADIANS('13_시나리오비교'!$C$6))+$H354*SIN(RADIANS('13_시나리오비교'!$B$6))*COS(RADIANS('13_시나리오비교'!$C$6))+$I354*COS(RADIANS('13_시나리오비교'!$B$6))),0)</f>
        <v/>
      </c>
      <c r="R354" s="80">
        <f>IF($I354&gt;0,MAX(0,$G354*SIN(RADIANS('13_시나리오비교'!$B$7))*SIN(RADIANS('13_시나리오비교'!$C$7))+$H354*SIN(RADIANS('13_시나리오비교'!$B$7))*COS(RADIANS('13_시나리오비교'!$C$7))+$I354*COS(RADIANS('13_시나리오비교'!$B$7))),0)</f>
        <v/>
      </c>
      <c r="S354" s="80">
        <f>IF($I354&gt;0,MAX(0,$G354*SIN(RADIANS('13_시나리오비교'!$B$8))*SIN(RADIANS('13_시나리오비교'!$C$8))+$H354*SIN(RADIANS('13_시나리오비교'!$B$8))*COS(RADIANS('13_시나리오비교'!$C$8))+$I354*COS(RADIANS('13_시나리오비교'!$B$8))),0)</f>
        <v/>
      </c>
      <c r="T354" s="80">
        <f>IF($I354&gt;0,MAX(0,$G354*SIN(RADIANS('13_시나리오비교'!$B$9))*SIN(RADIANS('13_시나리오비교'!$C$9))+$H354*SIN(RADIANS('13_시나리오비교'!$B$9))*COS(RADIANS('13_시나리오비교'!$C$9))+$I354*COS(RADIANS('13_시나리오비교'!$B$9))),0)</f>
        <v/>
      </c>
      <c r="U354" s="80">
        <f>IF($I354&gt;0,MAX(0,$G354*SIN(RADIANS('13_시나리오비교'!$B$10))*SIN(RADIANS('13_시나리오비교'!$C$10))+$H354*SIN(RADIANS('13_시나리오비교'!$B$10))*COS(RADIANS('13_시나리오비교'!$C$10))+$I354*COS(RADIANS('13_시나리오비교'!$B$10))),0)</f>
        <v/>
      </c>
      <c r="V354" s="80">
        <f>IF($I354&gt;0,MAX(0,$G354*SIN(RADIANS('13_시나리오비교'!$B$11))*SIN(RADIANS('13_시나리오비교'!$C$11))+$H354*SIN(RADIANS('13_시나리오비교'!$B$11))*COS(RADIANS('13_시나리오비교'!$C$11))+$I354*COS(RADIANS('13_시나리오비교'!$B$11))),0)</f>
        <v/>
      </c>
      <c r="W354" s="80">
        <f>IF($I354&gt;0,MAX(0,$G354*SIN(RADIANS('13_시나리오비교'!$B$12))*SIN(RADIANS('13_시나리오비교'!$C$12))+$H354*SIN(RADIANS('13_시나리오비교'!$B$12))*COS(RADIANS('13_시나리오비교'!$C$12))+$I354*COS(RADIANS('13_시나리오비교'!$B$12))),0)</f>
        <v/>
      </c>
      <c r="X354" s="80">
        <f>IF($I354&gt;0,MAX(0,$G354*SIN(RADIANS('13_시나리오비교'!$B$13))*SIN(RADIANS('13_시나리오비교'!$C$13))+$H354*SIN(RADIANS('13_시나리오비교'!$B$13))*COS(RADIANS('13_시나리오비교'!$C$13))+$I354*COS(RADIANS('13_시나리오비교'!$B$13))),0)</f>
        <v/>
      </c>
      <c r="Y354" s="80">
        <f>IF($I354&gt;0,MAX(0,$G354*SIN(RADIANS('13_시나리오비교'!$B$14))*SIN(RADIANS('13_시나리오비교'!$C$14))+$H354*SIN(RADIANS('13_시나리오비교'!$B$14))*COS(RADIANS('13_시나리오비교'!$C$14))+$I354*COS(RADIANS('13_시나리오비교'!$B$14))),0)</f>
        <v/>
      </c>
    </row>
    <row r="355" hidden="1" outlineLevel="1">
      <c r="A355" s="79" t="n">
        <v>4</v>
      </c>
      <c r="B355" s="79" t="n">
        <v>47</v>
      </c>
      <c r="C355" s="80">
        <f>(B355-0.5)*'14_지역·상수'!$H$6</f>
        <v/>
      </c>
      <c r="D355" s="79" t="n">
        <v>105</v>
      </c>
      <c r="E355" s="80">
        <f>INDEX($C$4:$C$15,MATCH(A355,$A$4:$A$15,0))</f>
        <v/>
      </c>
      <c r="F355" s="80">
        <f>15*(C355-12)</f>
        <v/>
      </c>
      <c r="G355" s="80">
        <f>-COS(RADIANS(E355))*SIN(RADIANS(F355))</f>
        <v/>
      </c>
      <c r="H355" s="80">
        <f>COS(RADIANS('11_발전량_모델'!$B$17))*SIN(RADIANS(E355))-SIN(RADIANS('11_발전량_모델'!$B$17))*COS(RADIANS(E355))*COS(RADIANS(F355))</f>
        <v/>
      </c>
      <c r="I355" s="80">
        <f>SIN(RADIANS('11_발전량_모델'!$B$17))*SIN(RADIANS(E355))+COS(RADIANS('11_발전량_모델'!$B$17))*COS(RADIANS(E355))*COS(RADIANS(F355))</f>
        <v/>
      </c>
      <c r="J355" s="80">
        <f>SIN(RADIANS('11_발전량_모델'!$B$7))*SIN(RADIANS('11_발전량_모델'!$B$8))</f>
        <v/>
      </c>
      <c r="K355" s="80">
        <f>SIN(RADIANS('11_발전량_모델'!$B$7))*COS(RADIANS('11_발전량_모델'!$B$8))</f>
        <v/>
      </c>
      <c r="L355" s="80">
        <f>COS(RADIANS('11_발전량_모델'!$B$7))</f>
        <v/>
      </c>
      <c r="M355" s="80">
        <f>G355*J355+H355*K355+I355*L355</f>
        <v/>
      </c>
      <c r="N355" s="80">
        <f>MAX(0,I355)</f>
        <v/>
      </c>
      <c r="O355" s="80">
        <f>IF(I355&gt;0,MAX(0,M355),0)</f>
        <v/>
      </c>
      <c r="P355" s="80">
        <f>IF($I355&gt;0,MAX(0,$G355*SIN(RADIANS('13_시나리오비교'!$B$5))*SIN(RADIANS('13_시나리오비교'!$C$5))+$H355*SIN(RADIANS('13_시나리오비교'!$B$5))*COS(RADIANS('13_시나리오비교'!$C$5))+$I355*COS(RADIANS('13_시나리오비교'!$B$5))),0)</f>
        <v/>
      </c>
      <c r="Q355" s="80">
        <f>IF($I355&gt;0,MAX(0,$G355*SIN(RADIANS('13_시나리오비교'!$B$6))*SIN(RADIANS('13_시나리오비교'!$C$6))+$H355*SIN(RADIANS('13_시나리오비교'!$B$6))*COS(RADIANS('13_시나리오비교'!$C$6))+$I355*COS(RADIANS('13_시나리오비교'!$B$6))),0)</f>
        <v/>
      </c>
      <c r="R355" s="80">
        <f>IF($I355&gt;0,MAX(0,$G355*SIN(RADIANS('13_시나리오비교'!$B$7))*SIN(RADIANS('13_시나리오비교'!$C$7))+$H355*SIN(RADIANS('13_시나리오비교'!$B$7))*COS(RADIANS('13_시나리오비교'!$C$7))+$I355*COS(RADIANS('13_시나리오비교'!$B$7))),0)</f>
        <v/>
      </c>
      <c r="S355" s="80">
        <f>IF($I355&gt;0,MAX(0,$G355*SIN(RADIANS('13_시나리오비교'!$B$8))*SIN(RADIANS('13_시나리오비교'!$C$8))+$H355*SIN(RADIANS('13_시나리오비교'!$B$8))*COS(RADIANS('13_시나리오비교'!$C$8))+$I355*COS(RADIANS('13_시나리오비교'!$B$8))),0)</f>
        <v/>
      </c>
      <c r="T355" s="80">
        <f>IF($I355&gt;0,MAX(0,$G355*SIN(RADIANS('13_시나리오비교'!$B$9))*SIN(RADIANS('13_시나리오비교'!$C$9))+$H355*SIN(RADIANS('13_시나리오비교'!$B$9))*COS(RADIANS('13_시나리오비교'!$C$9))+$I355*COS(RADIANS('13_시나리오비교'!$B$9))),0)</f>
        <v/>
      </c>
      <c r="U355" s="80">
        <f>IF($I355&gt;0,MAX(0,$G355*SIN(RADIANS('13_시나리오비교'!$B$10))*SIN(RADIANS('13_시나리오비교'!$C$10))+$H355*SIN(RADIANS('13_시나리오비교'!$B$10))*COS(RADIANS('13_시나리오비교'!$C$10))+$I355*COS(RADIANS('13_시나리오비교'!$B$10))),0)</f>
        <v/>
      </c>
      <c r="V355" s="80">
        <f>IF($I355&gt;0,MAX(0,$G355*SIN(RADIANS('13_시나리오비교'!$B$11))*SIN(RADIANS('13_시나리오비교'!$C$11))+$H355*SIN(RADIANS('13_시나리오비교'!$B$11))*COS(RADIANS('13_시나리오비교'!$C$11))+$I355*COS(RADIANS('13_시나리오비교'!$B$11))),0)</f>
        <v/>
      </c>
      <c r="W355" s="80">
        <f>IF($I355&gt;0,MAX(0,$G355*SIN(RADIANS('13_시나리오비교'!$B$12))*SIN(RADIANS('13_시나리오비교'!$C$12))+$H355*SIN(RADIANS('13_시나리오비교'!$B$12))*COS(RADIANS('13_시나리오비교'!$C$12))+$I355*COS(RADIANS('13_시나리오비교'!$B$12))),0)</f>
        <v/>
      </c>
      <c r="X355" s="80">
        <f>IF($I355&gt;0,MAX(0,$G355*SIN(RADIANS('13_시나리오비교'!$B$13))*SIN(RADIANS('13_시나리오비교'!$C$13))+$H355*SIN(RADIANS('13_시나리오비교'!$B$13))*COS(RADIANS('13_시나리오비교'!$C$13))+$I355*COS(RADIANS('13_시나리오비교'!$B$13))),0)</f>
        <v/>
      </c>
      <c r="Y355" s="80">
        <f>IF($I355&gt;0,MAX(0,$G355*SIN(RADIANS('13_시나리오비교'!$B$14))*SIN(RADIANS('13_시나리오비교'!$C$14))+$H355*SIN(RADIANS('13_시나리오비교'!$B$14))*COS(RADIANS('13_시나리오비교'!$C$14))+$I355*COS(RADIANS('13_시나리오비교'!$B$14))),0)</f>
        <v/>
      </c>
    </row>
    <row r="356" hidden="1" outlineLevel="1">
      <c r="A356" s="79" t="n">
        <v>4</v>
      </c>
      <c r="B356" s="79" t="n">
        <v>48</v>
      </c>
      <c r="C356" s="80">
        <f>(B356-0.5)*'14_지역·상수'!$H$6</f>
        <v/>
      </c>
      <c r="D356" s="79" t="n">
        <v>105</v>
      </c>
      <c r="E356" s="80">
        <f>INDEX($C$4:$C$15,MATCH(A356,$A$4:$A$15,0))</f>
        <v/>
      </c>
      <c r="F356" s="80">
        <f>15*(C356-12)</f>
        <v/>
      </c>
      <c r="G356" s="80">
        <f>-COS(RADIANS(E356))*SIN(RADIANS(F356))</f>
        <v/>
      </c>
      <c r="H356" s="80">
        <f>COS(RADIANS('11_발전량_모델'!$B$17))*SIN(RADIANS(E356))-SIN(RADIANS('11_발전량_모델'!$B$17))*COS(RADIANS(E356))*COS(RADIANS(F356))</f>
        <v/>
      </c>
      <c r="I356" s="80">
        <f>SIN(RADIANS('11_발전량_모델'!$B$17))*SIN(RADIANS(E356))+COS(RADIANS('11_발전량_모델'!$B$17))*COS(RADIANS(E356))*COS(RADIANS(F356))</f>
        <v/>
      </c>
      <c r="J356" s="80">
        <f>SIN(RADIANS('11_발전량_모델'!$B$7))*SIN(RADIANS('11_발전량_모델'!$B$8))</f>
        <v/>
      </c>
      <c r="K356" s="80">
        <f>SIN(RADIANS('11_발전량_모델'!$B$7))*COS(RADIANS('11_발전량_모델'!$B$8))</f>
        <v/>
      </c>
      <c r="L356" s="80">
        <f>COS(RADIANS('11_발전량_모델'!$B$7))</f>
        <v/>
      </c>
      <c r="M356" s="80">
        <f>G356*J356+H356*K356+I356*L356</f>
        <v/>
      </c>
      <c r="N356" s="80">
        <f>MAX(0,I356)</f>
        <v/>
      </c>
      <c r="O356" s="80">
        <f>IF(I356&gt;0,MAX(0,M356),0)</f>
        <v/>
      </c>
      <c r="P356" s="80">
        <f>IF($I356&gt;0,MAX(0,$G356*SIN(RADIANS('13_시나리오비교'!$B$5))*SIN(RADIANS('13_시나리오비교'!$C$5))+$H356*SIN(RADIANS('13_시나리오비교'!$B$5))*COS(RADIANS('13_시나리오비교'!$C$5))+$I356*COS(RADIANS('13_시나리오비교'!$B$5))),0)</f>
        <v/>
      </c>
      <c r="Q356" s="80">
        <f>IF($I356&gt;0,MAX(0,$G356*SIN(RADIANS('13_시나리오비교'!$B$6))*SIN(RADIANS('13_시나리오비교'!$C$6))+$H356*SIN(RADIANS('13_시나리오비교'!$B$6))*COS(RADIANS('13_시나리오비교'!$C$6))+$I356*COS(RADIANS('13_시나리오비교'!$B$6))),0)</f>
        <v/>
      </c>
      <c r="R356" s="80">
        <f>IF($I356&gt;0,MAX(0,$G356*SIN(RADIANS('13_시나리오비교'!$B$7))*SIN(RADIANS('13_시나리오비교'!$C$7))+$H356*SIN(RADIANS('13_시나리오비교'!$B$7))*COS(RADIANS('13_시나리오비교'!$C$7))+$I356*COS(RADIANS('13_시나리오비교'!$B$7))),0)</f>
        <v/>
      </c>
      <c r="S356" s="80">
        <f>IF($I356&gt;0,MAX(0,$G356*SIN(RADIANS('13_시나리오비교'!$B$8))*SIN(RADIANS('13_시나리오비교'!$C$8))+$H356*SIN(RADIANS('13_시나리오비교'!$B$8))*COS(RADIANS('13_시나리오비교'!$C$8))+$I356*COS(RADIANS('13_시나리오비교'!$B$8))),0)</f>
        <v/>
      </c>
      <c r="T356" s="80">
        <f>IF($I356&gt;0,MAX(0,$G356*SIN(RADIANS('13_시나리오비교'!$B$9))*SIN(RADIANS('13_시나리오비교'!$C$9))+$H356*SIN(RADIANS('13_시나리오비교'!$B$9))*COS(RADIANS('13_시나리오비교'!$C$9))+$I356*COS(RADIANS('13_시나리오비교'!$B$9))),0)</f>
        <v/>
      </c>
      <c r="U356" s="80">
        <f>IF($I356&gt;0,MAX(0,$G356*SIN(RADIANS('13_시나리오비교'!$B$10))*SIN(RADIANS('13_시나리오비교'!$C$10))+$H356*SIN(RADIANS('13_시나리오비교'!$B$10))*COS(RADIANS('13_시나리오비교'!$C$10))+$I356*COS(RADIANS('13_시나리오비교'!$B$10))),0)</f>
        <v/>
      </c>
      <c r="V356" s="80">
        <f>IF($I356&gt;0,MAX(0,$G356*SIN(RADIANS('13_시나리오비교'!$B$11))*SIN(RADIANS('13_시나리오비교'!$C$11))+$H356*SIN(RADIANS('13_시나리오비교'!$B$11))*COS(RADIANS('13_시나리오비교'!$C$11))+$I356*COS(RADIANS('13_시나리오비교'!$B$11))),0)</f>
        <v/>
      </c>
      <c r="W356" s="80">
        <f>IF($I356&gt;0,MAX(0,$G356*SIN(RADIANS('13_시나리오비교'!$B$12))*SIN(RADIANS('13_시나리오비교'!$C$12))+$H356*SIN(RADIANS('13_시나리오비교'!$B$12))*COS(RADIANS('13_시나리오비교'!$C$12))+$I356*COS(RADIANS('13_시나리오비교'!$B$12))),0)</f>
        <v/>
      </c>
      <c r="X356" s="80">
        <f>IF($I356&gt;0,MAX(0,$G356*SIN(RADIANS('13_시나리오비교'!$B$13))*SIN(RADIANS('13_시나리오비교'!$C$13))+$H356*SIN(RADIANS('13_시나리오비교'!$B$13))*COS(RADIANS('13_시나리오비교'!$C$13))+$I356*COS(RADIANS('13_시나리오비교'!$B$13))),0)</f>
        <v/>
      </c>
      <c r="Y356" s="80">
        <f>IF($I356&gt;0,MAX(0,$G356*SIN(RADIANS('13_시나리오비교'!$B$14))*SIN(RADIANS('13_시나리오비교'!$C$14))+$H356*SIN(RADIANS('13_시나리오비교'!$B$14))*COS(RADIANS('13_시나리오비교'!$C$14))+$I356*COS(RADIANS('13_시나리오비교'!$B$14))),0)</f>
        <v/>
      </c>
    </row>
    <row r="357" hidden="1" outlineLevel="1">
      <c r="A357" s="79" t="n">
        <v>4</v>
      </c>
      <c r="B357" s="79" t="n">
        <v>49</v>
      </c>
      <c r="C357" s="80">
        <f>(B357-0.5)*'14_지역·상수'!$H$6</f>
        <v/>
      </c>
      <c r="D357" s="79" t="n">
        <v>105</v>
      </c>
      <c r="E357" s="80">
        <f>INDEX($C$4:$C$15,MATCH(A357,$A$4:$A$15,0))</f>
        <v/>
      </c>
      <c r="F357" s="80">
        <f>15*(C357-12)</f>
        <v/>
      </c>
      <c r="G357" s="80">
        <f>-COS(RADIANS(E357))*SIN(RADIANS(F357))</f>
        <v/>
      </c>
      <c r="H357" s="80">
        <f>COS(RADIANS('11_발전량_모델'!$B$17))*SIN(RADIANS(E357))-SIN(RADIANS('11_발전량_모델'!$B$17))*COS(RADIANS(E357))*COS(RADIANS(F357))</f>
        <v/>
      </c>
      <c r="I357" s="80">
        <f>SIN(RADIANS('11_발전량_모델'!$B$17))*SIN(RADIANS(E357))+COS(RADIANS('11_발전량_모델'!$B$17))*COS(RADIANS(E357))*COS(RADIANS(F357))</f>
        <v/>
      </c>
      <c r="J357" s="80">
        <f>SIN(RADIANS('11_발전량_모델'!$B$7))*SIN(RADIANS('11_발전량_모델'!$B$8))</f>
        <v/>
      </c>
      <c r="K357" s="80">
        <f>SIN(RADIANS('11_발전량_모델'!$B$7))*COS(RADIANS('11_발전량_모델'!$B$8))</f>
        <v/>
      </c>
      <c r="L357" s="80">
        <f>COS(RADIANS('11_발전량_모델'!$B$7))</f>
        <v/>
      </c>
      <c r="M357" s="80">
        <f>G357*J357+H357*K357+I357*L357</f>
        <v/>
      </c>
      <c r="N357" s="80">
        <f>MAX(0,I357)</f>
        <v/>
      </c>
      <c r="O357" s="80">
        <f>IF(I357&gt;0,MAX(0,M357),0)</f>
        <v/>
      </c>
      <c r="P357" s="80">
        <f>IF($I357&gt;0,MAX(0,$G357*SIN(RADIANS('13_시나리오비교'!$B$5))*SIN(RADIANS('13_시나리오비교'!$C$5))+$H357*SIN(RADIANS('13_시나리오비교'!$B$5))*COS(RADIANS('13_시나리오비교'!$C$5))+$I357*COS(RADIANS('13_시나리오비교'!$B$5))),0)</f>
        <v/>
      </c>
      <c r="Q357" s="80">
        <f>IF($I357&gt;0,MAX(0,$G357*SIN(RADIANS('13_시나리오비교'!$B$6))*SIN(RADIANS('13_시나리오비교'!$C$6))+$H357*SIN(RADIANS('13_시나리오비교'!$B$6))*COS(RADIANS('13_시나리오비교'!$C$6))+$I357*COS(RADIANS('13_시나리오비교'!$B$6))),0)</f>
        <v/>
      </c>
      <c r="R357" s="80">
        <f>IF($I357&gt;0,MAX(0,$G357*SIN(RADIANS('13_시나리오비교'!$B$7))*SIN(RADIANS('13_시나리오비교'!$C$7))+$H357*SIN(RADIANS('13_시나리오비교'!$B$7))*COS(RADIANS('13_시나리오비교'!$C$7))+$I357*COS(RADIANS('13_시나리오비교'!$B$7))),0)</f>
        <v/>
      </c>
      <c r="S357" s="80">
        <f>IF($I357&gt;0,MAX(0,$G357*SIN(RADIANS('13_시나리오비교'!$B$8))*SIN(RADIANS('13_시나리오비교'!$C$8))+$H357*SIN(RADIANS('13_시나리오비교'!$B$8))*COS(RADIANS('13_시나리오비교'!$C$8))+$I357*COS(RADIANS('13_시나리오비교'!$B$8))),0)</f>
        <v/>
      </c>
      <c r="T357" s="80">
        <f>IF($I357&gt;0,MAX(0,$G357*SIN(RADIANS('13_시나리오비교'!$B$9))*SIN(RADIANS('13_시나리오비교'!$C$9))+$H357*SIN(RADIANS('13_시나리오비교'!$B$9))*COS(RADIANS('13_시나리오비교'!$C$9))+$I357*COS(RADIANS('13_시나리오비교'!$B$9))),0)</f>
        <v/>
      </c>
      <c r="U357" s="80">
        <f>IF($I357&gt;0,MAX(0,$G357*SIN(RADIANS('13_시나리오비교'!$B$10))*SIN(RADIANS('13_시나리오비교'!$C$10))+$H357*SIN(RADIANS('13_시나리오비교'!$B$10))*COS(RADIANS('13_시나리오비교'!$C$10))+$I357*COS(RADIANS('13_시나리오비교'!$B$10))),0)</f>
        <v/>
      </c>
      <c r="V357" s="80">
        <f>IF($I357&gt;0,MAX(0,$G357*SIN(RADIANS('13_시나리오비교'!$B$11))*SIN(RADIANS('13_시나리오비교'!$C$11))+$H357*SIN(RADIANS('13_시나리오비교'!$B$11))*COS(RADIANS('13_시나리오비교'!$C$11))+$I357*COS(RADIANS('13_시나리오비교'!$B$11))),0)</f>
        <v/>
      </c>
      <c r="W357" s="80">
        <f>IF($I357&gt;0,MAX(0,$G357*SIN(RADIANS('13_시나리오비교'!$B$12))*SIN(RADIANS('13_시나리오비교'!$C$12))+$H357*SIN(RADIANS('13_시나리오비교'!$B$12))*COS(RADIANS('13_시나리오비교'!$C$12))+$I357*COS(RADIANS('13_시나리오비교'!$B$12))),0)</f>
        <v/>
      </c>
      <c r="X357" s="80">
        <f>IF($I357&gt;0,MAX(0,$G357*SIN(RADIANS('13_시나리오비교'!$B$13))*SIN(RADIANS('13_시나리오비교'!$C$13))+$H357*SIN(RADIANS('13_시나리오비교'!$B$13))*COS(RADIANS('13_시나리오비교'!$C$13))+$I357*COS(RADIANS('13_시나리오비교'!$B$13))),0)</f>
        <v/>
      </c>
      <c r="Y357" s="80">
        <f>IF($I357&gt;0,MAX(0,$G357*SIN(RADIANS('13_시나리오비교'!$B$14))*SIN(RADIANS('13_시나리오비교'!$C$14))+$H357*SIN(RADIANS('13_시나리오비교'!$B$14))*COS(RADIANS('13_시나리오비교'!$C$14))+$I357*COS(RADIANS('13_시나리오비교'!$B$14))),0)</f>
        <v/>
      </c>
    </row>
    <row r="358" hidden="1" outlineLevel="1">
      <c r="A358" s="79" t="n">
        <v>4</v>
      </c>
      <c r="B358" s="79" t="n">
        <v>50</v>
      </c>
      <c r="C358" s="80">
        <f>(B358-0.5)*'14_지역·상수'!$H$6</f>
        <v/>
      </c>
      <c r="D358" s="79" t="n">
        <v>105</v>
      </c>
      <c r="E358" s="80">
        <f>INDEX($C$4:$C$15,MATCH(A358,$A$4:$A$15,0))</f>
        <v/>
      </c>
      <c r="F358" s="80">
        <f>15*(C358-12)</f>
        <v/>
      </c>
      <c r="G358" s="80">
        <f>-COS(RADIANS(E358))*SIN(RADIANS(F358))</f>
        <v/>
      </c>
      <c r="H358" s="80">
        <f>COS(RADIANS('11_발전량_모델'!$B$17))*SIN(RADIANS(E358))-SIN(RADIANS('11_발전량_모델'!$B$17))*COS(RADIANS(E358))*COS(RADIANS(F358))</f>
        <v/>
      </c>
      <c r="I358" s="80">
        <f>SIN(RADIANS('11_발전량_모델'!$B$17))*SIN(RADIANS(E358))+COS(RADIANS('11_발전량_모델'!$B$17))*COS(RADIANS(E358))*COS(RADIANS(F358))</f>
        <v/>
      </c>
      <c r="J358" s="80">
        <f>SIN(RADIANS('11_발전량_모델'!$B$7))*SIN(RADIANS('11_발전량_모델'!$B$8))</f>
        <v/>
      </c>
      <c r="K358" s="80">
        <f>SIN(RADIANS('11_발전량_모델'!$B$7))*COS(RADIANS('11_발전량_모델'!$B$8))</f>
        <v/>
      </c>
      <c r="L358" s="80">
        <f>COS(RADIANS('11_발전량_모델'!$B$7))</f>
        <v/>
      </c>
      <c r="M358" s="80">
        <f>G358*J358+H358*K358+I358*L358</f>
        <v/>
      </c>
      <c r="N358" s="80">
        <f>MAX(0,I358)</f>
        <v/>
      </c>
      <c r="O358" s="80">
        <f>IF(I358&gt;0,MAX(0,M358),0)</f>
        <v/>
      </c>
      <c r="P358" s="80">
        <f>IF($I358&gt;0,MAX(0,$G358*SIN(RADIANS('13_시나리오비교'!$B$5))*SIN(RADIANS('13_시나리오비교'!$C$5))+$H358*SIN(RADIANS('13_시나리오비교'!$B$5))*COS(RADIANS('13_시나리오비교'!$C$5))+$I358*COS(RADIANS('13_시나리오비교'!$B$5))),0)</f>
        <v/>
      </c>
      <c r="Q358" s="80">
        <f>IF($I358&gt;0,MAX(0,$G358*SIN(RADIANS('13_시나리오비교'!$B$6))*SIN(RADIANS('13_시나리오비교'!$C$6))+$H358*SIN(RADIANS('13_시나리오비교'!$B$6))*COS(RADIANS('13_시나리오비교'!$C$6))+$I358*COS(RADIANS('13_시나리오비교'!$B$6))),0)</f>
        <v/>
      </c>
      <c r="R358" s="80">
        <f>IF($I358&gt;0,MAX(0,$G358*SIN(RADIANS('13_시나리오비교'!$B$7))*SIN(RADIANS('13_시나리오비교'!$C$7))+$H358*SIN(RADIANS('13_시나리오비교'!$B$7))*COS(RADIANS('13_시나리오비교'!$C$7))+$I358*COS(RADIANS('13_시나리오비교'!$B$7))),0)</f>
        <v/>
      </c>
      <c r="S358" s="80">
        <f>IF($I358&gt;0,MAX(0,$G358*SIN(RADIANS('13_시나리오비교'!$B$8))*SIN(RADIANS('13_시나리오비교'!$C$8))+$H358*SIN(RADIANS('13_시나리오비교'!$B$8))*COS(RADIANS('13_시나리오비교'!$C$8))+$I358*COS(RADIANS('13_시나리오비교'!$B$8))),0)</f>
        <v/>
      </c>
      <c r="T358" s="80">
        <f>IF($I358&gt;0,MAX(0,$G358*SIN(RADIANS('13_시나리오비교'!$B$9))*SIN(RADIANS('13_시나리오비교'!$C$9))+$H358*SIN(RADIANS('13_시나리오비교'!$B$9))*COS(RADIANS('13_시나리오비교'!$C$9))+$I358*COS(RADIANS('13_시나리오비교'!$B$9))),0)</f>
        <v/>
      </c>
      <c r="U358" s="80">
        <f>IF($I358&gt;0,MAX(0,$G358*SIN(RADIANS('13_시나리오비교'!$B$10))*SIN(RADIANS('13_시나리오비교'!$C$10))+$H358*SIN(RADIANS('13_시나리오비교'!$B$10))*COS(RADIANS('13_시나리오비교'!$C$10))+$I358*COS(RADIANS('13_시나리오비교'!$B$10))),0)</f>
        <v/>
      </c>
      <c r="V358" s="80">
        <f>IF($I358&gt;0,MAX(0,$G358*SIN(RADIANS('13_시나리오비교'!$B$11))*SIN(RADIANS('13_시나리오비교'!$C$11))+$H358*SIN(RADIANS('13_시나리오비교'!$B$11))*COS(RADIANS('13_시나리오비교'!$C$11))+$I358*COS(RADIANS('13_시나리오비교'!$B$11))),0)</f>
        <v/>
      </c>
      <c r="W358" s="80">
        <f>IF($I358&gt;0,MAX(0,$G358*SIN(RADIANS('13_시나리오비교'!$B$12))*SIN(RADIANS('13_시나리오비교'!$C$12))+$H358*SIN(RADIANS('13_시나리오비교'!$B$12))*COS(RADIANS('13_시나리오비교'!$C$12))+$I358*COS(RADIANS('13_시나리오비교'!$B$12))),0)</f>
        <v/>
      </c>
      <c r="X358" s="80">
        <f>IF($I358&gt;0,MAX(0,$G358*SIN(RADIANS('13_시나리오비교'!$B$13))*SIN(RADIANS('13_시나리오비교'!$C$13))+$H358*SIN(RADIANS('13_시나리오비교'!$B$13))*COS(RADIANS('13_시나리오비교'!$C$13))+$I358*COS(RADIANS('13_시나리오비교'!$B$13))),0)</f>
        <v/>
      </c>
      <c r="Y358" s="80">
        <f>IF($I358&gt;0,MAX(0,$G358*SIN(RADIANS('13_시나리오비교'!$B$14))*SIN(RADIANS('13_시나리오비교'!$C$14))+$H358*SIN(RADIANS('13_시나리오비교'!$B$14))*COS(RADIANS('13_시나리오비교'!$C$14))+$I358*COS(RADIANS('13_시나리오비교'!$B$14))),0)</f>
        <v/>
      </c>
    </row>
    <row r="359" hidden="1" outlineLevel="1">
      <c r="A359" s="79" t="n">
        <v>4</v>
      </c>
      <c r="B359" s="79" t="n">
        <v>51</v>
      </c>
      <c r="C359" s="80">
        <f>(B359-0.5)*'14_지역·상수'!$H$6</f>
        <v/>
      </c>
      <c r="D359" s="79" t="n">
        <v>105</v>
      </c>
      <c r="E359" s="80">
        <f>INDEX($C$4:$C$15,MATCH(A359,$A$4:$A$15,0))</f>
        <v/>
      </c>
      <c r="F359" s="80">
        <f>15*(C359-12)</f>
        <v/>
      </c>
      <c r="G359" s="80">
        <f>-COS(RADIANS(E359))*SIN(RADIANS(F359))</f>
        <v/>
      </c>
      <c r="H359" s="80">
        <f>COS(RADIANS('11_발전량_모델'!$B$17))*SIN(RADIANS(E359))-SIN(RADIANS('11_발전량_모델'!$B$17))*COS(RADIANS(E359))*COS(RADIANS(F359))</f>
        <v/>
      </c>
      <c r="I359" s="80">
        <f>SIN(RADIANS('11_발전량_모델'!$B$17))*SIN(RADIANS(E359))+COS(RADIANS('11_발전량_모델'!$B$17))*COS(RADIANS(E359))*COS(RADIANS(F359))</f>
        <v/>
      </c>
      <c r="J359" s="80">
        <f>SIN(RADIANS('11_발전량_모델'!$B$7))*SIN(RADIANS('11_발전량_모델'!$B$8))</f>
        <v/>
      </c>
      <c r="K359" s="80">
        <f>SIN(RADIANS('11_발전량_모델'!$B$7))*COS(RADIANS('11_발전량_모델'!$B$8))</f>
        <v/>
      </c>
      <c r="L359" s="80">
        <f>COS(RADIANS('11_발전량_모델'!$B$7))</f>
        <v/>
      </c>
      <c r="M359" s="80">
        <f>G359*J359+H359*K359+I359*L359</f>
        <v/>
      </c>
      <c r="N359" s="80">
        <f>MAX(0,I359)</f>
        <v/>
      </c>
      <c r="O359" s="80">
        <f>IF(I359&gt;0,MAX(0,M359),0)</f>
        <v/>
      </c>
      <c r="P359" s="80">
        <f>IF($I359&gt;0,MAX(0,$G359*SIN(RADIANS('13_시나리오비교'!$B$5))*SIN(RADIANS('13_시나리오비교'!$C$5))+$H359*SIN(RADIANS('13_시나리오비교'!$B$5))*COS(RADIANS('13_시나리오비교'!$C$5))+$I359*COS(RADIANS('13_시나리오비교'!$B$5))),0)</f>
        <v/>
      </c>
      <c r="Q359" s="80">
        <f>IF($I359&gt;0,MAX(0,$G359*SIN(RADIANS('13_시나리오비교'!$B$6))*SIN(RADIANS('13_시나리오비교'!$C$6))+$H359*SIN(RADIANS('13_시나리오비교'!$B$6))*COS(RADIANS('13_시나리오비교'!$C$6))+$I359*COS(RADIANS('13_시나리오비교'!$B$6))),0)</f>
        <v/>
      </c>
      <c r="R359" s="80">
        <f>IF($I359&gt;0,MAX(0,$G359*SIN(RADIANS('13_시나리오비교'!$B$7))*SIN(RADIANS('13_시나리오비교'!$C$7))+$H359*SIN(RADIANS('13_시나리오비교'!$B$7))*COS(RADIANS('13_시나리오비교'!$C$7))+$I359*COS(RADIANS('13_시나리오비교'!$B$7))),0)</f>
        <v/>
      </c>
      <c r="S359" s="80">
        <f>IF($I359&gt;0,MAX(0,$G359*SIN(RADIANS('13_시나리오비교'!$B$8))*SIN(RADIANS('13_시나리오비교'!$C$8))+$H359*SIN(RADIANS('13_시나리오비교'!$B$8))*COS(RADIANS('13_시나리오비교'!$C$8))+$I359*COS(RADIANS('13_시나리오비교'!$B$8))),0)</f>
        <v/>
      </c>
      <c r="T359" s="80">
        <f>IF($I359&gt;0,MAX(0,$G359*SIN(RADIANS('13_시나리오비교'!$B$9))*SIN(RADIANS('13_시나리오비교'!$C$9))+$H359*SIN(RADIANS('13_시나리오비교'!$B$9))*COS(RADIANS('13_시나리오비교'!$C$9))+$I359*COS(RADIANS('13_시나리오비교'!$B$9))),0)</f>
        <v/>
      </c>
      <c r="U359" s="80">
        <f>IF($I359&gt;0,MAX(0,$G359*SIN(RADIANS('13_시나리오비교'!$B$10))*SIN(RADIANS('13_시나리오비교'!$C$10))+$H359*SIN(RADIANS('13_시나리오비교'!$B$10))*COS(RADIANS('13_시나리오비교'!$C$10))+$I359*COS(RADIANS('13_시나리오비교'!$B$10))),0)</f>
        <v/>
      </c>
      <c r="V359" s="80">
        <f>IF($I359&gt;0,MAX(0,$G359*SIN(RADIANS('13_시나리오비교'!$B$11))*SIN(RADIANS('13_시나리오비교'!$C$11))+$H359*SIN(RADIANS('13_시나리오비교'!$B$11))*COS(RADIANS('13_시나리오비교'!$C$11))+$I359*COS(RADIANS('13_시나리오비교'!$B$11))),0)</f>
        <v/>
      </c>
      <c r="W359" s="80">
        <f>IF($I359&gt;0,MAX(0,$G359*SIN(RADIANS('13_시나리오비교'!$B$12))*SIN(RADIANS('13_시나리오비교'!$C$12))+$H359*SIN(RADIANS('13_시나리오비교'!$B$12))*COS(RADIANS('13_시나리오비교'!$C$12))+$I359*COS(RADIANS('13_시나리오비교'!$B$12))),0)</f>
        <v/>
      </c>
      <c r="X359" s="80">
        <f>IF($I359&gt;0,MAX(0,$G359*SIN(RADIANS('13_시나리오비교'!$B$13))*SIN(RADIANS('13_시나리오비교'!$C$13))+$H359*SIN(RADIANS('13_시나리오비교'!$B$13))*COS(RADIANS('13_시나리오비교'!$C$13))+$I359*COS(RADIANS('13_시나리오비교'!$B$13))),0)</f>
        <v/>
      </c>
      <c r="Y359" s="80">
        <f>IF($I359&gt;0,MAX(0,$G359*SIN(RADIANS('13_시나리오비교'!$B$14))*SIN(RADIANS('13_시나리오비교'!$C$14))+$H359*SIN(RADIANS('13_시나리오비교'!$B$14))*COS(RADIANS('13_시나리오비교'!$C$14))+$I359*COS(RADIANS('13_시나리오비교'!$B$14))),0)</f>
        <v/>
      </c>
    </row>
    <row r="360" hidden="1" outlineLevel="1">
      <c r="A360" s="79" t="n">
        <v>4</v>
      </c>
      <c r="B360" s="79" t="n">
        <v>52</v>
      </c>
      <c r="C360" s="80">
        <f>(B360-0.5)*'14_지역·상수'!$H$6</f>
        <v/>
      </c>
      <c r="D360" s="79" t="n">
        <v>105</v>
      </c>
      <c r="E360" s="80">
        <f>INDEX($C$4:$C$15,MATCH(A360,$A$4:$A$15,0))</f>
        <v/>
      </c>
      <c r="F360" s="80">
        <f>15*(C360-12)</f>
        <v/>
      </c>
      <c r="G360" s="80">
        <f>-COS(RADIANS(E360))*SIN(RADIANS(F360))</f>
        <v/>
      </c>
      <c r="H360" s="80">
        <f>COS(RADIANS('11_발전량_모델'!$B$17))*SIN(RADIANS(E360))-SIN(RADIANS('11_발전량_모델'!$B$17))*COS(RADIANS(E360))*COS(RADIANS(F360))</f>
        <v/>
      </c>
      <c r="I360" s="80">
        <f>SIN(RADIANS('11_발전량_모델'!$B$17))*SIN(RADIANS(E360))+COS(RADIANS('11_발전량_모델'!$B$17))*COS(RADIANS(E360))*COS(RADIANS(F360))</f>
        <v/>
      </c>
      <c r="J360" s="80">
        <f>SIN(RADIANS('11_발전량_모델'!$B$7))*SIN(RADIANS('11_발전량_모델'!$B$8))</f>
        <v/>
      </c>
      <c r="K360" s="80">
        <f>SIN(RADIANS('11_발전량_모델'!$B$7))*COS(RADIANS('11_발전량_모델'!$B$8))</f>
        <v/>
      </c>
      <c r="L360" s="80">
        <f>COS(RADIANS('11_발전량_모델'!$B$7))</f>
        <v/>
      </c>
      <c r="M360" s="80">
        <f>G360*J360+H360*K360+I360*L360</f>
        <v/>
      </c>
      <c r="N360" s="80">
        <f>MAX(0,I360)</f>
        <v/>
      </c>
      <c r="O360" s="80">
        <f>IF(I360&gt;0,MAX(0,M360),0)</f>
        <v/>
      </c>
      <c r="P360" s="80">
        <f>IF($I360&gt;0,MAX(0,$G360*SIN(RADIANS('13_시나리오비교'!$B$5))*SIN(RADIANS('13_시나리오비교'!$C$5))+$H360*SIN(RADIANS('13_시나리오비교'!$B$5))*COS(RADIANS('13_시나리오비교'!$C$5))+$I360*COS(RADIANS('13_시나리오비교'!$B$5))),0)</f>
        <v/>
      </c>
      <c r="Q360" s="80">
        <f>IF($I360&gt;0,MAX(0,$G360*SIN(RADIANS('13_시나리오비교'!$B$6))*SIN(RADIANS('13_시나리오비교'!$C$6))+$H360*SIN(RADIANS('13_시나리오비교'!$B$6))*COS(RADIANS('13_시나리오비교'!$C$6))+$I360*COS(RADIANS('13_시나리오비교'!$B$6))),0)</f>
        <v/>
      </c>
      <c r="R360" s="80">
        <f>IF($I360&gt;0,MAX(0,$G360*SIN(RADIANS('13_시나리오비교'!$B$7))*SIN(RADIANS('13_시나리오비교'!$C$7))+$H360*SIN(RADIANS('13_시나리오비교'!$B$7))*COS(RADIANS('13_시나리오비교'!$C$7))+$I360*COS(RADIANS('13_시나리오비교'!$B$7))),0)</f>
        <v/>
      </c>
      <c r="S360" s="80">
        <f>IF($I360&gt;0,MAX(0,$G360*SIN(RADIANS('13_시나리오비교'!$B$8))*SIN(RADIANS('13_시나리오비교'!$C$8))+$H360*SIN(RADIANS('13_시나리오비교'!$B$8))*COS(RADIANS('13_시나리오비교'!$C$8))+$I360*COS(RADIANS('13_시나리오비교'!$B$8))),0)</f>
        <v/>
      </c>
      <c r="T360" s="80">
        <f>IF($I360&gt;0,MAX(0,$G360*SIN(RADIANS('13_시나리오비교'!$B$9))*SIN(RADIANS('13_시나리오비교'!$C$9))+$H360*SIN(RADIANS('13_시나리오비교'!$B$9))*COS(RADIANS('13_시나리오비교'!$C$9))+$I360*COS(RADIANS('13_시나리오비교'!$B$9))),0)</f>
        <v/>
      </c>
      <c r="U360" s="80">
        <f>IF($I360&gt;0,MAX(0,$G360*SIN(RADIANS('13_시나리오비교'!$B$10))*SIN(RADIANS('13_시나리오비교'!$C$10))+$H360*SIN(RADIANS('13_시나리오비교'!$B$10))*COS(RADIANS('13_시나리오비교'!$C$10))+$I360*COS(RADIANS('13_시나리오비교'!$B$10))),0)</f>
        <v/>
      </c>
      <c r="V360" s="80">
        <f>IF($I360&gt;0,MAX(0,$G360*SIN(RADIANS('13_시나리오비교'!$B$11))*SIN(RADIANS('13_시나리오비교'!$C$11))+$H360*SIN(RADIANS('13_시나리오비교'!$B$11))*COS(RADIANS('13_시나리오비교'!$C$11))+$I360*COS(RADIANS('13_시나리오비교'!$B$11))),0)</f>
        <v/>
      </c>
      <c r="W360" s="80">
        <f>IF($I360&gt;0,MAX(0,$G360*SIN(RADIANS('13_시나리오비교'!$B$12))*SIN(RADIANS('13_시나리오비교'!$C$12))+$H360*SIN(RADIANS('13_시나리오비교'!$B$12))*COS(RADIANS('13_시나리오비교'!$C$12))+$I360*COS(RADIANS('13_시나리오비교'!$B$12))),0)</f>
        <v/>
      </c>
      <c r="X360" s="80">
        <f>IF($I360&gt;0,MAX(0,$G360*SIN(RADIANS('13_시나리오비교'!$B$13))*SIN(RADIANS('13_시나리오비교'!$C$13))+$H360*SIN(RADIANS('13_시나리오비교'!$B$13))*COS(RADIANS('13_시나리오비교'!$C$13))+$I360*COS(RADIANS('13_시나리오비교'!$B$13))),0)</f>
        <v/>
      </c>
      <c r="Y360" s="80">
        <f>IF($I360&gt;0,MAX(0,$G360*SIN(RADIANS('13_시나리오비교'!$B$14))*SIN(RADIANS('13_시나리오비교'!$C$14))+$H360*SIN(RADIANS('13_시나리오비교'!$B$14))*COS(RADIANS('13_시나리오비교'!$C$14))+$I360*COS(RADIANS('13_시나리오비교'!$B$14))),0)</f>
        <v/>
      </c>
    </row>
    <row r="361" hidden="1" outlineLevel="1">
      <c r="A361" s="79" t="n">
        <v>4</v>
      </c>
      <c r="B361" s="79" t="n">
        <v>53</v>
      </c>
      <c r="C361" s="80">
        <f>(B361-0.5)*'14_지역·상수'!$H$6</f>
        <v/>
      </c>
      <c r="D361" s="79" t="n">
        <v>105</v>
      </c>
      <c r="E361" s="80">
        <f>INDEX($C$4:$C$15,MATCH(A361,$A$4:$A$15,0))</f>
        <v/>
      </c>
      <c r="F361" s="80">
        <f>15*(C361-12)</f>
        <v/>
      </c>
      <c r="G361" s="80">
        <f>-COS(RADIANS(E361))*SIN(RADIANS(F361))</f>
        <v/>
      </c>
      <c r="H361" s="80">
        <f>COS(RADIANS('11_발전량_모델'!$B$17))*SIN(RADIANS(E361))-SIN(RADIANS('11_발전량_모델'!$B$17))*COS(RADIANS(E361))*COS(RADIANS(F361))</f>
        <v/>
      </c>
      <c r="I361" s="80">
        <f>SIN(RADIANS('11_발전량_모델'!$B$17))*SIN(RADIANS(E361))+COS(RADIANS('11_발전량_모델'!$B$17))*COS(RADIANS(E361))*COS(RADIANS(F361))</f>
        <v/>
      </c>
      <c r="J361" s="80">
        <f>SIN(RADIANS('11_발전량_모델'!$B$7))*SIN(RADIANS('11_발전량_모델'!$B$8))</f>
        <v/>
      </c>
      <c r="K361" s="80">
        <f>SIN(RADIANS('11_발전량_모델'!$B$7))*COS(RADIANS('11_발전량_모델'!$B$8))</f>
        <v/>
      </c>
      <c r="L361" s="80">
        <f>COS(RADIANS('11_발전량_모델'!$B$7))</f>
        <v/>
      </c>
      <c r="M361" s="80">
        <f>G361*J361+H361*K361+I361*L361</f>
        <v/>
      </c>
      <c r="N361" s="80">
        <f>MAX(0,I361)</f>
        <v/>
      </c>
      <c r="O361" s="80">
        <f>IF(I361&gt;0,MAX(0,M361),0)</f>
        <v/>
      </c>
      <c r="P361" s="80">
        <f>IF($I361&gt;0,MAX(0,$G361*SIN(RADIANS('13_시나리오비교'!$B$5))*SIN(RADIANS('13_시나리오비교'!$C$5))+$H361*SIN(RADIANS('13_시나리오비교'!$B$5))*COS(RADIANS('13_시나리오비교'!$C$5))+$I361*COS(RADIANS('13_시나리오비교'!$B$5))),0)</f>
        <v/>
      </c>
      <c r="Q361" s="80">
        <f>IF($I361&gt;0,MAX(0,$G361*SIN(RADIANS('13_시나리오비교'!$B$6))*SIN(RADIANS('13_시나리오비교'!$C$6))+$H361*SIN(RADIANS('13_시나리오비교'!$B$6))*COS(RADIANS('13_시나리오비교'!$C$6))+$I361*COS(RADIANS('13_시나리오비교'!$B$6))),0)</f>
        <v/>
      </c>
      <c r="R361" s="80">
        <f>IF($I361&gt;0,MAX(0,$G361*SIN(RADIANS('13_시나리오비교'!$B$7))*SIN(RADIANS('13_시나리오비교'!$C$7))+$H361*SIN(RADIANS('13_시나리오비교'!$B$7))*COS(RADIANS('13_시나리오비교'!$C$7))+$I361*COS(RADIANS('13_시나리오비교'!$B$7))),0)</f>
        <v/>
      </c>
      <c r="S361" s="80">
        <f>IF($I361&gt;0,MAX(0,$G361*SIN(RADIANS('13_시나리오비교'!$B$8))*SIN(RADIANS('13_시나리오비교'!$C$8))+$H361*SIN(RADIANS('13_시나리오비교'!$B$8))*COS(RADIANS('13_시나리오비교'!$C$8))+$I361*COS(RADIANS('13_시나리오비교'!$B$8))),0)</f>
        <v/>
      </c>
      <c r="T361" s="80">
        <f>IF($I361&gt;0,MAX(0,$G361*SIN(RADIANS('13_시나리오비교'!$B$9))*SIN(RADIANS('13_시나리오비교'!$C$9))+$H361*SIN(RADIANS('13_시나리오비교'!$B$9))*COS(RADIANS('13_시나리오비교'!$C$9))+$I361*COS(RADIANS('13_시나리오비교'!$B$9))),0)</f>
        <v/>
      </c>
      <c r="U361" s="80">
        <f>IF($I361&gt;0,MAX(0,$G361*SIN(RADIANS('13_시나리오비교'!$B$10))*SIN(RADIANS('13_시나리오비교'!$C$10))+$H361*SIN(RADIANS('13_시나리오비교'!$B$10))*COS(RADIANS('13_시나리오비교'!$C$10))+$I361*COS(RADIANS('13_시나리오비교'!$B$10))),0)</f>
        <v/>
      </c>
      <c r="V361" s="80">
        <f>IF($I361&gt;0,MAX(0,$G361*SIN(RADIANS('13_시나리오비교'!$B$11))*SIN(RADIANS('13_시나리오비교'!$C$11))+$H361*SIN(RADIANS('13_시나리오비교'!$B$11))*COS(RADIANS('13_시나리오비교'!$C$11))+$I361*COS(RADIANS('13_시나리오비교'!$B$11))),0)</f>
        <v/>
      </c>
      <c r="W361" s="80">
        <f>IF($I361&gt;0,MAX(0,$G361*SIN(RADIANS('13_시나리오비교'!$B$12))*SIN(RADIANS('13_시나리오비교'!$C$12))+$H361*SIN(RADIANS('13_시나리오비교'!$B$12))*COS(RADIANS('13_시나리오비교'!$C$12))+$I361*COS(RADIANS('13_시나리오비교'!$B$12))),0)</f>
        <v/>
      </c>
      <c r="X361" s="80">
        <f>IF($I361&gt;0,MAX(0,$G361*SIN(RADIANS('13_시나리오비교'!$B$13))*SIN(RADIANS('13_시나리오비교'!$C$13))+$H361*SIN(RADIANS('13_시나리오비교'!$B$13))*COS(RADIANS('13_시나리오비교'!$C$13))+$I361*COS(RADIANS('13_시나리오비교'!$B$13))),0)</f>
        <v/>
      </c>
      <c r="Y361" s="80">
        <f>IF($I361&gt;0,MAX(0,$G361*SIN(RADIANS('13_시나리오비교'!$B$14))*SIN(RADIANS('13_시나리오비교'!$C$14))+$H361*SIN(RADIANS('13_시나리오비교'!$B$14))*COS(RADIANS('13_시나리오비교'!$C$14))+$I361*COS(RADIANS('13_시나리오비교'!$B$14))),0)</f>
        <v/>
      </c>
    </row>
    <row r="362" hidden="1" outlineLevel="1">
      <c r="A362" s="79" t="n">
        <v>4</v>
      </c>
      <c r="B362" s="79" t="n">
        <v>54</v>
      </c>
      <c r="C362" s="80">
        <f>(B362-0.5)*'14_지역·상수'!$H$6</f>
        <v/>
      </c>
      <c r="D362" s="79" t="n">
        <v>105</v>
      </c>
      <c r="E362" s="80">
        <f>INDEX($C$4:$C$15,MATCH(A362,$A$4:$A$15,0))</f>
        <v/>
      </c>
      <c r="F362" s="80">
        <f>15*(C362-12)</f>
        <v/>
      </c>
      <c r="G362" s="80">
        <f>-COS(RADIANS(E362))*SIN(RADIANS(F362))</f>
        <v/>
      </c>
      <c r="H362" s="80">
        <f>COS(RADIANS('11_발전량_모델'!$B$17))*SIN(RADIANS(E362))-SIN(RADIANS('11_발전량_모델'!$B$17))*COS(RADIANS(E362))*COS(RADIANS(F362))</f>
        <v/>
      </c>
      <c r="I362" s="80">
        <f>SIN(RADIANS('11_발전량_모델'!$B$17))*SIN(RADIANS(E362))+COS(RADIANS('11_발전량_모델'!$B$17))*COS(RADIANS(E362))*COS(RADIANS(F362))</f>
        <v/>
      </c>
      <c r="J362" s="80">
        <f>SIN(RADIANS('11_발전량_모델'!$B$7))*SIN(RADIANS('11_발전량_모델'!$B$8))</f>
        <v/>
      </c>
      <c r="K362" s="80">
        <f>SIN(RADIANS('11_발전량_모델'!$B$7))*COS(RADIANS('11_발전량_모델'!$B$8))</f>
        <v/>
      </c>
      <c r="L362" s="80">
        <f>COS(RADIANS('11_발전량_모델'!$B$7))</f>
        <v/>
      </c>
      <c r="M362" s="80">
        <f>G362*J362+H362*K362+I362*L362</f>
        <v/>
      </c>
      <c r="N362" s="80">
        <f>MAX(0,I362)</f>
        <v/>
      </c>
      <c r="O362" s="80">
        <f>IF(I362&gt;0,MAX(0,M362),0)</f>
        <v/>
      </c>
      <c r="P362" s="80">
        <f>IF($I362&gt;0,MAX(0,$G362*SIN(RADIANS('13_시나리오비교'!$B$5))*SIN(RADIANS('13_시나리오비교'!$C$5))+$H362*SIN(RADIANS('13_시나리오비교'!$B$5))*COS(RADIANS('13_시나리오비교'!$C$5))+$I362*COS(RADIANS('13_시나리오비교'!$B$5))),0)</f>
        <v/>
      </c>
      <c r="Q362" s="80">
        <f>IF($I362&gt;0,MAX(0,$G362*SIN(RADIANS('13_시나리오비교'!$B$6))*SIN(RADIANS('13_시나리오비교'!$C$6))+$H362*SIN(RADIANS('13_시나리오비교'!$B$6))*COS(RADIANS('13_시나리오비교'!$C$6))+$I362*COS(RADIANS('13_시나리오비교'!$B$6))),0)</f>
        <v/>
      </c>
      <c r="R362" s="80">
        <f>IF($I362&gt;0,MAX(0,$G362*SIN(RADIANS('13_시나리오비교'!$B$7))*SIN(RADIANS('13_시나리오비교'!$C$7))+$H362*SIN(RADIANS('13_시나리오비교'!$B$7))*COS(RADIANS('13_시나리오비교'!$C$7))+$I362*COS(RADIANS('13_시나리오비교'!$B$7))),0)</f>
        <v/>
      </c>
      <c r="S362" s="80">
        <f>IF($I362&gt;0,MAX(0,$G362*SIN(RADIANS('13_시나리오비교'!$B$8))*SIN(RADIANS('13_시나리오비교'!$C$8))+$H362*SIN(RADIANS('13_시나리오비교'!$B$8))*COS(RADIANS('13_시나리오비교'!$C$8))+$I362*COS(RADIANS('13_시나리오비교'!$B$8))),0)</f>
        <v/>
      </c>
      <c r="T362" s="80">
        <f>IF($I362&gt;0,MAX(0,$G362*SIN(RADIANS('13_시나리오비교'!$B$9))*SIN(RADIANS('13_시나리오비교'!$C$9))+$H362*SIN(RADIANS('13_시나리오비교'!$B$9))*COS(RADIANS('13_시나리오비교'!$C$9))+$I362*COS(RADIANS('13_시나리오비교'!$B$9))),0)</f>
        <v/>
      </c>
      <c r="U362" s="80">
        <f>IF($I362&gt;0,MAX(0,$G362*SIN(RADIANS('13_시나리오비교'!$B$10))*SIN(RADIANS('13_시나리오비교'!$C$10))+$H362*SIN(RADIANS('13_시나리오비교'!$B$10))*COS(RADIANS('13_시나리오비교'!$C$10))+$I362*COS(RADIANS('13_시나리오비교'!$B$10))),0)</f>
        <v/>
      </c>
      <c r="V362" s="80">
        <f>IF($I362&gt;0,MAX(0,$G362*SIN(RADIANS('13_시나리오비교'!$B$11))*SIN(RADIANS('13_시나리오비교'!$C$11))+$H362*SIN(RADIANS('13_시나리오비교'!$B$11))*COS(RADIANS('13_시나리오비교'!$C$11))+$I362*COS(RADIANS('13_시나리오비교'!$B$11))),0)</f>
        <v/>
      </c>
      <c r="W362" s="80">
        <f>IF($I362&gt;0,MAX(0,$G362*SIN(RADIANS('13_시나리오비교'!$B$12))*SIN(RADIANS('13_시나리오비교'!$C$12))+$H362*SIN(RADIANS('13_시나리오비교'!$B$12))*COS(RADIANS('13_시나리오비교'!$C$12))+$I362*COS(RADIANS('13_시나리오비교'!$B$12))),0)</f>
        <v/>
      </c>
      <c r="X362" s="80">
        <f>IF($I362&gt;0,MAX(0,$G362*SIN(RADIANS('13_시나리오비교'!$B$13))*SIN(RADIANS('13_시나리오비교'!$C$13))+$H362*SIN(RADIANS('13_시나리오비교'!$B$13))*COS(RADIANS('13_시나리오비교'!$C$13))+$I362*COS(RADIANS('13_시나리오비교'!$B$13))),0)</f>
        <v/>
      </c>
      <c r="Y362" s="80">
        <f>IF($I362&gt;0,MAX(0,$G362*SIN(RADIANS('13_시나리오비교'!$B$14))*SIN(RADIANS('13_시나리오비교'!$C$14))+$H362*SIN(RADIANS('13_시나리오비교'!$B$14))*COS(RADIANS('13_시나리오비교'!$C$14))+$I362*COS(RADIANS('13_시나리오비교'!$B$14))),0)</f>
        <v/>
      </c>
    </row>
    <row r="363" hidden="1" outlineLevel="1">
      <c r="A363" s="79" t="n">
        <v>4</v>
      </c>
      <c r="B363" s="79" t="n">
        <v>55</v>
      </c>
      <c r="C363" s="80">
        <f>(B363-0.5)*'14_지역·상수'!$H$6</f>
        <v/>
      </c>
      <c r="D363" s="79" t="n">
        <v>105</v>
      </c>
      <c r="E363" s="80">
        <f>INDEX($C$4:$C$15,MATCH(A363,$A$4:$A$15,0))</f>
        <v/>
      </c>
      <c r="F363" s="80">
        <f>15*(C363-12)</f>
        <v/>
      </c>
      <c r="G363" s="80">
        <f>-COS(RADIANS(E363))*SIN(RADIANS(F363))</f>
        <v/>
      </c>
      <c r="H363" s="80">
        <f>COS(RADIANS('11_발전량_모델'!$B$17))*SIN(RADIANS(E363))-SIN(RADIANS('11_발전량_모델'!$B$17))*COS(RADIANS(E363))*COS(RADIANS(F363))</f>
        <v/>
      </c>
      <c r="I363" s="80">
        <f>SIN(RADIANS('11_발전량_모델'!$B$17))*SIN(RADIANS(E363))+COS(RADIANS('11_발전량_모델'!$B$17))*COS(RADIANS(E363))*COS(RADIANS(F363))</f>
        <v/>
      </c>
      <c r="J363" s="80">
        <f>SIN(RADIANS('11_발전량_모델'!$B$7))*SIN(RADIANS('11_발전량_모델'!$B$8))</f>
        <v/>
      </c>
      <c r="K363" s="80">
        <f>SIN(RADIANS('11_발전량_모델'!$B$7))*COS(RADIANS('11_발전량_모델'!$B$8))</f>
        <v/>
      </c>
      <c r="L363" s="80">
        <f>COS(RADIANS('11_발전량_모델'!$B$7))</f>
        <v/>
      </c>
      <c r="M363" s="80">
        <f>G363*J363+H363*K363+I363*L363</f>
        <v/>
      </c>
      <c r="N363" s="80">
        <f>MAX(0,I363)</f>
        <v/>
      </c>
      <c r="O363" s="80">
        <f>IF(I363&gt;0,MAX(0,M363),0)</f>
        <v/>
      </c>
      <c r="P363" s="80">
        <f>IF($I363&gt;0,MAX(0,$G363*SIN(RADIANS('13_시나리오비교'!$B$5))*SIN(RADIANS('13_시나리오비교'!$C$5))+$H363*SIN(RADIANS('13_시나리오비교'!$B$5))*COS(RADIANS('13_시나리오비교'!$C$5))+$I363*COS(RADIANS('13_시나리오비교'!$B$5))),0)</f>
        <v/>
      </c>
      <c r="Q363" s="80">
        <f>IF($I363&gt;0,MAX(0,$G363*SIN(RADIANS('13_시나리오비교'!$B$6))*SIN(RADIANS('13_시나리오비교'!$C$6))+$H363*SIN(RADIANS('13_시나리오비교'!$B$6))*COS(RADIANS('13_시나리오비교'!$C$6))+$I363*COS(RADIANS('13_시나리오비교'!$B$6))),0)</f>
        <v/>
      </c>
      <c r="R363" s="80">
        <f>IF($I363&gt;0,MAX(0,$G363*SIN(RADIANS('13_시나리오비교'!$B$7))*SIN(RADIANS('13_시나리오비교'!$C$7))+$H363*SIN(RADIANS('13_시나리오비교'!$B$7))*COS(RADIANS('13_시나리오비교'!$C$7))+$I363*COS(RADIANS('13_시나리오비교'!$B$7))),0)</f>
        <v/>
      </c>
      <c r="S363" s="80">
        <f>IF($I363&gt;0,MAX(0,$G363*SIN(RADIANS('13_시나리오비교'!$B$8))*SIN(RADIANS('13_시나리오비교'!$C$8))+$H363*SIN(RADIANS('13_시나리오비교'!$B$8))*COS(RADIANS('13_시나리오비교'!$C$8))+$I363*COS(RADIANS('13_시나리오비교'!$B$8))),0)</f>
        <v/>
      </c>
      <c r="T363" s="80">
        <f>IF($I363&gt;0,MAX(0,$G363*SIN(RADIANS('13_시나리오비교'!$B$9))*SIN(RADIANS('13_시나리오비교'!$C$9))+$H363*SIN(RADIANS('13_시나리오비교'!$B$9))*COS(RADIANS('13_시나리오비교'!$C$9))+$I363*COS(RADIANS('13_시나리오비교'!$B$9))),0)</f>
        <v/>
      </c>
      <c r="U363" s="80">
        <f>IF($I363&gt;0,MAX(0,$G363*SIN(RADIANS('13_시나리오비교'!$B$10))*SIN(RADIANS('13_시나리오비교'!$C$10))+$H363*SIN(RADIANS('13_시나리오비교'!$B$10))*COS(RADIANS('13_시나리오비교'!$C$10))+$I363*COS(RADIANS('13_시나리오비교'!$B$10))),0)</f>
        <v/>
      </c>
      <c r="V363" s="80">
        <f>IF($I363&gt;0,MAX(0,$G363*SIN(RADIANS('13_시나리오비교'!$B$11))*SIN(RADIANS('13_시나리오비교'!$C$11))+$H363*SIN(RADIANS('13_시나리오비교'!$B$11))*COS(RADIANS('13_시나리오비교'!$C$11))+$I363*COS(RADIANS('13_시나리오비교'!$B$11))),0)</f>
        <v/>
      </c>
      <c r="W363" s="80">
        <f>IF($I363&gt;0,MAX(0,$G363*SIN(RADIANS('13_시나리오비교'!$B$12))*SIN(RADIANS('13_시나리오비교'!$C$12))+$H363*SIN(RADIANS('13_시나리오비교'!$B$12))*COS(RADIANS('13_시나리오비교'!$C$12))+$I363*COS(RADIANS('13_시나리오비교'!$B$12))),0)</f>
        <v/>
      </c>
      <c r="X363" s="80">
        <f>IF($I363&gt;0,MAX(0,$G363*SIN(RADIANS('13_시나리오비교'!$B$13))*SIN(RADIANS('13_시나리오비교'!$C$13))+$H363*SIN(RADIANS('13_시나리오비교'!$B$13))*COS(RADIANS('13_시나리오비교'!$C$13))+$I363*COS(RADIANS('13_시나리오비교'!$B$13))),0)</f>
        <v/>
      </c>
      <c r="Y363" s="80">
        <f>IF($I363&gt;0,MAX(0,$G363*SIN(RADIANS('13_시나리오비교'!$B$14))*SIN(RADIANS('13_시나리오비교'!$C$14))+$H363*SIN(RADIANS('13_시나리오비교'!$B$14))*COS(RADIANS('13_시나리오비교'!$C$14))+$I363*COS(RADIANS('13_시나리오비교'!$B$14))),0)</f>
        <v/>
      </c>
    </row>
    <row r="364" hidden="1" outlineLevel="1">
      <c r="A364" s="79" t="n">
        <v>4</v>
      </c>
      <c r="B364" s="79" t="n">
        <v>56</v>
      </c>
      <c r="C364" s="80">
        <f>(B364-0.5)*'14_지역·상수'!$H$6</f>
        <v/>
      </c>
      <c r="D364" s="79" t="n">
        <v>105</v>
      </c>
      <c r="E364" s="80">
        <f>INDEX($C$4:$C$15,MATCH(A364,$A$4:$A$15,0))</f>
        <v/>
      </c>
      <c r="F364" s="80">
        <f>15*(C364-12)</f>
        <v/>
      </c>
      <c r="G364" s="80">
        <f>-COS(RADIANS(E364))*SIN(RADIANS(F364))</f>
        <v/>
      </c>
      <c r="H364" s="80">
        <f>COS(RADIANS('11_발전량_모델'!$B$17))*SIN(RADIANS(E364))-SIN(RADIANS('11_발전량_모델'!$B$17))*COS(RADIANS(E364))*COS(RADIANS(F364))</f>
        <v/>
      </c>
      <c r="I364" s="80">
        <f>SIN(RADIANS('11_발전량_모델'!$B$17))*SIN(RADIANS(E364))+COS(RADIANS('11_발전량_모델'!$B$17))*COS(RADIANS(E364))*COS(RADIANS(F364))</f>
        <v/>
      </c>
      <c r="J364" s="80">
        <f>SIN(RADIANS('11_발전량_모델'!$B$7))*SIN(RADIANS('11_발전량_모델'!$B$8))</f>
        <v/>
      </c>
      <c r="K364" s="80">
        <f>SIN(RADIANS('11_발전량_모델'!$B$7))*COS(RADIANS('11_발전량_모델'!$B$8))</f>
        <v/>
      </c>
      <c r="L364" s="80">
        <f>COS(RADIANS('11_발전량_모델'!$B$7))</f>
        <v/>
      </c>
      <c r="M364" s="80">
        <f>G364*J364+H364*K364+I364*L364</f>
        <v/>
      </c>
      <c r="N364" s="80">
        <f>MAX(0,I364)</f>
        <v/>
      </c>
      <c r="O364" s="80">
        <f>IF(I364&gt;0,MAX(0,M364),0)</f>
        <v/>
      </c>
      <c r="P364" s="80">
        <f>IF($I364&gt;0,MAX(0,$G364*SIN(RADIANS('13_시나리오비교'!$B$5))*SIN(RADIANS('13_시나리오비교'!$C$5))+$H364*SIN(RADIANS('13_시나리오비교'!$B$5))*COS(RADIANS('13_시나리오비교'!$C$5))+$I364*COS(RADIANS('13_시나리오비교'!$B$5))),0)</f>
        <v/>
      </c>
      <c r="Q364" s="80">
        <f>IF($I364&gt;0,MAX(0,$G364*SIN(RADIANS('13_시나리오비교'!$B$6))*SIN(RADIANS('13_시나리오비교'!$C$6))+$H364*SIN(RADIANS('13_시나리오비교'!$B$6))*COS(RADIANS('13_시나리오비교'!$C$6))+$I364*COS(RADIANS('13_시나리오비교'!$B$6))),0)</f>
        <v/>
      </c>
      <c r="R364" s="80">
        <f>IF($I364&gt;0,MAX(0,$G364*SIN(RADIANS('13_시나리오비교'!$B$7))*SIN(RADIANS('13_시나리오비교'!$C$7))+$H364*SIN(RADIANS('13_시나리오비교'!$B$7))*COS(RADIANS('13_시나리오비교'!$C$7))+$I364*COS(RADIANS('13_시나리오비교'!$B$7))),0)</f>
        <v/>
      </c>
      <c r="S364" s="80">
        <f>IF($I364&gt;0,MAX(0,$G364*SIN(RADIANS('13_시나리오비교'!$B$8))*SIN(RADIANS('13_시나리오비교'!$C$8))+$H364*SIN(RADIANS('13_시나리오비교'!$B$8))*COS(RADIANS('13_시나리오비교'!$C$8))+$I364*COS(RADIANS('13_시나리오비교'!$B$8))),0)</f>
        <v/>
      </c>
      <c r="T364" s="80">
        <f>IF($I364&gt;0,MAX(0,$G364*SIN(RADIANS('13_시나리오비교'!$B$9))*SIN(RADIANS('13_시나리오비교'!$C$9))+$H364*SIN(RADIANS('13_시나리오비교'!$B$9))*COS(RADIANS('13_시나리오비교'!$C$9))+$I364*COS(RADIANS('13_시나리오비교'!$B$9))),0)</f>
        <v/>
      </c>
      <c r="U364" s="80">
        <f>IF($I364&gt;0,MAX(0,$G364*SIN(RADIANS('13_시나리오비교'!$B$10))*SIN(RADIANS('13_시나리오비교'!$C$10))+$H364*SIN(RADIANS('13_시나리오비교'!$B$10))*COS(RADIANS('13_시나리오비교'!$C$10))+$I364*COS(RADIANS('13_시나리오비교'!$B$10))),0)</f>
        <v/>
      </c>
      <c r="V364" s="80">
        <f>IF($I364&gt;0,MAX(0,$G364*SIN(RADIANS('13_시나리오비교'!$B$11))*SIN(RADIANS('13_시나리오비교'!$C$11))+$H364*SIN(RADIANS('13_시나리오비교'!$B$11))*COS(RADIANS('13_시나리오비교'!$C$11))+$I364*COS(RADIANS('13_시나리오비교'!$B$11))),0)</f>
        <v/>
      </c>
      <c r="W364" s="80">
        <f>IF($I364&gt;0,MAX(0,$G364*SIN(RADIANS('13_시나리오비교'!$B$12))*SIN(RADIANS('13_시나리오비교'!$C$12))+$H364*SIN(RADIANS('13_시나리오비교'!$B$12))*COS(RADIANS('13_시나리오비교'!$C$12))+$I364*COS(RADIANS('13_시나리오비교'!$B$12))),0)</f>
        <v/>
      </c>
      <c r="X364" s="80">
        <f>IF($I364&gt;0,MAX(0,$G364*SIN(RADIANS('13_시나리오비교'!$B$13))*SIN(RADIANS('13_시나리오비교'!$C$13))+$H364*SIN(RADIANS('13_시나리오비교'!$B$13))*COS(RADIANS('13_시나리오비교'!$C$13))+$I364*COS(RADIANS('13_시나리오비교'!$B$13))),0)</f>
        <v/>
      </c>
      <c r="Y364" s="80">
        <f>IF($I364&gt;0,MAX(0,$G364*SIN(RADIANS('13_시나리오비교'!$B$14))*SIN(RADIANS('13_시나리오비교'!$C$14))+$H364*SIN(RADIANS('13_시나리오비교'!$B$14))*COS(RADIANS('13_시나리오비교'!$C$14))+$I364*COS(RADIANS('13_시나리오비교'!$B$14))),0)</f>
        <v/>
      </c>
    </row>
    <row r="365" hidden="1" outlineLevel="1">
      <c r="A365" s="79" t="n">
        <v>4</v>
      </c>
      <c r="B365" s="79" t="n">
        <v>57</v>
      </c>
      <c r="C365" s="80">
        <f>(B365-0.5)*'14_지역·상수'!$H$6</f>
        <v/>
      </c>
      <c r="D365" s="79" t="n">
        <v>105</v>
      </c>
      <c r="E365" s="80">
        <f>INDEX($C$4:$C$15,MATCH(A365,$A$4:$A$15,0))</f>
        <v/>
      </c>
      <c r="F365" s="80">
        <f>15*(C365-12)</f>
        <v/>
      </c>
      <c r="G365" s="80">
        <f>-COS(RADIANS(E365))*SIN(RADIANS(F365))</f>
        <v/>
      </c>
      <c r="H365" s="80">
        <f>COS(RADIANS('11_발전량_모델'!$B$17))*SIN(RADIANS(E365))-SIN(RADIANS('11_발전량_모델'!$B$17))*COS(RADIANS(E365))*COS(RADIANS(F365))</f>
        <v/>
      </c>
      <c r="I365" s="80">
        <f>SIN(RADIANS('11_발전량_모델'!$B$17))*SIN(RADIANS(E365))+COS(RADIANS('11_발전량_모델'!$B$17))*COS(RADIANS(E365))*COS(RADIANS(F365))</f>
        <v/>
      </c>
      <c r="J365" s="80">
        <f>SIN(RADIANS('11_발전량_모델'!$B$7))*SIN(RADIANS('11_발전량_모델'!$B$8))</f>
        <v/>
      </c>
      <c r="K365" s="80">
        <f>SIN(RADIANS('11_발전량_모델'!$B$7))*COS(RADIANS('11_발전량_모델'!$B$8))</f>
        <v/>
      </c>
      <c r="L365" s="80">
        <f>COS(RADIANS('11_발전량_모델'!$B$7))</f>
        <v/>
      </c>
      <c r="M365" s="80">
        <f>G365*J365+H365*K365+I365*L365</f>
        <v/>
      </c>
      <c r="N365" s="80">
        <f>MAX(0,I365)</f>
        <v/>
      </c>
      <c r="O365" s="80">
        <f>IF(I365&gt;0,MAX(0,M365),0)</f>
        <v/>
      </c>
      <c r="P365" s="80">
        <f>IF($I365&gt;0,MAX(0,$G365*SIN(RADIANS('13_시나리오비교'!$B$5))*SIN(RADIANS('13_시나리오비교'!$C$5))+$H365*SIN(RADIANS('13_시나리오비교'!$B$5))*COS(RADIANS('13_시나리오비교'!$C$5))+$I365*COS(RADIANS('13_시나리오비교'!$B$5))),0)</f>
        <v/>
      </c>
      <c r="Q365" s="80">
        <f>IF($I365&gt;0,MAX(0,$G365*SIN(RADIANS('13_시나리오비교'!$B$6))*SIN(RADIANS('13_시나리오비교'!$C$6))+$H365*SIN(RADIANS('13_시나리오비교'!$B$6))*COS(RADIANS('13_시나리오비교'!$C$6))+$I365*COS(RADIANS('13_시나리오비교'!$B$6))),0)</f>
        <v/>
      </c>
      <c r="R365" s="80">
        <f>IF($I365&gt;0,MAX(0,$G365*SIN(RADIANS('13_시나리오비교'!$B$7))*SIN(RADIANS('13_시나리오비교'!$C$7))+$H365*SIN(RADIANS('13_시나리오비교'!$B$7))*COS(RADIANS('13_시나리오비교'!$C$7))+$I365*COS(RADIANS('13_시나리오비교'!$B$7))),0)</f>
        <v/>
      </c>
      <c r="S365" s="80">
        <f>IF($I365&gt;0,MAX(0,$G365*SIN(RADIANS('13_시나리오비교'!$B$8))*SIN(RADIANS('13_시나리오비교'!$C$8))+$H365*SIN(RADIANS('13_시나리오비교'!$B$8))*COS(RADIANS('13_시나리오비교'!$C$8))+$I365*COS(RADIANS('13_시나리오비교'!$B$8))),0)</f>
        <v/>
      </c>
      <c r="T365" s="80">
        <f>IF($I365&gt;0,MAX(0,$G365*SIN(RADIANS('13_시나리오비교'!$B$9))*SIN(RADIANS('13_시나리오비교'!$C$9))+$H365*SIN(RADIANS('13_시나리오비교'!$B$9))*COS(RADIANS('13_시나리오비교'!$C$9))+$I365*COS(RADIANS('13_시나리오비교'!$B$9))),0)</f>
        <v/>
      </c>
      <c r="U365" s="80">
        <f>IF($I365&gt;0,MAX(0,$G365*SIN(RADIANS('13_시나리오비교'!$B$10))*SIN(RADIANS('13_시나리오비교'!$C$10))+$H365*SIN(RADIANS('13_시나리오비교'!$B$10))*COS(RADIANS('13_시나리오비교'!$C$10))+$I365*COS(RADIANS('13_시나리오비교'!$B$10))),0)</f>
        <v/>
      </c>
      <c r="V365" s="80">
        <f>IF($I365&gt;0,MAX(0,$G365*SIN(RADIANS('13_시나리오비교'!$B$11))*SIN(RADIANS('13_시나리오비교'!$C$11))+$H365*SIN(RADIANS('13_시나리오비교'!$B$11))*COS(RADIANS('13_시나리오비교'!$C$11))+$I365*COS(RADIANS('13_시나리오비교'!$B$11))),0)</f>
        <v/>
      </c>
      <c r="W365" s="80">
        <f>IF($I365&gt;0,MAX(0,$G365*SIN(RADIANS('13_시나리오비교'!$B$12))*SIN(RADIANS('13_시나리오비교'!$C$12))+$H365*SIN(RADIANS('13_시나리오비교'!$B$12))*COS(RADIANS('13_시나리오비교'!$C$12))+$I365*COS(RADIANS('13_시나리오비교'!$B$12))),0)</f>
        <v/>
      </c>
      <c r="X365" s="80">
        <f>IF($I365&gt;0,MAX(0,$G365*SIN(RADIANS('13_시나리오비교'!$B$13))*SIN(RADIANS('13_시나리오비교'!$C$13))+$H365*SIN(RADIANS('13_시나리오비교'!$B$13))*COS(RADIANS('13_시나리오비교'!$C$13))+$I365*COS(RADIANS('13_시나리오비교'!$B$13))),0)</f>
        <v/>
      </c>
      <c r="Y365" s="80">
        <f>IF($I365&gt;0,MAX(0,$G365*SIN(RADIANS('13_시나리오비교'!$B$14))*SIN(RADIANS('13_시나리오비교'!$C$14))+$H365*SIN(RADIANS('13_시나리오비교'!$B$14))*COS(RADIANS('13_시나리오비교'!$C$14))+$I365*COS(RADIANS('13_시나리오비교'!$B$14))),0)</f>
        <v/>
      </c>
    </row>
    <row r="366" hidden="1" outlineLevel="1">
      <c r="A366" s="79" t="n">
        <v>4</v>
      </c>
      <c r="B366" s="79" t="n">
        <v>58</v>
      </c>
      <c r="C366" s="80">
        <f>(B366-0.5)*'14_지역·상수'!$H$6</f>
        <v/>
      </c>
      <c r="D366" s="79" t="n">
        <v>105</v>
      </c>
      <c r="E366" s="80">
        <f>INDEX($C$4:$C$15,MATCH(A366,$A$4:$A$15,0))</f>
        <v/>
      </c>
      <c r="F366" s="80">
        <f>15*(C366-12)</f>
        <v/>
      </c>
      <c r="G366" s="80">
        <f>-COS(RADIANS(E366))*SIN(RADIANS(F366))</f>
        <v/>
      </c>
      <c r="H366" s="80">
        <f>COS(RADIANS('11_발전량_모델'!$B$17))*SIN(RADIANS(E366))-SIN(RADIANS('11_발전량_모델'!$B$17))*COS(RADIANS(E366))*COS(RADIANS(F366))</f>
        <v/>
      </c>
      <c r="I366" s="80">
        <f>SIN(RADIANS('11_발전량_모델'!$B$17))*SIN(RADIANS(E366))+COS(RADIANS('11_발전량_모델'!$B$17))*COS(RADIANS(E366))*COS(RADIANS(F366))</f>
        <v/>
      </c>
      <c r="J366" s="80">
        <f>SIN(RADIANS('11_발전량_모델'!$B$7))*SIN(RADIANS('11_발전량_모델'!$B$8))</f>
        <v/>
      </c>
      <c r="K366" s="80">
        <f>SIN(RADIANS('11_발전량_모델'!$B$7))*COS(RADIANS('11_발전량_모델'!$B$8))</f>
        <v/>
      </c>
      <c r="L366" s="80">
        <f>COS(RADIANS('11_발전량_모델'!$B$7))</f>
        <v/>
      </c>
      <c r="M366" s="80">
        <f>G366*J366+H366*K366+I366*L366</f>
        <v/>
      </c>
      <c r="N366" s="80">
        <f>MAX(0,I366)</f>
        <v/>
      </c>
      <c r="O366" s="80">
        <f>IF(I366&gt;0,MAX(0,M366),0)</f>
        <v/>
      </c>
      <c r="P366" s="80">
        <f>IF($I366&gt;0,MAX(0,$G366*SIN(RADIANS('13_시나리오비교'!$B$5))*SIN(RADIANS('13_시나리오비교'!$C$5))+$H366*SIN(RADIANS('13_시나리오비교'!$B$5))*COS(RADIANS('13_시나리오비교'!$C$5))+$I366*COS(RADIANS('13_시나리오비교'!$B$5))),0)</f>
        <v/>
      </c>
      <c r="Q366" s="80">
        <f>IF($I366&gt;0,MAX(0,$G366*SIN(RADIANS('13_시나리오비교'!$B$6))*SIN(RADIANS('13_시나리오비교'!$C$6))+$H366*SIN(RADIANS('13_시나리오비교'!$B$6))*COS(RADIANS('13_시나리오비교'!$C$6))+$I366*COS(RADIANS('13_시나리오비교'!$B$6))),0)</f>
        <v/>
      </c>
      <c r="R366" s="80">
        <f>IF($I366&gt;0,MAX(0,$G366*SIN(RADIANS('13_시나리오비교'!$B$7))*SIN(RADIANS('13_시나리오비교'!$C$7))+$H366*SIN(RADIANS('13_시나리오비교'!$B$7))*COS(RADIANS('13_시나리오비교'!$C$7))+$I366*COS(RADIANS('13_시나리오비교'!$B$7))),0)</f>
        <v/>
      </c>
      <c r="S366" s="80">
        <f>IF($I366&gt;0,MAX(0,$G366*SIN(RADIANS('13_시나리오비교'!$B$8))*SIN(RADIANS('13_시나리오비교'!$C$8))+$H366*SIN(RADIANS('13_시나리오비교'!$B$8))*COS(RADIANS('13_시나리오비교'!$C$8))+$I366*COS(RADIANS('13_시나리오비교'!$B$8))),0)</f>
        <v/>
      </c>
      <c r="T366" s="80">
        <f>IF($I366&gt;0,MAX(0,$G366*SIN(RADIANS('13_시나리오비교'!$B$9))*SIN(RADIANS('13_시나리오비교'!$C$9))+$H366*SIN(RADIANS('13_시나리오비교'!$B$9))*COS(RADIANS('13_시나리오비교'!$C$9))+$I366*COS(RADIANS('13_시나리오비교'!$B$9))),0)</f>
        <v/>
      </c>
      <c r="U366" s="80">
        <f>IF($I366&gt;0,MAX(0,$G366*SIN(RADIANS('13_시나리오비교'!$B$10))*SIN(RADIANS('13_시나리오비교'!$C$10))+$H366*SIN(RADIANS('13_시나리오비교'!$B$10))*COS(RADIANS('13_시나리오비교'!$C$10))+$I366*COS(RADIANS('13_시나리오비교'!$B$10))),0)</f>
        <v/>
      </c>
      <c r="V366" s="80">
        <f>IF($I366&gt;0,MAX(0,$G366*SIN(RADIANS('13_시나리오비교'!$B$11))*SIN(RADIANS('13_시나리오비교'!$C$11))+$H366*SIN(RADIANS('13_시나리오비교'!$B$11))*COS(RADIANS('13_시나리오비교'!$C$11))+$I366*COS(RADIANS('13_시나리오비교'!$B$11))),0)</f>
        <v/>
      </c>
      <c r="W366" s="80">
        <f>IF($I366&gt;0,MAX(0,$G366*SIN(RADIANS('13_시나리오비교'!$B$12))*SIN(RADIANS('13_시나리오비교'!$C$12))+$H366*SIN(RADIANS('13_시나리오비교'!$B$12))*COS(RADIANS('13_시나리오비교'!$C$12))+$I366*COS(RADIANS('13_시나리오비교'!$B$12))),0)</f>
        <v/>
      </c>
      <c r="X366" s="80">
        <f>IF($I366&gt;0,MAX(0,$G366*SIN(RADIANS('13_시나리오비교'!$B$13))*SIN(RADIANS('13_시나리오비교'!$C$13))+$H366*SIN(RADIANS('13_시나리오비교'!$B$13))*COS(RADIANS('13_시나리오비교'!$C$13))+$I366*COS(RADIANS('13_시나리오비교'!$B$13))),0)</f>
        <v/>
      </c>
      <c r="Y366" s="80">
        <f>IF($I366&gt;0,MAX(0,$G366*SIN(RADIANS('13_시나리오비교'!$B$14))*SIN(RADIANS('13_시나리오비교'!$C$14))+$H366*SIN(RADIANS('13_시나리오비교'!$B$14))*COS(RADIANS('13_시나리오비교'!$C$14))+$I366*COS(RADIANS('13_시나리오비교'!$B$14))),0)</f>
        <v/>
      </c>
    </row>
    <row r="367" hidden="1" outlineLevel="1">
      <c r="A367" s="79" t="n">
        <v>4</v>
      </c>
      <c r="B367" s="79" t="n">
        <v>59</v>
      </c>
      <c r="C367" s="80">
        <f>(B367-0.5)*'14_지역·상수'!$H$6</f>
        <v/>
      </c>
      <c r="D367" s="79" t="n">
        <v>105</v>
      </c>
      <c r="E367" s="80">
        <f>INDEX($C$4:$C$15,MATCH(A367,$A$4:$A$15,0))</f>
        <v/>
      </c>
      <c r="F367" s="80">
        <f>15*(C367-12)</f>
        <v/>
      </c>
      <c r="G367" s="80">
        <f>-COS(RADIANS(E367))*SIN(RADIANS(F367))</f>
        <v/>
      </c>
      <c r="H367" s="80">
        <f>COS(RADIANS('11_발전량_모델'!$B$17))*SIN(RADIANS(E367))-SIN(RADIANS('11_발전량_모델'!$B$17))*COS(RADIANS(E367))*COS(RADIANS(F367))</f>
        <v/>
      </c>
      <c r="I367" s="80">
        <f>SIN(RADIANS('11_발전량_모델'!$B$17))*SIN(RADIANS(E367))+COS(RADIANS('11_발전량_모델'!$B$17))*COS(RADIANS(E367))*COS(RADIANS(F367))</f>
        <v/>
      </c>
      <c r="J367" s="80">
        <f>SIN(RADIANS('11_발전량_모델'!$B$7))*SIN(RADIANS('11_발전량_모델'!$B$8))</f>
        <v/>
      </c>
      <c r="K367" s="80">
        <f>SIN(RADIANS('11_발전량_모델'!$B$7))*COS(RADIANS('11_발전량_모델'!$B$8))</f>
        <v/>
      </c>
      <c r="L367" s="80">
        <f>COS(RADIANS('11_발전량_모델'!$B$7))</f>
        <v/>
      </c>
      <c r="M367" s="80">
        <f>G367*J367+H367*K367+I367*L367</f>
        <v/>
      </c>
      <c r="N367" s="80">
        <f>MAX(0,I367)</f>
        <v/>
      </c>
      <c r="O367" s="80">
        <f>IF(I367&gt;0,MAX(0,M367),0)</f>
        <v/>
      </c>
      <c r="P367" s="80">
        <f>IF($I367&gt;0,MAX(0,$G367*SIN(RADIANS('13_시나리오비교'!$B$5))*SIN(RADIANS('13_시나리오비교'!$C$5))+$H367*SIN(RADIANS('13_시나리오비교'!$B$5))*COS(RADIANS('13_시나리오비교'!$C$5))+$I367*COS(RADIANS('13_시나리오비교'!$B$5))),0)</f>
        <v/>
      </c>
      <c r="Q367" s="80">
        <f>IF($I367&gt;0,MAX(0,$G367*SIN(RADIANS('13_시나리오비교'!$B$6))*SIN(RADIANS('13_시나리오비교'!$C$6))+$H367*SIN(RADIANS('13_시나리오비교'!$B$6))*COS(RADIANS('13_시나리오비교'!$C$6))+$I367*COS(RADIANS('13_시나리오비교'!$B$6))),0)</f>
        <v/>
      </c>
      <c r="R367" s="80">
        <f>IF($I367&gt;0,MAX(0,$G367*SIN(RADIANS('13_시나리오비교'!$B$7))*SIN(RADIANS('13_시나리오비교'!$C$7))+$H367*SIN(RADIANS('13_시나리오비교'!$B$7))*COS(RADIANS('13_시나리오비교'!$C$7))+$I367*COS(RADIANS('13_시나리오비교'!$B$7))),0)</f>
        <v/>
      </c>
      <c r="S367" s="80">
        <f>IF($I367&gt;0,MAX(0,$G367*SIN(RADIANS('13_시나리오비교'!$B$8))*SIN(RADIANS('13_시나리오비교'!$C$8))+$H367*SIN(RADIANS('13_시나리오비교'!$B$8))*COS(RADIANS('13_시나리오비교'!$C$8))+$I367*COS(RADIANS('13_시나리오비교'!$B$8))),0)</f>
        <v/>
      </c>
      <c r="T367" s="80">
        <f>IF($I367&gt;0,MAX(0,$G367*SIN(RADIANS('13_시나리오비교'!$B$9))*SIN(RADIANS('13_시나리오비교'!$C$9))+$H367*SIN(RADIANS('13_시나리오비교'!$B$9))*COS(RADIANS('13_시나리오비교'!$C$9))+$I367*COS(RADIANS('13_시나리오비교'!$B$9))),0)</f>
        <v/>
      </c>
      <c r="U367" s="80">
        <f>IF($I367&gt;0,MAX(0,$G367*SIN(RADIANS('13_시나리오비교'!$B$10))*SIN(RADIANS('13_시나리오비교'!$C$10))+$H367*SIN(RADIANS('13_시나리오비교'!$B$10))*COS(RADIANS('13_시나리오비교'!$C$10))+$I367*COS(RADIANS('13_시나리오비교'!$B$10))),0)</f>
        <v/>
      </c>
      <c r="V367" s="80">
        <f>IF($I367&gt;0,MAX(0,$G367*SIN(RADIANS('13_시나리오비교'!$B$11))*SIN(RADIANS('13_시나리오비교'!$C$11))+$H367*SIN(RADIANS('13_시나리오비교'!$B$11))*COS(RADIANS('13_시나리오비교'!$C$11))+$I367*COS(RADIANS('13_시나리오비교'!$B$11))),0)</f>
        <v/>
      </c>
      <c r="W367" s="80">
        <f>IF($I367&gt;0,MAX(0,$G367*SIN(RADIANS('13_시나리오비교'!$B$12))*SIN(RADIANS('13_시나리오비교'!$C$12))+$H367*SIN(RADIANS('13_시나리오비교'!$B$12))*COS(RADIANS('13_시나리오비교'!$C$12))+$I367*COS(RADIANS('13_시나리오비교'!$B$12))),0)</f>
        <v/>
      </c>
      <c r="X367" s="80">
        <f>IF($I367&gt;0,MAX(0,$G367*SIN(RADIANS('13_시나리오비교'!$B$13))*SIN(RADIANS('13_시나리오비교'!$C$13))+$H367*SIN(RADIANS('13_시나리오비교'!$B$13))*COS(RADIANS('13_시나리오비교'!$C$13))+$I367*COS(RADIANS('13_시나리오비교'!$B$13))),0)</f>
        <v/>
      </c>
      <c r="Y367" s="80">
        <f>IF($I367&gt;0,MAX(0,$G367*SIN(RADIANS('13_시나리오비교'!$B$14))*SIN(RADIANS('13_시나리오비교'!$C$14))+$H367*SIN(RADIANS('13_시나리오비교'!$B$14))*COS(RADIANS('13_시나리오비교'!$C$14))+$I367*COS(RADIANS('13_시나리오비교'!$B$14))),0)</f>
        <v/>
      </c>
    </row>
    <row r="368" hidden="1" outlineLevel="1">
      <c r="A368" s="79" t="n">
        <v>4</v>
      </c>
      <c r="B368" s="79" t="n">
        <v>60</v>
      </c>
      <c r="C368" s="80">
        <f>(B368-0.5)*'14_지역·상수'!$H$6</f>
        <v/>
      </c>
      <c r="D368" s="79" t="n">
        <v>105</v>
      </c>
      <c r="E368" s="80">
        <f>INDEX($C$4:$C$15,MATCH(A368,$A$4:$A$15,0))</f>
        <v/>
      </c>
      <c r="F368" s="80">
        <f>15*(C368-12)</f>
        <v/>
      </c>
      <c r="G368" s="80">
        <f>-COS(RADIANS(E368))*SIN(RADIANS(F368))</f>
        <v/>
      </c>
      <c r="H368" s="80">
        <f>COS(RADIANS('11_발전량_모델'!$B$17))*SIN(RADIANS(E368))-SIN(RADIANS('11_발전량_모델'!$B$17))*COS(RADIANS(E368))*COS(RADIANS(F368))</f>
        <v/>
      </c>
      <c r="I368" s="80">
        <f>SIN(RADIANS('11_발전량_모델'!$B$17))*SIN(RADIANS(E368))+COS(RADIANS('11_발전량_모델'!$B$17))*COS(RADIANS(E368))*COS(RADIANS(F368))</f>
        <v/>
      </c>
      <c r="J368" s="80">
        <f>SIN(RADIANS('11_발전량_모델'!$B$7))*SIN(RADIANS('11_발전량_모델'!$B$8))</f>
        <v/>
      </c>
      <c r="K368" s="80">
        <f>SIN(RADIANS('11_발전량_모델'!$B$7))*COS(RADIANS('11_발전량_모델'!$B$8))</f>
        <v/>
      </c>
      <c r="L368" s="80">
        <f>COS(RADIANS('11_발전량_모델'!$B$7))</f>
        <v/>
      </c>
      <c r="M368" s="80">
        <f>G368*J368+H368*K368+I368*L368</f>
        <v/>
      </c>
      <c r="N368" s="80">
        <f>MAX(0,I368)</f>
        <v/>
      </c>
      <c r="O368" s="80">
        <f>IF(I368&gt;0,MAX(0,M368),0)</f>
        <v/>
      </c>
      <c r="P368" s="80">
        <f>IF($I368&gt;0,MAX(0,$G368*SIN(RADIANS('13_시나리오비교'!$B$5))*SIN(RADIANS('13_시나리오비교'!$C$5))+$H368*SIN(RADIANS('13_시나리오비교'!$B$5))*COS(RADIANS('13_시나리오비교'!$C$5))+$I368*COS(RADIANS('13_시나리오비교'!$B$5))),0)</f>
        <v/>
      </c>
      <c r="Q368" s="80">
        <f>IF($I368&gt;0,MAX(0,$G368*SIN(RADIANS('13_시나리오비교'!$B$6))*SIN(RADIANS('13_시나리오비교'!$C$6))+$H368*SIN(RADIANS('13_시나리오비교'!$B$6))*COS(RADIANS('13_시나리오비교'!$C$6))+$I368*COS(RADIANS('13_시나리오비교'!$B$6))),0)</f>
        <v/>
      </c>
      <c r="R368" s="80">
        <f>IF($I368&gt;0,MAX(0,$G368*SIN(RADIANS('13_시나리오비교'!$B$7))*SIN(RADIANS('13_시나리오비교'!$C$7))+$H368*SIN(RADIANS('13_시나리오비교'!$B$7))*COS(RADIANS('13_시나리오비교'!$C$7))+$I368*COS(RADIANS('13_시나리오비교'!$B$7))),0)</f>
        <v/>
      </c>
      <c r="S368" s="80">
        <f>IF($I368&gt;0,MAX(0,$G368*SIN(RADIANS('13_시나리오비교'!$B$8))*SIN(RADIANS('13_시나리오비교'!$C$8))+$H368*SIN(RADIANS('13_시나리오비교'!$B$8))*COS(RADIANS('13_시나리오비교'!$C$8))+$I368*COS(RADIANS('13_시나리오비교'!$B$8))),0)</f>
        <v/>
      </c>
      <c r="T368" s="80">
        <f>IF($I368&gt;0,MAX(0,$G368*SIN(RADIANS('13_시나리오비교'!$B$9))*SIN(RADIANS('13_시나리오비교'!$C$9))+$H368*SIN(RADIANS('13_시나리오비교'!$B$9))*COS(RADIANS('13_시나리오비교'!$C$9))+$I368*COS(RADIANS('13_시나리오비교'!$B$9))),0)</f>
        <v/>
      </c>
      <c r="U368" s="80">
        <f>IF($I368&gt;0,MAX(0,$G368*SIN(RADIANS('13_시나리오비교'!$B$10))*SIN(RADIANS('13_시나리오비교'!$C$10))+$H368*SIN(RADIANS('13_시나리오비교'!$B$10))*COS(RADIANS('13_시나리오비교'!$C$10))+$I368*COS(RADIANS('13_시나리오비교'!$B$10))),0)</f>
        <v/>
      </c>
      <c r="V368" s="80">
        <f>IF($I368&gt;0,MAX(0,$G368*SIN(RADIANS('13_시나리오비교'!$B$11))*SIN(RADIANS('13_시나리오비교'!$C$11))+$H368*SIN(RADIANS('13_시나리오비교'!$B$11))*COS(RADIANS('13_시나리오비교'!$C$11))+$I368*COS(RADIANS('13_시나리오비교'!$B$11))),0)</f>
        <v/>
      </c>
      <c r="W368" s="80">
        <f>IF($I368&gt;0,MAX(0,$G368*SIN(RADIANS('13_시나리오비교'!$B$12))*SIN(RADIANS('13_시나리오비교'!$C$12))+$H368*SIN(RADIANS('13_시나리오비교'!$B$12))*COS(RADIANS('13_시나리오비교'!$C$12))+$I368*COS(RADIANS('13_시나리오비교'!$B$12))),0)</f>
        <v/>
      </c>
      <c r="X368" s="80">
        <f>IF($I368&gt;0,MAX(0,$G368*SIN(RADIANS('13_시나리오비교'!$B$13))*SIN(RADIANS('13_시나리오비교'!$C$13))+$H368*SIN(RADIANS('13_시나리오비교'!$B$13))*COS(RADIANS('13_시나리오비교'!$C$13))+$I368*COS(RADIANS('13_시나리오비교'!$B$13))),0)</f>
        <v/>
      </c>
      <c r="Y368" s="80">
        <f>IF($I368&gt;0,MAX(0,$G368*SIN(RADIANS('13_시나리오비교'!$B$14))*SIN(RADIANS('13_시나리오비교'!$C$14))+$H368*SIN(RADIANS('13_시나리오비교'!$B$14))*COS(RADIANS('13_시나리오비교'!$C$14))+$I368*COS(RADIANS('13_시나리오비교'!$B$14))),0)</f>
        <v/>
      </c>
    </row>
    <row r="369" hidden="1" outlineLevel="1">
      <c r="A369" s="79" t="n">
        <v>4</v>
      </c>
      <c r="B369" s="79" t="n">
        <v>61</v>
      </c>
      <c r="C369" s="80">
        <f>(B369-0.5)*'14_지역·상수'!$H$6</f>
        <v/>
      </c>
      <c r="D369" s="79" t="n">
        <v>105</v>
      </c>
      <c r="E369" s="80">
        <f>INDEX($C$4:$C$15,MATCH(A369,$A$4:$A$15,0))</f>
        <v/>
      </c>
      <c r="F369" s="80">
        <f>15*(C369-12)</f>
        <v/>
      </c>
      <c r="G369" s="80">
        <f>-COS(RADIANS(E369))*SIN(RADIANS(F369))</f>
        <v/>
      </c>
      <c r="H369" s="80">
        <f>COS(RADIANS('11_발전량_모델'!$B$17))*SIN(RADIANS(E369))-SIN(RADIANS('11_발전량_모델'!$B$17))*COS(RADIANS(E369))*COS(RADIANS(F369))</f>
        <v/>
      </c>
      <c r="I369" s="80">
        <f>SIN(RADIANS('11_발전량_모델'!$B$17))*SIN(RADIANS(E369))+COS(RADIANS('11_발전량_모델'!$B$17))*COS(RADIANS(E369))*COS(RADIANS(F369))</f>
        <v/>
      </c>
      <c r="J369" s="80">
        <f>SIN(RADIANS('11_발전량_모델'!$B$7))*SIN(RADIANS('11_발전량_모델'!$B$8))</f>
        <v/>
      </c>
      <c r="K369" s="80">
        <f>SIN(RADIANS('11_발전량_모델'!$B$7))*COS(RADIANS('11_발전량_모델'!$B$8))</f>
        <v/>
      </c>
      <c r="L369" s="80">
        <f>COS(RADIANS('11_발전량_모델'!$B$7))</f>
        <v/>
      </c>
      <c r="M369" s="80">
        <f>G369*J369+H369*K369+I369*L369</f>
        <v/>
      </c>
      <c r="N369" s="80">
        <f>MAX(0,I369)</f>
        <v/>
      </c>
      <c r="O369" s="80">
        <f>IF(I369&gt;0,MAX(0,M369),0)</f>
        <v/>
      </c>
      <c r="P369" s="80">
        <f>IF($I369&gt;0,MAX(0,$G369*SIN(RADIANS('13_시나리오비교'!$B$5))*SIN(RADIANS('13_시나리오비교'!$C$5))+$H369*SIN(RADIANS('13_시나리오비교'!$B$5))*COS(RADIANS('13_시나리오비교'!$C$5))+$I369*COS(RADIANS('13_시나리오비교'!$B$5))),0)</f>
        <v/>
      </c>
      <c r="Q369" s="80">
        <f>IF($I369&gt;0,MAX(0,$G369*SIN(RADIANS('13_시나리오비교'!$B$6))*SIN(RADIANS('13_시나리오비교'!$C$6))+$H369*SIN(RADIANS('13_시나리오비교'!$B$6))*COS(RADIANS('13_시나리오비교'!$C$6))+$I369*COS(RADIANS('13_시나리오비교'!$B$6))),0)</f>
        <v/>
      </c>
      <c r="R369" s="80">
        <f>IF($I369&gt;0,MAX(0,$G369*SIN(RADIANS('13_시나리오비교'!$B$7))*SIN(RADIANS('13_시나리오비교'!$C$7))+$H369*SIN(RADIANS('13_시나리오비교'!$B$7))*COS(RADIANS('13_시나리오비교'!$C$7))+$I369*COS(RADIANS('13_시나리오비교'!$B$7))),0)</f>
        <v/>
      </c>
      <c r="S369" s="80">
        <f>IF($I369&gt;0,MAX(0,$G369*SIN(RADIANS('13_시나리오비교'!$B$8))*SIN(RADIANS('13_시나리오비교'!$C$8))+$H369*SIN(RADIANS('13_시나리오비교'!$B$8))*COS(RADIANS('13_시나리오비교'!$C$8))+$I369*COS(RADIANS('13_시나리오비교'!$B$8))),0)</f>
        <v/>
      </c>
      <c r="T369" s="80">
        <f>IF($I369&gt;0,MAX(0,$G369*SIN(RADIANS('13_시나리오비교'!$B$9))*SIN(RADIANS('13_시나리오비교'!$C$9))+$H369*SIN(RADIANS('13_시나리오비교'!$B$9))*COS(RADIANS('13_시나리오비교'!$C$9))+$I369*COS(RADIANS('13_시나리오비교'!$B$9))),0)</f>
        <v/>
      </c>
      <c r="U369" s="80">
        <f>IF($I369&gt;0,MAX(0,$G369*SIN(RADIANS('13_시나리오비교'!$B$10))*SIN(RADIANS('13_시나리오비교'!$C$10))+$H369*SIN(RADIANS('13_시나리오비교'!$B$10))*COS(RADIANS('13_시나리오비교'!$C$10))+$I369*COS(RADIANS('13_시나리오비교'!$B$10))),0)</f>
        <v/>
      </c>
      <c r="V369" s="80">
        <f>IF($I369&gt;0,MAX(0,$G369*SIN(RADIANS('13_시나리오비교'!$B$11))*SIN(RADIANS('13_시나리오비교'!$C$11))+$H369*SIN(RADIANS('13_시나리오비교'!$B$11))*COS(RADIANS('13_시나리오비교'!$C$11))+$I369*COS(RADIANS('13_시나리오비교'!$B$11))),0)</f>
        <v/>
      </c>
      <c r="W369" s="80">
        <f>IF($I369&gt;0,MAX(0,$G369*SIN(RADIANS('13_시나리오비교'!$B$12))*SIN(RADIANS('13_시나리오비교'!$C$12))+$H369*SIN(RADIANS('13_시나리오비교'!$B$12))*COS(RADIANS('13_시나리오비교'!$C$12))+$I369*COS(RADIANS('13_시나리오비교'!$B$12))),0)</f>
        <v/>
      </c>
      <c r="X369" s="80">
        <f>IF($I369&gt;0,MAX(0,$G369*SIN(RADIANS('13_시나리오비교'!$B$13))*SIN(RADIANS('13_시나리오비교'!$C$13))+$H369*SIN(RADIANS('13_시나리오비교'!$B$13))*COS(RADIANS('13_시나리오비교'!$C$13))+$I369*COS(RADIANS('13_시나리오비교'!$B$13))),0)</f>
        <v/>
      </c>
      <c r="Y369" s="80">
        <f>IF($I369&gt;0,MAX(0,$G369*SIN(RADIANS('13_시나리오비교'!$B$14))*SIN(RADIANS('13_시나리오비교'!$C$14))+$H369*SIN(RADIANS('13_시나리오비교'!$B$14))*COS(RADIANS('13_시나리오비교'!$C$14))+$I369*COS(RADIANS('13_시나리오비교'!$B$14))),0)</f>
        <v/>
      </c>
    </row>
    <row r="370" hidden="1" outlineLevel="1">
      <c r="A370" s="79" t="n">
        <v>4</v>
      </c>
      <c r="B370" s="79" t="n">
        <v>62</v>
      </c>
      <c r="C370" s="80">
        <f>(B370-0.5)*'14_지역·상수'!$H$6</f>
        <v/>
      </c>
      <c r="D370" s="79" t="n">
        <v>105</v>
      </c>
      <c r="E370" s="80">
        <f>INDEX($C$4:$C$15,MATCH(A370,$A$4:$A$15,0))</f>
        <v/>
      </c>
      <c r="F370" s="80">
        <f>15*(C370-12)</f>
        <v/>
      </c>
      <c r="G370" s="80">
        <f>-COS(RADIANS(E370))*SIN(RADIANS(F370))</f>
        <v/>
      </c>
      <c r="H370" s="80">
        <f>COS(RADIANS('11_발전량_모델'!$B$17))*SIN(RADIANS(E370))-SIN(RADIANS('11_발전량_모델'!$B$17))*COS(RADIANS(E370))*COS(RADIANS(F370))</f>
        <v/>
      </c>
      <c r="I370" s="80">
        <f>SIN(RADIANS('11_발전량_모델'!$B$17))*SIN(RADIANS(E370))+COS(RADIANS('11_발전량_모델'!$B$17))*COS(RADIANS(E370))*COS(RADIANS(F370))</f>
        <v/>
      </c>
      <c r="J370" s="80">
        <f>SIN(RADIANS('11_발전량_모델'!$B$7))*SIN(RADIANS('11_발전량_모델'!$B$8))</f>
        <v/>
      </c>
      <c r="K370" s="80">
        <f>SIN(RADIANS('11_발전량_모델'!$B$7))*COS(RADIANS('11_발전량_모델'!$B$8))</f>
        <v/>
      </c>
      <c r="L370" s="80">
        <f>COS(RADIANS('11_발전량_모델'!$B$7))</f>
        <v/>
      </c>
      <c r="M370" s="80">
        <f>G370*J370+H370*K370+I370*L370</f>
        <v/>
      </c>
      <c r="N370" s="80">
        <f>MAX(0,I370)</f>
        <v/>
      </c>
      <c r="O370" s="80">
        <f>IF(I370&gt;0,MAX(0,M370),0)</f>
        <v/>
      </c>
      <c r="P370" s="80">
        <f>IF($I370&gt;0,MAX(0,$G370*SIN(RADIANS('13_시나리오비교'!$B$5))*SIN(RADIANS('13_시나리오비교'!$C$5))+$H370*SIN(RADIANS('13_시나리오비교'!$B$5))*COS(RADIANS('13_시나리오비교'!$C$5))+$I370*COS(RADIANS('13_시나리오비교'!$B$5))),0)</f>
        <v/>
      </c>
      <c r="Q370" s="80">
        <f>IF($I370&gt;0,MAX(0,$G370*SIN(RADIANS('13_시나리오비교'!$B$6))*SIN(RADIANS('13_시나리오비교'!$C$6))+$H370*SIN(RADIANS('13_시나리오비교'!$B$6))*COS(RADIANS('13_시나리오비교'!$C$6))+$I370*COS(RADIANS('13_시나리오비교'!$B$6))),0)</f>
        <v/>
      </c>
      <c r="R370" s="80">
        <f>IF($I370&gt;0,MAX(0,$G370*SIN(RADIANS('13_시나리오비교'!$B$7))*SIN(RADIANS('13_시나리오비교'!$C$7))+$H370*SIN(RADIANS('13_시나리오비교'!$B$7))*COS(RADIANS('13_시나리오비교'!$C$7))+$I370*COS(RADIANS('13_시나리오비교'!$B$7))),0)</f>
        <v/>
      </c>
      <c r="S370" s="80">
        <f>IF($I370&gt;0,MAX(0,$G370*SIN(RADIANS('13_시나리오비교'!$B$8))*SIN(RADIANS('13_시나리오비교'!$C$8))+$H370*SIN(RADIANS('13_시나리오비교'!$B$8))*COS(RADIANS('13_시나리오비교'!$C$8))+$I370*COS(RADIANS('13_시나리오비교'!$B$8))),0)</f>
        <v/>
      </c>
      <c r="T370" s="80">
        <f>IF($I370&gt;0,MAX(0,$G370*SIN(RADIANS('13_시나리오비교'!$B$9))*SIN(RADIANS('13_시나리오비교'!$C$9))+$H370*SIN(RADIANS('13_시나리오비교'!$B$9))*COS(RADIANS('13_시나리오비교'!$C$9))+$I370*COS(RADIANS('13_시나리오비교'!$B$9))),0)</f>
        <v/>
      </c>
      <c r="U370" s="80">
        <f>IF($I370&gt;0,MAX(0,$G370*SIN(RADIANS('13_시나리오비교'!$B$10))*SIN(RADIANS('13_시나리오비교'!$C$10))+$H370*SIN(RADIANS('13_시나리오비교'!$B$10))*COS(RADIANS('13_시나리오비교'!$C$10))+$I370*COS(RADIANS('13_시나리오비교'!$B$10))),0)</f>
        <v/>
      </c>
      <c r="V370" s="80">
        <f>IF($I370&gt;0,MAX(0,$G370*SIN(RADIANS('13_시나리오비교'!$B$11))*SIN(RADIANS('13_시나리오비교'!$C$11))+$H370*SIN(RADIANS('13_시나리오비교'!$B$11))*COS(RADIANS('13_시나리오비교'!$C$11))+$I370*COS(RADIANS('13_시나리오비교'!$B$11))),0)</f>
        <v/>
      </c>
      <c r="W370" s="80">
        <f>IF($I370&gt;0,MAX(0,$G370*SIN(RADIANS('13_시나리오비교'!$B$12))*SIN(RADIANS('13_시나리오비교'!$C$12))+$H370*SIN(RADIANS('13_시나리오비교'!$B$12))*COS(RADIANS('13_시나리오비교'!$C$12))+$I370*COS(RADIANS('13_시나리오비교'!$B$12))),0)</f>
        <v/>
      </c>
      <c r="X370" s="80">
        <f>IF($I370&gt;0,MAX(0,$G370*SIN(RADIANS('13_시나리오비교'!$B$13))*SIN(RADIANS('13_시나리오비교'!$C$13))+$H370*SIN(RADIANS('13_시나리오비교'!$B$13))*COS(RADIANS('13_시나리오비교'!$C$13))+$I370*COS(RADIANS('13_시나리오비교'!$B$13))),0)</f>
        <v/>
      </c>
      <c r="Y370" s="80">
        <f>IF($I370&gt;0,MAX(0,$G370*SIN(RADIANS('13_시나리오비교'!$B$14))*SIN(RADIANS('13_시나리오비교'!$C$14))+$H370*SIN(RADIANS('13_시나리오비교'!$B$14))*COS(RADIANS('13_시나리오비교'!$C$14))+$I370*COS(RADIANS('13_시나리오비교'!$B$14))),0)</f>
        <v/>
      </c>
    </row>
    <row r="371" hidden="1" outlineLevel="1">
      <c r="A371" s="79" t="n">
        <v>4</v>
      </c>
      <c r="B371" s="79" t="n">
        <v>63</v>
      </c>
      <c r="C371" s="80">
        <f>(B371-0.5)*'14_지역·상수'!$H$6</f>
        <v/>
      </c>
      <c r="D371" s="79" t="n">
        <v>105</v>
      </c>
      <c r="E371" s="80">
        <f>INDEX($C$4:$C$15,MATCH(A371,$A$4:$A$15,0))</f>
        <v/>
      </c>
      <c r="F371" s="80">
        <f>15*(C371-12)</f>
        <v/>
      </c>
      <c r="G371" s="80">
        <f>-COS(RADIANS(E371))*SIN(RADIANS(F371))</f>
        <v/>
      </c>
      <c r="H371" s="80">
        <f>COS(RADIANS('11_발전량_모델'!$B$17))*SIN(RADIANS(E371))-SIN(RADIANS('11_발전량_모델'!$B$17))*COS(RADIANS(E371))*COS(RADIANS(F371))</f>
        <v/>
      </c>
      <c r="I371" s="80">
        <f>SIN(RADIANS('11_발전량_모델'!$B$17))*SIN(RADIANS(E371))+COS(RADIANS('11_발전량_모델'!$B$17))*COS(RADIANS(E371))*COS(RADIANS(F371))</f>
        <v/>
      </c>
      <c r="J371" s="80">
        <f>SIN(RADIANS('11_발전량_모델'!$B$7))*SIN(RADIANS('11_발전량_모델'!$B$8))</f>
        <v/>
      </c>
      <c r="K371" s="80">
        <f>SIN(RADIANS('11_발전량_모델'!$B$7))*COS(RADIANS('11_발전량_모델'!$B$8))</f>
        <v/>
      </c>
      <c r="L371" s="80">
        <f>COS(RADIANS('11_발전량_모델'!$B$7))</f>
        <v/>
      </c>
      <c r="M371" s="80">
        <f>G371*J371+H371*K371+I371*L371</f>
        <v/>
      </c>
      <c r="N371" s="80">
        <f>MAX(0,I371)</f>
        <v/>
      </c>
      <c r="O371" s="80">
        <f>IF(I371&gt;0,MAX(0,M371),0)</f>
        <v/>
      </c>
      <c r="P371" s="80">
        <f>IF($I371&gt;0,MAX(0,$G371*SIN(RADIANS('13_시나리오비교'!$B$5))*SIN(RADIANS('13_시나리오비교'!$C$5))+$H371*SIN(RADIANS('13_시나리오비교'!$B$5))*COS(RADIANS('13_시나리오비교'!$C$5))+$I371*COS(RADIANS('13_시나리오비교'!$B$5))),0)</f>
        <v/>
      </c>
      <c r="Q371" s="80">
        <f>IF($I371&gt;0,MAX(0,$G371*SIN(RADIANS('13_시나리오비교'!$B$6))*SIN(RADIANS('13_시나리오비교'!$C$6))+$H371*SIN(RADIANS('13_시나리오비교'!$B$6))*COS(RADIANS('13_시나리오비교'!$C$6))+$I371*COS(RADIANS('13_시나리오비교'!$B$6))),0)</f>
        <v/>
      </c>
      <c r="R371" s="80">
        <f>IF($I371&gt;0,MAX(0,$G371*SIN(RADIANS('13_시나리오비교'!$B$7))*SIN(RADIANS('13_시나리오비교'!$C$7))+$H371*SIN(RADIANS('13_시나리오비교'!$B$7))*COS(RADIANS('13_시나리오비교'!$C$7))+$I371*COS(RADIANS('13_시나리오비교'!$B$7))),0)</f>
        <v/>
      </c>
      <c r="S371" s="80">
        <f>IF($I371&gt;0,MAX(0,$G371*SIN(RADIANS('13_시나리오비교'!$B$8))*SIN(RADIANS('13_시나리오비교'!$C$8))+$H371*SIN(RADIANS('13_시나리오비교'!$B$8))*COS(RADIANS('13_시나리오비교'!$C$8))+$I371*COS(RADIANS('13_시나리오비교'!$B$8))),0)</f>
        <v/>
      </c>
      <c r="T371" s="80">
        <f>IF($I371&gt;0,MAX(0,$G371*SIN(RADIANS('13_시나리오비교'!$B$9))*SIN(RADIANS('13_시나리오비교'!$C$9))+$H371*SIN(RADIANS('13_시나리오비교'!$B$9))*COS(RADIANS('13_시나리오비교'!$C$9))+$I371*COS(RADIANS('13_시나리오비교'!$B$9))),0)</f>
        <v/>
      </c>
      <c r="U371" s="80">
        <f>IF($I371&gt;0,MAX(0,$G371*SIN(RADIANS('13_시나리오비교'!$B$10))*SIN(RADIANS('13_시나리오비교'!$C$10))+$H371*SIN(RADIANS('13_시나리오비교'!$B$10))*COS(RADIANS('13_시나리오비교'!$C$10))+$I371*COS(RADIANS('13_시나리오비교'!$B$10))),0)</f>
        <v/>
      </c>
      <c r="V371" s="80">
        <f>IF($I371&gt;0,MAX(0,$G371*SIN(RADIANS('13_시나리오비교'!$B$11))*SIN(RADIANS('13_시나리오비교'!$C$11))+$H371*SIN(RADIANS('13_시나리오비교'!$B$11))*COS(RADIANS('13_시나리오비교'!$C$11))+$I371*COS(RADIANS('13_시나리오비교'!$B$11))),0)</f>
        <v/>
      </c>
      <c r="W371" s="80">
        <f>IF($I371&gt;0,MAX(0,$G371*SIN(RADIANS('13_시나리오비교'!$B$12))*SIN(RADIANS('13_시나리오비교'!$C$12))+$H371*SIN(RADIANS('13_시나리오비교'!$B$12))*COS(RADIANS('13_시나리오비교'!$C$12))+$I371*COS(RADIANS('13_시나리오비교'!$B$12))),0)</f>
        <v/>
      </c>
      <c r="X371" s="80">
        <f>IF($I371&gt;0,MAX(0,$G371*SIN(RADIANS('13_시나리오비교'!$B$13))*SIN(RADIANS('13_시나리오비교'!$C$13))+$H371*SIN(RADIANS('13_시나리오비교'!$B$13))*COS(RADIANS('13_시나리오비교'!$C$13))+$I371*COS(RADIANS('13_시나리오비교'!$B$13))),0)</f>
        <v/>
      </c>
      <c r="Y371" s="80">
        <f>IF($I371&gt;0,MAX(0,$G371*SIN(RADIANS('13_시나리오비교'!$B$14))*SIN(RADIANS('13_시나리오비교'!$C$14))+$H371*SIN(RADIANS('13_시나리오비교'!$B$14))*COS(RADIANS('13_시나리오비교'!$C$14))+$I371*COS(RADIANS('13_시나리오비교'!$B$14))),0)</f>
        <v/>
      </c>
    </row>
    <row r="372" hidden="1" outlineLevel="1">
      <c r="A372" s="79" t="n">
        <v>4</v>
      </c>
      <c r="B372" s="79" t="n">
        <v>64</v>
      </c>
      <c r="C372" s="80">
        <f>(B372-0.5)*'14_지역·상수'!$H$6</f>
        <v/>
      </c>
      <c r="D372" s="79" t="n">
        <v>105</v>
      </c>
      <c r="E372" s="80">
        <f>INDEX($C$4:$C$15,MATCH(A372,$A$4:$A$15,0))</f>
        <v/>
      </c>
      <c r="F372" s="80">
        <f>15*(C372-12)</f>
        <v/>
      </c>
      <c r="G372" s="80">
        <f>-COS(RADIANS(E372))*SIN(RADIANS(F372))</f>
        <v/>
      </c>
      <c r="H372" s="80">
        <f>COS(RADIANS('11_발전량_모델'!$B$17))*SIN(RADIANS(E372))-SIN(RADIANS('11_발전량_모델'!$B$17))*COS(RADIANS(E372))*COS(RADIANS(F372))</f>
        <v/>
      </c>
      <c r="I372" s="80">
        <f>SIN(RADIANS('11_발전량_모델'!$B$17))*SIN(RADIANS(E372))+COS(RADIANS('11_발전량_모델'!$B$17))*COS(RADIANS(E372))*COS(RADIANS(F372))</f>
        <v/>
      </c>
      <c r="J372" s="80">
        <f>SIN(RADIANS('11_발전량_모델'!$B$7))*SIN(RADIANS('11_발전량_모델'!$B$8))</f>
        <v/>
      </c>
      <c r="K372" s="80">
        <f>SIN(RADIANS('11_발전량_모델'!$B$7))*COS(RADIANS('11_발전량_모델'!$B$8))</f>
        <v/>
      </c>
      <c r="L372" s="80">
        <f>COS(RADIANS('11_발전량_모델'!$B$7))</f>
        <v/>
      </c>
      <c r="M372" s="80">
        <f>G372*J372+H372*K372+I372*L372</f>
        <v/>
      </c>
      <c r="N372" s="80">
        <f>MAX(0,I372)</f>
        <v/>
      </c>
      <c r="O372" s="80">
        <f>IF(I372&gt;0,MAX(0,M372),0)</f>
        <v/>
      </c>
      <c r="P372" s="80">
        <f>IF($I372&gt;0,MAX(0,$G372*SIN(RADIANS('13_시나리오비교'!$B$5))*SIN(RADIANS('13_시나리오비교'!$C$5))+$H372*SIN(RADIANS('13_시나리오비교'!$B$5))*COS(RADIANS('13_시나리오비교'!$C$5))+$I372*COS(RADIANS('13_시나리오비교'!$B$5))),0)</f>
        <v/>
      </c>
      <c r="Q372" s="80">
        <f>IF($I372&gt;0,MAX(0,$G372*SIN(RADIANS('13_시나리오비교'!$B$6))*SIN(RADIANS('13_시나리오비교'!$C$6))+$H372*SIN(RADIANS('13_시나리오비교'!$B$6))*COS(RADIANS('13_시나리오비교'!$C$6))+$I372*COS(RADIANS('13_시나리오비교'!$B$6))),0)</f>
        <v/>
      </c>
      <c r="R372" s="80">
        <f>IF($I372&gt;0,MAX(0,$G372*SIN(RADIANS('13_시나리오비교'!$B$7))*SIN(RADIANS('13_시나리오비교'!$C$7))+$H372*SIN(RADIANS('13_시나리오비교'!$B$7))*COS(RADIANS('13_시나리오비교'!$C$7))+$I372*COS(RADIANS('13_시나리오비교'!$B$7))),0)</f>
        <v/>
      </c>
      <c r="S372" s="80">
        <f>IF($I372&gt;0,MAX(0,$G372*SIN(RADIANS('13_시나리오비교'!$B$8))*SIN(RADIANS('13_시나리오비교'!$C$8))+$H372*SIN(RADIANS('13_시나리오비교'!$B$8))*COS(RADIANS('13_시나리오비교'!$C$8))+$I372*COS(RADIANS('13_시나리오비교'!$B$8))),0)</f>
        <v/>
      </c>
      <c r="T372" s="80">
        <f>IF($I372&gt;0,MAX(0,$G372*SIN(RADIANS('13_시나리오비교'!$B$9))*SIN(RADIANS('13_시나리오비교'!$C$9))+$H372*SIN(RADIANS('13_시나리오비교'!$B$9))*COS(RADIANS('13_시나리오비교'!$C$9))+$I372*COS(RADIANS('13_시나리오비교'!$B$9))),0)</f>
        <v/>
      </c>
      <c r="U372" s="80">
        <f>IF($I372&gt;0,MAX(0,$G372*SIN(RADIANS('13_시나리오비교'!$B$10))*SIN(RADIANS('13_시나리오비교'!$C$10))+$H372*SIN(RADIANS('13_시나리오비교'!$B$10))*COS(RADIANS('13_시나리오비교'!$C$10))+$I372*COS(RADIANS('13_시나리오비교'!$B$10))),0)</f>
        <v/>
      </c>
      <c r="V372" s="80">
        <f>IF($I372&gt;0,MAX(0,$G372*SIN(RADIANS('13_시나리오비교'!$B$11))*SIN(RADIANS('13_시나리오비교'!$C$11))+$H372*SIN(RADIANS('13_시나리오비교'!$B$11))*COS(RADIANS('13_시나리오비교'!$C$11))+$I372*COS(RADIANS('13_시나리오비교'!$B$11))),0)</f>
        <v/>
      </c>
      <c r="W372" s="80">
        <f>IF($I372&gt;0,MAX(0,$G372*SIN(RADIANS('13_시나리오비교'!$B$12))*SIN(RADIANS('13_시나리오비교'!$C$12))+$H372*SIN(RADIANS('13_시나리오비교'!$B$12))*COS(RADIANS('13_시나리오비교'!$C$12))+$I372*COS(RADIANS('13_시나리오비교'!$B$12))),0)</f>
        <v/>
      </c>
      <c r="X372" s="80">
        <f>IF($I372&gt;0,MAX(0,$G372*SIN(RADIANS('13_시나리오비교'!$B$13))*SIN(RADIANS('13_시나리오비교'!$C$13))+$H372*SIN(RADIANS('13_시나리오비교'!$B$13))*COS(RADIANS('13_시나리오비교'!$C$13))+$I372*COS(RADIANS('13_시나리오비교'!$B$13))),0)</f>
        <v/>
      </c>
      <c r="Y372" s="80">
        <f>IF($I372&gt;0,MAX(0,$G372*SIN(RADIANS('13_시나리오비교'!$B$14))*SIN(RADIANS('13_시나리오비교'!$C$14))+$H372*SIN(RADIANS('13_시나리오비교'!$B$14))*COS(RADIANS('13_시나리오비교'!$C$14))+$I372*COS(RADIANS('13_시나리오비교'!$B$14))),0)</f>
        <v/>
      </c>
    </row>
    <row r="373" hidden="1" outlineLevel="1">
      <c r="A373" s="79" t="n">
        <v>4</v>
      </c>
      <c r="B373" s="79" t="n">
        <v>65</v>
      </c>
      <c r="C373" s="80">
        <f>(B373-0.5)*'14_지역·상수'!$H$6</f>
        <v/>
      </c>
      <c r="D373" s="79" t="n">
        <v>105</v>
      </c>
      <c r="E373" s="80">
        <f>INDEX($C$4:$C$15,MATCH(A373,$A$4:$A$15,0))</f>
        <v/>
      </c>
      <c r="F373" s="80">
        <f>15*(C373-12)</f>
        <v/>
      </c>
      <c r="G373" s="80">
        <f>-COS(RADIANS(E373))*SIN(RADIANS(F373))</f>
        <v/>
      </c>
      <c r="H373" s="80">
        <f>COS(RADIANS('11_발전량_모델'!$B$17))*SIN(RADIANS(E373))-SIN(RADIANS('11_발전량_모델'!$B$17))*COS(RADIANS(E373))*COS(RADIANS(F373))</f>
        <v/>
      </c>
      <c r="I373" s="80">
        <f>SIN(RADIANS('11_발전량_모델'!$B$17))*SIN(RADIANS(E373))+COS(RADIANS('11_발전량_모델'!$B$17))*COS(RADIANS(E373))*COS(RADIANS(F373))</f>
        <v/>
      </c>
      <c r="J373" s="80">
        <f>SIN(RADIANS('11_발전량_모델'!$B$7))*SIN(RADIANS('11_발전량_모델'!$B$8))</f>
        <v/>
      </c>
      <c r="K373" s="80">
        <f>SIN(RADIANS('11_발전량_모델'!$B$7))*COS(RADIANS('11_발전량_모델'!$B$8))</f>
        <v/>
      </c>
      <c r="L373" s="80">
        <f>COS(RADIANS('11_발전량_모델'!$B$7))</f>
        <v/>
      </c>
      <c r="M373" s="80">
        <f>G373*J373+H373*K373+I373*L373</f>
        <v/>
      </c>
      <c r="N373" s="80">
        <f>MAX(0,I373)</f>
        <v/>
      </c>
      <c r="O373" s="80">
        <f>IF(I373&gt;0,MAX(0,M373),0)</f>
        <v/>
      </c>
      <c r="P373" s="80">
        <f>IF($I373&gt;0,MAX(0,$G373*SIN(RADIANS('13_시나리오비교'!$B$5))*SIN(RADIANS('13_시나리오비교'!$C$5))+$H373*SIN(RADIANS('13_시나리오비교'!$B$5))*COS(RADIANS('13_시나리오비교'!$C$5))+$I373*COS(RADIANS('13_시나리오비교'!$B$5))),0)</f>
        <v/>
      </c>
      <c r="Q373" s="80">
        <f>IF($I373&gt;0,MAX(0,$G373*SIN(RADIANS('13_시나리오비교'!$B$6))*SIN(RADIANS('13_시나리오비교'!$C$6))+$H373*SIN(RADIANS('13_시나리오비교'!$B$6))*COS(RADIANS('13_시나리오비교'!$C$6))+$I373*COS(RADIANS('13_시나리오비교'!$B$6))),0)</f>
        <v/>
      </c>
      <c r="R373" s="80">
        <f>IF($I373&gt;0,MAX(0,$G373*SIN(RADIANS('13_시나리오비교'!$B$7))*SIN(RADIANS('13_시나리오비교'!$C$7))+$H373*SIN(RADIANS('13_시나리오비교'!$B$7))*COS(RADIANS('13_시나리오비교'!$C$7))+$I373*COS(RADIANS('13_시나리오비교'!$B$7))),0)</f>
        <v/>
      </c>
      <c r="S373" s="80">
        <f>IF($I373&gt;0,MAX(0,$G373*SIN(RADIANS('13_시나리오비교'!$B$8))*SIN(RADIANS('13_시나리오비교'!$C$8))+$H373*SIN(RADIANS('13_시나리오비교'!$B$8))*COS(RADIANS('13_시나리오비교'!$C$8))+$I373*COS(RADIANS('13_시나리오비교'!$B$8))),0)</f>
        <v/>
      </c>
      <c r="T373" s="80">
        <f>IF($I373&gt;0,MAX(0,$G373*SIN(RADIANS('13_시나리오비교'!$B$9))*SIN(RADIANS('13_시나리오비교'!$C$9))+$H373*SIN(RADIANS('13_시나리오비교'!$B$9))*COS(RADIANS('13_시나리오비교'!$C$9))+$I373*COS(RADIANS('13_시나리오비교'!$B$9))),0)</f>
        <v/>
      </c>
      <c r="U373" s="80">
        <f>IF($I373&gt;0,MAX(0,$G373*SIN(RADIANS('13_시나리오비교'!$B$10))*SIN(RADIANS('13_시나리오비교'!$C$10))+$H373*SIN(RADIANS('13_시나리오비교'!$B$10))*COS(RADIANS('13_시나리오비교'!$C$10))+$I373*COS(RADIANS('13_시나리오비교'!$B$10))),0)</f>
        <v/>
      </c>
      <c r="V373" s="80">
        <f>IF($I373&gt;0,MAX(0,$G373*SIN(RADIANS('13_시나리오비교'!$B$11))*SIN(RADIANS('13_시나리오비교'!$C$11))+$H373*SIN(RADIANS('13_시나리오비교'!$B$11))*COS(RADIANS('13_시나리오비교'!$C$11))+$I373*COS(RADIANS('13_시나리오비교'!$B$11))),0)</f>
        <v/>
      </c>
      <c r="W373" s="80">
        <f>IF($I373&gt;0,MAX(0,$G373*SIN(RADIANS('13_시나리오비교'!$B$12))*SIN(RADIANS('13_시나리오비교'!$C$12))+$H373*SIN(RADIANS('13_시나리오비교'!$B$12))*COS(RADIANS('13_시나리오비교'!$C$12))+$I373*COS(RADIANS('13_시나리오비교'!$B$12))),0)</f>
        <v/>
      </c>
      <c r="X373" s="80">
        <f>IF($I373&gt;0,MAX(0,$G373*SIN(RADIANS('13_시나리오비교'!$B$13))*SIN(RADIANS('13_시나리오비교'!$C$13))+$H373*SIN(RADIANS('13_시나리오비교'!$B$13))*COS(RADIANS('13_시나리오비교'!$C$13))+$I373*COS(RADIANS('13_시나리오비교'!$B$13))),0)</f>
        <v/>
      </c>
      <c r="Y373" s="80">
        <f>IF($I373&gt;0,MAX(0,$G373*SIN(RADIANS('13_시나리오비교'!$B$14))*SIN(RADIANS('13_시나리오비교'!$C$14))+$H373*SIN(RADIANS('13_시나리오비교'!$B$14))*COS(RADIANS('13_시나리오비교'!$C$14))+$I373*COS(RADIANS('13_시나리오비교'!$B$14))),0)</f>
        <v/>
      </c>
    </row>
    <row r="374" hidden="1" outlineLevel="1">
      <c r="A374" s="79" t="n">
        <v>4</v>
      </c>
      <c r="B374" s="79" t="n">
        <v>66</v>
      </c>
      <c r="C374" s="80">
        <f>(B374-0.5)*'14_지역·상수'!$H$6</f>
        <v/>
      </c>
      <c r="D374" s="79" t="n">
        <v>105</v>
      </c>
      <c r="E374" s="80">
        <f>INDEX($C$4:$C$15,MATCH(A374,$A$4:$A$15,0))</f>
        <v/>
      </c>
      <c r="F374" s="80">
        <f>15*(C374-12)</f>
        <v/>
      </c>
      <c r="G374" s="80">
        <f>-COS(RADIANS(E374))*SIN(RADIANS(F374))</f>
        <v/>
      </c>
      <c r="H374" s="80">
        <f>COS(RADIANS('11_발전량_모델'!$B$17))*SIN(RADIANS(E374))-SIN(RADIANS('11_발전량_모델'!$B$17))*COS(RADIANS(E374))*COS(RADIANS(F374))</f>
        <v/>
      </c>
      <c r="I374" s="80">
        <f>SIN(RADIANS('11_발전량_모델'!$B$17))*SIN(RADIANS(E374))+COS(RADIANS('11_발전량_모델'!$B$17))*COS(RADIANS(E374))*COS(RADIANS(F374))</f>
        <v/>
      </c>
      <c r="J374" s="80">
        <f>SIN(RADIANS('11_발전량_모델'!$B$7))*SIN(RADIANS('11_발전량_모델'!$B$8))</f>
        <v/>
      </c>
      <c r="K374" s="80">
        <f>SIN(RADIANS('11_발전량_모델'!$B$7))*COS(RADIANS('11_발전량_모델'!$B$8))</f>
        <v/>
      </c>
      <c r="L374" s="80">
        <f>COS(RADIANS('11_발전량_모델'!$B$7))</f>
        <v/>
      </c>
      <c r="M374" s="80">
        <f>G374*J374+H374*K374+I374*L374</f>
        <v/>
      </c>
      <c r="N374" s="80">
        <f>MAX(0,I374)</f>
        <v/>
      </c>
      <c r="O374" s="80">
        <f>IF(I374&gt;0,MAX(0,M374),0)</f>
        <v/>
      </c>
      <c r="P374" s="80">
        <f>IF($I374&gt;0,MAX(0,$G374*SIN(RADIANS('13_시나리오비교'!$B$5))*SIN(RADIANS('13_시나리오비교'!$C$5))+$H374*SIN(RADIANS('13_시나리오비교'!$B$5))*COS(RADIANS('13_시나리오비교'!$C$5))+$I374*COS(RADIANS('13_시나리오비교'!$B$5))),0)</f>
        <v/>
      </c>
      <c r="Q374" s="80">
        <f>IF($I374&gt;0,MAX(0,$G374*SIN(RADIANS('13_시나리오비교'!$B$6))*SIN(RADIANS('13_시나리오비교'!$C$6))+$H374*SIN(RADIANS('13_시나리오비교'!$B$6))*COS(RADIANS('13_시나리오비교'!$C$6))+$I374*COS(RADIANS('13_시나리오비교'!$B$6))),0)</f>
        <v/>
      </c>
      <c r="R374" s="80">
        <f>IF($I374&gt;0,MAX(0,$G374*SIN(RADIANS('13_시나리오비교'!$B$7))*SIN(RADIANS('13_시나리오비교'!$C$7))+$H374*SIN(RADIANS('13_시나리오비교'!$B$7))*COS(RADIANS('13_시나리오비교'!$C$7))+$I374*COS(RADIANS('13_시나리오비교'!$B$7))),0)</f>
        <v/>
      </c>
      <c r="S374" s="80">
        <f>IF($I374&gt;0,MAX(0,$G374*SIN(RADIANS('13_시나리오비교'!$B$8))*SIN(RADIANS('13_시나리오비교'!$C$8))+$H374*SIN(RADIANS('13_시나리오비교'!$B$8))*COS(RADIANS('13_시나리오비교'!$C$8))+$I374*COS(RADIANS('13_시나리오비교'!$B$8))),0)</f>
        <v/>
      </c>
      <c r="T374" s="80">
        <f>IF($I374&gt;0,MAX(0,$G374*SIN(RADIANS('13_시나리오비교'!$B$9))*SIN(RADIANS('13_시나리오비교'!$C$9))+$H374*SIN(RADIANS('13_시나리오비교'!$B$9))*COS(RADIANS('13_시나리오비교'!$C$9))+$I374*COS(RADIANS('13_시나리오비교'!$B$9))),0)</f>
        <v/>
      </c>
      <c r="U374" s="80">
        <f>IF($I374&gt;0,MAX(0,$G374*SIN(RADIANS('13_시나리오비교'!$B$10))*SIN(RADIANS('13_시나리오비교'!$C$10))+$H374*SIN(RADIANS('13_시나리오비교'!$B$10))*COS(RADIANS('13_시나리오비교'!$C$10))+$I374*COS(RADIANS('13_시나리오비교'!$B$10))),0)</f>
        <v/>
      </c>
      <c r="V374" s="80">
        <f>IF($I374&gt;0,MAX(0,$G374*SIN(RADIANS('13_시나리오비교'!$B$11))*SIN(RADIANS('13_시나리오비교'!$C$11))+$H374*SIN(RADIANS('13_시나리오비교'!$B$11))*COS(RADIANS('13_시나리오비교'!$C$11))+$I374*COS(RADIANS('13_시나리오비교'!$B$11))),0)</f>
        <v/>
      </c>
      <c r="W374" s="80">
        <f>IF($I374&gt;0,MAX(0,$G374*SIN(RADIANS('13_시나리오비교'!$B$12))*SIN(RADIANS('13_시나리오비교'!$C$12))+$H374*SIN(RADIANS('13_시나리오비교'!$B$12))*COS(RADIANS('13_시나리오비교'!$C$12))+$I374*COS(RADIANS('13_시나리오비교'!$B$12))),0)</f>
        <v/>
      </c>
      <c r="X374" s="80">
        <f>IF($I374&gt;0,MAX(0,$G374*SIN(RADIANS('13_시나리오비교'!$B$13))*SIN(RADIANS('13_시나리오비교'!$C$13))+$H374*SIN(RADIANS('13_시나리오비교'!$B$13))*COS(RADIANS('13_시나리오비교'!$C$13))+$I374*COS(RADIANS('13_시나리오비교'!$B$13))),0)</f>
        <v/>
      </c>
      <c r="Y374" s="80">
        <f>IF($I374&gt;0,MAX(0,$G374*SIN(RADIANS('13_시나리오비교'!$B$14))*SIN(RADIANS('13_시나리오비교'!$C$14))+$H374*SIN(RADIANS('13_시나리오비교'!$B$14))*COS(RADIANS('13_시나리오비교'!$C$14))+$I374*COS(RADIANS('13_시나리오비교'!$B$14))),0)</f>
        <v/>
      </c>
    </row>
    <row r="375" hidden="1" outlineLevel="1">
      <c r="A375" s="79" t="n">
        <v>4</v>
      </c>
      <c r="B375" s="79" t="n">
        <v>67</v>
      </c>
      <c r="C375" s="80">
        <f>(B375-0.5)*'14_지역·상수'!$H$6</f>
        <v/>
      </c>
      <c r="D375" s="79" t="n">
        <v>105</v>
      </c>
      <c r="E375" s="80">
        <f>INDEX($C$4:$C$15,MATCH(A375,$A$4:$A$15,0))</f>
        <v/>
      </c>
      <c r="F375" s="80">
        <f>15*(C375-12)</f>
        <v/>
      </c>
      <c r="G375" s="80">
        <f>-COS(RADIANS(E375))*SIN(RADIANS(F375))</f>
        <v/>
      </c>
      <c r="H375" s="80">
        <f>COS(RADIANS('11_발전량_모델'!$B$17))*SIN(RADIANS(E375))-SIN(RADIANS('11_발전량_모델'!$B$17))*COS(RADIANS(E375))*COS(RADIANS(F375))</f>
        <v/>
      </c>
      <c r="I375" s="80">
        <f>SIN(RADIANS('11_발전량_모델'!$B$17))*SIN(RADIANS(E375))+COS(RADIANS('11_발전량_모델'!$B$17))*COS(RADIANS(E375))*COS(RADIANS(F375))</f>
        <v/>
      </c>
      <c r="J375" s="80">
        <f>SIN(RADIANS('11_발전량_모델'!$B$7))*SIN(RADIANS('11_발전량_모델'!$B$8))</f>
        <v/>
      </c>
      <c r="K375" s="80">
        <f>SIN(RADIANS('11_발전량_모델'!$B$7))*COS(RADIANS('11_발전량_모델'!$B$8))</f>
        <v/>
      </c>
      <c r="L375" s="80">
        <f>COS(RADIANS('11_발전량_모델'!$B$7))</f>
        <v/>
      </c>
      <c r="M375" s="80">
        <f>G375*J375+H375*K375+I375*L375</f>
        <v/>
      </c>
      <c r="N375" s="80">
        <f>MAX(0,I375)</f>
        <v/>
      </c>
      <c r="O375" s="80">
        <f>IF(I375&gt;0,MAX(0,M375),0)</f>
        <v/>
      </c>
      <c r="P375" s="80">
        <f>IF($I375&gt;0,MAX(0,$G375*SIN(RADIANS('13_시나리오비교'!$B$5))*SIN(RADIANS('13_시나리오비교'!$C$5))+$H375*SIN(RADIANS('13_시나리오비교'!$B$5))*COS(RADIANS('13_시나리오비교'!$C$5))+$I375*COS(RADIANS('13_시나리오비교'!$B$5))),0)</f>
        <v/>
      </c>
      <c r="Q375" s="80">
        <f>IF($I375&gt;0,MAX(0,$G375*SIN(RADIANS('13_시나리오비교'!$B$6))*SIN(RADIANS('13_시나리오비교'!$C$6))+$H375*SIN(RADIANS('13_시나리오비교'!$B$6))*COS(RADIANS('13_시나리오비교'!$C$6))+$I375*COS(RADIANS('13_시나리오비교'!$B$6))),0)</f>
        <v/>
      </c>
      <c r="R375" s="80">
        <f>IF($I375&gt;0,MAX(0,$G375*SIN(RADIANS('13_시나리오비교'!$B$7))*SIN(RADIANS('13_시나리오비교'!$C$7))+$H375*SIN(RADIANS('13_시나리오비교'!$B$7))*COS(RADIANS('13_시나리오비교'!$C$7))+$I375*COS(RADIANS('13_시나리오비교'!$B$7))),0)</f>
        <v/>
      </c>
      <c r="S375" s="80">
        <f>IF($I375&gt;0,MAX(0,$G375*SIN(RADIANS('13_시나리오비교'!$B$8))*SIN(RADIANS('13_시나리오비교'!$C$8))+$H375*SIN(RADIANS('13_시나리오비교'!$B$8))*COS(RADIANS('13_시나리오비교'!$C$8))+$I375*COS(RADIANS('13_시나리오비교'!$B$8))),0)</f>
        <v/>
      </c>
      <c r="T375" s="80">
        <f>IF($I375&gt;0,MAX(0,$G375*SIN(RADIANS('13_시나리오비교'!$B$9))*SIN(RADIANS('13_시나리오비교'!$C$9))+$H375*SIN(RADIANS('13_시나리오비교'!$B$9))*COS(RADIANS('13_시나리오비교'!$C$9))+$I375*COS(RADIANS('13_시나리오비교'!$B$9))),0)</f>
        <v/>
      </c>
      <c r="U375" s="80">
        <f>IF($I375&gt;0,MAX(0,$G375*SIN(RADIANS('13_시나리오비교'!$B$10))*SIN(RADIANS('13_시나리오비교'!$C$10))+$H375*SIN(RADIANS('13_시나리오비교'!$B$10))*COS(RADIANS('13_시나리오비교'!$C$10))+$I375*COS(RADIANS('13_시나리오비교'!$B$10))),0)</f>
        <v/>
      </c>
      <c r="V375" s="80">
        <f>IF($I375&gt;0,MAX(0,$G375*SIN(RADIANS('13_시나리오비교'!$B$11))*SIN(RADIANS('13_시나리오비교'!$C$11))+$H375*SIN(RADIANS('13_시나리오비교'!$B$11))*COS(RADIANS('13_시나리오비교'!$C$11))+$I375*COS(RADIANS('13_시나리오비교'!$B$11))),0)</f>
        <v/>
      </c>
      <c r="W375" s="80">
        <f>IF($I375&gt;0,MAX(0,$G375*SIN(RADIANS('13_시나리오비교'!$B$12))*SIN(RADIANS('13_시나리오비교'!$C$12))+$H375*SIN(RADIANS('13_시나리오비교'!$B$12))*COS(RADIANS('13_시나리오비교'!$C$12))+$I375*COS(RADIANS('13_시나리오비교'!$B$12))),0)</f>
        <v/>
      </c>
      <c r="X375" s="80">
        <f>IF($I375&gt;0,MAX(0,$G375*SIN(RADIANS('13_시나리오비교'!$B$13))*SIN(RADIANS('13_시나리오비교'!$C$13))+$H375*SIN(RADIANS('13_시나리오비교'!$B$13))*COS(RADIANS('13_시나리오비교'!$C$13))+$I375*COS(RADIANS('13_시나리오비교'!$B$13))),0)</f>
        <v/>
      </c>
      <c r="Y375" s="80">
        <f>IF($I375&gt;0,MAX(0,$G375*SIN(RADIANS('13_시나리오비교'!$B$14))*SIN(RADIANS('13_시나리오비교'!$C$14))+$H375*SIN(RADIANS('13_시나리오비교'!$B$14))*COS(RADIANS('13_시나리오비교'!$C$14))+$I375*COS(RADIANS('13_시나리오비교'!$B$14))),0)</f>
        <v/>
      </c>
    </row>
    <row r="376" hidden="1" outlineLevel="1">
      <c r="A376" s="79" t="n">
        <v>4</v>
      </c>
      <c r="B376" s="79" t="n">
        <v>68</v>
      </c>
      <c r="C376" s="80">
        <f>(B376-0.5)*'14_지역·상수'!$H$6</f>
        <v/>
      </c>
      <c r="D376" s="79" t="n">
        <v>105</v>
      </c>
      <c r="E376" s="80">
        <f>INDEX($C$4:$C$15,MATCH(A376,$A$4:$A$15,0))</f>
        <v/>
      </c>
      <c r="F376" s="80">
        <f>15*(C376-12)</f>
        <v/>
      </c>
      <c r="G376" s="80">
        <f>-COS(RADIANS(E376))*SIN(RADIANS(F376))</f>
        <v/>
      </c>
      <c r="H376" s="80">
        <f>COS(RADIANS('11_발전량_모델'!$B$17))*SIN(RADIANS(E376))-SIN(RADIANS('11_발전량_모델'!$B$17))*COS(RADIANS(E376))*COS(RADIANS(F376))</f>
        <v/>
      </c>
      <c r="I376" s="80">
        <f>SIN(RADIANS('11_발전량_모델'!$B$17))*SIN(RADIANS(E376))+COS(RADIANS('11_발전량_모델'!$B$17))*COS(RADIANS(E376))*COS(RADIANS(F376))</f>
        <v/>
      </c>
      <c r="J376" s="80">
        <f>SIN(RADIANS('11_발전량_모델'!$B$7))*SIN(RADIANS('11_발전량_모델'!$B$8))</f>
        <v/>
      </c>
      <c r="K376" s="80">
        <f>SIN(RADIANS('11_발전량_모델'!$B$7))*COS(RADIANS('11_발전량_모델'!$B$8))</f>
        <v/>
      </c>
      <c r="L376" s="80">
        <f>COS(RADIANS('11_발전량_모델'!$B$7))</f>
        <v/>
      </c>
      <c r="M376" s="80">
        <f>G376*J376+H376*K376+I376*L376</f>
        <v/>
      </c>
      <c r="N376" s="80">
        <f>MAX(0,I376)</f>
        <v/>
      </c>
      <c r="O376" s="80">
        <f>IF(I376&gt;0,MAX(0,M376),0)</f>
        <v/>
      </c>
      <c r="P376" s="80">
        <f>IF($I376&gt;0,MAX(0,$G376*SIN(RADIANS('13_시나리오비교'!$B$5))*SIN(RADIANS('13_시나리오비교'!$C$5))+$H376*SIN(RADIANS('13_시나리오비교'!$B$5))*COS(RADIANS('13_시나리오비교'!$C$5))+$I376*COS(RADIANS('13_시나리오비교'!$B$5))),0)</f>
        <v/>
      </c>
      <c r="Q376" s="80">
        <f>IF($I376&gt;0,MAX(0,$G376*SIN(RADIANS('13_시나리오비교'!$B$6))*SIN(RADIANS('13_시나리오비교'!$C$6))+$H376*SIN(RADIANS('13_시나리오비교'!$B$6))*COS(RADIANS('13_시나리오비교'!$C$6))+$I376*COS(RADIANS('13_시나리오비교'!$B$6))),0)</f>
        <v/>
      </c>
      <c r="R376" s="80">
        <f>IF($I376&gt;0,MAX(0,$G376*SIN(RADIANS('13_시나리오비교'!$B$7))*SIN(RADIANS('13_시나리오비교'!$C$7))+$H376*SIN(RADIANS('13_시나리오비교'!$B$7))*COS(RADIANS('13_시나리오비교'!$C$7))+$I376*COS(RADIANS('13_시나리오비교'!$B$7))),0)</f>
        <v/>
      </c>
      <c r="S376" s="80">
        <f>IF($I376&gt;0,MAX(0,$G376*SIN(RADIANS('13_시나리오비교'!$B$8))*SIN(RADIANS('13_시나리오비교'!$C$8))+$H376*SIN(RADIANS('13_시나리오비교'!$B$8))*COS(RADIANS('13_시나리오비교'!$C$8))+$I376*COS(RADIANS('13_시나리오비교'!$B$8))),0)</f>
        <v/>
      </c>
      <c r="T376" s="80">
        <f>IF($I376&gt;0,MAX(0,$G376*SIN(RADIANS('13_시나리오비교'!$B$9))*SIN(RADIANS('13_시나리오비교'!$C$9))+$H376*SIN(RADIANS('13_시나리오비교'!$B$9))*COS(RADIANS('13_시나리오비교'!$C$9))+$I376*COS(RADIANS('13_시나리오비교'!$B$9))),0)</f>
        <v/>
      </c>
      <c r="U376" s="80">
        <f>IF($I376&gt;0,MAX(0,$G376*SIN(RADIANS('13_시나리오비교'!$B$10))*SIN(RADIANS('13_시나리오비교'!$C$10))+$H376*SIN(RADIANS('13_시나리오비교'!$B$10))*COS(RADIANS('13_시나리오비교'!$C$10))+$I376*COS(RADIANS('13_시나리오비교'!$B$10))),0)</f>
        <v/>
      </c>
      <c r="V376" s="80">
        <f>IF($I376&gt;0,MAX(0,$G376*SIN(RADIANS('13_시나리오비교'!$B$11))*SIN(RADIANS('13_시나리오비교'!$C$11))+$H376*SIN(RADIANS('13_시나리오비교'!$B$11))*COS(RADIANS('13_시나리오비교'!$C$11))+$I376*COS(RADIANS('13_시나리오비교'!$B$11))),0)</f>
        <v/>
      </c>
      <c r="W376" s="80">
        <f>IF($I376&gt;0,MAX(0,$G376*SIN(RADIANS('13_시나리오비교'!$B$12))*SIN(RADIANS('13_시나리오비교'!$C$12))+$H376*SIN(RADIANS('13_시나리오비교'!$B$12))*COS(RADIANS('13_시나리오비교'!$C$12))+$I376*COS(RADIANS('13_시나리오비교'!$B$12))),0)</f>
        <v/>
      </c>
      <c r="X376" s="80">
        <f>IF($I376&gt;0,MAX(0,$G376*SIN(RADIANS('13_시나리오비교'!$B$13))*SIN(RADIANS('13_시나리오비교'!$C$13))+$H376*SIN(RADIANS('13_시나리오비교'!$B$13))*COS(RADIANS('13_시나리오비교'!$C$13))+$I376*COS(RADIANS('13_시나리오비교'!$B$13))),0)</f>
        <v/>
      </c>
      <c r="Y376" s="80">
        <f>IF($I376&gt;0,MAX(0,$G376*SIN(RADIANS('13_시나리오비교'!$B$14))*SIN(RADIANS('13_시나리오비교'!$C$14))+$H376*SIN(RADIANS('13_시나리오비교'!$B$14))*COS(RADIANS('13_시나리오비교'!$C$14))+$I376*COS(RADIANS('13_시나리오비교'!$B$14))),0)</f>
        <v/>
      </c>
    </row>
    <row r="377" hidden="1" outlineLevel="1">
      <c r="A377" s="79" t="n">
        <v>4</v>
      </c>
      <c r="B377" s="79" t="n">
        <v>69</v>
      </c>
      <c r="C377" s="80">
        <f>(B377-0.5)*'14_지역·상수'!$H$6</f>
        <v/>
      </c>
      <c r="D377" s="79" t="n">
        <v>105</v>
      </c>
      <c r="E377" s="80">
        <f>INDEX($C$4:$C$15,MATCH(A377,$A$4:$A$15,0))</f>
        <v/>
      </c>
      <c r="F377" s="80">
        <f>15*(C377-12)</f>
        <v/>
      </c>
      <c r="G377" s="80">
        <f>-COS(RADIANS(E377))*SIN(RADIANS(F377))</f>
        <v/>
      </c>
      <c r="H377" s="80">
        <f>COS(RADIANS('11_발전량_모델'!$B$17))*SIN(RADIANS(E377))-SIN(RADIANS('11_발전량_모델'!$B$17))*COS(RADIANS(E377))*COS(RADIANS(F377))</f>
        <v/>
      </c>
      <c r="I377" s="80">
        <f>SIN(RADIANS('11_발전량_모델'!$B$17))*SIN(RADIANS(E377))+COS(RADIANS('11_발전량_모델'!$B$17))*COS(RADIANS(E377))*COS(RADIANS(F377))</f>
        <v/>
      </c>
      <c r="J377" s="80">
        <f>SIN(RADIANS('11_발전량_모델'!$B$7))*SIN(RADIANS('11_발전량_모델'!$B$8))</f>
        <v/>
      </c>
      <c r="K377" s="80">
        <f>SIN(RADIANS('11_발전량_모델'!$B$7))*COS(RADIANS('11_발전량_모델'!$B$8))</f>
        <v/>
      </c>
      <c r="L377" s="80">
        <f>COS(RADIANS('11_발전량_모델'!$B$7))</f>
        <v/>
      </c>
      <c r="M377" s="80">
        <f>G377*J377+H377*K377+I377*L377</f>
        <v/>
      </c>
      <c r="N377" s="80">
        <f>MAX(0,I377)</f>
        <v/>
      </c>
      <c r="O377" s="80">
        <f>IF(I377&gt;0,MAX(0,M377),0)</f>
        <v/>
      </c>
      <c r="P377" s="80">
        <f>IF($I377&gt;0,MAX(0,$G377*SIN(RADIANS('13_시나리오비교'!$B$5))*SIN(RADIANS('13_시나리오비교'!$C$5))+$H377*SIN(RADIANS('13_시나리오비교'!$B$5))*COS(RADIANS('13_시나리오비교'!$C$5))+$I377*COS(RADIANS('13_시나리오비교'!$B$5))),0)</f>
        <v/>
      </c>
      <c r="Q377" s="80">
        <f>IF($I377&gt;0,MAX(0,$G377*SIN(RADIANS('13_시나리오비교'!$B$6))*SIN(RADIANS('13_시나리오비교'!$C$6))+$H377*SIN(RADIANS('13_시나리오비교'!$B$6))*COS(RADIANS('13_시나리오비교'!$C$6))+$I377*COS(RADIANS('13_시나리오비교'!$B$6))),0)</f>
        <v/>
      </c>
      <c r="R377" s="80">
        <f>IF($I377&gt;0,MAX(0,$G377*SIN(RADIANS('13_시나리오비교'!$B$7))*SIN(RADIANS('13_시나리오비교'!$C$7))+$H377*SIN(RADIANS('13_시나리오비교'!$B$7))*COS(RADIANS('13_시나리오비교'!$C$7))+$I377*COS(RADIANS('13_시나리오비교'!$B$7))),0)</f>
        <v/>
      </c>
      <c r="S377" s="80">
        <f>IF($I377&gt;0,MAX(0,$G377*SIN(RADIANS('13_시나리오비교'!$B$8))*SIN(RADIANS('13_시나리오비교'!$C$8))+$H377*SIN(RADIANS('13_시나리오비교'!$B$8))*COS(RADIANS('13_시나리오비교'!$C$8))+$I377*COS(RADIANS('13_시나리오비교'!$B$8))),0)</f>
        <v/>
      </c>
      <c r="T377" s="80">
        <f>IF($I377&gt;0,MAX(0,$G377*SIN(RADIANS('13_시나리오비교'!$B$9))*SIN(RADIANS('13_시나리오비교'!$C$9))+$H377*SIN(RADIANS('13_시나리오비교'!$B$9))*COS(RADIANS('13_시나리오비교'!$C$9))+$I377*COS(RADIANS('13_시나리오비교'!$B$9))),0)</f>
        <v/>
      </c>
      <c r="U377" s="80">
        <f>IF($I377&gt;0,MAX(0,$G377*SIN(RADIANS('13_시나리오비교'!$B$10))*SIN(RADIANS('13_시나리오비교'!$C$10))+$H377*SIN(RADIANS('13_시나리오비교'!$B$10))*COS(RADIANS('13_시나리오비교'!$C$10))+$I377*COS(RADIANS('13_시나리오비교'!$B$10))),0)</f>
        <v/>
      </c>
      <c r="V377" s="80">
        <f>IF($I377&gt;0,MAX(0,$G377*SIN(RADIANS('13_시나리오비교'!$B$11))*SIN(RADIANS('13_시나리오비교'!$C$11))+$H377*SIN(RADIANS('13_시나리오비교'!$B$11))*COS(RADIANS('13_시나리오비교'!$C$11))+$I377*COS(RADIANS('13_시나리오비교'!$B$11))),0)</f>
        <v/>
      </c>
      <c r="W377" s="80">
        <f>IF($I377&gt;0,MAX(0,$G377*SIN(RADIANS('13_시나리오비교'!$B$12))*SIN(RADIANS('13_시나리오비교'!$C$12))+$H377*SIN(RADIANS('13_시나리오비교'!$B$12))*COS(RADIANS('13_시나리오비교'!$C$12))+$I377*COS(RADIANS('13_시나리오비교'!$B$12))),0)</f>
        <v/>
      </c>
      <c r="X377" s="80">
        <f>IF($I377&gt;0,MAX(0,$G377*SIN(RADIANS('13_시나리오비교'!$B$13))*SIN(RADIANS('13_시나리오비교'!$C$13))+$H377*SIN(RADIANS('13_시나리오비교'!$B$13))*COS(RADIANS('13_시나리오비교'!$C$13))+$I377*COS(RADIANS('13_시나리오비교'!$B$13))),0)</f>
        <v/>
      </c>
      <c r="Y377" s="80">
        <f>IF($I377&gt;0,MAX(0,$G377*SIN(RADIANS('13_시나리오비교'!$B$14))*SIN(RADIANS('13_시나리오비교'!$C$14))+$H377*SIN(RADIANS('13_시나리오비교'!$B$14))*COS(RADIANS('13_시나리오비교'!$C$14))+$I377*COS(RADIANS('13_시나리오비교'!$B$14))),0)</f>
        <v/>
      </c>
    </row>
    <row r="378" hidden="1" outlineLevel="1">
      <c r="A378" s="79" t="n">
        <v>4</v>
      </c>
      <c r="B378" s="79" t="n">
        <v>70</v>
      </c>
      <c r="C378" s="80">
        <f>(B378-0.5)*'14_지역·상수'!$H$6</f>
        <v/>
      </c>
      <c r="D378" s="79" t="n">
        <v>105</v>
      </c>
      <c r="E378" s="80">
        <f>INDEX($C$4:$C$15,MATCH(A378,$A$4:$A$15,0))</f>
        <v/>
      </c>
      <c r="F378" s="80">
        <f>15*(C378-12)</f>
        <v/>
      </c>
      <c r="G378" s="80">
        <f>-COS(RADIANS(E378))*SIN(RADIANS(F378))</f>
        <v/>
      </c>
      <c r="H378" s="80">
        <f>COS(RADIANS('11_발전량_모델'!$B$17))*SIN(RADIANS(E378))-SIN(RADIANS('11_발전량_모델'!$B$17))*COS(RADIANS(E378))*COS(RADIANS(F378))</f>
        <v/>
      </c>
      <c r="I378" s="80">
        <f>SIN(RADIANS('11_발전량_모델'!$B$17))*SIN(RADIANS(E378))+COS(RADIANS('11_발전량_모델'!$B$17))*COS(RADIANS(E378))*COS(RADIANS(F378))</f>
        <v/>
      </c>
      <c r="J378" s="80">
        <f>SIN(RADIANS('11_발전량_모델'!$B$7))*SIN(RADIANS('11_발전량_모델'!$B$8))</f>
        <v/>
      </c>
      <c r="K378" s="80">
        <f>SIN(RADIANS('11_발전량_모델'!$B$7))*COS(RADIANS('11_발전량_모델'!$B$8))</f>
        <v/>
      </c>
      <c r="L378" s="80">
        <f>COS(RADIANS('11_발전량_모델'!$B$7))</f>
        <v/>
      </c>
      <c r="M378" s="80">
        <f>G378*J378+H378*K378+I378*L378</f>
        <v/>
      </c>
      <c r="N378" s="80">
        <f>MAX(0,I378)</f>
        <v/>
      </c>
      <c r="O378" s="80">
        <f>IF(I378&gt;0,MAX(0,M378),0)</f>
        <v/>
      </c>
      <c r="P378" s="80">
        <f>IF($I378&gt;0,MAX(0,$G378*SIN(RADIANS('13_시나리오비교'!$B$5))*SIN(RADIANS('13_시나리오비교'!$C$5))+$H378*SIN(RADIANS('13_시나리오비교'!$B$5))*COS(RADIANS('13_시나리오비교'!$C$5))+$I378*COS(RADIANS('13_시나리오비교'!$B$5))),0)</f>
        <v/>
      </c>
      <c r="Q378" s="80">
        <f>IF($I378&gt;0,MAX(0,$G378*SIN(RADIANS('13_시나리오비교'!$B$6))*SIN(RADIANS('13_시나리오비교'!$C$6))+$H378*SIN(RADIANS('13_시나리오비교'!$B$6))*COS(RADIANS('13_시나리오비교'!$C$6))+$I378*COS(RADIANS('13_시나리오비교'!$B$6))),0)</f>
        <v/>
      </c>
      <c r="R378" s="80">
        <f>IF($I378&gt;0,MAX(0,$G378*SIN(RADIANS('13_시나리오비교'!$B$7))*SIN(RADIANS('13_시나리오비교'!$C$7))+$H378*SIN(RADIANS('13_시나리오비교'!$B$7))*COS(RADIANS('13_시나리오비교'!$C$7))+$I378*COS(RADIANS('13_시나리오비교'!$B$7))),0)</f>
        <v/>
      </c>
      <c r="S378" s="80">
        <f>IF($I378&gt;0,MAX(0,$G378*SIN(RADIANS('13_시나리오비교'!$B$8))*SIN(RADIANS('13_시나리오비교'!$C$8))+$H378*SIN(RADIANS('13_시나리오비교'!$B$8))*COS(RADIANS('13_시나리오비교'!$C$8))+$I378*COS(RADIANS('13_시나리오비교'!$B$8))),0)</f>
        <v/>
      </c>
      <c r="T378" s="80">
        <f>IF($I378&gt;0,MAX(0,$G378*SIN(RADIANS('13_시나리오비교'!$B$9))*SIN(RADIANS('13_시나리오비교'!$C$9))+$H378*SIN(RADIANS('13_시나리오비교'!$B$9))*COS(RADIANS('13_시나리오비교'!$C$9))+$I378*COS(RADIANS('13_시나리오비교'!$B$9))),0)</f>
        <v/>
      </c>
      <c r="U378" s="80">
        <f>IF($I378&gt;0,MAX(0,$G378*SIN(RADIANS('13_시나리오비교'!$B$10))*SIN(RADIANS('13_시나리오비교'!$C$10))+$H378*SIN(RADIANS('13_시나리오비교'!$B$10))*COS(RADIANS('13_시나리오비교'!$C$10))+$I378*COS(RADIANS('13_시나리오비교'!$B$10))),0)</f>
        <v/>
      </c>
      <c r="V378" s="80">
        <f>IF($I378&gt;0,MAX(0,$G378*SIN(RADIANS('13_시나리오비교'!$B$11))*SIN(RADIANS('13_시나리오비교'!$C$11))+$H378*SIN(RADIANS('13_시나리오비교'!$B$11))*COS(RADIANS('13_시나리오비교'!$C$11))+$I378*COS(RADIANS('13_시나리오비교'!$B$11))),0)</f>
        <v/>
      </c>
      <c r="W378" s="80">
        <f>IF($I378&gt;0,MAX(0,$G378*SIN(RADIANS('13_시나리오비교'!$B$12))*SIN(RADIANS('13_시나리오비교'!$C$12))+$H378*SIN(RADIANS('13_시나리오비교'!$B$12))*COS(RADIANS('13_시나리오비교'!$C$12))+$I378*COS(RADIANS('13_시나리오비교'!$B$12))),0)</f>
        <v/>
      </c>
      <c r="X378" s="80">
        <f>IF($I378&gt;0,MAX(0,$G378*SIN(RADIANS('13_시나리오비교'!$B$13))*SIN(RADIANS('13_시나리오비교'!$C$13))+$H378*SIN(RADIANS('13_시나리오비교'!$B$13))*COS(RADIANS('13_시나리오비교'!$C$13))+$I378*COS(RADIANS('13_시나리오비교'!$B$13))),0)</f>
        <v/>
      </c>
      <c r="Y378" s="80">
        <f>IF($I378&gt;0,MAX(0,$G378*SIN(RADIANS('13_시나리오비교'!$B$14))*SIN(RADIANS('13_시나리오비교'!$C$14))+$H378*SIN(RADIANS('13_시나리오비교'!$B$14))*COS(RADIANS('13_시나리오비교'!$C$14))+$I378*COS(RADIANS('13_시나리오비교'!$B$14))),0)</f>
        <v/>
      </c>
    </row>
    <row r="379" hidden="1" outlineLevel="1">
      <c r="A379" s="79" t="n">
        <v>4</v>
      </c>
      <c r="B379" s="79" t="n">
        <v>71</v>
      </c>
      <c r="C379" s="80">
        <f>(B379-0.5)*'14_지역·상수'!$H$6</f>
        <v/>
      </c>
      <c r="D379" s="79" t="n">
        <v>105</v>
      </c>
      <c r="E379" s="80">
        <f>INDEX($C$4:$C$15,MATCH(A379,$A$4:$A$15,0))</f>
        <v/>
      </c>
      <c r="F379" s="80">
        <f>15*(C379-12)</f>
        <v/>
      </c>
      <c r="G379" s="80">
        <f>-COS(RADIANS(E379))*SIN(RADIANS(F379))</f>
        <v/>
      </c>
      <c r="H379" s="80">
        <f>COS(RADIANS('11_발전량_모델'!$B$17))*SIN(RADIANS(E379))-SIN(RADIANS('11_발전량_모델'!$B$17))*COS(RADIANS(E379))*COS(RADIANS(F379))</f>
        <v/>
      </c>
      <c r="I379" s="80">
        <f>SIN(RADIANS('11_발전량_모델'!$B$17))*SIN(RADIANS(E379))+COS(RADIANS('11_발전량_모델'!$B$17))*COS(RADIANS(E379))*COS(RADIANS(F379))</f>
        <v/>
      </c>
      <c r="J379" s="80">
        <f>SIN(RADIANS('11_발전량_모델'!$B$7))*SIN(RADIANS('11_발전량_모델'!$B$8))</f>
        <v/>
      </c>
      <c r="K379" s="80">
        <f>SIN(RADIANS('11_발전량_모델'!$B$7))*COS(RADIANS('11_발전량_모델'!$B$8))</f>
        <v/>
      </c>
      <c r="L379" s="80">
        <f>COS(RADIANS('11_발전량_모델'!$B$7))</f>
        <v/>
      </c>
      <c r="M379" s="80">
        <f>G379*J379+H379*K379+I379*L379</f>
        <v/>
      </c>
      <c r="N379" s="80">
        <f>MAX(0,I379)</f>
        <v/>
      </c>
      <c r="O379" s="80">
        <f>IF(I379&gt;0,MAX(0,M379),0)</f>
        <v/>
      </c>
      <c r="P379" s="80">
        <f>IF($I379&gt;0,MAX(0,$G379*SIN(RADIANS('13_시나리오비교'!$B$5))*SIN(RADIANS('13_시나리오비교'!$C$5))+$H379*SIN(RADIANS('13_시나리오비교'!$B$5))*COS(RADIANS('13_시나리오비교'!$C$5))+$I379*COS(RADIANS('13_시나리오비교'!$B$5))),0)</f>
        <v/>
      </c>
      <c r="Q379" s="80">
        <f>IF($I379&gt;0,MAX(0,$G379*SIN(RADIANS('13_시나리오비교'!$B$6))*SIN(RADIANS('13_시나리오비교'!$C$6))+$H379*SIN(RADIANS('13_시나리오비교'!$B$6))*COS(RADIANS('13_시나리오비교'!$C$6))+$I379*COS(RADIANS('13_시나리오비교'!$B$6))),0)</f>
        <v/>
      </c>
      <c r="R379" s="80">
        <f>IF($I379&gt;0,MAX(0,$G379*SIN(RADIANS('13_시나리오비교'!$B$7))*SIN(RADIANS('13_시나리오비교'!$C$7))+$H379*SIN(RADIANS('13_시나리오비교'!$B$7))*COS(RADIANS('13_시나리오비교'!$C$7))+$I379*COS(RADIANS('13_시나리오비교'!$B$7))),0)</f>
        <v/>
      </c>
      <c r="S379" s="80">
        <f>IF($I379&gt;0,MAX(0,$G379*SIN(RADIANS('13_시나리오비교'!$B$8))*SIN(RADIANS('13_시나리오비교'!$C$8))+$H379*SIN(RADIANS('13_시나리오비교'!$B$8))*COS(RADIANS('13_시나리오비교'!$C$8))+$I379*COS(RADIANS('13_시나리오비교'!$B$8))),0)</f>
        <v/>
      </c>
      <c r="T379" s="80">
        <f>IF($I379&gt;0,MAX(0,$G379*SIN(RADIANS('13_시나리오비교'!$B$9))*SIN(RADIANS('13_시나리오비교'!$C$9))+$H379*SIN(RADIANS('13_시나리오비교'!$B$9))*COS(RADIANS('13_시나리오비교'!$C$9))+$I379*COS(RADIANS('13_시나리오비교'!$B$9))),0)</f>
        <v/>
      </c>
      <c r="U379" s="80">
        <f>IF($I379&gt;0,MAX(0,$G379*SIN(RADIANS('13_시나리오비교'!$B$10))*SIN(RADIANS('13_시나리오비교'!$C$10))+$H379*SIN(RADIANS('13_시나리오비교'!$B$10))*COS(RADIANS('13_시나리오비교'!$C$10))+$I379*COS(RADIANS('13_시나리오비교'!$B$10))),0)</f>
        <v/>
      </c>
      <c r="V379" s="80">
        <f>IF($I379&gt;0,MAX(0,$G379*SIN(RADIANS('13_시나리오비교'!$B$11))*SIN(RADIANS('13_시나리오비교'!$C$11))+$H379*SIN(RADIANS('13_시나리오비교'!$B$11))*COS(RADIANS('13_시나리오비교'!$C$11))+$I379*COS(RADIANS('13_시나리오비교'!$B$11))),0)</f>
        <v/>
      </c>
      <c r="W379" s="80">
        <f>IF($I379&gt;0,MAX(0,$G379*SIN(RADIANS('13_시나리오비교'!$B$12))*SIN(RADIANS('13_시나리오비교'!$C$12))+$H379*SIN(RADIANS('13_시나리오비교'!$B$12))*COS(RADIANS('13_시나리오비교'!$C$12))+$I379*COS(RADIANS('13_시나리오비교'!$B$12))),0)</f>
        <v/>
      </c>
      <c r="X379" s="80">
        <f>IF($I379&gt;0,MAX(0,$G379*SIN(RADIANS('13_시나리오비교'!$B$13))*SIN(RADIANS('13_시나리오비교'!$C$13))+$H379*SIN(RADIANS('13_시나리오비교'!$B$13))*COS(RADIANS('13_시나리오비교'!$C$13))+$I379*COS(RADIANS('13_시나리오비교'!$B$13))),0)</f>
        <v/>
      </c>
      <c r="Y379" s="80">
        <f>IF($I379&gt;0,MAX(0,$G379*SIN(RADIANS('13_시나리오비교'!$B$14))*SIN(RADIANS('13_시나리오비교'!$C$14))+$H379*SIN(RADIANS('13_시나리오비교'!$B$14))*COS(RADIANS('13_시나리오비교'!$C$14))+$I379*COS(RADIANS('13_시나리오비교'!$B$14))),0)</f>
        <v/>
      </c>
    </row>
    <row r="380" hidden="1" outlineLevel="1">
      <c r="A380" s="79" t="n">
        <v>4</v>
      </c>
      <c r="B380" s="79" t="n">
        <v>72</v>
      </c>
      <c r="C380" s="80">
        <f>(B380-0.5)*'14_지역·상수'!$H$6</f>
        <v/>
      </c>
      <c r="D380" s="79" t="n">
        <v>105</v>
      </c>
      <c r="E380" s="80">
        <f>INDEX($C$4:$C$15,MATCH(A380,$A$4:$A$15,0))</f>
        <v/>
      </c>
      <c r="F380" s="80">
        <f>15*(C380-12)</f>
        <v/>
      </c>
      <c r="G380" s="80">
        <f>-COS(RADIANS(E380))*SIN(RADIANS(F380))</f>
        <v/>
      </c>
      <c r="H380" s="80">
        <f>COS(RADIANS('11_발전량_모델'!$B$17))*SIN(RADIANS(E380))-SIN(RADIANS('11_발전량_모델'!$B$17))*COS(RADIANS(E380))*COS(RADIANS(F380))</f>
        <v/>
      </c>
      <c r="I380" s="80">
        <f>SIN(RADIANS('11_발전량_모델'!$B$17))*SIN(RADIANS(E380))+COS(RADIANS('11_발전량_모델'!$B$17))*COS(RADIANS(E380))*COS(RADIANS(F380))</f>
        <v/>
      </c>
      <c r="J380" s="80">
        <f>SIN(RADIANS('11_발전량_모델'!$B$7))*SIN(RADIANS('11_발전량_모델'!$B$8))</f>
        <v/>
      </c>
      <c r="K380" s="80">
        <f>SIN(RADIANS('11_발전량_모델'!$B$7))*COS(RADIANS('11_발전량_모델'!$B$8))</f>
        <v/>
      </c>
      <c r="L380" s="80">
        <f>COS(RADIANS('11_발전량_모델'!$B$7))</f>
        <v/>
      </c>
      <c r="M380" s="80">
        <f>G380*J380+H380*K380+I380*L380</f>
        <v/>
      </c>
      <c r="N380" s="80">
        <f>MAX(0,I380)</f>
        <v/>
      </c>
      <c r="O380" s="80">
        <f>IF(I380&gt;0,MAX(0,M380),0)</f>
        <v/>
      </c>
      <c r="P380" s="80">
        <f>IF($I380&gt;0,MAX(0,$G380*SIN(RADIANS('13_시나리오비교'!$B$5))*SIN(RADIANS('13_시나리오비교'!$C$5))+$H380*SIN(RADIANS('13_시나리오비교'!$B$5))*COS(RADIANS('13_시나리오비교'!$C$5))+$I380*COS(RADIANS('13_시나리오비교'!$B$5))),0)</f>
        <v/>
      </c>
      <c r="Q380" s="80">
        <f>IF($I380&gt;0,MAX(0,$G380*SIN(RADIANS('13_시나리오비교'!$B$6))*SIN(RADIANS('13_시나리오비교'!$C$6))+$H380*SIN(RADIANS('13_시나리오비교'!$B$6))*COS(RADIANS('13_시나리오비교'!$C$6))+$I380*COS(RADIANS('13_시나리오비교'!$B$6))),0)</f>
        <v/>
      </c>
      <c r="R380" s="80">
        <f>IF($I380&gt;0,MAX(0,$G380*SIN(RADIANS('13_시나리오비교'!$B$7))*SIN(RADIANS('13_시나리오비교'!$C$7))+$H380*SIN(RADIANS('13_시나리오비교'!$B$7))*COS(RADIANS('13_시나리오비교'!$C$7))+$I380*COS(RADIANS('13_시나리오비교'!$B$7))),0)</f>
        <v/>
      </c>
      <c r="S380" s="80">
        <f>IF($I380&gt;0,MAX(0,$G380*SIN(RADIANS('13_시나리오비교'!$B$8))*SIN(RADIANS('13_시나리오비교'!$C$8))+$H380*SIN(RADIANS('13_시나리오비교'!$B$8))*COS(RADIANS('13_시나리오비교'!$C$8))+$I380*COS(RADIANS('13_시나리오비교'!$B$8))),0)</f>
        <v/>
      </c>
      <c r="T380" s="80">
        <f>IF($I380&gt;0,MAX(0,$G380*SIN(RADIANS('13_시나리오비교'!$B$9))*SIN(RADIANS('13_시나리오비교'!$C$9))+$H380*SIN(RADIANS('13_시나리오비교'!$B$9))*COS(RADIANS('13_시나리오비교'!$C$9))+$I380*COS(RADIANS('13_시나리오비교'!$B$9))),0)</f>
        <v/>
      </c>
      <c r="U380" s="80">
        <f>IF($I380&gt;0,MAX(0,$G380*SIN(RADIANS('13_시나리오비교'!$B$10))*SIN(RADIANS('13_시나리오비교'!$C$10))+$H380*SIN(RADIANS('13_시나리오비교'!$B$10))*COS(RADIANS('13_시나리오비교'!$C$10))+$I380*COS(RADIANS('13_시나리오비교'!$B$10))),0)</f>
        <v/>
      </c>
      <c r="V380" s="80">
        <f>IF($I380&gt;0,MAX(0,$G380*SIN(RADIANS('13_시나리오비교'!$B$11))*SIN(RADIANS('13_시나리오비교'!$C$11))+$H380*SIN(RADIANS('13_시나리오비교'!$B$11))*COS(RADIANS('13_시나리오비교'!$C$11))+$I380*COS(RADIANS('13_시나리오비교'!$B$11))),0)</f>
        <v/>
      </c>
      <c r="W380" s="80">
        <f>IF($I380&gt;0,MAX(0,$G380*SIN(RADIANS('13_시나리오비교'!$B$12))*SIN(RADIANS('13_시나리오비교'!$C$12))+$H380*SIN(RADIANS('13_시나리오비교'!$B$12))*COS(RADIANS('13_시나리오비교'!$C$12))+$I380*COS(RADIANS('13_시나리오비교'!$B$12))),0)</f>
        <v/>
      </c>
      <c r="X380" s="80">
        <f>IF($I380&gt;0,MAX(0,$G380*SIN(RADIANS('13_시나리오비교'!$B$13))*SIN(RADIANS('13_시나리오비교'!$C$13))+$H380*SIN(RADIANS('13_시나리오비교'!$B$13))*COS(RADIANS('13_시나리오비교'!$C$13))+$I380*COS(RADIANS('13_시나리오비교'!$B$13))),0)</f>
        <v/>
      </c>
      <c r="Y380" s="80">
        <f>IF($I380&gt;0,MAX(0,$G380*SIN(RADIANS('13_시나리오비교'!$B$14))*SIN(RADIANS('13_시나리오비교'!$C$14))+$H380*SIN(RADIANS('13_시나리오비교'!$B$14))*COS(RADIANS('13_시나리오비교'!$C$14))+$I380*COS(RADIANS('13_시나리오비교'!$B$14))),0)</f>
        <v/>
      </c>
    </row>
    <row r="381" hidden="1" outlineLevel="1">
      <c r="A381" s="79" t="n">
        <v>4</v>
      </c>
      <c r="B381" s="79" t="n">
        <v>73</v>
      </c>
      <c r="C381" s="80">
        <f>(B381-0.5)*'14_지역·상수'!$H$6</f>
        <v/>
      </c>
      <c r="D381" s="79" t="n">
        <v>105</v>
      </c>
      <c r="E381" s="80">
        <f>INDEX($C$4:$C$15,MATCH(A381,$A$4:$A$15,0))</f>
        <v/>
      </c>
      <c r="F381" s="80">
        <f>15*(C381-12)</f>
        <v/>
      </c>
      <c r="G381" s="80">
        <f>-COS(RADIANS(E381))*SIN(RADIANS(F381))</f>
        <v/>
      </c>
      <c r="H381" s="80">
        <f>COS(RADIANS('11_발전량_모델'!$B$17))*SIN(RADIANS(E381))-SIN(RADIANS('11_발전량_모델'!$B$17))*COS(RADIANS(E381))*COS(RADIANS(F381))</f>
        <v/>
      </c>
      <c r="I381" s="80">
        <f>SIN(RADIANS('11_발전량_모델'!$B$17))*SIN(RADIANS(E381))+COS(RADIANS('11_발전량_모델'!$B$17))*COS(RADIANS(E381))*COS(RADIANS(F381))</f>
        <v/>
      </c>
      <c r="J381" s="80">
        <f>SIN(RADIANS('11_발전량_모델'!$B$7))*SIN(RADIANS('11_발전량_모델'!$B$8))</f>
        <v/>
      </c>
      <c r="K381" s="80">
        <f>SIN(RADIANS('11_발전량_모델'!$B$7))*COS(RADIANS('11_발전량_모델'!$B$8))</f>
        <v/>
      </c>
      <c r="L381" s="80">
        <f>COS(RADIANS('11_발전량_모델'!$B$7))</f>
        <v/>
      </c>
      <c r="M381" s="80">
        <f>G381*J381+H381*K381+I381*L381</f>
        <v/>
      </c>
      <c r="N381" s="80">
        <f>MAX(0,I381)</f>
        <v/>
      </c>
      <c r="O381" s="80">
        <f>IF(I381&gt;0,MAX(0,M381),0)</f>
        <v/>
      </c>
      <c r="P381" s="80">
        <f>IF($I381&gt;0,MAX(0,$G381*SIN(RADIANS('13_시나리오비교'!$B$5))*SIN(RADIANS('13_시나리오비교'!$C$5))+$H381*SIN(RADIANS('13_시나리오비교'!$B$5))*COS(RADIANS('13_시나리오비교'!$C$5))+$I381*COS(RADIANS('13_시나리오비교'!$B$5))),0)</f>
        <v/>
      </c>
      <c r="Q381" s="80">
        <f>IF($I381&gt;0,MAX(0,$G381*SIN(RADIANS('13_시나리오비교'!$B$6))*SIN(RADIANS('13_시나리오비교'!$C$6))+$H381*SIN(RADIANS('13_시나리오비교'!$B$6))*COS(RADIANS('13_시나리오비교'!$C$6))+$I381*COS(RADIANS('13_시나리오비교'!$B$6))),0)</f>
        <v/>
      </c>
      <c r="R381" s="80">
        <f>IF($I381&gt;0,MAX(0,$G381*SIN(RADIANS('13_시나리오비교'!$B$7))*SIN(RADIANS('13_시나리오비교'!$C$7))+$H381*SIN(RADIANS('13_시나리오비교'!$B$7))*COS(RADIANS('13_시나리오비교'!$C$7))+$I381*COS(RADIANS('13_시나리오비교'!$B$7))),0)</f>
        <v/>
      </c>
      <c r="S381" s="80">
        <f>IF($I381&gt;0,MAX(0,$G381*SIN(RADIANS('13_시나리오비교'!$B$8))*SIN(RADIANS('13_시나리오비교'!$C$8))+$H381*SIN(RADIANS('13_시나리오비교'!$B$8))*COS(RADIANS('13_시나리오비교'!$C$8))+$I381*COS(RADIANS('13_시나리오비교'!$B$8))),0)</f>
        <v/>
      </c>
      <c r="T381" s="80">
        <f>IF($I381&gt;0,MAX(0,$G381*SIN(RADIANS('13_시나리오비교'!$B$9))*SIN(RADIANS('13_시나리오비교'!$C$9))+$H381*SIN(RADIANS('13_시나리오비교'!$B$9))*COS(RADIANS('13_시나리오비교'!$C$9))+$I381*COS(RADIANS('13_시나리오비교'!$B$9))),0)</f>
        <v/>
      </c>
      <c r="U381" s="80">
        <f>IF($I381&gt;0,MAX(0,$G381*SIN(RADIANS('13_시나리오비교'!$B$10))*SIN(RADIANS('13_시나리오비교'!$C$10))+$H381*SIN(RADIANS('13_시나리오비교'!$B$10))*COS(RADIANS('13_시나리오비교'!$C$10))+$I381*COS(RADIANS('13_시나리오비교'!$B$10))),0)</f>
        <v/>
      </c>
      <c r="V381" s="80">
        <f>IF($I381&gt;0,MAX(0,$G381*SIN(RADIANS('13_시나리오비교'!$B$11))*SIN(RADIANS('13_시나리오비교'!$C$11))+$H381*SIN(RADIANS('13_시나리오비교'!$B$11))*COS(RADIANS('13_시나리오비교'!$C$11))+$I381*COS(RADIANS('13_시나리오비교'!$B$11))),0)</f>
        <v/>
      </c>
      <c r="W381" s="80">
        <f>IF($I381&gt;0,MAX(0,$G381*SIN(RADIANS('13_시나리오비교'!$B$12))*SIN(RADIANS('13_시나리오비교'!$C$12))+$H381*SIN(RADIANS('13_시나리오비교'!$B$12))*COS(RADIANS('13_시나리오비교'!$C$12))+$I381*COS(RADIANS('13_시나리오비교'!$B$12))),0)</f>
        <v/>
      </c>
      <c r="X381" s="80">
        <f>IF($I381&gt;0,MAX(0,$G381*SIN(RADIANS('13_시나리오비교'!$B$13))*SIN(RADIANS('13_시나리오비교'!$C$13))+$H381*SIN(RADIANS('13_시나리오비교'!$B$13))*COS(RADIANS('13_시나리오비교'!$C$13))+$I381*COS(RADIANS('13_시나리오비교'!$B$13))),0)</f>
        <v/>
      </c>
      <c r="Y381" s="80">
        <f>IF($I381&gt;0,MAX(0,$G381*SIN(RADIANS('13_시나리오비교'!$B$14))*SIN(RADIANS('13_시나리오비교'!$C$14))+$H381*SIN(RADIANS('13_시나리오비교'!$B$14))*COS(RADIANS('13_시나리오비교'!$C$14))+$I381*COS(RADIANS('13_시나리오비교'!$B$14))),0)</f>
        <v/>
      </c>
    </row>
    <row r="382" hidden="1" outlineLevel="1">
      <c r="A382" s="79" t="n">
        <v>4</v>
      </c>
      <c r="B382" s="79" t="n">
        <v>74</v>
      </c>
      <c r="C382" s="80">
        <f>(B382-0.5)*'14_지역·상수'!$H$6</f>
        <v/>
      </c>
      <c r="D382" s="79" t="n">
        <v>105</v>
      </c>
      <c r="E382" s="80">
        <f>INDEX($C$4:$C$15,MATCH(A382,$A$4:$A$15,0))</f>
        <v/>
      </c>
      <c r="F382" s="80">
        <f>15*(C382-12)</f>
        <v/>
      </c>
      <c r="G382" s="80">
        <f>-COS(RADIANS(E382))*SIN(RADIANS(F382))</f>
        <v/>
      </c>
      <c r="H382" s="80">
        <f>COS(RADIANS('11_발전량_모델'!$B$17))*SIN(RADIANS(E382))-SIN(RADIANS('11_발전량_모델'!$B$17))*COS(RADIANS(E382))*COS(RADIANS(F382))</f>
        <v/>
      </c>
      <c r="I382" s="80">
        <f>SIN(RADIANS('11_발전량_모델'!$B$17))*SIN(RADIANS(E382))+COS(RADIANS('11_발전량_모델'!$B$17))*COS(RADIANS(E382))*COS(RADIANS(F382))</f>
        <v/>
      </c>
      <c r="J382" s="80">
        <f>SIN(RADIANS('11_발전량_모델'!$B$7))*SIN(RADIANS('11_발전량_모델'!$B$8))</f>
        <v/>
      </c>
      <c r="K382" s="80">
        <f>SIN(RADIANS('11_발전량_모델'!$B$7))*COS(RADIANS('11_발전량_모델'!$B$8))</f>
        <v/>
      </c>
      <c r="L382" s="80">
        <f>COS(RADIANS('11_발전량_모델'!$B$7))</f>
        <v/>
      </c>
      <c r="M382" s="80">
        <f>G382*J382+H382*K382+I382*L382</f>
        <v/>
      </c>
      <c r="N382" s="80">
        <f>MAX(0,I382)</f>
        <v/>
      </c>
      <c r="O382" s="80">
        <f>IF(I382&gt;0,MAX(0,M382),0)</f>
        <v/>
      </c>
      <c r="P382" s="80">
        <f>IF($I382&gt;0,MAX(0,$G382*SIN(RADIANS('13_시나리오비교'!$B$5))*SIN(RADIANS('13_시나리오비교'!$C$5))+$H382*SIN(RADIANS('13_시나리오비교'!$B$5))*COS(RADIANS('13_시나리오비교'!$C$5))+$I382*COS(RADIANS('13_시나리오비교'!$B$5))),0)</f>
        <v/>
      </c>
      <c r="Q382" s="80">
        <f>IF($I382&gt;0,MAX(0,$G382*SIN(RADIANS('13_시나리오비교'!$B$6))*SIN(RADIANS('13_시나리오비교'!$C$6))+$H382*SIN(RADIANS('13_시나리오비교'!$B$6))*COS(RADIANS('13_시나리오비교'!$C$6))+$I382*COS(RADIANS('13_시나리오비교'!$B$6))),0)</f>
        <v/>
      </c>
      <c r="R382" s="80">
        <f>IF($I382&gt;0,MAX(0,$G382*SIN(RADIANS('13_시나리오비교'!$B$7))*SIN(RADIANS('13_시나리오비교'!$C$7))+$H382*SIN(RADIANS('13_시나리오비교'!$B$7))*COS(RADIANS('13_시나리오비교'!$C$7))+$I382*COS(RADIANS('13_시나리오비교'!$B$7))),0)</f>
        <v/>
      </c>
      <c r="S382" s="80">
        <f>IF($I382&gt;0,MAX(0,$G382*SIN(RADIANS('13_시나리오비교'!$B$8))*SIN(RADIANS('13_시나리오비교'!$C$8))+$H382*SIN(RADIANS('13_시나리오비교'!$B$8))*COS(RADIANS('13_시나리오비교'!$C$8))+$I382*COS(RADIANS('13_시나리오비교'!$B$8))),0)</f>
        <v/>
      </c>
      <c r="T382" s="80">
        <f>IF($I382&gt;0,MAX(0,$G382*SIN(RADIANS('13_시나리오비교'!$B$9))*SIN(RADIANS('13_시나리오비교'!$C$9))+$H382*SIN(RADIANS('13_시나리오비교'!$B$9))*COS(RADIANS('13_시나리오비교'!$C$9))+$I382*COS(RADIANS('13_시나리오비교'!$B$9))),0)</f>
        <v/>
      </c>
      <c r="U382" s="80">
        <f>IF($I382&gt;0,MAX(0,$G382*SIN(RADIANS('13_시나리오비교'!$B$10))*SIN(RADIANS('13_시나리오비교'!$C$10))+$H382*SIN(RADIANS('13_시나리오비교'!$B$10))*COS(RADIANS('13_시나리오비교'!$C$10))+$I382*COS(RADIANS('13_시나리오비교'!$B$10))),0)</f>
        <v/>
      </c>
      <c r="V382" s="80">
        <f>IF($I382&gt;0,MAX(0,$G382*SIN(RADIANS('13_시나리오비교'!$B$11))*SIN(RADIANS('13_시나리오비교'!$C$11))+$H382*SIN(RADIANS('13_시나리오비교'!$B$11))*COS(RADIANS('13_시나리오비교'!$C$11))+$I382*COS(RADIANS('13_시나리오비교'!$B$11))),0)</f>
        <v/>
      </c>
      <c r="W382" s="80">
        <f>IF($I382&gt;0,MAX(0,$G382*SIN(RADIANS('13_시나리오비교'!$B$12))*SIN(RADIANS('13_시나리오비교'!$C$12))+$H382*SIN(RADIANS('13_시나리오비교'!$B$12))*COS(RADIANS('13_시나리오비교'!$C$12))+$I382*COS(RADIANS('13_시나리오비교'!$B$12))),0)</f>
        <v/>
      </c>
      <c r="X382" s="80">
        <f>IF($I382&gt;0,MAX(0,$G382*SIN(RADIANS('13_시나리오비교'!$B$13))*SIN(RADIANS('13_시나리오비교'!$C$13))+$H382*SIN(RADIANS('13_시나리오비교'!$B$13))*COS(RADIANS('13_시나리오비교'!$C$13))+$I382*COS(RADIANS('13_시나리오비교'!$B$13))),0)</f>
        <v/>
      </c>
      <c r="Y382" s="80">
        <f>IF($I382&gt;0,MAX(0,$G382*SIN(RADIANS('13_시나리오비교'!$B$14))*SIN(RADIANS('13_시나리오비교'!$C$14))+$H382*SIN(RADIANS('13_시나리오비교'!$B$14))*COS(RADIANS('13_시나리오비교'!$C$14))+$I382*COS(RADIANS('13_시나리오비교'!$B$14))),0)</f>
        <v/>
      </c>
    </row>
    <row r="383" hidden="1" outlineLevel="1">
      <c r="A383" s="79" t="n">
        <v>4</v>
      </c>
      <c r="B383" s="79" t="n">
        <v>75</v>
      </c>
      <c r="C383" s="80">
        <f>(B383-0.5)*'14_지역·상수'!$H$6</f>
        <v/>
      </c>
      <c r="D383" s="79" t="n">
        <v>105</v>
      </c>
      <c r="E383" s="80">
        <f>INDEX($C$4:$C$15,MATCH(A383,$A$4:$A$15,0))</f>
        <v/>
      </c>
      <c r="F383" s="80">
        <f>15*(C383-12)</f>
        <v/>
      </c>
      <c r="G383" s="80">
        <f>-COS(RADIANS(E383))*SIN(RADIANS(F383))</f>
        <v/>
      </c>
      <c r="H383" s="80">
        <f>COS(RADIANS('11_발전량_모델'!$B$17))*SIN(RADIANS(E383))-SIN(RADIANS('11_발전량_모델'!$B$17))*COS(RADIANS(E383))*COS(RADIANS(F383))</f>
        <v/>
      </c>
      <c r="I383" s="80">
        <f>SIN(RADIANS('11_발전량_모델'!$B$17))*SIN(RADIANS(E383))+COS(RADIANS('11_발전량_모델'!$B$17))*COS(RADIANS(E383))*COS(RADIANS(F383))</f>
        <v/>
      </c>
      <c r="J383" s="80">
        <f>SIN(RADIANS('11_발전량_모델'!$B$7))*SIN(RADIANS('11_발전량_모델'!$B$8))</f>
        <v/>
      </c>
      <c r="K383" s="80">
        <f>SIN(RADIANS('11_발전량_모델'!$B$7))*COS(RADIANS('11_발전량_모델'!$B$8))</f>
        <v/>
      </c>
      <c r="L383" s="80">
        <f>COS(RADIANS('11_발전량_모델'!$B$7))</f>
        <v/>
      </c>
      <c r="M383" s="80">
        <f>G383*J383+H383*K383+I383*L383</f>
        <v/>
      </c>
      <c r="N383" s="80">
        <f>MAX(0,I383)</f>
        <v/>
      </c>
      <c r="O383" s="80">
        <f>IF(I383&gt;0,MAX(0,M383),0)</f>
        <v/>
      </c>
      <c r="P383" s="80">
        <f>IF($I383&gt;0,MAX(0,$G383*SIN(RADIANS('13_시나리오비교'!$B$5))*SIN(RADIANS('13_시나리오비교'!$C$5))+$H383*SIN(RADIANS('13_시나리오비교'!$B$5))*COS(RADIANS('13_시나리오비교'!$C$5))+$I383*COS(RADIANS('13_시나리오비교'!$B$5))),0)</f>
        <v/>
      </c>
      <c r="Q383" s="80">
        <f>IF($I383&gt;0,MAX(0,$G383*SIN(RADIANS('13_시나리오비교'!$B$6))*SIN(RADIANS('13_시나리오비교'!$C$6))+$H383*SIN(RADIANS('13_시나리오비교'!$B$6))*COS(RADIANS('13_시나리오비교'!$C$6))+$I383*COS(RADIANS('13_시나리오비교'!$B$6))),0)</f>
        <v/>
      </c>
      <c r="R383" s="80">
        <f>IF($I383&gt;0,MAX(0,$G383*SIN(RADIANS('13_시나리오비교'!$B$7))*SIN(RADIANS('13_시나리오비교'!$C$7))+$H383*SIN(RADIANS('13_시나리오비교'!$B$7))*COS(RADIANS('13_시나리오비교'!$C$7))+$I383*COS(RADIANS('13_시나리오비교'!$B$7))),0)</f>
        <v/>
      </c>
      <c r="S383" s="80">
        <f>IF($I383&gt;0,MAX(0,$G383*SIN(RADIANS('13_시나리오비교'!$B$8))*SIN(RADIANS('13_시나리오비교'!$C$8))+$H383*SIN(RADIANS('13_시나리오비교'!$B$8))*COS(RADIANS('13_시나리오비교'!$C$8))+$I383*COS(RADIANS('13_시나리오비교'!$B$8))),0)</f>
        <v/>
      </c>
      <c r="T383" s="80">
        <f>IF($I383&gt;0,MAX(0,$G383*SIN(RADIANS('13_시나리오비교'!$B$9))*SIN(RADIANS('13_시나리오비교'!$C$9))+$H383*SIN(RADIANS('13_시나리오비교'!$B$9))*COS(RADIANS('13_시나리오비교'!$C$9))+$I383*COS(RADIANS('13_시나리오비교'!$B$9))),0)</f>
        <v/>
      </c>
      <c r="U383" s="80">
        <f>IF($I383&gt;0,MAX(0,$G383*SIN(RADIANS('13_시나리오비교'!$B$10))*SIN(RADIANS('13_시나리오비교'!$C$10))+$H383*SIN(RADIANS('13_시나리오비교'!$B$10))*COS(RADIANS('13_시나리오비교'!$C$10))+$I383*COS(RADIANS('13_시나리오비교'!$B$10))),0)</f>
        <v/>
      </c>
      <c r="V383" s="80">
        <f>IF($I383&gt;0,MAX(0,$G383*SIN(RADIANS('13_시나리오비교'!$B$11))*SIN(RADIANS('13_시나리오비교'!$C$11))+$H383*SIN(RADIANS('13_시나리오비교'!$B$11))*COS(RADIANS('13_시나리오비교'!$C$11))+$I383*COS(RADIANS('13_시나리오비교'!$B$11))),0)</f>
        <v/>
      </c>
      <c r="W383" s="80">
        <f>IF($I383&gt;0,MAX(0,$G383*SIN(RADIANS('13_시나리오비교'!$B$12))*SIN(RADIANS('13_시나리오비교'!$C$12))+$H383*SIN(RADIANS('13_시나리오비교'!$B$12))*COS(RADIANS('13_시나리오비교'!$C$12))+$I383*COS(RADIANS('13_시나리오비교'!$B$12))),0)</f>
        <v/>
      </c>
      <c r="X383" s="80">
        <f>IF($I383&gt;0,MAX(0,$G383*SIN(RADIANS('13_시나리오비교'!$B$13))*SIN(RADIANS('13_시나리오비교'!$C$13))+$H383*SIN(RADIANS('13_시나리오비교'!$B$13))*COS(RADIANS('13_시나리오비교'!$C$13))+$I383*COS(RADIANS('13_시나리오비교'!$B$13))),0)</f>
        <v/>
      </c>
      <c r="Y383" s="80">
        <f>IF($I383&gt;0,MAX(0,$G383*SIN(RADIANS('13_시나리오비교'!$B$14))*SIN(RADIANS('13_시나리오비교'!$C$14))+$H383*SIN(RADIANS('13_시나리오비교'!$B$14))*COS(RADIANS('13_시나리오비교'!$C$14))+$I383*COS(RADIANS('13_시나리오비교'!$B$14))),0)</f>
        <v/>
      </c>
    </row>
    <row r="384" hidden="1" outlineLevel="1">
      <c r="A384" s="79" t="n">
        <v>4</v>
      </c>
      <c r="B384" s="79" t="n">
        <v>76</v>
      </c>
      <c r="C384" s="80">
        <f>(B384-0.5)*'14_지역·상수'!$H$6</f>
        <v/>
      </c>
      <c r="D384" s="79" t="n">
        <v>105</v>
      </c>
      <c r="E384" s="80">
        <f>INDEX($C$4:$C$15,MATCH(A384,$A$4:$A$15,0))</f>
        <v/>
      </c>
      <c r="F384" s="80">
        <f>15*(C384-12)</f>
        <v/>
      </c>
      <c r="G384" s="80">
        <f>-COS(RADIANS(E384))*SIN(RADIANS(F384))</f>
        <v/>
      </c>
      <c r="H384" s="80">
        <f>COS(RADIANS('11_발전량_모델'!$B$17))*SIN(RADIANS(E384))-SIN(RADIANS('11_발전량_모델'!$B$17))*COS(RADIANS(E384))*COS(RADIANS(F384))</f>
        <v/>
      </c>
      <c r="I384" s="80">
        <f>SIN(RADIANS('11_발전량_모델'!$B$17))*SIN(RADIANS(E384))+COS(RADIANS('11_발전량_모델'!$B$17))*COS(RADIANS(E384))*COS(RADIANS(F384))</f>
        <v/>
      </c>
      <c r="J384" s="80">
        <f>SIN(RADIANS('11_발전량_모델'!$B$7))*SIN(RADIANS('11_발전량_모델'!$B$8))</f>
        <v/>
      </c>
      <c r="K384" s="80">
        <f>SIN(RADIANS('11_발전량_모델'!$B$7))*COS(RADIANS('11_발전량_모델'!$B$8))</f>
        <v/>
      </c>
      <c r="L384" s="80">
        <f>COS(RADIANS('11_발전량_모델'!$B$7))</f>
        <v/>
      </c>
      <c r="M384" s="80">
        <f>G384*J384+H384*K384+I384*L384</f>
        <v/>
      </c>
      <c r="N384" s="80">
        <f>MAX(0,I384)</f>
        <v/>
      </c>
      <c r="O384" s="80">
        <f>IF(I384&gt;0,MAX(0,M384),0)</f>
        <v/>
      </c>
      <c r="P384" s="80">
        <f>IF($I384&gt;0,MAX(0,$G384*SIN(RADIANS('13_시나리오비교'!$B$5))*SIN(RADIANS('13_시나리오비교'!$C$5))+$H384*SIN(RADIANS('13_시나리오비교'!$B$5))*COS(RADIANS('13_시나리오비교'!$C$5))+$I384*COS(RADIANS('13_시나리오비교'!$B$5))),0)</f>
        <v/>
      </c>
      <c r="Q384" s="80">
        <f>IF($I384&gt;0,MAX(0,$G384*SIN(RADIANS('13_시나리오비교'!$B$6))*SIN(RADIANS('13_시나리오비교'!$C$6))+$H384*SIN(RADIANS('13_시나리오비교'!$B$6))*COS(RADIANS('13_시나리오비교'!$C$6))+$I384*COS(RADIANS('13_시나리오비교'!$B$6))),0)</f>
        <v/>
      </c>
      <c r="R384" s="80">
        <f>IF($I384&gt;0,MAX(0,$G384*SIN(RADIANS('13_시나리오비교'!$B$7))*SIN(RADIANS('13_시나리오비교'!$C$7))+$H384*SIN(RADIANS('13_시나리오비교'!$B$7))*COS(RADIANS('13_시나리오비교'!$C$7))+$I384*COS(RADIANS('13_시나리오비교'!$B$7))),0)</f>
        <v/>
      </c>
      <c r="S384" s="80">
        <f>IF($I384&gt;0,MAX(0,$G384*SIN(RADIANS('13_시나리오비교'!$B$8))*SIN(RADIANS('13_시나리오비교'!$C$8))+$H384*SIN(RADIANS('13_시나리오비교'!$B$8))*COS(RADIANS('13_시나리오비교'!$C$8))+$I384*COS(RADIANS('13_시나리오비교'!$B$8))),0)</f>
        <v/>
      </c>
      <c r="T384" s="80">
        <f>IF($I384&gt;0,MAX(0,$G384*SIN(RADIANS('13_시나리오비교'!$B$9))*SIN(RADIANS('13_시나리오비교'!$C$9))+$H384*SIN(RADIANS('13_시나리오비교'!$B$9))*COS(RADIANS('13_시나리오비교'!$C$9))+$I384*COS(RADIANS('13_시나리오비교'!$B$9))),0)</f>
        <v/>
      </c>
      <c r="U384" s="80">
        <f>IF($I384&gt;0,MAX(0,$G384*SIN(RADIANS('13_시나리오비교'!$B$10))*SIN(RADIANS('13_시나리오비교'!$C$10))+$H384*SIN(RADIANS('13_시나리오비교'!$B$10))*COS(RADIANS('13_시나리오비교'!$C$10))+$I384*COS(RADIANS('13_시나리오비교'!$B$10))),0)</f>
        <v/>
      </c>
      <c r="V384" s="80">
        <f>IF($I384&gt;0,MAX(0,$G384*SIN(RADIANS('13_시나리오비교'!$B$11))*SIN(RADIANS('13_시나리오비교'!$C$11))+$H384*SIN(RADIANS('13_시나리오비교'!$B$11))*COS(RADIANS('13_시나리오비교'!$C$11))+$I384*COS(RADIANS('13_시나리오비교'!$B$11))),0)</f>
        <v/>
      </c>
      <c r="W384" s="80">
        <f>IF($I384&gt;0,MAX(0,$G384*SIN(RADIANS('13_시나리오비교'!$B$12))*SIN(RADIANS('13_시나리오비교'!$C$12))+$H384*SIN(RADIANS('13_시나리오비교'!$B$12))*COS(RADIANS('13_시나리오비교'!$C$12))+$I384*COS(RADIANS('13_시나리오비교'!$B$12))),0)</f>
        <v/>
      </c>
      <c r="X384" s="80">
        <f>IF($I384&gt;0,MAX(0,$G384*SIN(RADIANS('13_시나리오비교'!$B$13))*SIN(RADIANS('13_시나리오비교'!$C$13))+$H384*SIN(RADIANS('13_시나리오비교'!$B$13))*COS(RADIANS('13_시나리오비교'!$C$13))+$I384*COS(RADIANS('13_시나리오비교'!$B$13))),0)</f>
        <v/>
      </c>
      <c r="Y384" s="80">
        <f>IF($I384&gt;0,MAX(0,$G384*SIN(RADIANS('13_시나리오비교'!$B$14))*SIN(RADIANS('13_시나리오비교'!$C$14))+$H384*SIN(RADIANS('13_시나리오비교'!$B$14))*COS(RADIANS('13_시나리오비교'!$C$14))+$I384*COS(RADIANS('13_시나리오비교'!$B$14))),0)</f>
        <v/>
      </c>
    </row>
    <row r="385" hidden="1" outlineLevel="1">
      <c r="A385" s="79" t="n">
        <v>4</v>
      </c>
      <c r="B385" s="79" t="n">
        <v>77</v>
      </c>
      <c r="C385" s="80">
        <f>(B385-0.5)*'14_지역·상수'!$H$6</f>
        <v/>
      </c>
      <c r="D385" s="79" t="n">
        <v>105</v>
      </c>
      <c r="E385" s="80">
        <f>INDEX($C$4:$C$15,MATCH(A385,$A$4:$A$15,0))</f>
        <v/>
      </c>
      <c r="F385" s="80">
        <f>15*(C385-12)</f>
        <v/>
      </c>
      <c r="G385" s="80">
        <f>-COS(RADIANS(E385))*SIN(RADIANS(F385))</f>
        <v/>
      </c>
      <c r="H385" s="80">
        <f>COS(RADIANS('11_발전량_모델'!$B$17))*SIN(RADIANS(E385))-SIN(RADIANS('11_발전량_모델'!$B$17))*COS(RADIANS(E385))*COS(RADIANS(F385))</f>
        <v/>
      </c>
      <c r="I385" s="80">
        <f>SIN(RADIANS('11_발전량_모델'!$B$17))*SIN(RADIANS(E385))+COS(RADIANS('11_발전량_모델'!$B$17))*COS(RADIANS(E385))*COS(RADIANS(F385))</f>
        <v/>
      </c>
      <c r="J385" s="80">
        <f>SIN(RADIANS('11_발전량_모델'!$B$7))*SIN(RADIANS('11_발전량_모델'!$B$8))</f>
        <v/>
      </c>
      <c r="K385" s="80">
        <f>SIN(RADIANS('11_발전량_모델'!$B$7))*COS(RADIANS('11_발전량_모델'!$B$8))</f>
        <v/>
      </c>
      <c r="L385" s="80">
        <f>COS(RADIANS('11_발전량_모델'!$B$7))</f>
        <v/>
      </c>
      <c r="M385" s="80">
        <f>G385*J385+H385*K385+I385*L385</f>
        <v/>
      </c>
      <c r="N385" s="80">
        <f>MAX(0,I385)</f>
        <v/>
      </c>
      <c r="O385" s="80">
        <f>IF(I385&gt;0,MAX(0,M385),0)</f>
        <v/>
      </c>
      <c r="P385" s="80">
        <f>IF($I385&gt;0,MAX(0,$G385*SIN(RADIANS('13_시나리오비교'!$B$5))*SIN(RADIANS('13_시나리오비교'!$C$5))+$H385*SIN(RADIANS('13_시나리오비교'!$B$5))*COS(RADIANS('13_시나리오비교'!$C$5))+$I385*COS(RADIANS('13_시나리오비교'!$B$5))),0)</f>
        <v/>
      </c>
      <c r="Q385" s="80">
        <f>IF($I385&gt;0,MAX(0,$G385*SIN(RADIANS('13_시나리오비교'!$B$6))*SIN(RADIANS('13_시나리오비교'!$C$6))+$H385*SIN(RADIANS('13_시나리오비교'!$B$6))*COS(RADIANS('13_시나리오비교'!$C$6))+$I385*COS(RADIANS('13_시나리오비교'!$B$6))),0)</f>
        <v/>
      </c>
      <c r="R385" s="80">
        <f>IF($I385&gt;0,MAX(0,$G385*SIN(RADIANS('13_시나리오비교'!$B$7))*SIN(RADIANS('13_시나리오비교'!$C$7))+$H385*SIN(RADIANS('13_시나리오비교'!$B$7))*COS(RADIANS('13_시나리오비교'!$C$7))+$I385*COS(RADIANS('13_시나리오비교'!$B$7))),0)</f>
        <v/>
      </c>
      <c r="S385" s="80">
        <f>IF($I385&gt;0,MAX(0,$G385*SIN(RADIANS('13_시나리오비교'!$B$8))*SIN(RADIANS('13_시나리오비교'!$C$8))+$H385*SIN(RADIANS('13_시나리오비교'!$B$8))*COS(RADIANS('13_시나리오비교'!$C$8))+$I385*COS(RADIANS('13_시나리오비교'!$B$8))),0)</f>
        <v/>
      </c>
      <c r="T385" s="80">
        <f>IF($I385&gt;0,MAX(0,$G385*SIN(RADIANS('13_시나리오비교'!$B$9))*SIN(RADIANS('13_시나리오비교'!$C$9))+$H385*SIN(RADIANS('13_시나리오비교'!$B$9))*COS(RADIANS('13_시나리오비교'!$C$9))+$I385*COS(RADIANS('13_시나리오비교'!$B$9))),0)</f>
        <v/>
      </c>
      <c r="U385" s="80">
        <f>IF($I385&gt;0,MAX(0,$G385*SIN(RADIANS('13_시나리오비교'!$B$10))*SIN(RADIANS('13_시나리오비교'!$C$10))+$H385*SIN(RADIANS('13_시나리오비교'!$B$10))*COS(RADIANS('13_시나리오비교'!$C$10))+$I385*COS(RADIANS('13_시나리오비교'!$B$10))),0)</f>
        <v/>
      </c>
      <c r="V385" s="80">
        <f>IF($I385&gt;0,MAX(0,$G385*SIN(RADIANS('13_시나리오비교'!$B$11))*SIN(RADIANS('13_시나리오비교'!$C$11))+$H385*SIN(RADIANS('13_시나리오비교'!$B$11))*COS(RADIANS('13_시나리오비교'!$C$11))+$I385*COS(RADIANS('13_시나리오비교'!$B$11))),0)</f>
        <v/>
      </c>
      <c r="W385" s="80">
        <f>IF($I385&gt;0,MAX(0,$G385*SIN(RADIANS('13_시나리오비교'!$B$12))*SIN(RADIANS('13_시나리오비교'!$C$12))+$H385*SIN(RADIANS('13_시나리오비교'!$B$12))*COS(RADIANS('13_시나리오비교'!$C$12))+$I385*COS(RADIANS('13_시나리오비교'!$B$12))),0)</f>
        <v/>
      </c>
      <c r="X385" s="80">
        <f>IF($I385&gt;0,MAX(0,$G385*SIN(RADIANS('13_시나리오비교'!$B$13))*SIN(RADIANS('13_시나리오비교'!$C$13))+$H385*SIN(RADIANS('13_시나리오비교'!$B$13))*COS(RADIANS('13_시나리오비교'!$C$13))+$I385*COS(RADIANS('13_시나리오비교'!$B$13))),0)</f>
        <v/>
      </c>
      <c r="Y385" s="80">
        <f>IF($I385&gt;0,MAX(0,$G385*SIN(RADIANS('13_시나리오비교'!$B$14))*SIN(RADIANS('13_시나리오비교'!$C$14))+$H385*SIN(RADIANS('13_시나리오비교'!$B$14))*COS(RADIANS('13_시나리오비교'!$C$14))+$I385*COS(RADIANS('13_시나리오비교'!$B$14))),0)</f>
        <v/>
      </c>
    </row>
    <row r="386" hidden="1" outlineLevel="1">
      <c r="A386" s="79" t="n">
        <v>4</v>
      </c>
      <c r="B386" s="79" t="n">
        <v>78</v>
      </c>
      <c r="C386" s="80">
        <f>(B386-0.5)*'14_지역·상수'!$H$6</f>
        <v/>
      </c>
      <c r="D386" s="79" t="n">
        <v>105</v>
      </c>
      <c r="E386" s="80">
        <f>INDEX($C$4:$C$15,MATCH(A386,$A$4:$A$15,0))</f>
        <v/>
      </c>
      <c r="F386" s="80">
        <f>15*(C386-12)</f>
        <v/>
      </c>
      <c r="G386" s="80">
        <f>-COS(RADIANS(E386))*SIN(RADIANS(F386))</f>
        <v/>
      </c>
      <c r="H386" s="80">
        <f>COS(RADIANS('11_발전량_모델'!$B$17))*SIN(RADIANS(E386))-SIN(RADIANS('11_발전량_모델'!$B$17))*COS(RADIANS(E386))*COS(RADIANS(F386))</f>
        <v/>
      </c>
      <c r="I386" s="80">
        <f>SIN(RADIANS('11_발전량_모델'!$B$17))*SIN(RADIANS(E386))+COS(RADIANS('11_발전량_모델'!$B$17))*COS(RADIANS(E386))*COS(RADIANS(F386))</f>
        <v/>
      </c>
      <c r="J386" s="80">
        <f>SIN(RADIANS('11_발전량_모델'!$B$7))*SIN(RADIANS('11_발전량_모델'!$B$8))</f>
        <v/>
      </c>
      <c r="K386" s="80">
        <f>SIN(RADIANS('11_발전량_모델'!$B$7))*COS(RADIANS('11_발전량_모델'!$B$8))</f>
        <v/>
      </c>
      <c r="L386" s="80">
        <f>COS(RADIANS('11_발전량_모델'!$B$7))</f>
        <v/>
      </c>
      <c r="M386" s="80">
        <f>G386*J386+H386*K386+I386*L386</f>
        <v/>
      </c>
      <c r="N386" s="80">
        <f>MAX(0,I386)</f>
        <v/>
      </c>
      <c r="O386" s="80">
        <f>IF(I386&gt;0,MAX(0,M386),0)</f>
        <v/>
      </c>
      <c r="P386" s="80">
        <f>IF($I386&gt;0,MAX(0,$G386*SIN(RADIANS('13_시나리오비교'!$B$5))*SIN(RADIANS('13_시나리오비교'!$C$5))+$H386*SIN(RADIANS('13_시나리오비교'!$B$5))*COS(RADIANS('13_시나리오비교'!$C$5))+$I386*COS(RADIANS('13_시나리오비교'!$B$5))),0)</f>
        <v/>
      </c>
      <c r="Q386" s="80">
        <f>IF($I386&gt;0,MAX(0,$G386*SIN(RADIANS('13_시나리오비교'!$B$6))*SIN(RADIANS('13_시나리오비교'!$C$6))+$H386*SIN(RADIANS('13_시나리오비교'!$B$6))*COS(RADIANS('13_시나리오비교'!$C$6))+$I386*COS(RADIANS('13_시나리오비교'!$B$6))),0)</f>
        <v/>
      </c>
      <c r="R386" s="80">
        <f>IF($I386&gt;0,MAX(0,$G386*SIN(RADIANS('13_시나리오비교'!$B$7))*SIN(RADIANS('13_시나리오비교'!$C$7))+$H386*SIN(RADIANS('13_시나리오비교'!$B$7))*COS(RADIANS('13_시나리오비교'!$C$7))+$I386*COS(RADIANS('13_시나리오비교'!$B$7))),0)</f>
        <v/>
      </c>
      <c r="S386" s="80">
        <f>IF($I386&gt;0,MAX(0,$G386*SIN(RADIANS('13_시나리오비교'!$B$8))*SIN(RADIANS('13_시나리오비교'!$C$8))+$H386*SIN(RADIANS('13_시나리오비교'!$B$8))*COS(RADIANS('13_시나리오비교'!$C$8))+$I386*COS(RADIANS('13_시나리오비교'!$B$8))),0)</f>
        <v/>
      </c>
      <c r="T386" s="80">
        <f>IF($I386&gt;0,MAX(0,$G386*SIN(RADIANS('13_시나리오비교'!$B$9))*SIN(RADIANS('13_시나리오비교'!$C$9))+$H386*SIN(RADIANS('13_시나리오비교'!$B$9))*COS(RADIANS('13_시나리오비교'!$C$9))+$I386*COS(RADIANS('13_시나리오비교'!$B$9))),0)</f>
        <v/>
      </c>
      <c r="U386" s="80">
        <f>IF($I386&gt;0,MAX(0,$G386*SIN(RADIANS('13_시나리오비교'!$B$10))*SIN(RADIANS('13_시나리오비교'!$C$10))+$H386*SIN(RADIANS('13_시나리오비교'!$B$10))*COS(RADIANS('13_시나리오비교'!$C$10))+$I386*COS(RADIANS('13_시나리오비교'!$B$10))),0)</f>
        <v/>
      </c>
      <c r="V386" s="80">
        <f>IF($I386&gt;0,MAX(0,$G386*SIN(RADIANS('13_시나리오비교'!$B$11))*SIN(RADIANS('13_시나리오비교'!$C$11))+$H386*SIN(RADIANS('13_시나리오비교'!$B$11))*COS(RADIANS('13_시나리오비교'!$C$11))+$I386*COS(RADIANS('13_시나리오비교'!$B$11))),0)</f>
        <v/>
      </c>
      <c r="W386" s="80">
        <f>IF($I386&gt;0,MAX(0,$G386*SIN(RADIANS('13_시나리오비교'!$B$12))*SIN(RADIANS('13_시나리오비교'!$C$12))+$H386*SIN(RADIANS('13_시나리오비교'!$B$12))*COS(RADIANS('13_시나리오비교'!$C$12))+$I386*COS(RADIANS('13_시나리오비교'!$B$12))),0)</f>
        <v/>
      </c>
      <c r="X386" s="80">
        <f>IF($I386&gt;0,MAX(0,$G386*SIN(RADIANS('13_시나리오비교'!$B$13))*SIN(RADIANS('13_시나리오비교'!$C$13))+$H386*SIN(RADIANS('13_시나리오비교'!$B$13))*COS(RADIANS('13_시나리오비교'!$C$13))+$I386*COS(RADIANS('13_시나리오비교'!$B$13))),0)</f>
        <v/>
      </c>
      <c r="Y386" s="80">
        <f>IF($I386&gt;0,MAX(0,$G386*SIN(RADIANS('13_시나리오비교'!$B$14))*SIN(RADIANS('13_시나리오비교'!$C$14))+$H386*SIN(RADIANS('13_시나리오비교'!$B$14))*COS(RADIANS('13_시나리오비교'!$C$14))+$I386*COS(RADIANS('13_시나리오비교'!$B$14))),0)</f>
        <v/>
      </c>
    </row>
    <row r="387" hidden="1" outlineLevel="1">
      <c r="A387" s="79" t="n">
        <v>4</v>
      </c>
      <c r="B387" s="79" t="n">
        <v>79</v>
      </c>
      <c r="C387" s="80">
        <f>(B387-0.5)*'14_지역·상수'!$H$6</f>
        <v/>
      </c>
      <c r="D387" s="79" t="n">
        <v>105</v>
      </c>
      <c r="E387" s="80">
        <f>INDEX($C$4:$C$15,MATCH(A387,$A$4:$A$15,0))</f>
        <v/>
      </c>
      <c r="F387" s="80">
        <f>15*(C387-12)</f>
        <v/>
      </c>
      <c r="G387" s="80">
        <f>-COS(RADIANS(E387))*SIN(RADIANS(F387))</f>
        <v/>
      </c>
      <c r="H387" s="80">
        <f>COS(RADIANS('11_발전량_모델'!$B$17))*SIN(RADIANS(E387))-SIN(RADIANS('11_발전량_모델'!$B$17))*COS(RADIANS(E387))*COS(RADIANS(F387))</f>
        <v/>
      </c>
      <c r="I387" s="80">
        <f>SIN(RADIANS('11_발전량_모델'!$B$17))*SIN(RADIANS(E387))+COS(RADIANS('11_발전량_모델'!$B$17))*COS(RADIANS(E387))*COS(RADIANS(F387))</f>
        <v/>
      </c>
      <c r="J387" s="80">
        <f>SIN(RADIANS('11_발전량_모델'!$B$7))*SIN(RADIANS('11_발전량_모델'!$B$8))</f>
        <v/>
      </c>
      <c r="K387" s="80">
        <f>SIN(RADIANS('11_발전량_모델'!$B$7))*COS(RADIANS('11_발전량_모델'!$B$8))</f>
        <v/>
      </c>
      <c r="L387" s="80">
        <f>COS(RADIANS('11_발전량_모델'!$B$7))</f>
        <v/>
      </c>
      <c r="M387" s="80">
        <f>G387*J387+H387*K387+I387*L387</f>
        <v/>
      </c>
      <c r="N387" s="80">
        <f>MAX(0,I387)</f>
        <v/>
      </c>
      <c r="O387" s="80">
        <f>IF(I387&gt;0,MAX(0,M387),0)</f>
        <v/>
      </c>
      <c r="P387" s="80">
        <f>IF($I387&gt;0,MAX(0,$G387*SIN(RADIANS('13_시나리오비교'!$B$5))*SIN(RADIANS('13_시나리오비교'!$C$5))+$H387*SIN(RADIANS('13_시나리오비교'!$B$5))*COS(RADIANS('13_시나리오비교'!$C$5))+$I387*COS(RADIANS('13_시나리오비교'!$B$5))),0)</f>
        <v/>
      </c>
      <c r="Q387" s="80">
        <f>IF($I387&gt;0,MAX(0,$G387*SIN(RADIANS('13_시나리오비교'!$B$6))*SIN(RADIANS('13_시나리오비교'!$C$6))+$H387*SIN(RADIANS('13_시나리오비교'!$B$6))*COS(RADIANS('13_시나리오비교'!$C$6))+$I387*COS(RADIANS('13_시나리오비교'!$B$6))),0)</f>
        <v/>
      </c>
      <c r="R387" s="80">
        <f>IF($I387&gt;0,MAX(0,$G387*SIN(RADIANS('13_시나리오비교'!$B$7))*SIN(RADIANS('13_시나리오비교'!$C$7))+$H387*SIN(RADIANS('13_시나리오비교'!$B$7))*COS(RADIANS('13_시나리오비교'!$C$7))+$I387*COS(RADIANS('13_시나리오비교'!$B$7))),0)</f>
        <v/>
      </c>
      <c r="S387" s="80">
        <f>IF($I387&gt;0,MAX(0,$G387*SIN(RADIANS('13_시나리오비교'!$B$8))*SIN(RADIANS('13_시나리오비교'!$C$8))+$H387*SIN(RADIANS('13_시나리오비교'!$B$8))*COS(RADIANS('13_시나리오비교'!$C$8))+$I387*COS(RADIANS('13_시나리오비교'!$B$8))),0)</f>
        <v/>
      </c>
      <c r="T387" s="80">
        <f>IF($I387&gt;0,MAX(0,$G387*SIN(RADIANS('13_시나리오비교'!$B$9))*SIN(RADIANS('13_시나리오비교'!$C$9))+$H387*SIN(RADIANS('13_시나리오비교'!$B$9))*COS(RADIANS('13_시나리오비교'!$C$9))+$I387*COS(RADIANS('13_시나리오비교'!$B$9))),0)</f>
        <v/>
      </c>
      <c r="U387" s="80">
        <f>IF($I387&gt;0,MAX(0,$G387*SIN(RADIANS('13_시나리오비교'!$B$10))*SIN(RADIANS('13_시나리오비교'!$C$10))+$H387*SIN(RADIANS('13_시나리오비교'!$B$10))*COS(RADIANS('13_시나리오비교'!$C$10))+$I387*COS(RADIANS('13_시나리오비교'!$B$10))),0)</f>
        <v/>
      </c>
      <c r="V387" s="80">
        <f>IF($I387&gt;0,MAX(0,$G387*SIN(RADIANS('13_시나리오비교'!$B$11))*SIN(RADIANS('13_시나리오비교'!$C$11))+$H387*SIN(RADIANS('13_시나리오비교'!$B$11))*COS(RADIANS('13_시나리오비교'!$C$11))+$I387*COS(RADIANS('13_시나리오비교'!$B$11))),0)</f>
        <v/>
      </c>
      <c r="W387" s="80">
        <f>IF($I387&gt;0,MAX(0,$G387*SIN(RADIANS('13_시나리오비교'!$B$12))*SIN(RADIANS('13_시나리오비교'!$C$12))+$H387*SIN(RADIANS('13_시나리오비교'!$B$12))*COS(RADIANS('13_시나리오비교'!$C$12))+$I387*COS(RADIANS('13_시나리오비교'!$B$12))),0)</f>
        <v/>
      </c>
      <c r="X387" s="80">
        <f>IF($I387&gt;0,MAX(0,$G387*SIN(RADIANS('13_시나리오비교'!$B$13))*SIN(RADIANS('13_시나리오비교'!$C$13))+$H387*SIN(RADIANS('13_시나리오비교'!$B$13))*COS(RADIANS('13_시나리오비교'!$C$13))+$I387*COS(RADIANS('13_시나리오비교'!$B$13))),0)</f>
        <v/>
      </c>
      <c r="Y387" s="80">
        <f>IF($I387&gt;0,MAX(0,$G387*SIN(RADIANS('13_시나리오비교'!$B$14))*SIN(RADIANS('13_시나리오비교'!$C$14))+$H387*SIN(RADIANS('13_시나리오비교'!$B$14))*COS(RADIANS('13_시나리오비교'!$C$14))+$I387*COS(RADIANS('13_시나리오비교'!$B$14))),0)</f>
        <v/>
      </c>
    </row>
    <row r="388" hidden="1" outlineLevel="1">
      <c r="A388" s="79" t="n">
        <v>4</v>
      </c>
      <c r="B388" s="79" t="n">
        <v>80</v>
      </c>
      <c r="C388" s="80">
        <f>(B388-0.5)*'14_지역·상수'!$H$6</f>
        <v/>
      </c>
      <c r="D388" s="79" t="n">
        <v>105</v>
      </c>
      <c r="E388" s="80">
        <f>INDEX($C$4:$C$15,MATCH(A388,$A$4:$A$15,0))</f>
        <v/>
      </c>
      <c r="F388" s="80">
        <f>15*(C388-12)</f>
        <v/>
      </c>
      <c r="G388" s="80">
        <f>-COS(RADIANS(E388))*SIN(RADIANS(F388))</f>
        <v/>
      </c>
      <c r="H388" s="80">
        <f>COS(RADIANS('11_발전량_모델'!$B$17))*SIN(RADIANS(E388))-SIN(RADIANS('11_발전량_모델'!$B$17))*COS(RADIANS(E388))*COS(RADIANS(F388))</f>
        <v/>
      </c>
      <c r="I388" s="80">
        <f>SIN(RADIANS('11_발전량_모델'!$B$17))*SIN(RADIANS(E388))+COS(RADIANS('11_발전량_모델'!$B$17))*COS(RADIANS(E388))*COS(RADIANS(F388))</f>
        <v/>
      </c>
      <c r="J388" s="80">
        <f>SIN(RADIANS('11_발전량_모델'!$B$7))*SIN(RADIANS('11_발전량_모델'!$B$8))</f>
        <v/>
      </c>
      <c r="K388" s="80">
        <f>SIN(RADIANS('11_발전량_모델'!$B$7))*COS(RADIANS('11_발전량_모델'!$B$8))</f>
        <v/>
      </c>
      <c r="L388" s="80">
        <f>COS(RADIANS('11_발전량_모델'!$B$7))</f>
        <v/>
      </c>
      <c r="M388" s="80">
        <f>G388*J388+H388*K388+I388*L388</f>
        <v/>
      </c>
      <c r="N388" s="80">
        <f>MAX(0,I388)</f>
        <v/>
      </c>
      <c r="O388" s="80">
        <f>IF(I388&gt;0,MAX(0,M388),0)</f>
        <v/>
      </c>
      <c r="P388" s="80">
        <f>IF($I388&gt;0,MAX(0,$G388*SIN(RADIANS('13_시나리오비교'!$B$5))*SIN(RADIANS('13_시나리오비교'!$C$5))+$H388*SIN(RADIANS('13_시나리오비교'!$B$5))*COS(RADIANS('13_시나리오비교'!$C$5))+$I388*COS(RADIANS('13_시나리오비교'!$B$5))),0)</f>
        <v/>
      </c>
      <c r="Q388" s="80">
        <f>IF($I388&gt;0,MAX(0,$G388*SIN(RADIANS('13_시나리오비교'!$B$6))*SIN(RADIANS('13_시나리오비교'!$C$6))+$H388*SIN(RADIANS('13_시나리오비교'!$B$6))*COS(RADIANS('13_시나리오비교'!$C$6))+$I388*COS(RADIANS('13_시나리오비교'!$B$6))),0)</f>
        <v/>
      </c>
      <c r="R388" s="80">
        <f>IF($I388&gt;0,MAX(0,$G388*SIN(RADIANS('13_시나리오비교'!$B$7))*SIN(RADIANS('13_시나리오비교'!$C$7))+$H388*SIN(RADIANS('13_시나리오비교'!$B$7))*COS(RADIANS('13_시나리오비교'!$C$7))+$I388*COS(RADIANS('13_시나리오비교'!$B$7))),0)</f>
        <v/>
      </c>
      <c r="S388" s="80">
        <f>IF($I388&gt;0,MAX(0,$G388*SIN(RADIANS('13_시나리오비교'!$B$8))*SIN(RADIANS('13_시나리오비교'!$C$8))+$H388*SIN(RADIANS('13_시나리오비교'!$B$8))*COS(RADIANS('13_시나리오비교'!$C$8))+$I388*COS(RADIANS('13_시나리오비교'!$B$8))),0)</f>
        <v/>
      </c>
      <c r="T388" s="80">
        <f>IF($I388&gt;0,MAX(0,$G388*SIN(RADIANS('13_시나리오비교'!$B$9))*SIN(RADIANS('13_시나리오비교'!$C$9))+$H388*SIN(RADIANS('13_시나리오비교'!$B$9))*COS(RADIANS('13_시나리오비교'!$C$9))+$I388*COS(RADIANS('13_시나리오비교'!$B$9))),0)</f>
        <v/>
      </c>
      <c r="U388" s="80">
        <f>IF($I388&gt;0,MAX(0,$G388*SIN(RADIANS('13_시나리오비교'!$B$10))*SIN(RADIANS('13_시나리오비교'!$C$10))+$H388*SIN(RADIANS('13_시나리오비교'!$B$10))*COS(RADIANS('13_시나리오비교'!$C$10))+$I388*COS(RADIANS('13_시나리오비교'!$B$10))),0)</f>
        <v/>
      </c>
      <c r="V388" s="80">
        <f>IF($I388&gt;0,MAX(0,$G388*SIN(RADIANS('13_시나리오비교'!$B$11))*SIN(RADIANS('13_시나리오비교'!$C$11))+$H388*SIN(RADIANS('13_시나리오비교'!$B$11))*COS(RADIANS('13_시나리오비교'!$C$11))+$I388*COS(RADIANS('13_시나리오비교'!$B$11))),0)</f>
        <v/>
      </c>
      <c r="W388" s="80">
        <f>IF($I388&gt;0,MAX(0,$G388*SIN(RADIANS('13_시나리오비교'!$B$12))*SIN(RADIANS('13_시나리오비교'!$C$12))+$H388*SIN(RADIANS('13_시나리오비교'!$B$12))*COS(RADIANS('13_시나리오비교'!$C$12))+$I388*COS(RADIANS('13_시나리오비교'!$B$12))),0)</f>
        <v/>
      </c>
      <c r="X388" s="80">
        <f>IF($I388&gt;0,MAX(0,$G388*SIN(RADIANS('13_시나리오비교'!$B$13))*SIN(RADIANS('13_시나리오비교'!$C$13))+$H388*SIN(RADIANS('13_시나리오비교'!$B$13))*COS(RADIANS('13_시나리오비교'!$C$13))+$I388*COS(RADIANS('13_시나리오비교'!$B$13))),0)</f>
        <v/>
      </c>
      <c r="Y388" s="80">
        <f>IF($I388&gt;0,MAX(0,$G388*SIN(RADIANS('13_시나리오비교'!$B$14))*SIN(RADIANS('13_시나리오비교'!$C$14))+$H388*SIN(RADIANS('13_시나리오비교'!$B$14))*COS(RADIANS('13_시나리오비교'!$C$14))+$I388*COS(RADIANS('13_시나리오비교'!$B$14))),0)</f>
        <v/>
      </c>
    </row>
    <row r="389" hidden="1" outlineLevel="1">
      <c r="A389" s="79" t="n">
        <v>4</v>
      </c>
      <c r="B389" s="79" t="n">
        <v>81</v>
      </c>
      <c r="C389" s="80">
        <f>(B389-0.5)*'14_지역·상수'!$H$6</f>
        <v/>
      </c>
      <c r="D389" s="79" t="n">
        <v>105</v>
      </c>
      <c r="E389" s="80">
        <f>INDEX($C$4:$C$15,MATCH(A389,$A$4:$A$15,0))</f>
        <v/>
      </c>
      <c r="F389" s="80">
        <f>15*(C389-12)</f>
        <v/>
      </c>
      <c r="G389" s="80">
        <f>-COS(RADIANS(E389))*SIN(RADIANS(F389))</f>
        <v/>
      </c>
      <c r="H389" s="80">
        <f>COS(RADIANS('11_발전량_모델'!$B$17))*SIN(RADIANS(E389))-SIN(RADIANS('11_발전량_모델'!$B$17))*COS(RADIANS(E389))*COS(RADIANS(F389))</f>
        <v/>
      </c>
      <c r="I389" s="80">
        <f>SIN(RADIANS('11_발전량_모델'!$B$17))*SIN(RADIANS(E389))+COS(RADIANS('11_발전량_모델'!$B$17))*COS(RADIANS(E389))*COS(RADIANS(F389))</f>
        <v/>
      </c>
      <c r="J389" s="80">
        <f>SIN(RADIANS('11_발전량_모델'!$B$7))*SIN(RADIANS('11_발전량_모델'!$B$8))</f>
        <v/>
      </c>
      <c r="K389" s="80">
        <f>SIN(RADIANS('11_발전량_모델'!$B$7))*COS(RADIANS('11_발전량_모델'!$B$8))</f>
        <v/>
      </c>
      <c r="L389" s="80">
        <f>COS(RADIANS('11_발전량_모델'!$B$7))</f>
        <v/>
      </c>
      <c r="M389" s="80">
        <f>G389*J389+H389*K389+I389*L389</f>
        <v/>
      </c>
      <c r="N389" s="80">
        <f>MAX(0,I389)</f>
        <v/>
      </c>
      <c r="O389" s="80">
        <f>IF(I389&gt;0,MAX(0,M389),0)</f>
        <v/>
      </c>
      <c r="P389" s="80">
        <f>IF($I389&gt;0,MAX(0,$G389*SIN(RADIANS('13_시나리오비교'!$B$5))*SIN(RADIANS('13_시나리오비교'!$C$5))+$H389*SIN(RADIANS('13_시나리오비교'!$B$5))*COS(RADIANS('13_시나리오비교'!$C$5))+$I389*COS(RADIANS('13_시나리오비교'!$B$5))),0)</f>
        <v/>
      </c>
      <c r="Q389" s="80">
        <f>IF($I389&gt;0,MAX(0,$G389*SIN(RADIANS('13_시나리오비교'!$B$6))*SIN(RADIANS('13_시나리오비교'!$C$6))+$H389*SIN(RADIANS('13_시나리오비교'!$B$6))*COS(RADIANS('13_시나리오비교'!$C$6))+$I389*COS(RADIANS('13_시나리오비교'!$B$6))),0)</f>
        <v/>
      </c>
      <c r="R389" s="80">
        <f>IF($I389&gt;0,MAX(0,$G389*SIN(RADIANS('13_시나리오비교'!$B$7))*SIN(RADIANS('13_시나리오비교'!$C$7))+$H389*SIN(RADIANS('13_시나리오비교'!$B$7))*COS(RADIANS('13_시나리오비교'!$C$7))+$I389*COS(RADIANS('13_시나리오비교'!$B$7))),0)</f>
        <v/>
      </c>
      <c r="S389" s="80">
        <f>IF($I389&gt;0,MAX(0,$G389*SIN(RADIANS('13_시나리오비교'!$B$8))*SIN(RADIANS('13_시나리오비교'!$C$8))+$H389*SIN(RADIANS('13_시나리오비교'!$B$8))*COS(RADIANS('13_시나리오비교'!$C$8))+$I389*COS(RADIANS('13_시나리오비교'!$B$8))),0)</f>
        <v/>
      </c>
      <c r="T389" s="80">
        <f>IF($I389&gt;0,MAX(0,$G389*SIN(RADIANS('13_시나리오비교'!$B$9))*SIN(RADIANS('13_시나리오비교'!$C$9))+$H389*SIN(RADIANS('13_시나리오비교'!$B$9))*COS(RADIANS('13_시나리오비교'!$C$9))+$I389*COS(RADIANS('13_시나리오비교'!$B$9))),0)</f>
        <v/>
      </c>
      <c r="U389" s="80">
        <f>IF($I389&gt;0,MAX(0,$G389*SIN(RADIANS('13_시나리오비교'!$B$10))*SIN(RADIANS('13_시나리오비교'!$C$10))+$H389*SIN(RADIANS('13_시나리오비교'!$B$10))*COS(RADIANS('13_시나리오비교'!$C$10))+$I389*COS(RADIANS('13_시나리오비교'!$B$10))),0)</f>
        <v/>
      </c>
      <c r="V389" s="80">
        <f>IF($I389&gt;0,MAX(0,$G389*SIN(RADIANS('13_시나리오비교'!$B$11))*SIN(RADIANS('13_시나리오비교'!$C$11))+$H389*SIN(RADIANS('13_시나리오비교'!$B$11))*COS(RADIANS('13_시나리오비교'!$C$11))+$I389*COS(RADIANS('13_시나리오비교'!$B$11))),0)</f>
        <v/>
      </c>
      <c r="W389" s="80">
        <f>IF($I389&gt;0,MAX(0,$G389*SIN(RADIANS('13_시나리오비교'!$B$12))*SIN(RADIANS('13_시나리오비교'!$C$12))+$H389*SIN(RADIANS('13_시나리오비교'!$B$12))*COS(RADIANS('13_시나리오비교'!$C$12))+$I389*COS(RADIANS('13_시나리오비교'!$B$12))),0)</f>
        <v/>
      </c>
      <c r="X389" s="80">
        <f>IF($I389&gt;0,MAX(0,$G389*SIN(RADIANS('13_시나리오비교'!$B$13))*SIN(RADIANS('13_시나리오비교'!$C$13))+$H389*SIN(RADIANS('13_시나리오비교'!$B$13))*COS(RADIANS('13_시나리오비교'!$C$13))+$I389*COS(RADIANS('13_시나리오비교'!$B$13))),0)</f>
        <v/>
      </c>
      <c r="Y389" s="80">
        <f>IF($I389&gt;0,MAX(0,$G389*SIN(RADIANS('13_시나리오비교'!$B$14))*SIN(RADIANS('13_시나리오비교'!$C$14))+$H389*SIN(RADIANS('13_시나리오비교'!$B$14))*COS(RADIANS('13_시나리오비교'!$C$14))+$I389*COS(RADIANS('13_시나리오비교'!$B$14))),0)</f>
        <v/>
      </c>
    </row>
    <row r="390" hidden="1" outlineLevel="1">
      <c r="A390" s="79" t="n">
        <v>4</v>
      </c>
      <c r="B390" s="79" t="n">
        <v>82</v>
      </c>
      <c r="C390" s="80">
        <f>(B390-0.5)*'14_지역·상수'!$H$6</f>
        <v/>
      </c>
      <c r="D390" s="79" t="n">
        <v>105</v>
      </c>
      <c r="E390" s="80">
        <f>INDEX($C$4:$C$15,MATCH(A390,$A$4:$A$15,0))</f>
        <v/>
      </c>
      <c r="F390" s="80">
        <f>15*(C390-12)</f>
        <v/>
      </c>
      <c r="G390" s="80">
        <f>-COS(RADIANS(E390))*SIN(RADIANS(F390))</f>
        <v/>
      </c>
      <c r="H390" s="80">
        <f>COS(RADIANS('11_발전량_모델'!$B$17))*SIN(RADIANS(E390))-SIN(RADIANS('11_발전량_모델'!$B$17))*COS(RADIANS(E390))*COS(RADIANS(F390))</f>
        <v/>
      </c>
      <c r="I390" s="80">
        <f>SIN(RADIANS('11_발전량_모델'!$B$17))*SIN(RADIANS(E390))+COS(RADIANS('11_발전량_모델'!$B$17))*COS(RADIANS(E390))*COS(RADIANS(F390))</f>
        <v/>
      </c>
      <c r="J390" s="80">
        <f>SIN(RADIANS('11_발전량_모델'!$B$7))*SIN(RADIANS('11_발전량_모델'!$B$8))</f>
        <v/>
      </c>
      <c r="K390" s="80">
        <f>SIN(RADIANS('11_발전량_모델'!$B$7))*COS(RADIANS('11_발전량_모델'!$B$8))</f>
        <v/>
      </c>
      <c r="L390" s="80">
        <f>COS(RADIANS('11_발전량_모델'!$B$7))</f>
        <v/>
      </c>
      <c r="M390" s="80">
        <f>G390*J390+H390*K390+I390*L390</f>
        <v/>
      </c>
      <c r="N390" s="80">
        <f>MAX(0,I390)</f>
        <v/>
      </c>
      <c r="O390" s="80">
        <f>IF(I390&gt;0,MAX(0,M390),0)</f>
        <v/>
      </c>
      <c r="P390" s="80">
        <f>IF($I390&gt;0,MAX(0,$G390*SIN(RADIANS('13_시나리오비교'!$B$5))*SIN(RADIANS('13_시나리오비교'!$C$5))+$H390*SIN(RADIANS('13_시나리오비교'!$B$5))*COS(RADIANS('13_시나리오비교'!$C$5))+$I390*COS(RADIANS('13_시나리오비교'!$B$5))),0)</f>
        <v/>
      </c>
      <c r="Q390" s="80">
        <f>IF($I390&gt;0,MAX(0,$G390*SIN(RADIANS('13_시나리오비교'!$B$6))*SIN(RADIANS('13_시나리오비교'!$C$6))+$H390*SIN(RADIANS('13_시나리오비교'!$B$6))*COS(RADIANS('13_시나리오비교'!$C$6))+$I390*COS(RADIANS('13_시나리오비교'!$B$6))),0)</f>
        <v/>
      </c>
      <c r="R390" s="80">
        <f>IF($I390&gt;0,MAX(0,$G390*SIN(RADIANS('13_시나리오비교'!$B$7))*SIN(RADIANS('13_시나리오비교'!$C$7))+$H390*SIN(RADIANS('13_시나리오비교'!$B$7))*COS(RADIANS('13_시나리오비교'!$C$7))+$I390*COS(RADIANS('13_시나리오비교'!$B$7))),0)</f>
        <v/>
      </c>
      <c r="S390" s="80">
        <f>IF($I390&gt;0,MAX(0,$G390*SIN(RADIANS('13_시나리오비교'!$B$8))*SIN(RADIANS('13_시나리오비교'!$C$8))+$H390*SIN(RADIANS('13_시나리오비교'!$B$8))*COS(RADIANS('13_시나리오비교'!$C$8))+$I390*COS(RADIANS('13_시나리오비교'!$B$8))),0)</f>
        <v/>
      </c>
      <c r="T390" s="80">
        <f>IF($I390&gt;0,MAX(0,$G390*SIN(RADIANS('13_시나리오비교'!$B$9))*SIN(RADIANS('13_시나리오비교'!$C$9))+$H390*SIN(RADIANS('13_시나리오비교'!$B$9))*COS(RADIANS('13_시나리오비교'!$C$9))+$I390*COS(RADIANS('13_시나리오비교'!$B$9))),0)</f>
        <v/>
      </c>
      <c r="U390" s="80">
        <f>IF($I390&gt;0,MAX(0,$G390*SIN(RADIANS('13_시나리오비교'!$B$10))*SIN(RADIANS('13_시나리오비교'!$C$10))+$H390*SIN(RADIANS('13_시나리오비교'!$B$10))*COS(RADIANS('13_시나리오비교'!$C$10))+$I390*COS(RADIANS('13_시나리오비교'!$B$10))),0)</f>
        <v/>
      </c>
      <c r="V390" s="80">
        <f>IF($I390&gt;0,MAX(0,$G390*SIN(RADIANS('13_시나리오비교'!$B$11))*SIN(RADIANS('13_시나리오비교'!$C$11))+$H390*SIN(RADIANS('13_시나리오비교'!$B$11))*COS(RADIANS('13_시나리오비교'!$C$11))+$I390*COS(RADIANS('13_시나리오비교'!$B$11))),0)</f>
        <v/>
      </c>
      <c r="W390" s="80">
        <f>IF($I390&gt;0,MAX(0,$G390*SIN(RADIANS('13_시나리오비교'!$B$12))*SIN(RADIANS('13_시나리오비교'!$C$12))+$H390*SIN(RADIANS('13_시나리오비교'!$B$12))*COS(RADIANS('13_시나리오비교'!$C$12))+$I390*COS(RADIANS('13_시나리오비교'!$B$12))),0)</f>
        <v/>
      </c>
      <c r="X390" s="80">
        <f>IF($I390&gt;0,MAX(0,$G390*SIN(RADIANS('13_시나리오비교'!$B$13))*SIN(RADIANS('13_시나리오비교'!$C$13))+$H390*SIN(RADIANS('13_시나리오비교'!$B$13))*COS(RADIANS('13_시나리오비교'!$C$13))+$I390*COS(RADIANS('13_시나리오비교'!$B$13))),0)</f>
        <v/>
      </c>
      <c r="Y390" s="80">
        <f>IF($I390&gt;0,MAX(0,$G390*SIN(RADIANS('13_시나리오비교'!$B$14))*SIN(RADIANS('13_시나리오비교'!$C$14))+$H390*SIN(RADIANS('13_시나리오비교'!$B$14))*COS(RADIANS('13_시나리오비교'!$C$14))+$I390*COS(RADIANS('13_시나리오비교'!$B$14))),0)</f>
        <v/>
      </c>
    </row>
    <row r="391" hidden="1" outlineLevel="1">
      <c r="A391" s="79" t="n">
        <v>4</v>
      </c>
      <c r="B391" s="79" t="n">
        <v>83</v>
      </c>
      <c r="C391" s="80">
        <f>(B391-0.5)*'14_지역·상수'!$H$6</f>
        <v/>
      </c>
      <c r="D391" s="79" t="n">
        <v>105</v>
      </c>
      <c r="E391" s="80">
        <f>INDEX($C$4:$C$15,MATCH(A391,$A$4:$A$15,0))</f>
        <v/>
      </c>
      <c r="F391" s="80">
        <f>15*(C391-12)</f>
        <v/>
      </c>
      <c r="G391" s="80">
        <f>-COS(RADIANS(E391))*SIN(RADIANS(F391))</f>
        <v/>
      </c>
      <c r="H391" s="80">
        <f>COS(RADIANS('11_발전량_모델'!$B$17))*SIN(RADIANS(E391))-SIN(RADIANS('11_발전량_모델'!$B$17))*COS(RADIANS(E391))*COS(RADIANS(F391))</f>
        <v/>
      </c>
      <c r="I391" s="80">
        <f>SIN(RADIANS('11_발전량_모델'!$B$17))*SIN(RADIANS(E391))+COS(RADIANS('11_발전량_모델'!$B$17))*COS(RADIANS(E391))*COS(RADIANS(F391))</f>
        <v/>
      </c>
      <c r="J391" s="80">
        <f>SIN(RADIANS('11_발전량_모델'!$B$7))*SIN(RADIANS('11_발전량_모델'!$B$8))</f>
        <v/>
      </c>
      <c r="K391" s="80">
        <f>SIN(RADIANS('11_발전량_모델'!$B$7))*COS(RADIANS('11_발전량_모델'!$B$8))</f>
        <v/>
      </c>
      <c r="L391" s="80">
        <f>COS(RADIANS('11_발전량_모델'!$B$7))</f>
        <v/>
      </c>
      <c r="M391" s="80">
        <f>G391*J391+H391*K391+I391*L391</f>
        <v/>
      </c>
      <c r="N391" s="80">
        <f>MAX(0,I391)</f>
        <v/>
      </c>
      <c r="O391" s="80">
        <f>IF(I391&gt;0,MAX(0,M391),0)</f>
        <v/>
      </c>
      <c r="P391" s="80">
        <f>IF($I391&gt;0,MAX(0,$G391*SIN(RADIANS('13_시나리오비교'!$B$5))*SIN(RADIANS('13_시나리오비교'!$C$5))+$H391*SIN(RADIANS('13_시나리오비교'!$B$5))*COS(RADIANS('13_시나리오비교'!$C$5))+$I391*COS(RADIANS('13_시나리오비교'!$B$5))),0)</f>
        <v/>
      </c>
      <c r="Q391" s="80">
        <f>IF($I391&gt;0,MAX(0,$G391*SIN(RADIANS('13_시나리오비교'!$B$6))*SIN(RADIANS('13_시나리오비교'!$C$6))+$H391*SIN(RADIANS('13_시나리오비교'!$B$6))*COS(RADIANS('13_시나리오비교'!$C$6))+$I391*COS(RADIANS('13_시나리오비교'!$B$6))),0)</f>
        <v/>
      </c>
      <c r="R391" s="80">
        <f>IF($I391&gt;0,MAX(0,$G391*SIN(RADIANS('13_시나리오비교'!$B$7))*SIN(RADIANS('13_시나리오비교'!$C$7))+$H391*SIN(RADIANS('13_시나리오비교'!$B$7))*COS(RADIANS('13_시나리오비교'!$C$7))+$I391*COS(RADIANS('13_시나리오비교'!$B$7))),0)</f>
        <v/>
      </c>
      <c r="S391" s="80">
        <f>IF($I391&gt;0,MAX(0,$G391*SIN(RADIANS('13_시나리오비교'!$B$8))*SIN(RADIANS('13_시나리오비교'!$C$8))+$H391*SIN(RADIANS('13_시나리오비교'!$B$8))*COS(RADIANS('13_시나리오비교'!$C$8))+$I391*COS(RADIANS('13_시나리오비교'!$B$8))),0)</f>
        <v/>
      </c>
      <c r="T391" s="80">
        <f>IF($I391&gt;0,MAX(0,$G391*SIN(RADIANS('13_시나리오비교'!$B$9))*SIN(RADIANS('13_시나리오비교'!$C$9))+$H391*SIN(RADIANS('13_시나리오비교'!$B$9))*COS(RADIANS('13_시나리오비교'!$C$9))+$I391*COS(RADIANS('13_시나리오비교'!$B$9))),0)</f>
        <v/>
      </c>
      <c r="U391" s="80">
        <f>IF($I391&gt;0,MAX(0,$G391*SIN(RADIANS('13_시나리오비교'!$B$10))*SIN(RADIANS('13_시나리오비교'!$C$10))+$H391*SIN(RADIANS('13_시나리오비교'!$B$10))*COS(RADIANS('13_시나리오비교'!$C$10))+$I391*COS(RADIANS('13_시나리오비교'!$B$10))),0)</f>
        <v/>
      </c>
      <c r="V391" s="80">
        <f>IF($I391&gt;0,MAX(0,$G391*SIN(RADIANS('13_시나리오비교'!$B$11))*SIN(RADIANS('13_시나리오비교'!$C$11))+$H391*SIN(RADIANS('13_시나리오비교'!$B$11))*COS(RADIANS('13_시나리오비교'!$C$11))+$I391*COS(RADIANS('13_시나리오비교'!$B$11))),0)</f>
        <v/>
      </c>
      <c r="W391" s="80">
        <f>IF($I391&gt;0,MAX(0,$G391*SIN(RADIANS('13_시나리오비교'!$B$12))*SIN(RADIANS('13_시나리오비교'!$C$12))+$H391*SIN(RADIANS('13_시나리오비교'!$B$12))*COS(RADIANS('13_시나리오비교'!$C$12))+$I391*COS(RADIANS('13_시나리오비교'!$B$12))),0)</f>
        <v/>
      </c>
      <c r="X391" s="80">
        <f>IF($I391&gt;0,MAX(0,$G391*SIN(RADIANS('13_시나리오비교'!$B$13))*SIN(RADIANS('13_시나리오비교'!$C$13))+$H391*SIN(RADIANS('13_시나리오비교'!$B$13))*COS(RADIANS('13_시나리오비교'!$C$13))+$I391*COS(RADIANS('13_시나리오비교'!$B$13))),0)</f>
        <v/>
      </c>
      <c r="Y391" s="80">
        <f>IF($I391&gt;0,MAX(0,$G391*SIN(RADIANS('13_시나리오비교'!$B$14))*SIN(RADIANS('13_시나리오비교'!$C$14))+$H391*SIN(RADIANS('13_시나리오비교'!$B$14))*COS(RADIANS('13_시나리오비교'!$C$14))+$I391*COS(RADIANS('13_시나리오비교'!$B$14))),0)</f>
        <v/>
      </c>
    </row>
    <row r="392" hidden="1" outlineLevel="1">
      <c r="A392" s="79" t="n">
        <v>4</v>
      </c>
      <c r="B392" s="79" t="n">
        <v>84</v>
      </c>
      <c r="C392" s="80">
        <f>(B392-0.5)*'14_지역·상수'!$H$6</f>
        <v/>
      </c>
      <c r="D392" s="79" t="n">
        <v>105</v>
      </c>
      <c r="E392" s="80">
        <f>INDEX($C$4:$C$15,MATCH(A392,$A$4:$A$15,0))</f>
        <v/>
      </c>
      <c r="F392" s="80">
        <f>15*(C392-12)</f>
        <v/>
      </c>
      <c r="G392" s="80">
        <f>-COS(RADIANS(E392))*SIN(RADIANS(F392))</f>
        <v/>
      </c>
      <c r="H392" s="80">
        <f>COS(RADIANS('11_발전량_모델'!$B$17))*SIN(RADIANS(E392))-SIN(RADIANS('11_발전량_모델'!$B$17))*COS(RADIANS(E392))*COS(RADIANS(F392))</f>
        <v/>
      </c>
      <c r="I392" s="80">
        <f>SIN(RADIANS('11_발전량_모델'!$B$17))*SIN(RADIANS(E392))+COS(RADIANS('11_발전량_모델'!$B$17))*COS(RADIANS(E392))*COS(RADIANS(F392))</f>
        <v/>
      </c>
      <c r="J392" s="80">
        <f>SIN(RADIANS('11_발전량_모델'!$B$7))*SIN(RADIANS('11_발전량_모델'!$B$8))</f>
        <v/>
      </c>
      <c r="K392" s="80">
        <f>SIN(RADIANS('11_발전량_모델'!$B$7))*COS(RADIANS('11_발전량_모델'!$B$8))</f>
        <v/>
      </c>
      <c r="L392" s="80">
        <f>COS(RADIANS('11_발전량_모델'!$B$7))</f>
        <v/>
      </c>
      <c r="M392" s="80">
        <f>G392*J392+H392*K392+I392*L392</f>
        <v/>
      </c>
      <c r="N392" s="80">
        <f>MAX(0,I392)</f>
        <v/>
      </c>
      <c r="O392" s="80">
        <f>IF(I392&gt;0,MAX(0,M392),0)</f>
        <v/>
      </c>
      <c r="P392" s="80">
        <f>IF($I392&gt;0,MAX(0,$G392*SIN(RADIANS('13_시나리오비교'!$B$5))*SIN(RADIANS('13_시나리오비교'!$C$5))+$H392*SIN(RADIANS('13_시나리오비교'!$B$5))*COS(RADIANS('13_시나리오비교'!$C$5))+$I392*COS(RADIANS('13_시나리오비교'!$B$5))),0)</f>
        <v/>
      </c>
      <c r="Q392" s="80">
        <f>IF($I392&gt;0,MAX(0,$G392*SIN(RADIANS('13_시나리오비교'!$B$6))*SIN(RADIANS('13_시나리오비교'!$C$6))+$H392*SIN(RADIANS('13_시나리오비교'!$B$6))*COS(RADIANS('13_시나리오비교'!$C$6))+$I392*COS(RADIANS('13_시나리오비교'!$B$6))),0)</f>
        <v/>
      </c>
      <c r="R392" s="80">
        <f>IF($I392&gt;0,MAX(0,$G392*SIN(RADIANS('13_시나리오비교'!$B$7))*SIN(RADIANS('13_시나리오비교'!$C$7))+$H392*SIN(RADIANS('13_시나리오비교'!$B$7))*COS(RADIANS('13_시나리오비교'!$C$7))+$I392*COS(RADIANS('13_시나리오비교'!$B$7))),0)</f>
        <v/>
      </c>
      <c r="S392" s="80">
        <f>IF($I392&gt;0,MAX(0,$G392*SIN(RADIANS('13_시나리오비교'!$B$8))*SIN(RADIANS('13_시나리오비교'!$C$8))+$H392*SIN(RADIANS('13_시나리오비교'!$B$8))*COS(RADIANS('13_시나리오비교'!$C$8))+$I392*COS(RADIANS('13_시나리오비교'!$B$8))),0)</f>
        <v/>
      </c>
      <c r="T392" s="80">
        <f>IF($I392&gt;0,MAX(0,$G392*SIN(RADIANS('13_시나리오비교'!$B$9))*SIN(RADIANS('13_시나리오비교'!$C$9))+$H392*SIN(RADIANS('13_시나리오비교'!$B$9))*COS(RADIANS('13_시나리오비교'!$C$9))+$I392*COS(RADIANS('13_시나리오비교'!$B$9))),0)</f>
        <v/>
      </c>
      <c r="U392" s="80">
        <f>IF($I392&gt;0,MAX(0,$G392*SIN(RADIANS('13_시나리오비교'!$B$10))*SIN(RADIANS('13_시나리오비교'!$C$10))+$H392*SIN(RADIANS('13_시나리오비교'!$B$10))*COS(RADIANS('13_시나리오비교'!$C$10))+$I392*COS(RADIANS('13_시나리오비교'!$B$10))),0)</f>
        <v/>
      </c>
      <c r="V392" s="80">
        <f>IF($I392&gt;0,MAX(0,$G392*SIN(RADIANS('13_시나리오비교'!$B$11))*SIN(RADIANS('13_시나리오비교'!$C$11))+$H392*SIN(RADIANS('13_시나리오비교'!$B$11))*COS(RADIANS('13_시나리오비교'!$C$11))+$I392*COS(RADIANS('13_시나리오비교'!$B$11))),0)</f>
        <v/>
      </c>
      <c r="W392" s="80">
        <f>IF($I392&gt;0,MAX(0,$G392*SIN(RADIANS('13_시나리오비교'!$B$12))*SIN(RADIANS('13_시나리오비교'!$C$12))+$H392*SIN(RADIANS('13_시나리오비교'!$B$12))*COS(RADIANS('13_시나리오비교'!$C$12))+$I392*COS(RADIANS('13_시나리오비교'!$B$12))),0)</f>
        <v/>
      </c>
      <c r="X392" s="80">
        <f>IF($I392&gt;0,MAX(0,$G392*SIN(RADIANS('13_시나리오비교'!$B$13))*SIN(RADIANS('13_시나리오비교'!$C$13))+$H392*SIN(RADIANS('13_시나리오비교'!$B$13))*COS(RADIANS('13_시나리오비교'!$C$13))+$I392*COS(RADIANS('13_시나리오비교'!$B$13))),0)</f>
        <v/>
      </c>
      <c r="Y392" s="80">
        <f>IF($I392&gt;0,MAX(0,$G392*SIN(RADIANS('13_시나리오비교'!$B$14))*SIN(RADIANS('13_시나리오비교'!$C$14))+$H392*SIN(RADIANS('13_시나리오비교'!$B$14))*COS(RADIANS('13_시나리오비교'!$C$14))+$I392*COS(RADIANS('13_시나리오비교'!$B$14))),0)</f>
        <v/>
      </c>
    </row>
    <row r="393" hidden="1" outlineLevel="1">
      <c r="A393" s="79" t="n">
        <v>4</v>
      </c>
      <c r="B393" s="79" t="n">
        <v>85</v>
      </c>
      <c r="C393" s="80">
        <f>(B393-0.5)*'14_지역·상수'!$H$6</f>
        <v/>
      </c>
      <c r="D393" s="79" t="n">
        <v>105</v>
      </c>
      <c r="E393" s="80">
        <f>INDEX($C$4:$C$15,MATCH(A393,$A$4:$A$15,0))</f>
        <v/>
      </c>
      <c r="F393" s="80">
        <f>15*(C393-12)</f>
        <v/>
      </c>
      <c r="G393" s="80">
        <f>-COS(RADIANS(E393))*SIN(RADIANS(F393))</f>
        <v/>
      </c>
      <c r="H393" s="80">
        <f>COS(RADIANS('11_발전량_모델'!$B$17))*SIN(RADIANS(E393))-SIN(RADIANS('11_발전량_모델'!$B$17))*COS(RADIANS(E393))*COS(RADIANS(F393))</f>
        <v/>
      </c>
      <c r="I393" s="80">
        <f>SIN(RADIANS('11_발전량_모델'!$B$17))*SIN(RADIANS(E393))+COS(RADIANS('11_발전량_모델'!$B$17))*COS(RADIANS(E393))*COS(RADIANS(F393))</f>
        <v/>
      </c>
      <c r="J393" s="80">
        <f>SIN(RADIANS('11_발전량_모델'!$B$7))*SIN(RADIANS('11_발전량_모델'!$B$8))</f>
        <v/>
      </c>
      <c r="K393" s="80">
        <f>SIN(RADIANS('11_발전량_모델'!$B$7))*COS(RADIANS('11_발전량_모델'!$B$8))</f>
        <v/>
      </c>
      <c r="L393" s="80">
        <f>COS(RADIANS('11_발전량_모델'!$B$7))</f>
        <v/>
      </c>
      <c r="M393" s="80">
        <f>G393*J393+H393*K393+I393*L393</f>
        <v/>
      </c>
      <c r="N393" s="80">
        <f>MAX(0,I393)</f>
        <v/>
      </c>
      <c r="O393" s="80">
        <f>IF(I393&gt;0,MAX(0,M393),0)</f>
        <v/>
      </c>
      <c r="P393" s="80">
        <f>IF($I393&gt;0,MAX(0,$G393*SIN(RADIANS('13_시나리오비교'!$B$5))*SIN(RADIANS('13_시나리오비교'!$C$5))+$H393*SIN(RADIANS('13_시나리오비교'!$B$5))*COS(RADIANS('13_시나리오비교'!$C$5))+$I393*COS(RADIANS('13_시나리오비교'!$B$5))),0)</f>
        <v/>
      </c>
      <c r="Q393" s="80">
        <f>IF($I393&gt;0,MAX(0,$G393*SIN(RADIANS('13_시나리오비교'!$B$6))*SIN(RADIANS('13_시나리오비교'!$C$6))+$H393*SIN(RADIANS('13_시나리오비교'!$B$6))*COS(RADIANS('13_시나리오비교'!$C$6))+$I393*COS(RADIANS('13_시나리오비교'!$B$6))),0)</f>
        <v/>
      </c>
      <c r="R393" s="80">
        <f>IF($I393&gt;0,MAX(0,$G393*SIN(RADIANS('13_시나리오비교'!$B$7))*SIN(RADIANS('13_시나리오비교'!$C$7))+$H393*SIN(RADIANS('13_시나리오비교'!$B$7))*COS(RADIANS('13_시나리오비교'!$C$7))+$I393*COS(RADIANS('13_시나리오비교'!$B$7))),0)</f>
        <v/>
      </c>
      <c r="S393" s="80">
        <f>IF($I393&gt;0,MAX(0,$G393*SIN(RADIANS('13_시나리오비교'!$B$8))*SIN(RADIANS('13_시나리오비교'!$C$8))+$H393*SIN(RADIANS('13_시나리오비교'!$B$8))*COS(RADIANS('13_시나리오비교'!$C$8))+$I393*COS(RADIANS('13_시나리오비교'!$B$8))),0)</f>
        <v/>
      </c>
      <c r="T393" s="80">
        <f>IF($I393&gt;0,MAX(0,$G393*SIN(RADIANS('13_시나리오비교'!$B$9))*SIN(RADIANS('13_시나리오비교'!$C$9))+$H393*SIN(RADIANS('13_시나리오비교'!$B$9))*COS(RADIANS('13_시나리오비교'!$C$9))+$I393*COS(RADIANS('13_시나리오비교'!$B$9))),0)</f>
        <v/>
      </c>
      <c r="U393" s="80">
        <f>IF($I393&gt;0,MAX(0,$G393*SIN(RADIANS('13_시나리오비교'!$B$10))*SIN(RADIANS('13_시나리오비교'!$C$10))+$H393*SIN(RADIANS('13_시나리오비교'!$B$10))*COS(RADIANS('13_시나리오비교'!$C$10))+$I393*COS(RADIANS('13_시나리오비교'!$B$10))),0)</f>
        <v/>
      </c>
      <c r="V393" s="80">
        <f>IF($I393&gt;0,MAX(0,$G393*SIN(RADIANS('13_시나리오비교'!$B$11))*SIN(RADIANS('13_시나리오비교'!$C$11))+$H393*SIN(RADIANS('13_시나리오비교'!$B$11))*COS(RADIANS('13_시나리오비교'!$C$11))+$I393*COS(RADIANS('13_시나리오비교'!$B$11))),0)</f>
        <v/>
      </c>
      <c r="W393" s="80">
        <f>IF($I393&gt;0,MAX(0,$G393*SIN(RADIANS('13_시나리오비교'!$B$12))*SIN(RADIANS('13_시나리오비교'!$C$12))+$H393*SIN(RADIANS('13_시나리오비교'!$B$12))*COS(RADIANS('13_시나리오비교'!$C$12))+$I393*COS(RADIANS('13_시나리오비교'!$B$12))),0)</f>
        <v/>
      </c>
      <c r="X393" s="80">
        <f>IF($I393&gt;0,MAX(0,$G393*SIN(RADIANS('13_시나리오비교'!$B$13))*SIN(RADIANS('13_시나리오비교'!$C$13))+$H393*SIN(RADIANS('13_시나리오비교'!$B$13))*COS(RADIANS('13_시나리오비교'!$C$13))+$I393*COS(RADIANS('13_시나리오비교'!$B$13))),0)</f>
        <v/>
      </c>
      <c r="Y393" s="80">
        <f>IF($I393&gt;0,MAX(0,$G393*SIN(RADIANS('13_시나리오비교'!$B$14))*SIN(RADIANS('13_시나리오비교'!$C$14))+$H393*SIN(RADIANS('13_시나리오비교'!$B$14))*COS(RADIANS('13_시나리오비교'!$C$14))+$I393*COS(RADIANS('13_시나리오비교'!$B$14))),0)</f>
        <v/>
      </c>
    </row>
    <row r="394" hidden="1" outlineLevel="1">
      <c r="A394" s="79" t="n">
        <v>4</v>
      </c>
      <c r="B394" s="79" t="n">
        <v>86</v>
      </c>
      <c r="C394" s="80">
        <f>(B394-0.5)*'14_지역·상수'!$H$6</f>
        <v/>
      </c>
      <c r="D394" s="79" t="n">
        <v>105</v>
      </c>
      <c r="E394" s="80">
        <f>INDEX($C$4:$C$15,MATCH(A394,$A$4:$A$15,0))</f>
        <v/>
      </c>
      <c r="F394" s="80">
        <f>15*(C394-12)</f>
        <v/>
      </c>
      <c r="G394" s="80">
        <f>-COS(RADIANS(E394))*SIN(RADIANS(F394))</f>
        <v/>
      </c>
      <c r="H394" s="80">
        <f>COS(RADIANS('11_발전량_모델'!$B$17))*SIN(RADIANS(E394))-SIN(RADIANS('11_발전량_모델'!$B$17))*COS(RADIANS(E394))*COS(RADIANS(F394))</f>
        <v/>
      </c>
      <c r="I394" s="80">
        <f>SIN(RADIANS('11_발전량_모델'!$B$17))*SIN(RADIANS(E394))+COS(RADIANS('11_발전량_모델'!$B$17))*COS(RADIANS(E394))*COS(RADIANS(F394))</f>
        <v/>
      </c>
      <c r="J394" s="80">
        <f>SIN(RADIANS('11_발전량_모델'!$B$7))*SIN(RADIANS('11_발전량_모델'!$B$8))</f>
        <v/>
      </c>
      <c r="K394" s="80">
        <f>SIN(RADIANS('11_발전량_모델'!$B$7))*COS(RADIANS('11_발전량_모델'!$B$8))</f>
        <v/>
      </c>
      <c r="L394" s="80">
        <f>COS(RADIANS('11_발전량_모델'!$B$7))</f>
        <v/>
      </c>
      <c r="M394" s="80">
        <f>G394*J394+H394*K394+I394*L394</f>
        <v/>
      </c>
      <c r="N394" s="80">
        <f>MAX(0,I394)</f>
        <v/>
      </c>
      <c r="O394" s="80">
        <f>IF(I394&gt;0,MAX(0,M394),0)</f>
        <v/>
      </c>
      <c r="P394" s="80">
        <f>IF($I394&gt;0,MAX(0,$G394*SIN(RADIANS('13_시나리오비교'!$B$5))*SIN(RADIANS('13_시나리오비교'!$C$5))+$H394*SIN(RADIANS('13_시나리오비교'!$B$5))*COS(RADIANS('13_시나리오비교'!$C$5))+$I394*COS(RADIANS('13_시나리오비교'!$B$5))),0)</f>
        <v/>
      </c>
      <c r="Q394" s="80">
        <f>IF($I394&gt;0,MAX(0,$G394*SIN(RADIANS('13_시나리오비교'!$B$6))*SIN(RADIANS('13_시나리오비교'!$C$6))+$H394*SIN(RADIANS('13_시나리오비교'!$B$6))*COS(RADIANS('13_시나리오비교'!$C$6))+$I394*COS(RADIANS('13_시나리오비교'!$B$6))),0)</f>
        <v/>
      </c>
      <c r="R394" s="80">
        <f>IF($I394&gt;0,MAX(0,$G394*SIN(RADIANS('13_시나리오비교'!$B$7))*SIN(RADIANS('13_시나리오비교'!$C$7))+$H394*SIN(RADIANS('13_시나리오비교'!$B$7))*COS(RADIANS('13_시나리오비교'!$C$7))+$I394*COS(RADIANS('13_시나리오비교'!$B$7))),0)</f>
        <v/>
      </c>
      <c r="S394" s="80">
        <f>IF($I394&gt;0,MAX(0,$G394*SIN(RADIANS('13_시나리오비교'!$B$8))*SIN(RADIANS('13_시나리오비교'!$C$8))+$H394*SIN(RADIANS('13_시나리오비교'!$B$8))*COS(RADIANS('13_시나리오비교'!$C$8))+$I394*COS(RADIANS('13_시나리오비교'!$B$8))),0)</f>
        <v/>
      </c>
      <c r="T394" s="80">
        <f>IF($I394&gt;0,MAX(0,$G394*SIN(RADIANS('13_시나리오비교'!$B$9))*SIN(RADIANS('13_시나리오비교'!$C$9))+$H394*SIN(RADIANS('13_시나리오비교'!$B$9))*COS(RADIANS('13_시나리오비교'!$C$9))+$I394*COS(RADIANS('13_시나리오비교'!$B$9))),0)</f>
        <v/>
      </c>
      <c r="U394" s="80">
        <f>IF($I394&gt;0,MAX(0,$G394*SIN(RADIANS('13_시나리오비교'!$B$10))*SIN(RADIANS('13_시나리오비교'!$C$10))+$H394*SIN(RADIANS('13_시나리오비교'!$B$10))*COS(RADIANS('13_시나리오비교'!$C$10))+$I394*COS(RADIANS('13_시나리오비교'!$B$10))),0)</f>
        <v/>
      </c>
      <c r="V394" s="80">
        <f>IF($I394&gt;0,MAX(0,$G394*SIN(RADIANS('13_시나리오비교'!$B$11))*SIN(RADIANS('13_시나리오비교'!$C$11))+$H394*SIN(RADIANS('13_시나리오비교'!$B$11))*COS(RADIANS('13_시나리오비교'!$C$11))+$I394*COS(RADIANS('13_시나리오비교'!$B$11))),0)</f>
        <v/>
      </c>
      <c r="W394" s="80">
        <f>IF($I394&gt;0,MAX(0,$G394*SIN(RADIANS('13_시나리오비교'!$B$12))*SIN(RADIANS('13_시나리오비교'!$C$12))+$H394*SIN(RADIANS('13_시나리오비교'!$B$12))*COS(RADIANS('13_시나리오비교'!$C$12))+$I394*COS(RADIANS('13_시나리오비교'!$B$12))),0)</f>
        <v/>
      </c>
      <c r="X394" s="80">
        <f>IF($I394&gt;0,MAX(0,$G394*SIN(RADIANS('13_시나리오비교'!$B$13))*SIN(RADIANS('13_시나리오비교'!$C$13))+$H394*SIN(RADIANS('13_시나리오비교'!$B$13))*COS(RADIANS('13_시나리오비교'!$C$13))+$I394*COS(RADIANS('13_시나리오비교'!$B$13))),0)</f>
        <v/>
      </c>
      <c r="Y394" s="80">
        <f>IF($I394&gt;0,MAX(0,$G394*SIN(RADIANS('13_시나리오비교'!$B$14))*SIN(RADIANS('13_시나리오비교'!$C$14))+$H394*SIN(RADIANS('13_시나리오비교'!$B$14))*COS(RADIANS('13_시나리오비교'!$C$14))+$I394*COS(RADIANS('13_시나리오비교'!$B$14))),0)</f>
        <v/>
      </c>
    </row>
    <row r="395" hidden="1" outlineLevel="1">
      <c r="A395" s="79" t="n">
        <v>4</v>
      </c>
      <c r="B395" s="79" t="n">
        <v>87</v>
      </c>
      <c r="C395" s="80">
        <f>(B395-0.5)*'14_지역·상수'!$H$6</f>
        <v/>
      </c>
      <c r="D395" s="79" t="n">
        <v>105</v>
      </c>
      <c r="E395" s="80">
        <f>INDEX($C$4:$C$15,MATCH(A395,$A$4:$A$15,0))</f>
        <v/>
      </c>
      <c r="F395" s="80">
        <f>15*(C395-12)</f>
        <v/>
      </c>
      <c r="G395" s="80">
        <f>-COS(RADIANS(E395))*SIN(RADIANS(F395))</f>
        <v/>
      </c>
      <c r="H395" s="80">
        <f>COS(RADIANS('11_발전량_모델'!$B$17))*SIN(RADIANS(E395))-SIN(RADIANS('11_발전량_모델'!$B$17))*COS(RADIANS(E395))*COS(RADIANS(F395))</f>
        <v/>
      </c>
      <c r="I395" s="80">
        <f>SIN(RADIANS('11_발전량_모델'!$B$17))*SIN(RADIANS(E395))+COS(RADIANS('11_발전량_모델'!$B$17))*COS(RADIANS(E395))*COS(RADIANS(F395))</f>
        <v/>
      </c>
      <c r="J395" s="80">
        <f>SIN(RADIANS('11_발전량_모델'!$B$7))*SIN(RADIANS('11_발전량_모델'!$B$8))</f>
        <v/>
      </c>
      <c r="K395" s="80">
        <f>SIN(RADIANS('11_발전량_모델'!$B$7))*COS(RADIANS('11_발전량_모델'!$B$8))</f>
        <v/>
      </c>
      <c r="L395" s="80">
        <f>COS(RADIANS('11_발전량_모델'!$B$7))</f>
        <v/>
      </c>
      <c r="M395" s="80">
        <f>G395*J395+H395*K395+I395*L395</f>
        <v/>
      </c>
      <c r="N395" s="80">
        <f>MAX(0,I395)</f>
        <v/>
      </c>
      <c r="O395" s="80">
        <f>IF(I395&gt;0,MAX(0,M395),0)</f>
        <v/>
      </c>
      <c r="P395" s="80">
        <f>IF($I395&gt;0,MAX(0,$G395*SIN(RADIANS('13_시나리오비교'!$B$5))*SIN(RADIANS('13_시나리오비교'!$C$5))+$H395*SIN(RADIANS('13_시나리오비교'!$B$5))*COS(RADIANS('13_시나리오비교'!$C$5))+$I395*COS(RADIANS('13_시나리오비교'!$B$5))),0)</f>
        <v/>
      </c>
      <c r="Q395" s="80">
        <f>IF($I395&gt;0,MAX(0,$G395*SIN(RADIANS('13_시나리오비교'!$B$6))*SIN(RADIANS('13_시나리오비교'!$C$6))+$H395*SIN(RADIANS('13_시나리오비교'!$B$6))*COS(RADIANS('13_시나리오비교'!$C$6))+$I395*COS(RADIANS('13_시나리오비교'!$B$6))),0)</f>
        <v/>
      </c>
      <c r="R395" s="80">
        <f>IF($I395&gt;0,MAX(0,$G395*SIN(RADIANS('13_시나리오비교'!$B$7))*SIN(RADIANS('13_시나리오비교'!$C$7))+$H395*SIN(RADIANS('13_시나리오비교'!$B$7))*COS(RADIANS('13_시나리오비교'!$C$7))+$I395*COS(RADIANS('13_시나리오비교'!$B$7))),0)</f>
        <v/>
      </c>
      <c r="S395" s="80">
        <f>IF($I395&gt;0,MAX(0,$G395*SIN(RADIANS('13_시나리오비교'!$B$8))*SIN(RADIANS('13_시나리오비교'!$C$8))+$H395*SIN(RADIANS('13_시나리오비교'!$B$8))*COS(RADIANS('13_시나리오비교'!$C$8))+$I395*COS(RADIANS('13_시나리오비교'!$B$8))),0)</f>
        <v/>
      </c>
      <c r="T395" s="80">
        <f>IF($I395&gt;0,MAX(0,$G395*SIN(RADIANS('13_시나리오비교'!$B$9))*SIN(RADIANS('13_시나리오비교'!$C$9))+$H395*SIN(RADIANS('13_시나리오비교'!$B$9))*COS(RADIANS('13_시나리오비교'!$C$9))+$I395*COS(RADIANS('13_시나리오비교'!$B$9))),0)</f>
        <v/>
      </c>
      <c r="U395" s="80">
        <f>IF($I395&gt;0,MAX(0,$G395*SIN(RADIANS('13_시나리오비교'!$B$10))*SIN(RADIANS('13_시나리오비교'!$C$10))+$H395*SIN(RADIANS('13_시나리오비교'!$B$10))*COS(RADIANS('13_시나리오비교'!$C$10))+$I395*COS(RADIANS('13_시나리오비교'!$B$10))),0)</f>
        <v/>
      </c>
      <c r="V395" s="80">
        <f>IF($I395&gt;0,MAX(0,$G395*SIN(RADIANS('13_시나리오비교'!$B$11))*SIN(RADIANS('13_시나리오비교'!$C$11))+$H395*SIN(RADIANS('13_시나리오비교'!$B$11))*COS(RADIANS('13_시나리오비교'!$C$11))+$I395*COS(RADIANS('13_시나리오비교'!$B$11))),0)</f>
        <v/>
      </c>
      <c r="W395" s="80">
        <f>IF($I395&gt;0,MAX(0,$G395*SIN(RADIANS('13_시나리오비교'!$B$12))*SIN(RADIANS('13_시나리오비교'!$C$12))+$H395*SIN(RADIANS('13_시나리오비교'!$B$12))*COS(RADIANS('13_시나리오비교'!$C$12))+$I395*COS(RADIANS('13_시나리오비교'!$B$12))),0)</f>
        <v/>
      </c>
      <c r="X395" s="80">
        <f>IF($I395&gt;0,MAX(0,$G395*SIN(RADIANS('13_시나리오비교'!$B$13))*SIN(RADIANS('13_시나리오비교'!$C$13))+$H395*SIN(RADIANS('13_시나리오비교'!$B$13))*COS(RADIANS('13_시나리오비교'!$C$13))+$I395*COS(RADIANS('13_시나리오비교'!$B$13))),0)</f>
        <v/>
      </c>
      <c r="Y395" s="80">
        <f>IF($I395&gt;0,MAX(0,$G395*SIN(RADIANS('13_시나리오비교'!$B$14))*SIN(RADIANS('13_시나리오비교'!$C$14))+$H395*SIN(RADIANS('13_시나리오비교'!$B$14))*COS(RADIANS('13_시나리오비교'!$C$14))+$I395*COS(RADIANS('13_시나리오비교'!$B$14))),0)</f>
        <v/>
      </c>
    </row>
    <row r="396" hidden="1" outlineLevel="1">
      <c r="A396" s="79" t="n">
        <v>4</v>
      </c>
      <c r="B396" s="79" t="n">
        <v>88</v>
      </c>
      <c r="C396" s="80">
        <f>(B396-0.5)*'14_지역·상수'!$H$6</f>
        <v/>
      </c>
      <c r="D396" s="79" t="n">
        <v>105</v>
      </c>
      <c r="E396" s="80">
        <f>INDEX($C$4:$C$15,MATCH(A396,$A$4:$A$15,0))</f>
        <v/>
      </c>
      <c r="F396" s="80">
        <f>15*(C396-12)</f>
        <v/>
      </c>
      <c r="G396" s="80">
        <f>-COS(RADIANS(E396))*SIN(RADIANS(F396))</f>
        <v/>
      </c>
      <c r="H396" s="80">
        <f>COS(RADIANS('11_발전량_모델'!$B$17))*SIN(RADIANS(E396))-SIN(RADIANS('11_발전량_모델'!$B$17))*COS(RADIANS(E396))*COS(RADIANS(F396))</f>
        <v/>
      </c>
      <c r="I396" s="80">
        <f>SIN(RADIANS('11_발전량_모델'!$B$17))*SIN(RADIANS(E396))+COS(RADIANS('11_발전량_모델'!$B$17))*COS(RADIANS(E396))*COS(RADIANS(F396))</f>
        <v/>
      </c>
      <c r="J396" s="80">
        <f>SIN(RADIANS('11_발전량_모델'!$B$7))*SIN(RADIANS('11_발전량_모델'!$B$8))</f>
        <v/>
      </c>
      <c r="K396" s="80">
        <f>SIN(RADIANS('11_발전량_모델'!$B$7))*COS(RADIANS('11_발전량_모델'!$B$8))</f>
        <v/>
      </c>
      <c r="L396" s="80">
        <f>COS(RADIANS('11_발전량_모델'!$B$7))</f>
        <v/>
      </c>
      <c r="M396" s="80">
        <f>G396*J396+H396*K396+I396*L396</f>
        <v/>
      </c>
      <c r="N396" s="80">
        <f>MAX(0,I396)</f>
        <v/>
      </c>
      <c r="O396" s="80">
        <f>IF(I396&gt;0,MAX(0,M396),0)</f>
        <v/>
      </c>
      <c r="P396" s="80">
        <f>IF($I396&gt;0,MAX(0,$G396*SIN(RADIANS('13_시나리오비교'!$B$5))*SIN(RADIANS('13_시나리오비교'!$C$5))+$H396*SIN(RADIANS('13_시나리오비교'!$B$5))*COS(RADIANS('13_시나리오비교'!$C$5))+$I396*COS(RADIANS('13_시나리오비교'!$B$5))),0)</f>
        <v/>
      </c>
      <c r="Q396" s="80">
        <f>IF($I396&gt;0,MAX(0,$G396*SIN(RADIANS('13_시나리오비교'!$B$6))*SIN(RADIANS('13_시나리오비교'!$C$6))+$H396*SIN(RADIANS('13_시나리오비교'!$B$6))*COS(RADIANS('13_시나리오비교'!$C$6))+$I396*COS(RADIANS('13_시나리오비교'!$B$6))),0)</f>
        <v/>
      </c>
      <c r="R396" s="80">
        <f>IF($I396&gt;0,MAX(0,$G396*SIN(RADIANS('13_시나리오비교'!$B$7))*SIN(RADIANS('13_시나리오비교'!$C$7))+$H396*SIN(RADIANS('13_시나리오비교'!$B$7))*COS(RADIANS('13_시나리오비교'!$C$7))+$I396*COS(RADIANS('13_시나리오비교'!$B$7))),0)</f>
        <v/>
      </c>
      <c r="S396" s="80">
        <f>IF($I396&gt;0,MAX(0,$G396*SIN(RADIANS('13_시나리오비교'!$B$8))*SIN(RADIANS('13_시나리오비교'!$C$8))+$H396*SIN(RADIANS('13_시나리오비교'!$B$8))*COS(RADIANS('13_시나리오비교'!$C$8))+$I396*COS(RADIANS('13_시나리오비교'!$B$8))),0)</f>
        <v/>
      </c>
      <c r="T396" s="80">
        <f>IF($I396&gt;0,MAX(0,$G396*SIN(RADIANS('13_시나리오비교'!$B$9))*SIN(RADIANS('13_시나리오비교'!$C$9))+$H396*SIN(RADIANS('13_시나리오비교'!$B$9))*COS(RADIANS('13_시나리오비교'!$C$9))+$I396*COS(RADIANS('13_시나리오비교'!$B$9))),0)</f>
        <v/>
      </c>
      <c r="U396" s="80">
        <f>IF($I396&gt;0,MAX(0,$G396*SIN(RADIANS('13_시나리오비교'!$B$10))*SIN(RADIANS('13_시나리오비교'!$C$10))+$H396*SIN(RADIANS('13_시나리오비교'!$B$10))*COS(RADIANS('13_시나리오비교'!$C$10))+$I396*COS(RADIANS('13_시나리오비교'!$B$10))),0)</f>
        <v/>
      </c>
      <c r="V396" s="80">
        <f>IF($I396&gt;0,MAX(0,$G396*SIN(RADIANS('13_시나리오비교'!$B$11))*SIN(RADIANS('13_시나리오비교'!$C$11))+$H396*SIN(RADIANS('13_시나리오비교'!$B$11))*COS(RADIANS('13_시나리오비교'!$C$11))+$I396*COS(RADIANS('13_시나리오비교'!$B$11))),0)</f>
        <v/>
      </c>
      <c r="W396" s="80">
        <f>IF($I396&gt;0,MAX(0,$G396*SIN(RADIANS('13_시나리오비교'!$B$12))*SIN(RADIANS('13_시나리오비교'!$C$12))+$H396*SIN(RADIANS('13_시나리오비교'!$B$12))*COS(RADIANS('13_시나리오비교'!$C$12))+$I396*COS(RADIANS('13_시나리오비교'!$B$12))),0)</f>
        <v/>
      </c>
      <c r="X396" s="80">
        <f>IF($I396&gt;0,MAX(0,$G396*SIN(RADIANS('13_시나리오비교'!$B$13))*SIN(RADIANS('13_시나리오비교'!$C$13))+$H396*SIN(RADIANS('13_시나리오비교'!$B$13))*COS(RADIANS('13_시나리오비교'!$C$13))+$I396*COS(RADIANS('13_시나리오비교'!$B$13))),0)</f>
        <v/>
      </c>
      <c r="Y396" s="80">
        <f>IF($I396&gt;0,MAX(0,$G396*SIN(RADIANS('13_시나리오비교'!$B$14))*SIN(RADIANS('13_시나리오비교'!$C$14))+$H396*SIN(RADIANS('13_시나리오비교'!$B$14))*COS(RADIANS('13_시나리오비교'!$C$14))+$I396*COS(RADIANS('13_시나리오비교'!$B$14))),0)</f>
        <v/>
      </c>
    </row>
    <row r="397" hidden="1" outlineLevel="1">
      <c r="A397" s="79" t="n">
        <v>4</v>
      </c>
      <c r="B397" s="79" t="n">
        <v>89</v>
      </c>
      <c r="C397" s="80">
        <f>(B397-0.5)*'14_지역·상수'!$H$6</f>
        <v/>
      </c>
      <c r="D397" s="79" t="n">
        <v>105</v>
      </c>
      <c r="E397" s="80">
        <f>INDEX($C$4:$C$15,MATCH(A397,$A$4:$A$15,0))</f>
        <v/>
      </c>
      <c r="F397" s="80">
        <f>15*(C397-12)</f>
        <v/>
      </c>
      <c r="G397" s="80">
        <f>-COS(RADIANS(E397))*SIN(RADIANS(F397))</f>
        <v/>
      </c>
      <c r="H397" s="80">
        <f>COS(RADIANS('11_발전량_모델'!$B$17))*SIN(RADIANS(E397))-SIN(RADIANS('11_발전량_모델'!$B$17))*COS(RADIANS(E397))*COS(RADIANS(F397))</f>
        <v/>
      </c>
      <c r="I397" s="80">
        <f>SIN(RADIANS('11_발전량_모델'!$B$17))*SIN(RADIANS(E397))+COS(RADIANS('11_발전량_모델'!$B$17))*COS(RADIANS(E397))*COS(RADIANS(F397))</f>
        <v/>
      </c>
      <c r="J397" s="80">
        <f>SIN(RADIANS('11_발전량_모델'!$B$7))*SIN(RADIANS('11_발전량_모델'!$B$8))</f>
        <v/>
      </c>
      <c r="K397" s="80">
        <f>SIN(RADIANS('11_발전량_모델'!$B$7))*COS(RADIANS('11_발전량_모델'!$B$8))</f>
        <v/>
      </c>
      <c r="L397" s="80">
        <f>COS(RADIANS('11_발전량_모델'!$B$7))</f>
        <v/>
      </c>
      <c r="M397" s="80">
        <f>G397*J397+H397*K397+I397*L397</f>
        <v/>
      </c>
      <c r="N397" s="80">
        <f>MAX(0,I397)</f>
        <v/>
      </c>
      <c r="O397" s="80">
        <f>IF(I397&gt;0,MAX(0,M397),0)</f>
        <v/>
      </c>
      <c r="P397" s="80">
        <f>IF($I397&gt;0,MAX(0,$G397*SIN(RADIANS('13_시나리오비교'!$B$5))*SIN(RADIANS('13_시나리오비교'!$C$5))+$H397*SIN(RADIANS('13_시나리오비교'!$B$5))*COS(RADIANS('13_시나리오비교'!$C$5))+$I397*COS(RADIANS('13_시나리오비교'!$B$5))),0)</f>
        <v/>
      </c>
      <c r="Q397" s="80">
        <f>IF($I397&gt;0,MAX(0,$G397*SIN(RADIANS('13_시나리오비교'!$B$6))*SIN(RADIANS('13_시나리오비교'!$C$6))+$H397*SIN(RADIANS('13_시나리오비교'!$B$6))*COS(RADIANS('13_시나리오비교'!$C$6))+$I397*COS(RADIANS('13_시나리오비교'!$B$6))),0)</f>
        <v/>
      </c>
      <c r="R397" s="80">
        <f>IF($I397&gt;0,MAX(0,$G397*SIN(RADIANS('13_시나리오비교'!$B$7))*SIN(RADIANS('13_시나리오비교'!$C$7))+$H397*SIN(RADIANS('13_시나리오비교'!$B$7))*COS(RADIANS('13_시나리오비교'!$C$7))+$I397*COS(RADIANS('13_시나리오비교'!$B$7))),0)</f>
        <v/>
      </c>
      <c r="S397" s="80">
        <f>IF($I397&gt;0,MAX(0,$G397*SIN(RADIANS('13_시나리오비교'!$B$8))*SIN(RADIANS('13_시나리오비교'!$C$8))+$H397*SIN(RADIANS('13_시나리오비교'!$B$8))*COS(RADIANS('13_시나리오비교'!$C$8))+$I397*COS(RADIANS('13_시나리오비교'!$B$8))),0)</f>
        <v/>
      </c>
      <c r="T397" s="80">
        <f>IF($I397&gt;0,MAX(0,$G397*SIN(RADIANS('13_시나리오비교'!$B$9))*SIN(RADIANS('13_시나리오비교'!$C$9))+$H397*SIN(RADIANS('13_시나리오비교'!$B$9))*COS(RADIANS('13_시나리오비교'!$C$9))+$I397*COS(RADIANS('13_시나리오비교'!$B$9))),0)</f>
        <v/>
      </c>
      <c r="U397" s="80">
        <f>IF($I397&gt;0,MAX(0,$G397*SIN(RADIANS('13_시나리오비교'!$B$10))*SIN(RADIANS('13_시나리오비교'!$C$10))+$H397*SIN(RADIANS('13_시나리오비교'!$B$10))*COS(RADIANS('13_시나리오비교'!$C$10))+$I397*COS(RADIANS('13_시나리오비교'!$B$10))),0)</f>
        <v/>
      </c>
      <c r="V397" s="80">
        <f>IF($I397&gt;0,MAX(0,$G397*SIN(RADIANS('13_시나리오비교'!$B$11))*SIN(RADIANS('13_시나리오비교'!$C$11))+$H397*SIN(RADIANS('13_시나리오비교'!$B$11))*COS(RADIANS('13_시나리오비교'!$C$11))+$I397*COS(RADIANS('13_시나리오비교'!$B$11))),0)</f>
        <v/>
      </c>
      <c r="W397" s="80">
        <f>IF($I397&gt;0,MAX(0,$G397*SIN(RADIANS('13_시나리오비교'!$B$12))*SIN(RADIANS('13_시나리오비교'!$C$12))+$H397*SIN(RADIANS('13_시나리오비교'!$B$12))*COS(RADIANS('13_시나리오비교'!$C$12))+$I397*COS(RADIANS('13_시나리오비교'!$B$12))),0)</f>
        <v/>
      </c>
      <c r="X397" s="80">
        <f>IF($I397&gt;0,MAX(0,$G397*SIN(RADIANS('13_시나리오비교'!$B$13))*SIN(RADIANS('13_시나리오비교'!$C$13))+$H397*SIN(RADIANS('13_시나리오비교'!$B$13))*COS(RADIANS('13_시나리오비교'!$C$13))+$I397*COS(RADIANS('13_시나리오비교'!$B$13))),0)</f>
        <v/>
      </c>
      <c r="Y397" s="80">
        <f>IF($I397&gt;0,MAX(0,$G397*SIN(RADIANS('13_시나리오비교'!$B$14))*SIN(RADIANS('13_시나리오비교'!$C$14))+$H397*SIN(RADIANS('13_시나리오비교'!$B$14))*COS(RADIANS('13_시나리오비교'!$C$14))+$I397*COS(RADIANS('13_시나리오비교'!$B$14))),0)</f>
        <v/>
      </c>
    </row>
    <row r="398" hidden="1" outlineLevel="1">
      <c r="A398" s="79" t="n">
        <v>4</v>
      </c>
      <c r="B398" s="79" t="n">
        <v>90</v>
      </c>
      <c r="C398" s="80">
        <f>(B398-0.5)*'14_지역·상수'!$H$6</f>
        <v/>
      </c>
      <c r="D398" s="79" t="n">
        <v>105</v>
      </c>
      <c r="E398" s="80">
        <f>INDEX($C$4:$C$15,MATCH(A398,$A$4:$A$15,0))</f>
        <v/>
      </c>
      <c r="F398" s="80">
        <f>15*(C398-12)</f>
        <v/>
      </c>
      <c r="G398" s="80">
        <f>-COS(RADIANS(E398))*SIN(RADIANS(F398))</f>
        <v/>
      </c>
      <c r="H398" s="80">
        <f>COS(RADIANS('11_발전량_모델'!$B$17))*SIN(RADIANS(E398))-SIN(RADIANS('11_발전량_모델'!$B$17))*COS(RADIANS(E398))*COS(RADIANS(F398))</f>
        <v/>
      </c>
      <c r="I398" s="80">
        <f>SIN(RADIANS('11_발전량_모델'!$B$17))*SIN(RADIANS(E398))+COS(RADIANS('11_발전량_모델'!$B$17))*COS(RADIANS(E398))*COS(RADIANS(F398))</f>
        <v/>
      </c>
      <c r="J398" s="80">
        <f>SIN(RADIANS('11_발전량_모델'!$B$7))*SIN(RADIANS('11_발전량_모델'!$B$8))</f>
        <v/>
      </c>
      <c r="K398" s="80">
        <f>SIN(RADIANS('11_발전량_모델'!$B$7))*COS(RADIANS('11_발전량_모델'!$B$8))</f>
        <v/>
      </c>
      <c r="L398" s="80">
        <f>COS(RADIANS('11_발전량_모델'!$B$7))</f>
        <v/>
      </c>
      <c r="M398" s="80">
        <f>G398*J398+H398*K398+I398*L398</f>
        <v/>
      </c>
      <c r="N398" s="80">
        <f>MAX(0,I398)</f>
        <v/>
      </c>
      <c r="O398" s="80">
        <f>IF(I398&gt;0,MAX(0,M398),0)</f>
        <v/>
      </c>
      <c r="P398" s="80">
        <f>IF($I398&gt;0,MAX(0,$G398*SIN(RADIANS('13_시나리오비교'!$B$5))*SIN(RADIANS('13_시나리오비교'!$C$5))+$H398*SIN(RADIANS('13_시나리오비교'!$B$5))*COS(RADIANS('13_시나리오비교'!$C$5))+$I398*COS(RADIANS('13_시나리오비교'!$B$5))),0)</f>
        <v/>
      </c>
      <c r="Q398" s="80">
        <f>IF($I398&gt;0,MAX(0,$G398*SIN(RADIANS('13_시나리오비교'!$B$6))*SIN(RADIANS('13_시나리오비교'!$C$6))+$H398*SIN(RADIANS('13_시나리오비교'!$B$6))*COS(RADIANS('13_시나리오비교'!$C$6))+$I398*COS(RADIANS('13_시나리오비교'!$B$6))),0)</f>
        <v/>
      </c>
      <c r="R398" s="80">
        <f>IF($I398&gt;0,MAX(0,$G398*SIN(RADIANS('13_시나리오비교'!$B$7))*SIN(RADIANS('13_시나리오비교'!$C$7))+$H398*SIN(RADIANS('13_시나리오비교'!$B$7))*COS(RADIANS('13_시나리오비교'!$C$7))+$I398*COS(RADIANS('13_시나리오비교'!$B$7))),0)</f>
        <v/>
      </c>
      <c r="S398" s="80">
        <f>IF($I398&gt;0,MAX(0,$G398*SIN(RADIANS('13_시나리오비교'!$B$8))*SIN(RADIANS('13_시나리오비교'!$C$8))+$H398*SIN(RADIANS('13_시나리오비교'!$B$8))*COS(RADIANS('13_시나리오비교'!$C$8))+$I398*COS(RADIANS('13_시나리오비교'!$B$8))),0)</f>
        <v/>
      </c>
      <c r="T398" s="80">
        <f>IF($I398&gt;0,MAX(0,$G398*SIN(RADIANS('13_시나리오비교'!$B$9))*SIN(RADIANS('13_시나리오비교'!$C$9))+$H398*SIN(RADIANS('13_시나리오비교'!$B$9))*COS(RADIANS('13_시나리오비교'!$C$9))+$I398*COS(RADIANS('13_시나리오비교'!$B$9))),0)</f>
        <v/>
      </c>
      <c r="U398" s="80">
        <f>IF($I398&gt;0,MAX(0,$G398*SIN(RADIANS('13_시나리오비교'!$B$10))*SIN(RADIANS('13_시나리오비교'!$C$10))+$H398*SIN(RADIANS('13_시나리오비교'!$B$10))*COS(RADIANS('13_시나리오비교'!$C$10))+$I398*COS(RADIANS('13_시나리오비교'!$B$10))),0)</f>
        <v/>
      </c>
      <c r="V398" s="80">
        <f>IF($I398&gt;0,MAX(0,$G398*SIN(RADIANS('13_시나리오비교'!$B$11))*SIN(RADIANS('13_시나리오비교'!$C$11))+$H398*SIN(RADIANS('13_시나리오비교'!$B$11))*COS(RADIANS('13_시나리오비교'!$C$11))+$I398*COS(RADIANS('13_시나리오비교'!$B$11))),0)</f>
        <v/>
      </c>
      <c r="W398" s="80">
        <f>IF($I398&gt;0,MAX(0,$G398*SIN(RADIANS('13_시나리오비교'!$B$12))*SIN(RADIANS('13_시나리오비교'!$C$12))+$H398*SIN(RADIANS('13_시나리오비교'!$B$12))*COS(RADIANS('13_시나리오비교'!$C$12))+$I398*COS(RADIANS('13_시나리오비교'!$B$12))),0)</f>
        <v/>
      </c>
      <c r="X398" s="80">
        <f>IF($I398&gt;0,MAX(0,$G398*SIN(RADIANS('13_시나리오비교'!$B$13))*SIN(RADIANS('13_시나리오비교'!$C$13))+$H398*SIN(RADIANS('13_시나리오비교'!$B$13))*COS(RADIANS('13_시나리오비교'!$C$13))+$I398*COS(RADIANS('13_시나리오비교'!$B$13))),0)</f>
        <v/>
      </c>
      <c r="Y398" s="80">
        <f>IF($I398&gt;0,MAX(0,$G398*SIN(RADIANS('13_시나리오비교'!$B$14))*SIN(RADIANS('13_시나리오비교'!$C$14))+$H398*SIN(RADIANS('13_시나리오비교'!$B$14))*COS(RADIANS('13_시나리오비교'!$C$14))+$I398*COS(RADIANS('13_시나리오비교'!$B$14))),0)</f>
        <v/>
      </c>
    </row>
    <row r="399" hidden="1" outlineLevel="1">
      <c r="A399" s="79" t="n">
        <v>4</v>
      </c>
      <c r="B399" s="79" t="n">
        <v>91</v>
      </c>
      <c r="C399" s="80">
        <f>(B399-0.5)*'14_지역·상수'!$H$6</f>
        <v/>
      </c>
      <c r="D399" s="79" t="n">
        <v>105</v>
      </c>
      <c r="E399" s="80">
        <f>INDEX($C$4:$C$15,MATCH(A399,$A$4:$A$15,0))</f>
        <v/>
      </c>
      <c r="F399" s="80">
        <f>15*(C399-12)</f>
        <v/>
      </c>
      <c r="G399" s="80">
        <f>-COS(RADIANS(E399))*SIN(RADIANS(F399))</f>
        <v/>
      </c>
      <c r="H399" s="80">
        <f>COS(RADIANS('11_발전량_모델'!$B$17))*SIN(RADIANS(E399))-SIN(RADIANS('11_발전량_모델'!$B$17))*COS(RADIANS(E399))*COS(RADIANS(F399))</f>
        <v/>
      </c>
      <c r="I399" s="80">
        <f>SIN(RADIANS('11_발전량_모델'!$B$17))*SIN(RADIANS(E399))+COS(RADIANS('11_발전량_모델'!$B$17))*COS(RADIANS(E399))*COS(RADIANS(F399))</f>
        <v/>
      </c>
      <c r="J399" s="80">
        <f>SIN(RADIANS('11_발전량_모델'!$B$7))*SIN(RADIANS('11_발전량_모델'!$B$8))</f>
        <v/>
      </c>
      <c r="K399" s="80">
        <f>SIN(RADIANS('11_발전량_모델'!$B$7))*COS(RADIANS('11_발전량_모델'!$B$8))</f>
        <v/>
      </c>
      <c r="L399" s="80">
        <f>COS(RADIANS('11_발전량_모델'!$B$7))</f>
        <v/>
      </c>
      <c r="M399" s="80">
        <f>G399*J399+H399*K399+I399*L399</f>
        <v/>
      </c>
      <c r="N399" s="80">
        <f>MAX(0,I399)</f>
        <v/>
      </c>
      <c r="O399" s="80">
        <f>IF(I399&gt;0,MAX(0,M399),0)</f>
        <v/>
      </c>
      <c r="P399" s="80">
        <f>IF($I399&gt;0,MAX(0,$G399*SIN(RADIANS('13_시나리오비교'!$B$5))*SIN(RADIANS('13_시나리오비교'!$C$5))+$H399*SIN(RADIANS('13_시나리오비교'!$B$5))*COS(RADIANS('13_시나리오비교'!$C$5))+$I399*COS(RADIANS('13_시나리오비교'!$B$5))),0)</f>
        <v/>
      </c>
      <c r="Q399" s="80">
        <f>IF($I399&gt;0,MAX(0,$G399*SIN(RADIANS('13_시나리오비교'!$B$6))*SIN(RADIANS('13_시나리오비교'!$C$6))+$H399*SIN(RADIANS('13_시나리오비교'!$B$6))*COS(RADIANS('13_시나리오비교'!$C$6))+$I399*COS(RADIANS('13_시나리오비교'!$B$6))),0)</f>
        <v/>
      </c>
      <c r="R399" s="80">
        <f>IF($I399&gt;0,MAX(0,$G399*SIN(RADIANS('13_시나리오비교'!$B$7))*SIN(RADIANS('13_시나리오비교'!$C$7))+$H399*SIN(RADIANS('13_시나리오비교'!$B$7))*COS(RADIANS('13_시나리오비교'!$C$7))+$I399*COS(RADIANS('13_시나리오비교'!$B$7))),0)</f>
        <v/>
      </c>
      <c r="S399" s="80">
        <f>IF($I399&gt;0,MAX(0,$G399*SIN(RADIANS('13_시나리오비교'!$B$8))*SIN(RADIANS('13_시나리오비교'!$C$8))+$H399*SIN(RADIANS('13_시나리오비교'!$B$8))*COS(RADIANS('13_시나리오비교'!$C$8))+$I399*COS(RADIANS('13_시나리오비교'!$B$8))),0)</f>
        <v/>
      </c>
      <c r="T399" s="80">
        <f>IF($I399&gt;0,MAX(0,$G399*SIN(RADIANS('13_시나리오비교'!$B$9))*SIN(RADIANS('13_시나리오비교'!$C$9))+$H399*SIN(RADIANS('13_시나리오비교'!$B$9))*COS(RADIANS('13_시나리오비교'!$C$9))+$I399*COS(RADIANS('13_시나리오비교'!$B$9))),0)</f>
        <v/>
      </c>
      <c r="U399" s="80">
        <f>IF($I399&gt;0,MAX(0,$G399*SIN(RADIANS('13_시나리오비교'!$B$10))*SIN(RADIANS('13_시나리오비교'!$C$10))+$H399*SIN(RADIANS('13_시나리오비교'!$B$10))*COS(RADIANS('13_시나리오비교'!$C$10))+$I399*COS(RADIANS('13_시나리오비교'!$B$10))),0)</f>
        <v/>
      </c>
      <c r="V399" s="80">
        <f>IF($I399&gt;0,MAX(0,$G399*SIN(RADIANS('13_시나리오비교'!$B$11))*SIN(RADIANS('13_시나리오비교'!$C$11))+$H399*SIN(RADIANS('13_시나리오비교'!$B$11))*COS(RADIANS('13_시나리오비교'!$C$11))+$I399*COS(RADIANS('13_시나리오비교'!$B$11))),0)</f>
        <v/>
      </c>
      <c r="W399" s="80">
        <f>IF($I399&gt;0,MAX(0,$G399*SIN(RADIANS('13_시나리오비교'!$B$12))*SIN(RADIANS('13_시나리오비교'!$C$12))+$H399*SIN(RADIANS('13_시나리오비교'!$B$12))*COS(RADIANS('13_시나리오비교'!$C$12))+$I399*COS(RADIANS('13_시나리오비교'!$B$12))),0)</f>
        <v/>
      </c>
      <c r="X399" s="80">
        <f>IF($I399&gt;0,MAX(0,$G399*SIN(RADIANS('13_시나리오비교'!$B$13))*SIN(RADIANS('13_시나리오비교'!$C$13))+$H399*SIN(RADIANS('13_시나리오비교'!$B$13))*COS(RADIANS('13_시나리오비교'!$C$13))+$I399*COS(RADIANS('13_시나리오비교'!$B$13))),0)</f>
        <v/>
      </c>
      <c r="Y399" s="80">
        <f>IF($I399&gt;0,MAX(0,$G399*SIN(RADIANS('13_시나리오비교'!$B$14))*SIN(RADIANS('13_시나리오비교'!$C$14))+$H399*SIN(RADIANS('13_시나리오비교'!$B$14))*COS(RADIANS('13_시나리오비교'!$C$14))+$I399*COS(RADIANS('13_시나리오비교'!$B$14))),0)</f>
        <v/>
      </c>
    </row>
    <row r="400" hidden="1" outlineLevel="1">
      <c r="A400" s="79" t="n">
        <v>4</v>
      </c>
      <c r="B400" s="79" t="n">
        <v>92</v>
      </c>
      <c r="C400" s="80">
        <f>(B400-0.5)*'14_지역·상수'!$H$6</f>
        <v/>
      </c>
      <c r="D400" s="79" t="n">
        <v>105</v>
      </c>
      <c r="E400" s="80">
        <f>INDEX($C$4:$C$15,MATCH(A400,$A$4:$A$15,0))</f>
        <v/>
      </c>
      <c r="F400" s="80">
        <f>15*(C400-12)</f>
        <v/>
      </c>
      <c r="G400" s="80">
        <f>-COS(RADIANS(E400))*SIN(RADIANS(F400))</f>
        <v/>
      </c>
      <c r="H400" s="80">
        <f>COS(RADIANS('11_발전량_모델'!$B$17))*SIN(RADIANS(E400))-SIN(RADIANS('11_발전량_모델'!$B$17))*COS(RADIANS(E400))*COS(RADIANS(F400))</f>
        <v/>
      </c>
      <c r="I400" s="80">
        <f>SIN(RADIANS('11_발전량_모델'!$B$17))*SIN(RADIANS(E400))+COS(RADIANS('11_발전량_모델'!$B$17))*COS(RADIANS(E400))*COS(RADIANS(F400))</f>
        <v/>
      </c>
      <c r="J400" s="80">
        <f>SIN(RADIANS('11_발전량_모델'!$B$7))*SIN(RADIANS('11_발전량_모델'!$B$8))</f>
        <v/>
      </c>
      <c r="K400" s="80">
        <f>SIN(RADIANS('11_발전량_모델'!$B$7))*COS(RADIANS('11_발전량_모델'!$B$8))</f>
        <v/>
      </c>
      <c r="L400" s="80">
        <f>COS(RADIANS('11_발전량_모델'!$B$7))</f>
        <v/>
      </c>
      <c r="M400" s="80">
        <f>G400*J400+H400*K400+I400*L400</f>
        <v/>
      </c>
      <c r="N400" s="80">
        <f>MAX(0,I400)</f>
        <v/>
      </c>
      <c r="O400" s="80">
        <f>IF(I400&gt;0,MAX(0,M400),0)</f>
        <v/>
      </c>
      <c r="P400" s="80">
        <f>IF($I400&gt;0,MAX(0,$G400*SIN(RADIANS('13_시나리오비교'!$B$5))*SIN(RADIANS('13_시나리오비교'!$C$5))+$H400*SIN(RADIANS('13_시나리오비교'!$B$5))*COS(RADIANS('13_시나리오비교'!$C$5))+$I400*COS(RADIANS('13_시나리오비교'!$B$5))),0)</f>
        <v/>
      </c>
      <c r="Q400" s="80">
        <f>IF($I400&gt;0,MAX(0,$G400*SIN(RADIANS('13_시나리오비교'!$B$6))*SIN(RADIANS('13_시나리오비교'!$C$6))+$H400*SIN(RADIANS('13_시나리오비교'!$B$6))*COS(RADIANS('13_시나리오비교'!$C$6))+$I400*COS(RADIANS('13_시나리오비교'!$B$6))),0)</f>
        <v/>
      </c>
      <c r="R400" s="80">
        <f>IF($I400&gt;0,MAX(0,$G400*SIN(RADIANS('13_시나리오비교'!$B$7))*SIN(RADIANS('13_시나리오비교'!$C$7))+$H400*SIN(RADIANS('13_시나리오비교'!$B$7))*COS(RADIANS('13_시나리오비교'!$C$7))+$I400*COS(RADIANS('13_시나리오비교'!$B$7))),0)</f>
        <v/>
      </c>
      <c r="S400" s="80">
        <f>IF($I400&gt;0,MAX(0,$G400*SIN(RADIANS('13_시나리오비교'!$B$8))*SIN(RADIANS('13_시나리오비교'!$C$8))+$H400*SIN(RADIANS('13_시나리오비교'!$B$8))*COS(RADIANS('13_시나리오비교'!$C$8))+$I400*COS(RADIANS('13_시나리오비교'!$B$8))),0)</f>
        <v/>
      </c>
      <c r="T400" s="80">
        <f>IF($I400&gt;0,MAX(0,$G400*SIN(RADIANS('13_시나리오비교'!$B$9))*SIN(RADIANS('13_시나리오비교'!$C$9))+$H400*SIN(RADIANS('13_시나리오비교'!$B$9))*COS(RADIANS('13_시나리오비교'!$C$9))+$I400*COS(RADIANS('13_시나리오비교'!$B$9))),0)</f>
        <v/>
      </c>
      <c r="U400" s="80">
        <f>IF($I400&gt;0,MAX(0,$G400*SIN(RADIANS('13_시나리오비교'!$B$10))*SIN(RADIANS('13_시나리오비교'!$C$10))+$H400*SIN(RADIANS('13_시나리오비교'!$B$10))*COS(RADIANS('13_시나리오비교'!$C$10))+$I400*COS(RADIANS('13_시나리오비교'!$B$10))),0)</f>
        <v/>
      </c>
      <c r="V400" s="80">
        <f>IF($I400&gt;0,MAX(0,$G400*SIN(RADIANS('13_시나리오비교'!$B$11))*SIN(RADIANS('13_시나리오비교'!$C$11))+$H400*SIN(RADIANS('13_시나리오비교'!$B$11))*COS(RADIANS('13_시나리오비교'!$C$11))+$I400*COS(RADIANS('13_시나리오비교'!$B$11))),0)</f>
        <v/>
      </c>
      <c r="W400" s="80">
        <f>IF($I400&gt;0,MAX(0,$G400*SIN(RADIANS('13_시나리오비교'!$B$12))*SIN(RADIANS('13_시나리오비교'!$C$12))+$H400*SIN(RADIANS('13_시나리오비교'!$B$12))*COS(RADIANS('13_시나리오비교'!$C$12))+$I400*COS(RADIANS('13_시나리오비교'!$B$12))),0)</f>
        <v/>
      </c>
      <c r="X400" s="80">
        <f>IF($I400&gt;0,MAX(0,$G400*SIN(RADIANS('13_시나리오비교'!$B$13))*SIN(RADIANS('13_시나리오비교'!$C$13))+$H400*SIN(RADIANS('13_시나리오비교'!$B$13))*COS(RADIANS('13_시나리오비교'!$C$13))+$I400*COS(RADIANS('13_시나리오비교'!$B$13))),0)</f>
        <v/>
      </c>
      <c r="Y400" s="80">
        <f>IF($I400&gt;0,MAX(0,$G400*SIN(RADIANS('13_시나리오비교'!$B$14))*SIN(RADIANS('13_시나리오비교'!$C$14))+$H400*SIN(RADIANS('13_시나리오비교'!$B$14))*COS(RADIANS('13_시나리오비교'!$C$14))+$I400*COS(RADIANS('13_시나리오비교'!$B$14))),0)</f>
        <v/>
      </c>
    </row>
    <row r="401" hidden="1" outlineLevel="1">
      <c r="A401" s="79" t="n">
        <v>4</v>
      </c>
      <c r="B401" s="79" t="n">
        <v>93</v>
      </c>
      <c r="C401" s="80">
        <f>(B401-0.5)*'14_지역·상수'!$H$6</f>
        <v/>
      </c>
      <c r="D401" s="79" t="n">
        <v>105</v>
      </c>
      <c r="E401" s="80">
        <f>INDEX($C$4:$C$15,MATCH(A401,$A$4:$A$15,0))</f>
        <v/>
      </c>
      <c r="F401" s="80">
        <f>15*(C401-12)</f>
        <v/>
      </c>
      <c r="G401" s="80">
        <f>-COS(RADIANS(E401))*SIN(RADIANS(F401))</f>
        <v/>
      </c>
      <c r="H401" s="80">
        <f>COS(RADIANS('11_발전량_모델'!$B$17))*SIN(RADIANS(E401))-SIN(RADIANS('11_발전량_모델'!$B$17))*COS(RADIANS(E401))*COS(RADIANS(F401))</f>
        <v/>
      </c>
      <c r="I401" s="80">
        <f>SIN(RADIANS('11_발전량_모델'!$B$17))*SIN(RADIANS(E401))+COS(RADIANS('11_발전량_모델'!$B$17))*COS(RADIANS(E401))*COS(RADIANS(F401))</f>
        <v/>
      </c>
      <c r="J401" s="80">
        <f>SIN(RADIANS('11_발전량_모델'!$B$7))*SIN(RADIANS('11_발전량_모델'!$B$8))</f>
        <v/>
      </c>
      <c r="K401" s="80">
        <f>SIN(RADIANS('11_발전량_모델'!$B$7))*COS(RADIANS('11_발전량_모델'!$B$8))</f>
        <v/>
      </c>
      <c r="L401" s="80">
        <f>COS(RADIANS('11_발전량_모델'!$B$7))</f>
        <v/>
      </c>
      <c r="M401" s="80">
        <f>G401*J401+H401*K401+I401*L401</f>
        <v/>
      </c>
      <c r="N401" s="80">
        <f>MAX(0,I401)</f>
        <v/>
      </c>
      <c r="O401" s="80">
        <f>IF(I401&gt;0,MAX(0,M401),0)</f>
        <v/>
      </c>
      <c r="P401" s="80">
        <f>IF($I401&gt;0,MAX(0,$G401*SIN(RADIANS('13_시나리오비교'!$B$5))*SIN(RADIANS('13_시나리오비교'!$C$5))+$H401*SIN(RADIANS('13_시나리오비교'!$B$5))*COS(RADIANS('13_시나리오비교'!$C$5))+$I401*COS(RADIANS('13_시나리오비교'!$B$5))),0)</f>
        <v/>
      </c>
      <c r="Q401" s="80">
        <f>IF($I401&gt;0,MAX(0,$G401*SIN(RADIANS('13_시나리오비교'!$B$6))*SIN(RADIANS('13_시나리오비교'!$C$6))+$H401*SIN(RADIANS('13_시나리오비교'!$B$6))*COS(RADIANS('13_시나리오비교'!$C$6))+$I401*COS(RADIANS('13_시나리오비교'!$B$6))),0)</f>
        <v/>
      </c>
      <c r="R401" s="80">
        <f>IF($I401&gt;0,MAX(0,$G401*SIN(RADIANS('13_시나리오비교'!$B$7))*SIN(RADIANS('13_시나리오비교'!$C$7))+$H401*SIN(RADIANS('13_시나리오비교'!$B$7))*COS(RADIANS('13_시나리오비교'!$C$7))+$I401*COS(RADIANS('13_시나리오비교'!$B$7))),0)</f>
        <v/>
      </c>
      <c r="S401" s="80">
        <f>IF($I401&gt;0,MAX(0,$G401*SIN(RADIANS('13_시나리오비교'!$B$8))*SIN(RADIANS('13_시나리오비교'!$C$8))+$H401*SIN(RADIANS('13_시나리오비교'!$B$8))*COS(RADIANS('13_시나리오비교'!$C$8))+$I401*COS(RADIANS('13_시나리오비교'!$B$8))),0)</f>
        <v/>
      </c>
      <c r="T401" s="80">
        <f>IF($I401&gt;0,MAX(0,$G401*SIN(RADIANS('13_시나리오비교'!$B$9))*SIN(RADIANS('13_시나리오비교'!$C$9))+$H401*SIN(RADIANS('13_시나리오비교'!$B$9))*COS(RADIANS('13_시나리오비교'!$C$9))+$I401*COS(RADIANS('13_시나리오비교'!$B$9))),0)</f>
        <v/>
      </c>
      <c r="U401" s="80">
        <f>IF($I401&gt;0,MAX(0,$G401*SIN(RADIANS('13_시나리오비교'!$B$10))*SIN(RADIANS('13_시나리오비교'!$C$10))+$H401*SIN(RADIANS('13_시나리오비교'!$B$10))*COS(RADIANS('13_시나리오비교'!$C$10))+$I401*COS(RADIANS('13_시나리오비교'!$B$10))),0)</f>
        <v/>
      </c>
      <c r="V401" s="80">
        <f>IF($I401&gt;0,MAX(0,$G401*SIN(RADIANS('13_시나리오비교'!$B$11))*SIN(RADIANS('13_시나리오비교'!$C$11))+$H401*SIN(RADIANS('13_시나리오비교'!$B$11))*COS(RADIANS('13_시나리오비교'!$C$11))+$I401*COS(RADIANS('13_시나리오비교'!$B$11))),0)</f>
        <v/>
      </c>
      <c r="W401" s="80">
        <f>IF($I401&gt;0,MAX(0,$G401*SIN(RADIANS('13_시나리오비교'!$B$12))*SIN(RADIANS('13_시나리오비교'!$C$12))+$H401*SIN(RADIANS('13_시나리오비교'!$B$12))*COS(RADIANS('13_시나리오비교'!$C$12))+$I401*COS(RADIANS('13_시나리오비교'!$B$12))),0)</f>
        <v/>
      </c>
      <c r="X401" s="80">
        <f>IF($I401&gt;0,MAX(0,$G401*SIN(RADIANS('13_시나리오비교'!$B$13))*SIN(RADIANS('13_시나리오비교'!$C$13))+$H401*SIN(RADIANS('13_시나리오비교'!$B$13))*COS(RADIANS('13_시나리오비교'!$C$13))+$I401*COS(RADIANS('13_시나리오비교'!$B$13))),0)</f>
        <v/>
      </c>
      <c r="Y401" s="80">
        <f>IF($I401&gt;0,MAX(0,$G401*SIN(RADIANS('13_시나리오비교'!$B$14))*SIN(RADIANS('13_시나리오비교'!$C$14))+$H401*SIN(RADIANS('13_시나리오비교'!$B$14))*COS(RADIANS('13_시나리오비교'!$C$14))+$I401*COS(RADIANS('13_시나리오비교'!$B$14))),0)</f>
        <v/>
      </c>
    </row>
    <row r="402" hidden="1" outlineLevel="1">
      <c r="A402" s="79" t="n">
        <v>4</v>
      </c>
      <c r="B402" s="79" t="n">
        <v>94</v>
      </c>
      <c r="C402" s="80">
        <f>(B402-0.5)*'14_지역·상수'!$H$6</f>
        <v/>
      </c>
      <c r="D402" s="79" t="n">
        <v>105</v>
      </c>
      <c r="E402" s="80">
        <f>INDEX($C$4:$C$15,MATCH(A402,$A$4:$A$15,0))</f>
        <v/>
      </c>
      <c r="F402" s="80">
        <f>15*(C402-12)</f>
        <v/>
      </c>
      <c r="G402" s="80">
        <f>-COS(RADIANS(E402))*SIN(RADIANS(F402))</f>
        <v/>
      </c>
      <c r="H402" s="80">
        <f>COS(RADIANS('11_발전량_모델'!$B$17))*SIN(RADIANS(E402))-SIN(RADIANS('11_발전량_모델'!$B$17))*COS(RADIANS(E402))*COS(RADIANS(F402))</f>
        <v/>
      </c>
      <c r="I402" s="80">
        <f>SIN(RADIANS('11_발전량_모델'!$B$17))*SIN(RADIANS(E402))+COS(RADIANS('11_발전량_모델'!$B$17))*COS(RADIANS(E402))*COS(RADIANS(F402))</f>
        <v/>
      </c>
      <c r="J402" s="80">
        <f>SIN(RADIANS('11_발전량_모델'!$B$7))*SIN(RADIANS('11_발전량_모델'!$B$8))</f>
        <v/>
      </c>
      <c r="K402" s="80">
        <f>SIN(RADIANS('11_발전량_모델'!$B$7))*COS(RADIANS('11_발전량_모델'!$B$8))</f>
        <v/>
      </c>
      <c r="L402" s="80">
        <f>COS(RADIANS('11_발전량_모델'!$B$7))</f>
        <v/>
      </c>
      <c r="M402" s="80">
        <f>G402*J402+H402*K402+I402*L402</f>
        <v/>
      </c>
      <c r="N402" s="80">
        <f>MAX(0,I402)</f>
        <v/>
      </c>
      <c r="O402" s="80">
        <f>IF(I402&gt;0,MAX(0,M402),0)</f>
        <v/>
      </c>
      <c r="P402" s="80">
        <f>IF($I402&gt;0,MAX(0,$G402*SIN(RADIANS('13_시나리오비교'!$B$5))*SIN(RADIANS('13_시나리오비교'!$C$5))+$H402*SIN(RADIANS('13_시나리오비교'!$B$5))*COS(RADIANS('13_시나리오비교'!$C$5))+$I402*COS(RADIANS('13_시나리오비교'!$B$5))),0)</f>
        <v/>
      </c>
      <c r="Q402" s="80">
        <f>IF($I402&gt;0,MAX(0,$G402*SIN(RADIANS('13_시나리오비교'!$B$6))*SIN(RADIANS('13_시나리오비교'!$C$6))+$H402*SIN(RADIANS('13_시나리오비교'!$B$6))*COS(RADIANS('13_시나리오비교'!$C$6))+$I402*COS(RADIANS('13_시나리오비교'!$B$6))),0)</f>
        <v/>
      </c>
      <c r="R402" s="80">
        <f>IF($I402&gt;0,MAX(0,$G402*SIN(RADIANS('13_시나리오비교'!$B$7))*SIN(RADIANS('13_시나리오비교'!$C$7))+$H402*SIN(RADIANS('13_시나리오비교'!$B$7))*COS(RADIANS('13_시나리오비교'!$C$7))+$I402*COS(RADIANS('13_시나리오비교'!$B$7))),0)</f>
        <v/>
      </c>
      <c r="S402" s="80">
        <f>IF($I402&gt;0,MAX(0,$G402*SIN(RADIANS('13_시나리오비교'!$B$8))*SIN(RADIANS('13_시나리오비교'!$C$8))+$H402*SIN(RADIANS('13_시나리오비교'!$B$8))*COS(RADIANS('13_시나리오비교'!$C$8))+$I402*COS(RADIANS('13_시나리오비교'!$B$8))),0)</f>
        <v/>
      </c>
      <c r="T402" s="80">
        <f>IF($I402&gt;0,MAX(0,$G402*SIN(RADIANS('13_시나리오비교'!$B$9))*SIN(RADIANS('13_시나리오비교'!$C$9))+$H402*SIN(RADIANS('13_시나리오비교'!$B$9))*COS(RADIANS('13_시나리오비교'!$C$9))+$I402*COS(RADIANS('13_시나리오비교'!$B$9))),0)</f>
        <v/>
      </c>
      <c r="U402" s="80">
        <f>IF($I402&gt;0,MAX(0,$G402*SIN(RADIANS('13_시나리오비교'!$B$10))*SIN(RADIANS('13_시나리오비교'!$C$10))+$H402*SIN(RADIANS('13_시나리오비교'!$B$10))*COS(RADIANS('13_시나리오비교'!$C$10))+$I402*COS(RADIANS('13_시나리오비교'!$B$10))),0)</f>
        <v/>
      </c>
      <c r="V402" s="80">
        <f>IF($I402&gt;0,MAX(0,$G402*SIN(RADIANS('13_시나리오비교'!$B$11))*SIN(RADIANS('13_시나리오비교'!$C$11))+$H402*SIN(RADIANS('13_시나리오비교'!$B$11))*COS(RADIANS('13_시나리오비교'!$C$11))+$I402*COS(RADIANS('13_시나리오비교'!$B$11))),0)</f>
        <v/>
      </c>
      <c r="W402" s="80">
        <f>IF($I402&gt;0,MAX(0,$G402*SIN(RADIANS('13_시나리오비교'!$B$12))*SIN(RADIANS('13_시나리오비교'!$C$12))+$H402*SIN(RADIANS('13_시나리오비교'!$B$12))*COS(RADIANS('13_시나리오비교'!$C$12))+$I402*COS(RADIANS('13_시나리오비교'!$B$12))),0)</f>
        <v/>
      </c>
      <c r="X402" s="80">
        <f>IF($I402&gt;0,MAX(0,$G402*SIN(RADIANS('13_시나리오비교'!$B$13))*SIN(RADIANS('13_시나리오비교'!$C$13))+$H402*SIN(RADIANS('13_시나리오비교'!$B$13))*COS(RADIANS('13_시나리오비교'!$C$13))+$I402*COS(RADIANS('13_시나리오비교'!$B$13))),0)</f>
        <v/>
      </c>
      <c r="Y402" s="80">
        <f>IF($I402&gt;0,MAX(0,$G402*SIN(RADIANS('13_시나리오비교'!$B$14))*SIN(RADIANS('13_시나리오비교'!$C$14))+$H402*SIN(RADIANS('13_시나리오비교'!$B$14))*COS(RADIANS('13_시나리오비교'!$C$14))+$I402*COS(RADIANS('13_시나리오비교'!$B$14))),0)</f>
        <v/>
      </c>
    </row>
    <row r="403" hidden="1" outlineLevel="1">
      <c r="A403" s="79" t="n">
        <v>4</v>
      </c>
      <c r="B403" s="79" t="n">
        <v>95</v>
      </c>
      <c r="C403" s="80">
        <f>(B403-0.5)*'14_지역·상수'!$H$6</f>
        <v/>
      </c>
      <c r="D403" s="79" t="n">
        <v>105</v>
      </c>
      <c r="E403" s="80">
        <f>INDEX($C$4:$C$15,MATCH(A403,$A$4:$A$15,0))</f>
        <v/>
      </c>
      <c r="F403" s="80">
        <f>15*(C403-12)</f>
        <v/>
      </c>
      <c r="G403" s="80">
        <f>-COS(RADIANS(E403))*SIN(RADIANS(F403))</f>
        <v/>
      </c>
      <c r="H403" s="80">
        <f>COS(RADIANS('11_발전량_모델'!$B$17))*SIN(RADIANS(E403))-SIN(RADIANS('11_발전량_모델'!$B$17))*COS(RADIANS(E403))*COS(RADIANS(F403))</f>
        <v/>
      </c>
      <c r="I403" s="80">
        <f>SIN(RADIANS('11_발전량_모델'!$B$17))*SIN(RADIANS(E403))+COS(RADIANS('11_발전량_모델'!$B$17))*COS(RADIANS(E403))*COS(RADIANS(F403))</f>
        <v/>
      </c>
      <c r="J403" s="80">
        <f>SIN(RADIANS('11_발전량_모델'!$B$7))*SIN(RADIANS('11_발전량_모델'!$B$8))</f>
        <v/>
      </c>
      <c r="K403" s="80">
        <f>SIN(RADIANS('11_발전량_모델'!$B$7))*COS(RADIANS('11_발전량_모델'!$B$8))</f>
        <v/>
      </c>
      <c r="L403" s="80">
        <f>COS(RADIANS('11_발전량_모델'!$B$7))</f>
        <v/>
      </c>
      <c r="M403" s="80">
        <f>G403*J403+H403*K403+I403*L403</f>
        <v/>
      </c>
      <c r="N403" s="80">
        <f>MAX(0,I403)</f>
        <v/>
      </c>
      <c r="O403" s="80">
        <f>IF(I403&gt;0,MAX(0,M403),0)</f>
        <v/>
      </c>
      <c r="P403" s="80">
        <f>IF($I403&gt;0,MAX(0,$G403*SIN(RADIANS('13_시나리오비교'!$B$5))*SIN(RADIANS('13_시나리오비교'!$C$5))+$H403*SIN(RADIANS('13_시나리오비교'!$B$5))*COS(RADIANS('13_시나리오비교'!$C$5))+$I403*COS(RADIANS('13_시나리오비교'!$B$5))),0)</f>
        <v/>
      </c>
      <c r="Q403" s="80">
        <f>IF($I403&gt;0,MAX(0,$G403*SIN(RADIANS('13_시나리오비교'!$B$6))*SIN(RADIANS('13_시나리오비교'!$C$6))+$H403*SIN(RADIANS('13_시나리오비교'!$B$6))*COS(RADIANS('13_시나리오비교'!$C$6))+$I403*COS(RADIANS('13_시나리오비교'!$B$6))),0)</f>
        <v/>
      </c>
      <c r="R403" s="80">
        <f>IF($I403&gt;0,MAX(0,$G403*SIN(RADIANS('13_시나리오비교'!$B$7))*SIN(RADIANS('13_시나리오비교'!$C$7))+$H403*SIN(RADIANS('13_시나리오비교'!$B$7))*COS(RADIANS('13_시나리오비교'!$C$7))+$I403*COS(RADIANS('13_시나리오비교'!$B$7))),0)</f>
        <v/>
      </c>
      <c r="S403" s="80">
        <f>IF($I403&gt;0,MAX(0,$G403*SIN(RADIANS('13_시나리오비교'!$B$8))*SIN(RADIANS('13_시나리오비교'!$C$8))+$H403*SIN(RADIANS('13_시나리오비교'!$B$8))*COS(RADIANS('13_시나리오비교'!$C$8))+$I403*COS(RADIANS('13_시나리오비교'!$B$8))),0)</f>
        <v/>
      </c>
      <c r="T403" s="80">
        <f>IF($I403&gt;0,MAX(0,$G403*SIN(RADIANS('13_시나리오비교'!$B$9))*SIN(RADIANS('13_시나리오비교'!$C$9))+$H403*SIN(RADIANS('13_시나리오비교'!$B$9))*COS(RADIANS('13_시나리오비교'!$C$9))+$I403*COS(RADIANS('13_시나리오비교'!$B$9))),0)</f>
        <v/>
      </c>
      <c r="U403" s="80">
        <f>IF($I403&gt;0,MAX(0,$G403*SIN(RADIANS('13_시나리오비교'!$B$10))*SIN(RADIANS('13_시나리오비교'!$C$10))+$H403*SIN(RADIANS('13_시나리오비교'!$B$10))*COS(RADIANS('13_시나리오비교'!$C$10))+$I403*COS(RADIANS('13_시나리오비교'!$B$10))),0)</f>
        <v/>
      </c>
      <c r="V403" s="80">
        <f>IF($I403&gt;0,MAX(0,$G403*SIN(RADIANS('13_시나리오비교'!$B$11))*SIN(RADIANS('13_시나리오비교'!$C$11))+$H403*SIN(RADIANS('13_시나리오비교'!$B$11))*COS(RADIANS('13_시나리오비교'!$C$11))+$I403*COS(RADIANS('13_시나리오비교'!$B$11))),0)</f>
        <v/>
      </c>
      <c r="W403" s="80">
        <f>IF($I403&gt;0,MAX(0,$G403*SIN(RADIANS('13_시나리오비교'!$B$12))*SIN(RADIANS('13_시나리오비교'!$C$12))+$H403*SIN(RADIANS('13_시나리오비교'!$B$12))*COS(RADIANS('13_시나리오비교'!$C$12))+$I403*COS(RADIANS('13_시나리오비교'!$B$12))),0)</f>
        <v/>
      </c>
      <c r="X403" s="80">
        <f>IF($I403&gt;0,MAX(0,$G403*SIN(RADIANS('13_시나리오비교'!$B$13))*SIN(RADIANS('13_시나리오비교'!$C$13))+$H403*SIN(RADIANS('13_시나리오비교'!$B$13))*COS(RADIANS('13_시나리오비교'!$C$13))+$I403*COS(RADIANS('13_시나리오비교'!$B$13))),0)</f>
        <v/>
      </c>
      <c r="Y403" s="80">
        <f>IF($I403&gt;0,MAX(0,$G403*SIN(RADIANS('13_시나리오비교'!$B$14))*SIN(RADIANS('13_시나리오비교'!$C$14))+$H403*SIN(RADIANS('13_시나리오비교'!$B$14))*COS(RADIANS('13_시나리오비교'!$C$14))+$I403*COS(RADIANS('13_시나리오비교'!$B$14))),0)</f>
        <v/>
      </c>
    </row>
    <row r="404" hidden="1" outlineLevel="1">
      <c r="A404" s="79" t="n">
        <v>4</v>
      </c>
      <c r="B404" s="79" t="n">
        <v>96</v>
      </c>
      <c r="C404" s="80">
        <f>(B404-0.5)*'14_지역·상수'!$H$6</f>
        <v/>
      </c>
      <c r="D404" s="79" t="n">
        <v>105</v>
      </c>
      <c r="E404" s="80">
        <f>INDEX($C$4:$C$15,MATCH(A404,$A$4:$A$15,0))</f>
        <v/>
      </c>
      <c r="F404" s="80">
        <f>15*(C404-12)</f>
        <v/>
      </c>
      <c r="G404" s="80">
        <f>-COS(RADIANS(E404))*SIN(RADIANS(F404))</f>
        <v/>
      </c>
      <c r="H404" s="80">
        <f>COS(RADIANS('11_발전량_모델'!$B$17))*SIN(RADIANS(E404))-SIN(RADIANS('11_발전량_모델'!$B$17))*COS(RADIANS(E404))*COS(RADIANS(F404))</f>
        <v/>
      </c>
      <c r="I404" s="80">
        <f>SIN(RADIANS('11_발전량_모델'!$B$17))*SIN(RADIANS(E404))+COS(RADIANS('11_발전량_모델'!$B$17))*COS(RADIANS(E404))*COS(RADIANS(F404))</f>
        <v/>
      </c>
      <c r="J404" s="80">
        <f>SIN(RADIANS('11_발전량_모델'!$B$7))*SIN(RADIANS('11_발전량_모델'!$B$8))</f>
        <v/>
      </c>
      <c r="K404" s="80">
        <f>SIN(RADIANS('11_발전량_모델'!$B$7))*COS(RADIANS('11_발전량_모델'!$B$8))</f>
        <v/>
      </c>
      <c r="L404" s="80">
        <f>COS(RADIANS('11_발전량_모델'!$B$7))</f>
        <v/>
      </c>
      <c r="M404" s="80">
        <f>G404*J404+H404*K404+I404*L404</f>
        <v/>
      </c>
      <c r="N404" s="80">
        <f>MAX(0,I404)</f>
        <v/>
      </c>
      <c r="O404" s="80">
        <f>IF(I404&gt;0,MAX(0,M404),0)</f>
        <v/>
      </c>
      <c r="P404" s="80">
        <f>IF($I404&gt;0,MAX(0,$G404*SIN(RADIANS('13_시나리오비교'!$B$5))*SIN(RADIANS('13_시나리오비교'!$C$5))+$H404*SIN(RADIANS('13_시나리오비교'!$B$5))*COS(RADIANS('13_시나리오비교'!$C$5))+$I404*COS(RADIANS('13_시나리오비교'!$B$5))),0)</f>
        <v/>
      </c>
      <c r="Q404" s="80">
        <f>IF($I404&gt;0,MAX(0,$G404*SIN(RADIANS('13_시나리오비교'!$B$6))*SIN(RADIANS('13_시나리오비교'!$C$6))+$H404*SIN(RADIANS('13_시나리오비교'!$B$6))*COS(RADIANS('13_시나리오비교'!$C$6))+$I404*COS(RADIANS('13_시나리오비교'!$B$6))),0)</f>
        <v/>
      </c>
      <c r="R404" s="80">
        <f>IF($I404&gt;0,MAX(0,$G404*SIN(RADIANS('13_시나리오비교'!$B$7))*SIN(RADIANS('13_시나리오비교'!$C$7))+$H404*SIN(RADIANS('13_시나리오비교'!$B$7))*COS(RADIANS('13_시나리오비교'!$C$7))+$I404*COS(RADIANS('13_시나리오비교'!$B$7))),0)</f>
        <v/>
      </c>
      <c r="S404" s="80">
        <f>IF($I404&gt;0,MAX(0,$G404*SIN(RADIANS('13_시나리오비교'!$B$8))*SIN(RADIANS('13_시나리오비교'!$C$8))+$H404*SIN(RADIANS('13_시나리오비교'!$B$8))*COS(RADIANS('13_시나리오비교'!$C$8))+$I404*COS(RADIANS('13_시나리오비교'!$B$8))),0)</f>
        <v/>
      </c>
      <c r="T404" s="80">
        <f>IF($I404&gt;0,MAX(0,$G404*SIN(RADIANS('13_시나리오비교'!$B$9))*SIN(RADIANS('13_시나리오비교'!$C$9))+$H404*SIN(RADIANS('13_시나리오비교'!$B$9))*COS(RADIANS('13_시나리오비교'!$C$9))+$I404*COS(RADIANS('13_시나리오비교'!$B$9))),0)</f>
        <v/>
      </c>
      <c r="U404" s="80">
        <f>IF($I404&gt;0,MAX(0,$G404*SIN(RADIANS('13_시나리오비교'!$B$10))*SIN(RADIANS('13_시나리오비교'!$C$10))+$H404*SIN(RADIANS('13_시나리오비교'!$B$10))*COS(RADIANS('13_시나리오비교'!$C$10))+$I404*COS(RADIANS('13_시나리오비교'!$B$10))),0)</f>
        <v/>
      </c>
      <c r="V404" s="80">
        <f>IF($I404&gt;0,MAX(0,$G404*SIN(RADIANS('13_시나리오비교'!$B$11))*SIN(RADIANS('13_시나리오비교'!$C$11))+$H404*SIN(RADIANS('13_시나리오비교'!$B$11))*COS(RADIANS('13_시나리오비교'!$C$11))+$I404*COS(RADIANS('13_시나리오비교'!$B$11))),0)</f>
        <v/>
      </c>
      <c r="W404" s="80">
        <f>IF($I404&gt;0,MAX(0,$G404*SIN(RADIANS('13_시나리오비교'!$B$12))*SIN(RADIANS('13_시나리오비교'!$C$12))+$H404*SIN(RADIANS('13_시나리오비교'!$B$12))*COS(RADIANS('13_시나리오비교'!$C$12))+$I404*COS(RADIANS('13_시나리오비교'!$B$12))),0)</f>
        <v/>
      </c>
      <c r="X404" s="80">
        <f>IF($I404&gt;0,MAX(0,$G404*SIN(RADIANS('13_시나리오비교'!$B$13))*SIN(RADIANS('13_시나리오비교'!$C$13))+$H404*SIN(RADIANS('13_시나리오비교'!$B$13))*COS(RADIANS('13_시나리오비교'!$C$13))+$I404*COS(RADIANS('13_시나리오비교'!$B$13))),0)</f>
        <v/>
      </c>
      <c r="Y404" s="80">
        <f>IF($I404&gt;0,MAX(0,$G404*SIN(RADIANS('13_시나리오비교'!$B$14))*SIN(RADIANS('13_시나리오비교'!$C$14))+$H404*SIN(RADIANS('13_시나리오비교'!$B$14))*COS(RADIANS('13_시나리오비교'!$C$14))+$I404*COS(RADIANS('13_시나리오비교'!$B$14))),0)</f>
        <v/>
      </c>
    </row>
    <row r="405" hidden="1" outlineLevel="1">
      <c r="A405" s="79" t="n">
        <v>5</v>
      </c>
      <c r="B405" s="79" t="n">
        <v>1</v>
      </c>
      <c r="C405" s="80">
        <f>(B405-0.5)*'14_지역·상수'!$H$6</f>
        <v/>
      </c>
      <c r="D405" s="79" t="n">
        <v>135</v>
      </c>
      <c r="E405" s="80">
        <f>INDEX($C$4:$C$15,MATCH(A405,$A$4:$A$15,0))</f>
        <v/>
      </c>
      <c r="F405" s="80">
        <f>15*(C405-12)</f>
        <v/>
      </c>
      <c r="G405" s="80">
        <f>-COS(RADIANS(E405))*SIN(RADIANS(F405))</f>
        <v/>
      </c>
      <c r="H405" s="80">
        <f>COS(RADIANS('11_발전량_모델'!$B$17))*SIN(RADIANS(E405))-SIN(RADIANS('11_발전량_모델'!$B$17))*COS(RADIANS(E405))*COS(RADIANS(F405))</f>
        <v/>
      </c>
      <c r="I405" s="80">
        <f>SIN(RADIANS('11_발전량_모델'!$B$17))*SIN(RADIANS(E405))+COS(RADIANS('11_발전량_모델'!$B$17))*COS(RADIANS(E405))*COS(RADIANS(F405))</f>
        <v/>
      </c>
      <c r="J405" s="80">
        <f>SIN(RADIANS('11_발전량_모델'!$B$7))*SIN(RADIANS('11_발전량_모델'!$B$8))</f>
        <v/>
      </c>
      <c r="K405" s="80">
        <f>SIN(RADIANS('11_발전량_모델'!$B$7))*COS(RADIANS('11_발전량_모델'!$B$8))</f>
        <v/>
      </c>
      <c r="L405" s="80">
        <f>COS(RADIANS('11_발전량_모델'!$B$7))</f>
        <v/>
      </c>
      <c r="M405" s="80">
        <f>G405*J405+H405*K405+I405*L405</f>
        <v/>
      </c>
      <c r="N405" s="80">
        <f>MAX(0,I405)</f>
        <v/>
      </c>
      <c r="O405" s="80">
        <f>IF(I405&gt;0,MAX(0,M405),0)</f>
        <v/>
      </c>
      <c r="P405" s="80">
        <f>IF($I405&gt;0,MAX(0,$G405*SIN(RADIANS('13_시나리오비교'!$B$5))*SIN(RADIANS('13_시나리오비교'!$C$5))+$H405*SIN(RADIANS('13_시나리오비교'!$B$5))*COS(RADIANS('13_시나리오비교'!$C$5))+$I405*COS(RADIANS('13_시나리오비교'!$B$5))),0)</f>
        <v/>
      </c>
      <c r="Q405" s="80">
        <f>IF($I405&gt;0,MAX(0,$G405*SIN(RADIANS('13_시나리오비교'!$B$6))*SIN(RADIANS('13_시나리오비교'!$C$6))+$H405*SIN(RADIANS('13_시나리오비교'!$B$6))*COS(RADIANS('13_시나리오비교'!$C$6))+$I405*COS(RADIANS('13_시나리오비교'!$B$6))),0)</f>
        <v/>
      </c>
      <c r="R405" s="80">
        <f>IF($I405&gt;0,MAX(0,$G405*SIN(RADIANS('13_시나리오비교'!$B$7))*SIN(RADIANS('13_시나리오비교'!$C$7))+$H405*SIN(RADIANS('13_시나리오비교'!$B$7))*COS(RADIANS('13_시나리오비교'!$C$7))+$I405*COS(RADIANS('13_시나리오비교'!$B$7))),0)</f>
        <v/>
      </c>
      <c r="S405" s="80">
        <f>IF($I405&gt;0,MAX(0,$G405*SIN(RADIANS('13_시나리오비교'!$B$8))*SIN(RADIANS('13_시나리오비교'!$C$8))+$H405*SIN(RADIANS('13_시나리오비교'!$B$8))*COS(RADIANS('13_시나리오비교'!$C$8))+$I405*COS(RADIANS('13_시나리오비교'!$B$8))),0)</f>
        <v/>
      </c>
      <c r="T405" s="80">
        <f>IF($I405&gt;0,MAX(0,$G405*SIN(RADIANS('13_시나리오비교'!$B$9))*SIN(RADIANS('13_시나리오비교'!$C$9))+$H405*SIN(RADIANS('13_시나리오비교'!$B$9))*COS(RADIANS('13_시나리오비교'!$C$9))+$I405*COS(RADIANS('13_시나리오비교'!$B$9))),0)</f>
        <v/>
      </c>
      <c r="U405" s="80">
        <f>IF($I405&gt;0,MAX(0,$G405*SIN(RADIANS('13_시나리오비교'!$B$10))*SIN(RADIANS('13_시나리오비교'!$C$10))+$H405*SIN(RADIANS('13_시나리오비교'!$B$10))*COS(RADIANS('13_시나리오비교'!$C$10))+$I405*COS(RADIANS('13_시나리오비교'!$B$10))),0)</f>
        <v/>
      </c>
      <c r="V405" s="80">
        <f>IF($I405&gt;0,MAX(0,$G405*SIN(RADIANS('13_시나리오비교'!$B$11))*SIN(RADIANS('13_시나리오비교'!$C$11))+$H405*SIN(RADIANS('13_시나리오비교'!$B$11))*COS(RADIANS('13_시나리오비교'!$C$11))+$I405*COS(RADIANS('13_시나리오비교'!$B$11))),0)</f>
        <v/>
      </c>
      <c r="W405" s="80">
        <f>IF($I405&gt;0,MAX(0,$G405*SIN(RADIANS('13_시나리오비교'!$B$12))*SIN(RADIANS('13_시나리오비교'!$C$12))+$H405*SIN(RADIANS('13_시나리오비교'!$B$12))*COS(RADIANS('13_시나리오비교'!$C$12))+$I405*COS(RADIANS('13_시나리오비교'!$B$12))),0)</f>
        <v/>
      </c>
      <c r="X405" s="80">
        <f>IF($I405&gt;0,MAX(0,$G405*SIN(RADIANS('13_시나리오비교'!$B$13))*SIN(RADIANS('13_시나리오비교'!$C$13))+$H405*SIN(RADIANS('13_시나리오비교'!$B$13))*COS(RADIANS('13_시나리오비교'!$C$13))+$I405*COS(RADIANS('13_시나리오비교'!$B$13))),0)</f>
        <v/>
      </c>
      <c r="Y405" s="80">
        <f>IF($I405&gt;0,MAX(0,$G405*SIN(RADIANS('13_시나리오비교'!$B$14))*SIN(RADIANS('13_시나리오비교'!$C$14))+$H405*SIN(RADIANS('13_시나리오비교'!$B$14))*COS(RADIANS('13_시나리오비교'!$C$14))+$I405*COS(RADIANS('13_시나리오비교'!$B$14))),0)</f>
        <v/>
      </c>
    </row>
    <row r="406" hidden="1" outlineLevel="1">
      <c r="A406" s="79" t="n">
        <v>5</v>
      </c>
      <c r="B406" s="79" t="n">
        <v>2</v>
      </c>
      <c r="C406" s="80">
        <f>(B406-0.5)*'14_지역·상수'!$H$6</f>
        <v/>
      </c>
      <c r="D406" s="79" t="n">
        <v>135</v>
      </c>
      <c r="E406" s="80">
        <f>INDEX($C$4:$C$15,MATCH(A406,$A$4:$A$15,0))</f>
        <v/>
      </c>
      <c r="F406" s="80">
        <f>15*(C406-12)</f>
        <v/>
      </c>
      <c r="G406" s="80">
        <f>-COS(RADIANS(E406))*SIN(RADIANS(F406))</f>
        <v/>
      </c>
      <c r="H406" s="80">
        <f>COS(RADIANS('11_발전량_모델'!$B$17))*SIN(RADIANS(E406))-SIN(RADIANS('11_발전량_모델'!$B$17))*COS(RADIANS(E406))*COS(RADIANS(F406))</f>
        <v/>
      </c>
      <c r="I406" s="80">
        <f>SIN(RADIANS('11_발전량_모델'!$B$17))*SIN(RADIANS(E406))+COS(RADIANS('11_발전량_모델'!$B$17))*COS(RADIANS(E406))*COS(RADIANS(F406))</f>
        <v/>
      </c>
      <c r="J406" s="80">
        <f>SIN(RADIANS('11_발전량_모델'!$B$7))*SIN(RADIANS('11_발전량_모델'!$B$8))</f>
        <v/>
      </c>
      <c r="K406" s="80">
        <f>SIN(RADIANS('11_발전량_모델'!$B$7))*COS(RADIANS('11_발전량_모델'!$B$8))</f>
        <v/>
      </c>
      <c r="L406" s="80">
        <f>COS(RADIANS('11_발전량_모델'!$B$7))</f>
        <v/>
      </c>
      <c r="M406" s="80">
        <f>G406*J406+H406*K406+I406*L406</f>
        <v/>
      </c>
      <c r="N406" s="80">
        <f>MAX(0,I406)</f>
        <v/>
      </c>
      <c r="O406" s="80">
        <f>IF(I406&gt;0,MAX(0,M406),0)</f>
        <v/>
      </c>
      <c r="P406" s="80">
        <f>IF($I406&gt;0,MAX(0,$G406*SIN(RADIANS('13_시나리오비교'!$B$5))*SIN(RADIANS('13_시나리오비교'!$C$5))+$H406*SIN(RADIANS('13_시나리오비교'!$B$5))*COS(RADIANS('13_시나리오비교'!$C$5))+$I406*COS(RADIANS('13_시나리오비교'!$B$5))),0)</f>
        <v/>
      </c>
      <c r="Q406" s="80">
        <f>IF($I406&gt;0,MAX(0,$G406*SIN(RADIANS('13_시나리오비교'!$B$6))*SIN(RADIANS('13_시나리오비교'!$C$6))+$H406*SIN(RADIANS('13_시나리오비교'!$B$6))*COS(RADIANS('13_시나리오비교'!$C$6))+$I406*COS(RADIANS('13_시나리오비교'!$B$6))),0)</f>
        <v/>
      </c>
      <c r="R406" s="80">
        <f>IF($I406&gt;0,MAX(0,$G406*SIN(RADIANS('13_시나리오비교'!$B$7))*SIN(RADIANS('13_시나리오비교'!$C$7))+$H406*SIN(RADIANS('13_시나리오비교'!$B$7))*COS(RADIANS('13_시나리오비교'!$C$7))+$I406*COS(RADIANS('13_시나리오비교'!$B$7))),0)</f>
        <v/>
      </c>
      <c r="S406" s="80">
        <f>IF($I406&gt;0,MAX(0,$G406*SIN(RADIANS('13_시나리오비교'!$B$8))*SIN(RADIANS('13_시나리오비교'!$C$8))+$H406*SIN(RADIANS('13_시나리오비교'!$B$8))*COS(RADIANS('13_시나리오비교'!$C$8))+$I406*COS(RADIANS('13_시나리오비교'!$B$8))),0)</f>
        <v/>
      </c>
      <c r="T406" s="80">
        <f>IF($I406&gt;0,MAX(0,$G406*SIN(RADIANS('13_시나리오비교'!$B$9))*SIN(RADIANS('13_시나리오비교'!$C$9))+$H406*SIN(RADIANS('13_시나리오비교'!$B$9))*COS(RADIANS('13_시나리오비교'!$C$9))+$I406*COS(RADIANS('13_시나리오비교'!$B$9))),0)</f>
        <v/>
      </c>
      <c r="U406" s="80">
        <f>IF($I406&gt;0,MAX(0,$G406*SIN(RADIANS('13_시나리오비교'!$B$10))*SIN(RADIANS('13_시나리오비교'!$C$10))+$H406*SIN(RADIANS('13_시나리오비교'!$B$10))*COS(RADIANS('13_시나리오비교'!$C$10))+$I406*COS(RADIANS('13_시나리오비교'!$B$10))),0)</f>
        <v/>
      </c>
      <c r="V406" s="80">
        <f>IF($I406&gt;0,MAX(0,$G406*SIN(RADIANS('13_시나리오비교'!$B$11))*SIN(RADIANS('13_시나리오비교'!$C$11))+$H406*SIN(RADIANS('13_시나리오비교'!$B$11))*COS(RADIANS('13_시나리오비교'!$C$11))+$I406*COS(RADIANS('13_시나리오비교'!$B$11))),0)</f>
        <v/>
      </c>
      <c r="W406" s="80">
        <f>IF($I406&gt;0,MAX(0,$G406*SIN(RADIANS('13_시나리오비교'!$B$12))*SIN(RADIANS('13_시나리오비교'!$C$12))+$H406*SIN(RADIANS('13_시나리오비교'!$B$12))*COS(RADIANS('13_시나리오비교'!$C$12))+$I406*COS(RADIANS('13_시나리오비교'!$B$12))),0)</f>
        <v/>
      </c>
      <c r="X406" s="80">
        <f>IF($I406&gt;0,MAX(0,$G406*SIN(RADIANS('13_시나리오비교'!$B$13))*SIN(RADIANS('13_시나리오비교'!$C$13))+$H406*SIN(RADIANS('13_시나리오비교'!$B$13))*COS(RADIANS('13_시나리오비교'!$C$13))+$I406*COS(RADIANS('13_시나리오비교'!$B$13))),0)</f>
        <v/>
      </c>
      <c r="Y406" s="80">
        <f>IF($I406&gt;0,MAX(0,$G406*SIN(RADIANS('13_시나리오비교'!$B$14))*SIN(RADIANS('13_시나리오비교'!$C$14))+$H406*SIN(RADIANS('13_시나리오비교'!$B$14))*COS(RADIANS('13_시나리오비교'!$C$14))+$I406*COS(RADIANS('13_시나리오비교'!$B$14))),0)</f>
        <v/>
      </c>
    </row>
    <row r="407" hidden="1" outlineLevel="1">
      <c r="A407" s="79" t="n">
        <v>5</v>
      </c>
      <c r="B407" s="79" t="n">
        <v>3</v>
      </c>
      <c r="C407" s="80">
        <f>(B407-0.5)*'14_지역·상수'!$H$6</f>
        <v/>
      </c>
      <c r="D407" s="79" t="n">
        <v>135</v>
      </c>
      <c r="E407" s="80">
        <f>INDEX($C$4:$C$15,MATCH(A407,$A$4:$A$15,0))</f>
        <v/>
      </c>
      <c r="F407" s="80">
        <f>15*(C407-12)</f>
        <v/>
      </c>
      <c r="G407" s="80">
        <f>-COS(RADIANS(E407))*SIN(RADIANS(F407))</f>
        <v/>
      </c>
      <c r="H407" s="80">
        <f>COS(RADIANS('11_발전량_모델'!$B$17))*SIN(RADIANS(E407))-SIN(RADIANS('11_발전량_모델'!$B$17))*COS(RADIANS(E407))*COS(RADIANS(F407))</f>
        <v/>
      </c>
      <c r="I407" s="80">
        <f>SIN(RADIANS('11_발전량_모델'!$B$17))*SIN(RADIANS(E407))+COS(RADIANS('11_발전량_모델'!$B$17))*COS(RADIANS(E407))*COS(RADIANS(F407))</f>
        <v/>
      </c>
      <c r="J407" s="80">
        <f>SIN(RADIANS('11_발전량_모델'!$B$7))*SIN(RADIANS('11_발전량_모델'!$B$8))</f>
        <v/>
      </c>
      <c r="K407" s="80">
        <f>SIN(RADIANS('11_발전량_모델'!$B$7))*COS(RADIANS('11_발전량_모델'!$B$8))</f>
        <v/>
      </c>
      <c r="L407" s="80">
        <f>COS(RADIANS('11_발전량_모델'!$B$7))</f>
        <v/>
      </c>
      <c r="M407" s="80">
        <f>G407*J407+H407*K407+I407*L407</f>
        <v/>
      </c>
      <c r="N407" s="80">
        <f>MAX(0,I407)</f>
        <v/>
      </c>
      <c r="O407" s="80">
        <f>IF(I407&gt;0,MAX(0,M407),0)</f>
        <v/>
      </c>
      <c r="P407" s="80">
        <f>IF($I407&gt;0,MAX(0,$G407*SIN(RADIANS('13_시나리오비교'!$B$5))*SIN(RADIANS('13_시나리오비교'!$C$5))+$H407*SIN(RADIANS('13_시나리오비교'!$B$5))*COS(RADIANS('13_시나리오비교'!$C$5))+$I407*COS(RADIANS('13_시나리오비교'!$B$5))),0)</f>
        <v/>
      </c>
      <c r="Q407" s="80">
        <f>IF($I407&gt;0,MAX(0,$G407*SIN(RADIANS('13_시나리오비교'!$B$6))*SIN(RADIANS('13_시나리오비교'!$C$6))+$H407*SIN(RADIANS('13_시나리오비교'!$B$6))*COS(RADIANS('13_시나리오비교'!$C$6))+$I407*COS(RADIANS('13_시나리오비교'!$B$6))),0)</f>
        <v/>
      </c>
      <c r="R407" s="80">
        <f>IF($I407&gt;0,MAX(0,$G407*SIN(RADIANS('13_시나리오비교'!$B$7))*SIN(RADIANS('13_시나리오비교'!$C$7))+$H407*SIN(RADIANS('13_시나리오비교'!$B$7))*COS(RADIANS('13_시나리오비교'!$C$7))+$I407*COS(RADIANS('13_시나리오비교'!$B$7))),0)</f>
        <v/>
      </c>
      <c r="S407" s="80">
        <f>IF($I407&gt;0,MAX(0,$G407*SIN(RADIANS('13_시나리오비교'!$B$8))*SIN(RADIANS('13_시나리오비교'!$C$8))+$H407*SIN(RADIANS('13_시나리오비교'!$B$8))*COS(RADIANS('13_시나리오비교'!$C$8))+$I407*COS(RADIANS('13_시나리오비교'!$B$8))),0)</f>
        <v/>
      </c>
      <c r="T407" s="80">
        <f>IF($I407&gt;0,MAX(0,$G407*SIN(RADIANS('13_시나리오비교'!$B$9))*SIN(RADIANS('13_시나리오비교'!$C$9))+$H407*SIN(RADIANS('13_시나리오비교'!$B$9))*COS(RADIANS('13_시나리오비교'!$C$9))+$I407*COS(RADIANS('13_시나리오비교'!$B$9))),0)</f>
        <v/>
      </c>
      <c r="U407" s="80">
        <f>IF($I407&gt;0,MAX(0,$G407*SIN(RADIANS('13_시나리오비교'!$B$10))*SIN(RADIANS('13_시나리오비교'!$C$10))+$H407*SIN(RADIANS('13_시나리오비교'!$B$10))*COS(RADIANS('13_시나리오비교'!$C$10))+$I407*COS(RADIANS('13_시나리오비교'!$B$10))),0)</f>
        <v/>
      </c>
      <c r="V407" s="80">
        <f>IF($I407&gt;0,MAX(0,$G407*SIN(RADIANS('13_시나리오비교'!$B$11))*SIN(RADIANS('13_시나리오비교'!$C$11))+$H407*SIN(RADIANS('13_시나리오비교'!$B$11))*COS(RADIANS('13_시나리오비교'!$C$11))+$I407*COS(RADIANS('13_시나리오비교'!$B$11))),0)</f>
        <v/>
      </c>
      <c r="W407" s="80">
        <f>IF($I407&gt;0,MAX(0,$G407*SIN(RADIANS('13_시나리오비교'!$B$12))*SIN(RADIANS('13_시나리오비교'!$C$12))+$H407*SIN(RADIANS('13_시나리오비교'!$B$12))*COS(RADIANS('13_시나리오비교'!$C$12))+$I407*COS(RADIANS('13_시나리오비교'!$B$12))),0)</f>
        <v/>
      </c>
      <c r="X407" s="80">
        <f>IF($I407&gt;0,MAX(0,$G407*SIN(RADIANS('13_시나리오비교'!$B$13))*SIN(RADIANS('13_시나리오비교'!$C$13))+$H407*SIN(RADIANS('13_시나리오비교'!$B$13))*COS(RADIANS('13_시나리오비교'!$C$13))+$I407*COS(RADIANS('13_시나리오비교'!$B$13))),0)</f>
        <v/>
      </c>
      <c r="Y407" s="80">
        <f>IF($I407&gt;0,MAX(0,$G407*SIN(RADIANS('13_시나리오비교'!$B$14))*SIN(RADIANS('13_시나리오비교'!$C$14))+$H407*SIN(RADIANS('13_시나리오비교'!$B$14))*COS(RADIANS('13_시나리오비교'!$C$14))+$I407*COS(RADIANS('13_시나리오비교'!$B$14))),0)</f>
        <v/>
      </c>
    </row>
    <row r="408" hidden="1" outlineLevel="1">
      <c r="A408" s="79" t="n">
        <v>5</v>
      </c>
      <c r="B408" s="79" t="n">
        <v>4</v>
      </c>
      <c r="C408" s="80">
        <f>(B408-0.5)*'14_지역·상수'!$H$6</f>
        <v/>
      </c>
      <c r="D408" s="79" t="n">
        <v>135</v>
      </c>
      <c r="E408" s="80">
        <f>INDEX($C$4:$C$15,MATCH(A408,$A$4:$A$15,0))</f>
        <v/>
      </c>
      <c r="F408" s="80">
        <f>15*(C408-12)</f>
        <v/>
      </c>
      <c r="G408" s="80">
        <f>-COS(RADIANS(E408))*SIN(RADIANS(F408))</f>
        <v/>
      </c>
      <c r="H408" s="80">
        <f>COS(RADIANS('11_발전량_모델'!$B$17))*SIN(RADIANS(E408))-SIN(RADIANS('11_발전량_모델'!$B$17))*COS(RADIANS(E408))*COS(RADIANS(F408))</f>
        <v/>
      </c>
      <c r="I408" s="80">
        <f>SIN(RADIANS('11_발전량_모델'!$B$17))*SIN(RADIANS(E408))+COS(RADIANS('11_발전량_모델'!$B$17))*COS(RADIANS(E408))*COS(RADIANS(F408))</f>
        <v/>
      </c>
      <c r="J408" s="80">
        <f>SIN(RADIANS('11_발전량_모델'!$B$7))*SIN(RADIANS('11_발전량_모델'!$B$8))</f>
        <v/>
      </c>
      <c r="K408" s="80">
        <f>SIN(RADIANS('11_발전량_모델'!$B$7))*COS(RADIANS('11_발전량_모델'!$B$8))</f>
        <v/>
      </c>
      <c r="L408" s="80">
        <f>COS(RADIANS('11_발전량_모델'!$B$7))</f>
        <v/>
      </c>
      <c r="M408" s="80">
        <f>G408*J408+H408*K408+I408*L408</f>
        <v/>
      </c>
      <c r="N408" s="80">
        <f>MAX(0,I408)</f>
        <v/>
      </c>
      <c r="O408" s="80">
        <f>IF(I408&gt;0,MAX(0,M408),0)</f>
        <v/>
      </c>
      <c r="P408" s="80">
        <f>IF($I408&gt;0,MAX(0,$G408*SIN(RADIANS('13_시나리오비교'!$B$5))*SIN(RADIANS('13_시나리오비교'!$C$5))+$H408*SIN(RADIANS('13_시나리오비교'!$B$5))*COS(RADIANS('13_시나리오비교'!$C$5))+$I408*COS(RADIANS('13_시나리오비교'!$B$5))),0)</f>
        <v/>
      </c>
      <c r="Q408" s="80">
        <f>IF($I408&gt;0,MAX(0,$G408*SIN(RADIANS('13_시나리오비교'!$B$6))*SIN(RADIANS('13_시나리오비교'!$C$6))+$H408*SIN(RADIANS('13_시나리오비교'!$B$6))*COS(RADIANS('13_시나리오비교'!$C$6))+$I408*COS(RADIANS('13_시나리오비교'!$B$6))),0)</f>
        <v/>
      </c>
      <c r="R408" s="80">
        <f>IF($I408&gt;0,MAX(0,$G408*SIN(RADIANS('13_시나리오비교'!$B$7))*SIN(RADIANS('13_시나리오비교'!$C$7))+$H408*SIN(RADIANS('13_시나리오비교'!$B$7))*COS(RADIANS('13_시나리오비교'!$C$7))+$I408*COS(RADIANS('13_시나리오비교'!$B$7))),0)</f>
        <v/>
      </c>
      <c r="S408" s="80">
        <f>IF($I408&gt;0,MAX(0,$G408*SIN(RADIANS('13_시나리오비교'!$B$8))*SIN(RADIANS('13_시나리오비교'!$C$8))+$H408*SIN(RADIANS('13_시나리오비교'!$B$8))*COS(RADIANS('13_시나리오비교'!$C$8))+$I408*COS(RADIANS('13_시나리오비교'!$B$8))),0)</f>
        <v/>
      </c>
      <c r="T408" s="80">
        <f>IF($I408&gt;0,MAX(0,$G408*SIN(RADIANS('13_시나리오비교'!$B$9))*SIN(RADIANS('13_시나리오비교'!$C$9))+$H408*SIN(RADIANS('13_시나리오비교'!$B$9))*COS(RADIANS('13_시나리오비교'!$C$9))+$I408*COS(RADIANS('13_시나리오비교'!$B$9))),0)</f>
        <v/>
      </c>
      <c r="U408" s="80">
        <f>IF($I408&gt;0,MAX(0,$G408*SIN(RADIANS('13_시나리오비교'!$B$10))*SIN(RADIANS('13_시나리오비교'!$C$10))+$H408*SIN(RADIANS('13_시나리오비교'!$B$10))*COS(RADIANS('13_시나리오비교'!$C$10))+$I408*COS(RADIANS('13_시나리오비교'!$B$10))),0)</f>
        <v/>
      </c>
      <c r="V408" s="80">
        <f>IF($I408&gt;0,MAX(0,$G408*SIN(RADIANS('13_시나리오비교'!$B$11))*SIN(RADIANS('13_시나리오비교'!$C$11))+$H408*SIN(RADIANS('13_시나리오비교'!$B$11))*COS(RADIANS('13_시나리오비교'!$C$11))+$I408*COS(RADIANS('13_시나리오비교'!$B$11))),0)</f>
        <v/>
      </c>
      <c r="W408" s="80">
        <f>IF($I408&gt;0,MAX(0,$G408*SIN(RADIANS('13_시나리오비교'!$B$12))*SIN(RADIANS('13_시나리오비교'!$C$12))+$H408*SIN(RADIANS('13_시나리오비교'!$B$12))*COS(RADIANS('13_시나리오비교'!$C$12))+$I408*COS(RADIANS('13_시나리오비교'!$B$12))),0)</f>
        <v/>
      </c>
      <c r="X408" s="80">
        <f>IF($I408&gt;0,MAX(0,$G408*SIN(RADIANS('13_시나리오비교'!$B$13))*SIN(RADIANS('13_시나리오비교'!$C$13))+$H408*SIN(RADIANS('13_시나리오비교'!$B$13))*COS(RADIANS('13_시나리오비교'!$C$13))+$I408*COS(RADIANS('13_시나리오비교'!$B$13))),0)</f>
        <v/>
      </c>
      <c r="Y408" s="80">
        <f>IF($I408&gt;0,MAX(0,$G408*SIN(RADIANS('13_시나리오비교'!$B$14))*SIN(RADIANS('13_시나리오비교'!$C$14))+$H408*SIN(RADIANS('13_시나리오비교'!$B$14))*COS(RADIANS('13_시나리오비교'!$C$14))+$I408*COS(RADIANS('13_시나리오비교'!$B$14))),0)</f>
        <v/>
      </c>
    </row>
    <row r="409" hidden="1" outlineLevel="1">
      <c r="A409" s="79" t="n">
        <v>5</v>
      </c>
      <c r="B409" s="79" t="n">
        <v>5</v>
      </c>
      <c r="C409" s="80">
        <f>(B409-0.5)*'14_지역·상수'!$H$6</f>
        <v/>
      </c>
      <c r="D409" s="79" t="n">
        <v>135</v>
      </c>
      <c r="E409" s="80">
        <f>INDEX($C$4:$C$15,MATCH(A409,$A$4:$A$15,0))</f>
        <v/>
      </c>
      <c r="F409" s="80">
        <f>15*(C409-12)</f>
        <v/>
      </c>
      <c r="G409" s="80">
        <f>-COS(RADIANS(E409))*SIN(RADIANS(F409))</f>
        <v/>
      </c>
      <c r="H409" s="80">
        <f>COS(RADIANS('11_발전량_모델'!$B$17))*SIN(RADIANS(E409))-SIN(RADIANS('11_발전량_모델'!$B$17))*COS(RADIANS(E409))*COS(RADIANS(F409))</f>
        <v/>
      </c>
      <c r="I409" s="80">
        <f>SIN(RADIANS('11_발전량_모델'!$B$17))*SIN(RADIANS(E409))+COS(RADIANS('11_발전량_모델'!$B$17))*COS(RADIANS(E409))*COS(RADIANS(F409))</f>
        <v/>
      </c>
      <c r="J409" s="80">
        <f>SIN(RADIANS('11_발전량_모델'!$B$7))*SIN(RADIANS('11_발전량_모델'!$B$8))</f>
        <v/>
      </c>
      <c r="K409" s="80">
        <f>SIN(RADIANS('11_발전량_모델'!$B$7))*COS(RADIANS('11_발전량_모델'!$B$8))</f>
        <v/>
      </c>
      <c r="L409" s="80">
        <f>COS(RADIANS('11_발전량_모델'!$B$7))</f>
        <v/>
      </c>
      <c r="M409" s="80">
        <f>G409*J409+H409*K409+I409*L409</f>
        <v/>
      </c>
      <c r="N409" s="80">
        <f>MAX(0,I409)</f>
        <v/>
      </c>
      <c r="O409" s="80">
        <f>IF(I409&gt;0,MAX(0,M409),0)</f>
        <v/>
      </c>
      <c r="P409" s="80">
        <f>IF($I409&gt;0,MAX(0,$G409*SIN(RADIANS('13_시나리오비교'!$B$5))*SIN(RADIANS('13_시나리오비교'!$C$5))+$H409*SIN(RADIANS('13_시나리오비교'!$B$5))*COS(RADIANS('13_시나리오비교'!$C$5))+$I409*COS(RADIANS('13_시나리오비교'!$B$5))),0)</f>
        <v/>
      </c>
      <c r="Q409" s="80">
        <f>IF($I409&gt;0,MAX(0,$G409*SIN(RADIANS('13_시나리오비교'!$B$6))*SIN(RADIANS('13_시나리오비교'!$C$6))+$H409*SIN(RADIANS('13_시나리오비교'!$B$6))*COS(RADIANS('13_시나리오비교'!$C$6))+$I409*COS(RADIANS('13_시나리오비교'!$B$6))),0)</f>
        <v/>
      </c>
      <c r="R409" s="80">
        <f>IF($I409&gt;0,MAX(0,$G409*SIN(RADIANS('13_시나리오비교'!$B$7))*SIN(RADIANS('13_시나리오비교'!$C$7))+$H409*SIN(RADIANS('13_시나리오비교'!$B$7))*COS(RADIANS('13_시나리오비교'!$C$7))+$I409*COS(RADIANS('13_시나리오비교'!$B$7))),0)</f>
        <v/>
      </c>
      <c r="S409" s="80">
        <f>IF($I409&gt;0,MAX(0,$G409*SIN(RADIANS('13_시나리오비교'!$B$8))*SIN(RADIANS('13_시나리오비교'!$C$8))+$H409*SIN(RADIANS('13_시나리오비교'!$B$8))*COS(RADIANS('13_시나리오비교'!$C$8))+$I409*COS(RADIANS('13_시나리오비교'!$B$8))),0)</f>
        <v/>
      </c>
      <c r="T409" s="80">
        <f>IF($I409&gt;0,MAX(0,$G409*SIN(RADIANS('13_시나리오비교'!$B$9))*SIN(RADIANS('13_시나리오비교'!$C$9))+$H409*SIN(RADIANS('13_시나리오비교'!$B$9))*COS(RADIANS('13_시나리오비교'!$C$9))+$I409*COS(RADIANS('13_시나리오비교'!$B$9))),0)</f>
        <v/>
      </c>
      <c r="U409" s="80">
        <f>IF($I409&gt;0,MAX(0,$G409*SIN(RADIANS('13_시나리오비교'!$B$10))*SIN(RADIANS('13_시나리오비교'!$C$10))+$H409*SIN(RADIANS('13_시나리오비교'!$B$10))*COS(RADIANS('13_시나리오비교'!$C$10))+$I409*COS(RADIANS('13_시나리오비교'!$B$10))),0)</f>
        <v/>
      </c>
      <c r="V409" s="80">
        <f>IF($I409&gt;0,MAX(0,$G409*SIN(RADIANS('13_시나리오비교'!$B$11))*SIN(RADIANS('13_시나리오비교'!$C$11))+$H409*SIN(RADIANS('13_시나리오비교'!$B$11))*COS(RADIANS('13_시나리오비교'!$C$11))+$I409*COS(RADIANS('13_시나리오비교'!$B$11))),0)</f>
        <v/>
      </c>
      <c r="W409" s="80">
        <f>IF($I409&gt;0,MAX(0,$G409*SIN(RADIANS('13_시나리오비교'!$B$12))*SIN(RADIANS('13_시나리오비교'!$C$12))+$H409*SIN(RADIANS('13_시나리오비교'!$B$12))*COS(RADIANS('13_시나리오비교'!$C$12))+$I409*COS(RADIANS('13_시나리오비교'!$B$12))),0)</f>
        <v/>
      </c>
      <c r="X409" s="80">
        <f>IF($I409&gt;0,MAX(0,$G409*SIN(RADIANS('13_시나리오비교'!$B$13))*SIN(RADIANS('13_시나리오비교'!$C$13))+$H409*SIN(RADIANS('13_시나리오비교'!$B$13))*COS(RADIANS('13_시나리오비교'!$C$13))+$I409*COS(RADIANS('13_시나리오비교'!$B$13))),0)</f>
        <v/>
      </c>
      <c r="Y409" s="80">
        <f>IF($I409&gt;0,MAX(0,$G409*SIN(RADIANS('13_시나리오비교'!$B$14))*SIN(RADIANS('13_시나리오비교'!$C$14))+$H409*SIN(RADIANS('13_시나리오비교'!$B$14))*COS(RADIANS('13_시나리오비교'!$C$14))+$I409*COS(RADIANS('13_시나리오비교'!$B$14))),0)</f>
        <v/>
      </c>
    </row>
    <row r="410" hidden="1" outlineLevel="1">
      <c r="A410" s="79" t="n">
        <v>5</v>
      </c>
      <c r="B410" s="79" t="n">
        <v>6</v>
      </c>
      <c r="C410" s="80">
        <f>(B410-0.5)*'14_지역·상수'!$H$6</f>
        <v/>
      </c>
      <c r="D410" s="79" t="n">
        <v>135</v>
      </c>
      <c r="E410" s="80">
        <f>INDEX($C$4:$C$15,MATCH(A410,$A$4:$A$15,0))</f>
        <v/>
      </c>
      <c r="F410" s="80">
        <f>15*(C410-12)</f>
        <v/>
      </c>
      <c r="G410" s="80">
        <f>-COS(RADIANS(E410))*SIN(RADIANS(F410))</f>
        <v/>
      </c>
      <c r="H410" s="80">
        <f>COS(RADIANS('11_발전량_모델'!$B$17))*SIN(RADIANS(E410))-SIN(RADIANS('11_발전량_모델'!$B$17))*COS(RADIANS(E410))*COS(RADIANS(F410))</f>
        <v/>
      </c>
      <c r="I410" s="80">
        <f>SIN(RADIANS('11_발전량_모델'!$B$17))*SIN(RADIANS(E410))+COS(RADIANS('11_발전량_모델'!$B$17))*COS(RADIANS(E410))*COS(RADIANS(F410))</f>
        <v/>
      </c>
      <c r="J410" s="80">
        <f>SIN(RADIANS('11_발전량_모델'!$B$7))*SIN(RADIANS('11_발전량_모델'!$B$8))</f>
        <v/>
      </c>
      <c r="K410" s="80">
        <f>SIN(RADIANS('11_발전량_모델'!$B$7))*COS(RADIANS('11_발전량_모델'!$B$8))</f>
        <v/>
      </c>
      <c r="L410" s="80">
        <f>COS(RADIANS('11_발전량_모델'!$B$7))</f>
        <v/>
      </c>
      <c r="M410" s="80">
        <f>G410*J410+H410*K410+I410*L410</f>
        <v/>
      </c>
      <c r="N410" s="80">
        <f>MAX(0,I410)</f>
        <v/>
      </c>
      <c r="O410" s="80">
        <f>IF(I410&gt;0,MAX(0,M410),0)</f>
        <v/>
      </c>
      <c r="P410" s="80">
        <f>IF($I410&gt;0,MAX(0,$G410*SIN(RADIANS('13_시나리오비교'!$B$5))*SIN(RADIANS('13_시나리오비교'!$C$5))+$H410*SIN(RADIANS('13_시나리오비교'!$B$5))*COS(RADIANS('13_시나리오비교'!$C$5))+$I410*COS(RADIANS('13_시나리오비교'!$B$5))),0)</f>
        <v/>
      </c>
      <c r="Q410" s="80">
        <f>IF($I410&gt;0,MAX(0,$G410*SIN(RADIANS('13_시나리오비교'!$B$6))*SIN(RADIANS('13_시나리오비교'!$C$6))+$H410*SIN(RADIANS('13_시나리오비교'!$B$6))*COS(RADIANS('13_시나리오비교'!$C$6))+$I410*COS(RADIANS('13_시나리오비교'!$B$6))),0)</f>
        <v/>
      </c>
      <c r="R410" s="80">
        <f>IF($I410&gt;0,MAX(0,$G410*SIN(RADIANS('13_시나리오비교'!$B$7))*SIN(RADIANS('13_시나리오비교'!$C$7))+$H410*SIN(RADIANS('13_시나리오비교'!$B$7))*COS(RADIANS('13_시나리오비교'!$C$7))+$I410*COS(RADIANS('13_시나리오비교'!$B$7))),0)</f>
        <v/>
      </c>
      <c r="S410" s="80">
        <f>IF($I410&gt;0,MAX(0,$G410*SIN(RADIANS('13_시나리오비교'!$B$8))*SIN(RADIANS('13_시나리오비교'!$C$8))+$H410*SIN(RADIANS('13_시나리오비교'!$B$8))*COS(RADIANS('13_시나리오비교'!$C$8))+$I410*COS(RADIANS('13_시나리오비교'!$B$8))),0)</f>
        <v/>
      </c>
      <c r="T410" s="80">
        <f>IF($I410&gt;0,MAX(0,$G410*SIN(RADIANS('13_시나리오비교'!$B$9))*SIN(RADIANS('13_시나리오비교'!$C$9))+$H410*SIN(RADIANS('13_시나리오비교'!$B$9))*COS(RADIANS('13_시나리오비교'!$C$9))+$I410*COS(RADIANS('13_시나리오비교'!$B$9))),0)</f>
        <v/>
      </c>
      <c r="U410" s="80">
        <f>IF($I410&gt;0,MAX(0,$G410*SIN(RADIANS('13_시나리오비교'!$B$10))*SIN(RADIANS('13_시나리오비교'!$C$10))+$H410*SIN(RADIANS('13_시나리오비교'!$B$10))*COS(RADIANS('13_시나리오비교'!$C$10))+$I410*COS(RADIANS('13_시나리오비교'!$B$10))),0)</f>
        <v/>
      </c>
      <c r="V410" s="80">
        <f>IF($I410&gt;0,MAX(0,$G410*SIN(RADIANS('13_시나리오비교'!$B$11))*SIN(RADIANS('13_시나리오비교'!$C$11))+$H410*SIN(RADIANS('13_시나리오비교'!$B$11))*COS(RADIANS('13_시나리오비교'!$C$11))+$I410*COS(RADIANS('13_시나리오비교'!$B$11))),0)</f>
        <v/>
      </c>
      <c r="W410" s="80">
        <f>IF($I410&gt;0,MAX(0,$G410*SIN(RADIANS('13_시나리오비교'!$B$12))*SIN(RADIANS('13_시나리오비교'!$C$12))+$H410*SIN(RADIANS('13_시나리오비교'!$B$12))*COS(RADIANS('13_시나리오비교'!$C$12))+$I410*COS(RADIANS('13_시나리오비교'!$B$12))),0)</f>
        <v/>
      </c>
      <c r="X410" s="80">
        <f>IF($I410&gt;0,MAX(0,$G410*SIN(RADIANS('13_시나리오비교'!$B$13))*SIN(RADIANS('13_시나리오비교'!$C$13))+$H410*SIN(RADIANS('13_시나리오비교'!$B$13))*COS(RADIANS('13_시나리오비교'!$C$13))+$I410*COS(RADIANS('13_시나리오비교'!$B$13))),0)</f>
        <v/>
      </c>
      <c r="Y410" s="80">
        <f>IF($I410&gt;0,MAX(0,$G410*SIN(RADIANS('13_시나리오비교'!$B$14))*SIN(RADIANS('13_시나리오비교'!$C$14))+$H410*SIN(RADIANS('13_시나리오비교'!$B$14))*COS(RADIANS('13_시나리오비교'!$C$14))+$I410*COS(RADIANS('13_시나리오비교'!$B$14))),0)</f>
        <v/>
      </c>
    </row>
    <row r="411" hidden="1" outlineLevel="1">
      <c r="A411" s="79" t="n">
        <v>5</v>
      </c>
      <c r="B411" s="79" t="n">
        <v>7</v>
      </c>
      <c r="C411" s="80">
        <f>(B411-0.5)*'14_지역·상수'!$H$6</f>
        <v/>
      </c>
      <c r="D411" s="79" t="n">
        <v>135</v>
      </c>
      <c r="E411" s="80">
        <f>INDEX($C$4:$C$15,MATCH(A411,$A$4:$A$15,0))</f>
        <v/>
      </c>
      <c r="F411" s="80">
        <f>15*(C411-12)</f>
        <v/>
      </c>
      <c r="G411" s="80">
        <f>-COS(RADIANS(E411))*SIN(RADIANS(F411))</f>
        <v/>
      </c>
      <c r="H411" s="80">
        <f>COS(RADIANS('11_발전량_모델'!$B$17))*SIN(RADIANS(E411))-SIN(RADIANS('11_발전량_모델'!$B$17))*COS(RADIANS(E411))*COS(RADIANS(F411))</f>
        <v/>
      </c>
      <c r="I411" s="80">
        <f>SIN(RADIANS('11_발전량_모델'!$B$17))*SIN(RADIANS(E411))+COS(RADIANS('11_발전량_모델'!$B$17))*COS(RADIANS(E411))*COS(RADIANS(F411))</f>
        <v/>
      </c>
      <c r="J411" s="80">
        <f>SIN(RADIANS('11_발전량_모델'!$B$7))*SIN(RADIANS('11_발전량_모델'!$B$8))</f>
        <v/>
      </c>
      <c r="K411" s="80">
        <f>SIN(RADIANS('11_발전량_모델'!$B$7))*COS(RADIANS('11_발전량_모델'!$B$8))</f>
        <v/>
      </c>
      <c r="L411" s="80">
        <f>COS(RADIANS('11_발전량_모델'!$B$7))</f>
        <v/>
      </c>
      <c r="M411" s="80">
        <f>G411*J411+H411*K411+I411*L411</f>
        <v/>
      </c>
      <c r="N411" s="80">
        <f>MAX(0,I411)</f>
        <v/>
      </c>
      <c r="O411" s="80">
        <f>IF(I411&gt;0,MAX(0,M411),0)</f>
        <v/>
      </c>
      <c r="P411" s="80">
        <f>IF($I411&gt;0,MAX(0,$G411*SIN(RADIANS('13_시나리오비교'!$B$5))*SIN(RADIANS('13_시나리오비교'!$C$5))+$H411*SIN(RADIANS('13_시나리오비교'!$B$5))*COS(RADIANS('13_시나리오비교'!$C$5))+$I411*COS(RADIANS('13_시나리오비교'!$B$5))),0)</f>
        <v/>
      </c>
      <c r="Q411" s="80">
        <f>IF($I411&gt;0,MAX(0,$G411*SIN(RADIANS('13_시나리오비교'!$B$6))*SIN(RADIANS('13_시나리오비교'!$C$6))+$H411*SIN(RADIANS('13_시나리오비교'!$B$6))*COS(RADIANS('13_시나리오비교'!$C$6))+$I411*COS(RADIANS('13_시나리오비교'!$B$6))),0)</f>
        <v/>
      </c>
      <c r="R411" s="80">
        <f>IF($I411&gt;0,MAX(0,$G411*SIN(RADIANS('13_시나리오비교'!$B$7))*SIN(RADIANS('13_시나리오비교'!$C$7))+$H411*SIN(RADIANS('13_시나리오비교'!$B$7))*COS(RADIANS('13_시나리오비교'!$C$7))+$I411*COS(RADIANS('13_시나리오비교'!$B$7))),0)</f>
        <v/>
      </c>
      <c r="S411" s="80">
        <f>IF($I411&gt;0,MAX(0,$G411*SIN(RADIANS('13_시나리오비교'!$B$8))*SIN(RADIANS('13_시나리오비교'!$C$8))+$H411*SIN(RADIANS('13_시나리오비교'!$B$8))*COS(RADIANS('13_시나리오비교'!$C$8))+$I411*COS(RADIANS('13_시나리오비교'!$B$8))),0)</f>
        <v/>
      </c>
      <c r="T411" s="80">
        <f>IF($I411&gt;0,MAX(0,$G411*SIN(RADIANS('13_시나리오비교'!$B$9))*SIN(RADIANS('13_시나리오비교'!$C$9))+$H411*SIN(RADIANS('13_시나리오비교'!$B$9))*COS(RADIANS('13_시나리오비교'!$C$9))+$I411*COS(RADIANS('13_시나리오비교'!$B$9))),0)</f>
        <v/>
      </c>
      <c r="U411" s="80">
        <f>IF($I411&gt;0,MAX(0,$G411*SIN(RADIANS('13_시나리오비교'!$B$10))*SIN(RADIANS('13_시나리오비교'!$C$10))+$H411*SIN(RADIANS('13_시나리오비교'!$B$10))*COS(RADIANS('13_시나리오비교'!$C$10))+$I411*COS(RADIANS('13_시나리오비교'!$B$10))),0)</f>
        <v/>
      </c>
      <c r="V411" s="80">
        <f>IF($I411&gt;0,MAX(0,$G411*SIN(RADIANS('13_시나리오비교'!$B$11))*SIN(RADIANS('13_시나리오비교'!$C$11))+$H411*SIN(RADIANS('13_시나리오비교'!$B$11))*COS(RADIANS('13_시나리오비교'!$C$11))+$I411*COS(RADIANS('13_시나리오비교'!$B$11))),0)</f>
        <v/>
      </c>
      <c r="W411" s="80">
        <f>IF($I411&gt;0,MAX(0,$G411*SIN(RADIANS('13_시나리오비교'!$B$12))*SIN(RADIANS('13_시나리오비교'!$C$12))+$H411*SIN(RADIANS('13_시나리오비교'!$B$12))*COS(RADIANS('13_시나리오비교'!$C$12))+$I411*COS(RADIANS('13_시나리오비교'!$B$12))),0)</f>
        <v/>
      </c>
      <c r="X411" s="80">
        <f>IF($I411&gt;0,MAX(0,$G411*SIN(RADIANS('13_시나리오비교'!$B$13))*SIN(RADIANS('13_시나리오비교'!$C$13))+$H411*SIN(RADIANS('13_시나리오비교'!$B$13))*COS(RADIANS('13_시나리오비교'!$C$13))+$I411*COS(RADIANS('13_시나리오비교'!$B$13))),0)</f>
        <v/>
      </c>
      <c r="Y411" s="80">
        <f>IF($I411&gt;0,MAX(0,$G411*SIN(RADIANS('13_시나리오비교'!$B$14))*SIN(RADIANS('13_시나리오비교'!$C$14))+$H411*SIN(RADIANS('13_시나리오비교'!$B$14))*COS(RADIANS('13_시나리오비교'!$C$14))+$I411*COS(RADIANS('13_시나리오비교'!$B$14))),0)</f>
        <v/>
      </c>
    </row>
    <row r="412" hidden="1" outlineLevel="1">
      <c r="A412" s="79" t="n">
        <v>5</v>
      </c>
      <c r="B412" s="79" t="n">
        <v>8</v>
      </c>
      <c r="C412" s="80">
        <f>(B412-0.5)*'14_지역·상수'!$H$6</f>
        <v/>
      </c>
      <c r="D412" s="79" t="n">
        <v>135</v>
      </c>
      <c r="E412" s="80">
        <f>INDEX($C$4:$C$15,MATCH(A412,$A$4:$A$15,0))</f>
        <v/>
      </c>
      <c r="F412" s="80">
        <f>15*(C412-12)</f>
        <v/>
      </c>
      <c r="G412" s="80">
        <f>-COS(RADIANS(E412))*SIN(RADIANS(F412))</f>
        <v/>
      </c>
      <c r="H412" s="80">
        <f>COS(RADIANS('11_발전량_모델'!$B$17))*SIN(RADIANS(E412))-SIN(RADIANS('11_발전량_모델'!$B$17))*COS(RADIANS(E412))*COS(RADIANS(F412))</f>
        <v/>
      </c>
      <c r="I412" s="80">
        <f>SIN(RADIANS('11_발전량_모델'!$B$17))*SIN(RADIANS(E412))+COS(RADIANS('11_발전량_모델'!$B$17))*COS(RADIANS(E412))*COS(RADIANS(F412))</f>
        <v/>
      </c>
      <c r="J412" s="80">
        <f>SIN(RADIANS('11_발전량_모델'!$B$7))*SIN(RADIANS('11_발전량_모델'!$B$8))</f>
        <v/>
      </c>
      <c r="K412" s="80">
        <f>SIN(RADIANS('11_발전량_모델'!$B$7))*COS(RADIANS('11_발전량_모델'!$B$8))</f>
        <v/>
      </c>
      <c r="L412" s="80">
        <f>COS(RADIANS('11_발전량_모델'!$B$7))</f>
        <v/>
      </c>
      <c r="M412" s="80">
        <f>G412*J412+H412*K412+I412*L412</f>
        <v/>
      </c>
      <c r="N412" s="80">
        <f>MAX(0,I412)</f>
        <v/>
      </c>
      <c r="O412" s="80">
        <f>IF(I412&gt;0,MAX(0,M412),0)</f>
        <v/>
      </c>
      <c r="P412" s="80">
        <f>IF($I412&gt;0,MAX(0,$G412*SIN(RADIANS('13_시나리오비교'!$B$5))*SIN(RADIANS('13_시나리오비교'!$C$5))+$H412*SIN(RADIANS('13_시나리오비교'!$B$5))*COS(RADIANS('13_시나리오비교'!$C$5))+$I412*COS(RADIANS('13_시나리오비교'!$B$5))),0)</f>
        <v/>
      </c>
      <c r="Q412" s="80">
        <f>IF($I412&gt;0,MAX(0,$G412*SIN(RADIANS('13_시나리오비교'!$B$6))*SIN(RADIANS('13_시나리오비교'!$C$6))+$H412*SIN(RADIANS('13_시나리오비교'!$B$6))*COS(RADIANS('13_시나리오비교'!$C$6))+$I412*COS(RADIANS('13_시나리오비교'!$B$6))),0)</f>
        <v/>
      </c>
      <c r="R412" s="80">
        <f>IF($I412&gt;0,MAX(0,$G412*SIN(RADIANS('13_시나리오비교'!$B$7))*SIN(RADIANS('13_시나리오비교'!$C$7))+$H412*SIN(RADIANS('13_시나리오비교'!$B$7))*COS(RADIANS('13_시나리오비교'!$C$7))+$I412*COS(RADIANS('13_시나리오비교'!$B$7))),0)</f>
        <v/>
      </c>
      <c r="S412" s="80">
        <f>IF($I412&gt;0,MAX(0,$G412*SIN(RADIANS('13_시나리오비교'!$B$8))*SIN(RADIANS('13_시나리오비교'!$C$8))+$H412*SIN(RADIANS('13_시나리오비교'!$B$8))*COS(RADIANS('13_시나리오비교'!$C$8))+$I412*COS(RADIANS('13_시나리오비교'!$B$8))),0)</f>
        <v/>
      </c>
      <c r="T412" s="80">
        <f>IF($I412&gt;0,MAX(0,$G412*SIN(RADIANS('13_시나리오비교'!$B$9))*SIN(RADIANS('13_시나리오비교'!$C$9))+$H412*SIN(RADIANS('13_시나리오비교'!$B$9))*COS(RADIANS('13_시나리오비교'!$C$9))+$I412*COS(RADIANS('13_시나리오비교'!$B$9))),0)</f>
        <v/>
      </c>
      <c r="U412" s="80">
        <f>IF($I412&gt;0,MAX(0,$G412*SIN(RADIANS('13_시나리오비교'!$B$10))*SIN(RADIANS('13_시나리오비교'!$C$10))+$H412*SIN(RADIANS('13_시나리오비교'!$B$10))*COS(RADIANS('13_시나리오비교'!$C$10))+$I412*COS(RADIANS('13_시나리오비교'!$B$10))),0)</f>
        <v/>
      </c>
      <c r="V412" s="80">
        <f>IF($I412&gt;0,MAX(0,$G412*SIN(RADIANS('13_시나리오비교'!$B$11))*SIN(RADIANS('13_시나리오비교'!$C$11))+$H412*SIN(RADIANS('13_시나리오비교'!$B$11))*COS(RADIANS('13_시나리오비교'!$C$11))+$I412*COS(RADIANS('13_시나리오비교'!$B$11))),0)</f>
        <v/>
      </c>
      <c r="W412" s="80">
        <f>IF($I412&gt;0,MAX(0,$G412*SIN(RADIANS('13_시나리오비교'!$B$12))*SIN(RADIANS('13_시나리오비교'!$C$12))+$H412*SIN(RADIANS('13_시나리오비교'!$B$12))*COS(RADIANS('13_시나리오비교'!$C$12))+$I412*COS(RADIANS('13_시나리오비교'!$B$12))),0)</f>
        <v/>
      </c>
      <c r="X412" s="80">
        <f>IF($I412&gt;0,MAX(0,$G412*SIN(RADIANS('13_시나리오비교'!$B$13))*SIN(RADIANS('13_시나리오비교'!$C$13))+$H412*SIN(RADIANS('13_시나리오비교'!$B$13))*COS(RADIANS('13_시나리오비교'!$C$13))+$I412*COS(RADIANS('13_시나리오비교'!$B$13))),0)</f>
        <v/>
      </c>
      <c r="Y412" s="80">
        <f>IF($I412&gt;0,MAX(0,$G412*SIN(RADIANS('13_시나리오비교'!$B$14))*SIN(RADIANS('13_시나리오비교'!$C$14))+$H412*SIN(RADIANS('13_시나리오비교'!$B$14))*COS(RADIANS('13_시나리오비교'!$C$14))+$I412*COS(RADIANS('13_시나리오비교'!$B$14))),0)</f>
        <v/>
      </c>
    </row>
    <row r="413" hidden="1" outlineLevel="1">
      <c r="A413" s="79" t="n">
        <v>5</v>
      </c>
      <c r="B413" s="79" t="n">
        <v>9</v>
      </c>
      <c r="C413" s="80">
        <f>(B413-0.5)*'14_지역·상수'!$H$6</f>
        <v/>
      </c>
      <c r="D413" s="79" t="n">
        <v>135</v>
      </c>
      <c r="E413" s="80">
        <f>INDEX($C$4:$C$15,MATCH(A413,$A$4:$A$15,0))</f>
        <v/>
      </c>
      <c r="F413" s="80">
        <f>15*(C413-12)</f>
        <v/>
      </c>
      <c r="G413" s="80">
        <f>-COS(RADIANS(E413))*SIN(RADIANS(F413))</f>
        <v/>
      </c>
      <c r="H413" s="80">
        <f>COS(RADIANS('11_발전량_모델'!$B$17))*SIN(RADIANS(E413))-SIN(RADIANS('11_발전량_모델'!$B$17))*COS(RADIANS(E413))*COS(RADIANS(F413))</f>
        <v/>
      </c>
      <c r="I413" s="80">
        <f>SIN(RADIANS('11_발전량_모델'!$B$17))*SIN(RADIANS(E413))+COS(RADIANS('11_발전량_모델'!$B$17))*COS(RADIANS(E413))*COS(RADIANS(F413))</f>
        <v/>
      </c>
      <c r="J413" s="80">
        <f>SIN(RADIANS('11_발전량_모델'!$B$7))*SIN(RADIANS('11_발전량_모델'!$B$8))</f>
        <v/>
      </c>
      <c r="K413" s="80">
        <f>SIN(RADIANS('11_발전량_모델'!$B$7))*COS(RADIANS('11_발전량_모델'!$B$8))</f>
        <v/>
      </c>
      <c r="L413" s="80">
        <f>COS(RADIANS('11_발전량_모델'!$B$7))</f>
        <v/>
      </c>
      <c r="M413" s="80">
        <f>G413*J413+H413*K413+I413*L413</f>
        <v/>
      </c>
      <c r="N413" s="80">
        <f>MAX(0,I413)</f>
        <v/>
      </c>
      <c r="O413" s="80">
        <f>IF(I413&gt;0,MAX(0,M413),0)</f>
        <v/>
      </c>
      <c r="P413" s="80">
        <f>IF($I413&gt;0,MAX(0,$G413*SIN(RADIANS('13_시나리오비교'!$B$5))*SIN(RADIANS('13_시나리오비교'!$C$5))+$H413*SIN(RADIANS('13_시나리오비교'!$B$5))*COS(RADIANS('13_시나리오비교'!$C$5))+$I413*COS(RADIANS('13_시나리오비교'!$B$5))),0)</f>
        <v/>
      </c>
      <c r="Q413" s="80">
        <f>IF($I413&gt;0,MAX(0,$G413*SIN(RADIANS('13_시나리오비교'!$B$6))*SIN(RADIANS('13_시나리오비교'!$C$6))+$H413*SIN(RADIANS('13_시나리오비교'!$B$6))*COS(RADIANS('13_시나리오비교'!$C$6))+$I413*COS(RADIANS('13_시나리오비교'!$B$6))),0)</f>
        <v/>
      </c>
      <c r="R413" s="80">
        <f>IF($I413&gt;0,MAX(0,$G413*SIN(RADIANS('13_시나리오비교'!$B$7))*SIN(RADIANS('13_시나리오비교'!$C$7))+$H413*SIN(RADIANS('13_시나리오비교'!$B$7))*COS(RADIANS('13_시나리오비교'!$C$7))+$I413*COS(RADIANS('13_시나리오비교'!$B$7))),0)</f>
        <v/>
      </c>
      <c r="S413" s="80">
        <f>IF($I413&gt;0,MAX(0,$G413*SIN(RADIANS('13_시나리오비교'!$B$8))*SIN(RADIANS('13_시나리오비교'!$C$8))+$H413*SIN(RADIANS('13_시나리오비교'!$B$8))*COS(RADIANS('13_시나리오비교'!$C$8))+$I413*COS(RADIANS('13_시나리오비교'!$B$8))),0)</f>
        <v/>
      </c>
      <c r="T413" s="80">
        <f>IF($I413&gt;0,MAX(0,$G413*SIN(RADIANS('13_시나리오비교'!$B$9))*SIN(RADIANS('13_시나리오비교'!$C$9))+$H413*SIN(RADIANS('13_시나리오비교'!$B$9))*COS(RADIANS('13_시나리오비교'!$C$9))+$I413*COS(RADIANS('13_시나리오비교'!$B$9))),0)</f>
        <v/>
      </c>
      <c r="U413" s="80">
        <f>IF($I413&gt;0,MAX(0,$G413*SIN(RADIANS('13_시나리오비교'!$B$10))*SIN(RADIANS('13_시나리오비교'!$C$10))+$H413*SIN(RADIANS('13_시나리오비교'!$B$10))*COS(RADIANS('13_시나리오비교'!$C$10))+$I413*COS(RADIANS('13_시나리오비교'!$B$10))),0)</f>
        <v/>
      </c>
      <c r="V413" s="80">
        <f>IF($I413&gt;0,MAX(0,$G413*SIN(RADIANS('13_시나리오비교'!$B$11))*SIN(RADIANS('13_시나리오비교'!$C$11))+$H413*SIN(RADIANS('13_시나리오비교'!$B$11))*COS(RADIANS('13_시나리오비교'!$C$11))+$I413*COS(RADIANS('13_시나리오비교'!$B$11))),0)</f>
        <v/>
      </c>
      <c r="W413" s="80">
        <f>IF($I413&gt;0,MAX(0,$G413*SIN(RADIANS('13_시나리오비교'!$B$12))*SIN(RADIANS('13_시나리오비교'!$C$12))+$H413*SIN(RADIANS('13_시나리오비교'!$B$12))*COS(RADIANS('13_시나리오비교'!$C$12))+$I413*COS(RADIANS('13_시나리오비교'!$B$12))),0)</f>
        <v/>
      </c>
      <c r="X413" s="80">
        <f>IF($I413&gt;0,MAX(0,$G413*SIN(RADIANS('13_시나리오비교'!$B$13))*SIN(RADIANS('13_시나리오비교'!$C$13))+$H413*SIN(RADIANS('13_시나리오비교'!$B$13))*COS(RADIANS('13_시나리오비교'!$C$13))+$I413*COS(RADIANS('13_시나리오비교'!$B$13))),0)</f>
        <v/>
      </c>
      <c r="Y413" s="80">
        <f>IF($I413&gt;0,MAX(0,$G413*SIN(RADIANS('13_시나리오비교'!$B$14))*SIN(RADIANS('13_시나리오비교'!$C$14))+$H413*SIN(RADIANS('13_시나리오비교'!$B$14))*COS(RADIANS('13_시나리오비교'!$C$14))+$I413*COS(RADIANS('13_시나리오비교'!$B$14))),0)</f>
        <v/>
      </c>
    </row>
    <row r="414" hidden="1" outlineLevel="1">
      <c r="A414" s="79" t="n">
        <v>5</v>
      </c>
      <c r="B414" s="79" t="n">
        <v>10</v>
      </c>
      <c r="C414" s="80">
        <f>(B414-0.5)*'14_지역·상수'!$H$6</f>
        <v/>
      </c>
      <c r="D414" s="79" t="n">
        <v>135</v>
      </c>
      <c r="E414" s="80">
        <f>INDEX($C$4:$C$15,MATCH(A414,$A$4:$A$15,0))</f>
        <v/>
      </c>
      <c r="F414" s="80">
        <f>15*(C414-12)</f>
        <v/>
      </c>
      <c r="G414" s="80">
        <f>-COS(RADIANS(E414))*SIN(RADIANS(F414))</f>
        <v/>
      </c>
      <c r="H414" s="80">
        <f>COS(RADIANS('11_발전량_모델'!$B$17))*SIN(RADIANS(E414))-SIN(RADIANS('11_발전량_모델'!$B$17))*COS(RADIANS(E414))*COS(RADIANS(F414))</f>
        <v/>
      </c>
      <c r="I414" s="80">
        <f>SIN(RADIANS('11_발전량_모델'!$B$17))*SIN(RADIANS(E414))+COS(RADIANS('11_발전량_모델'!$B$17))*COS(RADIANS(E414))*COS(RADIANS(F414))</f>
        <v/>
      </c>
      <c r="J414" s="80">
        <f>SIN(RADIANS('11_발전량_모델'!$B$7))*SIN(RADIANS('11_발전량_모델'!$B$8))</f>
        <v/>
      </c>
      <c r="K414" s="80">
        <f>SIN(RADIANS('11_발전량_모델'!$B$7))*COS(RADIANS('11_발전량_모델'!$B$8))</f>
        <v/>
      </c>
      <c r="L414" s="80">
        <f>COS(RADIANS('11_발전량_모델'!$B$7))</f>
        <v/>
      </c>
      <c r="M414" s="80">
        <f>G414*J414+H414*K414+I414*L414</f>
        <v/>
      </c>
      <c r="N414" s="80">
        <f>MAX(0,I414)</f>
        <v/>
      </c>
      <c r="O414" s="80">
        <f>IF(I414&gt;0,MAX(0,M414),0)</f>
        <v/>
      </c>
      <c r="P414" s="80">
        <f>IF($I414&gt;0,MAX(0,$G414*SIN(RADIANS('13_시나리오비교'!$B$5))*SIN(RADIANS('13_시나리오비교'!$C$5))+$H414*SIN(RADIANS('13_시나리오비교'!$B$5))*COS(RADIANS('13_시나리오비교'!$C$5))+$I414*COS(RADIANS('13_시나리오비교'!$B$5))),0)</f>
        <v/>
      </c>
      <c r="Q414" s="80">
        <f>IF($I414&gt;0,MAX(0,$G414*SIN(RADIANS('13_시나리오비교'!$B$6))*SIN(RADIANS('13_시나리오비교'!$C$6))+$H414*SIN(RADIANS('13_시나리오비교'!$B$6))*COS(RADIANS('13_시나리오비교'!$C$6))+$I414*COS(RADIANS('13_시나리오비교'!$B$6))),0)</f>
        <v/>
      </c>
      <c r="R414" s="80">
        <f>IF($I414&gt;0,MAX(0,$G414*SIN(RADIANS('13_시나리오비교'!$B$7))*SIN(RADIANS('13_시나리오비교'!$C$7))+$H414*SIN(RADIANS('13_시나리오비교'!$B$7))*COS(RADIANS('13_시나리오비교'!$C$7))+$I414*COS(RADIANS('13_시나리오비교'!$B$7))),0)</f>
        <v/>
      </c>
      <c r="S414" s="80">
        <f>IF($I414&gt;0,MAX(0,$G414*SIN(RADIANS('13_시나리오비교'!$B$8))*SIN(RADIANS('13_시나리오비교'!$C$8))+$H414*SIN(RADIANS('13_시나리오비교'!$B$8))*COS(RADIANS('13_시나리오비교'!$C$8))+$I414*COS(RADIANS('13_시나리오비교'!$B$8))),0)</f>
        <v/>
      </c>
      <c r="T414" s="80">
        <f>IF($I414&gt;0,MAX(0,$G414*SIN(RADIANS('13_시나리오비교'!$B$9))*SIN(RADIANS('13_시나리오비교'!$C$9))+$H414*SIN(RADIANS('13_시나리오비교'!$B$9))*COS(RADIANS('13_시나리오비교'!$C$9))+$I414*COS(RADIANS('13_시나리오비교'!$B$9))),0)</f>
        <v/>
      </c>
      <c r="U414" s="80">
        <f>IF($I414&gt;0,MAX(0,$G414*SIN(RADIANS('13_시나리오비교'!$B$10))*SIN(RADIANS('13_시나리오비교'!$C$10))+$H414*SIN(RADIANS('13_시나리오비교'!$B$10))*COS(RADIANS('13_시나리오비교'!$C$10))+$I414*COS(RADIANS('13_시나리오비교'!$B$10))),0)</f>
        <v/>
      </c>
      <c r="V414" s="80">
        <f>IF($I414&gt;0,MAX(0,$G414*SIN(RADIANS('13_시나리오비교'!$B$11))*SIN(RADIANS('13_시나리오비교'!$C$11))+$H414*SIN(RADIANS('13_시나리오비교'!$B$11))*COS(RADIANS('13_시나리오비교'!$C$11))+$I414*COS(RADIANS('13_시나리오비교'!$B$11))),0)</f>
        <v/>
      </c>
      <c r="W414" s="80">
        <f>IF($I414&gt;0,MAX(0,$G414*SIN(RADIANS('13_시나리오비교'!$B$12))*SIN(RADIANS('13_시나리오비교'!$C$12))+$H414*SIN(RADIANS('13_시나리오비교'!$B$12))*COS(RADIANS('13_시나리오비교'!$C$12))+$I414*COS(RADIANS('13_시나리오비교'!$B$12))),0)</f>
        <v/>
      </c>
      <c r="X414" s="80">
        <f>IF($I414&gt;0,MAX(0,$G414*SIN(RADIANS('13_시나리오비교'!$B$13))*SIN(RADIANS('13_시나리오비교'!$C$13))+$H414*SIN(RADIANS('13_시나리오비교'!$B$13))*COS(RADIANS('13_시나리오비교'!$C$13))+$I414*COS(RADIANS('13_시나리오비교'!$B$13))),0)</f>
        <v/>
      </c>
      <c r="Y414" s="80">
        <f>IF($I414&gt;0,MAX(0,$G414*SIN(RADIANS('13_시나리오비교'!$B$14))*SIN(RADIANS('13_시나리오비교'!$C$14))+$H414*SIN(RADIANS('13_시나리오비교'!$B$14))*COS(RADIANS('13_시나리오비교'!$C$14))+$I414*COS(RADIANS('13_시나리오비교'!$B$14))),0)</f>
        <v/>
      </c>
    </row>
    <row r="415" hidden="1" outlineLevel="1">
      <c r="A415" s="79" t="n">
        <v>5</v>
      </c>
      <c r="B415" s="79" t="n">
        <v>11</v>
      </c>
      <c r="C415" s="80">
        <f>(B415-0.5)*'14_지역·상수'!$H$6</f>
        <v/>
      </c>
      <c r="D415" s="79" t="n">
        <v>135</v>
      </c>
      <c r="E415" s="80">
        <f>INDEX($C$4:$C$15,MATCH(A415,$A$4:$A$15,0))</f>
        <v/>
      </c>
      <c r="F415" s="80">
        <f>15*(C415-12)</f>
        <v/>
      </c>
      <c r="G415" s="80">
        <f>-COS(RADIANS(E415))*SIN(RADIANS(F415))</f>
        <v/>
      </c>
      <c r="H415" s="80">
        <f>COS(RADIANS('11_발전량_모델'!$B$17))*SIN(RADIANS(E415))-SIN(RADIANS('11_발전량_모델'!$B$17))*COS(RADIANS(E415))*COS(RADIANS(F415))</f>
        <v/>
      </c>
      <c r="I415" s="80">
        <f>SIN(RADIANS('11_발전량_모델'!$B$17))*SIN(RADIANS(E415))+COS(RADIANS('11_발전량_모델'!$B$17))*COS(RADIANS(E415))*COS(RADIANS(F415))</f>
        <v/>
      </c>
      <c r="J415" s="80">
        <f>SIN(RADIANS('11_발전량_모델'!$B$7))*SIN(RADIANS('11_발전량_모델'!$B$8))</f>
        <v/>
      </c>
      <c r="K415" s="80">
        <f>SIN(RADIANS('11_발전량_모델'!$B$7))*COS(RADIANS('11_발전량_모델'!$B$8))</f>
        <v/>
      </c>
      <c r="L415" s="80">
        <f>COS(RADIANS('11_발전량_모델'!$B$7))</f>
        <v/>
      </c>
      <c r="M415" s="80">
        <f>G415*J415+H415*K415+I415*L415</f>
        <v/>
      </c>
      <c r="N415" s="80">
        <f>MAX(0,I415)</f>
        <v/>
      </c>
      <c r="O415" s="80">
        <f>IF(I415&gt;0,MAX(0,M415),0)</f>
        <v/>
      </c>
      <c r="P415" s="80">
        <f>IF($I415&gt;0,MAX(0,$G415*SIN(RADIANS('13_시나리오비교'!$B$5))*SIN(RADIANS('13_시나리오비교'!$C$5))+$H415*SIN(RADIANS('13_시나리오비교'!$B$5))*COS(RADIANS('13_시나리오비교'!$C$5))+$I415*COS(RADIANS('13_시나리오비교'!$B$5))),0)</f>
        <v/>
      </c>
      <c r="Q415" s="80">
        <f>IF($I415&gt;0,MAX(0,$G415*SIN(RADIANS('13_시나리오비교'!$B$6))*SIN(RADIANS('13_시나리오비교'!$C$6))+$H415*SIN(RADIANS('13_시나리오비교'!$B$6))*COS(RADIANS('13_시나리오비교'!$C$6))+$I415*COS(RADIANS('13_시나리오비교'!$B$6))),0)</f>
        <v/>
      </c>
      <c r="R415" s="80">
        <f>IF($I415&gt;0,MAX(0,$G415*SIN(RADIANS('13_시나리오비교'!$B$7))*SIN(RADIANS('13_시나리오비교'!$C$7))+$H415*SIN(RADIANS('13_시나리오비교'!$B$7))*COS(RADIANS('13_시나리오비교'!$C$7))+$I415*COS(RADIANS('13_시나리오비교'!$B$7))),0)</f>
        <v/>
      </c>
      <c r="S415" s="80">
        <f>IF($I415&gt;0,MAX(0,$G415*SIN(RADIANS('13_시나리오비교'!$B$8))*SIN(RADIANS('13_시나리오비교'!$C$8))+$H415*SIN(RADIANS('13_시나리오비교'!$B$8))*COS(RADIANS('13_시나리오비교'!$C$8))+$I415*COS(RADIANS('13_시나리오비교'!$B$8))),0)</f>
        <v/>
      </c>
      <c r="T415" s="80">
        <f>IF($I415&gt;0,MAX(0,$G415*SIN(RADIANS('13_시나리오비교'!$B$9))*SIN(RADIANS('13_시나리오비교'!$C$9))+$H415*SIN(RADIANS('13_시나리오비교'!$B$9))*COS(RADIANS('13_시나리오비교'!$C$9))+$I415*COS(RADIANS('13_시나리오비교'!$B$9))),0)</f>
        <v/>
      </c>
      <c r="U415" s="80">
        <f>IF($I415&gt;0,MAX(0,$G415*SIN(RADIANS('13_시나리오비교'!$B$10))*SIN(RADIANS('13_시나리오비교'!$C$10))+$H415*SIN(RADIANS('13_시나리오비교'!$B$10))*COS(RADIANS('13_시나리오비교'!$C$10))+$I415*COS(RADIANS('13_시나리오비교'!$B$10))),0)</f>
        <v/>
      </c>
      <c r="V415" s="80">
        <f>IF($I415&gt;0,MAX(0,$G415*SIN(RADIANS('13_시나리오비교'!$B$11))*SIN(RADIANS('13_시나리오비교'!$C$11))+$H415*SIN(RADIANS('13_시나리오비교'!$B$11))*COS(RADIANS('13_시나리오비교'!$C$11))+$I415*COS(RADIANS('13_시나리오비교'!$B$11))),0)</f>
        <v/>
      </c>
      <c r="W415" s="80">
        <f>IF($I415&gt;0,MAX(0,$G415*SIN(RADIANS('13_시나리오비교'!$B$12))*SIN(RADIANS('13_시나리오비교'!$C$12))+$H415*SIN(RADIANS('13_시나리오비교'!$B$12))*COS(RADIANS('13_시나리오비교'!$C$12))+$I415*COS(RADIANS('13_시나리오비교'!$B$12))),0)</f>
        <v/>
      </c>
      <c r="X415" s="80">
        <f>IF($I415&gt;0,MAX(0,$G415*SIN(RADIANS('13_시나리오비교'!$B$13))*SIN(RADIANS('13_시나리오비교'!$C$13))+$H415*SIN(RADIANS('13_시나리오비교'!$B$13))*COS(RADIANS('13_시나리오비교'!$C$13))+$I415*COS(RADIANS('13_시나리오비교'!$B$13))),0)</f>
        <v/>
      </c>
      <c r="Y415" s="80">
        <f>IF($I415&gt;0,MAX(0,$G415*SIN(RADIANS('13_시나리오비교'!$B$14))*SIN(RADIANS('13_시나리오비교'!$C$14))+$H415*SIN(RADIANS('13_시나리오비교'!$B$14))*COS(RADIANS('13_시나리오비교'!$C$14))+$I415*COS(RADIANS('13_시나리오비교'!$B$14))),0)</f>
        <v/>
      </c>
    </row>
    <row r="416" hidden="1" outlineLevel="1">
      <c r="A416" s="79" t="n">
        <v>5</v>
      </c>
      <c r="B416" s="79" t="n">
        <v>12</v>
      </c>
      <c r="C416" s="80">
        <f>(B416-0.5)*'14_지역·상수'!$H$6</f>
        <v/>
      </c>
      <c r="D416" s="79" t="n">
        <v>135</v>
      </c>
      <c r="E416" s="80">
        <f>INDEX($C$4:$C$15,MATCH(A416,$A$4:$A$15,0))</f>
        <v/>
      </c>
      <c r="F416" s="80">
        <f>15*(C416-12)</f>
        <v/>
      </c>
      <c r="G416" s="80">
        <f>-COS(RADIANS(E416))*SIN(RADIANS(F416))</f>
        <v/>
      </c>
      <c r="H416" s="80">
        <f>COS(RADIANS('11_발전량_모델'!$B$17))*SIN(RADIANS(E416))-SIN(RADIANS('11_발전량_모델'!$B$17))*COS(RADIANS(E416))*COS(RADIANS(F416))</f>
        <v/>
      </c>
      <c r="I416" s="80">
        <f>SIN(RADIANS('11_발전량_모델'!$B$17))*SIN(RADIANS(E416))+COS(RADIANS('11_발전량_모델'!$B$17))*COS(RADIANS(E416))*COS(RADIANS(F416))</f>
        <v/>
      </c>
      <c r="J416" s="80">
        <f>SIN(RADIANS('11_발전량_모델'!$B$7))*SIN(RADIANS('11_발전량_모델'!$B$8))</f>
        <v/>
      </c>
      <c r="K416" s="80">
        <f>SIN(RADIANS('11_발전량_모델'!$B$7))*COS(RADIANS('11_발전량_모델'!$B$8))</f>
        <v/>
      </c>
      <c r="L416" s="80">
        <f>COS(RADIANS('11_발전량_모델'!$B$7))</f>
        <v/>
      </c>
      <c r="M416" s="80">
        <f>G416*J416+H416*K416+I416*L416</f>
        <v/>
      </c>
      <c r="N416" s="80">
        <f>MAX(0,I416)</f>
        <v/>
      </c>
      <c r="O416" s="80">
        <f>IF(I416&gt;0,MAX(0,M416),0)</f>
        <v/>
      </c>
      <c r="P416" s="80">
        <f>IF($I416&gt;0,MAX(0,$G416*SIN(RADIANS('13_시나리오비교'!$B$5))*SIN(RADIANS('13_시나리오비교'!$C$5))+$H416*SIN(RADIANS('13_시나리오비교'!$B$5))*COS(RADIANS('13_시나리오비교'!$C$5))+$I416*COS(RADIANS('13_시나리오비교'!$B$5))),0)</f>
        <v/>
      </c>
      <c r="Q416" s="80">
        <f>IF($I416&gt;0,MAX(0,$G416*SIN(RADIANS('13_시나리오비교'!$B$6))*SIN(RADIANS('13_시나리오비교'!$C$6))+$H416*SIN(RADIANS('13_시나리오비교'!$B$6))*COS(RADIANS('13_시나리오비교'!$C$6))+$I416*COS(RADIANS('13_시나리오비교'!$B$6))),0)</f>
        <v/>
      </c>
      <c r="R416" s="80">
        <f>IF($I416&gt;0,MAX(0,$G416*SIN(RADIANS('13_시나리오비교'!$B$7))*SIN(RADIANS('13_시나리오비교'!$C$7))+$H416*SIN(RADIANS('13_시나리오비교'!$B$7))*COS(RADIANS('13_시나리오비교'!$C$7))+$I416*COS(RADIANS('13_시나리오비교'!$B$7))),0)</f>
        <v/>
      </c>
      <c r="S416" s="80">
        <f>IF($I416&gt;0,MAX(0,$G416*SIN(RADIANS('13_시나리오비교'!$B$8))*SIN(RADIANS('13_시나리오비교'!$C$8))+$H416*SIN(RADIANS('13_시나리오비교'!$B$8))*COS(RADIANS('13_시나리오비교'!$C$8))+$I416*COS(RADIANS('13_시나리오비교'!$B$8))),0)</f>
        <v/>
      </c>
      <c r="T416" s="80">
        <f>IF($I416&gt;0,MAX(0,$G416*SIN(RADIANS('13_시나리오비교'!$B$9))*SIN(RADIANS('13_시나리오비교'!$C$9))+$H416*SIN(RADIANS('13_시나리오비교'!$B$9))*COS(RADIANS('13_시나리오비교'!$C$9))+$I416*COS(RADIANS('13_시나리오비교'!$B$9))),0)</f>
        <v/>
      </c>
      <c r="U416" s="80">
        <f>IF($I416&gt;0,MAX(0,$G416*SIN(RADIANS('13_시나리오비교'!$B$10))*SIN(RADIANS('13_시나리오비교'!$C$10))+$H416*SIN(RADIANS('13_시나리오비교'!$B$10))*COS(RADIANS('13_시나리오비교'!$C$10))+$I416*COS(RADIANS('13_시나리오비교'!$B$10))),0)</f>
        <v/>
      </c>
      <c r="V416" s="80">
        <f>IF($I416&gt;0,MAX(0,$G416*SIN(RADIANS('13_시나리오비교'!$B$11))*SIN(RADIANS('13_시나리오비교'!$C$11))+$H416*SIN(RADIANS('13_시나리오비교'!$B$11))*COS(RADIANS('13_시나리오비교'!$C$11))+$I416*COS(RADIANS('13_시나리오비교'!$B$11))),0)</f>
        <v/>
      </c>
      <c r="W416" s="80">
        <f>IF($I416&gt;0,MAX(0,$G416*SIN(RADIANS('13_시나리오비교'!$B$12))*SIN(RADIANS('13_시나리오비교'!$C$12))+$H416*SIN(RADIANS('13_시나리오비교'!$B$12))*COS(RADIANS('13_시나리오비교'!$C$12))+$I416*COS(RADIANS('13_시나리오비교'!$B$12))),0)</f>
        <v/>
      </c>
      <c r="X416" s="80">
        <f>IF($I416&gt;0,MAX(0,$G416*SIN(RADIANS('13_시나리오비교'!$B$13))*SIN(RADIANS('13_시나리오비교'!$C$13))+$H416*SIN(RADIANS('13_시나리오비교'!$B$13))*COS(RADIANS('13_시나리오비교'!$C$13))+$I416*COS(RADIANS('13_시나리오비교'!$B$13))),0)</f>
        <v/>
      </c>
      <c r="Y416" s="80">
        <f>IF($I416&gt;0,MAX(0,$G416*SIN(RADIANS('13_시나리오비교'!$B$14))*SIN(RADIANS('13_시나리오비교'!$C$14))+$H416*SIN(RADIANS('13_시나리오비교'!$B$14))*COS(RADIANS('13_시나리오비교'!$C$14))+$I416*COS(RADIANS('13_시나리오비교'!$B$14))),0)</f>
        <v/>
      </c>
    </row>
    <row r="417" hidden="1" outlineLevel="1">
      <c r="A417" s="79" t="n">
        <v>5</v>
      </c>
      <c r="B417" s="79" t="n">
        <v>13</v>
      </c>
      <c r="C417" s="80">
        <f>(B417-0.5)*'14_지역·상수'!$H$6</f>
        <v/>
      </c>
      <c r="D417" s="79" t="n">
        <v>135</v>
      </c>
      <c r="E417" s="80">
        <f>INDEX($C$4:$C$15,MATCH(A417,$A$4:$A$15,0))</f>
        <v/>
      </c>
      <c r="F417" s="80">
        <f>15*(C417-12)</f>
        <v/>
      </c>
      <c r="G417" s="80">
        <f>-COS(RADIANS(E417))*SIN(RADIANS(F417))</f>
        <v/>
      </c>
      <c r="H417" s="80">
        <f>COS(RADIANS('11_발전량_모델'!$B$17))*SIN(RADIANS(E417))-SIN(RADIANS('11_발전량_모델'!$B$17))*COS(RADIANS(E417))*COS(RADIANS(F417))</f>
        <v/>
      </c>
      <c r="I417" s="80">
        <f>SIN(RADIANS('11_발전량_모델'!$B$17))*SIN(RADIANS(E417))+COS(RADIANS('11_발전량_모델'!$B$17))*COS(RADIANS(E417))*COS(RADIANS(F417))</f>
        <v/>
      </c>
      <c r="J417" s="80">
        <f>SIN(RADIANS('11_발전량_모델'!$B$7))*SIN(RADIANS('11_발전량_모델'!$B$8))</f>
        <v/>
      </c>
      <c r="K417" s="80">
        <f>SIN(RADIANS('11_발전량_모델'!$B$7))*COS(RADIANS('11_발전량_모델'!$B$8))</f>
        <v/>
      </c>
      <c r="L417" s="80">
        <f>COS(RADIANS('11_발전량_모델'!$B$7))</f>
        <v/>
      </c>
      <c r="M417" s="80">
        <f>G417*J417+H417*K417+I417*L417</f>
        <v/>
      </c>
      <c r="N417" s="80">
        <f>MAX(0,I417)</f>
        <v/>
      </c>
      <c r="O417" s="80">
        <f>IF(I417&gt;0,MAX(0,M417),0)</f>
        <v/>
      </c>
      <c r="P417" s="80">
        <f>IF($I417&gt;0,MAX(0,$G417*SIN(RADIANS('13_시나리오비교'!$B$5))*SIN(RADIANS('13_시나리오비교'!$C$5))+$H417*SIN(RADIANS('13_시나리오비교'!$B$5))*COS(RADIANS('13_시나리오비교'!$C$5))+$I417*COS(RADIANS('13_시나리오비교'!$B$5))),0)</f>
        <v/>
      </c>
      <c r="Q417" s="80">
        <f>IF($I417&gt;0,MAX(0,$G417*SIN(RADIANS('13_시나리오비교'!$B$6))*SIN(RADIANS('13_시나리오비교'!$C$6))+$H417*SIN(RADIANS('13_시나리오비교'!$B$6))*COS(RADIANS('13_시나리오비교'!$C$6))+$I417*COS(RADIANS('13_시나리오비교'!$B$6))),0)</f>
        <v/>
      </c>
      <c r="R417" s="80">
        <f>IF($I417&gt;0,MAX(0,$G417*SIN(RADIANS('13_시나리오비교'!$B$7))*SIN(RADIANS('13_시나리오비교'!$C$7))+$H417*SIN(RADIANS('13_시나리오비교'!$B$7))*COS(RADIANS('13_시나리오비교'!$C$7))+$I417*COS(RADIANS('13_시나리오비교'!$B$7))),0)</f>
        <v/>
      </c>
      <c r="S417" s="80">
        <f>IF($I417&gt;0,MAX(0,$G417*SIN(RADIANS('13_시나리오비교'!$B$8))*SIN(RADIANS('13_시나리오비교'!$C$8))+$H417*SIN(RADIANS('13_시나리오비교'!$B$8))*COS(RADIANS('13_시나리오비교'!$C$8))+$I417*COS(RADIANS('13_시나리오비교'!$B$8))),0)</f>
        <v/>
      </c>
      <c r="T417" s="80">
        <f>IF($I417&gt;0,MAX(0,$G417*SIN(RADIANS('13_시나리오비교'!$B$9))*SIN(RADIANS('13_시나리오비교'!$C$9))+$H417*SIN(RADIANS('13_시나리오비교'!$B$9))*COS(RADIANS('13_시나리오비교'!$C$9))+$I417*COS(RADIANS('13_시나리오비교'!$B$9))),0)</f>
        <v/>
      </c>
      <c r="U417" s="80">
        <f>IF($I417&gt;0,MAX(0,$G417*SIN(RADIANS('13_시나리오비교'!$B$10))*SIN(RADIANS('13_시나리오비교'!$C$10))+$H417*SIN(RADIANS('13_시나리오비교'!$B$10))*COS(RADIANS('13_시나리오비교'!$C$10))+$I417*COS(RADIANS('13_시나리오비교'!$B$10))),0)</f>
        <v/>
      </c>
      <c r="V417" s="80">
        <f>IF($I417&gt;0,MAX(0,$G417*SIN(RADIANS('13_시나리오비교'!$B$11))*SIN(RADIANS('13_시나리오비교'!$C$11))+$H417*SIN(RADIANS('13_시나리오비교'!$B$11))*COS(RADIANS('13_시나리오비교'!$C$11))+$I417*COS(RADIANS('13_시나리오비교'!$B$11))),0)</f>
        <v/>
      </c>
      <c r="W417" s="80">
        <f>IF($I417&gt;0,MAX(0,$G417*SIN(RADIANS('13_시나리오비교'!$B$12))*SIN(RADIANS('13_시나리오비교'!$C$12))+$H417*SIN(RADIANS('13_시나리오비교'!$B$12))*COS(RADIANS('13_시나리오비교'!$C$12))+$I417*COS(RADIANS('13_시나리오비교'!$B$12))),0)</f>
        <v/>
      </c>
      <c r="X417" s="80">
        <f>IF($I417&gt;0,MAX(0,$G417*SIN(RADIANS('13_시나리오비교'!$B$13))*SIN(RADIANS('13_시나리오비교'!$C$13))+$H417*SIN(RADIANS('13_시나리오비교'!$B$13))*COS(RADIANS('13_시나리오비교'!$C$13))+$I417*COS(RADIANS('13_시나리오비교'!$B$13))),0)</f>
        <v/>
      </c>
      <c r="Y417" s="80">
        <f>IF($I417&gt;0,MAX(0,$G417*SIN(RADIANS('13_시나리오비교'!$B$14))*SIN(RADIANS('13_시나리오비교'!$C$14))+$H417*SIN(RADIANS('13_시나리오비교'!$B$14))*COS(RADIANS('13_시나리오비교'!$C$14))+$I417*COS(RADIANS('13_시나리오비교'!$B$14))),0)</f>
        <v/>
      </c>
    </row>
    <row r="418" hidden="1" outlineLevel="1">
      <c r="A418" s="79" t="n">
        <v>5</v>
      </c>
      <c r="B418" s="79" t="n">
        <v>14</v>
      </c>
      <c r="C418" s="80">
        <f>(B418-0.5)*'14_지역·상수'!$H$6</f>
        <v/>
      </c>
      <c r="D418" s="79" t="n">
        <v>135</v>
      </c>
      <c r="E418" s="80">
        <f>INDEX($C$4:$C$15,MATCH(A418,$A$4:$A$15,0))</f>
        <v/>
      </c>
      <c r="F418" s="80">
        <f>15*(C418-12)</f>
        <v/>
      </c>
      <c r="G418" s="80">
        <f>-COS(RADIANS(E418))*SIN(RADIANS(F418))</f>
        <v/>
      </c>
      <c r="H418" s="80">
        <f>COS(RADIANS('11_발전량_모델'!$B$17))*SIN(RADIANS(E418))-SIN(RADIANS('11_발전량_모델'!$B$17))*COS(RADIANS(E418))*COS(RADIANS(F418))</f>
        <v/>
      </c>
      <c r="I418" s="80">
        <f>SIN(RADIANS('11_발전량_모델'!$B$17))*SIN(RADIANS(E418))+COS(RADIANS('11_발전량_모델'!$B$17))*COS(RADIANS(E418))*COS(RADIANS(F418))</f>
        <v/>
      </c>
      <c r="J418" s="80">
        <f>SIN(RADIANS('11_발전량_모델'!$B$7))*SIN(RADIANS('11_발전량_모델'!$B$8))</f>
        <v/>
      </c>
      <c r="K418" s="80">
        <f>SIN(RADIANS('11_발전량_모델'!$B$7))*COS(RADIANS('11_발전량_모델'!$B$8))</f>
        <v/>
      </c>
      <c r="L418" s="80">
        <f>COS(RADIANS('11_발전량_모델'!$B$7))</f>
        <v/>
      </c>
      <c r="M418" s="80">
        <f>G418*J418+H418*K418+I418*L418</f>
        <v/>
      </c>
      <c r="N418" s="80">
        <f>MAX(0,I418)</f>
        <v/>
      </c>
      <c r="O418" s="80">
        <f>IF(I418&gt;0,MAX(0,M418),0)</f>
        <v/>
      </c>
      <c r="P418" s="80">
        <f>IF($I418&gt;0,MAX(0,$G418*SIN(RADIANS('13_시나리오비교'!$B$5))*SIN(RADIANS('13_시나리오비교'!$C$5))+$H418*SIN(RADIANS('13_시나리오비교'!$B$5))*COS(RADIANS('13_시나리오비교'!$C$5))+$I418*COS(RADIANS('13_시나리오비교'!$B$5))),0)</f>
        <v/>
      </c>
      <c r="Q418" s="80">
        <f>IF($I418&gt;0,MAX(0,$G418*SIN(RADIANS('13_시나리오비교'!$B$6))*SIN(RADIANS('13_시나리오비교'!$C$6))+$H418*SIN(RADIANS('13_시나리오비교'!$B$6))*COS(RADIANS('13_시나리오비교'!$C$6))+$I418*COS(RADIANS('13_시나리오비교'!$B$6))),0)</f>
        <v/>
      </c>
      <c r="R418" s="80">
        <f>IF($I418&gt;0,MAX(0,$G418*SIN(RADIANS('13_시나리오비교'!$B$7))*SIN(RADIANS('13_시나리오비교'!$C$7))+$H418*SIN(RADIANS('13_시나리오비교'!$B$7))*COS(RADIANS('13_시나리오비교'!$C$7))+$I418*COS(RADIANS('13_시나리오비교'!$B$7))),0)</f>
        <v/>
      </c>
      <c r="S418" s="80">
        <f>IF($I418&gt;0,MAX(0,$G418*SIN(RADIANS('13_시나리오비교'!$B$8))*SIN(RADIANS('13_시나리오비교'!$C$8))+$H418*SIN(RADIANS('13_시나리오비교'!$B$8))*COS(RADIANS('13_시나리오비교'!$C$8))+$I418*COS(RADIANS('13_시나리오비교'!$B$8))),0)</f>
        <v/>
      </c>
      <c r="T418" s="80">
        <f>IF($I418&gt;0,MAX(0,$G418*SIN(RADIANS('13_시나리오비교'!$B$9))*SIN(RADIANS('13_시나리오비교'!$C$9))+$H418*SIN(RADIANS('13_시나리오비교'!$B$9))*COS(RADIANS('13_시나리오비교'!$C$9))+$I418*COS(RADIANS('13_시나리오비교'!$B$9))),0)</f>
        <v/>
      </c>
      <c r="U418" s="80">
        <f>IF($I418&gt;0,MAX(0,$G418*SIN(RADIANS('13_시나리오비교'!$B$10))*SIN(RADIANS('13_시나리오비교'!$C$10))+$H418*SIN(RADIANS('13_시나리오비교'!$B$10))*COS(RADIANS('13_시나리오비교'!$C$10))+$I418*COS(RADIANS('13_시나리오비교'!$B$10))),0)</f>
        <v/>
      </c>
      <c r="V418" s="80">
        <f>IF($I418&gt;0,MAX(0,$G418*SIN(RADIANS('13_시나리오비교'!$B$11))*SIN(RADIANS('13_시나리오비교'!$C$11))+$H418*SIN(RADIANS('13_시나리오비교'!$B$11))*COS(RADIANS('13_시나리오비교'!$C$11))+$I418*COS(RADIANS('13_시나리오비교'!$B$11))),0)</f>
        <v/>
      </c>
      <c r="W418" s="80">
        <f>IF($I418&gt;0,MAX(0,$G418*SIN(RADIANS('13_시나리오비교'!$B$12))*SIN(RADIANS('13_시나리오비교'!$C$12))+$H418*SIN(RADIANS('13_시나리오비교'!$B$12))*COS(RADIANS('13_시나리오비교'!$C$12))+$I418*COS(RADIANS('13_시나리오비교'!$B$12))),0)</f>
        <v/>
      </c>
      <c r="X418" s="80">
        <f>IF($I418&gt;0,MAX(0,$G418*SIN(RADIANS('13_시나리오비교'!$B$13))*SIN(RADIANS('13_시나리오비교'!$C$13))+$H418*SIN(RADIANS('13_시나리오비교'!$B$13))*COS(RADIANS('13_시나리오비교'!$C$13))+$I418*COS(RADIANS('13_시나리오비교'!$B$13))),0)</f>
        <v/>
      </c>
      <c r="Y418" s="80">
        <f>IF($I418&gt;0,MAX(0,$G418*SIN(RADIANS('13_시나리오비교'!$B$14))*SIN(RADIANS('13_시나리오비교'!$C$14))+$H418*SIN(RADIANS('13_시나리오비교'!$B$14))*COS(RADIANS('13_시나리오비교'!$C$14))+$I418*COS(RADIANS('13_시나리오비교'!$B$14))),0)</f>
        <v/>
      </c>
    </row>
    <row r="419" hidden="1" outlineLevel="1">
      <c r="A419" s="79" t="n">
        <v>5</v>
      </c>
      <c r="B419" s="79" t="n">
        <v>15</v>
      </c>
      <c r="C419" s="80">
        <f>(B419-0.5)*'14_지역·상수'!$H$6</f>
        <v/>
      </c>
      <c r="D419" s="79" t="n">
        <v>135</v>
      </c>
      <c r="E419" s="80">
        <f>INDEX($C$4:$C$15,MATCH(A419,$A$4:$A$15,0))</f>
        <v/>
      </c>
      <c r="F419" s="80">
        <f>15*(C419-12)</f>
        <v/>
      </c>
      <c r="G419" s="80">
        <f>-COS(RADIANS(E419))*SIN(RADIANS(F419))</f>
        <v/>
      </c>
      <c r="H419" s="80">
        <f>COS(RADIANS('11_발전량_모델'!$B$17))*SIN(RADIANS(E419))-SIN(RADIANS('11_발전량_모델'!$B$17))*COS(RADIANS(E419))*COS(RADIANS(F419))</f>
        <v/>
      </c>
      <c r="I419" s="80">
        <f>SIN(RADIANS('11_발전량_모델'!$B$17))*SIN(RADIANS(E419))+COS(RADIANS('11_발전량_모델'!$B$17))*COS(RADIANS(E419))*COS(RADIANS(F419))</f>
        <v/>
      </c>
      <c r="J419" s="80">
        <f>SIN(RADIANS('11_발전량_모델'!$B$7))*SIN(RADIANS('11_발전량_모델'!$B$8))</f>
        <v/>
      </c>
      <c r="K419" s="80">
        <f>SIN(RADIANS('11_발전량_모델'!$B$7))*COS(RADIANS('11_발전량_모델'!$B$8))</f>
        <v/>
      </c>
      <c r="L419" s="80">
        <f>COS(RADIANS('11_발전량_모델'!$B$7))</f>
        <v/>
      </c>
      <c r="M419" s="80">
        <f>G419*J419+H419*K419+I419*L419</f>
        <v/>
      </c>
      <c r="N419" s="80">
        <f>MAX(0,I419)</f>
        <v/>
      </c>
      <c r="O419" s="80">
        <f>IF(I419&gt;0,MAX(0,M419),0)</f>
        <v/>
      </c>
      <c r="P419" s="80">
        <f>IF($I419&gt;0,MAX(0,$G419*SIN(RADIANS('13_시나리오비교'!$B$5))*SIN(RADIANS('13_시나리오비교'!$C$5))+$H419*SIN(RADIANS('13_시나리오비교'!$B$5))*COS(RADIANS('13_시나리오비교'!$C$5))+$I419*COS(RADIANS('13_시나리오비교'!$B$5))),0)</f>
        <v/>
      </c>
      <c r="Q419" s="80">
        <f>IF($I419&gt;0,MAX(0,$G419*SIN(RADIANS('13_시나리오비교'!$B$6))*SIN(RADIANS('13_시나리오비교'!$C$6))+$H419*SIN(RADIANS('13_시나리오비교'!$B$6))*COS(RADIANS('13_시나리오비교'!$C$6))+$I419*COS(RADIANS('13_시나리오비교'!$B$6))),0)</f>
        <v/>
      </c>
      <c r="R419" s="80">
        <f>IF($I419&gt;0,MAX(0,$G419*SIN(RADIANS('13_시나리오비교'!$B$7))*SIN(RADIANS('13_시나리오비교'!$C$7))+$H419*SIN(RADIANS('13_시나리오비교'!$B$7))*COS(RADIANS('13_시나리오비교'!$C$7))+$I419*COS(RADIANS('13_시나리오비교'!$B$7))),0)</f>
        <v/>
      </c>
      <c r="S419" s="80">
        <f>IF($I419&gt;0,MAX(0,$G419*SIN(RADIANS('13_시나리오비교'!$B$8))*SIN(RADIANS('13_시나리오비교'!$C$8))+$H419*SIN(RADIANS('13_시나리오비교'!$B$8))*COS(RADIANS('13_시나리오비교'!$C$8))+$I419*COS(RADIANS('13_시나리오비교'!$B$8))),0)</f>
        <v/>
      </c>
      <c r="T419" s="80">
        <f>IF($I419&gt;0,MAX(0,$G419*SIN(RADIANS('13_시나리오비교'!$B$9))*SIN(RADIANS('13_시나리오비교'!$C$9))+$H419*SIN(RADIANS('13_시나리오비교'!$B$9))*COS(RADIANS('13_시나리오비교'!$C$9))+$I419*COS(RADIANS('13_시나리오비교'!$B$9))),0)</f>
        <v/>
      </c>
      <c r="U419" s="80">
        <f>IF($I419&gt;0,MAX(0,$G419*SIN(RADIANS('13_시나리오비교'!$B$10))*SIN(RADIANS('13_시나리오비교'!$C$10))+$H419*SIN(RADIANS('13_시나리오비교'!$B$10))*COS(RADIANS('13_시나리오비교'!$C$10))+$I419*COS(RADIANS('13_시나리오비교'!$B$10))),0)</f>
        <v/>
      </c>
      <c r="V419" s="80">
        <f>IF($I419&gt;0,MAX(0,$G419*SIN(RADIANS('13_시나리오비교'!$B$11))*SIN(RADIANS('13_시나리오비교'!$C$11))+$H419*SIN(RADIANS('13_시나리오비교'!$B$11))*COS(RADIANS('13_시나리오비교'!$C$11))+$I419*COS(RADIANS('13_시나리오비교'!$B$11))),0)</f>
        <v/>
      </c>
      <c r="W419" s="80">
        <f>IF($I419&gt;0,MAX(0,$G419*SIN(RADIANS('13_시나리오비교'!$B$12))*SIN(RADIANS('13_시나리오비교'!$C$12))+$H419*SIN(RADIANS('13_시나리오비교'!$B$12))*COS(RADIANS('13_시나리오비교'!$C$12))+$I419*COS(RADIANS('13_시나리오비교'!$B$12))),0)</f>
        <v/>
      </c>
      <c r="X419" s="80">
        <f>IF($I419&gt;0,MAX(0,$G419*SIN(RADIANS('13_시나리오비교'!$B$13))*SIN(RADIANS('13_시나리오비교'!$C$13))+$H419*SIN(RADIANS('13_시나리오비교'!$B$13))*COS(RADIANS('13_시나리오비교'!$C$13))+$I419*COS(RADIANS('13_시나리오비교'!$B$13))),0)</f>
        <v/>
      </c>
      <c r="Y419" s="80">
        <f>IF($I419&gt;0,MAX(0,$G419*SIN(RADIANS('13_시나리오비교'!$B$14))*SIN(RADIANS('13_시나리오비교'!$C$14))+$H419*SIN(RADIANS('13_시나리오비교'!$B$14))*COS(RADIANS('13_시나리오비교'!$C$14))+$I419*COS(RADIANS('13_시나리오비교'!$B$14))),0)</f>
        <v/>
      </c>
    </row>
    <row r="420" hidden="1" outlineLevel="1">
      <c r="A420" s="79" t="n">
        <v>5</v>
      </c>
      <c r="B420" s="79" t="n">
        <v>16</v>
      </c>
      <c r="C420" s="80">
        <f>(B420-0.5)*'14_지역·상수'!$H$6</f>
        <v/>
      </c>
      <c r="D420" s="79" t="n">
        <v>135</v>
      </c>
      <c r="E420" s="80">
        <f>INDEX($C$4:$C$15,MATCH(A420,$A$4:$A$15,0))</f>
        <v/>
      </c>
      <c r="F420" s="80">
        <f>15*(C420-12)</f>
        <v/>
      </c>
      <c r="G420" s="80">
        <f>-COS(RADIANS(E420))*SIN(RADIANS(F420))</f>
        <v/>
      </c>
      <c r="H420" s="80">
        <f>COS(RADIANS('11_발전량_모델'!$B$17))*SIN(RADIANS(E420))-SIN(RADIANS('11_발전량_모델'!$B$17))*COS(RADIANS(E420))*COS(RADIANS(F420))</f>
        <v/>
      </c>
      <c r="I420" s="80">
        <f>SIN(RADIANS('11_발전량_모델'!$B$17))*SIN(RADIANS(E420))+COS(RADIANS('11_발전량_모델'!$B$17))*COS(RADIANS(E420))*COS(RADIANS(F420))</f>
        <v/>
      </c>
      <c r="J420" s="80">
        <f>SIN(RADIANS('11_발전량_모델'!$B$7))*SIN(RADIANS('11_발전량_모델'!$B$8))</f>
        <v/>
      </c>
      <c r="K420" s="80">
        <f>SIN(RADIANS('11_발전량_모델'!$B$7))*COS(RADIANS('11_발전량_모델'!$B$8))</f>
        <v/>
      </c>
      <c r="L420" s="80">
        <f>COS(RADIANS('11_발전량_모델'!$B$7))</f>
        <v/>
      </c>
      <c r="M420" s="80">
        <f>G420*J420+H420*K420+I420*L420</f>
        <v/>
      </c>
      <c r="N420" s="80">
        <f>MAX(0,I420)</f>
        <v/>
      </c>
      <c r="O420" s="80">
        <f>IF(I420&gt;0,MAX(0,M420),0)</f>
        <v/>
      </c>
      <c r="P420" s="80">
        <f>IF($I420&gt;0,MAX(0,$G420*SIN(RADIANS('13_시나리오비교'!$B$5))*SIN(RADIANS('13_시나리오비교'!$C$5))+$H420*SIN(RADIANS('13_시나리오비교'!$B$5))*COS(RADIANS('13_시나리오비교'!$C$5))+$I420*COS(RADIANS('13_시나리오비교'!$B$5))),0)</f>
        <v/>
      </c>
      <c r="Q420" s="80">
        <f>IF($I420&gt;0,MAX(0,$G420*SIN(RADIANS('13_시나리오비교'!$B$6))*SIN(RADIANS('13_시나리오비교'!$C$6))+$H420*SIN(RADIANS('13_시나리오비교'!$B$6))*COS(RADIANS('13_시나리오비교'!$C$6))+$I420*COS(RADIANS('13_시나리오비교'!$B$6))),0)</f>
        <v/>
      </c>
      <c r="R420" s="80">
        <f>IF($I420&gt;0,MAX(0,$G420*SIN(RADIANS('13_시나리오비교'!$B$7))*SIN(RADIANS('13_시나리오비교'!$C$7))+$H420*SIN(RADIANS('13_시나리오비교'!$B$7))*COS(RADIANS('13_시나리오비교'!$C$7))+$I420*COS(RADIANS('13_시나리오비교'!$B$7))),0)</f>
        <v/>
      </c>
      <c r="S420" s="80">
        <f>IF($I420&gt;0,MAX(0,$G420*SIN(RADIANS('13_시나리오비교'!$B$8))*SIN(RADIANS('13_시나리오비교'!$C$8))+$H420*SIN(RADIANS('13_시나리오비교'!$B$8))*COS(RADIANS('13_시나리오비교'!$C$8))+$I420*COS(RADIANS('13_시나리오비교'!$B$8))),0)</f>
        <v/>
      </c>
      <c r="T420" s="80">
        <f>IF($I420&gt;0,MAX(0,$G420*SIN(RADIANS('13_시나리오비교'!$B$9))*SIN(RADIANS('13_시나리오비교'!$C$9))+$H420*SIN(RADIANS('13_시나리오비교'!$B$9))*COS(RADIANS('13_시나리오비교'!$C$9))+$I420*COS(RADIANS('13_시나리오비교'!$B$9))),0)</f>
        <v/>
      </c>
      <c r="U420" s="80">
        <f>IF($I420&gt;0,MAX(0,$G420*SIN(RADIANS('13_시나리오비교'!$B$10))*SIN(RADIANS('13_시나리오비교'!$C$10))+$H420*SIN(RADIANS('13_시나리오비교'!$B$10))*COS(RADIANS('13_시나리오비교'!$C$10))+$I420*COS(RADIANS('13_시나리오비교'!$B$10))),0)</f>
        <v/>
      </c>
      <c r="V420" s="80">
        <f>IF($I420&gt;0,MAX(0,$G420*SIN(RADIANS('13_시나리오비교'!$B$11))*SIN(RADIANS('13_시나리오비교'!$C$11))+$H420*SIN(RADIANS('13_시나리오비교'!$B$11))*COS(RADIANS('13_시나리오비교'!$C$11))+$I420*COS(RADIANS('13_시나리오비교'!$B$11))),0)</f>
        <v/>
      </c>
      <c r="W420" s="80">
        <f>IF($I420&gt;0,MAX(0,$G420*SIN(RADIANS('13_시나리오비교'!$B$12))*SIN(RADIANS('13_시나리오비교'!$C$12))+$H420*SIN(RADIANS('13_시나리오비교'!$B$12))*COS(RADIANS('13_시나리오비교'!$C$12))+$I420*COS(RADIANS('13_시나리오비교'!$B$12))),0)</f>
        <v/>
      </c>
      <c r="X420" s="80">
        <f>IF($I420&gt;0,MAX(0,$G420*SIN(RADIANS('13_시나리오비교'!$B$13))*SIN(RADIANS('13_시나리오비교'!$C$13))+$H420*SIN(RADIANS('13_시나리오비교'!$B$13))*COS(RADIANS('13_시나리오비교'!$C$13))+$I420*COS(RADIANS('13_시나리오비교'!$B$13))),0)</f>
        <v/>
      </c>
      <c r="Y420" s="80">
        <f>IF($I420&gt;0,MAX(0,$G420*SIN(RADIANS('13_시나리오비교'!$B$14))*SIN(RADIANS('13_시나리오비교'!$C$14))+$H420*SIN(RADIANS('13_시나리오비교'!$B$14))*COS(RADIANS('13_시나리오비교'!$C$14))+$I420*COS(RADIANS('13_시나리오비교'!$B$14))),0)</f>
        <v/>
      </c>
    </row>
    <row r="421" hidden="1" outlineLevel="1">
      <c r="A421" s="79" t="n">
        <v>5</v>
      </c>
      <c r="B421" s="79" t="n">
        <v>17</v>
      </c>
      <c r="C421" s="80">
        <f>(B421-0.5)*'14_지역·상수'!$H$6</f>
        <v/>
      </c>
      <c r="D421" s="79" t="n">
        <v>135</v>
      </c>
      <c r="E421" s="80">
        <f>INDEX($C$4:$C$15,MATCH(A421,$A$4:$A$15,0))</f>
        <v/>
      </c>
      <c r="F421" s="80">
        <f>15*(C421-12)</f>
        <v/>
      </c>
      <c r="G421" s="80">
        <f>-COS(RADIANS(E421))*SIN(RADIANS(F421))</f>
        <v/>
      </c>
      <c r="H421" s="80">
        <f>COS(RADIANS('11_발전량_모델'!$B$17))*SIN(RADIANS(E421))-SIN(RADIANS('11_발전량_모델'!$B$17))*COS(RADIANS(E421))*COS(RADIANS(F421))</f>
        <v/>
      </c>
      <c r="I421" s="80">
        <f>SIN(RADIANS('11_발전량_모델'!$B$17))*SIN(RADIANS(E421))+COS(RADIANS('11_발전량_모델'!$B$17))*COS(RADIANS(E421))*COS(RADIANS(F421))</f>
        <v/>
      </c>
      <c r="J421" s="80">
        <f>SIN(RADIANS('11_발전량_모델'!$B$7))*SIN(RADIANS('11_발전량_모델'!$B$8))</f>
        <v/>
      </c>
      <c r="K421" s="80">
        <f>SIN(RADIANS('11_발전량_모델'!$B$7))*COS(RADIANS('11_발전량_모델'!$B$8))</f>
        <v/>
      </c>
      <c r="L421" s="80">
        <f>COS(RADIANS('11_발전량_모델'!$B$7))</f>
        <v/>
      </c>
      <c r="M421" s="80">
        <f>G421*J421+H421*K421+I421*L421</f>
        <v/>
      </c>
      <c r="N421" s="80">
        <f>MAX(0,I421)</f>
        <v/>
      </c>
      <c r="O421" s="80">
        <f>IF(I421&gt;0,MAX(0,M421),0)</f>
        <v/>
      </c>
      <c r="P421" s="80">
        <f>IF($I421&gt;0,MAX(0,$G421*SIN(RADIANS('13_시나리오비교'!$B$5))*SIN(RADIANS('13_시나리오비교'!$C$5))+$H421*SIN(RADIANS('13_시나리오비교'!$B$5))*COS(RADIANS('13_시나리오비교'!$C$5))+$I421*COS(RADIANS('13_시나리오비교'!$B$5))),0)</f>
        <v/>
      </c>
      <c r="Q421" s="80">
        <f>IF($I421&gt;0,MAX(0,$G421*SIN(RADIANS('13_시나리오비교'!$B$6))*SIN(RADIANS('13_시나리오비교'!$C$6))+$H421*SIN(RADIANS('13_시나리오비교'!$B$6))*COS(RADIANS('13_시나리오비교'!$C$6))+$I421*COS(RADIANS('13_시나리오비교'!$B$6))),0)</f>
        <v/>
      </c>
      <c r="R421" s="80">
        <f>IF($I421&gt;0,MAX(0,$G421*SIN(RADIANS('13_시나리오비교'!$B$7))*SIN(RADIANS('13_시나리오비교'!$C$7))+$H421*SIN(RADIANS('13_시나리오비교'!$B$7))*COS(RADIANS('13_시나리오비교'!$C$7))+$I421*COS(RADIANS('13_시나리오비교'!$B$7))),0)</f>
        <v/>
      </c>
      <c r="S421" s="80">
        <f>IF($I421&gt;0,MAX(0,$G421*SIN(RADIANS('13_시나리오비교'!$B$8))*SIN(RADIANS('13_시나리오비교'!$C$8))+$H421*SIN(RADIANS('13_시나리오비교'!$B$8))*COS(RADIANS('13_시나리오비교'!$C$8))+$I421*COS(RADIANS('13_시나리오비교'!$B$8))),0)</f>
        <v/>
      </c>
      <c r="T421" s="80">
        <f>IF($I421&gt;0,MAX(0,$G421*SIN(RADIANS('13_시나리오비교'!$B$9))*SIN(RADIANS('13_시나리오비교'!$C$9))+$H421*SIN(RADIANS('13_시나리오비교'!$B$9))*COS(RADIANS('13_시나리오비교'!$C$9))+$I421*COS(RADIANS('13_시나리오비교'!$B$9))),0)</f>
        <v/>
      </c>
      <c r="U421" s="80">
        <f>IF($I421&gt;0,MAX(0,$G421*SIN(RADIANS('13_시나리오비교'!$B$10))*SIN(RADIANS('13_시나리오비교'!$C$10))+$H421*SIN(RADIANS('13_시나리오비교'!$B$10))*COS(RADIANS('13_시나리오비교'!$C$10))+$I421*COS(RADIANS('13_시나리오비교'!$B$10))),0)</f>
        <v/>
      </c>
      <c r="V421" s="80">
        <f>IF($I421&gt;0,MAX(0,$G421*SIN(RADIANS('13_시나리오비교'!$B$11))*SIN(RADIANS('13_시나리오비교'!$C$11))+$H421*SIN(RADIANS('13_시나리오비교'!$B$11))*COS(RADIANS('13_시나리오비교'!$C$11))+$I421*COS(RADIANS('13_시나리오비교'!$B$11))),0)</f>
        <v/>
      </c>
      <c r="W421" s="80">
        <f>IF($I421&gt;0,MAX(0,$G421*SIN(RADIANS('13_시나리오비교'!$B$12))*SIN(RADIANS('13_시나리오비교'!$C$12))+$H421*SIN(RADIANS('13_시나리오비교'!$B$12))*COS(RADIANS('13_시나리오비교'!$C$12))+$I421*COS(RADIANS('13_시나리오비교'!$B$12))),0)</f>
        <v/>
      </c>
      <c r="X421" s="80">
        <f>IF($I421&gt;0,MAX(0,$G421*SIN(RADIANS('13_시나리오비교'!$B$13))*SIN(RADIANS('13_시나리오비교'!$C$13))+$H421*SIN(RADIANS('13_시나리오비교'!$B$13))*COS(RADIANS('13_시나리오비교'!$C$13))+$I421*COS(RADIANS('13_시나리오비교'!$B$13))),0)</f>
        <v/>
      </c>
      <c r="Y421" s="80">
        <f>IF($I421&gt;0,MAX(0,$G421*SIN(RADIANS('13_시나리오비교'!$B$14))*SIN(RADIANS('13_시나리오비교'!$C$14))+$H421*SIN(RADIANS('13_시나리오비교'!$B$14))*COS(RADIANS('13_시나리오비교'!$C$14))+$I421*COS(RADIANS('13_시나리오비교'!$B$14))),0)</f>
        <v/>
      </c>
    </row>
    <row r="422" hidden="1" outlineLevel="1">
      <c r="A422" s="79" t="n">
        <v>5</v>
      </c>
      <c r="B422" s="79" t="n">
        <v>18</v>
      </c>
      <c r="C422" s="80">
        <f>(B422-0.5)*'14_지역·상수'!$H$6</f>
        <v/>
      </c>
      <c r="D422" s="79" t="n">
        <v>135</v>
      </c>
      <c r="E422" s="80">
        <f>INDEX($C$4:$C$15,MATCH(A422,$A$4:$A$15,0))</f>
        <v/>
      </c>
      <c r="F422" s="80">
        <f>15*(C422-12)</f>
        <v/>
      </c>
      <c r="G422" s="80">
        <f>-COS(RADIANS(E422))*SIN(RADIANS(F422))</f>
        <v/>
      </c>
      <c r="H422" s="80">
        <f>COS(RADIANS('11_발전량_모델'!$B$17))*SIN(RADIANS(E422))-SIN(RADIANS('11_발전량_모델'!$B$17))*COS(RADIANS(E422))*COS(RADIANS(F422))</f>
        <v/>
      </c>
      <c r="I422" s="80">
        <f>SIN(RADIANS('11_발전량_모델'!$B$17))*SIN(RADIANS(E422))+COS(RADIANS('11_발전량_모델'!$B$17))*COS(RADIANS(E422))*COS(RADIANS(F422))</f>
        <v/>
      </c>
      <c r="J422" s="80">
        <f>SIN(RADIANS('11_발전량_모델'!$B$7))*SIN(RADIANS('11_발전량_모델'!$B$8))</f>
        <v/>
      </c>
      <c r="K422" s="80">
        <f>SIN(RADIANS('11_발전량_모델'!$B$7))*COS(RADIANS('11_발전량_모델'!$B$8))</f>
        <v/>
      </c>
      <c r="L422" s="80">
        <f>COS(RADIANS('11_발전량_모델'!$B$7))</f>
        <v/>
      </c>
      <c r="M422" s="80">
        <f>G422*J422+H422*K422+I422*L422</f>
        <v/>
      </c>
      <c r="N422" s="80">
        <f>MAX(0,I422)</f>
        <v/>
      </c>
      <c r="O422" s="80">
        <f>IF(I422&gt;0,MAX(0,M422),0)</f>
        <v/>
      </c>
      <c r="P422" s="80">
        <f>IF($I422&gt;0,MAX(0,$G422*SIN(RADIANS('13_시나리오비교'!$B$5))*SIN(RADIANS('13_시나리오비교'!$C$5))+$H422*SIN(RADIANS('13_시나리오비교'!$B$5))*COS(RADIANS('13_시나리오비교'!$C$5))+$I422*COS(RADIANS('13_시나리오비교'!$B$5))),0)</f>
        <v/>
      </c>
      <c r="Q422" s="80">
        <f>IF($I422&gt;0,MAX(0,$G422*SIN(RADIANS('13_시나리오비교'!$B$6))*SIN(RADIANS('13_시나리오비교'!$C$6))+$H422*SIN(RADIANS('13_시나리오비교'!$B$6))*COS(RADIANS('13_시나리오비교'!$C$6))+$I422*COS(RADIANS('13_시나리오비교'!$B$6))),0)</f>
        <v/>
      </c>
      <c r="R422" s="80">
        <f>IF($I422&gt;0,MAX(0,$G422*SIN(RADIANS('13_시나리오비교'!$B$7))*SIN(RADIANS('13_시나리오비교'!$C$7))+$H422*SIN(RADIANS('13_시나리오비교'!$B$7))*COS(RADIANS('13_시나리오비교'!$C$7))+$I422*COS(RADIANS('13_시나리오비교'!$B$7))),0)</f>
        <v/>
      </c>
      <c r="S422" s="80">
        <f>IF($I422&gt;0,MAX(0,$G422*SIN(RADIANS('13_시나리오비교'!$B$8))*SIN(RADIANS('13_시나리오비교'!$C$8))+$H422*SIN(RADIANS('13_시나리오비교'!$B$8))*COS(RADIANS('13_시나리오비교'!$C$8))+$I422*COS(RADIANS('13_시나리오비교'!$B$8))),0)</f>
        <v/>
      </c>
      <c r="T422" s="80">
        <f>IF($I422&gt;0,MAX(0,$G422*SIN(RADIANS('13_시나리오비교'!$B$9))*SIN(RADIANS('13_시나리오비교'!$C$9))+$H422*SIN(RADIANS('13_시나리오비교'!$B$9))*COS(RADIANS('13_시나리오비교'!$C$9))+$I422*COS(RADIANS('13_시나리오비교'!$B$9))),0)</f>
        <v/>
      </c>
      <c r="U422" s="80">
        <f>IF($I422&gt;0,MAX(0,$G422*SIN(RADIANS('13_시나리오비교'!$B$10))*SIN(RADIANS('13_시나리오비교'!$C$10))+$H422*SIN(RADIANS('13_시나리오비교'!$B$10))*COS(RADIANS('13_시나리오비교'!$C$10))+$I422*COS(RADIANS('13_시나리오비교'!$B$10))),0)</f>
        <v/>
      </c>
      <c r="V422" s="80">
        <f>IF($I422&gt;0,MAX(0,$G422*SIN(RADIANS('13_시나리오비교'!$B$11))*SIN(RADIANS('13_시나리오비교'!$C$11))+$H422*SIN(RADIANS('13_시나리오비교'!$B$11))*COS(RADIANS('13_시나리오비교'!$C$11))+$I422*COS(RADIANS('13_시나리오비교'!$B$11))),0)</f>
        <v/>
      </c>
      <c r="W422" s="80">
        <f>IF($I422&gt;0,MAX(0,$G422*SIN(RADIANS('13_시나리오비교'!$B$12))*SIN(RADIANS('13_시나리오비교'!$C$12))+$H422*SIN(RADIANS('13_시나리오비교'!$B$12))*COS(RADIANS('13_시나리오비교'!$C$12))+$I422*COS(RADIANS('13_시나리오비교'!$B$12))),0)</f>
        <v/>
      </c>
      <c r="X422" s="80">
        <f>IF($I422&gt;0,MAX(0,$G422*SIN(RADIANS('13_시나리오비교'!$B$13))*SIN(RADIANS('13_시나리오비교'!$C$13))+$H422*SIN(RADIANS('13_시나리오비교'!$B$13))*COS(RADIANS('13_시나리오비교'!$C$13))+$I422*COS(RADIANS('13_시나리오비교'!$B$13))),0)</f>
        <v/>
      </c>
      <c r="Y422" s="80">
        <f>IF($I422&gt;0,MAX(0,$G422*SIN(RADIANS('13_시나리오비교'!$B$14))*SIN(RADIANS('13_시나리오비교'!$C$14))+$H422*SIN(RADIANS('13_시나리오비교'!$B$14))*COS(RADIANS('13_시나리오비교'!$C$14))+$I422*COS(RADIANS('13_시나리오비교'!$B$14))),0)</f>
        <v/>
      </c>
    </row>
    <row r="423" hidden="1" outlineLevel="1">
      <c r="A423" s="79" t="n">
        <v>5</v>
      </c>
      <c r="B423" s="79" t="n">
        <v>19</v>
      </c>
      <c r="C423" s="80">
        <f>(B423-0.5)*'14_지역·상수'!$H$6</f>
        <v/>
      </c>
      <c r="D423" s="79" t="n">
        <v>135</v>
      </c>
      <c r="E423" s="80">
        <f>INDEX($C$4:$C$15,MATCH(A423,$A$4:$A$15,0))</f>
        <v/>
      </c>
      <c r="F423" s="80">
        <f>15*(C423-12)</f>
        <v/>
      </c>
      <c r="G423" s="80">
        <f>-COS(RADIANS(E423))*SIN(RADIANS(F423))</f>
        <v/>
      </c>
      <c r="H423" s="80">
        <f>COS(RADIANS('11_발전량_모델'!$B$17))*SIN(RADIANS(E423))-SIN(RADIANS('11_발전량_모델'!$B$17))*COS(RADIANS(E423))*COS(RADIANS(F423))</f>
        <v/>
      </c>
      <c r="I423" s="80">
        <f>SIN(RADIANS('11_발전량_모델'!$B$17))*SIN(RADIANS(E423))+COS(RADIANS('11_발전량_모델'!$B$17))*COS(RADIANS(E423))*COS(RADIANS(F423))</f>
        <v/>
      </c>
      <c r="J423" s="80">
        <f>SIN(RADIANS('11_발전량_모델'!$B$7))*SIN(RADIANS('11_발전량_모델'!$B$8))</f>
        <v/>
      </c>
      <c r="K423" s="80">
        <f>SIN(RADIANS('11_발전량_모델'!$B$7))*COS(RADIANS('11_발전량_모델'!$B$8))</f>
        <v/>
      </c>
      <c r="L423" s="80">
        <f>COS(RADIANS('11_발전량_모델'!$B$7))</f>
        <v/>
      </c>
      <c r="M423" s="80">
        <f>G423*J423+H423*K423+I423*L423</f>
        <v/>
      </c>
      <c r="N423" s="80">
        <f>MAX(0,I423)</f>
        <v/>
      </c>
      <c r="O423" s="80">
        <f>IF(I423&gt;0,MAX(0,M423),0)</f>
        <v/>
      </c>
      <c r="P423" s="80">
        <f>IF($I423&gt;0,MAX(0,$G423*SIN(RADIANS('13_시나리오비교'!$B$5))*SIN(RADIANS('13_시나리오비교'!$C$5))+$H423*SIN(RADIANS('13_시나리오비교'!$B$5))*COS(RADIANS('13_시나리오비교'!$C$5))+$I423*COS(RADIANS('13_시나리오비교'!$B$5))),0)</f>
        <v/>
      </c>
      <c r="Q423" s="80">
        <f>IF($I423&gt;0,MAX(0,$G423*SIN(RADIANS('13_시나리오비교'!$B$6))*SIN(RADIANS('13_시나리오비교'!$C$6))+$H423*SIN(RADIANS('13_시나리오비교'!$B$6))*COS(RADIANS('13_시나리오비교'!$C$6))+$I423*COS(RADIANS('13_시나리오비교'!$B$6))),0)</f>
        <v/>
      </c>
      <c r="R423" s="80">
        <f>IF($I423&gt;0,MAX(0,$G423*SIN(RADIANS('13_시나리오비교'!$B$7))*SIN(RADIANS('13_시나리오비교'!$C$7))+$H423*SIN(RADIANS('13_시나리오비교'!$B$7))*COS(RADIANS('13_시나리오비교'!$C$7))+$I423*COS(RADIANS('13_시나리오비교'!$B$7))),0)</f>
        <v/>
      </c>
      <c r="S423" s="80">
        <f>IF($I423&gt;0,MAX(0,$G423*SIN(RADIANS('13_시나리오비교'!$B$8))*SIN(RADIANS('13_시나리오비교'!$C$8))+$H423*SIN(RADIANS('13_시나리오비교'!$B$8))*COS(RADIANS('13_시나리오비교'!$C$8))+$I423*COS(RADIANS('13_시나리오비교'!$B$8))),0)</f>
        <v/>
      </c>
      <c r="T423" s="80">
        <f>IF($I423&gt;0,MAX(0,$G423*SIN(RADIANS('13_시나리오비교'!$B$9))*SIN(RADIANS('13_시나리오비교'!$C$9))+$H423*SIN(RADIANS('13_시나리오비교'!$B$9))*COS(RADIANS('13_시나리오비교'!$C$9))+$I423*COS(RADIANS('13_시나리오비교'!$B$9))),0)</f>
        <v/>
      </c>
      <c r="U423" s="80">
        <f>IF($I423&gt;0,MAX(0,$G423*SIN(RADIANS('13_시나리오비교'!$B$10))*SIN(RADIANS('13_시나리오비교'!$C$10))+$H423*SIN(RADIANS('13_시나리오비교'!$B$10))*COS(RADIANS('13_시나리오비교'!$C$10))+$I423*COS(RADIANS('13_시나리오비교'!$B$10))),0)</f>
        <v/>
      </c>
      <c r="V423" s="80">
        <f>IF($I423&gt;0,MAX(0,$G423*SIN(RADIANS('13_시나리오비교'!$B$11))*SIN(RADIANS('13_시나리오비교'!$C$11))+$H423*SIN(RADIANS('13_시나리오비교'!$B$11))*COS(RADIANS('13_시나리오비교'!$C$11))+$I423*COS(RADIANS('13_시나리오비교'!$B$11))),0)</f>
        <v/>
      </c>
      <c r="W423" s="80">
        <f>IF($I423&gt;0,MAX(0,$G423*SIN(RADIANS('13_시나리오비교'!$B$12))*SIN(RADIANS('13_시나리오비교'!$C$12))+$H423*SIN(RADIANS('13_시나리오비교'!$B$12))*COS(RADIANS('13_시나리오비교'!$C$12))+$I423*COS(RADIANS('13_시나리오비교'!$B$12))),0)</f>
        <v/>
      </c>
      <c r="X423" s="80">
        <f>IF($I423&gt;0,MAX(0,$G423*SIN(RADIANS('13_시나리오비교'!$B$13))*SIN(RADIANS('13_시나리오비교'!$C$13))+$H423*SIN(RADIANS('13_시나리오비교'!$B$13))*COS(RADIANS('13_시나리오비교'!$C$13))+$I423*COS(RADIANS('13_시나리오비교'!$B$13))),0)</f>
        <v/>
      </c>
      <c r="Y423" s="80">
        <f>IF($I423&gt;0,MAX(0,$G423*SIN(RADIANS('13_시나리오비교'!$B$14))*SIN(RADIANS('13_시나리오비교'!$C$14))+$H423*SIN(RADIANS('13_시나리오비교'!$B$14))*COS(RADIANS('13_시나리오비교'!$C$14))+$I423*COS(RADIANS('13_시나리오비교'!$B$14))),0)</f>
        <v/>
      </c>
    </row>
    <row r="424" hidden="1" outlineLevel="1">
      <c r="A424" s="79" t="n">
        <v>5</v>
      </c>
      <c r="B424" s="79" t="n">
        <v>20</v>
      </c>
      <c r="C424" s="80">
        <f>(B424-0.5)*'14_지역·상수'!$H$6</f>
        <v/>
      </c>
      <c r="D424" s="79" t="n">
        <v>135</v>
      </c>
      <c r="E424" s="80">
        <f>INDEX($C$4:$C$15,MATCH(A424,$A$4:$A$15,0))</f>
        <v/>
      </c>
      <c r="F424" s="80">
        <f>15*(C424-12)</f>
        <v/>
      </c>
      <c r="G424" s="80">
        <f>-COS(RADIANS(E424))*SIN(RADIANS(F424))</f>
        <v/>
      </c>
      <c r="H424" s="80">
        <f>COS(RADIANS('11_발전량_모델'!$B$17))*SIN(RADIANS(E424))-SIN(RADIANS('11_발전량_모델'!$B$17))*COS(RADIANS(E424))*COS(RADIANS(F424))</f>
        <v/>
      </c>
      <c r="I424" s="80">
        <f>SIN(RADIANS('11_발전량_모델'!$B$17))*SIN(RADIANS(E424))+COS(RADIANS('11_발전량_모델'!$B$17))*COS(RADIANS(E424))*COS(RADIANS(F424))</f>
        <v/>
      </c>
      <c r="J424" s="80">
        <f>SIN(RADIANS('11_발전량_모델'!$B$7))*SIN(RADIANS('11_발전량_모델'!$B$8))</f>
        <v/>
      </c>
      <c r="K424" s="80">
        <f>SIN(RADIANS('11_발전량_모델'!$B$7))*COS(RADIANS('11_발전량_모델'!$B$8))</f>
        <v/>
      </c>
      <c r="L424" s="80">
        <f>COS(RADIANS('11_발전량_모델'!$B$7))</f>
        <v/>
      </c>
      <c r="M424" s="80">
        <f>G424*J424+H424*K424+I424*L424</f>
        <v/>
      </c>
      <c r="N424" s="80">
        <f>MAX(0,I424)</f>
        <v/>
      </c>
      <c r="O424" s="80">
        <f>IF(I424&gt;0,MAX(0,M424),0)</f>
        <v/>
      </c>
      <c r="P424" s="80">
        <f>IF($I424&gt;0,MAX(0,$G424*SIN(RADIANS('13_시나리오비교'!$B$5))*SIN(RADIANS('13_시나리오비교'!$C$5))+$H424*SIN(RADIANS('13_시나리오비교'!$B$5))*COS(RADIANS('13_시나리오비교'!$C$5))+$I424*COS(RADIANS('13_시나리오비교'!$B$5))),0)</f>
        <v/>
      </c>
      <c r="Q424" s="80">
        <f>IF($I424&gt;0,MAX(0,$G424*SIN(RADIANS('13_시나리오비교'!$B$6))*SIN(RADIANS('13_시나리오비교'!$C$6))+$H424*SIN(RADIANS('13_시나리오비교'!$B$6))*COS(RADIANS('13_시나리오비교'!$C$6))+$I424*COS(RADIANS('13_시나리오비교'!$B$6))),0)</f>
        <v/>
      </c>
      <c r="R424" s="80">
        <f>IF($I424&gt;0,MAX(0,$G424*SIN(RADIANS('13_시나리오비교'!$B$7))*SIN(RADIANS('13_시나리오비교'!$C$7))+$H424*SIN(RADIANS('13_시나리오비교'!$B$7))*COS(RADIANS('13_시나리오비교'!$C$7))+$I424*COS(RADIANS('13_시나리오비교'!$B$7))),0)</f>
        <v/>
      </c>
      <c r="S424" s="80">
        <f>IF($I424&gt;0,MAX(0,$G424*SIN(RADIANS('13_시나리오비교'!$B$8))*SIN(RADIANS('13_시나리오비교'!$C$8))+$H424*SIN(RADIANS('13_시나리오비교'!$B$8))*COS(RADIANS('13_시나리오비교'!$C$8))+$I424*COS(RADIANS('13_시나리오비교'!$B$8))),0)</f>
        <v/>
      </c>
      <c r="T424" s="80">
        <f>IF($I424&gt;0,MAX(0,$G424*SIN(RADIANS('13_시나리오비교'!$B$9))*SIN(RADIANS('13_시나리오비교'!$C$9))+$H424*SIN(RADIANS('13_시나리오비교'!$B$9))*COS(RADIANS('13_시나리오비교'!$C$9))+$I424*COS(RADIANS('13_시나리오비교'!$B$9))),0)</f>
        <v/>
      </c>
      <c r="U424" s="80">
        <f>IF($I424&gt;0,MAX(0,$G424*SIN(RADIANS('13_시나리오비교'!$B$10))*SIN(RADIANS('13_시나리오비교'!$C$10))+$H424*SIN(RADIANS('13_시나리오비교'!$B$10))*COS(RADIANS('13_시나리오비교'!$C$10))+$I424*COS(RADIANS('13_시나리오비교'!$B$10))),0)</f>
        <v/>
      </c>
      <c r="V424" s="80">
        <f>IF($I424&gt;0,MAX(0,$G424*SIN(RADIANS('13_시나리오비교'!$B$11))*SIN(RADIANS('13_시나리오비교'!$C$11))+$H424*SIN(RADIANS('13_시나리오비교'!$B$11))*COS(RADIANS('13_시나리오비교'!$C$11))+$I424*COS(RADIANS('13_시나리오비교'!$B$11))),0)</f>
        <v/>
      </c>
      <c r="W424" s="80">
        <f>IF($I424&gt;0,MAX(0,$G424*SIN(RADIANS('13_시나리오비교'!$B$12))*SIN(RADIANS('13_시나리오비교'!$C$12))+$H424*SIN(RADIANS('13_시나리오비교'!$B$12))*COS(RADIANS('13_시나리오비교'!$C$12))+$I424*COS(RADIANS('13_시나리오비교'!$B$12))),0)</f>
        <v/>
      </c>
      <c r="X424" s="80">
        <f>IF($I424&gt;0,MAX(0,$G424*SIN(RADIANS('13_시나리오비교'!$B$13))*SIN(RADIANS('13_시나리오비교'!$C$13))+$H424*SIN(RADIANS('13_시나리오비교'!$B$13))*COS(RADIANS('13_시나리오비교'!$C$13))+$I424*COS(RADIANS('13_시나리오비교'!$B$13))),0)</f>
        <v/>
      </c>
      <c r="Y424" s="80">
        <f>IF($I424&gt;0,MAX(0,$G424*SIN(RADIANS('13_시나리오비교'!$B$14))*SIN(RADIANS('13_시나리오비교'!$C$14))+$H424*SIN(RADIANS('13_시나리오비교'!$B$14))*COS(RADIANS('13_시나리오비교'!$C$14))+$I424*COS(RADIANS('13_시나리오비교'!$B$14))),0)</f>
        <v/>
      </c>
    </row>
    <row r="425" hidden="1" outlineLevel="1">
      <c r="A425" s="79" t="n">
        <v>5</v>
      </c>
      <c r="B425" s="79" t="n">
        <v>21</v>
      </c>
      <c r="C425" s="80">
        <f>(B425-0.5)*'14_지역·상수'!$H$6</f>
        <v/>
      </c>
      <c r="D425" s="79" t="n">
        <v>135</v>
      </c>
      <c r="E425" s="80">
        <f>INDEX($C$4:$C$15,MATCH(A425,$A$4:$A$15,0))</f>
        <v/>
      </c>
      <c r="F425" s="80">
        <f>15*(C425-12)</f>
        <v/>
      </c>
      <c r="G425" s="80">
        <f>-COS(RADIANS(E425))*SIN(RADIANS(F425))</f>
        <v/>
      </c>
      <c r="H425" s="80">
        <f>COS(RADIANS('11_발전량_모델'!$B$17))*SIN(RADIANS(E425))-SIN(RADIANS('11_발전량_모델'!$B$17))*COS(RADIANS(E425))*COS(RADIANS(F425))</f>
        <v/>
      </c>
      <c r="I425" s="80">
        <f>SIN(RADIANS('11_발전량_모델'!$B$17))*SIN(RADIANS(E425))+COS(RADIANS('11_발전량_모델'!$B$17))*COS(RADIANS(E425))*COS(RADIANS(F425))</f>
        <v/>
      </c>
      <c r="J425" s="80">
        <f>SIN(RADIANS('11_발전량_모델'!$B$7))*SIN(RADIANS('11_발전량_모델'!$B$8))</f>
        <v/>
      </c>
      <c r="K425" s="80">
        <f>SIN(RADIANS('11_발전량_모델'!$B$7))*COS(RADIANS('11_발전량_모델'!$B$8))</f>
        <v/>
      </c>
      <c r="L425" s="80">
        <f>COS(RADIANS('11_발전량_모델'!$B$7))</f>
        <v/>
      </c>
      <c r="M425" s="80">
        <f>G425*J425+H425*K425+I425*L425</f>
        <v/>
      </c>
      <c r="N425" s="80">
        <f>MAX(0,I425)</f>
        <v/>
      </c>
      <c r="O425" s="80">
        <f>IF(I425&gt;0,MAX(0,M425),0)</f>
        <v/>
      </c>
      <c r="P425" s="80">
        <f>IF($I425&gt;0,MAX(0,$G425*SIN(RADIANS('13_시나리오비교'!$B$5))*SIN(RADIANS('13_시나리오비교'!$C$5))+$H425*SIN(RADIANS('13_시나리오비교'!$B$5))*COS(RADIANS('13_시나리오비교'!$C$5))+$I425*COS(RADIANS('13_시나리오비교'!$B$5))),0)</f>
        <v/>
      </c>
      <c r="Q425" s="80">
        <f>IF($I425&gt;0,MAX(0,$G425*SIN(RADIANS('13_시나리오비교'!$B$6))*SIN(RADIANS('13_시나리오비교'!$C$6))+$H425*SIN(RADIANS('13_시나리오비교'!$B$6))*COS(RADIANS('13_시나리오비교'!$C$6))+$I425*COS(RADIANS('13_시나리오비교'!$B$6))),0)</f>
        <v/>
      </c>
      <c r="R425" s="80">
        <f>IF($I425&gt;0,MAX(0,$G425*SIN(RADIANS('13_시나리오비교'!$B$7))*SIN(RADIANS('13_시나리오비교'!$C$7))+$H425*SIN(RADIANS('13_시나리오비교'!$B$7))*COS(RADIANS('13_시나리오비교'!$C$7))+$I425*COS(RADIANS('13_시나리오비교'!$B$7))),0)</f>
        <v/>
      </c>
      <c r="S425" s="80">
        <f>IF($I425&gt;0,MAX(0,$G425*SIN(RADIANS('13_시나리오비교'!$B$8))*SIN(RADIANS('13_시나리오비교'!$C$8))+$H425*SIN(RADIANS('13_시나리오비교'!$B$8))*COS(RADIANS('13_시나리오비교'!$C$8))+$I425*COS(RADIANS('13_시나리오비교'!$B$8))),0)</f>
        <v/>
      </c>
      <c r="T425" s="80">
        <f>IF($I425&gt;0,MAX(0,$G425*SIN(RADIANS('13_시나리오비교'!$B$9))*SIN(RADIANS('13_시나리오비교'!$C$9))+$H425*SIN(RADIANS('13_시나리오비교'!$B$9))*COS(RADIANS('13_시나리오비교'!$C$9))+$I425*COS(RADIANS('13_시나리오비교'!$B$9))),0)</f>
        <v/>
      </c>
      <c r="U425" s="80">
        <f>IF($I425&gt;0,MAX(0,$G425*SIN(RADIANS('13_시나리오비교'!$B$10))*SIN(RADIANS('13_시나리오비교'!$C$10))+$H425*SIN(RADIANS('13_시나리오비교'!$B$10))*COS(RADIANS('13_시나리오비교'!$C$10))+$I425*COS(RADIANS('13_시나리오비교'!$B$10))),0)</f>
        <v/>
      </c>
      <c r="V425" s="80">
        <f>IF($I425&gt;0,MAX(0,$G425*SIN(RADIANS('13_시나리오비교'!$B$11))*SIN(RADIANS('13_시나리오비교'!$C$11))+$H425*SIN(RADIANS('13_시나리오비교'!$B$11))*COS(RADIANS('13_시나리오비교'!$C$11))+$I425*COS(RADIANS('13_시나리오비교'!$B$11))),0)</f>
        <v/>
      </c>
      <c r="W425" s="80">
        <f>IF($I425&gt;0,MAX(0,$G425*SIN(RADIANS('13_시나리오비교'!$B$12))*SIN(RADIANS('13_시나리오비교'!$C$12))+$H425*SIN(RADIANS('13_시나리오비교'!$B$12))*COS(RADIANS('13_시나리오비교'!$C$12))+$I425*COS(RADIANS('13_시나리오비교'!$B$12))),0)</f>
        <v/>
      </c>
      <c r="X425" s="80">
        <f>IF($I425&gt;0,MAX(0,$G425*SIN(RADIANS('13_시나리오비교'!$B$13))*SIN(RADIANS('13_시나리오비교'!$C$13))+$H425*SIN(RADIANS('13_시나리오비교'!$B$13))*COS(RADIANS('13_시나리오비교'!$C$13))+$I425*COS(RADIANS('13_시나리오비교'!$B$13))),0)</f>
        <v/>
      </c>
      <c r="Y425" s="80">
        <f>IF($I425&gt;0,MAX(0,$G425*SIN(RADIANS('13_시나리오비교'!$B$14))*SIN(RADIANS('13_시나리오비교'!$C$14))+$H425*SIN(RADIANS('13_시나리오비교'!$B$14))*COS(RADIANS('13_시나리오비교'!$C$14))+$I425*COS(RADIANS('13_시나리오비교'!$B$14))),0)</f>
        <v/>
      </c>
    </row>
    <row r="426" hidden="1" outlineLevel="1">
      <c r="A426" s="79" t="n">
        <v>5</v>
      </c>
      <c r="B426" s="79" t="n">
        <v>22</v>
      </c>
      <c r="C426" s="80">
        <f>(B426-0.5)*'14_지역·상수'!$H$6</f>
        <v/>
      </c>
      <c r="D426" s="79" t="n">
        <v>135</v>
      </c>
      <c r="E426" s="80">
        <f>INDEX($C$4:$C$15,MATCH(A426,$A$4:$A$15,0))</f>
        <v/>
      </c>
      <c r="F426" s="80">
        <f>15*(C426-12)</f>
        <v/>
      </c>
      <c r="G426" s="80">
        <f>-COS(RADIANS(E426))*SIN(RADIANS(F426))</f>
        <v/>
      </c>
      <c r="H426" s="80">
        <f>COS(RADIANS('11_발전량_모델'!$B$17))*SIN(RADIANS(E426))-SIN(RADIANS('11_발전량_모델'!$B$17))*COS(RADIANS(E426))*COS(RADIANS(F426))</f>
        <v/>
      </c>
      <c r="I426" s="80">
        <f>SIN(RADIANS('11_발전량_모델'!$B$17))*SIN(RADIANS(E426))+COS(RADIANS('11_발전량_모델'!$B$17))*COS(RADIANS(E426))*COS(RADIANS(F426))</f>
        <v/>
      </c>
      <c r="J426" s="80">
        <f>SIN(RADIANS('11_발전량_모델'!$B$7))*SIN(RADIANS('11_발전량_모델'!$B$8))</f>
        <v/>
      </c>
      <c r="K426" s="80">
        <f>SIN(RADIANS('11_발전량_모델'!$B$7))*COS(RADIANS('11_발전량_모델'!$B$8))</f>
        <v/>
      </c>
      <c r="L426" s="80">
        <f>COS(RADIANS('11_발전량_모델'!$B$7))</f>
        <v/>
      </c>
      <c r="M426" s="80">
        <f>G426*J426+H426*K426+I426*L426</f>
        <v/>
      </c>
      <c r="N426" s="80">
        <f>MAX(0,I426)</f>
        <v/>
      </c>
      <c r="O426" s="80">
        <f>IF(I426&gt;0,MAX(0,M426),0)</f>
        <v/>
      </c>
      <c r="P426" s="80">
        <f>IF($I426&gt;0,MAX(0,$G426*SIN(RADIANS('13_시나리오비교'!$B$5))*SIN(RADIANS('13_시나리오비교'!$C$5))+$H426*SIN(RADIANS('13_시나리오비교'!$B$5))*COS(RADIANS('13_시나리오비교'!$C$5))+$I426*COS(RADIANS('13_시나리오비교'!$B$5))),0)</f>
        <v/>
      </c>
      <c r="Q426" s="80">
        <f>IF($I426&gt;0,MAX(0,$G426*SIN(RADIANS('13_시나리오비교'!$B$6))*SIN(RADIANS('13_시나리오비교'!$C$6))+$H426*SIN(RADIANS('13_시나리오비교'!$B$6))*COS(RADIANS('13_시나리오비교'!$C$6))+$I426*COS(RADIANS('13_시나리오비교'!$B$6))),0)</f>
        <v/>
      </c>
      <c r="R426" s="80">
        <f>IF($I426&gt;0,MAX(0,$G426*SIN(RADIANS('13_시나리오비교'!$B$7))*SIN(RADIANS('13_시나리오비교'!$C$7))+$H426*SIN(RADIANS('13_시나리오비교'!$B$7))*COS(RADIANS('13_시나리오비교'!$C$7))+$I426*COS(RADIANS('13_시나리오비교'!$B$7))),0)</f>
        <v/>
      </c>
      <c r="S426" s="80">
        <f>IF($I426&gt;0,MAX(0,$G426*SIN(RADIANS('13_시나리오비교'!$B$8))*SIN(RADIANS('13_시나리오비교'!$C$8))+$H426*SIN(RADIANS('13_시나리오비교'!$B$8))*COS(RADIANS('13_시나리오비교'!$C$8))+$I426*COS(RADIANS('13_시나리오비교'!$B$8))),0)</f>
        <v/>
      </c>
      <c r="T426" s="80">
        <f>IF($I426&gt;0,MAX(0,$G426*SIN(RADIANS('13_시나리오비교'!$B$9))*SIN(RADIANS('13_시나리오비교'!$C$9))+$H426*SIN(RADIANS('13_시나리오비교'!$B$9))*COS(RADIANS('13_시나리오비교'!$C$9))+$I426*COS(RADIANS('13_시나리오비교'!$B$9))),0)</f>
        <v/>
      </c>
      <c r="U426" s="80">
        <f>IF($I426&gt;0,MAX(0,$G426*SIN(RADIANS('13_시나리오비교'!$B$10))*SIN(RADIANS('13_시나리오비교'!$C$10))+$H426*SIN(RADIANS('13_시나리오비교'!$B$10))*COS(RADIANS('13_시나리오비교'!$C$10))+$I426*COS(RADIANS('13_시나리오비교'!$B$10))),0)</f>
        <v/>
      </c>
      <c r="V426" s="80">
        <f>IF($I426&gt;0,MAX(0,$G426*SIN(RADIANS('13_시나리오비교'!$B$11))*SIN(RADIANS('13_시나리오비교'!$C$11))+$H426*SIN(RADIANS('13_시나리오비교'!$B$11))*COS(RADIANS('13_시나리오비교'!$C$11))+$I426*COS(RADIANS('13_시나리오비교'!$B$11))),0)</f>
        <v/>
      </c>
      <c r="W426" s="80">
        <f>IF($I426&gt;0,MAX(0,$G426*SIN(RADIANS('13_시나리오비교'!$B$12))*SIN(RADIANS('13_시나리오비교'!$C$12))+$H426*SIN(RADIANS('13_시나리오비교'!$B$12))*COS(RADIANS('13_시나리오비교'!$C$12))+$I426*COS(RADIANS('13_시나리오비교'!$B$12))),0)</f>
        <v/>
      </c>
      <c r="X426" s="80">
        <f>IF($I426&gt;0,MAX(0,$G426*SIN(RADIANS('13_시나리오비교'!$B$13))*SIN(RADIANS('13_시나리오비교'!$C$13))+$H426*SIN(RADIANS('13_시나리오비교'!$B$13))*COS(RADIANS('13_시나리오비교'!$C$13))+$I426*COS(RADIANS('13_시나리오비교'!$B$13))),0)</f>
        <v/>
      </c>
      <c r="Y426" s="80">
        <f>IF($I426&gt;0,MAX(0,$G426*SIN(RADIANS('13_시나리오비교'!$B$14))*SIN(RADIANS('13_시나리오비교'!$C$14))+$H426*SIN(RADIANS('13_시나리오비교'!$B$14))*COS(RADIANS('13_시나리오비교'!$C$14))+$I426*COS(RADIANS('13_시나리오비교'!$B$14))),0)</f>
        <v/>
      </c>
    </row>
    <row r="427" hidden="1" outlineLevel="1">
      <c r="A427" s="79" t="n">
        <v>5</v>
      </c>
      <c r="B427" s="79" t="n">
        <v>23</v>
      </c>
      <c r="C427" s="80">
        <f>(B427-0.5)*'14_지역·상수'!$H$6</f>
        <v/>
      </c>
      <c r="D427" s="79" t="n">
        <v>135</v>
      </c>
      <c r="E427" s="80">
        <f>INDEX($C$4:$C$15,MATCH(A427,$A$4:$A$15,0))</f>
        <v/>
      </c>
      <c r="F427" s="80">
        <f>15*(C427-12)</f>
        <v/>
      </c>
      <c r="G427" s="80">
        <f>-COS(RADIANS(E427))*SIN(RADIANS(F427))</f>
        <v/>
      </c>
      <c r="H427" s="80">
        <f>COS(RADIANS('11_발전량_모델'!$B$17))*SIN(RADIANS(E427))-SIN(RADIANS('11_발전량_모델'!$B$17))*COS(RADIANS(E427))*COS(RADIANS(F427))</f>
        <v/>
      </c>
      <c r="I427" s="80">
        <f>SIN(RADIANS('11_발전량_모델'!$B$17))*SIN(RADIANS(E427))+COS(RADIANS('11_발전량_모델'!$B$17))*COS(RADIANS(E427))*COS(RADIANS(F427))</f>
        <v/>
      </c>
      <c r="J427" s="80">
        <f>SIN(RADIANS('11_발전량_모델'!$B$7))*SIN(RADIANS('11_발전량_모델'!$B$8))</f>
        <v/>
      </c>
      <c r="K427" s="80">
        <f>SIN(RADIANS('11_발전량_모델'!$B$7))*COS(RADIANS('11_발전량_모델'!$B$8))</f>
        <v/>
      </c>
      <c r="L427" s="80">
        <f>COS(RADIANS('11_발전량_모델'!$B$7))</f>
        <v/>
      </c>
      <c r="M427" s="80">
        <f>G427*J427+H427*K427+I427*L427</f>
        <v/>
      </c>
      <c r="N427" s="80">
        <f>MAX(0,I427)</f>
        <v/>
      </c>
      <c r="O427" s="80">
        <f>IF(I427&gt;0,MAX(0,M427),0)</f>
        <v/>
      </c>
      <c r="P427" s="80">
        <f>IF($I427&gt;0,MAX(0,$G427*SIN(RADIANS('13_시나리오비교'!$B$5))*SIN(RADIANS('13_시나리오비교'!$C$5))+$H427*SIN(RADIANS('13_시나리오비교'!$B$5))*COS(RADIANS('13_시나리오비교'!$C$5))+$I427*COS(RADIANS('13_시나리오비교'!$B$5))),0)</f>
        <v/>
      </c>
      <c r="Q427" s="80">
        <f>IF($I427&gt;0,MAX(0,$G427*SIN(RADIANS('13_시나리오비교'!$B$6))*SIN(RADIANS('13_시나리오비교'!$C$6))+$H427*SIN(RADIANS('13_시나리오비교'!$B$6))*COS(RADIANS('13_시나리오비교'!$C$6))+$I427*COS(RADIANS('13_시나리오비교'!$B$6))),0)</f>
        <v/>
      </c>
      <c r="R427" s="80">
        <f>IF($I427&gt;0,MAX(0,$G427*SIN(RADIANS('13_시나리오비교'!$B$7))*SIN(RADIANS('13_시나리오비교'!$C$7))+$H427*SIN(RADIANS('13_시나리오비교'!$B$7))*COS(RADIANS('13_시나리오비교'!$C$7))+$I427*COS(RADIANS('13_시나리오비교'!$B$7))),0)</f>
        <v/>
      </c>
      <c r="S427" s="80">
        <f>IF($I427&gt;0,MAX(0,$G427*SIN(RADIANS('13_시나리오비교'!$B$8))*SIN(RADIANS('13_시나리오비교'!$C$8))+$H427*SIN(RADIANS('13_시나리오비교'!$B$8))*COS(RADIANS('13_시나리오비교'!$C$8))+$I427*COS(RADIANS('13_시나리오비교'!$B$8))),0)</f>
        <v/>
      </c>
      <c r="T427" s="80">
        <f>IF($I427&gt;0,MAX(0,$G427*SIN(RADIANS('13_시나리오비교'!$B$9))*SIN(RADIANS('13_시나리오비교'!$C$9))+$H427*SIN(RADIANS('13_시나리오비교'!$B$9))*COS(RADIANS('13_시나리오비교'!$C$9))+$I427*COS(RADIANS('13_시나리오비교'!$B$9))),0)</f>
        <v/>
      </c>
      <c r="U427" s="80">
        <f>IF($I427&gt;0,MAX(0,$G427*SIN(RADIANS('13_시나리오비교'!$B$10))*SIN(RADIANS('13_시나리오비교'!$C$10))+$H427*SIN(RADIANS('13_시나리오비교'!$B$10))*COS(RADIANS('13_시나리오비교'!$C$10))+$I427*COS(RADIANS('13_시나리오비교'!$B$10))),0)</f>
        <v/>
      </c>
      <c r="V427" s="80">
        <f>IF($I427&gt;0,MAX(0,$G427*SIN(RADIANS('13_시나리오비교'!$B$11))*SIN(RADIANS('13_시나리오비교'!$C$11))+$H427*SIN(RADIANS('13_시나리오비교'!$B$11))*COS(RADIANS('13_시나리오비교'!$C$11))+$I427*COS(RADIANS('13_시나리오비교'!$B$11))),0)</f>
        <v/>
      </c>
      <c r="W427" s="80">
        <f>IF($I427&gt;0,MAX(0,$G427*SIN(RADIANS('13_시나리오비교'!$B$12))*SIN(RADIANS('13_시나리오비교'!$C$12))+$H427*SIN(RADIANS('13_시나리오비교'!$B$12))*COS(RADIANS('13_시나리오비교'!$C$12))+$I427*COS(RADIANS('13_시나리오비교'!$B$12))),0)</f>
        <v/>
      </c>
      <c r="X427" s="80">
        <f>IF($I427&gt;0,MAX(0,$G427*SIN(RADIANS('13_시나리오비교'!$B$13))*SIN(RADIANS('13_시나리오비교'!$C$13))+$H427*SIN(RADIANS('13_시나리오비교'!$B$13))*COS(RADIANS('13_시나리오비교'!$C$13))+$I427*COS(RADIANS('13_시나리오비교'!$B$13))),0)</f>
        <v/>
      </c>
      <c r="Y427" s="80">
        <f>IF($I427&gt;0,MAX(0,$G427*SIN(RADIANS('13_시나리오비교'!$B$14))*SIN(RADIANS('13_시나리오비교'!$C$14))+$H427*SIN(RADIANS('13_시나리오비교'!$B$14))*COS(RADIANS('13_시나리오비교'!$C$14))+$I427*COS(RADIANS('13_시나리오비교'!$B$14))),0)</f>
        <v/>
      </c>
    </row>
    <row r="428" hidden="1" outlineLevel="1">
      <c r="A428" s="79" t="n">
        <v>5</v>
      </c>
      <c r="B428" s="79" t="n">
        <v>24</v>
      </c>
      <c r="C428" s="80">
        <f>(B428-0.5)*'14_지역·상수'!$H$6</f>
        <v/>
      </c>
      <c r="D428" s="79" t="n">
        <v>135</v>
      </c>
      <c r="E428" s="80">
        <f>INDEX($C$4:$C$15,MATCH(A428,$A$4:$A$15,0))</f>
        <v/>
      </c>
      <c r="F428" s="80">
        <f>15*(C428-12)</f>
        <v/>
      </c>
      <c r="G428" s="80">
        <f>-COS(RADIANS(E428))*SIN(RADIANS(F428))</f>
        <v/>
      </c>
      <c r="H428" s="80">
        <f>COS(RADIANS('11_발전량_모델'!$B$17))*SIN(RADIANS(E428))-SIN(RADIANS('11_발전량_모델'!$B$17))*COS(RADIANS(E428))*COS(RADIANS(F428))</f>
        <v/>
      </c>
      <c r="I428" s="80">
        <f>SIN(RADIANS('11_발전량_모델'!$B$17))*SIN(RADIANS(E428))+COS(RADIANS('11_발전량_모델'!$B$17))*COS(RADIANS(E428))*COS(RADIANS(F428))</f>
        <v/>
      </c>
      <c r="J428" s="80">
        <f>SIN(RADIANS('11_발전량_모델'!$B$7))*SIN(RADIANS('11_발전량_모델'!$B$8))</f>
        <v/>
      </c>
      <c r="K428" s="80">
        <f>SIN(RADIANS('11_발전량_모델'!$B$7))*COS(RADIANS('11_발전량_모델'!$B$8))</f>
        <v/>
      </c>
      <c r="L428" s="80">
        <f>COS(RADIANS('11_발전량_모델'!$B$7))</f>
        <v/>
      </c>
      <c r="M428" s="80">
        <f>G428*J428+H428*K428+I428*L428</f>
        <v/>
      </c>
      <c r="N428" s="80">
        <f>MAX(0,I428)</f>
        <v/>
      </c>
      <c r="O428" s="80">
        <f>IF(I428&gt;0,MAX(0,M428),0)</f>
        <v/>
      </c>
      <c r="P428" s="80">
        <f>IF($I428&gt;0,MAX(0,$G428*SIN(RADIANS('13_시나리오비교'!$B$5))*SIN(RADIANS('13_시나리오비교'!$C$5))+$H428*SIN(RADIANS('13_시나리오비교'!$B$5))*COS(RADIANS('13_시나리오비교'!$C$5))+$I428*COS(RADIANS('13_시나리오비교'!$B$5))),0)</f>
        <v/>
      </c>
      <c r="Q428" s="80">
        <f>IF($I428&gt;0,MAX(0,$G428*SIN(RADIANS('13_시나리오비교'!$B$6))*SIN(RADIANS('13_시나리오비교'!$C$6))+$H428*SIN(RADIANS('13_시나리오비교'!$B$6))*COS(RADIANS('13_시나리오비교'!$C$6))+$I428*COS(RADIANS('13_시나리오비교'!$B$6))),0)</f>
        <v/>
      </c>
      <c r="R428" s="80">
        <f>IF($I428&gt;0,MAX(0,$G428*SIN(RADIANS('13_시나리오비교'!$B$7))*SIN(RADIANS('13_시나리오비교'!$C$7))+$H428*SIN(RADIANS('13_시나리오비교'!$B$7))*COS(RADIANS('13_시나리오비교'!$C$7))+$I428*COS(RADIANS('13_시나리오비교'!$B$7))),0)</f>
        <v/>
      </c>
      <c r="S428" s="80">
        <f>IF($I428&gt;0,MAX(0,$G428*SIN(RADIANS('13_시나리오비교'!$B$8))*SIN(RADIANS('13_시나리오비교'!$C$8))+$H428*SIN(RADIANS('13_시나리오비교'!$B$8))*COS(RADIANS('13_시나리오비교'!$C$8))+$I428*COS(RADIANS('13_시나리오비교'!$B$8))),0)</f>
        <v/>
      </c>
      <c r="T428" s="80">
        <f>IF($I428&gt;0,MAX(0,$G428*SIN(RADIANS('13_시나리오비교'!$B$9))*SIN(RADIANS('13_시나리오비교'!$C$9))+$H428*SIN(RADIANS('13_시나리오비교'!$B$9))*COS(RADIANS('13_시나리오비교'!$C$9))+$I428*COS(RADIANS('13_시나리오비교'!$B$9))),0)</f>
        <v/>
      </c>
      <c r="U428" s="80">
        <f>IF($I428&gt;0,MAX(0,$G428*SIN(RADIANS('13_시나리오비교'!$B$10))*SIN(RADIANS('13_시나리오비교'!$C$10))+$H428*SIN(RADIANS('13_시나리오비교'!$B$10))*COS(RADIANS('13_시나리오비교'!$C$10))+$I428*COS(RADIANS('13_시나리오비교'!$B$10))),0)</f>
        <v/>
      </c>
      <c r="V428" s="80">
        <f>IF($I428&gt;0,MAX(0,$G428*SIN(RADIANS('13_시나리오비교'!$B$11))*SIN(RADIANS('13_시나리오비교'!$C$11))+$H428*SIN(RADIANS('13_시나리오비교'!$B$11))*COS(RADIANS('13_시나리오비교'!$C$11))+$I428*COS(RADIANS('13_시나리오비교'!$B$11))),0)</f>
        <v/>
      </c>
      <c r="W428" s="80">
        <f>IF($I428&gt;0,MAX(0,$G428*SIN(RADIANS('13_시나리오비교'!$B$12))*SIN(RADIANS('13_시나리오비교'!$C$12))+$H428*SIN(RADIANS('13_시나리오비교'!$B$12))*COS(RADIANS('13_시나리오비교'!$C$12))+$I428*COS(RADIANS('13_시나리오비교'!$B$12))),0)</f>
        <v/>
      </c>
      <c r="X428" s="80">
        <f>IF($I428&gt;0,MAX(0,$G428*SIN(RADIANS('13_시나리오비교'!$B$13))*SIN(RADIANS('13_시나리오비교'!$C$13))+$H428*SIN(RADIANS('13_시나리오비교'!$B$13))*COS(RADIANS('13_시나리오비교'!$C$13))+$I428*COS(RADIANS('13_시나리오비교'!$B$13))),0)</f>
        <v/>
      </c>
      <c r="Y428" s="80">
        <f>IF($I428&gt;0,MAX(0,$G428*SIN(RADIANS('13_시나리오비교'!$B$14))*SIN(RADIANS('13_시나리오비교'!$C$14))+$H428*SIN(RADIANS('13_시나리오비교'!$B$14))*COS(RADIANS('13_시나리오비교'!$C$14))+$I428*COS(RADIANS('13_시나리오비교'!$B$14))),0)</f>
        <v/>
      </c>
    </row>
    <row r="429" hidden="1" outlineLevel="1">
      <c r="A429" s="79" t="n">
        <v>5</v>
      </c>
      <c r="B429" s="79" t="n">
        <v>25</v>
      </c>
      <c r="C429" s="80">
        <f>(B429-0.5)*'14_지역·상수'!$H$6</f>
        <v/>
      </c>
      <c r="D429" s="79" t="n">
        <v>135</v>
      </c>
      <c r="E429" s="80">
        <f>INDEX($C$4:$C$15,MATCH(A429,$A$4:$A$15,0))</f>
        <v/>
      </c>
      <c r="F429" s="80">
        <f>15*(C429-12)</f>
        <v/>
      </c>
      <c r="G429" s="80">
        <f>-COS(RADIANS(E429))*SIN(RADIANS(F429))</f>
        <v/>
      </c>
      <c r="H429" s="80">
        <f>COS(RADIANS('11_발전량_모델'!$B$17))*SIN(RADIANS(E429))-SIN(RADIANS('11_발전량_모델'!$B$17))*COS(RADIANS(E429))*COS(RADIANS(F429))</f>
        <v/>
      </c>
      <c r="I429" s="80">
        <f>SIN(RADIANS('11_발전량_모델'!$B$17))*SIN(RADIANS(E429))+COS(RADIANS('11_발전량_모델'!$B$17))*COS(RADIANS(E429))*COS(RADIANS(F429))</f>
        <v/>
      </c>
      <c r="J429" s="80">
        <f>SIN(RADIANS('11_발전량_모델'!$B$7))*SIN(RADIANS('11_발전량_모델'!$B$8))</f>
        <v/>
      </c>
      <c r="K429" s="80">
        <f>SIN(RADIANS('11_발전량_모델'!$B$7))*COS(RADIANS('11_발전량_모델'!$B$8))</f>
        <v/>
      </c>
      <c r="L429" s="80">
        <f>COS(RADIANS('11_발전량_모델'!$B$7))</f>
        <v/>
      </c>
      <c r="M429" s="80">
        <f>G429*J429+H429*K429+I429*L429</f>
        <v/>
      </c>
      <c r="N429" s="80">
        <f>MAX(0,I429)</f>
        <v/>
      </c>
      <c r="O429" s="80">
        <f>IF(I429&gt;0,MAX(0,M429),0)</f>
        <v/>
      </c>
      <c r="P429" s="80">
        <f>IF($I429&gt;0,MAX(0,$G429*SIN(RADIANS('13_시나리오비교'!$B$5))*SIN(RADIANS('13_시나리오비교'!$C$5))+$H429*SIN(RADIANS('13_시나리오비교'!$B$5))*COS(RADIANS('13_시나리오비교'!$C$5))+$I429*COS(RADIANS('13_시나리오비교'!$B$5))),0)</f>
        <v/>
      </c>
      <c r="Q429" s="80">
        <f>IF($I429&gt;0,MAX(0,$G429*SIN(RADIANS('13_시나리오비교'!$B$6))*SIN(RADIANS('13_시나리오비교'!$C$6))+$H429*SIN(RADIANS('13_시나리오비교'!$B$6))*COS(RADIANS('13_시나리오비교'!$C$6))+$I429*COS(RADIANS('13_시나리오비교'!$B$6))),0)</f>
        <v/>
      </c>
      <c r="R429" s="80">
        <f>IF($I429&gt;0,MAX(0,$G429*SIN(RADIANS('13_시나리오비교'!$B$7))*SIN(RADIANS('13_시나리오비교'!$C$7))+$H429*SIN(RADIANS('13_시나리오비교'!$B$7))*COS(RADIANS('13_시나리오비교'!$C$7))+$I429*COS(RADIANS('13_시나리오비교'!$B$7))),0)</f>
        <v/>
      </c>
      <c r="S429" s="80">
        <f>IF($I429&gt;0,MAX(0,$G429*SIN(RADIANS('13_시나리오비교'!$B$8))*SIN(RADIANS('13_시나리오비교'!$C$8))+$H429*SIN(RADIANS('13_시나리오비교'!$B$8))*COS(RADIANS('13_시나리오비교'!$C$8))+$I429*COS(RADIANS('13_시나리오비교'!$B$8))),0)</f>
        <v/>
      </c>
      <c r="T429" s="80">
        <f>IF($I429&gt;0,MAX(0,$G429*SIN(RADIANS('13_시나리오비교'!$B$9))*SIN(RADIANS('13_시나리오비교'!$C$9))+$H429*SIN(RADIANS('13_시나리오비교'!$B$9))*COS(RADIANS('13_시나리오비교'!$C$9))+$I429*COS(RADIANS('13_시나리오비교'!$B$9))),0)</f>
        <v/>
      </c>
      <c r="U429" s="80">
        <f>IF($I429&gt;0,MAX(0,$G429*SIN(RADIANS('13_시나리오비교'!$B$10))*SIN(RADIANS('13_시나리오비교'!$C$10))+$H429*SIN(RADIANS('13_시나리오비교'!$B$10))*COS(RADIANS('13_시나리오비교'!$C$10))+$I429*COS(RADIANS('13_시나리오비교'!$B$10))),0)</f>
        <v/>
      </c>
      <c r="V429" s="80">
        <f>IF($I429&gt;0,MAX(0,$G429*SIN(RADIANS('13_시나리오비교'!$B$11))*SIN(RADIANS('13_시나리오비교'!$C$11))+$H429*SIN(RADIANS('13_시나리오비교'!$B$11))*COS(RADIANS('13_시나리오비교'!$C$11))+$I429*COS(RADIANS('13_시나리오비교'!$B$11))),0)</f>
        <v/>
      </c>
      <c r="W429" s="80">
        <f>IF($I429&gt;0,MAX(0,$G429*SIN(RADIANS('13_시나리오비교'!$B$12))*SIN(RADIANS('13_시나리오비교'!$C$12))+$H429*SIN(RADIANS('13_시나리오비교'!$B$12))*COS(RADIANS('13_시나리오비교'!$C$12))+$I429*COS(RADIANS('13_시나리오비교'!$B$12))),0)</f>
        <v/>
      </c>
      <c r="X429" s="80">
        <f>IF($I429&gt;0,MAX(0,$G429*SIN(RADIANS('13_시나리오비교'!$B$13))*SIN(RADIANS('13_시나리오비교'!$C$13))+$H429*SIN(RADIANS('13_시나리오비교'!$B$13))*COS(RADIANS('13_시나리오비교'!$C$13))+$I429*COS(RADIANS('13_시나리오비교'!$B$13))),0)</f>
        <v/>
      </c>
      <c r="Y429" s="80">
        <f>IF($I429&gt;0,MAX(0,$G429*SIN(RADIANS('13_시나리오비교'!$B$14))*SIN(RADIANS('13_시나리오비교'!$C$14))+$H429*SIN(RADIANS('13_시나리오비교'!$B$14))*COS(RADIANS('13_시나리오비교'!$C$14))+$I429*COS(RADIANS('13_시나리오비교'!$B$14))),0)</f>
        <v/>
      </c>
    </row>
    <row r="430" hidden="1" outlineLevel="1">
      <c r="A430" s="79" t="n">
        <v>5</v>
      </c>
      <c r="B430" s="79" t="n">
        <v>26</v>
      </c>
      <c r="C430" s="80">
        <f>(B430-0.5)*'14_지역·상수'!$H$6</f>
        <v/>
      </c>
      <c r="D430" s="79" t="n">
        <v>135</v>
      </c>
      <c r="E430" s="80">
        <f>INDEX($C$4:$C$15,MATCH(A430,$A$4:$A$15,0))</f>
        <v/>
      </c>
      <c r="F430" s="80">
        <f>15*(C430-12)</f>
        <v/>
      </c>
      <c r="G430" s="80">
        <f>-COS(RADIANS(E430))*SIN(RADIANS(F430))</f>
        <v/>
      </c>
      <c r="H430" s="80">
        <f>COS(RADIANS('11_발전량_모델'!$B$17))*SIN(RADIANS(E430))-SIN(RADIANS('11_발전량_모델'!$B$17))*COS(RADIANS(E430))*COS(RADIANS(F430))</f>
        <v/>
      </c>
      <c r="I430" s="80">
        <f>SIN(RADIANS('11_발전량_모델'!$B$17))*SIN(RADIANS(E430))+COS(RADIANS('11_발전량_모델'!$B$17))*COS(RADIANS(E430))*COS(RADIANS(F430))</f>
        <v/>
      </c>
      <c r="J430" s="80">
        <f>SIN(RADIANS('11_발전량_모델'!$B$7))*SIN(RADIANS('11_발전량_모델'!$B$8))</f>
        <v/>
      </c>
      <c r="K430" s="80">
        <f>SIN(RADIANS('11_발전량_모델'!$B$7))*COS(RADIANS('11_발전량_모델'!$B$8))</f>
        <v/>
      </c>
      <c r="L430" s="80">
        <f>COS(RADIANS('11_발전량_모델'!$B$7))</f>
        <v/>
      </c>
      <c r="M430" s="80">
        <f>G430*J430+H430*K430+I430*L430</f>
        <v/>
      </c>
      <c r="N430" s="80">
        <f>MAX(0,I430)</f>
        <v/>
      </c>
      <c r="O430" s="80">
        <f>IF(I430&gt;0,MAX(0,M430),0)</f>
        <v/>
      </c>
      <c r="P430" s="80">
        <f>IF($I430&gt;0,MAX(0,$G430*SIN(RADIANS('13_시나리오비교'!$B$5))*SIN(RADIANS('13_시나리오비교'!$C$5))+$H430*SIN(RADIANS('13_시나리오비교'!$B$5))*COS(RADIANS('13_시나리오비교'!$C$5))+$I430*COS(RADIANS('13_시나리오비교'!$B$5))),0)</f>
        <v/>
      </c>
      <c r="Q430" s="80">
        <f>IF($I430&gt;0,MAX(0,$G430*SIN(RADIANS('13_시나리오비교'!$B$6))*SIN(RADIANS('13_시나리오비교'!$C$6))+$H430*SIN(RADIANS('13_시나리오비교'!$B$6))*COS(RADIANS('13_시나리오비교'!$C$6))+$I430*COS(RADIANS('13_시나리오비교'!$B$6))),0)</f>
        <v/>
      </c>
      <c r="R430" s="80">
        <f>IF($I430&gt;0,MAX(0,$G430*SIN(RADIANS('13_시나리오비교'!$B$7))*SIN(RADIANS('13_시나리오비교'!$C$7))+$H430*SIN(RADIANS('13_시나리오비교'!$B$7))*COS(RADIANS('13_시나리오비교'!$C$7))+$I430*COS(RADIANS('13_시나리오비교'!$B$7))),0)</f>
        <v/>
      </c>
      <c r="S430" s="80">
        <f>IF($I430&gt;0,MAX(0,$G430*SIN(RADIANS('13_시나리오비교'!$B$8))*SIN(RADIANS('13_시나리오비교'!$C$8))+$H430*SIN(RADIANS('13_시나리오비교'!$B$8))*COS(RADIANS('13_시나리오비교'!$C$8))+$I430*COS(RADIANS('13_시나리오비교'!$B$8))),0)</f>
        <v/>
      </c>
      <c r="T430" s="80">
        <f>IF($I430&gt;0,MAX(0,$G430*SIN(RADIANS('13_시나리오비교'!$B$9))*SIN(RADIANS('13_시나리오비교'!$C$9))+$H430*SIN(RADIANS('13_시나리오비교'!$B$9))*COS(RADIANS('13_시나리오비교'!$C$9))+$I430*COS(RADIANS('13_시나리오비교'!$B$9))),0)</f>
        <v/>
      </c>
      <c r="U430" s="80">
        <f>IF($I430&gt;0,MAX(0,$G430*SIN(RADIANS('13_시나리오비교'!$B$10))*SIN(RADIANS('13_시나리오비교'!$C$10))+$H430*SIN(RADIANS('13_시나리오비교'!$B$10))*COS(RADIANS('13_시나리오비교'!$C$10))+$I430*COS(RADIANS('13_시나리오비교'!$B$10))),0)</f>
        <v/>
      </c>
      <c r="V430" s="80">
        <f>IF($I430&gt;0,MAX(0,$G430*SIN(RADIANS('13_시나리오비교'!$B$11))*SIN(RADIANS('13_시나리오비교'!$C$11))+$H430*SIN(RADIANS('13_시나리오비교'!$B$11))*COS(RADIANS('13_시나리오비교'!$C$11))+$I430*COS(RADIANS('13_시나리오비교'!$B$11))),0)</f>
        <v/>
      </c>
      <c r="W430" s="80">
        <f>IF($I430&gt;0,MAX(0,$G430*SIN(RADIANS('13_시나리오비교'!$B$12))*SIN(RADIANS('13_시나리오비교'!$C$12))+$H430*SIN(RADIANS('13_시나리오비교'!$B$12))*COS(RADIANS('13_시나리오비교'!$C$12))+$I430*COS(RADIANS('13_시나리오비교'!$B$12))),0)</f>
        <v/>
      </c>
      <c r="X430" s="80">
        <f>IF($I430&gt;0,MAX(0,$G430*SIN(RADIANS('13_시나리오비교'!$B$13))*SIN(RADIANS('13_시나리오비교'!$C$13))+$H430*SIN(RADIANS('13_시나리오비교'!$B$13))*COS(RADIANS('13_시나리오비교'!$C$13))+$I430*COS(RADIANS('13_시나리오비교'!$B$13))),0)</f>
        <v/>
      </c>
      <c r="Y430" s="80">
        <f>IF($I430&gt;0,MAX(0,$G430*SIN(RADIANS('13_시나리오비교'!$B$14))*SIN(RADIANS('13_시나리오비교'!$C$14))+$H430*SIN(RADIANS('13_시나리오비교'!$B$14))*COS(RADIANS('13_시나리오비교'!$C$14))+$I430*COS(RADIANS('13_시나리오비교'!$B$14))),0)</f>
        <v/>
      </c>
    </row>
    <row r="431" hidden="1" outlineLevel="1">
      <c r="A431" s="79" t="n">
        <v>5</v>
      </c>
      <c r="B431" s="79" t="n">
        <v>27</v>
      </c>
      <c r="C431" s="80">
        <f>(B431-0.5)*'14_지역·상수'!$H$6</f>
        <v/>
      </c>
      <c r="D431" s="79" t="n">
        <v>135</v>
      </c>
      <c r="E431" s="80">
        <f>INDEX($C$4:$C$15,MATCH(A431,$A$4:$A$15,0))</f>
        <v/>
      </c>
      <c r="F431" s="80">
        <f>15*(C431-12)</f>
        <v/>
      </c>
      <c r="G431" s="80">
        <f>-COS(RADIANS(E431))*SIN(RADIANS(F431))</f>
        <v/>
      </c>
      <c r="H431" s="80">
        <f>COS(RADIANS('11_발전량_모델'!$B$17))*SIN(RADIANS(E431))-SIN(RADIANS('11_발전량_모델'!$B$17))*COS(RADIANS(E431))*COS(RADIANS(F431))</f>
        <v/>
      </c>
      <c r="I431" s="80">
        <f>SIN(RADIANS('11_발전량_모델'!$B$17))*SIN(RADIANS(E431))+COS(RADIANS('11_발전량_모델'!$B$17))*COS(RADIANS(E431))*COS(RADIANS(F431))</f>
        <v/>
      </c>
      <c r="J431" s="80">
        <f>SIN(RADIANS('11_발전량_모델'!$B$7))*SIN(RADIANS('11_발전량_모델'!$B$8))</f>
        <v/>
      </c>
      <c r="K431" s="80">
        <f>SIN(RADIANS('11_발전량_모델'!$B$7))*COS(RADIANS('11_발전량_모델'!$B$8))</f>
        <v/>
      </c>
      <c r="L431" s="80">
        <f>COS(RADIANS('11_발전량_모델'!$B$7))</f>
        <v/>
      </c>
      <c r="M431" s="80">
        <f>G431*J431+H431*K431+I431*L431</f>
        <v/>
      </c>
      <c r="N431" s="80">
        <f>MAX(0,I431)</f>
        <v/>
      </c>
      <c r="O431" s="80">
        <f>IF(I431&gt;0,MAX(0,M431),0)</f>
        <v/>
      </c>
      <c r="P431" s="80">
        <f>IF($I431&gt;0,MAX(0,$G431*SIN(RADIANS('13_시나리오비교'!$B$5))*SIN(RADIANS('13_시나리오비교'!$C$5))+$H431*SIN(RADIANS('13_시나리오비교'!$B$5))*COS(RADIANS('13_시나리오비교'!$C$5))+$I431*COS(RADIANS('13_시나리오비교'!$B$5))),0)</f>
        <v/>
      </c>
      <c r="Q431" s="80">
        <f>IF($I431&gt;0,MAX(0,$G431*SIN(RADIANS('13_시나리오비교'!$B$6))*SIN(RADIANS('13_시나리오비교'!$C$6))+$H431*SIN(RADIANS('13_시나리오비교'!$B$6))*COS(RADIANS('13_시나리오비교'!$C$6))+$I431*COS(RADIANS('13_시나리오비교'!$B$6))),0)</f>
        <v/>
      </c>
      <c r="R431" s="80">
        <f>IF($I431&gt;0,MAX(0,$G431*SIN(RADIANS('13_시나리오비교'!$B$7))*SIN(RADIANS('13_시나리오비교'!$C$7))+$H431*SIN(RADIANS('13_시나리오비교'!$B$7))*COS(RADIANS('13_시나리오비교'!$C$7))+$I431*COS(RADIANS('13_시나리오비교'!$B$7))),0)</f>
        <v/>
      </c>
      <c r="S431" s="80">
        <f>IF($I431&gt;0,MAX(0,$G431*SIN(RADIANS('13_시나리오비교'!$B$8))*SIN(RADIANS('13_시나리오비교'!$C$8))+$H431*SIN(RADIANS('13_시나리오비교'!$B$8))*COS(RADIANS('13_시나리오비교'!$C$8))+$I431*COS(RADIANS('13_시나리오비교'!$B$8))),0)</f>
        <v/>
      </c>
      <c r="T431" s="80">
        <f>IF($I431&gt;0,MAX(0,$G431*SIN(RADIANS('13_시나리오비교'!$B$9))*SIN(RADIANS('13_시나리오비교'!$C$9))+$H431*SIN(RADIANS('13_시나리오비교'!$B$9))*COS(RADIANS('13_시나리오비교'!$C$9))+$I431*COS(RADIANS('13_시나리오비교'!$B$9))),0)</f>
        <v/>
      </c>
      <c r="U431" s="80">
        <f>IF($I431&gt;0,MAX(0,$G431*SIN(RADIANS('13_시나리오비교'!$B$10))*SIN(RADIANS('13_시나리오비교'!$C$10))+$H431*SIN(RADIANS('13_시나리오비교'!$B$10))*COS(RADIANS('13_시나리오비교'!$C$10))+$I431*COS(RADIANS('13_시나리오비교'!$B$10))),0)</f>
        <v/>
      </c>
      <c r="V431" s="80">
        <f>IF($I431&gt;0,MAX(0,$G431*SIN(RADIANS('13_시나리오비교'!$B$11))*SIN(RADIANS('13_시나리오비교'!$C$11))+$H431*SIN(RADIANS('13_시나리오비교'!$B$11))*COS(RADIANS('13_시나리오비교'!$C$11))+$I431*COS(RADIANS('13_시나리오비교'!$B$11))),0)</f>
        <v/>
      </c>
      <c r="W431" s="80">
        <f>IF($I431&gt;0,MAX(0,$G431*SIN(RADIANS('13_시나리오비교'!$B$12))*SIN(RADIANS('13_시나리오비교'!$C$12))+$H431*SIN(RADIANS('13_시나리오비교'!$B$12))*COS(RADIANS('13_시나리오비교'!$C$12))+$I431*COS(RADIANS('13_시나리오비교'!$B$12))),0)</f>
        <v/>
      </c>
      <c r="X431" s="80">
        <f>IF($I431&gt;0,MAX(0,$G431*SIN(RADIANS('13_시나리오비교'!$B$13))*SIN(RADIANS('13_시나리오비교'!$C$13))+$H431*SIN(RADIANS('13_시나리오비교'!$B$13))*COS(RADIANS('13_시나리오비교'!$C$13))+$I431*COS(RADIANS('13_시나리오비교'!$B$13))),0)</f>
        <v/>
      </c>
      <c r="Y431" s="80">
        <f>IF($I431&gt;0,MAX(0,$G431*SIN(RADIANS('13_시나리오비교'!$B$14))*SIN(RADIANS('13_시나리오비교'!$C$14))+$H431*SIN(RADIANS('13_시나리오비교'!$B$14))*COS(RADIANS('13_시나리오비교'!$C$14))+$I431*COS(RADIANS('13_시나리오비교'!$B$14))),0)</f>
        <v/>
      </c>
    </row>
    <row r="432" hidden="1" outlineLevel="1">
      <c r="A432" s="79" t="n">
        <v>5</v>
      </c>
      <c r="B432" s="79" t="n">
        <v>28</v>
      </c>
      <c r="C432" s="80">
        <f>(B432-0.5)*'14_지역·상수'!$H$6</f>
        <v/>
      </c>
      <c r="D432" s="79" t="n">
        <v>135</v>
      </c>
      <c r="E432" s="80">
        <f>INDEX($C$4:$C$15,MATCH(A432,$A$4:$A$15,0))</f>
        <v/>
      </c>
      <c r="F432" s="80">
        <f>15*(C432-12)</f>
        <v/>
      </c>
      <c r="G432" s="80">
        <f>-COS(RADIANS(E432))*SIN(RADIANS(F432))</f>
        <v/>
      </c>
      <c r="H432" s="80">
        <f>COS(RADIANS('11_발전량_모델'!$B$17))*SIN(RADIANS(E432))-SIN(RADIANS('11_발전량_모델'!$B$17))*COS(RADIANS(E432))*COS(RADIANS(F432))</f>
        <v/>
      </c>
      <c r="I432" s="80">
        <f>SIN(RADIANS('11_발전량_모델'!$B$17))*SIN(RADIANS(E432))+COS(RADIANS('11_발전량_모델'!$B$17))*COS(RADIANS(E432))*COS(RADIANS(F432))</f>
        <v/>
      </c>
      <c r="J432" s="80">
        <f>SIN(RADIANS('11_발전량_모델'!$B$7))*SIN(RADIANS('11_발전량_모델'!$B$8))</f>
        <v/>
      </c>
      <c r="K432" s="80">
        <f>SIN(RADIANS('11_발전량_모델'!$B$7))*COS(RADIANS('11_발전량_모델'!$B$8))</f>
        <v/>
      </c>
      <c r="L432" s="80">
        <f>COS(RADIANS('11_발전량_모델'!$B$7))</f>
        <v/>
      </c>
      <c r="M432" s="80">
        <f>G432*J432+H432*K432+I432*L432</f>
        <v/>
      </c>
      <c r="N432" s="80">
        <f>MAX(0,I432)</f>
        <v/>
      </c>
      <c r="O432" s="80">
        <f>IF(I432&gt;0,MAX(0,M432),0)</f>
        <v/>
      </c>
      <c r="P432" s="80">
        <f>IF($I432&gt;0,MAX(0,$G432*SIN(RADIANS('13_시나리오비교'!$B$5))*SIN(RADIANS('13_시나리오비교'!$C$5))+$H432*SIN(RADIANS('13_시나리오비교'!$B$5))*COS(RADIANS('13_시나리오비교'!$C$5))+$I432*COS(RADIANS('13_시나리오비교'!$B$5))),0)</f>
        <v/>
      </c>
      <c r="Q432" s="80">
        <f>IF($I432&gt;0,MAX(0,$G432*SIN(RADIANS('13_시나리오비교'!$B$6))*SIN(RADIANS('13_시나리오비교'!$C$6))+$H432*SIN(RADIANS('13_시나리오비교'!$B$6))*COS(RADIANS('13_시나리오비교'!$C$6))+$I432*COS(RADIANS('13_시나리오비교'!$B$6))),0)</f>
        <v/>
      </c>
      <c r="R432" s="80">
        <f>IF($I432&gt;0,MAX(0,$G432*SIN(RADIANS('13_시나리오비교'!$B$7))*SIN(RADIANS('13_시나리오비교'!$C$7))+$H432*SIN(RADIANS('13_시나리오비교'!$B$7))*COS(RADIANS('13_시나리오비교'!$C$7))+$I432*COS(RADIANS('13_시나리오비교'!$B$7))),0)</f>
        <v/>
      </c>
      <c r="S432" s="80">
        <f>IF($I432&gt;0,MAX(0,$G432*SIN(RADIANS('13_시나리오비교'!$B$8))*SIN(RADIANS('13_시나리오비교'!$C$8))+$H432*SIN(RADIANS('13_시나리오비교'!$B$8))*COS(RADIANS('13_시나리오비교'!$C$8))+$I432*COS(RADIANS('13_시나리오비교'!$B$8))),0)</f>
        <v/>
      </c>
      <c r="T432" s="80">
        <f>IF($I432&gt;0,MAX(0,$G432*SIN(RADIANS('13_시나리오비교'!$B$9))*SIN(RADIANS('13_시나리오비교'!$C$9))+$H432*SIN(RADIANS('13_시나리오비교'!$B$9))*COS(RADIANS('13_시나리오비교'!$C$9))+$I432*COS(RADIANS('13_시나리오비교'!$B$9))),0)</f>
        <v/>
      </c>
      <c r="U432" s="80">
        <f>IF($I432&gt;0,MAX(0,$G432*SIN(RADIANS('13_시나리오비교'!$B$10))*SIN(RADIANS('13_시나리오비교'!$C$10))+$H432*SIN(RADIANS('13_시나리오비교'!$B$10))*COS(RADIANS('13_시나리오비교'!$C$10))+$I432*COS(RADIANS('13_시나리오비교'!$B$10))),0)</f>
        <v/>
      </c>
      <c r="V432" s="80">
        <f>IF($I432&gt;0,MAX(0,$G432*SIN(RADIANS('13_시나리오비교'!$B$11))*SIN(RADIANS('13_시나리오비교'!$C$11))+$H432*SIN(RADIANS('13_시나리오비교'!$B$11))*COS(RADIANS('13_시나리오비교'!$C$11))+$I432*COS(RADIANS('13_시나리오비교'!$B$11))),0)</f>
        <v/>
      </c>
      <c r="W432" s="80">
        <f>IF($I432&gt;0,MAX(0,$G432*SIN(RADIANS('13_시나리오비교'!$B$12))*SIN(RADIANS('13_시나리오비교'!$C$12))+$H432*SIN(RADIANS('13_시나리오비교'!$B$12))*COS(RADIANS('13_시나리오비교'!$C$12))+$I432*COS(RADIANS('13_시나리오비교'!$B$12))),0)</f>
        <v/>
      </c>
      <c r="X432" s="80">
        <f>IF($I432&gt;0,MAX(0,$G432*SIN(RADIANS('13_시나리오비교'!$B$13))*SIN(RADIANS('13_시나리오비교'!$C$13))+$H432*SIN(RADIANS('13_시나리오비교'!$B$13))*COS(RADIANS('13_시나리오비교'!$C$13))+$I432*COS(RADIANS('13_시나리오비교'!$B$13))),0)</f>
        <v/>
      </c>
      <c r="Y432" s="80">
        <f>IF($I432&gt;0,MAX(0,$G432*SIN(RADIANS('13_시나리오비교'!$B$14))*SIN(RADIANS('13_시나리오비교'!$C$14))+$H432*SIN(RADIANS('13_시나리오비교'!$B$14))*COS(RADIANS('13_시나리오비교'!$C$14))+$I432*COS(RADIANS('13_시나리오비교'!$B$14))),0)</f>
        <v/>
      </c>
    </row>
    <row r="433" hidden="1" outlineLevel="1">
      <c r="A433" s="79" t="n">
        <v>5</v>
      </c>
      <c r="B433" s="79" t="n">
        <v>29</v>
      </c>
      <c r="C433" s="80">
        <f>(B433-0.5)*'14_지역·상수'!$H$6</f>
        <v/>
      </c>
      <c r="D433" s="79" t="n">
        <v>135</v>
      </c>
      <c r="E433" s="80">
        <f>INDEX($C$4:$C$15,MATCH(A433,$A$4:$A$15,0))</f>
        <v/>
      </c>
      <c r="F433" s="80">
        <f>15*(C433-12)</f>
        <v/>
      </c>
      <c r="G433" s="80">
        <f>-COS(RADIANS(E433))*SIN(RADIANS(F433))</f>
        <v/>
      </c>
      <c r="H433" s="80">
        <f>COS(RADIANS('11_발전량_모델'!$B$17))*SIN(RADIANS(E433))-SIN(RADIANS('11_발전량_모델'!$B$17))*COS(RADIANS(E433))*COS(RADIANS(F433))</f>
        <v/>
      </c>
      <c r="I433" s="80">
        <f>SIN(RADIANS('11_발전량_모델'!$B$17))*SIN(RADIANS(E433))+COS(RADIANS('11_발전량_모델'!$B$17))*COS(RADIANS(E433))*COS(RADIANS(F433))</f>
        <v/>
      </c>
      <c r="J433" s="80">
        <f>SIN(RADIANS('11_발전량_모델'!$B$7))*SIN(RADIANS('11_발전량_모델'!$B$8))</f>
        <v/>
      </c>
      <c r="K433" s="80">
        <f>SIN(RADIANS('11_발전량_모델'!$B$7))*COS(RADIANS('11_발전량_모델'!$B$8))</f>
        <v/>
      </c>
      <c r="L433" s="80">
        <f>COS(RADIANS('11_발전량_모델'!$B$7))</f>
        <v/>
      </c>
      <c r="M433" s="80">
        <f>G433*J433+H433*K433+I433*L433</f>
        <v/>
      </c>
      <c r="N433" s="80">
        <f>MAX(0,I433)</f>
        <v/>
      </c>
      <c r="O433" s="80">
        <f>IF(I433&gt;0,MAX(0,M433),0)</f>
        <v/>
      </c>
      <c r="P433" s="80">
        <f>IF($I433&gt;0,MAX(0,$G433*SIN(RADIANS('13_시나리오비교'!$B$5))*SIN(RADIANS('13_시나리오비교'!$C$5))+$H433*SIN(RADIANS('13_시나리오비교'!$B$5))*COS(RADIANS('13_시나리오비교'!$C$5))+$I433*COS(RADIANS('13_시나리오비교'!$B$5))),0)</f>
        <v/>
      </c>
      <c r="Q433" s="80">
        <f>IF($I433&gt;0,MAX(0,$G433*SIN(RADIANS('13_시나리오비교'!$B$6))*SIN(RADIANS('13_시나리오비교'!$C$6))+$H433*SIN(RADIANS('13_시나리오비교'!$B$6))*COS(RADIANS('13_시나리오비교'!$C$6))+$I433*COS(RADIANS('13_시나리오비교'!$B$6))),0)</f>
        <v/>
      </c>
      <c r="R433" s="80">
        <f>IF($I433&gt;0,MAX(0,$G433*SIN(RADIANS('13_시나리오비교'!$B$7))*SIN(RADIANS('13_시나리오비교'!$C$7))+$H433*SIN(RADIANS('13_시나리오비교'!$B$7))*COS(RADIANS('13_시나리오비교'!$C$7))+$I433*COS(RADIANS('13_시나리오비교'!$B$7))),0)</f>
        <v/>
      </c>
      <c r="S433" s="80">
        <f>IF($I433&gt;0,MAX(0,$G433*SIN(RADIANS('13_시나리오비교'!$B$8))*SIN(RADIANS('13_시나리오비교'!$C$8))+$H433*SIN(RADIANS('13_시나리오비교'!$B$8))*COS(RADIANS('13_시나리오비교'!$C$8))+$I433*COS(RADIANS('13_시나리오비교'!$B$8))),0)</f>
        <v/>
      </c>
      <c r="T433" s="80">
        <f>IF($I433&gt;0,MAX(0,$G433*SIN(RADIANS('13_시나리오비교'!$B$9))*SIN(RADIANS('13_시나리오비교'!$C$9))+$H433*SIN(RADIANS('13_시나리오비교'!$B$9))*COS(RADIANS('13_시나리오비교'!$C$9))+$I433*COS(RADIANS('13_시나리오비교'!$B$9))),0)</f>
        <v/>
      </c>
      <c r="U433" s="80">
        <f>IF($I433&gt;0,MAX(0,$G433*SIN(RADIANS('13_시나리오비교'!$B$10))*SIN(RADIANS('13_시나리오비교'!$C$10))+$H433*SIN(RADIANS('13_시나리오비교'!$B$10))*COS(RADIANS('13_시나리오비교'!$C$10))+$I433*COS(RADIANS('13_시나리오비교'!$B$10))),0)</f>
        <v/>
      </c>
      <c r="V433" s="80">
        <f>IF($I433&gt;0,MAX(0,$G433*SIN(RADIANS('13_시나리오비교'!$B$11))*SIN(RADIANS('13_시나리오비교'!$C$11))+$H433*SIN(RADIANS('13_시나리오비교'!$B$11))*COS(RADIANS('13_시나리오비교'!$C$11))+$I433*COS(RADIANS('13_시나리오비교'!$B$11))),0)</f>
        <v/>
      </c>
      <c r="W433" s="80">
        <f>IF($I433&gt;0,MAX(0,$G433*SIN(RADIANS('13_시나리오비교'!$B$12))*SIN(RADIANS('13_시나리오비교'!$C$12))+$H433*SIN(RADIANS('13_시나리오비교'!$B$12))*COS(RADIANS('13_시나리오비교'!$C$12))+$I433*COS(RADIANS('13_시나리오비교'!$B$12))),0)</f>
        <v/>
      </c>
      <c r="X433" s="80">
        <f>IF($I433&gt;0,MAX(0,$G433*SIN(RADIANS('13_시나리오비교'!$B$13))*SIN(RADIANS('13_시나리오비교'!$C$13))+$H433*SIN(RADIANS('13_시나리오비교'!$B$13))*COS(RADIANS('13_시나리오비교'!$C$13))+$I433*COS(RADIANS('13_시나리오비교'!$B$13))),0)</f>
        <v/>
      </c>
      <c r="Y433" s="80">
        <f>IF($I433&gt;0,MAX(0,$G433*SIN(RADIANS('13_시나리오비교'!$B$14))*SIN(RADIANS('13_시나리오비교'!$C$14))+$H433*SIN(RADIANS('13_시나리오비교'!$B$14))*COS(RADIANS('13_시나리오비교'!$C$14))+$I433*COS(RADIANS('13_시나리오비교'!$B$14))),0)</f>
        <v/>
      </c>
    </row>
    <row r="434" hidden="1" outlineLevel="1">
      <c r="A434" s="79" t="n">
        <v>5</v>
      </c>
      <c r="B434" s="79" t="n">
        <v>30</v>
      </c>
      <c r="C434" s="80">
        <f>(B434-0.5)*'14_지역·상수'!$H$6</f>
        <v/>
      </c>
      <c r="D434" s="79" t="n">
        <v>135</v>
      </c>
      <c r="E434" s="80">
        <f>INDEX($C$4:$C$15,MATCH(A434,$A$4:$A$15,0))</f>
        <v/>
      </c>
      <c r="F434" s="80">
        <f>15*(C434-12)</f>
        <v/>
      </c>
      <c r="G434" s="80">
        <f>-COS(RADIANS(E434))*SIN(RADIANS(F434))</f>
        <v/>
      </c>
      <c r="H434" s="80">
        <f>COS(RADIANS('11_발전량_모델'!$B$17))*SIN(RADIANS(E434))-SIN(RADIANS('11_발전량_모델'!$B$17))*COS(RADIANS(E434))*COS(RADIANS(F434))</f>
        <v/>
      </c>
      <c r="I434" s="80">
        <f>SIN(RADIANS('11_발전량_모델'!$B$17))*SIN(RADIANS(E434))+COS(RADIANS('11_발전량_모델'!$B$17))*COS(RADIANS(E434))*COS(RADIANS(F434))</f>
        <v/>
      </c>
      <c r="J434" s="80">
        <f>SIN(RADIANS('11_발전량_모델'!$B$7))*SIN(RADIANS('11_발전량_모델'!$B$8))</f>
        <v/>
      </c>
      <c r="K434" s="80">
        <f>SIN(RADIANS('11_발전량_모델'!$B$7))*COS(RADIANS('11_발전량_모델'!$B$8))</f>
        <v/>
      </c>
      <c r="L434" s="80">
        <f>COS(RADIANS('11_발전량_모델'!$B$7))</f>
        <v/>
      </c>
      <c r="M434" s="80">
        <f>G434*J434+H434*K434+I434*L434</f>
        <v/>
      </c>
      <c r="N434" s="80">
        <f>MAX(0,I434)</f>
        <v/>
      </c>
      <c r="O434" s="80">
        <f>IF(I434&gt;0,MAX(0,M434),0)</f>
        <v/>
      </c>
      <c r="P434" s="80">
        <f>IF($I434&gt;0,MAX(0,$G434*SIN(RADIANS('13_시나리오비교'!$B$5))*SIN(RADIANS('13_시나리오비교'!$C$5))+$H434*SIN(RADIANS('13_시나리오비교'!$B$5))*COS(RADIANS('13_시나리오비교'!$C$5))+$I434*COS(RADIANS('13_시나리오비교'!$B$5))),0)</f>
        <v/>
      </c>
      <c r="Q434" s="80">
        <f>IF($I434&gt;0,MAX(0,$G434*SIN(RADIANS('13_시나리오비교'!$B$6))*SIN(RADIANS('13_시나리오비교'!$C$6))+$H434*SIN(RADIANS('13_시나리오비교'!$B$6))*COS(RADIANS('13_시나리오비교'!$C$6))+$I434*COS(RADIANS('13_시나리오비교'!$B$6))),0)</f>
        <v/>
      </c>
      <c r="R434" s="80">
        <f>IF($I434&gt;0,MAX(0,$G434*SIN(RADIANS('13_시나리오비교'!$B$7))*SIN(RADIANS('13_시나리오비교'!$C$7))+$H434*SIN(RADIANS('13_시나리오비교'!$B$7))*COS(RADIANS('13_시나리오비교'!$C$7))+$I434*COS(RADIANS('13_시나리오비교'!$B$7))),0)</f>
        <v/>
      </c>
      <c r="S434" s="80">
        <f>IF($I434&gt;0,MAX(0,$G434*SIN(RADIANS('13_시나리오비교'!$B$8))*SIN(RADIANS('13_시나리오비교'!$C$8))+$H434*SIN(RADIANS('13_시나리오비교'!$B$8))*COS(RADIANS('13_시나리오비교'!$C$8))+$I434*COS(RADIANS('13_시나리오비교'!$B$8))),0)</f>
        <v/>
      </c>
      <c r="T434" s="80">
        <f>IF($I434&gt;0,MAX(0,$G434*SIN(RADIANS('13_시나리오비교'!$B$9))*SIN(RADIANS('13_시나리오비교'!$C$9))+$H434*SIN(RADIANS('13_시나리오비교'!$B$9))*COS(RADIANS('13_시나리오비교'!$C$9))+$I434*COS(RADIANS('13_시나리오비교'!$B$9))),0)</f>
        <v/>
      </c>
      <c r="U434" s="80">
        <f>IF($I434&gt;0,MAX(0,$G434*SIN(RADIANS('13_시나리오비교'!$B$10))*SIN(RADIANS('13_시나리오비교'!$C$10))+$H434*SIN(RADIANS('13_시나리오비교'!$B$10))*COS(RADIANS('13_시나리오비교'!$C$10))+$I434*COS(RADIANS('13_시나리오비교'!$B$10))),0)</f>
        <v/>
      </c>
      <c r="V434" s="80">
        <f>IF($I434&gt;0,MAX(0,$G434*SIN(RADIANS('13_시나리오비교'!$B$11))*SIN(RADIANS('13_시나리오비교'!$C$11))+$H434*SIN(RADIANS('13_시나리오비교'!$B$11))*COS(RADIANS('13_시나리오비교'!$C$11))+$I434*COS(RADIANS('13_시나리오비교'!$B$11))),0)</f>
        <v/>
      </c>
      <c r="W434" s="80">
        <f>IF($I434&gt;0,MAX(0,$G434*SIN(RADIANS('13_시나리오비교'!$B$12))*SIN(RADIANS('13_시나리오비교'!$C$12))+$H434*SIN(RADIANS('13_시나리오비교'!$B$12))*COS(RADIANS('13_시나리오비교'!$C$12))+$I434*COS(RADIANS('13_시나리오비교'!$B$12))),0)</f>
        <v/>
      </c>
      <c r="X434" s="80">
        <f>IF($I434&gt;0,MAX(0,$G434*SIN(RADIANS('13_시나리오비교'!$B$13))*SIN(RADIANS('13_시나리오비교'!$C$13))+$H434*SIN(RADIANS('13_시나리오비교'!$B$13))*COS(RADIANS('13_시나리오비교'!$C$13))+$I434*COS(RADIANS('13_시나리오비교'!$B$13))),0)</f>
        <v/>
      </c>
      <c r="Y434" s="80">
        <f>IF($I434&gt;0,MAX(0,$G434*SIN(RADIANS('13_시나리오비교'!$B$14))*SIN(RADIANS('13_시나리오비교'!$C$14))+$H434*SIN(RADIANS('13_시나리오비교'!$B$14))*COS(RADIANS('13_시나리오비교'!$C$14))+$I434*COS(RADIANS('13_시나리오비교'!$B$14))),0)</f>
        <v/>
      </c>
    </row>
    <row r="435" hidden="1" outlineLevel="1">
      <c r="A435" s="79" t="n">
        <v>5</v>
      </c>
      <c r="B435" s="79" t="n">
        <v>31</v>
      </c>
      <c r="C435" s="80">
        <f>(B435-0.5)*'14_지역·상수'!$H$6</f>
        <v/>
      </c>
      <c r="D435" s="79" t="n">
        <v>135</v>
      </c>
      <c r="E435" s="80">
        <f>INDEX($C$4:$C$15,MATCH(A435,$A$4:$A$15,0))</f>
        <v/>
      </c>
      <c r="F435" s="80">
        <f>15*(C435-12)</f>
        <v/>
      </c>
      <c r="G435" s="80">
        <f>-COS(RADIANS(E435))*SIN(RADIANS(F435))</f>
        <v/>
      </c>
      <c r="H435" s="80">
        <f>COS(RADIANS('11_발전량_모델'!$B$17))*SIN(RADIANS(E435))-SIN(RADIANS('11_발전량_모델'!$B$17))*COS(RADIANS(E435))*COS(RADIANS(F435))</f>
        <v/>
      </c>
      <c r="I435" s="80">
        <f>SIN(RADIANS('11_발전량_모델'!$B$17))*SIN(RADIANS(E435))+COS(RADIANS('11_발전량_모델'!$B$17))*COS(RADIANS(E435))*COS(RADIANS(F435))</f>
        <v/>
      </c>
      <c r="J435" s="80">
        <f>SIN(RADIANS('11_발전량_모델'!$B$7))*SIN(RADIANS('11_발전량_모델'!$B$8))</f>
        <v/>
      </c>
      <c r="K435" s="80">
        <f>SIN(RADIANS('11_발전량_모델'!$B$7))*COS(RADIANS('11_발전량_모델'!$B$8))</f>
        <v/>
      </c>
      <c r="L435" s="80">
        <f>COS(RADIANS('11_발전량_모델'!$B$7))</f>
        <v/>
      </c>
      <c r="M435" s="80">
        <f>G435*J435+H435*K435+I435*L435</f>
        <v/>
      </c>
      <c r="N435" s="80">
        <f>MAX(0,I435)</f>
        <v/>
      </c>
      <c r="O435" s="80">
        <f>IF(I435&gt;0,MAX(0,M435),0)</f>
        <v/>
      </c>
      <c r="P435" s="80">
        <f>IF($I435&gt;0,MAX(0,$G435*SIN(RADIANS('13_시나리오비교'!$B$5))*SIN(RADIANS('13_시나리오비교'!$C$5))+$H435*SIN(RADIANS('13_시나리오비교'!$B$5))*COS(RADIANS('13_시나리오비교'!$C$5))+$I435*COS(RADIANS('13_시나리오비교'!$B$5))),0)</f>
        <v/>
      </c>
      <c r="Q435" s="80">
        <f>IF($I435&gt;0,MAX(0,$G435*SIN(RADIANS('13_시나리오비교'!$B$6))*SIN(RADIANS('13_시나리오비교'!$C$6))+$H435*SIN(RADIANS('13_시나리오비교'!$B$6))*COS(RADIANS('13_시나리오비교'!$C$6))+$I435*COS(RADIANS('13_시나리오비교'!$B$6))),0)</f>
        <v/>
      </c>
      <c r="R435" s="80">
        <f>IF($I435&gt;0,MAX(0,$G435*SIN(RADIANS('13_시나리오비교'!$B$7))*SIN(RADIANS('13_시나리오비교'!$C$7))+$H435*SIN(RADIANS('13_시나리오비교'!$B$7))*COS(RADIANS('13_시나리오비교'!$C$7))+$I435*COS(RADIANS('13_시나리오비교'!$B$7))),0)</f>
        <v/>
      </c>
      <c r="S435" s="80">
        <f>IF($I435&gt;0,MAX(0,$G435*SIN(RADIANS('13_시나리오비교'!$B$8))*SIN(RADIANS('13_시나리오비교'!$C$8))+$H435*SIN(RADIANS('13_시나리오비교'!$B$8))*COS(RADIANS('13_시나리오비교'!$C$8))+$I435*COS(RADIANS('13_시나리오비교'!$B$8))),0)</f>
        <v/>
      </c>
      <c r="T435" s="80">
        <f>IF($I435&gt;0,MAX(0,$G435*SIN(RADIANS('13_시나리오비교'!$B$9))*SIN(RADIANS('13_시나리오비교'!$C$9))+$H435*SIN(RADIANS('13_시나리오비교'!$B$9))*COS(RADIANS('13_시나리오비교'!$C$9))+$I435*COS(RADIANS('13_시나리오비교'!$B$9))),0)</f>
        <v/>
      </c>
      <c r="U435" s="80">
        <f>IF($I435&gt;0,MAX(0,$G435*SIN(RADIANS('13_시나리오비교'!$B$10))*SIN(RADIANS('13_시나리오비교'!$C$10))+$H435*SIN(RADIANS('13_시나리오비교'!$B$10))*COS(RADIANS('13_시나리오비교'!$C$10))+$I435*COS(RADIANS('13_시나리오비교'!$B$10))),0)</f>
        <v/>
      </c>
      <c r="V435" s="80">
        <f>IF($I435&gt;0,MAX(0,$G435*SIN(RADIANS('13_시나리오비교'!$B$11))*SIN(RADIANS('13_시나리오비교'!$C$11))+$H435*SIN(RADIANS('13_시나리오비교'!$B$11))*COS(RADIANS('13_시나리오비교'!$C$11))+$I435*COS(RADIANS('13_시나리오비교'!$B$11))),0)</f>
        <v/>
      </c>
      <c r="W435" s="80">
        <f>IF($I435&gt;0,MAX(0,$G435*SIN(RADIANS('13_시나리오비교'!$B$12))*SIN(RADIANS('13_시나리오비교'!$C$12))+$H435*SIN(RADIANS('13_시나리오비교'!$B$12))*COS(RADIANS('13_시나리오비교'!$C$12))+$I435*COS(RADIANS('13_시나리오비교'!$B$12))),0)</f>
        <v/>
      </c>
      <c r="X435" s="80">
        <f>IF($I435&gt;0,MAX(0,$G435*SIN(RADIANS('13_시나리오비교'!$B$13))*SIN(RADIANS('13_시나리오비교'!$C$13))+$H435*SIN(RADIANS('13_시나리오비교'!$B$13))*COS(RADIANS('13_시나리오비교'!$C$13))+$I435*COS(RADIANS('13_시나리오비교'!$B$13))),0)</f>
        <v/>
      </c>
      <c r="Y435" s="80">
        <f>IF($I435&gt;0,MAX(0,$G435*SIN(RADIANS('13_시나리오비교'!$B$14))*SIN(RADIANS('13_시나리오비교'!$C$14))+$H435*SIN(RADIANS('13_시나리오비교'!$B$14))*COS(RADIANS('13_시나리오비교'!$C$14))+$I435*COS(RADIANS('13_시나리오비교'!$B$14))),0)</f>
        <v/>
      </c>
    </row>
    <row r="436" hidden="1" outlineLevel="1">
      <c r="A436" s="79" t="n">
        <v>5</v>
      </c>
      <c r="B436" s="79" t="n">
        <v>32</v>
      </c>
      <c r="C436" s="80">
        <f>(B436-0.5)*'14_지역·상수'!$H$6</f>
        <v/>
      </c>
      <c r="D436" s="79" t="n">
        <v>135</v>
      </c>
      <c r="E436" s="80">
        <f>INDEX($C$4:$C$15,MATCH(A436,$A$4:$A$15,0))</f>
        <v/>
      </c>
      <c r="F436" s="80">
        <f>15*(C436-12)</f>
        <v/>
      </c>
      <c r="G436" s="80">
        <f>-COS(RADIANS(E436))*SIN(RADIANS(F436))</f>
        <v/>
      </c>
      <c r="H436" s="80">
        <f>COS(RADIANS('11_발전량_모델'!$B$17))*SIN(RADIANS(E436))-SIN(RADIANS('11_발전량_모델'!$B$17))*COS(RADIANS(E436))*COS(RADIANS(F436))</f>
        <v/>
      </c>
      <c r="I436" s="80">
        <f>SIN(RADIANS('11_발전량_모델'!$B$17))*SIN(RADIANS(E436))+COS(RADIANS('11_발전량_모델'!$B$17))*COS(RADIANS(E436))*COS(RADIANS(F436))</f>
        <v/>
      </c>
      <c r="J436" s="80">
        <f>SIN(RADIANS('11_발전량_모델'!$B$7))*SIN(RADIANS('11_발전량_모델'!$B$8))</f>
        <v/>
      </c>
      <c r="K436" s="80">
        <f>SIN(RADIANS('11_발전량_모델'!$B$7))*COS(RADIANS('11_발전량_모델'!$B$8))</f>
        <v/>
      </c>
      <c r="L436" s="80">
        <f>COS(RADIANS('11_발전량_모델'!$B$7))</f>
        <v/>
      </c>
      <c r="M436" s="80">
        <f>G436*J436+H436*K436+I436*L436</f>
        <v/>
      </c>
      <c r="N436" s="80">
        <f>MAX(0,I436)</f>
        <v/>
      </c>
      <c r="O436" s="80">
        <f>IF(I436&gt;0,MAX(0,M436),0)</f>
        <v/>
      </c>
      <c r="P436" s="80">
        <f>IF($I436&gt;0,MAX(0,$G436*SIN(RADIANS('13_시나리오비교'!$B$5))*SIN(RADIANS('13_시나리오비교'!$C$5))+$H436*SIN(RADIANS('13_시나리오비교'!$B$5))*COS(RADIANS('13_시나리오비교'!$C$5))+$I436*COS(RADIANS('13_시나리오비교'!$B$5))),0)</f>
        <v/>
      </c>
      <c r="Q436" s="80">
        <f>IF($I436&gt;0,MAX(0,$G436*SIN(RADIANS('13_시나리오비교'!$B$6))*SIN(RADIANS('13_시나리오비교'!$C$6))+$H436*SIN(RADIANS('13_시나리오비교'!$B$6))*COS(RADIANS('13_시나리오비교'!$C$6))+$I436*COS(RADIANS('13_시나리오비교'!$B$6))),0)</f>
        <v/>
      </c>
      <c r="R436" s="80">
        <f>IF($I436&gt;0,MAX(0,$G436*SIN(RADIANS('13_시나리오비교'!$B$7))*SIN(RADIANS('13_시나리오비교'!$C$7))+$H436*SIN(RADIANS('13_시나리오비교'!$B$7))*COS(RADIANS('13_시나리오비교'!$C$7))+$I436*COS(RADIANS('13_시나리오비교'!$B$7))),0)</f>
        <v/>
      </c>
      <c r="S436" s="80">
        <f>IF($I436&gt;0,MAX(0,$G436*SIN(RADIANS('13_시나리오비교'!$B$8))*SIN(RADIANS('13_시나리오비교'!$C$8))+$H436*SIN(RADIANS('13_시나리오비교'!$B$8))*COS(RADIANS('13_시나리오비교'!$C$8))+$I436*COS(RADIANS('13_시나리오비교'!$B$8))),0)</f>
        <v/>
      </c>
      <c r="T436" s="80">
        <f>IF($I436&gt;0,MAX(0,$G436*SIN(RADIANS('13_시나리오비교'!$B$9))*SIN(RADIANS('13_시나리오비교'!$C$9))+$H436*SIN(RADIANS('13_시나리오비교'!$B$9))*COS(RADIANS('13_시나리오비교'!$C$9))+$I436*COS(RADIANS('13_시나리오비교'!$B$9))),0)</f>
        <v/>
      </c>
      <c r="U436" s="80">
        <f>IF($I436&gt;0,MAX(0,$G436*SIN(RADIANS('13_시나리오비교'!$B$10))*SIN(RADIANS('13_시나리오비교'!$C$10))+$H436*SIN(RADIANS('13_시나리오비교'!$B$10))*COS(RADIANS('13_시나리오비교'!$C$10))+$I436*COS(RADIANS('13_시나리오비교'!$B$10))),0)</f>
        <v/>
      </c>
      <c r="V436" s="80">
        <f>IF($I436&gt;0,MAX(0,$G436*SIN(RADIANS('13_시나리오비교'!$B$11))*SIN(RADIANS('13_시나리오비교'!$C$11))+$H436*SIN(RADIANS('13_시나리오비교'!$B$11))*COS(RADIANS('13_시나리오비교'!$C$11))+$I436*COS(RADIANS('13_시나리오비교'!$B$11))),0)</f>
        <v/>
      </c>
      <c r="W436" s="80">
        <f>IF($I436&gt;0,MAX(0,$G436*SIN(RADIANS('13_시나리오비교'!$B$12))*SIN(RADIANS('13_시나리오비교'!$C$12))+$H436*SIN(RADIANS('13_시나리오비교'!$B$12))*COS(RADIANS('13_시나리오비교'!$C$12))+$I436*COS(RADIANS('13_시나리오비교'!$B$12))),0)</f>
        <v/>
      </c>
      <c r="X436" s="80">
        <f>IF($I436&gt;0,MAX(0,$G436*SIN(RADIANS('13_시나리오비교'!$B$13))*SIN(RADIANS('13_시나리오비교'!$C$13))+$H436*SIN(RADIANS('13_시나리오비교'!$B$13))*COS(RADIANS('13_시나리오비교'!$C$13))+$I436*COS(RADIANS('13_시나리오비교'!$B$13))),0)</f>
        <v/>
      </c>
      <c r="Y436" s="80">
        <f>IF($I436&gt;0,MAX(0,$G436*SIN(RADIANS('13_시나리오비교'!$B$14))*SIN(RADIANS('13_시나리오비교'!$C$14))+$H436*SIN(RADIANS('13_시나리오비교'!$B$14))*COS(RADIANS('13_시나리오비교'!$C$14))+$I436*COS(RADIANS('13_시나리오비교'!$B$14))),0)</f>
        <v/>
      </c>
    </row>
    <row r="437" hidden="1" outlineLevel="1">
      <c r="A437" s="79" t="n">
        <v>5</v>
      </c>
      <c r="B437" s="79" t="n">
        <v>33</v>
      </c>
      <c r="C437" s="80">
        <f>(B437-0.5)*'14_지역·상수'!$H$6</f>
        <v/>
      </c>
      <c r="D437" s="79" t="n">
        <v>135</v>
      </c>
      <c r="E437" s="80">
        <f>INDEX($C$4:$C$15,MATCH(A437,$A$4:$A$15,0))</f>
        <v/>
      </c>
      <c r="F437" s="80">
        <f>15*(C437-12)</f>
        <v/>
      </c>
      <c r="G437" s="80">
        <f>-COS(RADIANS(E437))*SIN(RADIANS(F437))</f>
        <v/>
      </c>
      <c r="H437" s="80">
        <f>COS(RADIANS('11_발전량_모델'!$B$17))*SIN(RADIANS(E437))-SIN(RADIANS('11_발전량_모델'!$B$17))*COS(RADIANS(E437))*COS(RADIANS(F437))</f>
        <v/>
      </c>
      <c r="I437" s="80">
        <f>SIN(RADIANS('11_발전량_모델'!$B$17))*SIN(RADIANS(E437))+COS(RADIANS('11_발전량_모델'!$B$17))*COS(RADIANS(E437))*COS(RADIANS(F437))</f>
        <v/>
      </c>
      <c r="J437" s="80">
        <f>SIN(RADIANS('11_발전량_모델'!$B$7))*SIN(RADIANS('11_발전량_모델'!$B$8))</f>
        <v/>
      </c>
      <c r="K437" s="80">
        <f>SIN(RADIANS('11_발전량_모델'!$B$7))*COS(RADIANS('11_발전량_모델'!$B$8))</f>
        <v/>
      </c>
      <c r="L437" s="80">
        <f>COS(RADIANS('11_발전량_모델'!$B$7))</f>
        <v/>
      </c>
      <c r="M437" s="80">
        <f>G437*J437+H437*K437+I437*L437</f>
        <v/>
      </c>
      <c r="N437" s="80">
        <f>MAX(0,I437)</f>
        <v/>
      </c>
      <c r="O437" s="80">
        <f>IF(I437&gt;0,MAX(0,M437),0)</f>
        <v/>
      </c>
      <c r="P437" s="80">
        <f>IF($I437&gt;0,MAX(0,$G437*SIN(RADIANS('13_시나리오비교'!$B$5))*SIN(RADIANS('13_시나리오비교'!$C$5))+$H437*SIN(RADIANS('13_시나리오비교'!$B$5))*COS(RADIANS('13_시나리오비교'!$C$5))+$I437*COS(RADIANS('13_시나리오비교'!$B$5))),0)</f>
        <v/>
      </c>
      <c r="Q437" s="80">
        <f>IF($I437&gt;0,MAX(0,$G437*SIN(RADIANS('13_시나리오비교'!$B$6))*SIN(RADIANS('13_시나리오비교'!$C$6))+$H437*SIN(RADIANS('13_시나리오비교'!$B$6))*COS(RADIANS('13_시나리오비교'!$C$6))+$I437*COS(RADIANS('13_시나리오비교'!$B$6))),0)</f>
        <v/>
      </c>
      <c r="R437" s="80">
        <f>IF($I437&gt;0,MAX(0,$G437*SIN(RADIANS('13_시나리오비교'!$B$7))*SIN(RADIANS('13_시나리오비교'!$C$7))+$H437*SIN(RADIANS('13_시나리오비교'!$B$7))*COS(RADIANS('13_시나리오비교'!$C$7))+$I437*COS(RADIANS('13_시나리오비교'!$B$7))),0)</f>
        <v/>
      </c>
      <c r="S437" s="80">
        <f>IF($I437&gt;0,MAX(0,$G437*SIN(RADIANS('13_시나리오비교'!$B$8))*SIN(RADIANS('13_시나리오비교'!$C$8))+$H437*SIN(RADIANS('13_시나리오비교'!$B$8))*COS(RADIANS('13_시나리오비교'!$C$8))+$I437*COS(RADIANS('13_시나리오비교'!$B$8))),0)</f>
        <v/>
      </c>
      <c r="T437" s="80">
        <f>IF($I437&gt;0,MAX(0,$G437*SIN(RADIANS('13_시나리오비교'!$B$9))*SIN(RADIANS('13_시나리오비교'!$C$9))+$H437*SIN(RADIANS('13_시나리오비교'!$B$9))*COS(RADIANS('13_시나리오비교'!$C$9))+$I437*COS(RADIANS('13_시나리오비교'!$B$9))),0)</f>
        <v/>
      </c>
      <c r="U437" s="80">
        <f>IF($I437&gt;0,MAX(0,$G437*SIN(RADIANS('13_시나리오비교'!$B$10))*SIN(RADIANS('13_시나리오비교'!$C$10))+$H437*SIN(RADIANS('13_시나리오비교'!$B$10))*COS(RADIANS('13_시나리오비교'!$C$10))+$I437*COS(RADIANS('13_시나리오비교'!$B$10))),0)</f>
        <v/>
      </c>
      <c r="V437" s="80">
        <f>IF($I437&gt;0,MAX(0,$G437*SIN(RADIANS('13_시나리오비교'!$B$11))*SIN(RADIANS('13_시나리오비교'!$C$11))+$H437*SIN(RADIANS('13_시나리오비교'!$B$11))*COS(RADIANS('13_시나리오비교'!$C$11))+$I437*COS(RADIANS('13_시나리오비교'!$B$11))),0)</f>
        <v/>
      </c>
      <c r="W437" s="80">
        <f>IF($I437&gt;0,MAX(0,$G437*SIN(RADIANS('13_시나리오비교'!$B$12))*SIN(RADIANS('13_시나리오비교'!$C$12))+$H437*SIN(RADIANS('13_시나리오비교'!$B$12))*COS(RADIANS('13_시나리오비교'!$C$12))+$I437*COS(RADIANS('13_시나리오비교'!$B$12))),0)</f>
        <v/>
      </c>
      <c r="X437" s="80">
        <f>IF($I437&gt;0,MAX(0,$G437*SIN(RADIANS('13_시나리오비교'!$B$13))*SIN(RADIANS('13_시나리오비교'!$C$13))+$H437*SIN(RADIANS('13_시나리오비교'!$B$13))*COS(RADIANS('13_시나리오비교'!$C$13))+$I437*COS(RADIANS('13_시나리오비교'!$B$13))),0)</f>
        <v/>
      </c>
      <c r="Y437" s="80">
        <f>IF($I437&gt;0,MAX(0,$G437*SIN(RADIANS('13_시나리오비교'!$B$14))*SIN(RADIANS('13_시나리오비교'!$C$14))+$H437*SIN(RADIANS('13_시나리오비교'!$B$14))*COS(RADIANS('13_시나리오비교'!$C$14))+$I437*COS(RADIANS('13_시나리오비교'!$B$14))),0)</f>
        <v/>
      </c>
    </row>
    <row r="438" hidden="1" outlineLevel="1">
      <c r="A438" s="79" t="n">
        <v>5</v>
      </c>
      <c r="B438" s="79" t="n">
        <v>34</v>
      </c>
      <c r="C438" s="80">
        <f>(B438-0.5)*'14_지역·상수'!$H$6</f>
        <v/>
      </c>
      <c r="D438" s="79" t="n">
        <v>135</v>
      </c>
      <c r="E438" s="80">
        <f>INDEX($C$4:$C$15,MATCH(A438,$A$4:$A$15,0))</f>
        <v/>
      </c>
      <c r="F438" s="80">
        <f>15*(C438-12)</f>
        <v/>
      </c>
      <c r="G438" s="80">
        <f>-COS(RADIANS(E438))*SIN(RADIANS(F438))</f>
        <v/>
      </c>
      <c r="H438" s="80">
        <f>COS(RADIANS('11_발전량_모델'!$B$17))*SIN(RADIANS(E438))-SIN(RADIANS('11_발전량_모델'!$B$17))*COS(RADIANS(E438))*COS(RADIANS(F438))</f>
        <v/>
      </c>
      <c r="I438" s="80">
        <f>SIN(RADIANS('11_발전량_모델'!$B$17))*SIN(RADIANS(E438))+COS(RADIANS('11_발전량_모델'!$B$17))*COS(RADIANS(E438))*COS(RADIANS(F438))</f>
        <v/>
      </c>
      <c r="J438" s="80">
        <f>SIN(RADIANS('11_발전량_모델'!$B$7))*SIN(RADIANS('11_발전량_모델'!$B$8))</f>
        <v/>
      </c>
      <c r="K438" s="80">
        <f>SIN(RADIANS('11_발전량_모델'!$B$7))*COS(RADIANS('11_발전량_모델'!$B$8))</f>
        <v/>
      </c>
      <c r="L438" s="80">
        <f>COS(RADIANS('11_발전량_모델'!$B$7))</f>
        <v/>
      </c>
      <c r="M438" s="80">
        <f>G438*J438+H438*K438+I438*L438</f>
        <v/>
      </c>
      <c r="N438" s="80">
        <f>MAX(0,I438)</f>
        <v/>
      </c>
      <c r="O438" s="80">
        <f>IF(I438&gt;0,MAX(0,M438),0)</f>
        <v/>
      </c>
      <c r="P438" s="80">
        <f>IF($I438&gt;0,MAX(0,$G438*SIN(RADIANS('13_시나리오비교'!$B$5))*SIN(RADIANS('13_시나리오비교'!$C$5))+$H438*SIN(RADIANS('13_시나리오비교'!$B$5))*COS(RADIANS('13_시나리오비교'!$C$5))+$I438*COS(RADIANS('13_시나리오비교'!$B$5))),0)</f>
        <v/>
      </c>
      <c r="Q438" s="80">
        <f>IF($I438&gt;0,MAX(0,$G438*SIN(RADIANS('13_시나리오비교'!$B$6))*SIN(RADIANS('13_시나리오비교'!$C$6))+$H438*SIN(RADIANS('13_시나리오비교'!$B$6))*COS(RADIANS('13_시나리오비교'!$C$6))+$I438*COS(RADIANS('13_시나리오비교'!$B$6))),0)</f>
        <v/>
      </c>
      <c r="R438" s="80">
        <f>IF($I438&gt;0,MAX(0,$G438*SIN(RADIANS('13_시나리오비교'!$B$7))*SIN(RADIANS('13_시나리오비교'!$C$7))+$H438*SIN(RADIANS('13_시나리오비교'!$B$7))*COS(RADIANS('13_시나리오비교'!$C$7))+$I438*COS(RADIANS('13_시나리오비교'!$B$7))),0)</f>
        <v/>
      </c>
      <c r="S438" s="80">
        <f>IF($I438&gt;0,MAX(0,$G438*SIN(RADIANS('13_시나리오비교'!$B$8))*SIN(RADIANS('13_시나리오비교'!$C$8))+$H438*SIN(RADIANS('13_시나리오비교'!$B$8))*COS(RADIANS('13_시나리오비교'!$C$8))+$I438*COS(RADIANS('13_시나리오비교'!$B$8))),0)</f>
        <v/>
      </c>
      <c r="T438" s="80">
        <f>IF($I438&gt;0,MAX(0,$G438*SIN(RADIANS('13_시나리오비교'!$B$9))*SIN(RADIANS('13_시나리오비교'!$C$9))+$H438*SIN(RADIANS('13_시나리오비교'!$B$9))*COS(RADIANS('13_시나리오비교'!$C$9))+$I438*COS(RADIANS('13_시나리오비교'!$B$9))),0)</f>
        <v/>
      </c>
      <c r="U438" s="80">
        <f>IF($I438&gt;0,MAX(0,$G438*SIN(RADIANS('13_시나리오비교'!$B$10))*SIN(RADIANS('13_시나리오비교'!$C$10))+$H438*SIN(RADIANS('13_시나리오비교'!$B$10))*COS(RADIANS('13_시나리오비교'!$C$10))+$I438*COS(RADIANS('13_시나리오비교'!$B$10))),0)</f>
        <v/>
      </c>
      <c r="V438" s="80">
        <f>IF($I438&gt;0,MAX(0,$G438*SIN(RADIANS('13_시나리오비교'!$B$11))*SIN(RADIANS('13_시나리오비교'!$C$11))+$H438*SIN(RADIANS('13_시나리오비교'!$B$11))*COS(RADIANS('13_시나리오비교'!$C$11))+$I438*COS(RADIANS('13_시나리오비교'!$B$11))),0)</f>
        <v/>
      </c>
      <c r="W438" s="80">
        <f>IF($I438&gt;0,MAX(0,$G438*SIN(RADIANS('13_시나리오비교'!$B$12))*SIN(RADIANS('13_시나리오비교'!$C$12))+$H438*SIN(RADIANS('13_시나리오비교'!$B$12))*COS(RADIANS('13_시나리오비교'!$C$12))+$I438*COS(RADIANS('13_시나리오비교'!$B$12))),0)</f>
        <v/>
      </c>
      <c r="X438" s="80">
        <f>IF($I438&gt;0,MAX(0,$G438*SIN(RADIANS('13_시나리오비교'!$B$13))*SIN(RADIANS('13_시나리오비교'!$C$13))+$H438*SIN(RADIANS('13_시나리오비교'!$B$13))*COS(RADIANS('13_시나리오비교'!$C$13))+$I438*COS(RADIANS('13_시나리오비교'!$B$13))),0)</f>
        <v/>
      </c>
      <c r="Y438" s="80">
        <f>IF($I438&gt;0,MAX(0,$G438*SIN(RADIANS('13_시나리오비교'!$B$14))*SIN(RADIANS('13_시나리오비교'!$C$14))+$H438*SIN(RADIANS('13_시나리오비교'!$B$14))*COS(RADIANS('13_시나리오비교'!$C$14))+$I438*COS(RADIANS('13_시나리오비교'!$B$14))),0)</f>
        <v/>
      </c>
    </row>
    <row r="439" hidden="1" outlineLevel="1">
      <c r="A439" s="79" t="n">
        <v>5</v>
      </c>
      <c r="B439" s="79" t="n">
        <v>35</v>
      </c>
      <c r="C439" s="80">
        <f>(B439-0.5)*'14_지역·상수'!$H$6</f>
        <v/>
      </c>
      <c r="D439" s="79" t="n">
        <v>135</v>
      </c>
      <c r="E439" s="80">
        <f>INDEX($C$4:$C$15,MATCH(A439,$A$4:$A$15,0))</f>
        <v/>
      </c>
      <c r="F439" s="80">
        <f>15*(C439-12)</f>
        <v/>
      </c>
      <c r="G439" s="80">
        <f>-COS(RADIANS(E439))*SIN(RADIANS(F439))</f>
        <v/>
      </c>
      <c r="H439" s="80">
        <f>COS(RADIANS('11_발전량_모델'!$B$17))*SIN(RADIANS(E439))-SIN(RADIANS('11_발전량_모델'!$B$17))*COS(RADIANS(E439))*COS(RADIANS(F439))</f>
        <v/>
      </c>
      <c r="I439" s="80">
        <f>SIN(RADIANS('11_발전량_모델'!$B$17))*SIN(RADIANS(E439))+COS(RADIANS('11_발전량_모델'!$B$17))*COS(RADIANS(E439))*COS(RADIANS(F439))</f>
        <v/>
      </c>
      <c r="J439" s="80">
        <f>SIN(RADIANS('11_발전량_모델'!$B$7))*SIN(RADIANS('11_발전량_모델'!$B$8))</f>
        <v/>
      </c>
      <c r="K439" s="80">
        <f>SIN(RADIANS('11_발전량_모델'!$B$7))*COS(RADIANS('11_발전량_모델'!$B$8))</f>
        <v/>
      </c>
      <c r="L439" s="80">
        <f>COS(RADIANS('11_발전량_모델'!$B$7))</f>
        <v/>
      </c>
      <c r="M439" s="80">
        <f>G439*J439+H439*K439+I439*L439</f>
        <v/>
      </c>
      <c r="N439" s="80">
        <f>MAX(0,I439)</f>
        <v/>
      </c>
      <c r="O439" s="80">
        <f>IF(I439&gt;0,MAX(0,M439),0)</f>
        <v/>
      </c>
      <c r="P439" s="80">
        <f>IF($I439&gt;0,MAX(0,$G439*SIN(RADIANS('13_시나리오비교'!$B$5))*SIN(RADIANS('13_시나리오비교'!$C$5))+$H439*SIN(RADIANS('13_시나리오비교'!$B$5))*COS(RADIANS('13_시나리오비교'!$C$5))+$I439*COS(RADIANS('13_시나리오비교'!$B$5))),0)</f>
        <v/>
      </c>
      <c r="Q439" s="80">
        <f>IF($I439&gt;0,MAX(0,$G439*SIN(RADIANS('13_시나리오비교'!$B$6))*SIN(RADIANS('13_시나리오비교'!$C$6))+$H439*SIN(RADIANS('13_시나리오비교'!$B$6))*COS(RADIANS('13_시나리오비교'!$C$6))+$I439*COS(RADIANS('13_시나리오비교'!$B$6))),0)</f>
        <v/>
      </c>
      <c r="R439" s="80">
        <f>IF($I439&gt;0,MAX(0,$G439*SIN(RADIANS('13_시나리오비교'!$B$7))*SIN(RADIANS('13_시나리오비교'!$C$7))+$H439*SIN(RADIANS('13_시나리오비교'!$B$7))*COS(RADIANS('13_시나리오비교'!$C$7))+$I439*COS(RADIANS('13_시나리오비교'!$B$7))),0)</f>
        <v/>
      </c>
      <c r="S439" s="80">
        <f>IF($I439&gt;0,MAX(0,$G439*SIN(RADIANS('13_시나리오비교'!$B$8))*SIN(RADIANS('13_시나리오비교'!$C$8))+$H439*SIN(RADIANS('13_시나리오비교'!$B$8))*COS(RADIANS('13_시나리오비교'!$C$8))+$I439*COS(RADIANS('13_시나리오비교'!$B$8))),0)</f>
        <v/>
      </c>
      <c r="T439" s="80">
        <f>IF($I439&gt;0,MAX(0,$G439*SIN(RADIANS('13_시나리오비교'!$B$9))*SIN(RADIANS('13_시나리오비교'!$C$9))+$H439*SIN(RADIANS('13_시나리오비교'!$B$9))*COS(RADIANS('13_시나리오비교'!$C$9))+$I439*COS(RADIANS('13_시나리오비교'!$B$9))),0)</f>
        <v/>
      </c>
      <c r="U439" s="80">
        <f>IF($I439&gt;0,MAX(0,$G439*SIN(RADIANS('13_시나리오비교'!$B$10))*SIN(RADIANS('13_시나리오비교'!$C$10))+$H439*SIN(RADIANS('13_시나리오비교'!$B$10))*COS(RADIANS('13_시나리오비교'!$C$10))+$I439*COS(RADIANS('13_시나리오비교'!$B$10))),0)</f>
        <v/>
      </c>
      <c r="V439" s="80">
        <f>IF($I439&gt;0,MAX(0,$G439*SIN(RADIANS('13_시나리오비교'!$B$11))*SIN(RADIANS('13_시나리오비교'!$C$11))+$H439*SIN(RADIANS('13_시나리오비교'!$B$11))*COS(RADIANS('13_시나리오비교'!$C$11))+$I439*COS(RADIANS('13_시나리오비교'!$B$11))),0)</f>
        <v/>
      </c>
      <c r="W439" s="80">
        <f>IF($I439&gt;0,MAX(0,$G439*SIN(RADIANS('13_시나리오비교'!$B$12))*SIN(RADIANS('13_시나리오비교'!$C$12))+$H439*SIN(RADIANS('13_시나리오비교'!$B$12))*COS(RADIANS('13_시나리오비교'!$C$12))+$I439*COS(RADIANS('13_시나리오비교'!$B$12))),0)</f>
        <v/>
      </c>
      <c r="X439" s="80">
        <f>IF($I439&gt;0,MAX(0,$G439*SIN(RADIANS('13_시나리오비교'!$B$13))*SIN(RADIANS('13_시나리오비교'!$C$13))+$H439*SIN(RADIANS('13_시나리오비교'!$B$13))*COS(RADIANS('13_시나리오비교'!$C$13))+$I439*COS(RADIANS('13_시나리오비교'!$B$13))),0)</f>
        <v/>
      </c>
      <c r="Y439" s="80">
        <f>IF($I439&gt;0,MAX(0,$G439*SIN(RADIANS('13_시나리오비교'!$B$14))*SIN(RADIANS('13_시나리오비교'!$C$14))+$H439*SIN(RADIANS('13_시나리오비교'!$B$14))*COS(RADIANS('13_시나리오비교'!$C$14))+$I439*COS(RADIANS('13_시나리오비교'!$B$14))),0)</f>
        <v/>
      </c>
    </row>
    <row r="440" hidden="1" outlineLevel="1">
      <c r="A440" s="79" t="n">
        <v>5</v>
      </c>
      <c r="B440" s="79" t="n">
        <v>36</v>
      </c>
      <c r="C440" s="80">
        <f>(B440-0.5)*'14_지역·상수'!$H$6</f>
        <v/>
      </c>
      <c r="D440" s="79" t="n">
        <v>135</v>
      </c>
      <c r="E440" s="80">
        <f>INDEX($C$4:$C$15,MATCH(A440,$A$4:$A$15,0))</f>
        <v/>
      </c>
      <c r="F440" s="80">
        <f>15*(C440-12)</f>
        <v/>
      </c>
      <c r="G440" s="80">
        <f>-COS(RADIANS(E440))*SIN(RADIANS(F440))</f>
        <v/>
      </c>
      <c r="H440" s="80">
        <f>COS(RADIANS('11_발전량_모델'!$B$17))*SIN(RADIANS(E440))-SIN(RADIANS('11_발전량_모델'!$B$17))*COS(RADIANS(E440))*COS(RADIANS(F440))</f>
        <v/>
      </c>
      <c r="I440" s="80">
        <f>SIN(RADIANS('11_발전량_모델'!$B$17))*SIN(RADIANS(E440))+COS(RADIANS('11_발전량_모델'!$B$17))*COS(RADIANS(E440))*COS(RADIANS(F440))</f>
        <v/>
      </c>
      <c r="J440" s="80">
        <f>SIN(RADIANS('11_발전량_모델'!$B$7))*SIN(RADIANS('11_발전량_모델'!$B$8))</f>
        <v/>
      </c>
      <c r="K440" s="80">
        <f>SIN(RADIANS('11_발전량_모델'!$B$7))*COS(RADIANS('11_발전량_모델'!$B$8))</f>
        <v/>
      </c>
      <c r="L440" s="80">
        <f>COS(RADIANS('11_발전량_모델'!$B$7))</f>
        <v/>
      </c>
      <c r="M440" s="80">
        <f>G440*J440+H440*K440+I440*L440</f>
        <v/>
      </c>
      <c r="N440" s="80">
        <f>MAX(0,I440)</f>
        <v/>
      </c>
      <c r="O440" s="80">
        <f>IF(I440&gt;0,MAX(0,M440),0)</f>
        <v/>
      </c>
      <c r="P440" s="80">
        <f>IF($I440&gt;0,MAX(0,$G440*SIN(RADIANS('13_시나리오비교'!$B$5))*SIN(RADIANS('13_시나리오비교'!$C$5))+$H440*SIN(RADIANS('13_시나리오비교'!$B$5))*COS(RADIANS('13_시나리오비교'!$C$5))+$I440*COS(RADIANS('13_시나리오비교'!$B$5))),0)</f>
        <v/>
      </c>
      <c r="Q440" s="80">
        <f>IF($I440&gt;0,MAX(0,$G440*SIN(RADIANS('13_시나리오비교'!$B$6))*SIN(RADIANS('13_시나리오비교'!$C$6))+$H440*SIN(RADIANS('13_시나리오비교'!$B$6))*COS(RADIANS('13_시나리오비교'!$C$6))+$I440*COS(RADIANS('13_시나리오비교'!$B$6))),0)</f>
        <v/>
      </c>
      <c r="R440" s="80">
        <f>IF($I440&gt;0,MAX(0,$G440*SIN(RADIANS('13_시나리오비교'!$B$7))*SIN(RADIANS('13_시나리오비교'!$C$7))+$H440*SIN(RADIANS('13_시나리오비교'!$B$7))*COS(RADIANS('13_시나리오비교'!$C$7))+$I440*COS(RADIANS('13_시나리오비교'!$B$7))),0)</f>
        <v/>
      </c>
      <c r="S440" s="80">
        <f>IF($I440&gt;0,MAX(0,$G440*SIN(RADIANS('13_시나리오비교'!$B$8))*SIN(RADIANS('13_시나리오비교'!$C$8))+$H440*SIN(RADIANS('13_시나리오비교'!$B$8))*COS(RADIANS('13_시나리오비교'!$C$8))+$I440*COS(RADIANS('13_시나리오비교'!$B$8))),0)</f>
        <v/>
      </c>
      <c r="T440" s="80">
        <f>IF($I440&gt;0,MAX(0,$G440*SIN(RADIANS('13_시나리오비교'!$B$9))*SIN(RADIANS('13_시나리오비교'!$C$9))+$H440*SIN(RADIANS('13_시나리오비교'!$B$9))*COS(RADIANS('13_시나리오비교'!$C$9))+$I440*COS(RADIANS('13_시나리오비교'!$B$9))),0)</f>
        <v/>
      </c>
      <c r="U440" s="80">
        <f>IF($I440&gt;0,MAX(0,$G440*SIN(RADIANS('13_시나리오비교'!$B$10))*SIN(RADIANS('13_시나리오비교'!$C$10))+$H440*SIN(RADIANS('13_시나리오비교'!$B$10))*COS(RADIANS('13_시나리오비교'!$C$10))+$I440*COS(RADIANS('13_시나리오비교'!$B$10))),0)</f>
        <v/>
      </c>
      <c r="V440" s="80">
        <f>IF($I440&gt;0,MAX(0,$G440*SIN(RADIANS('13_시나리오비교'!$B$11))*SIN(RADIANS('13_시나리오비교'!$C$11))+$H440*SIN(RADIANS('13_시나리오비교'!$B$11))*COS(RADIANS('13_시나리오비교'!$C$11))+$I440*COS(RADIANS('13_시나리오비교'!$B$11))),0)</f>
        <v/>
      </c>
      <c r="W440" s="80">
        <f>IF($I440&gt;0,MAX(0,$G440*SIN(RADIANS('13_시나리오비교'!$B$12))*SIN(RADIANS('13_시나리오비교'!$C$12))+$H440*SIN(RADIANS('13_시나리오비교'!$B$12))*COS(RADIANS('13_시나리오비교'!$C$12))+$I440*COS(RADIANS('13_시나리오비교'!$B$12))),0)</f>
        <v/>
      </c>
      <c r="X440" s="80">
        <f>IF($I440&gt;0,MAX(0,$G440*SIN(RADIANS('13_시나리오비교'!$B$13))*SIN(RADIANS('13_시나리오비교'!$C$13))+$H440*SIN(RADIANS('13_시나리오비교'!$B$13))*COS(RADIANS('13_시나리오비교'!$C$13))+$I440*COS(RADIANS('13_시나리오비교'!$B$13))),0)</f>
        <v/>
      </c>
      <c r="Y440" s="80">
        <f>IF($I440&gt;0,MAX(0,$G440*SIN(RADIANS('13_시나리오비교'!$B$14))*SIN(RADIANS('13_시나리오비교'!$C$14))+$H440*SIN(RADIANS('13_시나리오비교'!$B$14))*COS(RADIANS('13_시나리오비교'!$C$14))+$I440*COS(RADIANS('13_시나리오비교'!$B$14))),0)</f>
        <v/>
      </c>
    </row>
    <row r="441" hidden="1" outlineLevel="1">
      <c r="A441" s="79" t="n">
        <v>5</v>
      </c>
      <c r="B441" s="79" t="n">
        <v>37</v>
      </c>
      <c r="C441" s="80">
        <f>(B441-0.5)*'14_지역·상수'!$H$6</f>
        <v/>
      </c>
      <c r="D441" s="79" t="n">
        <v>135</v>
      </c>
      <c r="E441" s="80">
        <f>INDEX($C$4:$C$15,MATCH(A441,$A$4:$A$15,0))</f>
        <v/>
      </c>
      <c r="F441" s="80">
        <f>15*(C441-12)</f>
        <v/>
      </c>
      <c r="G441" s="80">
        <f>-COS(RADIANS(E441))*SIN(RADIANS(F441))</f>
        <v/>
      </c>
      <c r="H441" s="80">
        <f>COS(RADIANS('11_발전량_모델'!$B$17))*SIN(RADIANS(E441))-SIN(RADIANS('11_발전량_모델'!$B$17))*COS(RADIANS(E441))*COS(RADIANS(F441))</f>
        <v/>
      </c>
      <c r="I441" s="80">
        <f>SIN(RADIANS('11_발전량_모델'!$B$17))*SIN(RADIANS(E441))+COS(RADIANS('11_발전량_모델'!$B$17))*COS(RADIANS(E441))*COS(RADIANS(F441))</f>
        <v/>
      </c>
      <c r="J441" s="80">
        <f>SIN(RADIANS('11_발전량_모델'!$B$7))*SIN(RADIANS('11_발전량_모델'!$B$8))</f>
        <v/>
      </c>
      <c r="K441" s="80">
        <f>SIN(RADIANS('11_발전량_모델'!$B$7))*COS(RADIANS('11_발전량_모델'!$B$8))</f>
        <v/>
      </c>
      <c r="L441" s="80">
        <f>COS(RADIANS('11_발전량_모델'!$B$7))</f>
        <v/>
      </c>
      <c r="M441" s="80">
        <f>G441*J441+H441*K441+I441*L441</f>
        <v/>
      </c>
      <c r="N441" s="80">
        <f>MAX(0,I441)</f>
        <v/>
      </c>
      <c r="O441" s="80">
        <f>IF(I441&gt;0,MAX(0,M441),0)</f>
        <v/>
      </c>
      <c r="P441" s="80">
        <f>IF($I441&gt;0,MAX(0,$G441*SIN(RADIANS('13_시나리오비교'!$B$5))*SIN(RADIANS('13_시나리오비교'!$C$5))+$H441*SIN(RADIANS('13_시나리오비교'!$B$5))*COS(RADIANS('13_시나리오비교'!$C$5))+$I441*COS(RADIANS('13_시나리오비교'!$B$5))),0)</f>
        <v/>
      </c>
      <c r="Q441" s="80">
        <f>IF($I441&gt;0,MAX(0,$G441*SIN(RADIANS('13_시나리오비교'!$B$6))*SIN(RADIANS('13_시나리오비교'!$C$6))+$H441*SIN(RADIANS('13_시나리오비교'!$B$6))*COS(RADIANS('13_시나리오비교'!$C$6))+$I441*COS(RADIANS('13_시나리오비교'!$B$6))),0)</f>
        <v/>
      </c>
      <c r="R441" s="80">
        <f>IF($I441&gt;0,MAX(0,$G441*SIN(RADIANS('13_시나리오비교'!$B$7))*SIN(RADIANS('13_시나리오비교'!$C$7))+$H441*SIN(RADIANS('13_시나리오비교'!$B$7))*COS(RADIANS('13_시나리오비교'!$C$7))+$I441*COS(RADIANS('13_시나리오비교'!$B$7))),0)</f>
        <v/>
      </c>
      <c r="S441" s="80">
        <f>IF($I441&gt;0,MAX(0,$G441*SIN(RADIANS('13_시나리오비교'!$B$8))*SIN(RADIANS('13_시나리오비교'!$C$8))+$H441*SIN(RADIANS('13_시나리오비교'!$B$8))*COS(RADIANS('13_시나리오비교'!$C$8))+$I441*COS(RADIANS('13_시나리오비교'!$B$8))),0)</f>
        <v/>
      </c>
      <c r="T441" s="80">
        <f>IF($I441&gt;0,MAX(0,$G441*SIN(RADIANS('13_시나리오비교'!$B$9))*SIN(RADIANS('13_시나리오비교'!$C$9))+$H441*SIN(RADIANS('13_시나리오비교'!$B$9))*COS(RADIANS('13_시나리오비교'!$C$9))+$I441*COS(RADIANS('13_시나리오비교'!$B$9))),0)</f>
        <v/>
      </c>
      <c r="U441" s="80">
        <f>IF($I441&gt;0,MAX(0,$G441*SIN(RADIANS('13_시나리오비교'!$B$10))*SIN(RADIANS('13_시나리오비교'!$C$10))+$H441*SIN(RADIANS('13_시나리오비교'!$B$10))*COS(RADIANS('13_시나리오비교'!$C$10))+$I441*COS(RADIANS('13_시나리오비교'!$B$10))),0)</f>
        <v/>
      </c>
      <c r="V441" s="80">
        <f>IF($I441&gt;0,MAX(0,$G441*SIN(RADIANS('13_시나리오비교'!$B$11))*SIN(RADIANS('13_시나리오비교'!$C$11))+$H441*SIN(RADIANS('13_시나리오비교'!$B$11))*COS(RADIANS('13_시나리오비교'!$C$11))+$I441*COS(RADIANS('13_시나리오비교'!$B$11))),0)</f>
        <v/>
      </c>
      <c r="W441" s="80">
        <f>IF($I441&gt;0,MAX(0,$G441*SIN(RADIANS('13_시나리오비교'!$B$12))*SIN(RADIANS('13_시나리오비교'!$C$12))+$H441*SIN(RADIANS('13_시나리오비교'!$B$12))*COS(RADIANS('13_시나리오비교'!$C$12))+$I441*COS(RADIANS('13_시나리오비교'!$B$12))),0)</f>
        <v/>
      </c>
      <c r="X441" s="80">
        <f>IF($I441&gt;0,MAX(0,$G441*SIN(RADIANS('13_시나리오비교'!$B$13))*SIN(RADIANS('13_시나리오비교'!$C$13))+$H441*SIN(RADIANS('13_시나리오비교'!$B$13))*COS(RADIANS('13_시나리오비교'!$C$13))+$I441*COS(RADIANS('13_시나리오비교'!$B$13))),0)</f>
        <v/>
      </c>
      <c r="Y441" s="80">
        <f>IF($I441&gt;0,MAX(0,$G441*SIN(RADIANS('13_시나리오비교'!$B$14))*SIN(RADIANS('13_시나리오비교'!$C$14))+$H441*SIN(RADIANS('13_시나리오비교'!$B$14))*COS(RADIANS('13_시나리오비교'!$C$14))+$I441*COS(RADIANS('13_시나리오비교'!$B$14))),0)</f>
        <v/>
      </c>
    </row>
    <row r="442" hidden="1" outlineLevel="1">
      <c r="A442" s="79" t="n">
        <v>5</v>
      </c>
      <c r="B442" s="79" t="n">
        <v>38</v>
      </c>
      <c r="C442" s="80">
        <f>(B442-0.5)*'14_지역·상수'!$H$6</f>
        <v/>
      </c>
      <c r="D442" s="79" t="n">
        <v>135</v>
      </c>
      <c r="E442" s="80">
        <f>INDEX($C$4:$C$15,MATCH(A442,$A$4:$A$15,0))</f>
        <v/>
      </c>
      <c r="F442" s="80">
        <f>15*(C442-12)</f>
        <v/>
      </c>
      <c r="G442" s="80">
        <f>-COS(RADIANS(E442))*SIN(RADIANS(F442))</f>
        <v/>
      </c>
      <c r="H442" s="80">
        <f>COS(RADIANS('11_발전량_모델'!$B$17))*SIN(RADIANS(E442))-SIN(RADIANS('11_발전량_모델'!$B$17))*COS(RADIANS(E442))*COS(RADIANS(F442))</f>
        <v/>
      </c>
      <c r="I442" s="80">
        <f>SIN(RADIANS('11_발전량_모델'!$B$17))*SIN(RADIANS(E442))+COS(RADIANS('11_발전량_모델'!$B$17))*COS(RADIANS(E442))*COS(RADIANS(F442))</f>
        <v/>
      </c>
      <c r="J442" s="80">
        <f>SIN(RADIANS('11_발전량_모델'!$B$7))*SIN(RADIANS('11_발전량_모델'!$B$8))</f>
        <v/>
      </c>
      <c r="K442" s="80">
        <f>SIN(RADIANS('11_발전량_모델'!$B$7))*COS(RADIANS('11_발전량_모델'!$B$8))</f>
        <v/>
      </c>
      <c r="L442" s="80">
        <f>COS(RADIANS('11_발전량_모델'!$B$7))</f>
        <v/>
      </c>
      <c r="M442" s="80">
        <f>G442*J442+H442*K442+I442*L442</f>
        <v/>
      </c>
      <c r="N442" s="80">
        <f>MAX(0,I442)</f>
        <v/>
      </c>
      <c r="O442" s="80">
        <f>IF(I442&gt;0,MAX(0,M442),0)</f>
        <v/>
      </c>
      <c r="P442" s="80">
        <f>IF($I442&gt;0,MAX(0,$G442*SIN(RADIANS('13_시나리오비교'!$B$5))*SIN(RADIANS('13_시나리오비교'!$C$5))+$H442*SIN(RADIANS('13_시나리오비교'!$B$5))*COS(RADIANS('13_시나리오비교'!$C$5))+$I442*COS(RADIANS('13_시나리오비교'!$B$5))),0)</f>
        <v/>
      </c>
      <c r="Q442" s="80">
        <f>IF($I442&gt;0,MAX(0,$G442*SIN(RADIANS('13_시나리오비교'!$B$6))*SIN(RADIANS('13_시나리오비교'!$C$6))+$H442*SIN(RADIANS('13_시나리오비교'!$B$6))*COS(RADIANS('13_시나리오비교'!$C$6))+$I442*COS(RADIANS('13_시나리오비교'!$B$6))),0)</f>
        <v/>
      </c>
      <c r="R442" s="80">
        <f>IF($I442&gt;0,MAX(0,$G442*SIN(RADIANS('13_시나리오비교'!$B$7))*SIN(RADIANS('13_시나리오비교'!$C$7))+$H442*SIN(RADIANS('13_시나리오비교'!$B$7))*COS(RADIANS('13_시나리오비교'!$C$7))+$I442*COS(RADIANS('13_시나리오비교'!$B$7))),0)</f>
        <v/>
      </c>
      <c r="S442" s="80">
        <f>IF($I442&gt;0,MAX(0,$G442*SIN(RADIANS('13_시나리오비교'!$B$8))*SIN(RADIANS('13_시나리오비교'!$C$8))+$H442*SIN(RADIANS('13_시나리오비교'!$B$8))*COS(RADIANS('13_시나리오비교'!$C$8))+$I442*COS(RADIANS('13_시나리오비교'!$B$8))),0)</f>
        <v/>
      </c>
      <c r="T442" s="80">
        <f>IF($I442&gt;0,MAX(0,$G442*SIN(RADIANS('13_시나리오비교'!$B$9))*SIN(RADIANS('13_시나리오비교'!$C$9))+$H442*SIN(RADIANS('13_시나리오비교'!$B$9))*COS(RADIANS('13_시나리오비교'!$C$9))+$I442*COS(RADIANS('13_시나리오비교'!$B$9))),0)</f>
        <v/>
      </c>
      <c r="U442" s="80">
        <f>IF($I442&gt;0,MAX(0,$G442*SIN(RADIANS('13_시나리오비교'!$B$10))*SIN(RADIANS('13_시나리오비교'!$C$10))+$H442*SIN(RADIANS('13_시나리오비교'!$B$10))*COS(RADIANS('13_시나리오비교'!$C$10))+$I442*COS(RADIANS('13_시나리오비교'!$B$10))),0)</f>
        <v/>
      </c>
      <c r="V442" s="80">
        <f>IF($I442&gt;0,MAX(0,$G442*SIN(RADIANS('13_시나리오비교'!$B$11))*SIN(RADIANS('13_시나리오비교'!$C$11))+$H442*SIN(RADIANS('13_시나리오비교'!$B$11))*COS(RADIANS('13_시나리오비교'!$C$11))+$I442*COS(RADIANS('13_시나리오비교'!$B$11))),0)</f>
        <v/>
      </c>
      <c r="W442" s="80">
        <f>IF($I442&gt;0,MAX(0,$G442*SIN(RADIANS('13_시나리오비교'!$B$12))*SIN(RADIANS('13_시나리오비교'!$C$12))+$H442*SIN(RADIANS('13_시나리오비교'!$B$12))*COS(RADIANS('13_시나리오비교'!$C$12))+$I442*COS(RADIANS('13_시나리오비교'!$B$12))),0)</f>
        <v/>
      </c>
      <c r="X442" s="80">
        <f>IF($I442&gt;0,MAX(0,$G442*SIN(RADIANS('13_시나리오비교'!$B$13))*SIN(RADIANS('13_시나리오비교'!$C$13))+$H442*SIN(RADIANS('13_시나리오비교'!$B$13))*COS(RADIANS('13_시나리오비교'!$C$13))+$I442*COS(RADIANS('13_시나리오비교'!$B$13))),0)</f>
        <v/>
      </c>
      <c r="Y442" s="80">
        <f>IF($I442&gt;0,MAX(0,$G442*SIN(RADIANS('13_시나리오비교'!$B$14))*SIN(RADIANS('13_시나리오비교'!$C$14))+$H442*SIN(RADIANS('13_시나리오비교'!$B$14))*COS(RADIANS('13_시나리오비교'!$C$14))+$I442*COS(RADIANS('13_시나리오비교'!$B$14))),0)</f>
        <v/>
      </c>
    </row>
    <row r="443" hidden="1" outlineLevel="1">
      <c r="A443" s="79" t="n">
        <v>5</v>
      </c>
      <c r="B443" s="79" t="n">
        <v>39</v>
      </c>
      <c r="C443" s="80">
        <f>(B443-0.5)*'14_지역·상수'!$H$6</f>
        <v/>
      </c>
      <c r="D443" s="79" t="n">
        <v>135</v>
      </c>
      <c r="E443" s="80">
        <f>INDEX($C$4:$C$15,MATCH(A443,$A$4:$A$15,0))</f>
        <v/>
      </c>
      <c r="F443" s="80">
        <f>15*(C443-12)</f>
        <v/>
      </c>
      <c r="G443" s="80">
        <f>-COS(RADIANS(E443))*SIN(RADIANS(F443))</f>
        <v/>
      </c>
      <c r="H443" s="80">
        <f>COS(RADIANS('11_발전량_모델'!$B$17))*SIN(RADIANS(E443))-SIN(RADIANS('11_발전량_모델'!$B$17))*COS(RADIANS(E443))*COS(RADIANS(F443))</f>
        <v/>
      </c>
      <c r="I443" s="80">
        <f>SIN(RADIANS('11_발전량_모델'!$B$17))*SIN(RADIANS(E443))+COS(RADIANS('11_발전량_모델'!$B$17))*COS(RADIANS(E443))*COS(RADIANS(F443))</f>
        <v/>
      </c>
      <c r="J443" s="80">
        <f>SIN(RADIANS('11_발전량_모델'!$B$7))*SIN(RADIANS('11_발전량_모델'!$B$8))</f>
        <v/>
      </c>
      <c r="K443" s="80">
        <f>SIN(RADIANS('11_발전량_모델'!$B$7))*COS(RADIANS('11_발전량_모델'!$B$8))</f>
        <v/>
      </c>
      <c r="L443" s="80">
        <f>COS(RADIANS('11_발전량_모델'!$B$7))</f>
        <v/>
      </c>
      <c r="M443" s="80">
        <f>G443*J443+H443*K443+I443*L443</f>
        <v/>
      </c>
      <c r="N443" s="80">
        <f>MAX(0,I443)</f>
        <v/>
      </c>
      <c r="O443" s="80">
        <f>IF(I443&gt;0,MAX(0,M443),0)</f>
        <v/>
      </c>
      <c r="P443" s="80">
        <f>IF($I443&gt;0,MAX(0,$G443*SIN(RADIANS('13_시나리오비교'!$B$5))*SIN(RADIANS('13_시나리오비교'!$C$5))+$H443*SIN(RADIANS('13_시나리오비교'!$B$5))*COS(RADIANS('13_시나리오비교'!$C$5))+$I443*COS(RADIANS('13_시나리오비교'!$B$5))),0)</f>
        <v/>
      </c>
      <c r="Q443" s="80">
        <f>IF($I443&gt;0,MAX(0,$G443*SIN(RADIANS('13_시나리오비교'!$B$6))*SIN(RADIANS('13_시나리오비교'!$C$6))+$H443*SIN(RADIANS('13_시나리오비교'!$B$6))*COS(RADIANS('13_시나리오비교'!$C$6))+$I443*COS(RADIANS('13_시나리오비교'!$B$6))),0)</f>
        <v/>
      </c>
      <c r="R443" s="80">
        <f>IF($I443&gt;0,MAX(0,$G443*SIN(RADIANS('13_시나리오비교'!$B$7))*SIN(RADIANS('13_시나리오비교'!$C$7))+$H443*SIN(RADIANS('13_시나리오비교'!$B$7))*COS(RADIANS('13_시나리오비교'!$C$7))+$I443*COS(RADIANS('13_시나리오비교'!$B$7))),0)</f>
        <v/>
      </c>
      <c r="S443" s="80">
        <f>IF($I443&gt;0,MAX(0,$G443*SIN(RADIANS('13_시나리오비교'!$B$8))*SIN(RADIANS('13_시나리오비교'!$C$8))+$H443*SIN(RADIANS('13_시나리오비교'!$B$8))*COS(RADIANS('13_시나리오비교'!$C$8))+$I443*COS(RADIANS('13_시나리오비교'!$B$8))),0)</f>
        <v/>
      </c>
      <c r="T443" s="80">
        <f>IF($I443&gt;0,MAX(0,$G443*SIN(RADIANS('13_시나리오비교'!$B$9))*SIN(RADIANS('13_시나리오비교'!$C$9))+$H443*SIN(RADIANS('13_시나리오비교'!$B$9))*COS(RADIANS('13_시나리오비교'!$C$9))+$I443*COS(RADIANS('13_시나리오비교'!$B$9))),0)</f>
        <v/>
      </c>
      <c r="U443" s="80">
        <f>IF($I443&gt;0,MAX(0,$G443*SIN(RADIANS('13_시나리오비교'!$B$10))*SIN(RADIANS('13_시나리오비교'!$C$10))+$H443*SIN(RADIANS('13_시나리오비교'!$B$10))*COS(RADIANS('13_시나리오비교'!$C$10))+$I443*COS(RADIANS('13_시나리오비교'!$B$10))),0)</f>
        <v/>
      </c>
      <c r="V443" s="80">
        <f>IF($I443&gt;0,MAX(0,$G443*SIN(RADIANS('13_시나리오비교'!$B$11))*SIN(RADIANS('13_시나리오비교'!$C$11))+$H443*SIN(RADIANS('13_시나리오비교'!$B$11))*COS(RADIANS('13_시나리오비교'!$C$11))+$I443*COS(RADIANS('13_시나리오비교'!$B$11))),0)</f>
        <v/>
      </c>
      <c r="W443" s="80">
        <f>IF($I443&gt;0,MAX(0,$G443*SIN(RADIANS('13_시나리오비교'!$B$12))*SIN(RADIANS('13_시나리오비교'!$C$12))+$H443*SIN(RADIANS('13_시나리오비교'!$B$12))*COS(RADIANS('13_시나리오비교'!$C$12))+$I443*COS(RADIANS('13_시나리오비교'!$B$12))),0)</f>
        <v/>
      </c>
      <c r="X443" s="80">
        <f>IF($I443&gt;0,MAX(0,$G443*SIN(RADIANS('13_시나리오비교'!$B$13))*SIN(RADIANS('13_시나리오비교'!$C$13))+$H443*SIN(RADIANS('13_시나리오비교'!$B$13))*COS(RADIANS('13_시나리오비교'!$C$13))+$I443*COS(RADIANS('13_시나리오비교'!$B$13))),0)</f>
        <v/>
      </c>
      <c r="Y443" s="80">
        <f>IF($I443&gt;0,MAX(0,$G443*SIN(RADIANS('13_시나리오비교'!$B$14))*SIN(RADIANS('13_시나리오비교'!$C$14))+$H443*SIN(RADIANS('13_시나리오비교'!$B$14))*COS(RADIANS('13_시나리오비교'!$C$14))+$I443*COS(RADIANS('13_시나리오비교'!$B$14))),0)</f>
        <v/>
      </c>
    </row>
    <row r="444" hidden="1" outlineLevel="1">
      <c r="A444" s="79" t="n">
        <v>5</v>
      </c>
      <c r="B444" s="79" t="n">
        <v>40</v>
      </c>
      <c r="C444" s="80">
        <f>(B444-0.5)*'14_지역·상수'!$H$6</f>
        <v/>
      </c>
      <c r="D444" s="79" t="n">
        <v>135</v>
      </c>
      <c r="E444" s="80">
        <f>INDEX($C$4:$C$15,MATCH(A444,$A$4:$A$15,0))</f>
        <v/>
      </c>
      <c r="F444" s="80">
        <f>15*(C444-12)</f>
        <v/>
      </c>
      <c r="G444" s="80">
        <f>-COS(RADIANS(E444))*SIN(RADIANS(F444))</f>
        <v/>
      </c>
      <c r="H444" s="80">
        <f>COS(RADIANS('11_발전량_모델'!$B$17))*SIN(RADIANS(E444))-SIN(RADIANS('11_발전량_모델'!$B$17))*COS(RADIANS(E444))*COS(RADIANS(F444))</f>
        <v/>
      </c>
      <c r="I444" s="80">
        <f>SIN(RADIANS('11_발전량_모델'!$B$17))*SIN(RADIANS(E444))+COS(RADIANS('11_발전량_모델'!$B$17))*COS(RADIANS(E444))*COS(RADIANS(F444))</f>
        <v/>
      </c>
      <c r="J444" s="80">
        <f>SIN(RADIANS('11_발전량_모델'!$B$7))*SIN(RADIANS('11_발전량_모델'!$B$8))</f>
        <v/>
      </c>
      <c r="K444" s="80">
        <f>SIN(RADIANS('11_발전량_모델'!$B$7))*COS(RADIANS('11_발전량_모델'!$B$8))</f>
        <v/>
      </c>
      <c r="L444" s="80">
        <f>COS(RADIANS('11_발전량_모델'!$B$7))</f>
        <v/>
      </c>
      <c r="M444" s="80">
        <f>G444*J444+H444*K444+I444*L444</f>
        <v/>
      </c>
      <c r="N444" s="80">
        <f>MAX(0,I444)</f>
        <v/>
      </c>
      <c r="O444" s="80">
        <f>IF(I444&gt;0,MAX(0,M444),0)</f>
        <v/>
      </c>
      <c r="P444" s="80">
        <f>IF($I444&gt;0,MAX(0,$G444*SIN(RADIANS('13_시나리오비교'!$B$5))*SIN(RADIANS('13_시나리오비교'!$C$5))+$H444*SIN(RADIANS('13_시나리오비교'!$B$5))*COS(RADIANS('13_시나리오비교'!$C$5))+$I444*COS(RADIANS('13_시나리오비교'!$B$5))),0)</f>
        <v/>
      </c>
      <c r="Q444" s="80">
        <f>IF($I444&gt;0,MAX(0,$G444*SIN(RADIANS('13_시나리오비교'!$B$6))*SIN(RADIANS('13_시나리오비교'!$C$6))+$H444*SIN(RADIANS('13_시나리오비교'!$B$6))*COS(RADIANS('13_시나리오비교'!$C$6))+$I444*COS(RADIANS('13_시나리오비교'!$B$6))),0)</f>
        <v/>
      </c>
      <c r="R444" s="80">
        <f>IF($I444&gt;0,MAX(0,$G444*SIN(RADIANS('13_시나리오비교'!$B$7))*SIN(RADIANS('13_시나리오비교'!$C$7))+$H444*SIN(RADIANS('13_시나리오비교'!$B$7))*COS(RADIANS('13_시나리오비교'!$C$7))+$I444*COS(RADIANS('13_시나리오비교'!$B$7))),0)</f>
        <v/>
      </c>
      <c r="S444" s="80">
        <f>IF($I444&gt;0,MAX(0,$G444*SIN(RADIANS('13_시나리오비교'!$B$8))*SIN(RADIANS('13_시나리오비교'!$C$8))+$H444*SIN(RADIANS('13_시나리오비교'!$B$8))*COS(RADIANS('13_시나리오비교'!$C$8))+$I444*COS(RADIANS('13_시나리오비교'!$B$8))),0)</f>
        <v/>
      </c>
      <c r="T444" s="80">
        <f>IF($I444&gt;0,MAX(0,$G444*SIN(RADIANS('13_시나리오비교'!$B$9))*SIN(RADIANS('13_시나리오비교'!$C$9))+$H444*SIN(RADIANS('13_시나리오비교'!$B$9))*COS(RADIANS('13_시나리오비교'!$C$9))+$I444*COS(RADIANS('13_시나리오비교'!$B$9))),0)</f>
        <v/>
      </c>
      <c r="U444" s="80">
        <f>IF($I444&gt;0,MAX(0,$G444*SIN(RADIANS('13_시나리오비교'!$B$10))*SIN(RADIANS('13_시나리오비교'!$C$10))+$H444*SIN(RADIANS('13_시나리오비교'!$B$10))*COS(RADIANS('13_시나리오비교'!$C$10))+$I444*COS(RADIANS('13_시나리오비교'!$B$10))),0)</f>
        <v/>
      </c>
      <c r="V444" s="80">
        <f>IF($I444&gt;0,MAX(0,$G444*SIN(RADIANS('13_시나리오비교'!$B$11))*SIN(RADIANS('13_시나리오비교'!$C$11))+$H444*SIN(RADIANS('13_시나리오비교'!$B$11))*COS(RADIANS('13_시나리오비교'!$C$11))+$I444*COS(RADIANS('13_시나리오비교'!$B$11))),0)</f>
        <v/>
      </c>
      <c r="W444" s="80">
        <f>IF($I444&gt;0,MAX(0,$G444*SIN(RADIANS('13_시나리오비교'!$B$12))*SIN(RADIANS('13_시나리오비교'!$C$12))+$H444*SIN(RADIANS('13_시나리오비교'!$B$12))*COS(RADIANS('13_시나리오비교'!$C$12))+$I444*COS(RADIANS('13_시나리오비교'!$B$12))),0)</f>
        <v/>
      </c>
      <c r="X444" s="80">
        <f>IF($I444&gt;0,MAX(0,$G444*SIN(RADIANS('13_시나리오비교'!$B$13))*SIN(RADIANS('13_시나리오비교'!$C$13))+$H444*SIN(RADIANS('13_시나리오비교'!$B$13))*COS(RADIANS('13_시나리오비교'!$C$13))+$I444*COS(RADIANS('13_시나리오비교'!$B$13))),0)</f>
        <v/>
      </c>
      <c r="Y444" s="80">
        <f>IF($I444&gt;0,MAX(0,$G444*SIN(RADIANS('13_시나리오비교'!$B$14))*SIN(RADIANS('13_시나리오비교'!$C$14))+$H444*SIN(RADIANS('13_시나리오비교'!$B$14))*COS(RADIANS('13_시나리오비교'!$C$14))+$I444*COS(RADIANS('13_시나리오비교'!$B$14))),0)</f>
        <v/>
      </c>
    </row>
    <row r="445" hidden="1" outlineLevel="1">
      <c r="A445" s="79" t="n">
        <v>5</v>
      </c>
      <c r="B445" s="79" t="n">
        <v>41</v>
      </c>
      <c r="C445" s="80">
        <f>(B445-0.5)*'14_지역·상수'!$H$6</f>
        <v/>
      </c>
      <c r="D445" s="79" t="n">
        <v>135</v>
      </c>
      <c r="E445" s="80">
        <f>INDEX($C$4:$C$15,MATCH(A445,$A$4:$A$15,0))</f>
        <v/>
      </c>
      <c r="F445" s="80">
        <f>15*(C445-12)</f>
        <v/>
      </c>
      <c r="G445" s="80">
        <f>-COS(RADIANS(E445))*SIN(RADIANS(F445))</f>
        <v/>
      </c>
      <c r="H445" s="80">
        <f>COS(RADIANS('11_발전량_모델'!$B$17))*SIN(RADIANS(E445))-SIN(RADIANS('11_발전량_모델'!$B$17))*COS(RADIANS(E445))*COS(RADIANS(F445))</f>
        <v/>
      </c>
      <c r="I445" s="80">
        <f>SIN(RADIANS('11_발전량_모델'!$B$17))*SIN(RADIANS(E445))+COS(RADIANS('11_발전량_모델'!$B$17))*COS(RADIANS(E445))*COS(RADIANS(F445))</f>
        <v/>
      </c>
      <c r="J445" s="80">
        <f>SIN(RADIANS('11_발전량_모델'!$B$7))*SIN(RADIANS('11_발전량_모델'!$B$8))</f>
        <v/>
      </c>
      <c r="K445" s="80">
        <f>SIN(RADIANS('11_발전량_모델'!$B$7))*COS(RADIANS('11_발전량_모델'!$B$8))</f>
        <v/>
      </c>
      <c r="L445" s="80">
        <f>COS(RADIANS('11_발전량_모델'!$B$7))</f>
        <v/>
      </c>
      <c r="M445" s="80">
        <f>G445*J445+H445*K445+I445*L445</f>
        <v/>
      </c>
      <c r="N445" s="80">
        <f>MAX(0,I445)</f>
        <v/>
      </c>
      <c r="O445" s="80">
        <f>IF(I445&gt;0,MAX(0,M445),0)</f>
        <v/>
      </c>
      <c r="P445" s="80">
        <f>IF($I445&gt;0,MAX(0,$G445*SIN(RADIANS('13_시나리오비교'!$B$5))*SIN(RADIANS('13_시나리오비교'!$C$5))+$H445*SIN(RADIANS('13_시나리오비교'!$B$5))*COS(RADIANS('13_시나리오비교'!$C$5))+$I445*COS(RADIANS('13_시나리오비교'!$B$5))),0)</f>
        <v/>
      </c>
      <c r="Q445" s="80">
        <f>IF($I445&gt;0,MAX(0,$G445*SIN(RADIANS('13_시나리오비교'!$B$6))*SIN(RADIANS('13_시나리오비교'!$C$6))+$H445*SIN(RADIANS('13_시나리오비교'!$B$6))*COS(RADIANS('13_시나리오비교'!$C$6))+$I445*COS(RADIANS('13_시나리오비교'!$B$6))),0)</f>
        <v/>
      </c>
      <c r="R445" s="80">
        <f>IF($I445&gt;0,MAX(0,$G445*SIN(RADIANS('13_시나리오비교'!$B$7))*SIN(RADIANS('13_시나리오비교'!$C$7))+$H445*SIN(RADIANS('13_시나리오비교'!$B$7))*COS(RADIANS('13_시나리오비교'!$C$7))+$I445*COS(RADIANS('13_시나리오비교'!$B$7))),0)</f>
        <v/>
      </c>
      <c r="S445" s="80">
        <f>IF($I445&gt;0,MAX(0,$G445*SIN(RADIANS('13_시나리오비교'!$B$8))*SIN(RADIANS('13_시나리오비교'!$C$8))+$H445*SIN(RADIANS('13_시나리오비교'!$B$8))*COS(RADIANS('13_시나리오비교'!$C$8))+$I445*COS(RADIANS('13_시나리오비교'!$B$8))),0)</f>
        <v/>
      </c>
      <c r="T445" s="80">
        <f>IF($I445&gt;0,MAX(0,$G445*SIN(RADIANS('13_시나리오비교'!$B$9))*SIN(RADIANS('13_시나리오비교'!$C$9))+$H445*SIN(RADIANS('13_시나리오비교'!$B$9))*COS(RADIANS('13_시나리오비교'!$C$9))+$I445*COS(RADIANS('13_시나리오비교'!$B$9))),0)</f>
        <v/>
      </c>
      <c r="U445" s="80">
        <f>IF($I445&gt;0,MAX(0,$G445*SIN(RADIANS('13_시나리오비교'!$B$10))*SIN(RADIANS('13_시나리오비교'!$C$10))+$H445*SIN(RADIANS('13_시나리오비교'!$B$10))*COS(RADIANS('13_시나리오비교'!$C$10))+$I445*COS(RADIANS('13_시나리오비교'!$B$10))),0)</f>
        <v/>
      </c>
      <c r="V445" s="80">
        <f>IF($I445&gt;0,MAX(0,$G445*SIN(RADIANS('13_시나리오비교'!$B$11))*SIN(RADIANS('13_시나리오비교'!$C$11))+$H445*SIN(RADIANS('13_시나리오비교'!$B$11))*COS(RADIANS('13_시나리오비교'!$C$11))+$I445*COS(RADIANS('13_시나리오비교'!$B$11))),0)</f>
        <v/>
      </c>
      <c r="W445" s="80">
        <f>IF($I445&gt;0,MAX(0,$G445*SIN(RADIANS('13_시나리오비교'!$B$12))*SIN(RADIANS('13_시나리오비교'!$C$12))+$H445*SIN(RADIANS('13_시나리오비교'!$B$12))*COS(RADIANS('13_시나리오비교'!$C$12))+$I445*COS(RADIANS('13_시나리오비교'!$B$12))),0)</f>
        <v/>
      </c>
      <c r="X445" s="80">
        <f>IF($I445&gt;0,MAX(0,$G445*SIN(RADIANS('13_시나리오비교'!$B$13))*SIN(RADIANS('13_시나리오비교'!$C$13))+$H445*SIN(RADIANS('13_시나리오비교'!$B$13))*COS(RADIANS('13_시나리오비교'!$C$13))+$I445*COS(RADIANS('13_시나리오비교'!$B$13))),0)</f>
        <v/>
      </c>
      <c r="Y445" s="80">
        <f>IF($I445&gt;0,MAX(0,$G445*SIN(RADIANS('13_시나리오비교'!$B$14))*SIN(RADIANS('13_시나리오비교'!$C$14))+$H445*SIN(RADIANS('13_시나리오비교'!$B$14))*COS(RADIANS('13_시나리오비교'!$C$14))+$I445*COS(RADIANS('13_시나리오비교'!$B$14))),0)</f>
        <v/>
      </c>
    </row>
    <row r="446" hidden="1" outlineLevel="1">
      <c r="A446" s="79" t="n">
        <v>5</v>
      </c>
      <c r="B446" s="79" t="n">
        <v>42</v>
      </c>
      <c r="C446" s="80">
        <f>(B446-0.5)*'14_지역·상수'!$H$6</f>
        <v/>
      </c>
      <c r="D446" s="79" t="n">
        <v>135</v>
      </c>
      <c r="E446" s="80">
        <f>INDEX($C$4:$C$15,MATCH(A446,$A$4:$A$15,0))</f>
        <v/>
      </c>
      <c r="F446" s="80">
        <f>15*(C446-12)</f>
        <v/>
      </c>
      <c r="G446" s="80">
        <f>-COS(RADIANS(E446))*SIN(RADIANS(F446))</f>
        <v/>
      </c>
      <c r="H446" s="80">
        <f>COS(RADIANS('11_발전량_모델'!$B$17))*SIN(RADIANS(E446))-SIN(RADIANS('11_발전량_모델'!$B$17))*COS(RADIANS(E446))*COS(RADIANS(F446))</f>
        <v/>
      </c>
      <c r="I446" s="80">
        <f>SIN(RADIANS('11_발전량_모델'!$B$17))*SIN(RADIANS(E446))+COS(RADIANS('11_발전량_모델'!$B$17))*COS(RADIANS(E446))*COS(RADIANS(F446))</f>
        <v/>
      </c>
      <c r="J446" s="80">
        <f>SIN(RADIANS('11_발전량_모델'!$B$7))*SIN(RADIANS('11_발전량_모델'!$B$8))</f>
        <v/>
      </c>
      <c r="K446" s="80">
        <f>SIN(RADIANS('11_발전량_모델'!$B$7))*COS(RADIANS('11_발전량_모델'!$B$8))</f>
        <v/>
      </c>
      <c r="L446" s="80">
        <f>COS(RADIANS('11_발전량_모델'!$B$7))</f>
        <v/>
      </c>
      <c r="M446" s="80">
        <f>G446*J446+H446*K446+I446*L446</f>
        <v/>
      </c>
      <c r="N446" s="80">
        <f>MAX(0,I446)</f>
        <v/>
      </c>
      <c r="O446" s="80">
        <f>IF(I446&gt;0,MAX(0,M446),0)</f>
        <v/>
      </c>
      <c r="P446" s="80">
        <f>IF($I446&gt;0,MAX(0,$G446*SIN(RADIANS('13_시나리오비교'!$B$5))*SIN(RADIANS('13_시나리오비교'!$C$5))+$H446*SIN(RADIANS('13_시나리오비교'!$B$5))*COS(RADIANS('13_시나리오비교'!$C$5))+$I446*COS(RADIANS('13_시나리오비교'!$B$5))),0)</f>
        <v/>
      </c>
      <c r="Q446" s="80">
        <f>IF($I446&gt;0,MAX(0,$G446*SIN(RADIANS('13_시나리오비교'!$B$6))*SIN(RADIANS('13_시나리오비교'!$C$6))+$H446*SIN(RADIANS('13_시나리오비교'!$B$6))*COS(RADIANS('13_시나리오비교'!$C$6))+$I446*COS(RADIANS('13_시나리오비교'!$B$6))),0)</f>
        <v/>
      </c>
      <c r="R446" s="80">
        <f>IF($I446&gt;0,MAX(0,$G446*SIN(RADIANS('13_시나리오비교'!$B$7))*SIN(RADIANS('13_시나리오비교'!$C$7))+$H446*SIN(RADIANS('13_시나리오비교'!$B$7))*COS(RADIANS('13_시나리오비교'!$C$7))+$I446*COS(RADIANS('13_시나리오비교'!$B$7))),0)</f>
        <v/>
      </c>
      <c r="S446" s="80">
        <f>IF($I446&gt;0,MAX(0,$G446*SIN(RADIANS('13_시나리오비교'!$B$8))*SIN(RADIANS('13_시나리오비교'!$C$8))+$H446*SIN(RADIANS('13_시나리오비교'!$B$8))*COS(RADIANS('13_시나리오비교'!$C$8))+$I446*COS(RADIANS('13_시나리오비교'!$B$8))),0)</f>
        <v/>
      </c>
      <c r="T446" s="80">
        <f>IF($I446&gt;0,MAX(0,$G446*SIN(RADIANS('13_시나리오비교'!$B$9))*SIN(RADIANS('13_시나리오비교'!$C$9))+$H446*SIN(RADIANS('13_시나리오비교'!$B$9))*COS(RADIANS('13_시나리오비교'!$C$9))+$I446*COS(RADIANS('13_시나리오비교'!$B$9))),0)</f>
        <v/>
      </c>
      <c r="U446" s="80">
        <f>IF($I446&gt;0,MAX(0,$G446*SIN(RADIANS('13_시나리오비교'!$B$10))*SIN(RADIANS('13_시나리오비교'!$C$10))+$H446*SIN(RADIANS('13_시나리오비교'!$B$10))*COS(RADIANS('13_시나리오비교'!$C$10))+$I446*COS(RADIANS('13_시나리오비교'!$B$10))),0)</f>
        <v/>
      </c>
      <c r="V446" s="80">
        <f>IF($I446&gt;0,MAX(0,$G446*SIN(RADIANS('13_시나리오비교'!$B$11))*SIN(RADIANS('13_시나리오비교'!$C$11))+$H446*SIN(RADIANS('13_시나리오비교'!$B$11))*COS(RADIANS('13_시나리오비교'!$C$11))+$I446*COS(RADIANS('13_시나리오비교'!$B$11))),0)</f>
        <v/>
      </c>
      <c r="W446" s="80">
        <f>IF($I446&gt;0,MAX(0,$G446*SIN(RADIANS('13_시나리오비교'!$B$12))*SIN(RADIANS('13_시나리오비교'!$C$12))+$H446*SIN(RADIANS('13_시나리오비교'!$B$12))*COS(RADIANS('13_시나리오비교'!$C$12))+$I446*COS(RADIANS('13_시나리오비교'!$B$12))),0)</f>
        <v/>
      </c>
      <c r="X446" s="80">
        <f>IF($I446&gt;0,MAX(0,$G446*SIN(RADIANS('13_시나리오비교'!$B$13))*SIN(RADIANS('13_시나리오비교'!$C$13))+$H446*SIN(RADIANS('13_시나리오비교'!$B$13))*COS(RADIANS('13_시나리오비교'!$C$13))+$I446*COS(RADIANS('13_시나리오비교'!$B$13))),0)</f>
        <v/>
      </c>
      <c r="Y446" s="80">
        <f>IF($I446&gt;0,MAX(0,$G446*SIN(RADIANS('13_시나리오비교'!$B$14))*SIN(RADIANS('13_시나리오비교'!$C$14))+$H446*SIN(RADIANS('13_시나리오비교'!$B$14))*COS(RADIANS('13_시나리오비교'!$C$14))+$I446*COS(RADIANS('13_시나리오비교'!$B$14))),0)</f>
        <v/>
      </c>
    </row>
    <row r="447" hidden="1" outlineLevel="1">
      <c r="A447" s="79" t="n">
        <v>5</v>
      </c>
      <c r="B447" s="79" t="n">
        <v>43</v>
      </c>
      <c r="C447" s="80">
        <f>(B447-0.5)*'14_지역·상수'!$H$6</f>
        <v/>
      </c>
      <c r="D447" s="79" t="n">
        <v>135</v>
      </c>
      <c r="E447" s="80">
        <f>INDEX($C$4:$C$15,MATCH(A447,$A$4:$A$15,0))</f>
        <v/>
      </c>
      <c r="F447" s="80">
        <f>15*(C447-12)</f>
        <v/>
      </c>
      <c r="G447" s="80">
        <f>-COS(RADIANS(E447))*SIN(RADIANS(F447))</f>
        <v/>
      </c>
      <c r="H447" s="80">
        <f>COS(RADIANS('11_발전량_모델'!$B$17))*SIN(RADIANS(E447))-SIN(RADIANS('11_발전량_모델'!$B$17))*COS(RADIANS(E447))*COS(RADIANS(F447))</f>
        <v/>
      </c>
      <c r="I447" s="80">
        <f>SIN(RADIANS('11_발전량_모델'!$B$17))*SIN(RADIANS(E447))+COS(RADIANS('11_발전량_모델'!$B$17))*COS(RADIANS(E447))*COS(RADIANS(F447))</f>
        <v/>
      </c>
      <c r="J447" s="80">
        <f>SIN(RADIANS('11_발전량_모델'!$B$7))*SIN(RADIANS('11_발전량_모델'!$B$8))</f>
        <v/>
      </c>
      <c r="K447" s="80">
        <f>SIN(RADIANS('11_발전량_모델'!$B$7))*COS(RADIANS('11_발전량_모델'!$B$8))</f>
        <v/>
      </c>
      <c r="L447" s="80">
        <f>COS(RADIANS('11_발전량_모델'!$B$7))</f>
        <v/>
      </c>
      <c r="M447" s="80">
        <f>G447*J447+H447*K447+I447*L447</f>
        <v/>
      </c>
      <c r="N447" s="80">
        <f>MAX(0,I447)</f>
        <v/>
      </c>
      <c r="O447" s="80">
        <f>IF(I447&gt;0,MAX(0,M447),0)</f>
        <v/>
      </c>
      <c r="P447" s="80">
        <f>IF($I447&gt;0,MAX(0,$G447*SIN(RADIANS('13_시나리오비교'!$B$5))*SIN(RADIANS('13_시나리오비교'!$C$5))+$H447*SIN(RADIANS('13_시나리오비교'!$B$5))*COS(RADIANS('13_시나리오비교'!$C$5))+$I447*COS(RADIANS('13_시나리오비교'!$B$5))),0)</f>
        <v/>
      </c>
      <c r="Q447" s="80">
        <f>IF($I447&gt;0,MAX(0,$G447*SIN(RADIANS('13_시나리오비교'!$B$6))*SIN(RADIANS('13_시나리오비교'!$C$6))+$H447*SIN(RADIANS('13_시나리오비교'!$B$6))*COS(RADIANS('13_시나리오비교'!$C$6))+$I447*COS(RADIANS('13_시나리오비교'!$B$6))),0)</f>
        <v/>
      </c>
      <c r="R447" s="80">
        <f>IF($I447&gt;0,MAX(0,$G447*SIN(RADIANS('13_시나리오비교'!$B$7))*SIN(RADIANS('13_시나리오비교'!$C$7))+$H447*SIN(RADIANS('13_시나리오비교'!$B$7))*COS(RADIANS('13_시나리오비교'!$C$7))+$I447*COS(RADIANS('13_시나리오비교'!$B$7))),0)</f>
        <v/>
      </c>
      <c r="S447" s="80">
        <f>IF($I447&gt;0,MAX(0,$G447*SIN(RADIANS('13_시나리오비교'!$B$8))*SIN(RADIANS('13_시나리오비교'!$C$8))+$H447*SIN(RADIANS('13_시나리오비교'!$B$8))*COS(RADIANS('13_시나리오비교'!$C$8))+$I447*COS(RADIANS('13_시나리오비교'!$B$8))),0)</f>
        <v/>
      </c>
      <c r="T447" s="80">
        <f>IF($I447&gt;0,MAX(0,$G447*SIN(RADIANS('13_시나리오비교'!$B$9))*SIN(RADIANS('13_시나리오비교'!$C$9))+$H447*SIN(RADIANS('13_시나리오비교'!$B$9))*COS(RADIANS('13_시나리오비교'!$C$9))+$I447*COS(RADIANS('13_시나리오비교'!$B$9))),0)</f>
        <v/>
      </c>
      <c r="U447" s="80">
        <f>IF($I447&gt;0,MAX(0,$G447*SIN(RADIANS('13_시나리오비교'!$B$10))*SIN(RADIANS('13_시나리오비교'!$C$10))+$H447*SIN(RADIANS('13_시나리오비교'!$B$10))*COS(RADIANS('13_시나리오비교'!$C$10))+$I447*COS(RADIANS('13_시나리오비교'!$B$10))),0)</f>
        <v/>
      </c>
      <c r="V447" s="80">
        <f>IF($I447&gt;0,MAX(0,$G447*SIN(RADIANS('13_시나리오비교'!$B$11))*SIN(RADIANS('13_시나리오비교'!$C$11))+$H447*SIN(RADIANS('13_시나리오비교'!$B$11))*COS(RADIANS('13_시나리오비교'!$C$11))+$I447*COS(RADIANS('13_시나리오비교'!$B$11))),0)</f>
        <v/>
      </c>
      <c r="W447" s="80">
        <f>IF($I447&gt;0,MAX(0,$G447*SIN(RADIANS('13_시나리오비교'!$B$12))*SIN(RADIANS('13_시나리오비교'!$C$12))+$H447*SIN(RADIANS('13_시나리오비교'!$B$12))*COS(RADIANS('13_시나리오비교'!$C$12))+$I447*COS(RADIANS('13_시나리오비교'!$B$12))),0)</f>
        <v/>
      </c>
      <c r="X447" s="80">
        <f>IF($I447&gt;0,MAX(0,$G447*SIN(RADIANS('13_시나리오비교'!$B$13))*SIN(RADIANS('13_시나리오비교'!$C$13))+$H447*SIN(RADIANS('13_시나리오비교'!$B$13))*COS(RADIANS('13_시나리오비교'!$C$13))+$I447*COS(RADIANS('13_시나리오비교'!$B$13))),0)</f>
        <v/>
      </c>
      <c r="Y447" s="80">
        <f>IF($I447&gt;0,MAX(0,$G447*SIN(RADIANS('13_시나리오비교'!$B$14))*SIN(RADIANS('13_시나리오비교'!$C$14))+$H447*SIN(RADIANS('13_시나리오비교'!$B$14))*COS(RADIANS('13_시나리오비교'!$C$14))+$I447*COS(RADIANS('13_시나리오비교'!$B$14))),0)</f>
        <v/>
      </c>
    </row>
    <row r="448" hidden="1" outlineLevel="1">
      <c r="A448" s="79" t="n">
        <v>5</v>
      </c>
      <c r="B448" s="79" t="n">
        <v>44</v>
      </c>
      <c r="C448" s="80">
        <f>(B448-0.5)*'14_지역·상수'!$H$6</f>
        <v/>
      </c>
      <c r="D448" s="79" t="n">
        <v>135</v>
      </c>
      <c r="E448" s="80">
        <f>INDEX($C$4:$C$15,MATCH(A448,$A$4:$A$15,0))</f>
        <v/>
      </c>
      <c r="F448" s="80">
        <f>15*(C448-12)</f>
        <v/>
      </c>
      <c r="G448" s="80">
        <f>-COS(RADIANS(E448))*SIN(RADIANS(F448))</f>
        <v/>
      </c>
      <c r="H448" s="80">
        <f>COS(RADIANS('11_발전량_모델'!$B$17))*SIN(RADIANS(E448))-SIN(RADIANS('11_발전량_모델'!$B$17))*COS(RADIANS(E448))*COS(RADIANS(F448))</f>
        <v/>
      </c>
      <c r="I448" s="80">
        <f>SIN(RADIANS('11_발전량_모델'!$B$17))*SIN(RADIANS(E448))+COS(RADIANS('11_발전량_모델'!$B$17))*COS(RADIANS(E448))*COS(RADIANS(F448))</f>
        <v/>
      </c>
      <c r="J448" s="80">
        <f>SIN(RADIANS('11_발전량_모델'!$B$7))*SIN(RADIANS('11_발전량_모델'!$B$8))</f>
        <v/>
      </c>
      <c r="K448" s="80">
        <f>SIN(RADIANS('11_발전량_모델'!$B$7))*COS(RADIANS('11_발전량_모델'!$B$8))</f>
        <v/>
      </c>
      <c r="L448" s="80">
        <f>COS(RADIANS('11_발전량_모델'!$B$7))</f>
        <v/>
      </c>
      <c r="M448" s="80">
        <f>G448*J448+H448*K448+I448*L448</f>
        <v/>
      </c>
      <c r="N448" s="80">
        <f>MAX(0,I448)</f>
        <v/>
      </c>
      <c r="O448" s="80">
        <f>IF(I448&gt;0,MAX(0,M448),0)</f>
        <v/>
      </c>
      <c r="P448" s="80">
        <f>IF($I448&gt;0,MAX(0,$G448*SIN(RADIANS('13_시나리오비교'!$B$5))*SIN(RADIANS('13_시나리오비교'!$C$5))+$H448*SIN(RADIANS('13_시나리오비교'!$B$5))*COS(RADIANS('13_시나리오비교'!$C$5))+$I448*COS(RADIANS('13_시나리오비교'!$B$5))),0)</f>
        <v/>
      </c>
      <c r="Q448" s="80">
        <f>IF($I448&gt;0,MAX(0,$G448*SIN(RADIANS('13_시나리오비교'!$B$6))*SIN(RADIANS('13_시나리오비교'!$C$6))+$H448*SIN(RADIANS('13_시나리오비교'!$B$6))*COS(RADIANS('13_시나리오비교'!$C$6))+$I448*COS(RADIANS('13_시나리오비교'!$B$6))),0)</f>
        <v/>
      </c>
      <c r="R448" s="80">
        <f>IF($I448&gt;0,MAX(0,$G448*SIN(RADIANS('13_시나리오비교'!$B$7))*SIN(RADIANS('13_시나리오비교'!$C$7))+$H448*SIN(RADIANS('13_시나리오비교'!$B$7))*COS(RADIANS('13_시나리오비교'!$C$7))+$I448*COS(RADIANS('13_시나리오비교'!$B$7))),0)</f>
        <v/>
      </c>
      <c r="S448" s="80">
        <f>IF($I448&gt;0,MAX(0,$G448*SIN(RADIANS('13_시나리오비교'!$B$8))*SIN(RADIANS('13_시나리오비교'!$C$8))+$H448*SIN(RADIANS('13_시나리오비교'!$B$8))*COS(RADIANS('13_시나리오비교'!$C$8))+$I448*COS(RADIANS('13_시나리오비교'!$B$8))),0)</f>
        <v/>
      </c>
      <c r="T448" s="80">
        <f>IF($I448&gt;0,MAX(0,$G448*SIN(RADIANS('13_시나리오비교'!$B$9))*SIN(RADIANS('13_시나리오비교'!$C$9))+$H448*SIN(RADIANS('13_시나리오비교'!$B$9))*COS(RADIANS('13_시나리오비교'!$C$9))+$I448*COS(RADIANS('13_시나리오비교'!$B$9))),0)</f>
        <v/>
      </c>
      <c r="U448" s="80">
        <f>IF($I448&gt;0,MAX(0,$G448*SIN(RADIANS('13_시나리오비교'!$B$10))*SIN(RADIANS('13_시나리오비교'!$C$10))+$H448*SIN(RADIANS('13_시나리오비교'!$B$10))*COS(RADIANS('13_시나리오비교'!$C$10))+$I448*COS(RADIANS('13_시나리오비교'!$B$10))),0)</f>
        <v/>
      </c>
      <c r="V448" s="80">
        <f>IF($I448&gt;0,MAX(0,$G448*SIN(RADIANS('13_시나리오비교'!$B$11))*SIN(RADIANS('13_시나리오비교'!$C$11))+$H448*SIN(RADIANS('13_시나리오비교'!$B$11))*COS(RADIANS('13_시나리오비교'!$C$11))+$I448*COS(RADIANS('13_시나리오비교'!$B$11))),0)</f>
        <v/>
      </c>
      <c r="W448" s="80">
        <f>IF($I448&gt;0,MAX(0,$G448*SIN(RADIANS('13_시나리오비교'!$B$12))*SIN(RADIANS('13_시나리오비교'!$C$12))+$H448*SIN(RADIANS('13_시나리오비교'!$B$12))*COS(RADIANS('13_시나리오비교'!$C$12))+$I448*COS(RADIANS('13_시나리오비교'!$B$12))),0)</f>
        <v/>
      </c>
      <c r="X448" s="80">
        <f>IF($I448&gt;0,MAX(0,$G448*SIN(RADIANS('13_시나리오비교'!$B$13))*SIN(RADIANS('13_시나리오비교'!$C$13))+$H448*SIN(RADIANS('13_시나리오비교'!$B$13))*COS(RADIANS('13_시나리오비교'!$C$13))+$I448*COS(RADIANS('13_시나리오비교'!$B$13))),0)</f>
        <v/>
      </c>
      <c r="Y448" s="80">
        <f>IF($I448&gt;0,MAX(0,$G448*SIN(RADIANS('13_시나리오비교'!$B$14))*SIN(RADIANS('13_시나리오비교'!$C$14))+$H448*SIN(RADIANS('13_시나리오비교'!$B$14))*COS(RADIANS('13_시나리오비교'!$C$14))+$I448*COS(RADIANS('13_시나리오비교'!$B$14))),0)</f>
        <v/>
      </c>
    </row>
    <row r="449" hidden="1" outlineLevel="1">
      <c r="A449" s="79" t="n">
        <v>5</v>
      </c>
      <c r="B449" s="79" t="n">
        <v>45</v>
      </c>
      <c r="C449" s="80">
        <f>(B449-0.5)*'14_지역·상수'!$H$6</f>
        <v/>
      </c>
      <c r="D449" s="79" t="n">
        <v>135</v>
      </c>
      <c r="E449" s="80">
        <f>INDEX($C$4:$C$15,MATCH(A449,$A$4:$A$15,0))</f>
        <v/>
      </c>
      <c r="F449" s="80">
        <f>15*(C449-12)</f>
        <v/>
      </c>
      <c r="G449" s="80">
        <f>-COS(RADIANS(E449))*SIN(RADIANS(F449))</f>
        <v/>
      </c>
      <c r="H449" s="80">
        <f>COS(RADIANS('11_발전량_모델'!$B$17))*SIN(RADIANS(E449))-SIN(RADIANS('11_발전량_모델'!$B$17))*COS(RADIANS(E449))*COS(RADIANS(F449))</f>
        <v/>
      </c>
      <c r="I449" s="80">
        <f>SIN(RADIANS('11_발전량_모델'!$B$17))*SIN(RADIANS(E449))+COS(RADIANS('11_발전량_모델'!$B$17))*COS(RADIANS(E449))*COS(RADIANS(F449))</f>
        <v/>
      </c>
      <c r="J449" s="80">
        <f>SIN(RADIANS('11_발전량_모델'!$B$7))*SIN(RADIANS('11_발전량_모델'!$B$8))</f>
        <v/>
      </c>
      <c r="K449" s="80">
        <f>SIN(RADIANS('11_발전량_모델'!$B$7))*COS(RADIANS('11_발전량_모델'!$B$8))</f>
        <v/>
      </c>
      <c r="L449" s="80">
        <f>COS(RADIANS('11_발전량_모델'!$B$7))</f>
        <v/>
      </c>
      <c r="M449" s="80">
        <f>G449*J449+H449*K449+I449*L449</f>
        <v/>
      </c>
      <c r="N449" s="80">
        <f>MAX(0,I449)</f>
        <v/>
      </c>
      <c r="O449" s="80">
        <f>IF(I449&gt;0,MAX(0,M449),0)</f>
        <v/>
      </c>
      <c r="P449" s="80">
        <f>IF($I449&gt;0,MAX(0,$G449*SIN(RADIANS('13_시나리오비교'!$B$5))*SIN(RADIANS('13_시나리오비교'!$C$5))+$H449*SIN(RADIANS('13_시나리오비교'!$B$5))*COS(RADIANS('13_시나리오비교'!$C$5))+$I449*COS(RADIANS('13_시나리오비교'!$B$5))),0)</f>
        <v/>
      </c>
      <c r="Q449" s="80">
        <f>IF($I449&gt;0,MAX(0,$G449*SIN(RADIANS('13_시나리오비교'!$B$6))*SIN(RADIANS('13_시나리오비교'!$C$6))+$H449*SIN(RADIANS('13_시나리오비교'!$B$6))*COS(RADIANS('13_시나리오비교'!$C$6))+$I449*COS(RADIANS('13_시나리오비교'!$B$6))),0)</f>
        <v/>
      </c>
      <c r="R449" s="80">
        <f>IF($I449&gt;0,MAX(0,$G449*SIN(RADIANS('13_시나리오비교'!$B$7))*SIN(RADIANS('13_시나리오비교'!$C$7))+$H449*SIN(RADIANS('13_시나리오비교'!$B$7))*COS(RADIANS('13_시나리오비교'!$C$7))+$I449*COS(RADIANS('13_시나리오비교'!$B$7))),0)</f>
        <v/>
      </c>
      <c r="S449" s="80">
        <f>IF($I449&gt;0,MAX(0,$G449*SIN(RADIANS('13_시나리오비교'!$B$8))*SIN(RADIANS('13_시나리오비교'!$C$8))+$H449*SIN(RADIANS('13_시나리오비교'!$B$8))*COS(RADIANS('13_시나리오비교'!$C$8))+$I449*COS(RADIANS('13_시나리오비교'!$B$8))),0)</f>
        <v/>
      </c>
      <c r="T449" s="80">
        <f>IF($I449&gt;0,MAX(0,$G449*SIN(RADIANS('13_시나리오비교'!$B$9))*SIN(RADIANS('13_시나리오비교'!$C$9))+$H449*SIN(RADIANS('13_시나리오비교'!$B$9))*COS(RADIANS('13_시나리오비교'!$C$9))+$I449*COS(RADIANS('13_시나리오비교'!$B$9))),0)</f>
        <v/>
      </c>
      <c r="U449" s="80">
        <f>IF($I449&gt;0,MAX(0,$G449*SIN(RADIANS('13_시나리오비교'!$B$10))*SIN(RADIANS('13_시나리오비교'!$C$10))+$H449*SIN(RADIANS('13_시나리오비교'!$B$10))*COS(RADIANS('13_시나리오비교'!$C$10))+$I449*COS(RADIANS('13_시나리오비교'!$B$10))),0)</f>
        <v/>
      </c>
      <c r="V449" s="80">
        <f>IF($I449&gt;0,MAX(0,$G449*SIN(RADIANS('13_시나리오비교'!$B$11))*SIN(RADIANS('13_시나리오비교'!$C$11))+$H449*SIN(RADIANS('13_시나리오비교'!$B$11))*COS(RADIANS('13_시나리오비교'!$C$11))+$I449*COS(RADIANS('13_시나리오비교'!$B$11))),0)</f>
        <v/>
      </c>
      <c r="W449" s="80">
        <f>IF($I449&gt;0,MAX(0,$G449*SIN(RADIANS('13_시나리오비교'!$B$12))*SIN(RADIANS('13_시나리오비교'!$C$12))+$H449*SIN(RADIANS('13_시나리오비교'!$B$12))*COS(RADIANS('13_시나리오비교'!$C$12))+$I449*COS(RADIANS('13_시나리오비교'!$B$12))),0)</f>
        <v/>
      </c>
      <c r="X449" s="80">
        <f>IF($I449&gt;0,MAX(0,$G449*SIN(RADIANS('13_시나리오비교'!$B$13))*SIN(RADIANS('13_시나리오비교'!$C$13))+$H449*SIN(RADIANS('13_시나리오비교'!$B$13))*COS(RADIANS('13_시나리오비교'!$C$13))+$I449*COS(RADIANS('13_시나리오비교'!$B$13))),0)</f>
        <v/>
      </c>
      <c r="Y449" s="80">
        <f>IF($I449&gt;0,MAX(0,$G449*SIN(RADIANS('13_시나리오비교'!$B$14))*SIN(RADIANS('13_시나리오비교'!$C$14))+$H449*SIN(RADIANS('13_시나리오비교'!$B$14))*COS(RADIANS('13_시나리오비교'!$C$14))+$I449*COS(RADIANS('13_시나리오비교'!$B$14))),0)</f>
        <v/>
      </c>
    </row>
    <row r="450" hidden="1" outlineLevel="1">
      <c r="A450" s="79" t="n">
        <v>5</v>
      </c>
      <c r="B450" s="79" t="n">
        <v>46</v>
      </c>
      <c r="C450" s="80">
        <f>(B450-0.5)*'14_지역·상수'!$H$6</f>
        <v/>
      </c>
      <c r="D450" s="79" t="n">
        <v>135</v>
      </c>
      <c r="E450" s="80">
        <f>INDEX($C$4:$C$15,MATCH(A450,$A$4:$A$15,0))</f>
        <v/>
      </c>
      <c r="F450" s="80">
        <f>15*(C450-12)</f>
        <v/>
      </c>
      <c r="G450" s="80">
        <f>-COS(RADIANS(E450))*SIN(RADIANS(F450))</f>
        <v/>
      </c>
      <c r="H450" s="80">
        <f>COS(RADIANS('11_발전량_모델'!$B$17))*SIN(RADIANS(E450))-SIN(RADIANS('11_발전량_모델'!$B$17))*COS(RADIANS(E450))*COS(RADIANS(F450))</f>
        <v/>
      </c>
      <c r="I450" s="80">
        <f>SIN(RADIANS('11_발전량_모델'!$B$17))*SIN(RADIANS(E450))+COS(RADIANS('11_발전량_모델'!$B$17))*COS(RADIANS(E450))*COS(RADIANS(F450))</f>
        <v/>
      </c>
      <c r="J450" s="80">
        <f>SIN(RADIANS('11_발전량_모델'!$B$7))*SIN(RADIANS('11_발전량_모델'!$B$8))</f>
        <v/>
      </c>
      <c r="K450" s="80">
        <f>SIN(RADIANS('11_발전량_모델'!$B$7))*COS(RADIANS('11_발전량_모델'!$B$8))</f>
        <v/>
      </c>
      <c r="L450" s="80">
        <f>COS(RADIANS('11_발전량_모델'!$B$7))</f>
        <v/>
      </c>
      <c r="M450" s="80">
        <f>G450*J450+H450*K450+I450*L450</f>
        <v/>
      </c>
      <c r="N450" s="80">
        <f>MAX(0,I450)</f>
        <v/>
      </c>
      <c r="O450" s="80">
        <f>IF(I450&gt;0,MAX(0,M450),0)</f>
        <v/>
      </c>
      <c r="P450" s="80">
        <f>IF($I450&gt;0,MAX(0,$G450*SIN(RADIANS('13_시나리오비교'!$B$5))*SIN(RADIANS('13_시나리오비교'!$C$5))+$H450*SIN(RADIANS('13_시나리오비교'!$B$5))*COS(RADIANS('13_시나리오비교'!$C$5))+$I450*COS(RADIANS('13_시나리오비교'!$B$5))),0)</f>
        <v/>
      </c>
      <c r="Q450" s="80">
        <f>IF($I450&gt;0,MAX(0,$G450*SIN(RADIANS('13_시나리오비교'!$B$6))*SIN(RADIANS('13_시나리오비교'!$C$6))+$H450*SIN(RADIANS('13_시나리오비교'!$B$6))*COS(RADIANS('13_시나리오비교'!$C$6))+$I450*COS(RADIANS('13_시나리오비교'!$B$6))),0)</f>
        <v/>
      </c>
      <c r="R450" s="80">
        <f>IF($I450&gt;0,MAX(0,$G450*SIN(RADIANS('13_시나리오비교'!$B$7))*SIN(RADIANS('13_시나리오비교'!$C$7))+$H450*SIN(RADIANS('13_시나리오비교'!$B$7))*COS(RADIANS('13_시나리오비교'!$C$7))+$I450*COS(RADIANS('13_시나리오비교'!$B$7))),0)</f>
        <v/>
      </c>
      <c r="S450" s="80">
        <f>IF($I450&gt;0,MAX(0,$G450*SIN(RADIANS('13_시나리오비교'!$B$8))*SIN(RADIANS('13_시나리오비교'!$C$8))+$H450*SIN(RADIANS('13_시나리오비교'!$B$8))*COS(RADIANS('13_시나리오비교'!$C$8))+$I450*COS(RADIANS('13_시나리오비교'!$B$8))),0)</f>
        <v/>
      </c>
      <c r="T450" s="80">
        <f>IF($I450&gt;0,MAX(0,$G450*SIN(RADIANS('13_시나리오비교'!$B$9))*SIN(RADIANS('13_시나리오비교'!$C$9))+$H450*SIN(RADIANS('13_시나리오비교'!$B$9))*COS(RADIANS('13_시나리오비교'!$C$9))+$I450*COS(RADIANS('13_시나리오비교'!$B$9))),0)</f>
        <v/>
      </c>
      <c r="U450" s="80">
        <f>IF($I450&gt;0,MAX(0,$G450*SIN(RADIANS('13_시나리오비교'!$B$10))*SIN(RADIANS('13_시나리오비교'!$C$10))+$H450*SIN(RADIANS('13_시나리오비교'!$B$10))*COS(RADIANS('13_시나리오비교'!$C$10))+$I450*COS(RADIANS('13_시나리오비교'!$B$10))),0)</f>
        <v/>
      </c>
      <c r="V450" s="80">
        <f>IF($I450&gt;0,MAX(0,$G450*SIN(RADIANS('13_시나리오비교'!$B$11))*SIN(RADIANS('13_시나리오비교'!$C$11))+$H450*SIN(RADIANS('13_시나리오비교'!$B$11))*COS(RADIANS('13_시나리오비교'!$C$11))+$I450*COS(RADIANS('13_시나리오비교'!$B$11))),0)</f>
        <v/>
      </c>
      <c r="W450" s="80">
        <f>IF($I450&gt;0,MAX(0,$G450*SIN(RADIANS('13_시나리오비교'!$B$12))*SIN(RADIANS('13_시나리오비교'!$C$12))+$H450*SIN(RADIANS('13_시나리오비교'!$B$12))*COS(RADIANS('13_시나리오비교'!$C$12))+$I450*COS(RADIANS('13_시나리오비교'!$B$12))),0)</f>
        <v/>
      </c>
      <c r="X450" s="80">
        <f>IF($I450&gt;0,MAX(0,$G450*SIN(RADIANS('13_시나리오비교'!$B$13))*SIN(RADIANS('13_시나리오비교'!$C$13))+$H450*SIN(RADIANS('13_시나리오비교'!$B$13))*COS(RADIANS('13_시나리오비교'!$C$13))+$I450*COS(RADIANS('13_시나리오비교'!$B$13))),0)</f>
        <v/>
      </c>
      <c r="Y450" s="80">
        <f>IF($I450&gt;0,MAX(0,$G450*SIN(RADIANS('13_시나리오비교'!$B$14))*SIN(RADIANS('13_시나리오비교'!$C$14))+$H450*SIN(RADIANS('13_시나리오비교'!$B$14))*COS(RADIANS('13_시나리오비교'!$C$14))+$I450*COS(RADIANS('13_시나리오비교'!$B$14))),0)</f>
        <v/>
      </c>
    </row>
    <row r="451" hidden="1" outlineLevel="1">
      <c r="A451" s="79" t="n">
        <v>5</v>
      </c>
      <c r="B451" s="79" t="n">
        <v>47</v>
      </c>
      <c r="C451" s="80">
        <f>(B451-0.5)*'14_지역·상수'!$H$6</f>
        <v/>
      </c>
      <c r="D451" s="79" t="n">
        <v>135</v>
      </c>
      <c r="E451" s="80">
        <f>INDEX($C$4:$C$15,MATCH(A451,$A$4:$A$15,0))</f>
        <v/>
      </c>
      <c r="F451" s="80">
        <f>15*(C451-12)</f>
        <v/>
      </c>
      <c r="G451" s="80">
        <f>-COS(RADIANS(E451))*SIN(RADIANS(F451))</f>
        <v/>
      </c>
      <c r="H451" s="80">
        <f>COS(RADIANS('11_발전량_모델'!$B$17))*SIN(RADIANS(E451))-SIN(RADIANS('11_발전량_모델'!$B$17))*COS(RADIANS(E451))*COS(RADIANS(F451))</f>
        <v/>
      </c>
      <c r="I451" s="80">
        <f>SIN(RADIANS('11_발전량_모델'!$B$17))*SIN(RADIANS(E451))+COS(RADIANS('11_발전량_모델'!$B$17))*COS(RADIANS(E451))*COS(RADIANS(F451))</f>
        <v/>
      </c>
      <c r="J451" s="80">
        <f>SIN(RADIANS('11_발전량_모델'!$B$7))*SIN(RADIANS('11_발전량_모델'!$B$8))</f>
        <v/>
      </c>
      <c r="K451" s="80">
        <f>SIN(RADIANS('11_발전량_모델'!$B$7))*COS(RADIANS('11_발전량_모델'!$B$8))</f>
        <v/>
      </c>
      <c r="L451" s="80">
        <f>COS(RADIANS('11_발전량_모델'!$B$7))</f>
        <v/>
      </c>
      <c r="M451" s="80">
        <f>G451*J451+H451*K451+I451*L451</f>
        <v/>
      </c>
      <c r="N451" s="80">
        <f>MAX(0,I451)</f>
        <v/>
      </c>
      <c r="O451" s="80">
        <f>IF(I451&gt;0,MAX(0,M451),0)</f>
        <v/>
      </c>
      <c r="P451" s="80">
        <f>IF($I451&gt;0,MAX(0,$G451*SIN(RADIANS('13_시나리오비교'!$B$5))*SIN(RADIANS('13_시나리오비교'!$C$5))+$H451*SIN(RADIANS('13_시나리오비교'!$B$5))*COS(RADIANS('13_시나리오비교'!$C$5))+$I451*COS(RADIANS('13_시나리오비교'!$B$5))),0)</f>
        <v/>
      </c>
      <c r="Q451" s="80">
        <f>IF($I451&gt;0,MAX(0,$G451*SIN(RADIANS('13_시나리오비교'!$B$6))*SIN(RADIANS('13_시나리오비교'!$C$6))+$H451*SIN(RADIANS('13_시나리오비교'!$B$6))*COS(RADIANS('13_시나리오비교'!$C$6))+$I451*COS(RADIANS('13_시나리오비교'!$B$6))),0)</f>
        <v/>
      </c>
      <c r="R451" s="80">
        <f>IF($I451&gt;0,MAX(0,$G451*SIN(RADIANS('13_시나리오비교'!$B$7))*SIN(RADIANS('13_시나리오비교'!$C$7))+$H451*SIN(RADIANS('13_시나리오비교'!$B$7))*COS(RADIANS('13_시나리오비교'!$C$7))+$I451*COS(RADIANS('13_시나리오비교'!$B$7))),0)</f>
        <v/>
      </c>
      <c r="S451" s="80">
        <f>IF($I451&gt;0,MAX(0,$G451*SIN(RADIANS('13_시나리오비교'!$B$8))*SIN(RADIANS('13_시나리오비교'!$C$8))+$H451*SIN(RADIANS('13_시나리오비교'!$B$8))*COS(RADIANS('13_시나리오비교'!$C$8))+$I451*COS(RADIANS('13_시나리오비교'!$B$8))),0)</f>
        <v/>
      </c>
      <c r="T451" s="80">
        <f>IF($I451&gt;0,MAX(0,$G451*SIN(RADIANS('13_시나리오비교'!$B$9))*SIN(RADIANS('13_시나리오비교'!$C$9))+$H451*SIN(RADIANS('13_시나리오비교'!$B$9))*COS(RADIANS('13_시나리오비교'!$C$9))+$I451*COS(RADIANS('13_시나리오비교'!$B$9))),0)</f>
        <v/>
      </c>
      <c r="U451" s="80">
        <f>IF($I451&gt;0,MAX(0,$G451*SIN(RADIANS('13_시나리오비교'!$B$10))*SIN(RADIANS('13_시나리오비교'!$C$10))+$H451*SIN(RADIANS('13_시나리오비교'!$B$10))*COS(RADIANS('13_시나리오비교'!$C$10))+$I451*COS(RADIANS('13_시나리오비교'!$B$10))),0)</f>
        <v/>
      </c>
      <c r="V451" s="80">
        <f>IF($I451&gt;0,MAX(0,$G451*SIN(RADIANS('13_시나리오비교'!$B$11))*SIN(RADIANS('13_시나리오비교'!$C$11))+$H451*SIN(RADIANS('13_시나리오비교'!$B$11))*COS(RADIANS('13_시나리오비교'!$C$11))+$I451*COS(RADIANS('13_시나리오비교'!$B$11))),0)</f>
        <v/>
      </c>
      <c r="W451" s="80">
        <f>IF($I451&gt;0,MAX(0,$G451*SIN(RADIANS('13_시나리오비교'!$B$12))*SIN(RADIANS('13_시나리오비교'!$C$12))+$H451*SIN(RADIANS('13_시나리오비교'!$B$12))*COS(RADIANS('13_시나리오비교'!$C$12))+$I451*COS(RADIANS('13_시나리오비교'!$B$12))),0)</f>
        <v/>
      </c>
      <c r="X451" s="80">
        <f>IF($I451&gt;0,MAX(0,$G451*SIN(RADIANS('13_시나리오비교'!$B$13))*SIN(RADIANS('13_시나리오비교'!$C$13))+$H451*SIN(RADIANS('13_시나리오비교'!$B$13))*COS(RADIANS('13_시나리오비교'!$C$13))+$I451*COS(RADIANS('13_시나리오비교'!$B$13))),0)</f>
        <v/>
      </c>
      <c r="Y451" s="80">
        <f>IF($I451&gt;0,MAX(0,$G451*SIN(RADIANS('13_시나리오비교'!$B$14))*SIN(RADIANS('13_시나리오비교'!$C$14))+$H451*SIN(RADIANS('13_시나리오비교'!$B$14))*COS(RADIANS('13_시나리오비교'!$C$14))+$I451*COS(RADIANS('13_시나리오비교'!$B$14))),0)</f>
        <v/>
      </c>
    </row>
    <row r="452" hidden="1" outlineLevel="1">
      <c r="A452" s="79" t="n">
        <v>5</v>
      </c>
      <c r="B452" s="79" t="n">
        <v>48</v>
      </c>
      <c r="C452" s="80">
        <f>(B452-0.5)*'14_지역·상수'!$H$6</f>
        <v/>
      </c>
      <c r="D452" s="79" t="n">
        <v>135</v>
      </c>
      <c r="E452" s="80">
        <f>INDEX($C$4:$C$15,MATCH(A452,$A$4:$A$15,0))</f>
        <v/>
      </c>
      <c r="F452" s="80">
        <f>15*(C452-12)</f>
        <v/>
      </c>
      <c r="G452" s="80">
        <f>-COS(RADIANS(E452))*SIN(RADIANS(F452))</f>
        <v/>
      </c>
      <c r="H452" s="80">
        <f>COS(RADIANS('11_발전량_모델'!$B$17))*SIN(RADIANS(E452))-SIN(RADIANS('11_발전량_모델'!$B$17))*COS(RADIANS(E452))*COS(RADIANS(F452))</f>
        <v/>
      </c>
      <c r="I452" s="80">
        <f>SIN(RADIANS('11_발전량_모델'!$B$17))*SIN(RADIANS(E452))+COS(RADIANS('11_발전량_모델'!$B$17))*COS(RADIANS(E452))*COS(RADIANS(F452))</f>
        <v/>
      </c>
      <c r="J452" s="80">
        <f>SIN(RADIANS('11_발전량_모델'!$B$7))*SIN(RADIANS('11_발전량_모델'!$B$8))</f>
        <v/>
      </c>
      <c r="K452" s="80">
        <f>SIN(RADIANS('11_발전량_모델'!$B$7))*COS(RADIANS('11_발전량_모델'!$B$8))</f>
        <v/>
      </c>
      <c r="L452" s="80">
        <f>COS(RADIANS('11_발전량_모델'!$B$7))</f>
        <v/>
      </c>
      <c r="M452" s="80">
        <f>G452*J452+H452*K452+I452*L452</f>
        <v/>
      </c>
      <c r="N452" s="80">
        <f>MAX(0,I452)</f>
        <v/>
      </c>
      <c r="O452" s="80">
        <f>IF(I452&gt;0,MAX(0,M452),0)</f>
        <v/>
      </c>
      <c r="P452" s="80">
        <f>IF($I452&gt;0,MAX(0,$G452*SIN(RADIANS('13_시나리오비교'!$B$5))*SIN(RADIANS('13_시나리오비교'!$C$5))+$H452*SIN(RADIANS('13_시나리오비교'!$B$5))*COS(RADIANS('13_시나리오비교'!$C$5))+$I452*COS(RADIANS('13_시나리오비교'!$B$5))),0)</f>
        <v/>
      </c>
      <c r="Q452" s="80">
        <f>IF($I452&gt;0,MAX(0,$G452*SIN(RADIANS('13_시나리오비교'!$B$6))*SIN(RADIANS('13_시나리오비교'!$C$6))+$H452*SIN(RADIANS('13_시나리오비교'!$B$6))*COS(RADIANS('13_시나리오비교'!$C$6))+$I452*COS(RADIANS('13_시나리오비교'!$B$6))),0)</f>
        <v/>
      </c>
      <c r="R452" s="80">
        <f>IF($I452&gt;0,MAX(0,$G452*SIN(RADIANS('13_시나리오비교'!$B$7))*SIN(RADIANS('13_시나리오비교'!$C$7))+$H452*SIN(RADIANS('13_시나리오비교'!$B$7))*COS(RADIANS('13_시나리오비교'!$C$7))+$I452*COS(RADIANS('13_시나리오비교'!$B$7))),0)</f>
        <v/>
      </c>
      <c r="S452" s="80">
        <f>IF($I452&gt;0,MAX(0,$G452*SIN(RADIANS('13_시나리오비교'!$B$8))*SIN(RADIANS('13_시나리오비교'!$C$8))+$H452*SIN(RADIANS('13_시나리오비교'!$B$8))*COS(RADIANS('13_시나리오비교'!$C$8))+$I452*COS(RADIANS('13_시나리오비교'!$B$8))),0)</f>
        <v/>
      </c>
      <c r="T452" s="80">
        <f>IF($I452&gt;0,MAX(0,$G452*SIN(RADIANS('13_시나리오비교'!$B$9))*SIN(RADIANS('13_시나리오비교'!$C$9))+$H452*SIN(RADIANS('13_시나리오비교'!$B$9))*COS(RADIANS('13_시나리오비교'!$C$9))+$I452*COS(RADIANS('13_시나리오비교'!$B$9))),0)</f>
        <v/>
      </c>
      <c r="U452" s="80">
        <f>IF($I452&gt;0,MAX(0,$G452*SIN(RADIANS('13_시나리오비교'!$B$10))*SIN(RADIANS('13_시나리오비교'!$C$10))+$H452*SIN(RADIANS('13_시나리오비교'!$B$10))*COS(RADIANS('13_시나리오비교'!$C$10))+$I452*COS(RADIANS('13_시나리오비교'!$B$10))),0)</f>
        <v/>
      </c>
      <c r="V452" s="80">
        <f>IF($I452&gt;0,MAX(0,$G452*SIN(RADIANS('13_시나리오비교'!$B$11))*SIN(RADIANS('13_시나리오비교'!$C$11))+$H452*SIN(RADIANS('13_시나리오비교'!$B$11))*COS(RADIANS('13_시나리오비교'!$C$11))+$I452*COS(RADIANS('13_시나리오비교'!$B$11))),0)</f>
        <v/>
      </c>
      <c r="W452" s="80">
        <f>IF($I452&gt;0,MAX(0,$G452*SIN(RADIANS('13_시나리오비교'!$B$12))*SIN(RADIANS('13_시나리오비교'!$C$12))+$H452*SIN(RADIANS('13_시나리오비교'!$B$12))*COS(RADIANS('13_시나리오비교'!$C$12))+$I452*COS(RADIANS('13_시나리오비교'!$B$12))),0)</f>
        <v/>
      </c>
      <c r="X452" s="80">
        <f>IF($I452&gt;0,MAX(0,$G452*SIN(RADIANS('13_시나리오비교'!$B$13))*SIN(RADIANS('13_시나리오비교'!$C$13))+$H452*SIN(RADIANS('13_시나리오비교'!$B$13))*COS(RADIANS('13_시나리오비교'!$C$13))+$I452*COS(RADIANS('13_시나리오비교'!$B$13))),0)</f>
        <v/>
      </c>
      <c r="Y452" s="80">
        <f>IF($I452&gt;0,MAX(0,$G452*SIN(RADIANS('13_시나리오비교'!$B$14))*SIN(RADIANS('13_시나리오비교'!$C$14))+$H452*SIN(RADIANS('13_시나리오비교'!$B$14))*COS(RADIANS('13_시나리오비교'!$C$14))+$I452*COS(RADIANS('13_시나리오비교'!$B$14))),0)</f>
        <v/>
      </c>
    </row>
    <row r="453" hidden="1" outlineLevel="1">
      <c r="A453" s="79" t="n">
        <v>5</v>
      </c>
      <c r="B453" s="79" t="n">
        <v>49</v>
      </c>
      <c r="C453" s="80">
        <f>(B453-0.5)*'14_지역·상수'!$H$6</f>
        <v/>
      </c>
      <c r="D453" s="79" t="n">
        <v>135</v>
      </c>
      <c r="E453" s="80">
        <f>INDEX($C$4:$C$15,MATCH(A453,$A$4:$A$15,0))</f>
        <v/>
      </c>
      <c r="F453" s="80">
        <f>15*(C453-12)</f>
        <v/>
      </c>
      <c r="G453" s="80">
        <f>-COS(RADIANS(E453))*SIN(RADIANS(F453))</f>
        <v/>
      </c>
      <c r="H453" s="80">
        <f>COS(RADIANS('11_발전량_모델'!$B$17))*SIN(RADIANS(E453))-SIN(RADIANS('11_발전량_모델'!$B$17))*COS(RADIANS(E453))*COS(RADIANS(F453))</f>
        <v/>
      </c>
      <c r="I453" s="80">
        <f>SIN(RADIANS('11_발전량_모델'!$B$17))*SIN(RADIANS(E453))+COS(RADIANS('11_발전량_모델'!$B$17))*COS(RADIANS(E453))*COS(RADIANS(F453))</f>
        <v/>
      </c>
      <c r="J453" s="80">
        <f>SIN(RADIANS('11_발전량_모델'!$B$7))*SIN(RADIANS('11_발전량_모델'!$B$8))</f>
        <v/>
      </c>
      <c r="K453" s="80">
        <f>SIN(RADIANS('11_발전량_모델'!$B$7))*COS(RADIANS('11_발전량_모델'!$B$8))</f>
        <v/>
      </c>
      <c r="L453" s="80">
        <f>COS(RADIANS('11_발전량_모델'!$B$7))</f>
        <v/>
      </c>
      <c r="M453" s="80">
        <f>G453*J453+H453*K453+I453*L453</f>
        <v/>
      </c>
      <c r="N453" s="80">
        <f>MAX(0,I453)</f>
        <v/>
      </c>
      <c r="O453" s="80">
        <f>IF(I453&gt;0,MAX(0,M453),0)</f>
        <v/>
      </c>
      <c r="P453" s="80">
        <f>IF($I453&gt;0,MAX(0,$G453*SIN(RADIANS('13_시나리오비교'!$B$5))*SIN(RADIANS('13_시나리오비교'!$C$5))+$H453*SIN(RADIANS('13_시나리오비교'!$B$5))*COS(RADIANS('13_시나리오비교'!$C$5))+$I453*COS(RADIANS('13_시나리오비교'!$B$5))),0)</f>
        <v/>
      </c>
      <c r="Q453" s="80">
        <f>IF($I453&gt;0,MAX(0,$G453*SIN(RADIANS('13_시나리오비교'!$B$6))*SIN(RADIANS('13_시나리오비교'!$C$6))+$H453*SIN(RADIANS('13_시나리오비교'!$B$6))*COS(RADIANS('13_시나리오비교'!$C$6))+$I453*COS(RADIANS('13_시나리오비교'!$B$6))),0)</f>
        <v/>
      </c>
      <c r="R453" s="80">
        <f>IF($I453&gt;0,MAX(0,$G453*SIN(RADIANS('13_시나리오비교'!$B$7))*SIN(RADIANS('13_시나리오비교'!$C$7))+$H453*SIN(RADIANS('13_시나리오비교'!$B$7))*COS(RADIANS('13_시나리오비교'!$C$7))+$I453*COS(RADIANS('13_시나리오비교'!$B$7))),0)</f>
        <v/>
      </c>
      <c r="S453" s="80">
        <f>IF($I453&gt;0,MAX(0,$G453*SIN(RADIANS('13_시나리오비교'!$B$8))*SIN(RADIANS('13_시나리오비교'!$C$8))+$H453*SIN(RADIANS('13_시나리오비교'!$B$8))*COS(RADIANS('13_시나리오비교'!$C$8))+$I453*COS(RADIANS('13_시나리오비교'!$B$8))),0)</f>
        <v/>
      </c>
      <c r="T453" s="80">
        <f>IF($I453&gt;0,MAX(0,$G453*SIN(RADIANS('13_시나리오비교'!$B$9))*SIN(RADIANS('13_시나리오비교'!$C$9))+$H453*SIN(RADIANS('13_시나리오비교'!$B$9))*COS(RADIANS('13_시나리오비교'!$C$9))+$I453*COS(RADIANS('13_시나리오비교'!$B$9))),0)</f>
        <v/>
      </c>
      <c r="U453" s="80">
        <f>IF($I453&gt;0,MAX(0,$G453*SIN(RADIANS('13_시나리오비교'!$B$10))*SIN(RADIANS('13_시나리오비교'!$C$10))+$H453*SIN(RADIANS('13_시나리오비교'!$B$10))*COS(RADIANS('13_시나리오비교'!$C$10))+$I453*COS(RADIANS('13_시나리오비교'!$B$10))),0)</f>
        <v/>
      </c>
      <c r="V453" s="80">
        <f>IF($I453&gt;0,MAX(0,$G453*SIN(RADIANS('13_시나리오비교'!$B$11))*SIN(RADIANS('13_시나리오비교'!$C$11))+$H453*SIN(RADIANS('13_시나리오비교'!$B$11))*COS(RADIANS('13_시나리오비교'!$C$11))+$I453*COS(RADIANS('13_시나리오비교'!$B$11))),0)</f>
        <v/>
      </c>
      <c r="W453" s="80">
        <f>IF($I453&gt;0,MAX(0,$G453*SIN(RADIANS('13_시나리오비교'!$B$12))*SIN(RADIANS('13_시나리오비교'!$C$12))+$H453*SIN(RADIANS('13_시나리오비교'!$B$12))*COS(RADIANS('13_시나리오비교'!$C$12))+$I453*COS(RADIANS('13_시나리오비교'!$B$12))),0)</f>
        <v/>
      </c>
      <c r="X453" s="80">
        <f>IF($I453&gt;0,MAX(0,$G453*SIN(RADIANS('13_시나리오비교'!$B$13))*SIN(RADIANS('13_시나리오비교'!$C$13))+$H453*SIN(RADIANS('13_시나리오비교'!$B$13))*COS(RADIANS('13_시나리오비교'!$C$13))+$I453*COS(RADIANS('13_시나리오비교'!$B$13))),0)</f>
        <v/>
      </c>
      <c r="Y453" s="80">
        <f>IF($I453&gt;0,MAX(0,$G453*SIN(RADIANS('13_시나리오비교'!$B$14))*SIN(RADIANS('13_시나리오비교'!$C$14))+$H453*SIN(RADIANS('13_시나리오비교'!$B$14))*COS(RADIANS('13_시나리오비교'!$C$14))+$I453*COS(RADIANS('13_시나리오비교'!$B$14))),0)</f>
        <v/>
      </c>
    </row>
    <row r="454" hidden="1" outlineLevel="1">
      <c r="A454" s="79" t="n">
        <v>5</v>
      </c>
      <c r="B454" s="79" t="n">
        <v>50</v>
      </c>
      <c r="C454" s="80">
        <f>(B454-0.5)*'14_지역·상수'!$H$6</f>
        <v/>
      </c>
      <c r="D454" s="79" t="n">
        <v>135</v>
      </c>
      <c r="E454" s="80">
        <f>INDEX($C$4:$C$15,MATCH(A454,$A$4:$A$15,0))</f>
        <v/>
      </c>
      <c r="F454" s="80">
        <f>15*(C454-12)</f>
        <v/>
      </c>
      <c r="G454" s="80">
        <f>-COS(RADIANS(E454))*SIN(RADIANS(F454))</f>
        <v/>
      </c>
      <c r="H454" s="80">
        <f>COS(RADIANS('11_발전량_모델'!$B$17))*SIN(RADIANS(E454))-SIN(RADIANS('11_발전량_모델'!$B$17))*COS(RADIANS(E454))*COS(RADIANS(F454))</f>
        <v/>
      </c>
      <c r="I454" s="80">
        <f>SIN(RADIANS('11_발전량_모델'!$B$17))*SIN(RADIANS(E454))+COS(RADIANS('11_발전량_모델'!$B$17))*COS(RADIANS(E454))*COS(RADIANS(F454))</f>
        <v/>
      </c>
      <c r="J454" s="80">
        <f>SIN(RADIANS('11_발전량_모델'!$B$7))*SIN(RADIANS('11_발전량_모델'!$B$8))</f>
        <v/>
      </c>
      <c r="K454" s="80">
        <f>SIN(RADIANS('11_발전량_모델'!$B$7))*COS(RADIANS('11_발전량_모델'!$B$8))</f>
        <v/>
      </c>
      <c r="L454" s="80">
        <f>COS(RADIANS('11_발전량_모델'!$B$7))</f>
        <v/>
      </c>
      <c r="M454" s="80">
        <f>G454*J454+H454*K454+I454*L454</f>
        <v/>
      </c>
      <c r="N454" s="80">
        <f>MAX(0,I454)</f>
        <v/>
      </c>
      <c r="O454" s="80">
        <f>IF(I454&gt;0,MAX(0,M454),0)</f>
        <v/>
      </c>
      <c r="P454" s="80">
        <f>IF($I454&gt;0,MAX(0,$G454*SIN(RADIANS('13_시나리오비교'!$B$5))*SIN(RADIANS('13_시나리오비교'!$C$5))+$H454*SIN(RADIANS('13_시나리오비교'!$B$5))*COS(RADIANS('13_시나리오비교'!$C$5))+$I454*COS(RADIANS('13_시나리오비교'!$B$5))),0)</f>
        <v/>
      </c>
      <c r="Q454" s="80">
        <f>IF($I454&gt;0,MAX(0,$G454*SIN(RADIANS('13_시나리오비교'!$B$6))*SIN(RADIANS('13_시나리오비교'!$C$6))+$H454*SIN(RADIANS('13_시나리오비교'!$B$6))*COS(RADIANS('13_시나리오비교'!$C$6))+$I454*COS(RADIANS('13_시나리오비교'!$B$6))),0)</f>
        <v/>
      </c>
      <c r="R454" s="80">
        <f>IF($I454&gt;0,MAX(0,$G454*SIN(RADIANS('13_시나리오비교'!$B$7))*SIN(RADIANS('13_시나리오비교'!$C$7))+$H454*SIN(RADIANS('13_시나리오비교'!$B$7))*COS(RADIANS('13_시나리오비교'!$C$7))+$I454*COS(RADIANS('13_시나리오비교'!$B$7))),0)</f>
        <v/>
      </c>
      <c r="S454" s="80">
        <f>IF($I454&gt;0,MAX(0,$G454*SIN(RADIANS('13_시나리오비교'!$B$8))*SIN(RADIANS('13_시나리오비교'!$C$8))+$H454*SIN(RADIANS('13_시나리오비교'!$B$8))*COS(RADIANS('13_시나리오비교'!$C$8))+$I454*COS(RADIANS('13_시나리오비교'!$B$8))),0)</f>
        <v/>
      </c>
      <c r="T454" s="80">
        <f>IF($I454&gt;0,MAX(0,$G454*SIN(RADIANS('13_시나리오비교'!$B$9))*SIN(RADIANS('13_시나리오비교'!$C$9))+$H454*SIN(RADIANS('13_시나리오비교'!$B$9))*COS(RADIANS('13_시나리오비교'!$C$9))+$I454*COS(RADIANS('13_시나리오비교'!$B$9))),0)</f>
        <v/>
      </c>
      <c r="U454" s="80">
        <f>IF($I454&gt;0,MAX(0,$G454*SIN(RADIANS('13_시나리오비교'!$B$10))*SIN(RADIANS('13_시나리오비교'!$C$10))+$H454*SIN(RADIANS('13_시나리오비교'!$B$10))*COS(RADIANS('13_시나리오비교'!$C$10))+$I454*COS(RADIANS('13_시나리오비교'!$B$10))),0)</f>
        <v/>
      </c>
      <c r="V454" s="80">
        <f>IF($I454&gt;0,MAX(0,$G454*SIN(RADIANS('13_시나리오비교'!$B$11))*SIN(RADIANS('13_시나리오비교'!$C$11))+$H454*SIN(RADIANS('13_시나리오비교'!$B$11))*COS(RADIANS('13_시나리오비교'!$C$11))+$I454*COS(RADIANS('13_시나리오비교'!$B$11))),0)</f>
        <v/>
      </c>
      <c r="W454" s="80">
        <f>IF($I454&gt;0,MAX(0,$G454*SIN(RADIANS('13_시나리오비교'!$B$12))*SIN(RADIANS('13_시나리오비교'!$C$12))+$H454*SIN(RADIANS('13_시나리오비교'!$B$12))*COS(RADIANS('13_시나리오비교'!$C$12))+$I454*COS(RADIANS('13_시나리오비교'!$B$12))),0)</f>
        <v/>
      </c>
      <c r="X454" s="80">
        <f>IF($I454&gt;0,MAX(0,$G454*SIN(RADIANS('13_시나리오비교'!$B$13))*SIN(RADIANS('13_시나리오비교'!$C$13))+$H454*SIN(RADIANS('13_시나리오비교'!$B$13))*COS(RADIANS('13_시나리오비교'!$C$13))+$I454*COS(RADIANS('13_시나리오비교'!$B$13))),0)</f>
        <v/>
      </c>
      <c r="Y454" s="80">
        <f>IF($I454&gt;0,MAX(0,$G454*SIN(RADIANS('13_시나리오비교'!$B$14))*SIN(RADIANS('13_시나리오비교'!$C$14))+$H454*SIN(RADIANS('13_시나리오비교'!$B$14))*COS(RADIANS('13_시나리오비교'!$C$14))+$I454*COS(RADIANS('13_시나리오비교'!$B$14))),0)</f>
        <v/>
      </c>
    </row>
    <row r="455" hidden="1" outlineLevel="1">
      <c r="A455" s="79" t="n">
        <v>5</v>
      </c>
      <c r="B455" s="79" t="n">
        <v>51</v>
      </c>
      <c r="C455" s="80">
        <f>(B455-0.5)*'14_지역·상수'!$H$6</f>
        <v/>
      </c>
      <c r="D455" s="79" t="n">
        <v>135</v>
      </c>
      <c r="E455" s="80">
        <f>INDEX($C$4:$C$15,MATCH(A455,$A$4:$A$15,0))</f>
        <v/>
      </c>
      <c r="F455" s="80">
        <f>15*(C455-12)</f>
        <v/>
      </c>
      <c r="G455" s="80">
        <f>-COS(RADIANS(E455))*SIN(RADIANS(F455))</f>
        <v/>
      </c>
      <c r="H455" s="80">
        <f>COS(RADIANS('11_발전량_모델'!$B$17))*SIN(RADIANS(E455))-SIN(RADIANS('11_발전량_모델'!$B$17))*COS(RADIANS(E455))*COS(RADIANS(F455))</f>
        <v/>
      </c>
      <c r="I455" s="80">
        <f>SIN(RADIANS('11_발전량_모델'!$B$17))*SIN(RADIANS(E455))+COS(RADIANS('11_발전량_모델'!$B$17))*COS(RADIANS(E455))*COS(RADIANS(F455))</f>
        <v/>
      </c>
      <c r="J455" s="80">
        <f>SIN(RADIANS('11_발전량_모델'!$B$7))*SIN(RADIANS('11_발전량_모델'!$B$8))</f>
        <v/>
      </c>
      <c r="K455" s="80">
        <f>SIN(RADIANS('11_발전량_모델'!$B$7))*COS(RADIANS('11_발전량_모델'!$B$8))</f>
        <v/>
      </c>
      <c r="L455" s="80">
        <f>COS(RADIANS('11_발전량_모델'!$B$7))</f>
        <v/>
      </c>
      <c r="M455" s="80">
        <f>G455*J455+H455*K455+I455*L455</f>
        <v/>
      </c>
      <c r="N455" s="80">
        <f>MAX(0,I455)</f>
        <v/>
      </c>
      <c r="O455" s="80">
        <f>IF(I455&gt;0,MAX(0,M455),0)</f>
        <v/>
      </c>
      <c r="P455" s="80">
        <f>IF($I455&gt;0,MAX(0,$G455*SIN(RADIANS('13_시나리오비교'!$B$5))*SIN(RADIANS('13_시나리오비교'!$C$5))+$H455*SIN(RADIANS('13_시나리오비교'!$B$5))*COS(RADIANS('13_시나리오비교'!$C$5))+$I455*COS(RADIANS('13_시나리오비교'!$B$5))),0)</f>
        <v/>
      </c>
      <c r="Q455" s="80">
        <f>IF($I455&gt;0,MAX(0,$G455*SIN(RADIANS('13_시나리오비교'!$B$6))*SIN(RADIANS('13_시나리오비교'!$C$6))+$H455*SIN(RADIANS('13_시나리오비교'!$B$6))*COS(RADIANS('13_시나리오비교'!$C$6))+$I455*COS(RADIANS('13_시나리오비교'!$B$6))),0)</f>
        <v/>
      </c>
      <c r="R455" s="80">
        <f>IF($I455&gt;0,MAX(0,$G455*SIN(RADIANS('13_시나리오비교'!$B$7))*SIN(RADIANS('13_시나리오비교'!$C$7))+$H455*SIN(RADIANS('13_시나리오비교'!$B$7))*COS(RADIANS('13_시나리오비교'!$C$7))+$I455*COS(RADIANS('13_시나리오비교'!$B$7))),0)</f>
        <v/>
      </c>
      <c r="S455" s="80">
        <f>IF($I455&gt;0,MAX(0,$G455*SIN(RADIANS('13_시나리오비교'!$B$8))*SIN(RADIANS('13_시나리오비교'!$C$8))+$H455*SIN(RADIANS('13_시나리오비교'!$B$8))*COS(RADIANS('13_시나리오비교'!$C$8))+$I455*COS(RADIANS('13_시나리오비교'!$B$8))),0)</f>
        <v/>
      </c>
      <c r="T455" s="80">
        <f>IF($I455&gt;0,MAX(0,$G455*SIN(RADIANS('13_시나리오비교'!$B$9))*SIN(RADIANS('13_시나리오비교'!$C$9))+$H455*SIN(RADIANS('13_시나리오비교'!$B$9))*COS(RADIANS('13_시나리오비교'!$C$9))+$I455*COS(RADIANS('13_시나리오비교'!$B$9))),0)</f>
        <v/>
      </c>
      <c r="U455" s="80">
        <f>IF($I455&gt;0,MAX(0,$G455*SIN(RADIANS('13_시나리오비교'!$B$10))*SIN(RADIANS('13_시나리오비교'!$C$10))+$H455*SIN(RADIANS('13_시나리오비교'!$B$10))*COS(RADIANS('13_시나리오비교'!$C$10))+$I455*COS(RADIANS('13_시나리오비교'!$B$10))),0)</f>
        <v/>
      </c>
      <c r="V455" s="80">
        <f>IF($I455&gt;0,MAX(0,$G455*SIN(RADIANS('13_시나리오비교'!$B$11))*SIN(RADIANS('13_시나리오비교'!$C$11))+$H455*SIN(RADIANS('13_시나리오비교'!$B$11))*COS(RADIANS('13_시나리오비교'!$C$11))+$I455*COS(RADIANS('13_시나리오비교'!$B$11))),0)</f>
        <v/>
      </c>
      <c r="W455" s="80">
        <f>IF($I455&gt;0,MAX(0,$G455*SIN(RADIANS('13_시나리오비교'!$B$12))*SIN(RADIANS('13_시나리오비교'!$C$12))+$H455*SIN(RADIANS('13_시나리오비교'!$B$12))*COS(RADIANS('13_시나리오비교'!$C$12))+$I455*COS(RADIANS('13_시나리오비교'!$B$12))),0)</f>
        <v/>
      </c>
      <c r="X455" s="80">
        <f>IF($I455&gt;0,MAX(0,$G455*SIN(RADIANS('13_시나리오비교'!$B$13))*SIN(RADIANS('13_시나리오비교'!$C$13))+$H455*SIN(RADIANS('13_시나리오비교'!$B$13))*COS(RADIANS('13_시나리오비교'!$C$13))+$I455*COS(RADIANS('13_시나리오비교'!$B$13))),0)</f>
        <v/>
      </c>
      <c r="Y455" s="80">
        <f>IF($I455&gt;0,MAX(0,$G455*SIN(RADIANS('13_시나리오비교'!$B$14))*SIN(RADIANS('13_시나리오비교'!$C$14))+$H455*SIN(RADIANS('13_시나리오비교'!$B$14))*COS(RADIANS('13_시나리오비교'!$C$14))+$I455*COS(RADIANS('13_시나리오비교'!$B$14))),0)</f>
        <v/>
      </c>
    </row>
    <row r="456" hidden="1" outlineLevel="1">
      <c r="A456" s="79" t="n">
        <v>5</v>
      </c>
      <c r="B456" s="79" t="n">
        <v>52</v>
      </c>
      <c r="C456" s="80">
        <f>(B456-0.5)*'14_지역·상수'!$H$6</f>
        <v/>
      </c>
      <c r="D456" s="79" t="n">
        <v>135</v>
      </c>
      <c r="E456" s="80">
        <f>INDEX($C$4:$C$15,MATCH(A456,$A$4:$A$15,0))</f>
        <v/>
      </c>
      <c r="F456" s="80">
        <f>15*(C456-12)</f>
        <v/>
      </c>
      <c r="G456" s="80">
        <f>-COS(RADIANS(E456))*SIN(RADIANS(F456))</f>
        <v/>
      </c>
      <c r="H456" s="80">
        <f>COS(RADIANS('11_발전량_모델'!$B$17))*SIN(RADIANS(E456))-SIN(RADIANS('11_발전량_모델'!$B$17))*COS(RADIANS(E456))*COS(RADIANS(F456))</f>
        <v/>
      </c>
      <c r="I456" s="80">
        <f>SIN(RADIANS('11_발전량_모델'!$B$17))*SIN(RADIANS(E456))+COS(RADIANS('11_발전량_모델'!$B$17))*COS(RADIANS(E456))*COS(RADIANS(F456))</f>
        <v/>
      </c>
      <c r="J456" s="80">
        <f>SIN(RADIANS('11_발전량_모델'!$B$7))*SIN(RADIANS('11_발전량_모델'!$B$8))</f>
        <v/>
      </c>
      <c r="K456" s="80">
        <f>SIN(RADIANS('11_발전량_모델'!$B$7))*COS(RADIANS('11_발전량_모델'!$B$8))</f>
        <v/>
      </c>
      <c r="L456" s="80">
        <f>COS(RADIANS('11_발전량_모델'!$B$7))</f>
        <v/>
      </c>
      <c r="M456" s="80">
        <f>G456*J456+H456*K456+I456*L456</f>
        <v/>
      </c>
      <c r="N456" s="80">
        <f>MAX(0,I456)</f>
        <v/>
      </c>
      <c r="O456" s="80">
        <f>IF(I456&gt;0,MAX(0,M456),0)</f>
        <v/>
      </c>
      <c r="P456" s="80">
        <f>IF($I456&gt;0,MAX(0,$G456*SIN(RADIANS('13_시나리오비교'!$B$5))*SIN(RADIANS('13_시나리오비교'!$C$5))+$H456*SIN(RADIANS('13_시나리오비교'!$B$5))*COS(RADIANS('13_시나리오비교'!$C$5))+$I456*COS(RADIANS('13_시나리오비교'!$B$5))),0)</f>
        <v/>
      </c>
      <c r="Q456" s="80">
        <f>IF($I456&gt;0,MAX(0,$G456*SIN(RADIANS('13_시나리오비교'!$B$6))*SIN(RADIANS('13_시나리오비교'!$C$6))+$H456*SIN(RADIANS('13_시나리오비교'!$B$6))*COS(RADIANS('13_시나리오비교'!$C$6))+$I456*COS(RADIANS('13_시나리오비교'!$B$6))),0)</f>
        <v/>
      </c>
      <c r="R456" s="80">
        <f>IF($I456&gt;0,MAX(0,$G456*SIN(RADIANS('13_시나리오비교'!$B$7))*SIN(RADIANS('13_시나리오비교'!$C$7))+$H456*SIN(RADIANS('13_시나리오비교'!$B$7))*COS(RADIANS('13_시나리오비교'!$C$7))+$I456*COS(RADIANS('13_시나리오비교'!$B$7))),0)</f>
        <v/>
      </c>
      <c r="S456" s="80">
        <f>IF($I456&gt;0,MAX(0,$G456*SIN(RADIANS('13_시나리오비교'!$B$8))*SIN(RADIANS('13_시나리오비교'!$C$8))+$H456*SIN(RADIANS('13_시나리오비교'!$B$8))*COS(RADIANS('13_시나리오비교'!$C$8))+$I456*COS(RADIANS('13_시나리오비교'!$B$8))),0)</f>
        <v/>
      </c>
      <c r="T456" s="80">
        <f>IF($I456&gt;0,MAX(0,$G456*SIN(RADIANS('13_시나리오비교'!$B$9))*SIN(RADIANS('13_시나리오비교'!$C$9))+$H456*SIN(RADIANS('13_시나리오비교'!$B$9))*COS(RADIANS('13_시나리오비교'!$C$9))+$I456*COS(RADIANS('13_시나리오비교'!$B$9))),0)</f>
        <v/>
      </c>
      <c r="U456" s="80">
        <f>IF($I456&gt;0,MAX(0,$G456*SIN(RADIANS('13_시나리오비교'!$B$10))*SIN(RADIANS('13_시나리오비교'!$C$10))+$H456*SIN(RADIANS('13_시나리오비교'!$B$10))*COS(RADIANS('13_시나리오비교'!$C$10))+$I456*COS(RADIANS('13_시나리오비교'!$B$10))),0)</f>
        <v/>
      </c>
      <c r="V456" s="80">
        <f>IF($I456&gt;0,MAX(0,$G456*SIN(RADIANS('13_시나리오비교'!$B$11))*SIN(RADIANS('13_시나리오비교'!$C$11))+$H456*SIN(RADIANS('13_시나리오비교'!$B$11))*COS(RADIANS('13_시나리오비교'!$C$11))+$I456*COS(RADIANS('13_시나리오비교'!$B$11))),0)</f>
        <v/>
      </c>
      <c r="W456" s="80">
        <f>IF($I456&gt;0,MAX(0,$G456*SIN(RADIANS('13_시나리오비교'!$B$12))*SIN(RADIANS('13_시나리오비교'!$C$12))+$H456*SIN(RADIANS('13_시나리오비교'!$B$12))*COS(RADIANS('13_시나리오비교'!$C$12))+$I456*COS(RADIANS('13_시나리오비교'!$B$12))),0)</f>
        <v/>
      </c>
      <c r="X456" s="80">
        <f>IF($I456&gt;0,MAX(0,$G456*SIN(RADIANS('13_시나리오비교'!$B$13))*SIN(RADIANS('13_시나리오비교'!$C$13))+$H456*SIN(RADIANS('13_시나리오비교'!$B$13))*COS(RADIANS('13_시나리오비교'!$C$13))+$I456*COS(RADIANS('13_시나리오비교'!$B$13))),0)</f>
        <v/>
      </c>
      <c r="Y456" s="80">
        <f>IF($I456&gt;0,MAX(0,$G456*SIN(RADIANS('13_시나리오비교'!$B$14))*SIN(RADIANS('13_시나리오비교'!$C$14))+$H456*SIN(RADIANS('13_시나리오비교'!$B$14))*COS(RADIANS('13_시나리오비교'!$C$14))+$I456*COS(RADIANS('13_시나리오비교'!$B$14))),0)</f>
        <v/>
      </c>
    </row>
    <row r="457" hidden="1" outlineLevel="1">
      <c r="A457" s="79" t="n">
        <v>5</v>
      </c>
      <c r="B457" s="79" t="n">
        <v>53</v>
      </c>
      <c r="C457" s="80">
        <f>(B457-0.5)*'14_지역·상수'!$H$6</f>
        <v/>
      </c>
      <c r="D457" s="79" t="n">
        <v>135</v>
      </c>
      <c r="E457" s="80">
        <f>INDEX($C$4:$C$15,MATCH(A457,$A$4:$A$15,0))</f>
        <v/>
      </c>
      <c r="F457" s="80">
        <f>15*(C457-12)</f>
        <v/>
      </c>
      <c r="G457" s="80">
        <f>-COS(RADIANS(E457))*SIN(RADIANS(F457))</f>
        <v/>
      </c>
      <c r="H457" s="80">
        <f>COS(RADIANS('11_발전량_모델'!$B$17))*SIN(RADIANS(E457))-SIN(RADIANS('11_발전량_모델'!$B$17))*COS(RADIANS(E457))*COS(RADIANS(F457))</f>
        <v/>
      </c>
      <c r="I457" s="80">
        <f>SIN(RADIANS('11_발전량_모델'!$B$17))*SIN(RADIANS(E457))+COS(RADIANS('11_발전량_모델'!$B$17))*COS(RADIANS(E457))*COS(RADIANS(F457))</f>
        <v/>
      </c>
      <c r="J457" s="80">
        <f>SIN(RADIANS('11_발전량_모델'!$B$7))*SIN(RADIANS('11_발전량_모델'!$B$8))</f>
        <v/>
      </c>
      <c r="K457" s="80">
        <f>SIN(RADIANS('11_발전량_모델'!$B$7))*COS(RADIANS('11_발전량_모델'!$B$8))</f>
        <v/>
      </c>
      <c r="L457" s="80">
        <f>COS(RADIANS('11_발전량_모델'!$B$7))</f>
        <v/>
      </c>
      <c r="M457" s="80">
        <f>G457*J457+H457*K457+I457*L457</f>
        <v/>
      </c>
      <c r="N457" s="80">
        <f>MAX(0,I457)</f>
        <v/>
      </c>
      <c r="O457" s="80">
        <f>IF(I457&gt;0,MAX(0,M457),0)</f>
        <v/>
      </c>
      <c r="P457" s="80">
        <f>IF($I457&gt;0,MAX(0,$G457*SIN(RADIANS('13_시나리오비교'!$B$5))*SIN(RADIANS('13_시나리오비교'!$C$5))+$H457*SIN(RADIANS('13_시나리오비교'!$B$5))*COS(RADIANS('13_시나리오비교'!$C$5))+$I457*COS(RADIANS('13_시나리오비교'!$B$5))),0)</f>
        <v/>
      </c>
      <c r="Q457" s="80">
        <f>IF($I457&gt;0,MAX(0,$G457*SIN(RADIANS('13_시나리오비교'!$B$6))*SIN(RADIANS('13_시나리오비교'!$C$6))+$H457*SIN(RADIANS('13_시나리오비교'!$B$6))*COS(RADIANS('13_시나리오비교'!$C$6))+$I457*COS(RADIANS('13_시나리오비교'!$B$6))),0)</f>
        <v/>
      </c>
      <c r="R457" s="80">
        <f>IF($I457&gt;0,MAX(0,$G457*SIN(RADIANS('13_시나리오비교'!$B$7))*SIN(RADIANS('13_시나리오비교'!$C$7))+$H457*SIN(RADIANS('13_시나리오비교'!$B$7))*COS(RADIANS('13_시나리오비교'!$C$7))+$I457*COS(RADIANS('13_시나리오비교'!$B$7))),0)</f>
        <v/>
      </c>
      <c r="S457" s="80">
        <f>IF($I457&gt;0,MAX(0,$G457*SIN(RADIANS('13_시나리오비교'!$B$8))*SIN(RADIANS('13_시나리오비교'!$C$8))+$H457*SIN(RADIANS('13_시나리오비교'!$B$8))*COS(RADIANS('13_시나리오비교'!$C$8))+$I457*COS(RADIANS('13_시나리오비교'!$B$8))),0)</f>
        <v/>
      </c>
      <c r="T457" s="80">
        <f>IF($I457&gt;0,MAX(0,$G457*SIN(RADIANS('13_시나리오비교'!$B$9))*SIN(RADIANS('13_시나리오비교'!$C$9))+$H457*SIN(RADIANS('13_시나리오비교'!$B$9))*COS(RADIANS('13_시나리오비교'!$C$9))+$I457*COS(RADIANS('13_시나리오비교'!$B$9))),0)</f>
        <v/>
      </c>
      <c r="U457" s="80">
        <f>IF($I457&gt;0,MAX(0,$G457*SIN(RADIANS('13_시나리오비교'!$B$10))*SIN(RADIANS('13_시나리오비교'!$C$10))+$H457*SIN(RADIANS('13_시나리오비교'!$B$10))*COS(RADIANS('13_시나리오비교'!$C$10))+$I457*COS(RADIANS('13_시나리오비교'!$B$10))),0)</f>
        <v/>
      </c>
      <c r="V457" s="80">
        <f>IF($I457&gt;0,MAX(0,$G457*SIN(RADIANS('13_시나리오비교'!$B$11))*SIN(RADIANS('13_시나리오비교'!$C$11))+$H457*SIN(RADIANS('13_시나리오비교'!$B$11))*COS(RADIANS('13_시나리오비교'!$C$11))+$I457*COS(RADIANS('13_시나리오비교'!$B$11))),0)</f>
        <v/>
      </c>
      <c r="W457" s="80">
        <f>IF($I457&gt;0,MAX(0,$G457*SIN(RADIANS('13_시나리오비교'!$B$12))*SIN(RADIANS('13_시나리오비교'!$C$12))+$H457*SIN(RADIANS('13_시나리오비교'!$B$12))*COS(RADIANS('13_시나리오비교'!$C$12))+$I457*COS(RADIANS('13_시나리오비교'!$B$12))),0)</f>
        <v/>
      </c>
      <c r="X457" s="80">
        <f>IF($I457&gt;0,MAX(0,$G457*SIN(RADIANS('13_시나리오비교'!$B$13))*SIN(RADIANS('13_시나리오비교'!$C$13))+$H457*SIN(RADIANS('13_시나리오비교'!$B$13))*COS(RADIANS('13_시나리오비교'!$C$13))+$I457*COS(RADIANS('13_시나리오비교'!$B$13))),0)</f>
        <v/>
      </c>
      <c r="Y457" s="80">
        <f>IF($I457&gt;0,MAX(0,$G457*SIN(RADIANS('13_시나리오비교'!$B$14))*SIN(RADIANS('13_시나리오비교'!$C$14))+$H457*SIN(RADIANS('13_시나리오비교'!$B$14))*COS(RADIANS('13_시나리오비교'!$C$14))+$I457*COS(RADIANS('13_시나리오비교'!$B$14))),0)</f>
        <v/>
      </c>
    </row>
    <row r="458" hidden="1" outlineLevel="1">
      <c r="A458" s="79" t="n">
        <v>5</v>
      </c>
      <c r="B458" s="79" t="n">
        <v>54</v>
      </c>
      <c r="C458" s="80">
        <f>(B458-0.5)*'14_지역·상수'!$H$6</f>
        <v/>
      </c>
      <c r="D458" s="79" t="n">
        <v>135</v>
      </c>
      <c r="E458" s="80">
        <f>INDEX($C$4:$C$15,MATCH(A458,$A$4:$A$15,0))</f>
        <v/>
      </c>
      <c r="F458" s="80">
        <f>15*(C458-12)</f>
        <v/>
      </c>
      <c r="G458" s="80">
        <f>-COS(RADIANS(E458))*SIN(RADIANS(F458))</f>
        <v/>
      </c>
      <c r="H458" s="80">
        <f>COS(RADIANS('11_발전량_모델'!$B$17))*SIN(RADIANS(E458))-SIN(RADIANS('11_발전량_모델'!$B$17))*COS(RADIANS(E458))*COS(RADIANS(F458))</f>
        <v/>
      </c>
      <c r="I458" s="80">
        <f>SIN(RADIANS('11_발전량_모델'!$B$17))*SIN(RADIANS(E458))+COS(RADIANS('11_발전량_모델'!$B$17))*COS(RADIANS(E458))*COS(RADIANS(F458))</f>
        <v/>
      </c>
      <c r="J458" s="80">
        <f>SIN(RADIANS('11_발전량_모델'!$B$7))*SIN(RADIANS('11_발전량_모델'!$B$8))</f>
        <v/>
      </c>
      <c r="K458" s="80">
        <f>SIN(RADIANS('11_발전량_모델'!$B$7))*COS(RADIANS('11_발전량_모델'!$B$8))</f>
        <v/>
      </c>
      <c r="L458" s="80">
        <f>COS(RADIANS('11_발전량_모델'!$B$7))</f>
        <v/>
      </c>
      <c r="M458" s="80">
        <f>G458*J458+H458*K458+I458*L458</f>
        <v/>
      </c>
      <c r="N458" s="80">
        <f>MAX(0,I458)</f>
        <v/>
      </c>
      <c r="O458" s="80">
        <f>IF(I458&gt;0,MAX(0,M458),0)</f>
        <v/>
      </c>
      <c r="P458" s="80">
        <f>IF($I458&gt;0,MAX(0,$G458*SIN(RADIANS('13_시나리오비교'!$B$5))*SIN(RADIANS('13_시나리오비교'!$C$5))+$H458*SIN(RADIANS('13_시나리오비교'!$B$5))*COS(RADIANS('13_시나리오비교'!$C$5))+$I458*COS(RADIANS('13_시나리오비교'!$B$5))),0)</f>
        <v/>
      </c>
      <c r="Q458" s="80">
        <f>IF($I458&gt;0,MAX(0,$G458*SIN(RADIANS('13_시나리오비교'!$B$6))*SIN(RADIANS('13_시나리오비교'!$C$6))+$H458*SIN(RADIANS('13_시나리오비교'!$B$6))*COS(RADIANS('13_시나리오비교'!$C$6))+$I458*COS(RADIANS('13_시나리오비교'!$B$6))),0)</f>
        <v/>
      </c>
      <c r="R458" s="80">
        <f>IF($I458&gt;0,MAX(0,$G458*SIN(RADIANS('13_시나리오비교'!$B$7))*SIN(RADIANS('13_시나리오비교'!$C$7))+$H458*SIN(RADIANS('13_시나리오비교'!$B$7))*COS(RADIANS('13_시나리오비교'!$C$7))+$I458*COS(RADIANS('13_시나리오비교'!$B$7))),0)</f>
        <v/>
      </c>
      <c r="S458" s="80">
        <f>IF($I458&gt;0,MAX(0,$G458*SIN(RADIANS('13_시나리오비교'!$B$8))*SIN(RADIANS('13_시나리오비교'!$C$8))+$H458*SIN(RADIANS('13_시나리오비교'!$B$8))*COS(RADIANS('13_시나리오비교'!$C$8))+$I458*COS(RADIANS('13_시나리오비교'!$B$8))),0)</f>
        <v/>
      </c>
      <c r="T458" s="80">
        <f>IF($I458&gt;0,MAX(0,$G458*SIN(RADIANS('13_시나리오비교'!$B$9))*SIN(RADIANS('13_시나리오비교'!$C$9))+$H458*SIN(RADIANS('13_시나리오비교'!$B$9))*COS(RADIANS('13_시나리오비교'!$C$9))+$I458*COS(RADIANS('13_시나리오비교'!$B$9))),0)</f>
        <v/>
      </c>
      <c r="U458" s="80">
        <f>IF($I458&gt;0,MAX(0,$G458*SIN(RADIANS('13_시나리오비교'!$B$10))*SIN(RADIANS('13_시나리오비교'!$C$10))+$H458*SIN(RADIANS('13_시나리오비교'!$B$10))*COS(RADIANS('13_시나리오비교'!$C$10))+$I458*COS(RADIANS('13_시나리오비교'!$B$10))),0)</f>
        <v/>
      </c>
      <c r="V458" s="80">
        <f>IF($I458&gt;0,MAX(0,$G458*SIN(RADIANS('13_시나리오비교'!$B$11))*SIN(RADIANS('13_시나리오비교'!$C$11))+$H458*SIN(RADIANS('13_시나리오비교'!$B$11))*COS(RADIANS('13_시나리오비교'!$C$11))+$I458*COS(RADIANS('13_시나리오비교'!$B$11))),0)</f>
        <v/>
      </c>
      <c r="W458" s="80">
        <f>IF($I458&gt;0,MAX(0,$G458*SIN(RADIANS('13_시나리오비교'!$B$12))*SIN(RADIANS('13_시나리오비교'!$C$12))+$H458*SIN(RADIANS('13_시나리오비교'!$B$12))*COS(RADIANS('13_시나리오비교'!$C$12))+$I458*COS(RADIANS('13_시나리오비교'!$B$12))),0)</f>
        <v/>
      </c>
      <c r="X458" s="80">
        <f>IF($I458&gt;0,MAX(0,$G458*SIN(RADIANS('13_시나리오비교'!$B$13))*SIN(RADIANS('13_시나리오비교'!$C$13))+$H458*SIN(RADIANS('13_시나리오비교'!$B$13))*COS(RADIANS('13_시나리오비교'!$C$13))+$I458*COS(RADIANS('13_시나리오비교'!$B$13))),0)</f>
        <v/>
      </c>
      <c r="Y458" s="80">
        <f>IF($I458&gt;0,MAX(0,$G458*SIN(RADIANS('13_시나리오비교'!$B$14))*SIN(RADIANS('13_시나리오비교'!$C$14))+$H458*SIN(RADIANS('13_시나리오비교'!$B$14))*COS(RADIANS('13_시나리오비교'!$C$14))+$I458*COS(RADIANS('13_시나리오비교'!$B$14))),0)</f>
        <v/>
      </c>
    </row>
    <row r="459" hidden="1" outlineLevel="1">
      <c r="A459" s="79" t="n">
        <v>5</v>
      </c>
      <c r="B459" s="79" t="n">
        <v>55</v>
      </c>
      <c r="C459" s="80">
        <f>(B459-0.5)*'14_지역·상수'!$H$6</f>
        <v/>
      </c>
      <c r="D459" s="79" t="n">
        <v>135</v>
      </c>
      <c r="E459" s="80">
        <f>INDEX($C$4:$C$15,MATCH(A459,$A$4:$A$15,0))</f>
        <v/>
      </c>
      <c r="F459" s="80">
        <f>15*(C459-12)</f>
        <v/>
      </c>
      <c r="G459" s="80">
        <f>-COS(RADIANS(E459))*SIN(RADIANS(F459))</f>
        <v/>
      </c>
      <c r="H459" s="80">
        <f>COS(RADIANS('11_발전량_모델'!$B$17))*SIN(RADIANS(E459))-SIN(RADIANS('11_발전량_모델'!$B$17))*COS(RADIANS(E459))*COS(RADIANS(F459))</f>
        <v/>
      </c>
      <c r="I459" s="80">
        <f>SIN(RADIANS('11_발전량_모델'!$B$17))*SIN(RADIANS(E459))+COS(RADIANS('11_발전량_모델'!$B$17))*COS(RADIANS(E459))*COS(RADIANS(F459))</f>
        <v/>
      </c>
      <c r="J459" s="80">
        <f>SIN(RADIANS('11_발전량_모델'!$B$7))*SIN(RADIANS('11_발전량_모델'!$B$8))</f>
        <v/>
      </c>
      <c r="K459" s="80">
        <f>SIN(RADIANS('11_발전량_모델'!$B$7))*COS(RADIANS('11_발전량_모델'!$B$8))</f>
        <v/>
      </c>
      <c r="L459" s="80">
        <f>COS(RADIANS('11_발전량_모델'!$B$7))</f>
        <v/>
      </c>
      <c r="M459" s="80">
        <f>G459*J459+H459*K459+I459*L459</f>
        <v/>
      </c>
      <c r="N459" s="80">
        <f>MAX(0,I459)</f>
        <v/>
      </c>
      <c r="O459" s="80">
        <f>IF(I459&gt;0,MAX(0,M459),0)</f>
        <v/>
      </c>
      <c r="P459" s="80">
        <f>IF($I459&gt;0,MAX(0,$G459*SIN(RADIANS('13_시나리오비교'!$B$5))*SIN(RADIANS('13_시나리오비교'!$C$5))+$H459*SIN(RADIANS('13_시나리오비교'!$B$5))*COS(RADIANS('13_시나리오비교'!$C$5))+$I459*COS(RADIANS('13_시나리오비교'!$B$5))),0)</f>
        <v/>
      </c>
      <c r="Q459" s="80">
        <f>IF($I459&gt;0,MAX(0,$G459*SIN(RADIANS('13_시나리오비교'!$B$6))*SIN(RADIANS('13_시나리오비교'!$C$6))+$H459*SIN(RADIANS('13_시나리오비교'!$B$6))*COS(RADIANS('13_시나리오비교'!$C$6))+$I459*COS(RADIANS('13_시나리오비교'!$B$6))),0)</f>
        <v/>
      </c>
      <c r="R459" s="80">
        <f>IF($I459&gt;0,MAX(0,$G459*SIN(RADIANS('13_시나리오비교'!$B$7))*SIN(RADIANS('13_시나리오비교'!$C$7))+$H459*SIN(RADIANS('13_시나리오비교'!$B$7))*COS(RADIANS('13_시나리오비교'!$C$7))+$I459*COS(RADIANS('13_시나리오비교'!$B$7))),0)</f>
        <v/>
      </c>
      <c r="S459" s="80">
        <f>IF($I459&gt;0,MAX(0,$G459*SIN(RADIANS('13_시나리오비교'!$B$8))*SIN(RADIANS('13_시나리오비교'!$C$8))+$H459*SIN(RADIANS('13_시나리오비교'!$B$8))*COS(RADIANS('13_시나리오비교'!$C$8))+$I459*COS(RADIANS('13_시나리오비교'!$B$8))),0)</f>
        <v/>
      </c>
      <c r="T459" s="80">
        <f>IF($I459&gt;0,MAX(0,$G459*SIN(RADIANS('13_시나리오비교'!$B$9))*SIN(RADIANS('13_시나리오비교'!$C$9))+$H459*SIN(RADIANS('13_시나리오비교'!$B$9))*COS(RADIANS('13_시나리오비교'!$C$9))+$I459*COS(RADIANS('13_시나리오비교'!$B$9))),0)</f>
        <v/>
      </c>
      <c r="U459" s="80">
        <f>IF($I459&gt;0,MAX(0,$G459*SIN(RADIANS('13_시나리오비교'!$B$10))*SIN(RADIANS('13_시나리오비교'!$C$10))+$H459*SIN(RADIANS('13_시나리오비교'!$B$10))*COS(RADIANS('13_시나리오비교'!$C$10))+$I459*COS(RADIANS('13_시나리오비교'!$B$10))),0)</f>
        <v/>
      </c>
      <c r="V459" s="80">
        <f>IF($I459&gt;0,MAX(0,$G459*SIN(RADIANS('13_시나리오비교'!$B$11))*SIN(RADIANS('13_시나리오비교'!$C$11))+$H459*SIN(RADIANS('13_시나리오비교'!$B$11))*COS(RADIANS('13_시나리오비교'!$C$11))+$I459*COS(RADIANS('13_시나리오비교'!$B$11))),0)</f>
        <v/>
      </c>
      <c r="W459" s="80">
        <f>IF($I459&gt;0,MAX(0,$G459*SIN(RADIANS('13_시나리오비교'!$B$12))*SIN(RADIANS('13_시나리오비교'!$C$12))+$H459*SIN(RADIANS('13_시나리오비교'!$B$12))*COS(RADIANS('13_시나리오비교'!$C$12))+$I459*COS(RADIANS('13_시나리오비교'!$B$12))),0)</f>
        <v/>
      </c>
      <c r="X459" s="80">
        <f>IF($I459&gt;0,MAX(0,$G459*SIN(RADIANS('13_시나리오비교'!$B$13))*SIN(RADIANS('13_시나리오비교'!$C$13))+$H459*SIN(RADIANS('13_시나리오비교'!$B$13))*COS(RADIANS('13_시나리오비교'!$C$13))+$I459*COS(RADIANS('13_시나리오비교'!$B$13))),0)</f>
        <v/>
      </c>
      <c r="Y459" s="80">
        <f>IF($I459&gt;0,MAX(0,$G459*SIN(RADIANS('13_시나리오비교'!$B$14))*SIN(RADIANS('13_시나리오비교'!$C$14))+$H459*SIN(RADIANS('13_시나리오비교'!$B$14))*COS(RADIANS('13_시나리오비교'!$C$14))+$I459*COS(RADIANS('13_시나리오비교'!$B$14))),0)</f>
        <v/>
      </c>
    </row>
    <row r="460" hidden="1" outlineLevel="1">
      <c r="A460" s="79" t="n">
        <v>5</v>
      </c>
      <c r="B460" s="79" t="n">
        <v>56</v>
      </c>
      <c r="C460" s="80">
        <f>(B460-0.5)*'14_지역·상수'!$H$6</f>
        <v/>
      </c>
      <c r="D460" s="79" t="n">
        <v>135</v>
      </c>
      <c r="E460" s="80">
        <f>INDEX($C$4:$C$15,MATCH(A460,$A$4:$A$15,0))</f>
        <v/>
      </c>
      <c r="F460" s="80">
        <f>15*(C460-12)</f>
        <v/>
      </c>
      <c r="G460" s="80">
        <f>-COS(RADIANS(E460))*SIN(RADIANS(F460))</f>
        <v/>
      </c>
      <c r="H460" s="80">
        <f>COS(RADIANS('11_발전량_모델'!$B$17))*SIN(RADIANS(E460))-SIN(RADIANS('11_발전량_모델'!$B$17))*COS(RADIANS(E460))*COS(RADIANS(F460))</f>
        <v/>
      </c>
      <c r="I460" s="80">
        <f>SIN(RADIANS('11_발전량_모델'!$B$17))*SIN(RADIANS(E460))+COS(RADIANS('11_발전량_모델'!$B$17))*COS(RADIANS(E460))*COS(RADIANS(F460))</f>
        <v/>
      </c>
      <c r="J460" s="80">
        <f>SIN(RADIANS('11_발전량_모델'!$B$7))*SIN(RADIANS('11_발전량_모델'!$B$8))</f>
        <v/>
      </c>
      <c r="K460" s="80">
        <f>SIN(RADIANS('11_발전량_모델'!$B$7))*COS(RADIANS('11_발전량_모델'!$B$8))</f>
        <v/>
      </c>
      <c r="L460" s="80">
        <f>COS(RADIANS('11_발전량_모델'!$B$7))</f>
        <v/>
      </c>
      <c r="M460" s="80">
        <f>G460*J460+H460*K460+I460*L460</f>
        <v/>
      </c>
      <c r="N460" s="80">
        <f>MAX(0,I460)</f>
        <v/>
      </c>
      <c r="O460" s="80">
        <f>IF(I460&gt;0,MAX(0,M460),0)</f>
        <v/>
      </c>
      <c r="P460" s="80">
        <f>IF($I460&gt;0,MAX(0,$G460*SIN(RADIANS('13_시나리오비교'!$B$5))*SIN(RADIANS('13_시나리오비교'!$C$5))+$H460*SIN(RADIANS('13_시나리오비교'!$B$5))*COS(RADIANS('13_시나리오비교'!$C$5))+$I460*COS(RADIANS('13_시나리오비교'!$B$5))),0)</f>
        <v/>
      </c>
      <c r="Q460" s="80">
        <f>IF($I460&gt;0,MAX(0,$G460*SIN(RADIANS('13_시나리오비교'!$B$6))*SIN(RADIANS('13_시나리오비교'!$C$6))+$H460*SIN(RADIANS('13_시나리오비교'!$B$6))*COS(RADIANS('13_시나리오비교'!$C$6))+$I460*COS(RADIANS('13_시나리오비교'!$B$6))),0)</f>
        <v/>
      </c>
      <c r="R460" s="80">
        <f>IF($I460&gt;0,MAX(0,$G460*SIN(RADIANS('13_시나리오비교'!$B$7))*SIN(RADIANS('13_시나리오비교'!$C$7))+$H460*SIN(RADIANS('13_시나리오비교'!$B$7))*COS(RADIANS('13_시나리오비교'!$C$7))+$I460*COS(RADIANS('13_시나리오비교'!$B$7))),0)</f>
        <v/>
      </c>
      <c r="S460" s="80">
        <f>IF($I460&gt;0,MAX(0,$G460*SIN(RADIANS('13_시나리오비교'!$B$8))*SIN(RADIANS('13_시나리오비교'!$C$8))+$H460*SIN(RADIANS('13_시나리오비교'!$B$8))*COS(RADIANS('13_시나리오비교'!$C$8))+$I460*COS(RADIANS('13_시나리오비교'!$B$8))),0)</f>
        <v/>
      </c>
      <c r="T460" s="80">
        <f>IF($I460&gt;0,MAX(0,$G460*SIN(RADIANS('13_시나리오비교'!$B$9))*SIN(RADIANS('13_시나리오비교'!$C$9))+$H460*SIN(RADIANS('13_시나리오비교'!$B$9))*COS(RADIANS('13_시나리오비교'!$C$9))+$I460*COS(RADIANS('13_시나리오비교'!$B$9))),0)</f>
        <v/>
      </c>
      <c r="U460" s="80">
        <f>IF($I460&gt;0,MAX(0,$G460*SIN(RADIANS('13_시나리오비교'!$B$10))*SIN(RADIANS('13_시나리오비교'!$C$10))+$H460*SIN(RADIANS('13_시나리오비교'!$B$10))*COS(RADIANS('13_시나리오비교'!$C$10))+$I460*COS(RADIANS('13_시나리오비교'!$B$10))),0)</f>
        <v/>
      </c>
      <c r="V460" s="80">
        <f>IF($I460&gt;0,MAX(0,$G460*SIN(RADIANS('13_시나리오비교'!$B$11))*SIN(RADIANS('13_시나리오비교'!$C$11))+$H460*SIN(RADIANS('13_시나리오비교'!$B$11))*COS(RADIANS('13_시나리오비교'!$C$11))+$I460*COS(RADIANS('13_시나리오비교'!$B$11))),0)</f>
        <v/>
      </c>
      <c r="W460" s="80">
        <f>IF($I460&gt;0,MAX(0,$G460*SIN(RADIANS('13_시나리오비교'!$B$12))*SIN(RADIANS('13_시나리오비교'!$C$12))+$H460*SIN(RADIANS('13_시나리오비교'!$B$12))*COS(RADIANS('13_시나리오비교'!$C$12))+$I460*COS(RADIANS('13_시나리오비교'!$B$12))),0)</f>
        <v/>
      </c>
      <c r="X460" s="80">
        <f>IF($I460&gt;0,MAX(0,$G460*SIN(RADIANS('13_시나리오비교'!$B$13))*SIN(RADIANS('13_시나리오비교'!$C$13))+$H460*SIN(RADIANS('13_시나리오비교'!$B$13))*COS(RADIANS('13_시나리오비교'!$C$13))+$I460*COS(RADIANS('13_시나리오비교'!$B$13))),0)</f>
        <v/>
      </c>
      <c r="Y460" s="80">
        <f>IF($I460&gt;0,MAX(0,$G460*SIN(RADIANS('13_시나리오비교'!$B$14))*SIN(RADIANS('13_시나리오비교'!$C$14))+$H460*SIN(RADIANS('13_시나리오비교'!$B$14))*COS(RADIANS('13_시나리오비교'!$C$14))+$I460*COS(RADIANS('13_시나리오비교'!$B$14))),0)</f>
        <v/>
      </c>
    </row>
    <row r="461" hidden="1" outlineLevel="1">
      <c r="A461" s="79" t="n">
        <v>5</v>
      </c>
      <c r="B461" s="79" t="n">
        <v>57</v>
      </c>
      <c r="C461" s="80">
        <f>(B461-0.5)*'14_지역·상수'!$H$6</f>
        <v/>
      </c>
      <c r="D461" s="79" t="n">
        <v>135</v>
      </c>
      <c r="E461" s="80">
        <f>INDEX($C$4:$C$15,MATCH(A461,$A$4:$A$15,0))</f>
        <v/>
      </c>
      <c r="F461" s="80">
        <f>15*(C461-12)</f>
        <v/>
      </c>
      <c r="G461" s="80">
        <f>-COS(RADIANS(E461))*SIN(RADIANS(F461))</f>
        <v/>
      </c>
      <c r="H461" s="80">
        <f>COS(RADIANS('11_발전량_모델'!$B$17))*SIN(RADIANS(E461))-SIN(RADIANS('11_발전량_모델'!$B$17))*COS(RADIANS(E461))*COS(RADIANS(F461))</f>
        <v/>
      </c>
      <c r="I461" s="80">
        <f>SIN(RADIANS('11_발전량_모델'!$B$17))*SIN(RADIANS(E461))+COS(RADIANS('11_발전량_모델'!$B$17))*COS(RADIANS(E461))*COS(RADIANS(F461))</f>
        <v/>
      </c>
      <c r="J461" s="80">
        <f>SIN(RADIANS('11_발전량_모델'!$B$7))*SIN(RADIANS('11_발전량_모델'!$B$8))</f>
        <v/>
      </c>
      <c r="K461" s="80">
        <f>SIN(RADIANS('11_발전량_모델'!$B$7))*COS(RADIANS('11_발전량_모델'!$B$8))</f>
        <v/>
      </c>
      <c r="L461" s="80">
        <f>COS(RADIANS('11_발전량_모델'!$B$7))</f>
        <v/>
      </c>
      <c r="M461" s="80">
        <f>G461*J461+H461*K461+I461*L461</f>
        <v/>
      </c>
      <c r="N461" s="80">
        <f>MAX(0,I461)</f>
        <v/>
      </c>
      <c r="O461" s="80">
        <f>IF(I461&gt;0,MAX(0,M461),0)</f>
        <v/>
      </c>
      <c r="P461" s="80">
        <f>IF($I461&gt;0,MAX(0,$G461*SIN(RADIANS('13_시나리오비교'!$B$5))*SIN(RADIANS('13_시나리오비교'!$C$5))+$H461*SIN(RADIANS('13_시나리오비교'!$B$5))*COS(RADIANS('13_시나리오비교'!$C$5))+$I461*COS(RADIANS('13_시나리오비교'!$B$5))),0)</f>
        <v/>
      </c>
      <c r="Q461" s="80">
        <f>IF($I461&gt;0,MAX(0,$G461*SIN(RADIANS('13_시나리오비교'!$B$6))*SIN(RADIANS('13_시나리오비교'!$C$6))+$H461*SIN(RADIANS('13_시나리오비교'!$B$6))*COS(RADIANS('13_시나리오비교'!$C$6))+$I461*COS(RADIANS('13_시나리오비교'!$B$6))),0)</f>
        <v/>
      </c>
      <c r="R461" s="80">
        <f>IF($I461&gt;0,MAX(0,$G461*SIN(RADIANS('13_시나리오비교'!$B$7))*SIN(RADIANS('13_시나리오비교'!$C$7))+$H461*SIN(RADIANS('13_시나리오비교'!$B$7))*COS(RADIANS('13_시나리오비교'!$C$7))+$I461*COS(RADIANS('13_시나리오비교'!$B$7))),0)</f>
        <v/>
      </c>
      <c r="S461" s="80">
        <f>IF($I461&gt;0,MAX(0,$G461*SIN(RADIANS('13_시나리오비교'!$B$8))*SIN(RADIANS('13_시나리오비교'!$C$8))+$H461*SIN(RADIANS('13_시나리오비교'!$B$8))*COS(RADIANS('13_시나리오비교'!$C$8))+$I461*COS(RADIANS('13_시나리오비교'!$B$8))),0)</f>
        <v/>
      </c>
      <c r="T461" s="80">
        <f>IF($I461&gt;0,MAX(0,$G461*SIN(RADIANS('13_시나리오비교'!$B$9))*SIN(RADIANS('13_시나리오비교'!$C$9))+$H461*SIN(RADIANS('13_시나리오비교'!$B$9))*COS(RADIANS('13_시나리오비교'!$C$9))+$I461*COS(RADIANS('13_시나리오비교'!$B$9))),0)</f>
        <v/>
      </c>
      <c r="U461" s="80">
        <f>IF($I461&gt;0,MAX(0,$G461*SIN(RADIANS('13_시나리오비교'!$B$10))*SIN(RADIANS('13_시나리오비교'!$C$10))+$H461*SIN(RADIANS('13_시나리오비교'!$B$10))*COS(RADIANS('13_시나리오비교'!$C$10))+$I461*COS(RADIANS('13_시나리오비교'!$B$10))),0)</f>
        <v/>
      </c>
      <c r="V461" s="80">
        <f>IF($I461&gt;0,MAX(0,$G461*SIN(RADIANS('13_시나리오비교'!$B$11))*SIN(RADIANS('13_시나리오비교'!$C$11))+$H461*SIN(RADIANS('13_시나리오비교'!$B$11))*COS(RADIANS('13_시나리오비교'!$C$11))+$I461*COS(RADIANS('13_시나리오비교'!$B$11))),0)</f>
        <v/>
      </c>
      <c r="W461" s="80">
        <f>IF($I461&gt;0,MAX(0,$G461*SIN(RADIANS('13_시나리오비교'!$B$12))*SIN(RADIANS('13_시나리오비교'!$C$12))+$H461*SIN(RADIANS('13_시나리오비교'!$B$12))*COS(RADIANS('13_시나리오비교'!$C$12))+$I461*COS(RADIANS('13_시나리오비교'!$B$12))),0)</f>
        <v/>
      </c>
      <c r="X461" s="80">
        <f>IF($I461&gt;0,MAX(0,$G461*SIN(RADIANS('13_시나리오비교'!$B$13))*SIN(RADIANS('13_시나리오비교'!$C$13))+$H461*SIN(RADIANS('13_시나리오비교'!$B$13))*COS(RADIANS('13_시나리오비교'!$C$13))+$I461*COS(RADIANS('13_시나리오비교'!$B$13))),0)</f>
        <v/>
      </c>
      <c r="Y461" s="80">
        <f>IF($I461&gt;0,MAX(0,$G461*SIN(RADIANS('13_시나리오비교'!$B$14))*SIN(RADIANS('13_시나리오비교'!$C$14))+$H461*SIN(RADIANS('13_시나리오비교'!$B$14))*COS(RADIANS('13_시나리오비교'!$C$14))+$I461*COS(RADIANS('13_시나리오비교'!$B$14))),0)</f>
        <v/>
      </c>
    </row>
    <row r="462" hidden="1" outlineLevel="1">
      <c r="A462" s="79" t="n">
        <v>5</v>
      </c>
      <c r="B462" s="79" t="n">
        <v>58</v>
      </c>
      <c r="C462" s="80">
        <f>(B462-0.5)*'14_지역·상수'!$H$6</f>
        <v/>
      </c>
      <c r="D462" s="79" t="n">
        <v>135</v>
      </c>
      <c r="E462" s="80">
        <f>INDEX($C$4:$C$15,MATCH(A462,$A$4:$A$15,0))</f>
        <v/>
      </c>
      <c r="F462" s="80">
        <f>15*(C462-12)</f>
        <v/>
      </c>
      <c r="G462" s="80">
        <f>-COS(RADIANS(E462))*SIN(RADIANS(F462))</f>
        <v/>
      </c>
      <c r="H462" s="80">
        <f>COS(RADIANS('11_발전량_모델'!$B$17))*SIN(RADIANS(E462))-SIN(RADIANS('11_발전량_모델'!$B$17))*COS(RADIANS(E462))*COS(RADIANS(F462))</f>
        <v/>
      </c>
      <c r="I462" s="80">
        <f>SIN(RADIANS('11_발전량_모델'!$B$17))*SIN(RADIANS(E462))+COS(RADIANS('11_발전량_모델'!$B$17))*COS(RADIANS(E462))*COS(RADIANS(F462))</f>
        <v/>
      </c>
      <c r="J462" s="80">
        <f>SIN(RADIANS('11_발전량_모델'!$B$7))*SIN(RADIANS('11_발전량_모델'!$B$8))</f>
        <v/>
      </c>
      <c r="K462" s="80">
        <f>SIN(RADIANS('11_발전량_모델'!$B$7))*COS(RADIANS('11_발전량_모델'!$B$8))</f>
        <v/>
      </c>
      <c r="L462" s="80">
        <f>COS(RADIANS('11_발전량_모델'!$B$7))</f>
        <v/>
      </c>
      <c r="M462" s="80">
        <f>G462*J462+H462*K462+I462*L462</f>
        <v/>
      </c>
      <c r="N462" s="80">
        <f>MAX(0,I462)</f>
        <v/>
      </c>
      <c r="O462" s="80">
        <f>IF(I462&gt;0,MAX(0,M462),0)</f>
        <v/>
      </c>
      <c r="P462" s="80">
        <f>IF($I462&gt;0,MAX(0,$G462*SIN(RADIANS('13_시나리오비교'!$B$5))*SIN(RADIANS('13_시나리오비교'!$C$5))+$H462*SIN(RADIANS('13_시나리오비교'!$B$5))*COS(RADIANS('13_시나리오비교'!$C$5))+$I462*COS(RADIANS('13_시나리오비교'!$B$5))),0)</f>
        <v/>
      </c>
      <c r="Q462" s="80">
        <f>IF($I462&gt;0,MAX(0,$G462*SIN(RADIANS('13_시나리오비교'!$B$6))*SIN(RADIANS('13_시나리오비교'!$C$6))+$H462*SIN(RADIANS('13_시나리오비교'!$B$6))*COS(RADIANS('13_시나리오비교'!$C$6))+$I462*COS(RADIANS('13_시나리오비교'!$B$6))),0)</f>
        <v/>
      </c>
      <c r="R462" s="80">
        <f>IF($I462&gt;0,MAX(0,$G462*SIN(RADIANS('13_시나리오비교'!$B$7))*SIN(RADIANS('13_시나리오비교'!$C$7))+$H462*SIN(RADIANS('13_시나리오비교'!$B$7))*COS(RADIANS('13_시나리오비교'!$C$7))+$I462*COS(RADIANS('13_시나리오비교'!$B$7))),0)</f>
        <v/>
      </c>
      <c r="S462" s="80">
        <f>IF($I462&gt;0,MAX(0,$G462*SIN(RADIANS('13_시나리오비교'!$B$8))*SIN(RADIANS('13_시나리오비교'!$C$8))+$H462*SIN(RADIANS('13_시나리오비교'!$B$8))*COS(RADIANS('13_시나리오비교'!$C$8))+$I462*COS(RADIANS('13_시나리오비교'!$B$8))),0)</f>
        <v/>
      </c>
      <c r="T462" s="80">
        <f>IF($I462&gt;0,MAX(0,$G462*SIN(RADIANS('13_시나리오비교'!$B$9))*SIN(RADIANS('13_시나리오비교'!$C$9))+$H462*SIN(RADIANS('13_시나리오비교'!$B$9))*COS(RADIANS('13_시나리오비교'!$C$9))+$I462*COS(RADIANS('13_시나리오비교'!$B$9))),0)</f>
        <v/>
      </c>
      <c r="U462" s="80">
        <f>IF($I462&gt;0,MAX(0,$G462*SIN(RADIANS('13_시나리오비교'!$B$10))*SIN(RADIANS('13_시나리오비교'!$C$10))+$H462*SIN(RADIANS('13_시나리오비교'!$B$10))*COS(RADIANS('13_시나리오비교'!$C$10))+$I462*COS(RADIANS('13_시나리오비교'!$B$10))),0)</f>
        <v/>
      </c>
      <c r="V462" s="80">
        <f>IF($I462&gt;0,MAX(0,$G462*SIN(RADIANS('13_시나리오비교'!$B$11))*SIN(RADIANS('13_시나리오비교'!$C$11))+$H462*SIN(RADIANS('13_시나리오비교'!$B$11))*COS(RADIANS('13_시나리오비교'!$C$11))+$I462*COS(RADIANS('13_시나리오비교'!$B$11))),0)</f>
        <v/>
      </c>
      <c r="W462" s="80">
        <f>IF($I462&gt;0,MAX(0,$G462*SIN(RADIANS('13_시나리오비교'!$B$12))*SIN(RADIANS('13_시나리오비교'!$C$12))+$H462*SIN(RADIANS('13_시나리오비교'!$B$12))*COS(RADIANS('13_시나리오비교'!$C$12))+$I462*COS(RADIANS('13_시나리오비교'!$B$12))),0)</f>
        <v/>
      </c>
      <c r="X462" s="80">
        <f>IF($I462&gt;0,MAX(0,$G462*SIN(RADIANS('13_시나리오비교'!$B$13))*SIN(RADIANS('13_시나리오비교'!$C$13))+$H462*SIN(RADIANS('13_시나리오비교'!$B$13))*COS(RADIANS('13_시나리오비교'!$C$13))+$I462*COS(RADIANS('13_시나리오비교'!$B$13))),0)</f>
        <v/>
      </c>
      <c r="Y462" s="80">
        <f>IF($I462&gt;0,MAX(0,$G462*SIN(RADIANS('13_시나리오비교'!$B$14))*SIN(RADIANS('13_시나리오비교'!$C$14))+$H462*SIN(RADIANS('13_시나리오비교'!$B$14))*COS(RADIANS('13_시나리오비교'!$C$14))+$I462*COS(RADIANS('13_시나리오비교'!$B$14))),0)</f>
        <v/>
      </c>
    </row>
    <row r="463" hidden="1" outlineLevel="1">
      <c r="A463" s="79" t="n">
        <v>5</v>
      </c>
      <c r="B463" s="79" t="n">
        <v>59</v>
      </c>
      <c r="C463" s="80">
        <f>(B463-0.5)*'14_지역·상수'!$H$6</f>
        <v/>
      </c>
      <c r="D463" s="79" t="n">
        <v>135</v>
      </c>
      <c r="E463" s="80">
        <f>INDEX($C$4:$C$15,MATCH(A463,$A$4:$A$15,0))</f>
        <v/>
      </c>
      <c r="F463" s="80">
        <f>15*(C463-12)</f>
        <v/>
      </c>
      <c r="G463" s="80">
        <f>-COS(RADIANS(E463))*SIN(RADIANS(F463))</f>
        <v/>
      </c>
      <c r="H463" s="80">
        <f>COS(RADIANS('11_발전량_모델'!$B$17))*SIN(RADIANS(E463))-SIN(RADIANS('11_발전량_모델'!$B$17))*COS(RADIANS(E463))*COS(RADIANS(F463))</f>
        <v/>
      </c>
      <c r="I463" s="80">
        <f>SIN(RADIANS('11_발전량_모델'!$B$17))*SIN(RADIANS(E463))+COS(RADIANS('11_발전량_모델'!$B$17))*COS(RADIANS(E463))*COS(RADIANS(F463))</f>
        <v/>
      </c>
      <c r="J463" s="80">
        <f>SIN(RADIANS('11_발전량_모델'!$B$7))*SIN(RADIANS('11_발전량_모델'!$B$8))</f>
        <v/>
      </c>
      <c r="K463" s="80">
        <f>SIN(RADIANS('11_발전량_모델'!$B$7))*COS(RADIANS('11_발전량_모델'!$B$8))</f>
        <v/>
      </c>
      <c r="L463" s="80">
        <f>COS(RADIANS('11_발전량_모델'!$B$7))</f>
        <v/>
      </c>
      <c r="M463" s="80">
        <f>G463*J463+H463*K463+I463*L463</f>
        <v/>
      </c>
      <c r="N463" s="80">
        <f>MAX(0,I463)</f>
        <v/>
      </c>
      <c r="O463" s="80">
        <f>IF(I463&gt;0,MAX(0,M463),0)</f>
        <v/>
      </c>
      <c r="P463" s="80">
        <f>IF($I463&gt;0,MAX(0,$G463*SIN(RADIANS('13_시나리오비교'!$B$5))*SIN(RADIANS('13_시나리오비교'!$C$5))+$H463*SIN(RADIANS('13_시나리오비교'!$B$5))*COS(RADIANS('13_시나리오비교'!$C$5))+$I463*COS(RADIANS('13_시나리오비교'!$B$5))),0)</f>
        <v/>
      </c>
      <c r="Q463" s="80">
        <f>IF($I463&gt;0,MAX(0,$G463*SIN(RADIANS('13_시나리오비교'!$B$6))*SIN(RADIANS('13_시나리오비교'!$C$6))+$H463*SIN(RADIANS('13_시나리오비교'!$B$6))*COS(RADIANS('13_시나리오비교'!$C$6))+$I463*COS(RADIANS('13_시나리오비교'!$B$6))),0)</f>
        <v/>
      </c>
      <c r="R463" s="80">
        <f>IF($I463&gt;0,MAX(0,$G463*SIN(RADIANS('13_시나리오비교'!$B$7))*SIN(RADIANS('13_시나리오비교'!$C$7))+$H463*SIN(RADIANS('13_시나리오비교'!$B$7))*COS(RADIANS('13_시나리오비교'!$C$7))+$I463*COS(RADIANS('13_시나리오비교'!$B$7))),0)</f>
        <v/>
      </c>
      <c r="S463" s="80">
        <f>IF($I463&gt;0,MAX(0,$G463*SIN(RADIANS('13_시나리오비교'!$B$8))*SIN(RADIANS('13_시나리오비교'!$C$8))+$H463*SIN(RADIANS('13_시나리오비교'!$B$8))*COS(RADIANS('13_시나리오비교'!$C$8))+$I463*COS(RADIANS('13_시나리오비교'!$B$8))),0)</f>
        <v/>
      </c>
      <c r="T463" s="80">
        <f>IF($I463&gt;0,MAX(0,$G463*SIN(RADIANS('13_시나리오비교'!$B$9))*SIN(RADIANS('13_시나리오비교'!$C$9))+$H463*SIN(RADIANS('13_시나리오비교'!$B$9))*COS(RADIANS('13_시나리오비교'!$C$9))+$I463*COS(RADIANS('13_시나리오비교'!$B$9))),0)</f>
        <v/>
      </c>
      <c r="U463" s="80">
        <f>IF($I463&gt;0,MAX(0,$G463*SIN(RADIANS('13_시나리오비교'!$B$10))*SIN(RADIANS('13_시나리오비교'!$C$10))+$H463*SIN(RADIANS('13_시나리오비교'!$B$10))*COS(RADIANS('13_시나리오비교'!$C$10))+$I463*COS(RADIANS('13_시나리오비교'!$B$10))),0)</f>
        <v/>
      </c>
      <c r="V463" s="80">
        <f>IF($I463&gt;0,MAX(0,$G463*SIN(RADIANS('13_시나리오비교'!$B$11))*SIN(RADIANS('13_시나리오비교'!$C$11))+$H463*SIN(RADIANS('13_시나리오비교'!$B$11))*COS(RADIANS('13_시나리오비교'!$C$11))+$I463*COS(RADIANS('13_시나리오비교'!$B$11))),0)</f>
        <v/>
      </c>
      <c r="W463" s="80">
        <f>IF($I463&gt;0,MAX(0,$G463*SIN(RADIANS('13_시나리오비교'!$B$12))*SIN(RADIANS('13_시나리오비교'!$C$12))+$H463*SIN(RADIANS('13_시나리오비교'!$B$12))*COS(RADIANS('13_시나리오비교'!$C$12))+$I463*COS(RADIANS('13_시나리오비교'!$B$12))),0)</f>
        <v/>
      </c>
      <c r="X463" s="80">
        <f>IF($I463&gt;0,MAX(0,$G463*SIN(RADIANS('13_시나리오비교'!$B$13))*SIN(RADIANS('13_시나리오비교'!$C$13))+$H463*SIN(RADIANS('13_시나리오비교'!$B$13))*COS(RADIANS('13_시나리오비교'!$C$13))+$I463*COS(RADIANS('13_시나리오비교'!$B$13))),0)</f>
        <v/>
      </c>
      <c r="Y463" s="80">
        <f>IF($I463&gt;0,MAX(0,$G463*SIN(RADIANS('13_시나리오비교'!$B$14))*SIN(RADIANS('13_시나리오비교'!$C$14))+$H463*SIN(RADIANS('13_시나리오비교'!$B$14))*COS(RADIANS('13_시나리오비교'!$C$14))+$I463*COS(RADIANS('13_시나리오비교'!$B$14))),0)</f>
        <v/>
      </c>
    </row>
    <row r="464" hidden="1" outlineLevel="1">
      <c r="A464" s="79" t="n">
        <v>5</v>
      </c>
      <c r="B464" s="79" t="n">
        <v>60</v>
      </c>
      <c r="C464" s="80">
        <f>(B464-0.5)*'14_지역·상수'!$H$6</f>
        <v/>
      </c>
      <c r="D464" s="79" t="n">
        <v>135</v>
      </c>
      <c r="E464" s="80">
        <f>INDEX($C$4:$C$15,MATCH(A464,$A$4:$A$15,0))</f>
        <v/>
      </c>
      <c r="F464" s="80">
        <f>15*(C464-12)</f>
        <v/>
      </c>
      <c r="G464" s="80">
        <f>-COS(RADIANS(E464))*SIN(RADIANS(F464))</f>
        <v/>
      </c>
      <c r="H464" s="80">
        <f>COS(RADIANS('11_발전량_모델'!$B$17))*SIN(RADIANS(E464))-SIN(RADIANS('11_발전량_모델'!$B$17))*COS(RADIANS(E464))*COS(RADIANS(F464))</f>
        <v/>
      </c>
      <c r="I464" s="80">
        <f>SIN(RADIANS('11_발전량_모델'!$B$17))*SIN(RADIANS(E464))+COS(RADIANS('11_발전량_모델'!$B$17))*COS(RADIANS(E464))*COS(RADIANS(F464))</f>
        <v/>
      </c>
      <c r="J464" s="80">
        <f>SIN(RADIANS('11_발전량_모델'!$B$7))*SIN(RADIANS('11_발전량_모델'!$B$8))</f>
        <v/>
      </c>
      <c r="K464" s="80">
        <f>SIN(RADIANS('11_발전량_모델'!$B$7))*COS(RADIANS('11_발전량_모델'!$B$8))</f>
        <v/>
      </c>
      <c r="L464" s="80">
        <f>COS(RADIANS('11_발전량_모델'!$B$7))</f>
        <v/>
      </c>
      <c r="M464" s="80">
        <f>G464*J464+H464*K464+I464*L464</f>
        <v/>
      </c>
      <c r="N464" s="80">
        <f>MAX(0,I464)</f>
        <v/>
      </c>
      <c r="O464" s="80">
        <f>IF(I464&gt;0,MAX(0,M464),0)</f>
        <v/>
      </c>
      <c r="P464" s="80">
        <f>IF($I464&gt;0,MAX(0,$G464*SIN(RADIANS('13_시나리오비교'!$B$5))*SIN(RADIANS('13_시나리오비교'!$C$5))+$H464*SIN(RADIANS('13_시나리오비교'!$B$5))*COS(RADIANS('13_시나리오비교'!$C$5))+$I464*COS(RADIANS('13_시나리오비교'!$B$5))),0)</f>
        <v/>
      </c>
      <c r="Q464" s="80">
        <f>IF($I464&gt;0,MAX(0,$G464*SIN(RADIANS('13_시나리오비교'!$B$6))*SIN(RADIANS('13_시나리오비교'!$C$6))+$H464*SIN(RADIANS('13_시나리오비교'!$B$6))*COS(RADIANS('13_시나리오비교'!$C$6))+$I464*COS(RADIANS('13_시나리오비교'!$B$6))),0)</f>
        <v/>
      </c>
      <c r="R464" s="80">
        <f>IF($I464&gt;0,MAX(0,$G464*SIN(RADIANS('13_시나리오비교'!$B$7))*SIN(RADIANS('13_시나리오비교'!$C$7))+$H464*SIN(RADIANS('13_시나리오비교'!$B$7))*COS(RADIANS('13_시나리오비교'!$C$7))+$I464*COS(RADIANS('13_시나리오비교'!$B$7))),0)</f>
        <v/>
      </c>
      <c r="S464" s="80">
        <f>IF($I464&gt;0,MAX(0,$G464*SIN(RADIANS('13_시나리오비교'!$B$8))*SIN(RADIANS('13_시나리오비교'!$C$8))+$H464*SIN(RADIANS('13_시나리오비교'!$B$8))*COS(RADIANS('13_시나리오비교'!$C$8))+$I464*COS(RADIANS('13_시나리오비교'!$B$8))),0)</f>
        <v/>
      </c>
      <c r="T464" s="80">
        <f>IF($I464&gt;0,MAX(0,$G464*SIN(RADIANS('13_시나리오비교'!$B$9))*SIN(RADIANS('13_시나리오비교'!$C$9))+$H464*SIN(RADIANS('13_시나리오비교'!$B$9))*COS(RADIANS('13_시나리오비교'!$C$9))+$I464*COS(RADIANS('13_시나리오비교'!$B$9))),0)</f>
        <v/>
      </c>
      <c r="U464" s="80">
        <f>IF($I464&gt;0,MAX(0,$G464*SIN(RADIANS('13_시나리오비교'!$B$10))*SIN(RADIANS('13_시나리오비교'!$C$10))+$H464*SIN(RADIANS('13_시나리오비교'!$B$10))*COS(RADIANS('13_시나리오비교'!$C$10))+$I464*COS(RADIANS('13_시나리오비교'!$B$10))),0)</f>
        <v/>
      </c>
      <c r="V464" s="80">
        <f>IF($I464&gt;0,MAX(0,$G464*SIN(RADIANS('13_시나리오비교'!$B$11))*SIN(RADIANS('13_시나리오비교'!$C$11))+$H464*SIN(RADIANS('13_시나리오비교'!$B$11))*COS(RADIANS('13_시나리오비교'!$C$11))+$I464*COS(RADIANS('13_시나리오비교'!$B$11))),0)</f>
        <v/>
      </c>
      <c r="W464" s="80">
        <f>IF($I464&gt;0,MAX(0,$G464*SIN(RADIANS('13_시나리오비교'!$B$12))*SIN(RADIANS('13_시나리오비교'!$C$12))+$H464*SIN(RADIANS('13_시나리오비교'!$B$12))*COS(RADIANS('13_시나리오비교'!$C$12))+$I464*COS(RADIANS('13_시나리오비교'!$B$12))),0)</f>
        <v/>
      </c>
      <c r="X464" s="80">
        <f>IF($I464&gt;0,MAX(0,$G464*SIN(RADIANS('13_시나리오비교'!$B$13))*SIN(RADIANS('13_시나리오비교'!$C$13))+$H464*SIN(RADIANS('13_시나리오비교'!$B$13))*COS(RADIANS('13_시나리오비교'!$C$13))+$I464*COS(RADIANS('13_시나리오비교'!$B$13))),0)</f>
        <v/>
      </c>
      <c r="Y464" s="80">
        <f>IF($I464&gt;0,MAX(0,$G464*SIN(RADIANS('13_시나리오비교'!$B$14))*SIN(RADIANS('13_시나리오비교'!$C$14))+$H464*SIN(RADIANS('13_시나리오비교'!$B$14))*COS(RADIANS('13_시나리오비교'!$C$14))+$I464*COS(RADIANS('13_시나리오비교'!$B$14))),0)</f>
        <v/>
      </c>
    </row>
    <row r="465" hidden="1" outlineLevel="1">
      <c r="A465" s="79" t="n">
        <v>5</v>
      </c>
      <c r="B465" s="79" t="n">
        <v>61</v>
      </c>
      <c r="C465" s="80">
        <f>(B465-0.5)*'14_지역·상수'!$H$6</f>
        <v/>
      </c>
      <c r="D465" s="79" t="n">
        <v>135</v>
      </c>
      <c r="E465" s="80">
        <f>INDEX($C$4:$C$15,MATCH(A465,$A$4:$A$15,0))</f>
        <v/>
      </c>
      <c r="F465" s="80">
        <f>15*(C465-12)</f>
        <v/>
      </c>
      <c r="G465" s="80">
        <f>-COS(RADIANS(E465))*SIN(RADIANS(F465))</f>
        <v/>
      </c>
      <c r="H465" s="80">
        <f>COS(RADIANS('11_발전량_모델'!$B$17))*SIN(RADIANS(E465))-SIN(RADIANS('11_발전량_모델'!$B$17))*COS(RADIANS(E465))*COS(RADIANS(F465))</f>
        <v/>
      </c>
      <c r="I465" s="80">
        <f>SIN(RADIANS('11_발전량_모델'!$B$17))*SIN(RADIANS(E465))+COS(RADIANS('11_발전량_모델'!$B$17))*COS(RADIANS(E465))*COS(RADIANS(F465))</f>
        <v/>
      </c>
      <c r="J465" s="80">
        <f>SIN(RADIANS('11_발전량_모델'!$B$7))*SIN(RADIANS('11_발전량_모델'!$B$8))</f>
        <v/>
      </c>
      <c r="K465" s="80">
        <f>SIN(RADIANS('11_발전량_모델'!$B$7))*COS(RADIANS('11_발전량_모델'!$B$8))</f>
        <v/>
      </c>
      <c r="L465" s="80">
        <f>COS(RADIANS('11_발전량_모델'!$B$7))</f>
        <v/>
      </c>
      <c r="M465" s="80">
        <f>G465*J465+H465*K465+I465*L465</f>
        <v/>
      </c>
      <c r="N465" s="80">
        <f>MAX(0,I465)</f>
        <v/>
      </c>
      <c r="O465" s="80">
        <f>IF(I465&gt;0,MAX(0,M465),0)</f>
        <v/>
      </c>
      <c r="P465" s="80">
        <f>IF($I465&gt;0,MAX(0,$G465*SIN(RADIANS('13_시나리오비교'!$B$5))*SIN(RADIANS('13_시나리오비교'!$C$5))+$H465*SIN(RADIANS('13_시나리오비교'!$B$5))*COS(RADIANS('13_시나리오비교'!$C$5))+$I465*COS(RADIANS('13_시나리오비교'!$B$5))),0)</f>
        <v/>
      </c>
      <c r="Q465" s="80">
        <f>IF($I465&gt;0,MAX(0,$G465*SIN(RADIANS('13_시나리오비교'!$B$6))*SIN(RADIANS('13_시나리오비교'!$C$6))+$H465*SIN(RADIANS('13_시나리오비교'!$B$6))*COS(RADIANS('13_시나리오비교'!$C$6))+$I465*COS(RADIANS('13_시나리오비교'!$B$6))),0)</f>
        <v/>
      </c>
      <c r="R465" s="80">
        <f>IF($I465&gt;0,MAX(0,$G465*SIN(RADIANS('13_시나리오비교'!$B$7))*SIN(RADIANS('13_시나리오비교'!$C$7))+$H465*SIN(RADIANS('13_시나리오비교'!$B$7))*COS(RADIANS('13_시나리오비교'!$C$7))+$I465*COS(RADIANS('13_시나리오비교'!$B$7))),0)</f>
        <v/>
      </c>
      <c r="S465" s="80">
        <f>IF($I465&gt;0,MAX(0,$G465*SIN(RADIANS('13_시나리오비교'!$B$8))*SIN(RADIANS('13_시나리오비교'!$C$8))+$H465*SIN(RADIANS('13_시나리오비교'!$B$8))*COS(RADIANS('13_시나리오비교'!$C$8))+$I465*COS(RADIANS('13_시나리오비교'!$B$8))),0)</f>
        <v/>
      </c>
      <c r="T465" s="80">
        <f>IF($I465&gt;0,MAX(0,$G465*SIN(RADIANS('13_시나리오비교'!$B$9))*SIN(RADIANS('13_시나리오비교'!$C$9))+$H465*SIN(RADIANS('13_시나리오비교'!$B$9))*COS(RADIANS('13_시나리오비교'!$C$9))+$I465*COS(RADIANS('13_시나리오비교'!$B$9))),0)</f>
        <v/>
      </c>
      <c r="U465" s="80">
        <f>IF($I465&gt;0,MAX(0,$G465*SIN(RADIANS('13_시나리오비교'!$B$10))*SIN(RADIANS('13_시나리오비교'!$C$10))+$H465*SIN(RADIANS('13_시나리오비교'!$B$10))*COS(RADIANS('13_시나리오비교'!$C$10))+$I465*COS(RADIANS('13_시나리오비교'!$B$10))),0)</f>
        <v/>
      </c>
      <c r="V465" s="80">
        <f>IF($I465&gt;0,MAX(0,$G465*SIN(RADIANS('13_시나리오비교'!$B$11))*SIN(RADIANS('13_시나리오비교'!$C$11))+$H465*SIN(RADIANS('13_시나리오비교'!$B$11))*COS(RADIANS('13_시나리오비교'!$C$11))+$I465*COS(RADIANS('13_시나리오비교'!$B$11))),0)</f>
        <v/>
      </c>
      <c r="W465" s="80">
        <f>IF($I465&gt;0,MAX(0,$G465*SIN(RADIANS('13_시나리오비교'!$B$12))*SIN(RADIANS('13_시나리오비교'!$C$12))+$H465*SIN(RADIANS('13_시나리오비교'!$B$12))*COS(RADIANS('13_시나리오비교'!$C$12))+$I465*COS(RADIANS('13_시나리오비교'!$B$12))),0)</f>
        <v/>
      </c>
      <c r="X465" s="80">
        <f>IF($I465&gt;0,MAX(0,$G465*SIN(RADIANS('13_시나리오비교'!$B$13))*SIN(RADIANS('13_시나리오비교'!$C$13))+$H465*SIN(RADIANS('13_시나리오비교'!$B$13))*COS(RADIANS('13_시나리오비교'!$C$13))+$I465*COS(RADIANS('13_시나리오비교'!$B$13))),0)</f>
        <v/>
      </c>
      <c r="Y465" s="80">
        <f>IF($I465&gt;0,MAX(0,$G465*SIN(RADIANS('13_시나리오비교'!$B$14))*SIN(RADIANS('13_시나리오비교'!$C$14))+$H465*SIN(RADIANS('13_시나리오비교'!$B$14))*COS(RADIANS('13_시나리오비교'!$C$14))+$I465*COS(RADIANS('13_시나리오비교'!$B$14))),0)</f>
        <v/>
      </c>
    </row>
    <row r="466" hidden="1" outlineLevel="1">
      <c r="A466" s="79" t="n">
        <v>5</v>
      </c>
      <c r="B466" s="79" t="n">
        <v>62</v>
      </c>
      <c r="C466" s="80">
        <f>(B466-0.5)*'14_지역·상수'!$H$6</f>
        <v/>
      </c>
      <c r="D466" s="79" t="n">
        <v>135</v>
      </c>
      <c r="E466" s="80">
        <f>INDEX($C$4:$C$15,MATCH(A466,$A$4:$A$15,0))</f>
        <v/>
      </c>
      <c r="F466" s="80">
        <f>15*(C466-12)</f>
        <v/>
      </c>
      <c r="G466" s="80">
        <f>-COS(RADIANS(E466))*SIN(RADIANS(F466))</f>
        <v/>
      </c>
      <c r="H466" s="80">
        <f>COS(RADIANS('11_발전량_모델'!$B$17))*SIN(RADIANS(E466))-SIN(RADIANS('11_발전량_모델'!$B$17))*COS(RADIANS(E466))*COS(RADIANS(F466))</f>
        <v/>
      </c>
      <c r="I466" s="80">
        <f>SIN(RADIANS('11_발전량_모델'!$B$17))*SIN(RADIANS(E466))+COS(RADIANS('11_발전량_모델'!$B$17))*COS(RADIANS(E466))*COS(RADIANS(F466))</f>
        <v/>
      </c>
      <c r="J466" s="80">
        <f>SIN(RADIANS('11_발전량_모델'!$B$7))*SIN(RADIANS('11_발전량_모델'!$B$8))</f>
        <v/>
      </c>
      <c r="K466" s="80">
        <f>SIN(RADIANS('11_발전량_모델'!$B$7))*COS(RADIANS('11_발전량_모델'!$B$8))</f>
        <v/>
      </c>
      <c r="L466" s="80">
        <f>COS(RADIANS('11_발전량_모델'!$B$7))</f>
        <v/>
      </c>
      <c r="M466" s="80">
        <f>G466*J466+H466*K466+I466*L466</f>
        <v/>
      </c>
      <c r="N466" s="80">
        <f>MAX(0,I466)</f>
        <v/>
      </c>
      <c r="O466" s="80">
        <f>IF(I466&gt;0,MAX(0,M466),0)</f>
        <v/>
      </c>
      <c r="P466" s="80">
        <f>IF($I466&gt;0,MAX(0,$G466*SIN(RADIANS('13_시나리오비교'!$B$5))*SIN(RADIANS('13_시나리오비교'!$C$5))+$H466*SIN(RADIANS('13_시나리오비교'!$B$5))*COS(RADIANS('13_시나리오비교'!$C$5))+$I466*COS(RADIANS('13_시나리오비교'!$B$5))),0)</f>
        <v/>
      </c>
      <c r="Q466" s="80">
        <f>IF($I466&gt;0,MAX(0,$G466*SIN(RADIANS('13_시나리오비교'!$B$6))*SIN(RADIANS('13_시나리오비교'!$C$6))+$H466*SIN(RADIANS('13_시나리오비교'!$B$6))*COS(RADIANS('13_시나리오비교'!$C$6))+$I466*COS(RADIANS('13_시나리오비교'!$B$6))),0)</f>
        <v/>
      </c>
      <c r="R466" s="80">
        <f>IF($I466&gt;0,MAX(0,$G466*SIN(RADIANS('13_시나리오비교'!$B$7))*SIN(RADIANS('13_시나리오비교'!$C$7))+$H466*SIN(RADIANS('13_시나리오비교'!$B$7))*COS(RADIANS('13_시나리오비교'!$C$7))+$I466*COS(RADIANS('13_시나리오비교'!$B$7))),0)</f>
        <v/>
      </c>
      <c r="S466" s="80">
        <f>IF($I466&gt;0,MAX(0,$G466*SIN(RADIANS('13_시나리오비교'!$B$8))*SIN(RADIANS('13_시나리오비교'!$C$8))+$H466*SIN(RADIANS('13_시나리오비교'!$B$8))*COS(RADIANS('13_시나리오비교'!$C$8))+$I466*COS(RADIANS('13_시나리오비교'!$B$8))),0)</f>
        <v/>
      </c>
      <c r="T466" s="80">
        <f>IF($I466&gt;0,MAX(0,$G466*SIN(RADIANS('13_시나리오비교'!$B$9))*SIN(RADIANS('13_시나리오비교'!$C$9))+$H466*SIN(RADIANS('13_시나리오비교'!$B$9))*COS(RADIANS('13_시나리오비교'!$C$9))+$I466*COS(RADIANS('13_시나리오비교'!$B$9))),0)</f>
        <v/>
      </c>
      <c r="U466" s="80">
        <f>IF($I466&gt;0,MAX(0,$G466*SIN(RADIANS('13_시나리오비교'!$B$10))*SIN(RADIANS('13_시나리오비교'!$C$10))+$H466*SIN(RADIANS('13_시나리오비교'!$B$10))*COS(RADIANS('13_시나리오비교'!$C$10))+$I466*COS(RADIANS('13_시나리오비교'!$B$10))),0)</f>
        <v/>
      </c>
      <c r="V466" s="80">
        <f>IF($I466&gt;0,MAX(0,$G466*SIN(RADIANS('13_시나리오비교'!$B$11))*SIN(RADIANS('13_시나리오비교'!$C$11))+$H466*SIN(RADIANS('13_시나리오비교'!$B$11))*COS(RADIANS('13_시나리오비교'!$C$11))+$I466*COS(RADIANS('13_시나리오비교'!$B$11))),0)</f>
        <v/>
      </c>
      <c r="W466" s="80">
        <f>IF($I466&gt;0,MAX(0,$G466*SIN(RADIANS('13_시나리오비교'!$B$12))*SIN(RADIANS('13_시나리오비교'!$C$12))+$H466*SIN(RADIANS('13_시나리오비교'!$B$12))*COS(RADIANS('13_시나리오비교'!$C$12))+$I466*COS(RADIANS('13_시나리오비교'!$B$12))),0)</f>
        <v/>
      </c>
      <c r="X466" s="80">
        <f>IF($I466&gt;0,MAX(0,$G466*SIN(RADIANS('13_시나리오비교'!$B$13))*SIN(RADIANS('13_시나리오비교'!$C$13))+$H466*SIN(RADIANS('13_시나리오비교'!$B$13))*COS(RADIANS('13_시나리오비교'!$C$13))+$I466*COS(RADIANS('13_시나리오비교'!$B$13))),0)</f>
        <v/>
      </c>
      <c r="Y466" s="80">
        <f>IF($I466&gt;0,MAX(0,$G466*SIN(RADIANS('13_시나리오비교'!$B$14))*SIN(RADIANS('13_시나리오비교'!$C$14))+$H466*SIN(RADIANS('13_시나리오비교'!$B$14))*COS(RADIANS('13_시나리오비교'!$C$14))+$I466*COS(RADIANS('13_시나리오비교'!$B$14))),0)</f>
        <v/>
      </c>
    </row>
    <row r="467" hidden="1" outlineLevel="1">
      <c r="A467" s="79" t="n">
        <v>5</v>
      </c>
      <c r="B467" s="79" t="n">
        <v>63</v>
      </c>
      <c r="C467" s="80">
        <f>(B467-0.5)*'14_지역·상수'!$H$6</f>
        <v/>
      </c>
      <c r="D467" s="79" t="n">
        <v>135</v>
      </c>
      <c r="E467" s="80">
        <f>INDEX($C$4:$C$15,MATCH(A467,$A$4:$A$15,0))</f>
        <v/>
      </c>
      <c r="F467" s="80">
        <f>15*(C467-12)</f>
        <v/>
      </c>
      <c r="G467" s="80">
        <f>-COS(RADIANS(E467))*SIN(RADIANS(F467))</f>
        <v/>
      </c>
      <c r="H467" s="80">
        <f>COS(RADIANS('11_발전량_모델'!$B$17))*SIN(RADIANS(E467))-SIN(RADIANS('11_발전량_모델'!$B$17))*COS(RADIANS(E467))*COS(RADIANS(F467))</f>
        <v/>
      </c>
      <c r="I467" s="80">
        <f>SIN(RADIANS('11_발전량_모델'!$B$17))*SIN(RADIANS(E467))+COS(RADIANS('11_발전량_모델'!$B$17))*COS(RADIANS(E467))*COS(RADIANS(F467))</f>
        <v/>
      </c>
      <c r="J467" s="80">
        <f>SIN(RADIANS('11_발전량_모델'!$B$7))*SIN(RADIANS('11_발전량_모델'!$B$8))</f>
        <v/>
      </c>
      <c r="K467" s="80">
        <f>SIN(RADIANS('11_발전량_모델'!$B$7))*COS(RADIANS('11_발전량_모델'!$B$8))</f>
        <v/>
      </c>
      <c r="L467" s="80">
        <f>COS(RADIANS('11_발전량_모델'!$B$7))</f>
        <v/>
      </c>
      <c r="M467" s="80">
        <f>G467*J467+H467*K467+I467*L467</f>
        <v/>
      </c>
      <c r="N467" s="80">
        <f>MAX(0,I467)</f>
        <v/>
      </c>
      <c r="O467" s="80">
        <f>IF(I467&gt;0,MAX(0,M467),0)</f>
        <v/>
      </c>
      <c r="P467" s="80">
        <f>IF($I467&gt;0,MAX(0,$G467*SIN(RADIANS('13_시나리오비교'!$B$5))*SIN(RADIANS('13_시나리오비교'!$C$5))+$H467*SIN(RADIANS('13_시나리오비교'!$B$5))*COS(RADIANS('13_시나리오비교'!$C$5))+$I467*COS(RADIANS('13_시나리오비교'!$B$5))),0)</f>
        <v/>
      </c>
      <c r="Q467" s="80">
        <f>IF($I467&gt;0,MAX(0,$G467*SIN(RADIANS('13_시나리오비교'!$B$6))*SIN(RADIANS('13_시나리오비교'!$C$6))+$H467*SIN(RADIANS('13_시나리오비교'!$B$6))*COS(RADIANS('13_시나리오비교'!$C$6))+$I467*COS(RADIANS('13_시나리오비교'!$B$6))),0)</f>
        <v/>
      </c>
      <c r="R467" s="80">
        <f>IF($I467&gt;0,MAX(0,$G467*SIN(RADIANS('13_시나리오비교'!$B$7))*SIN(RADIANS('13_시나리오비교'!$C$7))+$H467*SIN(RADIANS('13_시나리오비교'!$B$7))*COS(RADIANS('13_시나리오비교'!$C$7))+$I467*COS(RADIANS('13_시나리오비교'!$B$7))),0)</f>
        <v/>
      </c>
      <c r="S467" s="80">
        <f>IF($I467&gt;0,MAX(0,$G467*SIN(RADIANS('13_시나리오비교'!$B$8))*SIN(RADIANS('13_시나리오비교'!$C$8))+$H467*SIN(RADIANS('13_시나리오비교'!$B$8))*COS(RADIANS('13_시나리오비교'!$C$8))+$I467*COS(RADIANS('13_시나리오비교'!$B$8))),0)</f>
        <v/>
      </c>
      <c r="T467" s="80">
        <f>IF($I467&gt;0,MAX(0,$G467*SIN(RADIANS('13_시나리오비교'!$B$9))*SIN(RADIANS('13_시나리오비교'!$C$9))+$H467*SIN(RADIANS('13_시나리오비교'!$B$9))*COS(RADIANS('13_시나리오비교'!$C$9))+$I467*COS(RADIANS('13_시나리오비교'!$B$9))),0)</f>
        <v/>
      </c>
      <c r="U467" s="80">
        <f>IF($I467&gt;0,MAX(0,$G467*SIN(RADIANS('13_시나리오비교'!$B$10))*SIN(RADIANS('13_시나리오비교'!$C$10))+$H467*SIN(RADIANS('13_시나리오비교'!$B$10))*COS(RADIANS('13_시나리오비교'!$C$10))+$I467*COS(RADIANS('13_시나리오비교'!$B$10))),0)</f>
        <v/>
      </c>
      <c r="V467" s="80">
        <f>IF($I467&gt;0,MAX(0,$G467*SIN(RADIANS('13_시나리오비교'!$B$11))*SIN(RADIANS('13_시나리오비교'!$C$11))+$H467*SIN(RADIANS('13_시나리오비교'!$B$11))*COS(RADIANS('13_시나리오비교'!$C$11))+$I467*COS(RADIANS('13_시나리오비교'!$B$11))),0)</f>
        <v/>
      </c>
      <c r="W467" s="80">
        <f>IF($I467&gt;0,MAX(0,$G467*SIN(RADIANS('13_시나리오비교'!$B$12))*SIN(RADIANS('13_시나리오비교'!$C$12))+$H467*SIN(RADIANS('13_시나리오비교'!$B$12))*COS(RADIANS('13_시나리오비교'!$C$12))+$I467*COS(RADIANS('13_시나리오비교'!$B$12))),0)</f>
        <v/>
      </c>
      <c r="X467" s="80">
        <f>IF($I467&gt;0,MAX(0,$G467*SIN(RADIANS('13_시나리오비교'!$B$13))*SIN(RADIANS('13_시나리오비교'!$C$13))+$H467*SIN(RADIANS('13_시나리오비교'!$B$13))*COS(RADIANS('13_시나리오비교'!$C$13))+$I467*COS(RADIANS('13_시나리오비교'!$B$13))),0)</f>
        <v/>
      </c>
      <c r="Y467" s="80">
        <f>IF($I467&gt;0,MAX(0,$G467*SIN(RADIANS('13_시나리오비교'!$B$14))*SIN(RADIANS('13_시나리오비교'!$C$14))+$H467*SIN(RADIANS('13_시나리오비교'!$B$14))*COS(RADIANS('13_시나리오비교'!$C$14))+$I467*COS(RADIANS('13_시나리오비교'!$B$14))),0)</f>
        <v/>
      </c>
    </row>
    <row r="468" hidden="1" outlineLevel="1">
      <c r="A468" s="79" t="n">
        <v>5</v>
      </c>
      <c r="B468" s="79" t="n">
        <v>64</v>
      </c>
      <c r="C468" s="80">
        <f>(B468-0.5)*'14_지역·상수'!$H$6</f>
        <v/>
      </c>
      <c r="D468" s="79" t="n">
        <v>135</v>
      </c>
      <c r="E468" s="80">
        <f>INDEX($C$4:$C$15,MATCH(A468,$A$4:$A$15,0))</f>
        <v/>
      </c>
      <c r="F468" s="80">
        <f>15*(C468-12)</f>
        <v/>
      </c>
      <c r="G468" s="80">
        <f>-COS(RADIANS(E468))*SIN(RADIANS(F468))</f>
        <v/>
      </c>
      <c r="H468" s="80">
        <f>COS(RADIANS('11_발전량_모델'!$B$17))*SIN(RADIANS(E468))-SIN(RADIANS('11_발전량_모델'!$B$17))*COS(RADIANS(E468))*COS(RADIANS(F468))</f>
        <v/>
      </c>
      <c r="I468" s="80">
        <f>SIN(RADIANS('11_발전량_모델'!$B$17))*SIN(RADIANS(E468))+COS(RADIANS('11_발전량_모델'!$B$17))*COS(RADIANS(E468))*COS(RADIANS(F468))</f>
        <v/>
      </c>
      <c r="J468" s="80">
        <f>SIN(RADIANS('11_발전량_모델'!$B$7))*SIN(RADIANS('11_발전량_모델'!$B$8))</f>
        <v/>
      </c>
      <c r="K468" s="80">
        <f>SIN(RADIANS('11_발전량_모델'!$B$7))*COS(RADIANS('11_발전량_모델'!$B$8))</f>
        <v/>
      </c>
      <c r="L468" s="80">
        <f>COS(RADIANS('11_발전량_모델'!$B$7))</f>
        <v/>
      </c>
      <c r="M468" s="80">
        <f>G468*J468+H468*K468+I468*L468</f>
        <v/>
      </c>
      <c r="N468" s="80">
        <f>MAX(0,I468)</f>
        <v/>
      </c>
      <c r="O468" s="80">
        <f>IF(I468&gt;0,MAX(0,M468),0)</f>
        <v/>
      </c>
      <c r="P468" s="80">
        <f>IF($I468&gt;0,MAX(0,$G468*SIN(RADIANS('13_시나리오비교'!$B$5))*SIN(RADIANS('13_시나리오비교'!$C$5))+$H468*SIN(RADIANS('13_시나리오비교'!$B$5))*COS(RADIANS('13_시나리오비교'!$C$5))+$I468*COS(RADIANS('13_시나리오비교'!$B$5))),0)</f>
        <v/>
      </c>
      <c r="Q468" s="80">
        <f>IF($I468&gt;0,MAX(0,$G468*SIN(RADIANS('13_시나리오비교'!$B$6))*SIN(RADIANS('13_시나리오비교'!$C$6))+$H468*SIN(RADIANS('13_시나리오비교'!$B$6))*COS(RADIANS('13_시나리오비교'!$C$6))+$I468*COS(RADIANS('13_시나리오비교'!$B$6))),0)</f>
        <v/>
      </c>
      <c r="R468" s="80">
        <f>IF($I468&gt;0,MAX(0,$G468*SIN(RADIANS('13_시나리오비교'!$B$7))*SIN(RADIANS('13_시나리오비교'!$C$7))+$H468*SIN(RADIANS('13_시나리오비교'!$B$7))*COS(RADIANS('13_시나리오비교'!$C$7))+$I468*COS(RADIANS('13_시나리오비교'!$B$7))),0)</f>
        <v/>
      </c>
      <c r="S468" s="80">
        <f>IF($I468&gt;0,MAX(0,$G468*SIN(RADIANS('13_시나리오비교'!$B$8))*SIN(RADIANS('13_시나리오비교'!$C$8))+$H468*SIN(RADIANS('13_시나리오비교'!$B$8))*COS(RADIANS('13_시나리오비교'!$C$8))+$I468*COS(RADIANS('13_시나리오비교'!$B$8))),0)</f>
        <v/>
      </c>
      <c r="T468" s="80">
        <f>IF($I468&gt;0,MAX(0,$G468*SIN(RADIANS('13_시나리오비교'!$B$9))*SIN(RADIANS('13_시나리오비교'!$C$9))+$H468*SIN(RADIANS('13_시나리오비교'!$B$9))*COS(RADIANS('13_시나리오비교'!$C$9))+$I468*COS(RADIANS('13_시나리오비교'!$B$9))),0)</f>
        <v/>
      </c>
      <c r="U468" s="80">
        <f>IF($I468&gt;0,MAX(0,$G468*SIN(RADIANS('13_시나리오비교'!$B$10))*SIN(RADIANS('13_시나리오비교'!$C$10))+$H468*SIN(RADIANS('13_시나리오비교'!$B$10))*COS(RADIANS('13_시나리오비교'!$C$10))+$I468*COS(RADIANS('13_시나리오비교'!$B$10))),0)</f>
        <v/>
      </c>
      <c r="V468" s="80">
        <f>IF($I468&gt;0,MAX(0,$G468*SIN(RADIANS('13_시나리오비교'!$B$11))*SIN(RADIANS('13_시나리오비교'!$C$11))+$H468*SIN(RADIANS('13_시나리오비교'!$B$11))*COS(RADIANS('13_시나리오비교'!$C$11))+$I468*COS(RADIANS('13_시나리오비교'!$B$11))),0)</f>
        <v/>
      </c>
      <c r="W468" s="80">
        <f>IF($I468&gt;0,MAX(0,$G468*SIN(RADIANS('13_시나리오비교'!$B$12))*SIN(RADIANS('13_시나리오비교'!$C$12))+$H468*SIN(RADIANS('13_시나리오비교'!$B$12))*COS(RADIANS('13_시나리오비교'!$C$12))+$I468*COS(RADIANS('13_시나리오비교'!$B$12))),0)</f>
        <v/>
      </c>
      <c r="X468" s="80">
        <f>IF($I468&gt;0,MAX(0,$G468*SIN(RADIANS('13_시나리오비교'!$B$13))*SIN(RADIANS('13_시나리오비교'!$C$13))+$H468*SIN(RADIANS('13_시나리오비교'!$B$13))*COS(RADIANS('13_시나리오비교'!$C$13))+$I468*COS(RADIANS('13_시나리오비교'!$B$13))),0)</f>
        <v/>
      </c>
      <c r="Y468" s="80">
        <f>IF($I468&gt;0,MAX(0,$G468*SIN(RADIANS('13_시나리오비교'!$B$14))*SIN(RADIANS('13_시나리오비교'!$C$14))+$H468*SIN(RADIANS('13_시나리오비교'!$B$14))*COS(RADIANS('13_시나리오비교'!$C$14))+$I468*COS(RADIANS('13_시나리오비교'!$B$14))),0)</f>
        <v/>
      </c>
    </row>
    <row r="469" hidden="1" outlineLevel="1">
      <c r="A469" s="79" t="n">
        <v>5</v>
      </c>
      <c r="B469" s="79" t="n">
        <v>65</v>
      </c>
      <c r="C469" s="80">
        <f>(B469-0.5)*'14_지역·상수'!$H$6</f>
        <v/>
      </c>
      <c r="D469" s="79" t="n">
        <v>135</v>
      </c>
      <c r="E469" s="80">
        <f>INDEX($C$4:$C$15,MATCH(A469,$A$4:$A$15,0))</f>
        <v/>
      </c>
      <c r="F469" s="80">
        <f>15*(C469-12)</f>
        <v/>
      </c>
      <c r="G469" s="80">
        <f>-COS(RADIANS(E469))*SIN(RADIANS(F469))</f>
        <v/>
      </c>
      <c r="H469" s="80">
        <f>COS(RADIANS('11_발전량_모델'!$B$17))*SIN(RADIANS(E469))-SIN(RADIANS('11_발전량_모델'!$B$17))*COS(RADIANS(E469))*COS(RADIANS(F469))</f>
        <v/>
      </c>
      <c r="I469" s="80">
        <f>SIN(RADIANS('11_발전량_모델'!$B$17))*SIN(RADIANS(E469))+COS(RADIANS('11_발전량_모델'!$B$17))*COS(RADIANS(E469))*COS(RADIANS(F469))</f>
        <v/>
      </c>
      <c r="J469" s="80">
        <f>SIN(RADIANS('11_발전량_모델'!$B$7))*SIN(RADIANS('11_발전량_모델'!$B$8))</f>
        <v/>
      </c>
      <c r="K469" s="80">
        <f>SIN(RADIANS('11_발전량_모델'!$B$7))*COS(RADIANS('11_발전량_모델'!$B$8))</f>
        <v/>
      </c>
      <c r="L469" s="80">
        <f>COS(RADIANS('11_발전량_모델'!$B$7))</f>
        <v/>
      </c>
      <c r="M469" s="80">
        <f>G469*J469+H469*K469+I469*L469</f>
        <v/>
      </c>
      <c r="N469" s="80">
        <f>MAX(0,I469)</f>
        <v/>
      </c>
      <c r="O469" s="80">
        <f>IF(I469&gt;0,MAX(0,M469),0)</f>
        <v/>
      </c>
      <c r="P469" s="80">
        <f>IF($I469&gt;0,MAX(0,$G469*SIN(RADIANS('13_시나리오비교'!$B$5))*SIN(RADIANS('13_시나리오비교'!$C$5))+$H469*SIN(RADIANS('13_시나리오비교'!$B$5))*COS(RADIANS('13_시나리오비교'!$C$5))+$I469*COS(RADIANS('13_시나리오비교'!$B$5))),0)</f>
        <v/>
      </c>
      <c r="Q469" s="80">
        <f>IF($I469&gt;0,MAX(0,$G469*SIN(RADIANS('13_시나리오비교'!$B$6))*SIN(RADIANS('13_시나리오비교'!$C$6))+$H469*SIN(RADIANS('13_시나리오비교'!$B$6))*COS(RADIANS('13_시나리오비교'!$C$6))+$I469*COS(RADIANS('13_시나리오비교'!$B$6))),0)</f>
        <v/>
      </c>
      <c r="R469" s="80">
        <f>IF($I469&gt;0,MAX(0,$G469*SIN(RADIANS('13_시나리오비교'!$B$7))*SIN(RADIANS('13_시나리오비교'!$C$7))+$H469*SIN(RADIANS('13_시나리오비교'!$B$7))*COS(RADIANS('13_시나리오비교'!$C$7))+$I469*COS(RADIANS('13_시나리오비교'!$B$7))),0)</f>
        <v/>
      </c>
      <c r="S469" s="80">
        <f>IF($I469&gt;0,MAX(0,$G469*SIN(RADIANS('13_시나리오비교'!$B$8))*SIN(RADIANS('13_시나리오비교'!$C$8))+$H469*SIN(RADIANS('13_시나리오비교'!$B$8))*COS(RADIANS('13_시나리오비교'!$C$8))+$I469*COS(RADIANS('13_시나리오비교'!$B$8))),0)</f>
        <v/>
      </c>
      <c r="T469" s="80">
        <f>IF($I469&gt;0,MAX(0,$G469*SIN(RADIANS('13_시나리오비교'!$B$9))*SIN(RADIANS('13_시나리오비교'!$C$9))+$H469*SIN(RADIANS('13_시나리오비교'!$B$9))*COS(RADIANS('13_시나리오비교'!$C$9))+$I469*COS(RADIANS('13_시나리오비교'!$B$9))),0)</f>
        <v/>
      </c>
      <c r="U469" s="80">
        <f>IF($I469&gt;0,MAX(0,$G469*SIN(RADIANS('13_시나리오비교'!$B$10))*SIN(RADIANS('13_시나리오비교'!$C$10))+$H469*SIN(RADIANS('13_시나리오비교'!$B$10))*COS(RADIANS('13_시나리오비교'!$C$10))+$I469*COS(RADIANS('13_시나리오비교'!$B$10))),0)</f>
        <v/>
      </c>
      <c r="V469" s="80">
        <f>IF($I469&gt;0,MAX(0,$G469*SIN(RADIANS('13_시나리오비교'!$B$11))*SIN(RADIANS('13_시나리오비교'!$C$11))+$H469*SIN(RADIANS('13_시나리오비교'!$B$11))*COS(RADIANS('13_시나리오비교'!$C$11))+$I469*COS(RADIANS('13_시나리오비교'!$B$11))),0)</f>
        <v/>
      </c>
      <c r="W469" s="80">
        <f>IF($I469&gt;0,MAX(0,$G469*SIN(RADIANS('13_시나리오비교'!$B$12))*SIN(RADIANS('13_시나리오비교'!$C$12))+$H469*SIN(RADIANS('13_시나리오비교'!$B$12))*COS(RADIANS('13_시나리오비교'!$C$12))+$I469*COS(RADIANS('13_시나리오비교'!$B$12))),0)</f>
        <v/>
      </c>
      <c r="X469" s="80">
        <f>IF($I469&gt;0,MAX(0,$G469*SIN(RADIANS('13_시나리오비교'!$B$13))*SIN(RADIANS('13_시나리오비교'!$C$13))+$H469*SIN(RADIANS('13_시나리오비교'!$B$13))*COS(RADIANS('13_시나리오비교'!$C$13))+$I469*COS(RADIANS('13_시나리오비교'!$B$13))),0)</f>
        <v/>
      </c>
      <c r="Y469" s="80">
        <f>IF($I469&gt;0,MAX(0,$G469*SIN(RADIANS('13_시나리오비교'!$B$14))*SIN(RADIANS('13_시나리오비교'!$C$14))+$H469*SIN(RADIANS('13_시나리오비교'!$B$14))*COS(RADIANS('13_시나리오비교'!$C$14))+$I469*COS(RADIANS('13_시나리오비교'!$B$14))),0)</f>
        <v/>
      </c>
    </row>
    <row r="470" hidden="1" outlineLevel="1">
      <c r="A470" s="79" t="n">
        <v>5</v>
      </c>
      <c r="B470" s="79" t="n">
        <v>66</v>
      </c>
      <c r="C470" s="80">
        <f>(B470-0.5)*'14_지역·상수'!$H$6</f>
        <v/>
      </c>
      <c r="D470" s="79" t="n">
        <v>135</v>
      </c>
      <c r="E470" s="80">
        <f>INDEX($C$4:$C$15,MATCH(A470,$A$4:$A$15,0))</f>
        <v/>
      </c>
      <c r="F470" s="80">
        <f>15*(C470-12)</f>
        <v/>
      </c>
      <c r="G470" s="80">
        <f>-COS(RADIANS(E470))*SIN(RADIANS(F470))</f>
        <v/>
      </c>
      <c r="H470" s="80">
        <f>COS(RADIANS('11_발전량_모델'!$B$17))*SIN(RADIANS(E470))-SIN(RADIANS('11_발전량_모델'!$B$17))*COS(RADIANS(E470))*COS(RADIANS(F470))</f>
        <v/>
      </c>
      <c r="I470" s="80">
        <f>SIN(RADIANS('11_발전량_모델'!$B$17))*SIN(RADIANS(E470))+COS(RADIANS('11_발전량_모델'!$B$17))*COS(RADIANS(E470))*COS(RADIANS(F470))</f>
        <v/>
      </c>
      <c r="J470" s="80">
        <f>SIN(RADIANS('11_발전량_모델'!$B$7))*SIN(RADIANS('11_발전량_모델'!$B$8))</f>
        <v/>
      </c>
      <c r="K470" s="80">
        <f>SIN(RADIANS('11_발전량_모델'!$B$7))*COS(RADIANS('11_발전량_모델'!$B$8))</f>
        <v/>
      </c>
      <c r="L470" s="80">
        <f>COS(RADIANS('11_발전량_모델'!$B$7))</f>
        <v/>
      </c>
      <c r="M470" s="80">
        <f>G470*J470+H470*K470+I470*L470</f>
        <v/>
      </c>
      <c r="N470" s="80">
        <f>MAX(0,I470)</f>
        <v/>
      </c>
      <c r="O470" s="80">
        <f>IF(I470&gt;0,MAX(0,M470),0)</f>
        <v/>
      </c>
      <c r="P470" s="80">
        <f>IF($I470&gt;0,MAX(0,$G470*SIN(RADIANS('13_시나리오비교'!$B$5))*SIN(RADIANS('13_시나리오비교'!$C$5))+$H470*SIN(RADIANS('13_시나리오비교'!$B$5))*COS(RADIANS('13_시나리오비교'!$C$5))+$I470*COS(RADIANS('13_시나리오비교'!$B$5))),0)</f>
        <v/>
      </c>
      <c r="Q470" s="80">
        <f>IF($I470&gt;0,MAX(0,$G470*SIN(RADIANS('13_시나리오비교'!$B$6))*SIN(RADIANS('13_시나리오비교'!$C$6))+$H470*SIN(RADIANS('13_시나리오비교'!$B$6))*COS(RADIANS('13_시나리오비교'!$C$6))+$I470*COS(RADIANS('13_시나리오비교'!$B$6))),0)</f>
        <v/>
      </c>
      <c r="R470" s="80">
        <f>IF($I470&gt;0,MAX(0,$G470*SIN(RADIANS('13_시나리오비교'!$B$7))*SIN(RADIANS('13_시나리오비교'!$C$7))+$H470*SIN(RADIANS('13_시나리오비교'!$B$7))*COS(RADIANS('13_시나리오비교'!$C$7))+$I470*COS(RADIANS('13_시나리오비교'!$B$7))),0)</f>
        <v/>
      </c>
      <c r="S470" s="80">
        <f>IF($I470&gt;0,MAX(0,$G470*SIN(RADIANS('13_시나리오비교'!$B$8))*SIN(RADIANS('13_시나리오비교'!$C$8))+$H470*SIN(RADIANS('13_시나리오비교'!$B$8))*COS(RADIANS('13_시나리오비교'!$C$8))+$I470*COS(RADIANS('13_시나리오비교'!$B$8))),0)</f>
        <v/>
      </c>
      <c r="T470" s="80">
        <f>IF($I470&gt;0,MAX(0,$G470*SIN(RADIANS('13_시나리오비교'!$B$9))*SIN(RADIANS('13_시나리오비교'!$C$9))+$H470*SIN(RADIANS('13_시나리오비교'!$B$9))*COS(RADIANS('13_시나리오비교'!$C$9))+$I470*COS(RADIANS('13_시나리오비교'!$B$9))),0)</f>
        <v/>
      </c>
      <c r="U470" s="80">
        <f>IF($I470&gt;0,MAX(0,$G470*SIN(RADIANS('13_시나리오비교'!$B$10))*SIN(RADIANS('13_시나리오비교'!$C$10))+$H470*SIN(RADIANS('13_시나리오비교'!$B$10))*COS(RADIANS('13_시나리오비교'!$C$10))+$I470*COS(RADIANS('13_시나리오비교'!$B$10))),0)</f>
        <v/>
      </c>
      <c r="V470" s="80">
        <f>IF($I470&gt;0,MAX(0,$G470*SIN(RADIANS('13_시나리오비교'!$B$11))*SIN(RADIANS('13_시나리오비교'!$C$11))+$H470*SIN(RADIANS('13_시나리오비교'!$B$11))*COS(RADIANS('13_시나리오비교'!$C$11))+$I470*COS(RADIANS('13_시나리오비교'!$B$11))),0)</f>
        <v/>
      </c>
      <c r="W470" s="80">
        <f>IF($I470&gt;0,MAX(0,$G470*SIN(RADIANS('13_시나리오비교'!$B$12))*SIN(RADIANS('13_시나리오비교'!$C$12))+$H470*SIN(RADIANS('13_시나리오비교'!$B$12))*COS(RADIANS('13_시나리오비교'!$C$12))+$I470*COS(RADIANS('13_시나리오비교'!$B$12))),0)</f>
        <v/>
      </c>
      <c r="X470" s="80">
        <f>IF($I470&gt;0,MAX(0,$G470*SIN(RADIANS('13_시나리오비교'!$B$13))*SIN(RADIANS('13_시나리오비교'!$C$13))+$H470*SIN(RADIANS('13_시나리오비교'!$B$13))*COS(RADIANS('13_시나리오비교'!$C$13))+$I470*COS(RADIANS('13_시나리오비교'!$B$13))),0)</f>
        <v/>
      </c>
      <c r="Y470" s="80">
        <f>IF($I470&gt;0,MAX(0,$G470*SIN(RADIANS('13_시나리오비교'!$B$14))*SIN(RADIANS('13_시나리오비교'!$C$14))+$H470*SIN(RADIANS('13_시나리오비교'!$B$14))*COS(RADIANS('13_시나리오비교'!$C$14))+$I470*COS(RADIANS('13_시나리오비교'!$B$14))),0)</f>
        <v/>
      </c>
    </row>
    <row r="471" hidden="1" outlineLevel="1">
      <c r="A471" s="79" t="n">
        <v>5</v>
      </c>
      <c r="B471" s="79" t="n">
        <v>67</v>
      </c>
      <c r="C471" s="80">
        <f>(B471-0.5)*'14_지역·상수'!$H$6</f>
        <v/>
      </c>
      <c r="D471" s="79" t="n">
        <v>135</v>
      </c>
      <c r="E471" s="80">
        <f>INDEX($C$4:$C$15,MATCH(A471,$A$4:$A$15,0))</f>
        <v/>
      </c>
      <c r="F471" s="80">
        <f>15*(C471-12)</f>
        <v/>
      </c>
      <c r="G471" s="80">
        <f>-COS(RADIANS(E471))*SIN(RADIANS(F471))</f>
        <v/>
      </c>
      <c r="H471" s="80">
        <f>COS(RADIANS('11_발전량_모델'!$B$17))*SIN(RADIANS(E471))-SIN(RADIANS('11_발전량_모델'!$B$17))*COS(RADIANS(E471))*COS(RADIANS(F471))</f>
        <v/>
      </c>
      <c r="I471" s="80">
        <f>SIN(RADIANS('11_발전량_모델'!$B$17))*SIN(RADIANS(E471))+COS(RADIANS('11_발전량_모델'!$B$17))*COS(RADIANS(E471))*COS(RADIANS(F471))</f>
        <v/>
      </c>
      <c r="J471" s="80">
        <f>SIN(RADIANS('11_발전량_모델'!$B$7))*SIN(RADIANS('11_발전량_모델'!$B$8))</f>
        <v/>
      </c>
      <c r="K471" s="80">
        <f>SIN(RADIANS('11_발전량_모델'!$B$7))*COS(RADIANS('11_발전량_모델'!$B$8))</f>
        <v/>
      </c>
      <c r="L471" s="80">
        <f>COS(RADIANS('11_발전량_모델'!$B$7))</f>
        <v/>
      </c>
      <c r="M471" s="80">
        <f>G471*J471+H471*K471+I471*L471</f>
        <v/>
      </c>
      <c r="N471" s="80">
        <f>MAX(0,I471)</f>
        <v/>
      </c>
      <c r="O471" s="80">
        <f>IF(I471&gt;0,MAX(0,M471),0)</f>
        <v/>
      </c>
      <c r="P471" s="80">
        <f>IF($I471&gt;0,MAX(0,$G471*SIN(RADIANS('13_시나리오비교'!$B$5))*SIN(RADIANS('13_시나리오비교'!$C$5))+$H471*SIN(RADIANS('13_시나리오비교'!$B$5))*COS(RADIANS('13_시나리오비교'!$C$5))+$I471*COS(RADIANS('13_시나리오비교'!$B$5))),0)</f>
        <v/>
      </c>
      <c r="Q471" s="80">
        <f>IF($I471&gt;0,MAX(0,$G471*SIN(RADIANS('13_시나리오비교'!$B$6))*SIN(RADIANS('13_시나리오비교'!$C$6))+$H471*SIN(RADIANS('13_시나리오비교'!$B$6))*COS(RADIANS('13_시나리오비교'!$C$6))+$I471*COS(RADIANS('13_시나리오비교'!$B$6))),0)</f>
        <v/>
      </c>
      <c r="R471" s="80">
        <f>IF($I471&gt;0,MAX(0,$G471*SIN(RADIANS('13_시나리오비교'!$B$7))*SIN(RADIANS('13_시나리오비교'!$C$7))+$H471*SIN(RADIANS('13_시나리오비교'!$B$7))*COS(RADIANS('13_시나리오비교'!$C$7))+$I471*COS(RADIANS('13_시나리오비교'!$B$7))),0)</f>
        <v/>
      </c>
      <c r="S471" s="80">
        <f>IF($I471&gt;0,MAX(0,$G471*SIN(RADIANS('13_시나리오비교'!$B$8))*SIN(RADIANS('13_시나리오비교'!$C$8))+$H471*SIN(RADIANS('13_시나리오비교'!$B$8))*COS(RADIANS('13_시나리오비교'!$C$8))+$I471*COS(RADIANS('13_시나리오비교'!$B$8))),0)</f>
        <v/>
      </c>
      <c r="T471" s="80">
        <f>IF($I471&gt;0,MAX(0,$G471*SIN(RADIANS('13_시나리오비교'!$B$9))*SIN(RADIANS('13_시나리오비교'!$C$9))+$H471*SIN(RADIANS('13_시나리오비교'!$B$9))*COS(RADIANS('13_시나리오비교'!$C$9))+$I471*COS(RADIANS('13_시나리오비교'!$B$9))),0)</f>
        <v/>
      </c>
      <c r="U471" s="80">
        <f>IF($I471&gt;0,MAX(0,$G471*SIN(RADIANS('13_시나리오비교'!$B$10))*SIN(RADIANS('13_시나리오비교'!$C$10))+$H471*SIN(RADIANS('13_시나리오비교'!$B$10))*COS(RADIANS('13_시나리오비교'!$C$10))+$I471*COS(RADIANS('13_시나리오비교'!$B$10))),0)</f>
        <v/>
      </c>
      <c r="V471" s="80">
        <f>IF($I471&gt;0,MAX(0,$G471*SIN(RADIANS('13_시나리오비교'!$B$11))*SIN(RADIANS('13_시나리오비교'!$C$11))+$H471*SIN(RADIANS('13_시나리오비교'!$B$11))*COS(RADIANS('13_시나리오비교'!$C$11))+$I471*COS(RADIANS('13_시나리오비교'!$B$11))),0)</f>
        <v/>
      </c>
      <c r="W471" s="80">
        <f>IF($I471&gt;0,MAX(0,$G471*SIN(RADIANS('13_시나리오비교'!$B$12))*SIN(RADIANS('13_시나리오비교'!$C$12))+$H471*SIN(RADIANS('13_시나리오비교'!$B$12))*COS(RADIANS('13_시나리오비교'!$C$12))+$I471*COS(RADIANS('13_시나리오비교'!$B$12))),0)</f>
        <v/>
      </c>
      <c r="X471" s="80">
        <f>IF($I471&gt;0,MAX(0,$G471*SIN(RADIANS('13_시나리오비교'!$B$13))*SIN(RADIANS('13_시나리오비교'!$C$13))+$H471*SIN(RADIANS('13_시나리오비교'!$B$13))*COS(RADIANS('13_시나리오비교'!$C$13))+$I471*COS(RADIANS('13_시나리오비교'!$B$13))),0)</f>
        <v/>
      </c>
      <c r="Y471" s="80">
        <f>IF($I471&gt;0,MAX(0,$G471*SIN(RADIANS('13_시나리오비교'!$B$14))*SIN(RADIANS('13_시나리오비교'!$C$14))+$H471*SIN(RADIANS('13_시나리오비교'!$B$14))*COS(RADIANS('13_시나리오비교'!$C$14))+$I471*COS(RADIANS('13_시나리오비교'!$B$14))),0)</f>
        <v/>
      </c>
    </row>
    <row r="472" hidden="1" outlineLevel="1">
      <c r="A472" s="79" t="n">
        <v>5</v>
      </c>
      <c r="B472" s="79" t="n">
        <v>68</v>
      </c>
      <c r="C472" s="80">
        <f>(B472-0.5)*'14_지역·상수'!$H$6</f>
        <v/>
      </c>
      <c r="D472" s="79" t="n">
        <v>135</v>
      </c>
      <c r="E472" s="80">
        <f>INDEX($C$4:$C$15,MATCH(A472,$A$4:$A$15,0))</f>
        <v/>
      </c>
      <c r="F472" s="80">
        <f>15*(C472-12)</f>
        <v/>
      </c>
      <c r="G472" s="80">
        <f>-COS(RADIANS(E472))*SIN(RADIANS(F472))</f>
        <v/>
      </c>
      <c r="H472" s="80">
        <f>COS(RADIANS('11_발전량_모델'!$B$17))*SIN(RADIANS(E472))-SIN(RADIANS('11_발전량_모델'!$B$17))*COS(RADIANS(E472))*COS(RADIANS(F472))</f>
        <v/>
      </c>
      <c r="I472" s="80">
        <f>SIN(RADIANS('11_발전량_모델'!$B$17))*SIN(RADIANS(E472))+COS(RADIANS('11_발전량_모델'!$B$17))*COS(RADIANS(E472))*COS(RADIANS(F472))</f>
        <v/>
      </c>
      <c r="J472" s="80">
        <f>SIN(RADIANS('11_발전량_모델'!$B$7))*SIN(RADIANS('11_발전량_모델'!$B$8))</f>
        <v/>
      </c>
      <c r="K472" s="80">
        <f>SIN(RADIANS('11_발전량_모델'!$B$7))*COS(RADIANS('11_발전량_모델'!$B$8))</f>
        <v/>
      </c>
      <c r="L472" s="80">
        <f>COS(RADIANS('11_발전량_모델'!$B$7))</f>
        <v/>
      </c>
      <c r="M472" s="80">
        <f>G472*J472+H472*K472+I472*L472</f>
        <v/>
      </c>
      <c r="N472" s="80">
        <f>MAX(0,I472)</f>
        <v/>
      </c>
      <c r="O472" s="80">
        <f>IF(I472&gt;0,MAX(0,M472),0)</f>
        <v/>
      </c>
      <c r="P472" s="80">
        <f>IF($I472&gt;0,MAX(0,$G472*SIN(RADIANS('13_시나리오비교'!$B$5))*SIN(RADIANS('13_시나리오비교'!$C$5))+$H472*SIN(RADIANS('13_시나리오비교'!$B$5))*COS(RADIANS('13_시나리오비교'!$C$5))+$I472*COS(RADIANS('13_시나리오비교'!$B$5))),0)</f>
        <v/>
      </c>
      <c r="Q472" s="80">
        <f>IF($I472&gt;0,MAX(0,$G472*SIN(RADIANS('13_시나리오비교'!$B$6))*SIN(RADIANS('13_시나리오비교'!$C$6))+$H472*SIN(RADIANS('13_시나리오비교'!$B$6))*COS(RADIANS('13_시나리오비교'!$C$6))+$I472*COS(RADIANS('13_시나리오비교'!$B$6))),0)</f>
        <v/>
      </c>
      <c r="R472" s="80">
        <f>IF($I472&gt;0,MAX(0,$G472*SIN(RADIANS('13_시나리오비교'!$B$7))*SIN(RADIANS('13_시나리오비교'!$C$7))+$H472*SIN(RADIANS('13_시나리오비교'!$B$7))*COS(RADIANS('13_시나리오비교'!$C$7))+$I472*COS(RADIANS('13_시나리오비교'!$B$7))),0)</f>
        <v/>
      </c>
      <c r="S472" s="80">
        <f>IF($I472&gt;0,MAX(0,$G472*SIN(RADIANS('13_시나리오비교'!$B$8))*SIN(RADIANS('13_시나리오비교'!$C$8))+$H472*SIN(RADIANS('13_시나리오비교'!$B$8))*COS(RADIANS('13_시나리오비교'!$C$8))+$I472*COS(RADIANS('13_시나리오비교'!$B$8))),0)</f>
        <v/>
      </c>
      <c r="T472" s="80">
        <f>IF($I472&gt;0,MAX(0,$G472*SIN(RADIANS('13_시나리오비교'!$B$9))*SIN(RADIANS('13_시나리오비교'!$C$9))+$H472*SIN(RADIANS('13_시나리오비교'!$B$9))*COS(RADIANS('13_시나리오비교'!$C$9))+$I472*COS(RADIANS('13_시나리오비교'!$B$9))),0)</f>
        <v/>
      </c>
      <c r="U472" s="80">
        <f>IF($I472&gt;0,MAX(0,$G472*SIN(RADIANS('13_시나리오비교'!$B$10))*SIN(RADIANS('13_시나리오비교'!$C$10))+$H472*SIN(RADIANS('13_시나리오비교'!$B$10))*COS(RADIANS('13_시나리오비교'!$C$10))+$I472*COS(RADIANS('13_시나리오비교'!$B$10))),0)</f>
        <v/>
      </c>
      <c r="V472" s="80">
        <f>IF($I472&gt;0,MAX(0,$G472*SIN(RADIANS('13_시나리오비교'!$B$11))*SIN(RADIANS('13_시나리오비교'!$C$11))+$H472*SIN(RADIANS('13_시나리오비교'!$B$11))*COS(RADIANS('13_시나리오비교'!$C$11))+$I472*COS(RADIANS('13_시나리오비교'!$B$11))),0)</f>
        <v/>
      </c>
      <c r="W472" s="80">
        <f>IF($I472&gt;0,MAX(0,$G472*SIN(RADIANS('13_시나리오비교'!$B$12))*SIN(RADIANS('13_시나리오비교'!$C$12))+$H472*SIN(RADIANS('13_시나리오비교'!$B$12))*COS(RADIANS('13_시나리오비교'!$C$12))+$I472*COS(RADIANS('13_시나리오비교'!$B$12))),0)</f>
        <v/>
      </c>
      <c r="X472" s="80">
        <f>IF($I472&gt;0,MAX(0,$G472*SIN(RADIANS('13_시나리오비교'!$B$13))*SIN(RADIANS('13_시나리오비교'!$C$13))+$H472*SIN(RADIANS('13_시나리오비교'!$B$13))*COS(RADIANS('13_시나리오비교'!$C$13))+$I472*COS(RADIANS('13_시나리오비교'!$B$13))),0)</f>
        <v/>
      </c>
      <c r="Y472" s="80">
        <f>IF($I472&gt;0,MAX(0,$G472*SIN(RADIANS('13_시나리오비교'!$B$14))*SIN(RADIANS('13_시나리오비교'!$C$14))+$H472*SIN(RADIANS('13_시나리오비교'!$B$14))*COS(RADIANS('13_시나리오비교'!$C$14))+$I472*COS(RADIANS('13_시나리오비교'!$B$14))),0)</f>
        <v/>
      </c>
    </row>
    <row r="473" hidden="1" outlineLevel="1">
      <c r="A473" s="79" t="n">
        <v>5</v>
      </c>
      <c r="B473" s="79" t="n">
        <v>69</v>
      </c>
      <c r="C473" s="80">
        <f>(B473-0.5)*'14_지역·상수'!$H$6</f>
        <v/>
      </c>
      <c r="D473" s="79" t="n">
        <v>135</v>
      </c>
      <c r="E473" s="80">
        <f>INDEX($C$4:$C$15,MATCH(A473,$A$4:$A$15,0))</f>
        <v/>
      </c>
      <c r="F473" s="80">
        <f>15*(C473-12)</f>
        <v/>
      </c>
      <c r="G473" s="80">
        <f>-COS(RADIANS(E473))*SIN(RADIANS(F473))</f>
        <v/>
      </c>
      <c r="H473" s="80">
        <f>COS(RADIANS('11_발전량_모델'!$B$17))*SIN(RADIANS(E473))-SIN(RADIANS('11_발전량_모델'!$B$17))*COS(RADIANS(E473))*COS(RADIANS(F473))</f>
        <v/>
      </c>
      <c r="I473" s="80">
        <f>SIN(RADIANS('11_발전량_모델'!$B$17))*SIN(RADIANS(E473))+COS(RADIANS('11_발전량_모델'!$B$17))*COS(RADIANS(E473))*COS(RADIANS(F473))</f>
        <v/>
      </c>
      <c r="J473" s="80">
        <f>SIN(RADIANS('11_발전량_모델'!$B$7))*SIN(RADIANS('11_발전량_모델'!$B$8))</f>
        <v/>
      </c>
      <c r="K473" s="80">
        <f>SIN(RADIANS('11_발전량_모델'!$B$7))*COS(RADIANS('11_발전량_모델'!$B$8))</f>
        <v/>
      </c>
      <c r="L473" s="80">
        <f>COS(RADIANS('11_발전량_모델'!$B$7))</f>
        <v/>
      </c>
      <c r="M473" s="80">
        <f>G473*J473+H473*K473+I473*L473</f>
        <v/>
      </c>
      <c r="N473" s="80">
        <f>MAX(0,I473)</f>
        <v/>
      </c>
      <c r="O473" s="80">
        <f>IF(I473&gt;0,MAX(0,M473),0)</f>
        <v/>
      </c>
      <c r="P473" s="80">
        <f>IF($I473&gt;0,MAX(0,$G473*SIN(RADIANS('13_시나리오비교'!$B$5))*SIN(RADIANS('13_시나리오비교'!$C$5))+$H473*SIN(RADIANS('13_시나리오비교'!$B$5))*COS(RADIANS('13_시나리오비교'!$C$5))+$I473*COS(RADIANS('13_시나리오비교'!$B$5))),0)</f>
        <v/>
      </c>
      <c r="Q473" s="80">
        <f>IF($I473&gt;0,MAX(0,$G473*SIN(RADIANS('13_시나리오비교'!$B$6))*SIN(RADIANS('13_시나리오비교'!$C$6))+$H473*SIN(RADIANS('13_시나리오비교'!$B$6))*COS(RADIANS('13_시나리오비교'!$C$6))+$I473*COS(RADIANS('13_시나리오비교'!$B$6))),0)</f>
        <v/>
      </c>
      <c r="R473" s="80">
        <f>IF($I473&gt;0,MAX(0,$G473*SIN(RADIANS('13_시나리오비교'!$B$7))*SIN(RADIANS('13_시나리오비교'!$C$7))+$H473*SIN(RADIANS('13_시나리오비교'!$B$7))*COS(RADIANS('13_시나리오비교'!$C$7))+$I473*COS(RADIANS('13_시나리오비교'!$B$7))),0)</f>
        <v/>
      </c>
      <c r="S473" s="80">
        <f>IF($I473&gt;0,MAX(0,$G473*SIN(RADIANS('13_시나리오비교'!$B$8))*SIN(RADIANS('13_시나리오비교'!$C$8))+$H473*SIN(RADIANS('13_시나리오비교'!$B$8))*COS(RADIANS('13_시나리오비교'!$C$8))+$I473*COS(RADIANS('13_시나리오비교'!$B$8))),0)</f>
        <v/>
      </c>
      <c r="T473" s="80">
        <f>IF($I473&gt;0,MAX(0,$G473*SIN(RADIANS('13_시나리오비교'!$B$9))*SIN(RADIANS('13_시나리오비교'!$C$9))+$H473*SIN(RADIANS('13_시나리오비교'!$B$9))*COS(RADIANS('13_시나리오비교'!$C$9))+$I473*COS(RADIANS('13_시나리오비교'!$B$9))),0)</f>
        <v/>
      </c>
      <c r="U473" s="80">
        <f>IF($I473&gt;0,MAX(0,$G473*SIN(RADIANS('13_시나리오비교'!$B$10))*SIN(RADIANS('13_시나리오비교'!$C$10))+$H473*SIN(RADIANS('13_시나리오비교'!$B$10))*COS(RADIANS('13_시나리오비교'!$C$10))+$I473*COS(RADIANS('13_시나리오비교'!$B$10))),0)</f>
        <v/>
      </c>
      <c r="V473" s="80">
        <f>IF($I473&gt;0,MAX(0,$G473*SIN(RADIANS('13_시나리오비교'!$B$11))*SIN(RADIANS('13_시나리오비교'!$C$11))+$H473*SIN(RADIANS('13_시나리오비교'!$B$11))*COS(RADIANS('13_시나리오비교'!$C$11))+$I473*COS(RADIANS('13_시나리오비교'!$B$11))),0)</f>
        <v/>
      </c>
      <c r="W473" s="80">
        <f>IF($I473&gt;0,MAX(0,$G473*SIN(RADIANS('13_시나리오비교'!$B$12))*SIN(RADIANS('13_시나리오비교'!$C$12))+$H473*SIN(RADIANS('13_시나리오비교'!$B$12))*COS(RADIANS('13_시나리오비교'!$C$12))+$I473*COS(RADIANS('13_시나리오비교'!$B$12))),0)</f>
        <v/>
      </c>
      <c r="X473" s="80">
        <f>IF($I473&gt;0,MAX(0,$G473*SIN(RADIANS('13_시나리오비교'!$B$13))*SIN(RADIANS('13_시나리오비교'!$C$13))+$H473*SIN(RADIANS('13_시나리오비교'!$B$13))*COS(RADIANS('13_시나리오비교'!$C$13))+$I473*COS(RADIANS('13_시나리오비교'!$B$13))),0)</f>
        <v/>
      </c>
      <c r="Y473" s="80">
        <f>IF($I473&gt;0,MAX(0,$G473*SIN(RADIANS('13_시나리오비교'!$B$14))*SIN(RADIANS('13_시나리오비교'!$C$14))+$H473*SIN(RADIANS('13_시나리오비교'!$B$14))*COS(RADIANS('13_시나리오비교'!$C$14))+$I473*COS(RADIANS('13_시나리오비교'!$B$14))),0)</f>
        <v/>
      </c>
    </row>
    <row r="474" hidden="1" outlineLevel="1">
      <c r="A474" s="79" t="n">
        <v>5</v>
      </c>
      <c r="B474" s="79" t="n">
        <v>70</v>
      </c>
      <c r="C474" s="80">
        <f>(B474-0.5)*'14_지역·상수'!$H$6</f>
        <v/>
      </c>
      <c r="D474" s="79" t="n">
        <v>135</v>
      </c>
      <c r="E474" s="80">
        <f>INDEX($C$4:$C$15,MATCH(A474,$A$4:$A$15,0))</f>
        <v/>
      </c>
      <c r="F474" s="80">
        <f>15*(C474-12)</f>
        <v/>
      </c>
      <c r="G474" s="80">
        <f>-COS(RADIANS(E474))*SIN(RADIANS(F474))</f>
        <v/>
      </c>
      <c r="H474" s="80">
        <f>COS(RADIANS('11_발전량_모델'!$B$17))*SIN(RADIANS(E474))-SIN(RADIANS('11_발전량_모델'!$B$17))*COS(RADIANS(E474))*COS(RADIANS(F474))</f>
        <v/>
      </c>
      <c r="I474" s="80">
        <f>SIN(RADIANS('11_발전량_모델'!$B$17))*SIN(RADIANS(E474))+COS(RADIANS('11_발전량_모델'!$B$17))*COS(RADIANS(E474))*COS(RADIANS(F474))</f>
        <v/>
      </c>
      <c r="J474" s="80">
        <f>SIN(RADIANS('11_발전량_모델'!$B$7))*SIN(RADIANS('11_발전량_모델'!$B$8))</f>
        <v/>
      </c>
      <c r="K474" s="80">
        <f>SIN(RADIANS('11_발전량_모델'!$B$7))*COS(RADIANS('11_발전량_모델'!$B$8))</f>
        <v/>
      </c>
      <c r="L474" s="80">
        <f>COS(RADIANS('11_발전량_모델'!$B$7))</f>
        <v/>
      </c>
      <c r="M474" s="80">
        <f>G474*J474+H474*K474+I474*L474</f>
        <v/>
      </c>
      <c r="N474" s="80">
        <f>MAX(0,I474)</f>
        <v/>
      </c>
      <c r="O474" s="80">
        <f>IF(I474&gt;0,MAX(0,M474),0)</f>
        <v/>
      </c>
      <c r="P474" s="80">
        <f>IF($I474&gt;0,MAX(0,$G474*SIN(RADIANS('13_시나리오비교'!$B$5))*SIN(RADIANS('13_시나리오비교'!$C$5))+$H474*SIN(RADIANS('13_시나리오비교'!$B$5))*COS(RADIANS('13_시나리오비교'!$C$5))+$I474*COS(RADIANS('13_시나리오비교'!$B$5))),0)</f>
        <v/>
      </c>
      <c r="Q474" s="80">
        <f>IF($I474&gt;0,MAX(0,$G474*SIN(RADIANS('13_시나리오비교'!$B$6))*SIN(RADIANS('13_시나리오비교'!$C$6))+$H474*SIN(RADIANS('13_시나리오비교'!$B$6))*COS(RADIANS('13_시나리오비교'!$C$6))+$I474*COS(RADIANS('13_시나리오비교'!$B$6))),0)</f>
        <v/>
      </c>
      <c r="R474" s="80">
        <f>IF($I474&gt;0,MAX(0,$G474*SIN(RADIANS('13_시나리오비교'!$B$7))*SIN(RADIANS('13_시나리오비교'!$C$7))+$H474*SIN(RADIANS('13_시나리오비교'!$B$7))*COS(RADIANS('13_시나리오비교'!$C$7))+$I474*COS(RADIANS('13_시나리오비교'!$B$7))),0)</f>
        <v/>
      </c>
      <c r="S474" s="80">
        <f>IF($I474&gt;0,MAX(0,$G474*SIN(RADIANS('13_시나리오비교'!$B$8))*SIN(RADIANS('13_시나리오비교'!$C$8))+$H474*SIN(RADIANS('13_시나리오비교'!$B$8))*COS(RADIANS('13_시나리오비교'!$C$8))+$I474*COS(RADIANS('13_시나리오비교'!$B$8))),0)</f>
        <v/>
      </c>
      <c r="T474" s="80">
        <f>IF($I474&gt;0,MAX(0,$G474*SIN(RADIANS('13_시나리오비교'!$B$9))*SIN(RADIANS('13_시나리오비교'!$C$9))+$H474*SIN(RADIANS('13_시나리오비교'!$B$9))*COS(RADIANS('13_시나리오비교'!$C$9))+$I474*COS(RADIANS('13_시나리오비교'!$B$9))),0)</f>
        <v/>
      </c>
      <c r="U474" s="80">
        <f>IF($I474&gt;0,MAX(0,$G474*SIN(RADIANS('13_시나리오비교'!$B$10))*SIN(RADIANS('13_시나리오비교'!$C$10))+$H474*SIN(RADIANS('13_시나리오비교'!$B$10))*COS(RADIANS('13_시나리오비교'!$C$10))+$I474*COS(RADIANS('13_시나리오비교'!$B$10))),0)</f>
        <v/>
      </c>
      <c r="V474" s="80">
        <f>IF($I474&gt;0,MAX(0,$G474*SIN(RADIANS('13_시나리오비교'!$B$11))*SIN(RADIANS('13_시나리오비교'!$C$11))+$H474*SIN(RADIANS('13_시나리오비교'!$B$11))*COS(RADIANS('13_시나리오비교'!$C$11))+$I474*COS(RADIANS('13_시나리오비교'!$B$11))),0)</f>
        <v/>
      </c>
      <c r="W474" s="80">
        <f>IF($I474&gt;0,MAX(0,$G474*SIN(RADIANS('13_시나리오비교'!$B$12))*SIN(RADIANS('13_시나리오비교'!$C$12))+$H474*SIN(RADIANS('13_시나리오비교'!$B$12))*COS(RADIANS('13_시나리오비교'!$C$12))+$I474*COS(RADIANS('13_시나리오비교'!$B$12))),0)</f>
        <v/>
      </c>
      <c r="X474" s="80">
        <f>IF($I474&gt;0,MAX(0,$G474*SIN(RADIANS('13_시나리오비교'!$B$13))*SIN(RADIANS('13_시나리오비교'!$C$13))+$H474*SIN(RADIANS('13_시나리오비교'!$B$13))*COS(RADIANS('13_시나리오비교'!$C$13))+$I474*COS(RADIANS('13_시나리오비교'!$B$13))),0)</f>
        <v/>
      </c>
      <c r="Y474" s="80">
        <f>IF($I474&gt;0,MAX(0,$G474*SIN(RADIANS('13_시나리오비교'!$B$14))*SIN(RADIANS('13_시나리오비교'!$C$14))+$H474*SIN(RADIANS('13_시나리오비교'!$B$14))*COS(RADIANS('13_시나리오비교'!$C$14))+$I474*COS(RADIANS('13_시나리오비교'!$B$14))),0)</f>
        <v/>
      </c>
    </row>
    <row r="475" hidden="1" outlineLevel="1">
      <c r="A475" s="79" t="n">
        <v>5</v>
      </c>
      <c r="B475" s="79" t="n">
        <v>71</v>
      </c>
      <c r="C475" s="80">
        <f>(B475-0.5)*'14_지역·상수'!$H$6</f>
        <v/>
      </c>
      <c r="D475" s="79" t="n">
        <v>135</v>
      </c>
      <c r="E475" s="80">
        <f>INDEX($C$4:$C$15,MATCH(A475,$A$4:$A$15,0))</f>
        <v/>
      </c>
      <c r="F475" s="80">
        <f>15*(C475-12)</f>
        <v/>
      </c>
      <c r="G475" s="80">
        <f>-COS(RADIANS(E475))*SIN(RADIANS(F475))</f>
        <v/>
      </c>
      <c r="H475" s="80">
        <f>COS(RADIANS('11_발전량_모델'!$B$17))*SIN(RADIANS(E475))-SIN(RADIANS('11_발전량_모델'!$B$17))*COS(RADIANS(E475))*COS(RADIANS(F475))</f>
        <v/>
      </c>
      <c r="I475" s="80">
        <f>SIN(RADIANS('11_발전량_모델'!$B$17))*SIN(RADIANS(E475))+COS(RADIANS('11_발전량_모델'!$B$17))*COS(RADIANS(E475))*COS(RADIANS(F475))</f>
        <v/>
      </c>
      <c r="J475" s="80">
        <f>SIN(RADIANS('11_발전량_모델'!$B$7))*SIN(RADIANS('11_발전량_모델'!$B$8))</f>
        <v/>
      </c>
      <c r="K475" s="80">
        <f>SIN(RADIANS('11_발전량_모델'!$B$7))*COS(RADIANS('11_발전량_모델'!$B$8))</f>
        <v/>
      </c>
      <c r="L475" s="80">
        <f>COS(RADIANS('11_발전량_모델'!$B$7))</f>
        <v/>
      </c>
      <c r="M475" s="80">
        <f>G475*J475+H475*K475+I475*L475</f>
        <v/>
      </c>
      <c r="N475" s="80">
        <f>MAX(0,I475)</f>
        <v/>
      </c>
      <c r="O475" s="80">
        <f>IF(I475&gt;0,MAX(0,M475),0)</f>
        <v/>
      </c>
      <c r="P475" s="80">
        <f>IF($I475&gt;0,MAX(0,$G475*SIN(RADIANS('13_시나리오비교'!$B$5))*SIN(RADIANS('13_시나리오비교'!$C$5))+$H475*SIN(RADIANS('13_시나리오비교'!$B$5))*COS(RADIANS('13_시나리오비교'!$C$5))+$I475*COS(RADIANS('13_시나리오비교'!$B$5))),0)</f>
        <v/>
      </c>
      <c r="Q475" s="80">
        <f>IF($I475&gt;0,MAX(0,$G475*SIN(RADIANS('13_시나리오비교'!$B$6))*SIN(RADIANS('13_시나리오비교'!$C$6))+$H475*SIN(RADIANS('13_시나리오비교'!$B$6))*COS(RADIANS('13_시나리오비교'!$C$6))+$I475*COS(RADIANS('13_시나리오비교'!$B$6))),0)</f>
        <v/>
      </c>
      <c r="R475" s="80">
        <f>IF($I475&gt;0,MAX(0,$G475*SIN(RADIANS('13_시나리오비교'!$B$7))*SIN(RADIANS('13_시나리오비교'!$C$7))+$H475*SIN(RADIANS('13_시나리오비교'!$B$7))*COS(RADIANS('13_시나리오비교'!$C$7))+$I475*COS(RADIANS('13_시나리오비교'!$B$7))),0)</f>
        <v/>
      </c>
      <c r="S475" s="80">
        <f>IF($I475&gt;0,MAX(0,$G475*SIN(RADIANS('13_시나리오비교'!$B$8))*SIN(RADIANS('13_시나리오비교'!$C$8))+$H475*SIN(RADIANS('13_시나리오비교'!$B$8))*COS(RADIANS('13_시나리오비교'!$C$8))+$I475*COS(RADIANS('13_시나리오비교'!$B$8))),0)</f>
        <v/>
      </c>
      <c r="T475" s="80">
        <f>IF($I475&gt;0,MAX(0,$G475*SIN(RADIANS('13_시나리오비교'!$B$9))*SIN(RADIANS('13_시나리오비교'!$C$9))+$H475*SIN(RADIANS('13_시나리오비교'!$B$9))*COS(RADIANS('13_시나리오비교'!$C$9))+$I475*COS(RADIANS('13_시나리오비교'!$B$9))),0)</f>
        <v/>
      </c>
      <c r="U475" s="80">
        <f>IF($I475&gt;0,MAX(0,$G475*SIN(RADIANS('13_시나리오비교'!$B$10))*SIN(RADIANS('13_시나리오비교'!$C$10))+$H475*SIN(RADIANS('13_시나리오비교'!$B$10))*COS(RADIANS('13_시나리오비교'!$C$10))+$I475*COS(RADIANS('13_시나리오비교'!$B$10))),0)</f>
        <v/>
      </c>
      <c r="V475" s="80">
        <f>IF($I475&gt;0,MAX(0,$G475*SIN(RADIANS('13_시나리오비교'!$B$11))*SIN(RADIANS('13_시나리오비교'!$C$11))+$H475*SIN(RADIANS('13_시나리오비교'!$B$11))*COS(RADIANS('13_시나리오비교'!$C$11))+$I475*COS(RADIANS('13_시나리오비교'!$B$11))),0)</f>
        <v/>
      </c>
      <c r="W475" s="80">
        <f>IF($I475&gt;0,MAX(0,$G475*SIN(RADIANS('13_시나리오비교'!$B$12))*SIN(RADIANS('13_시나리오비교'!$C$12))+$H475*SIN(RADIANS('13_시나리오비교'!$B$12))*COS(RADIANS('13_시나리오비교'!$C$12))+$I475*COS(RADIANS('13_시나리오비교'!$B$12))),0)</f>
        <v/>
      </c>
      <c r="X475" s="80">
        <f>IF($I475&gt;0,MAX(0,$G475*SIN(RADIANS('13_시나리오비교'!$B$13))*SIN(RADIANS('13_시나리오비교'!$C$13))+$H475*SIN(RADIANS('13_시나리오비교'!$B$13))*COS(RADIANS('13_시나리오비교'!$C$13))+$I475*COS(RADIANS('13_시나리오비교'!$B$13))),0)</f>
        <v/>
      </c>
      <c r="Y475" s="80">
        <f>IF($I475&gt;0,MAX(0,$G475*SIN(RADIANS('13_시나리오비교'!$B$14))*SIN(RADIANS('13_시나리오비교'!$C$14))+$H475*SIN(RADIANS('13_시나리오비교'!$B$14))*COS(RADIANS('13_시나리오비교'!$C$14))+$I475*COS(RADIANS('13_시나리오비교'!$B$14))),0)</f>
        <v/>
      </c>
    </row>
    <row r="476" hidden="1" outlineLevel="1">
      <c r="A476" s="79" t="n">
        <v>5</v>
      </c>
      <c r="B476" s="79" t="n">
        <v>72</v>
      </c>
      <c r="C476" s="80">
        <f>(B476-0.5)*'14_지역·상수'!$H$6</f>
        <v/>
      </c>
      <c r="D476" s="79" t="n">
        <v>135</v>
      </c>
      <c r="E476" s="80">
        <f>INDEX($C$4:$C$15,MATCH(A476,$A$4:$A$15,0))</f>
        <v/>
      </c>
      <c r="F476" s="80">
        <f>15*(C476-12)</f>
        <v/>
      </c>
      <c r="G476" s="80">
        <f>-COS(RADIANS(E476))*SIN(RADIANS(F476))</f>
        <v/>
      </c>
      <c r="H476" s="80">
        <f>COS(RADIANS('11_발전량_모델'!$B$17))*SIN(RADIANS(E476))-SIN(RADIANS('11_발전량_모델'!$B$17))*COS(RADIANS(E476))*COS(RADIANS(F476))</f>
        <v/>
      </c>
      <c r="I476" s="80">
        <f>SIN(RADIANS('11_발전량_모델'!$B$17))*SIN(RADIANS(E476))+COS(RADIANS('11_발전량_모델'!$B$17))*COS(RADIANS(E476))*COS(RADIANS(F476))</f>
        <v/>
      </c>
      <c r="J476" s="80">
        <f>SIN(RADIANS('11_발전량_모델'!$B$7))*SIN(RADIANS('11_발전량_모델'!$B$8))</f>
        <v/>
      </c>
      <c r="K476" s="80">
        <f>SIN(RADIANS('11_발전량_모델'!$B$7))*COS(RADIANS('11_발전량_모델'!$B$8))</f>
        <v/>
      </c>
      <c r="L476" s="80">
        <f>COS(RADIANS('11_발전량_모델'!$B$7))</f>
        <v/>
      </c>
      <c r="M476" s="80">
        <f>G476*J476+H476*K476+I476*L476</f>
        <v/>
      </c>
      <c r="N476" s="80">
        <f>MAX(0,I476)</f>
        <v/>
      </c>
      <c r="O476" s="80">
        <f>IF(I476&gt;0,MAX(0,M476),0)</f>
        <v/>
      </c>
      <c r="P476" s="80">
        <f>IF($I476&gt;0,MAX(0,$G476*SIN(RADIANS('13_시나리오비교'!$B$5))*SIN(RADIANS('13_시나리오비교'!$C$5))+$H476*SIN(RADIANS('13_시나리오비교'!$B$5))*COS(RADIANS('13_시나리오비교'!$C$5))+$I476*COS(RADIANS('13_시나리오비교'!$B$5))),0)</f>
        <v/>
      </c>
      <c r="Q476" s="80">
        <f>IF($I476&gt;0,MAX(0,$G476*SIN(RADIANS('13_시나리오비교'!$B$6))*SIN(RADIANS('13_시나리오비교'!$C$6))+$H476*SIN(RADIANS('13_시나리오비교'!$B$6))*COS(RADIANS('13_시나리오비교'!$C$6))+$I476*COS(RADIANS('13_시나리오비교'!$B$6))),0)</f>
        <v/>
      </c>
      <c r="R476" s="80">
        <f>IF($I476&gt;0,MAX(0,$G476*SIN(RADIANS('13_시나리오비교'!$B$7))*SIN(RADIANS('13_시나리오비교'!$C$7))+$H476*SIN(RADIANS('13_시나리오비교'!$B$7))*COS(RADIANS('13_시나리오비교'!$C$7))+$I476*COS(RADIANS('13_시나리오비교'!$B$7))),0)</f>
        <v/>
      </c>
      <c r="S476" s="80">
        <f>IF($I476&gt;0,MAX(0,$G476*SIN(RADIANS('13_시나리오비교'!$B$8))*SIN(RADIANS('13_시나리오비교'!$C$8))+$H476*SIN(RADIANS('13_시나리오비교'!$B$8))*COS(RADIANS('13_시나리오비교'!$C$8))+$I476*COS(RADIANS('13_시나리오비교'!$B$8))),0)</f>
        <v/>
      </c>
      <c r="T476" s="80">
        <f>IF($I476&gt;0,MAX(0,$G476*SIN(RADIANS('13_시나리오비교'!$B$9))*SIN(RADIANS('13_시나리오비교'!$C$9))+$H476*SIN(RADIANS('13_시나리오비교'!$B$9))*COS(RADIANS('13_시나리오비교'!$C$9))+$I476*COS(RADIANS('13_시나리오비교'!$B$9))),0)</f>
        <v/>
      </c>
      <c r="U476" s="80">
        <f>IF($I476&gt;0,MAX(0,$G476*SIN(RADIANS('13_시나리오비교'!$B$10))*SIN(RADIANS('13_시나리오비교'!$C$10))+$H476*SIN(RADIANS('13_시나리오비교'!$B$10))*COS(RADIANS('13_시나리오비교'!$C$10))+$I476*COS(RADIANS('13_시나리오비교'!$B$10))),0)</f>
        <v/>
      </c>
      <c r="V476" s="80">
        <f>IF($I476&gt;0,MAX(0,$G476*SIN(RADIANS('13_시나리오비교'!$B$11))*SIN(RADIANS('13_시나리오비교'!$C$11))+$H476*SIN(RADIANS('13_시나리오비교'!$B$11))*COS(RADIANS('13_시나리오비교'!$C$11))+$I476*COS(RADIANS('13_시나리오비교'!$B$11))),0)</f>
        <v/>
      </c>
      <c r="W476" s="80">
        <f>IF($I476&gt;0,MAX(0,$G476*SIN(RADIANS('13_시나리오비교'!$B$12))*SIN(RADIANS('13_시나리오비교'!$C$12))+$H476*SIN(RADIANS('13_시나리오비교'!$B$12))*COS(RADIANS('13_시나리오비교'!$C$12))+$I476*COS(RADIANS('13_시나리오비교'!$B$12))),0)</f>
        <v/>
      </c>
      <c r="X476" s="80">
        <f>IF($I476&gt;0,MAX(0,$G476*SIN(RADIANS('13_시나리오비교'!$B$13))*SIN(RADIANS('13_시나리오비교'!$C$13))+$H476*SIN(RADIANS('13_시나리오비교'!$B$13))*COS(RADIANS('13_시나리오비교'!$C$13))+$I476*COS(RADIANS('13_시나리오비교'!$B$13))),0)</f>
        <v/>
      </c>
      <c r="Y476" s="80">
        <f>IF($I476&gt;0,MAX(0,$G476*SIN(RADIANS('13_시나리오비교'!$B$14))*SIN(RADIANS('13_시나리오비교'!$C$14))+$H476*SIN(RADIANS('13_시나리오비교'!$B$14))*COS(RADIANS('13_시나리오비교'!$C$14))+$I476*COS(RADIANS('13_시나리오비교'!$B$14))),0)</f>
        <v/>
      </c>
    </row>
    <row r="477" hidden="1" outlineLevel="1">
      <c r="A477" s="79" t="n">
        <v>5</v>
      </c>
      <c r="B477" s="79" t="n">
        <v>73</v>
      </c>
      <c r="C477" s="80">
        <f>(B477-0.5)*'14_지역·상수'!$H$6</f>
        <v/>
      </c>
      <c r="D477" s="79" t="n">
        <v>135</v>
      </c>
      <c r="E477" s="80">
        <f>INDEX($C$4:$C$15,MATCH(A477,$A$4:$A$15,0))</f>
        <v/>
      </c>
      <c r="F477" s="80">
        <f>15*(C477-12)</f>
        <v/>
      </c>
      <c r="G477" s="80">
        <f>-COS(RADIANS(E477))*SIN(RADIANS(F477))</f>
        <v/>
      </c>
      <c r="H477" s="80">
        <f>COS(RADIANS('11_발전량_모델'!$B$17))*SIN(RADIANS(E477))-SIN(RADIANS('11_발전량_모델'!$B$17))*COS(RADIANS(E477))*COS(RADIANS(F477))</f>
        <v/>
      </c>
      <c r="I477" s="80">
        <f>SIN(RADIANS('11_발전량_모델'!$B$17))*SIN(RADIANS(E477))+COS(RADIANS('11_발전량_모델'!$B$17))*COS(RADIANS(E477))*COS(RADIANS(F477))</f>
        <v/>
      </c>
      <c r="J477" s="80">
        <f>SIN(RADIANS('11_발전량_모델'!$B$7))*SIN(RADIANS('11_발전량_모델'!$B$8))</f>
        <v/>
      </c>
      <c r="K477" s="80">
        <f>SIN(RADIANS('11_발전량_모델'!$B$7))*COS(RADIANS('11_발전량_모델'!$B$8))</f>
        <v/>
      </c>
      <c r="L477" s="80">
        <f>COS(RADIANS('11_발전량_모델'!$B$7))</f>
        <v/>
      </c>
      <c r="M477" s="80">
        <f>G477*J477+H477*K477+I477*L477</f>
        <v/>
      </c>
      <c r="N477" s="80">
        <f>MAX(0,I477)</f>
        <v/>
      </c>
      <c r="O477" s="80">
        <f>IF(I477&gt;0,MAX(0,M477),0)</f>
        <v/>
      </c>
      <c r="P477" s="80">
        <f>IF($I477&gt;0,MAX(0,$G477*SIN(RADIANS('13_시나리오비교'!$B$5))*SIN(RADIANS('13_시나리오비교'!$C$5))+$H477*SIN(RADIANS('13_시나리오비교'!$B$5))*COS(RADIANS('13_시나리오비교'!$C$5))+$I477*COS(RADIANS('13_시나리오비교'!$B$5))),0)</f>
        <v/>
      </c>
      <c r="Q477" s="80">
        <f>IF($I477&gt;0,MAX(0,$G477*SIN(RADIANS('13_시나리오비교'!$B$6))*SIN(RADIANS('13_시나리오비교'!$C$6))+$H477*SIN(RADIANS('13_시나리오비교'!$B$6))*COS(RADIANS('13_시나리오비교'!$C$6))+$I477*COS(RADIANS('13_시나리오비교'!$B$6))),0)</f>
        <v/>
      </c>
      <c r="R477" s="80">
        <f>IF($I477&gt;0,MAX(0,$G477*SIN(RADIANS('13_시나리오비교'!$B$7))*SIN(RADIANS('13_시나리오비교'!$C$7))+$H477*SIN(RADIANS('13_시나리오비교'!$B$7))*COS(RADIANS('13_시나리오비교'!$C$7))+$I477*COS(RADIANS('13_시나리오비교'!$B$7))),0)</f>
        <v/>
      </c>
      <c r="S477" s="80">
        <f>IF($I477&gt;0,MAX(0,$G477*SIN(RADIANS('13_시나리오비교'!$B$8))*SIN(RADIANS('13_시나리오비교'!$C$8))+$H477*SIN(RADIANS('13_시나리오비교'!$B$8))*COS(RADIANS('13_시나리오비교'!$C$8))+$I477*COS(RADIANS('13_시나리오비교'!$B$8))),0)</f>
        <v/>
      </c>
      <c r="T477" s="80">
        <f>IF($I477&gt;0,MAX(0,$G477*SIN(RADIANS('13_시나리오비교'!$B$9))*SIN(RADIANS('13_시나리오비교'!$C$9))+$H477*SIN(RADIANS('13_시나리오비교'!$B$9))*COS(RADIANS('13_시나리오비교'!$C$9))+$I477*COS(RADIANS('13_시나리오비교'!$B$9))),0)</f>
        <v/>
      </c>
      <c r="U477" s="80">
        <f>IF($I477&gt;0,MAX(0,$G477*SIN(RADIANS('13_시나리오비교'!$B$10))*SIN(RADIANS('13_시나리오비교'!$C$10))+$H477*SIN(RADIANS('13_시나리오비교'!$B$10))*COS(RADIANS('13_시나리오비교'!$C$10))+$I477*COS(RADIANS('13_시나리오비교'!$B$10))),0)</f>
        <v/>
      </c>
      <c r="V477" s="80">
        <f>IF($I477&gt;0,MAX(0,$G477*SIN(RADIANS('13_시나리오비교'!$B$11))*SIN(RADIANS('13_시나리오비교'!$C$11))+$H477*SIN(RADIANS('13_시나리오비교'!$B$11))*COS(RADIANS('13_시나리오비교'!$C$11))+$I477*COS(RADIANS('13_시나리오비교'!$B$11))),0)</f>
        <v/>
      </c>
      <c r="W477" s="80">
        <f>IF($I477&gt;0,MAX(0,$G477*SIN(RADIANS('13_시나리오비교'!$B$12))*SIN(RADIANS('13_시나리오비교'!$C$12))+$H477*SIN(RADIANS('13_시나리오비교'!$B$12))*COS(RADIANS('13_시나리오비교'!$C$12))+$I477*COS(RADIANS('13_시나리오비교'!$B$12))),0)</f>
        <v/>
      </c>
      <c r="X477" s="80">
        <f>IF($I477&gt;0,MAX(0,$G477*SIN(RADIANS('13_시나리오비교'!$B$13))*SIN(RADIANS('13_시나리오비교'!$C$13))+$H477*SIN(RADIANS('13_시나리오비교'!$B$13))*COS(RADIANS('13_시나리오비교'!$C$13))+$I477*COS(RADIANS('13_시나리오비교'!$B$13))),0)</f>
        <v/>
      </c>
      <c r="Y477" s="80">
        <f>IF($I477&gt;0,MAX(0,$G477*SIN(RADIANS('13_시나리오비교'!$B$14))*SIN(RADIANS('13_시나리오비교'!$C$14))+$H477*SIN(RADIANS('13_시나리오비교'!$B$14))*COS(RADIANS('13_시나리오비교'!$C$14))+$I477*COS(RADIANS('13_시나리오비교'!$B$14))),0)</f>
        <v/>
      </c>
    </row>
    <row r="478" hidden="1" outlineLevel="1">
      <c r="A478" s="79" t="n">
        <v>5</v>
      </c>
      <c r="B478" s="79" t="n">
        <v>74</v>
      </c>
      <c r="C478" s="80">
        <f>(B478-0.5)*'14_지역·상수'!$H$6</f>
        <v/>
      </c>
      <c r="D478" s="79" t="n">
        <v>135</v>
      </c>
      <c r="E478" s="80">
        <f>INDEX($C$4:$C$15,MATCH(A478,$A$4:$A$15,0))</f>
        <v/>
      </c>
      <c r="F478" s="80">
        <f>15*(C478-12)</f>
        <v/>
      </c>
      <c r="G478" s="80">
        <f>-COS(RADIANS(E478))*SIN(RADIANS(F478))</f>
        <v/>
      </c>
      <c r="H478" s="80">
        <f>COS(RADIANS('11_발전량_모델'!$B$17))*SIN(RADIANS(E478))-SIN(RADIANS('11_발전량_모델'!$B$17))*COS(RADIANS(E478))*COS(RADIANS(F478))</f>
        <v/>
      </c>
      <c r="I478" s="80">
        <f>SIN(RADIANS('11_발전량_모델'!$B$17))*SIN(RADIANS(E478))+COS(RADIANS('11_발전량_모델'!$B$17))*COS(RADIANS(E478))*COS(RADIANS(F478))</f>
        <v/>
      </c>
      <c r="J478" s="80">
        <f>SIN(RADIANS('11_발전량_모델'!$B$7))*SIN(RADIANS('11_발전량_모델'!$B$8))</f>
        <v/>
      </c>
      <c r="K478" s="80">
        <f>SIN(RADIANS('11_발전량_모델'!$B$7))*COS(RADIANS('11_발전량_모델'!$B$8))</f>
        <v/>
      </c>
      <c r="L478" s="80">
        <f>COS(RADIANS('11_발전량_모델'!$B$7))</f>
        <v/>
      </c>
      <c r="M478" s="80">
        <f>G478*J478+H478*K478+I478*L478</f>
        <v/>
      </c>
      <c r="N478" s="80">
        <f>MAX(0,I478)</f>
        <v/>
      </c>
      <c r="O478" s="80">
        <f>IF(I478&gt;0,MAX(0,M478),0)</f>
        <v/>
      </c>
      <c r="P478" s="80">
        <f>IF($I478&gt;0,MAX(0,$G478*SIN(RADIANS('13_시나리오비교'!$B$5))*SIN(RADIANS('13_시나리오비교'!$C$5))+$H478*SIN(RADIANS('13_시나리오비교'!$B$5))*COS(RADIANS('13_시나리오비교'!$C$5))+$I478*COS(RADIANS('13_시나리오비교'!$B$5))),0)</f>
        <v/>
      </c>
      <c r="Q478" s="80">
        <f>IF($I478&gt;0,MAX(0,$G478*SIN(RADIANS('13_시나리오비교'!$B$6))*SIN(RADIANS('13_시나리오비교'!$C$6))+$H478*SIN(RADIANS('13_시나리오비교'!$B$6))*COS(RADIANS('13_시나리오비교'!$C$6))+$I478*COS(RADIANS('13_시나리오비교'!$B$6))),0)</f>
        <v/>
      </c>
      <c r="R478" s="80">
        <f>IF($I478&gt;0,MAX(0,$G478*SIN(RADIANS('13_시나리오비교'!$B$7))*SIN(RADIANS('13_시나리오비교'!$C$7))+$H478*SIN(RADIANS('13_시나리오비교'!$B$7))*COS(RADIANS('13_시나리오비교'!$C$7))+$I478*COS(RADIANS('13_시나리오비교'!$B$7))),0)</f>
        <v/>
      </c>
      <c r="S478" s="80">
        <f>IF($I478&gt;0,MAX(0,$G478*SIN(RADIANS('13_시나리오비교'!$B$8))*SIN(RADIANS('13_시나리오비교'!$C$8))+$H478*SIN(RADIANS('13_시나리오비교'!$B$8))*COS(RADIANS('13_시나리오비교'!$C$8))+$I478*COS(RADIANS('13_시나리오비교'!$B$8))),0)</f>
        <v/>
      </c>
      <c r="T478" s="80">
        <f>IF($I478&gt;0,MAX(0,$G478*SIN(RADIANS('13_시나리오비교'!$B$9))*SIN(RADIANS('13_시나리오비교'!$C$9))+$H478*SIN(RADIANS('13_시나리오비교'!$B$9))*COS(RADIANS('13_시나리오비교'!$C$9))+$I478*COS(RADIANS('13_시나리오비교'!$B$9))),0)</f>
        <v/>
      </c>
      <c r="U478" s="80">
        <f>IF($I478&gt;0,MAX(0,$G478*SIN(RADIANS('13_시나리오비교'!$B$10))*SIN(RADIANS('13_시나리오비교'!$C$10))+$H478*SIN(RADIANS('13_시나리오비교'!$B$10))*COS(RADIANS('13_시나리오비교'!$C$10))+$I478*COS(RADIANS('13_시나리오비교'!$B$10))),0)</f>
        <v/>
      </c>
      <c r="V478" s="80">
        <f>IF($I478&gt;0,MAX(0,$G478*SIN(RADIANS('13_시나리오비교'!$B$11))*SIN(RADIANS('13_시나리오비교'!$C$11))+$H478*SIN(RADIANS('13_시나리오비교'!$B$11))*COS(RADIANS('13_시나리오비교'!$C$11))+$I478*COS(RADIANS('13_시나리오비교'!$B$11))),0)</f>
        <v/>
      </c>
      <c r="W478" s="80">
        <f>IF($I478&gt;0,MAX(0,$G478*SIN(RADIANS('13_시나리오비교'!$B$12))*SIN(RADIANS('13_시나리오비교'!$C$12))+$H478*SIN(RADIANS('13_시나리오비교'!$B$12))*COS(RADIANS('13_시나리오비교'!$C$12))+$I478*COS(RADIANS('13_시나리오비교'!$B$12))),0)</f>
        <v/>
      </c>
      <c r="X478" s="80">
        <f>IF($I478&gt;0,MAX(0,$G478*SIN(RADIANS('13_시나리오비교'!$B$13))*SIN(RADIANS('13_시나리오비교'!$C$13))+$H478*SIN(RADIANS('13_시나리오비교'!$B$13))*COS(RADIANS('13_시나리오비교'!$C$13))+$I478*COS(RADIANS('13_시나리오비교'!$B$13))),0)</f>
        <v/>
      </c>
      <c r="Y478" s="80">
        <f>IF($I478&gt;0,MAX(0,$G478*SIN(RADIANS('13_시나리오비교'!$B$14))*SIN(RADIANS('13_시나리오비교'!$C$14))+$H478*SIN(RADIANS('13_시나리오비교'!$B$14))*COS(RADIANS('13_시나리오비교'!$C$14))+$I478*COS(RADIANS('13_시나리오비교'!$B$14))),0)</f>
        <v/>
      </c>
    </row>
    <row r="479" hidden="1" outlineLevel="1">
      <c r="A479" s="79" t="n">
        <v>5</v>
      </c>
      <c r="B479" s="79" t="n">
        <v>75</v>
      </c>
      <c r="C479" s="80">
        <f>(B479-0.5)*'14_지역·상수'!$H$6</f>
        <v/>
      </c>
      <c r="D479" s="79" t="n">
        <v>135</v>
      </c>
      <c r="E479" s="80">
        <f>INDEX($C$4:$C$15,MATCH(A479,$A$4:$A$15,0))</f>
        <v/>
      </c>
      <c r="F479" s="80">
        <f>15*(C479-12)</f>
        <v/>
      </c>
      <c r="G479" s="80">
        <f>-COS(RADIANS(E479))*SIN(RADIANS(F479))</f>
        <v/>
      </c>
      <c r="H479" s="80">
        <f>COS(RADIANS('11_발전량_모델'!$B$17))*SIN(RADIANS(E479))-SIN(RADIANS('11_발전량_모델'!$B$17))*COS(RADIANS(E479))*COS(RADIANS(F479))</f>
        <v/>
      </c>
      <c r="I479" s="80">
        <f>SIN(RADIANS('11_발전량_모델'!$B$17))*SIN(RADIANS(E479))+COS(RADIANS('11_발전량_모델'!$B$17))*COS(RADIANS(E479))*COS(RADIANS(F479))</f>
        <v/>
      </c>
      <c r="J479" s="80">
        <f>SIN(RADIANS('11_발전량_모델'!$B$7))*SIN(RADIANS('11_발전량_모델'!$B$8))</f>
        <v/>
      </c>
      <c r="K479" s="80">
        <f>SIN(RADIANS('11_발전량_모델'!$B$7))*COS(RADIANS('11_발전량_모델'!$B$8))</f>
        <v/>
      </c>
      <c r="L479" s="80">
        <f>COS(RADIANS('11_발전량_모델'!$B$7))</f>
        <v/>
      </c>
      <c r="M479" s="80">
        <f>G479*J479+H479*K479+I479*L479</f>
        <v/>
      </c>
      <c r="N479" s="80">
        <f>MAX(0,I479)</f>
        <v/>
      </c>
      <c r="O479" s="80">
        <f>IF(I479&gt;0,MAX(0,M479),0)</f>
        <v/>
      </c>
      <c r="P479" s="80">
        <f>IF($I479&gt;0,MAX(0,$G479*SIN(RADIANS('13_시나리오비교'!$B$5))*SIN(RADIANS('13_시나리오비교'!$C$5))+$H479*SIN(RADIANS('13_시나리오비교'!$B$5))*COS(RADIANS('13_시나리오비교'!$C$5))+$I479*COS(RADIANS('13_시나리오비교'!$B$5))),0)</f>
        <v/>
      </c>
      <c r="Q479" s="80">
        <f>IF($I479&gt;0,MAX(0,$G479*SIN(RADIANS('13_시나리오비교'!$B$6))*SIN(RADIANS('13_시나리오비교'!$C$6))+$H479*SIN(RADIANS('13_시나리오비교'!$B$6))*COS(RADIANS('13_시나리오비교'!$C$6))+$I479*COS(RADIANS('13_시나리오비교'!$B$6))),0)</f>
        <v/>
      </c>
      <c r="R479" s="80">
        <f>IF($I479&gt;0,MAX(0,$G479*SIN(RADIANS('13_시나리오비교'!$B$7))*SIN(RADIANS('13_시나리오비교'!$C$7))+$H479*SIN(RADIANS('13_시나리오비교'!$B$7))*COS(RADIANS('13_시나리오비교'!$C$7))+$I479*COS(RADIANS('13_시나리오비교'!$B$7))),0)</f>
        <v/>
      </c>
      <c r="S479" s="80">
        <f>IF($I479&gt;0,MAX(0,$G479*SIN(RADIANS('13_시나리오비교'!$B$8))*SIN(RADIANS('13_시나리오비교'!$C$8))+$H479*SIN(RADIANS('13_시나리오비교'!$B$8))*COS(RADIANS('13_시나리오비교'!$C$8))+$I479*COS(RADIANS('13_시나리오비교'!$B$8))),0)</f>
        <v/>
      </c>
      <c r="T479" s="80">
        <f>IF($I479&gt;0,MAX(0,$G479*SIN(RADIANS('13_시나리오비교'!$B$9))*SIN(RADIANS('13_시나리오비교'!$C$9))+$H479*SIN(RADIANS('13_시나리오비교'!$B$9))*COS(RADIANS('13_시나리오비교'!$C$9))+$I479*COS(RADIANS('13_시나리오비교'!$B$9))),0)</f>
        <v/>
      </c>
      <c r="U479" s="80">
        <f>IF($I479&gt;0,MAX(0,$G479*SIN(RADIANS('13_시나리오비교'!$B$10))*SIN(RADIANS('13_시나리오비교'!$C$10))+$H479*SIN(RADIANS('13_시나리오비교'!$B$10))*COS(RADIANS('13_시나리오비교'!$C$10))+$I479*COS(RADIANS('13_시나리오비교'!$B$10))),0)</f>
        <v/>
      </c>
      <c r="V479" s="80">
        <f>IF($I479&gt;0,MAX(0,$G479*SIN(RADIANS('13_시나리오비교'!$B$11))*SIN(RADIANS('13_시나리오비교'!$C$11))+$H479*SIN(RADIANS('13_시나리오비교'!$B$11))*COS(RADIANS('13_시나리오비교'!$C$11))+$I479*COS(RADIANS('13_시나리오비교'!$B$11))),0)</f>
        <v/>
      </c>
      <c r="W479" s="80">
        <f>IF($I479&gt;0,MAX(0,$G479*SIN(RADIANS('13_시나리오비교'!$B$12))*SIN(RADIANS('13_시나리오비교'!$C$12))+$H479*SIN(RADIANS('13_시나리오비교'!$B$12))*COS(RADIANS('13_시나리오비교'!$C$12))+$I479*COS(RADIANS('13_시나리오비교'!$B$12))),0)</f>
        <v/>
      </c>
      <c r="X479" s="80">
        <f>IF($I479&gt;0,MAX(0,$G479*SIN(RADIANS('13_시나리오비교'!$B$13))*SIN(RADIANS('13_시나리오비교'!$C$13))+$H479*SIN(RADIANS('13_시나리오비교'!$B$13))*COS(RADIANS('13_시나리오비교'!$C$13))+$I479*COS(RADIANS('13_시나리오비교'!$B$13))),0)</f>
        <v/>
      </c>
      <c r="Y479" s="80">
        <f>IF($I479&gt;0,MAX(0,$G479*SIN(RADIANS('13_시나리오비교'!$B$14))*SIN(RADIANS('13_시나리오비교'!$C$14))+$H479*SIN(RADIANS('13_시나리오비교'!$B$14))*COS(RADIANS('13_시나리오비교'!$C$14))+$I479*COS(RADIANS('13_시나리오비교'!$B$14))),0)</f>
        <v/>
      </c>
    </row>
    <row r="480" hidden="1" outlineLevel="1">
      <c r="A480" s="79" t="n">
        <v>5</v>
      </c>
      <c r="B480" s="79" t="n">
        <v>76</v>
      </c>
      <c r="C480" s="80">
        <f>(B480-0.5)*'14_지역·상수'!$H$6</f>
        <v/>
      </c>
      <c r="D480" s="79" t="n">
        <v>135</v>
      </c>
      <c r="E480" s="80">
        <f>INDEX($C$4:$C$15,MATCH(A480,$A$4:$A$15,0))</f>
        <v/>
      </c>
      <c r="F480" s="80">
        <f>15*(C480-12)</f>
        <v/>
      </c>
      <c r="G480" s="80">
        <f>-COS(RADIANS(E480))*SIN(RADIANS(F480))</f>
        <v/>
      </c>
      <c r="H480" s="80">
        <f>COS(RADIANS('11_발전량_모델'!$B$17))*SIN(RADIANS(E480))-SIN(RADIANS('11_발전량_모델'!$B$17))*COS(RADIANS(E480))*COS(RADIANS(F480))</f>
        <v/>
      </c>
      <c r="I480" s="80">
        <f>SIN(RADIANS('11_발전량_모델'!$B$17))*SIN(RADIANS(E480))+COS(RADIANS('11_발전량_모델'!$B$17))*COS(RADIANS(E480))*COS(RADIANS(F480))</f>
        <v/>
      </c>
      <c r="J480" s="80">
        <f>SIN(RADIANS('11_발전량_모델'!$B$7))*SIN(RADIANS('11_발전량_모델'!$B$8))</f>
        <v/>
      </c>
      <c r="K480" s="80">
        <f>SIN(RADIANS('11_발전량_모델'!$B$7))*COS(RADIANS('11_발전량_모델'!$B$8))</f>
        <v/>
      </c>
      <c r="L480" s="80">
        <f>COS(RADIANS('11_발전량_모델'!$B$7))</f>
        <v/>
      </c>
      <c r="M480" s="80">
        <f>G480*J480+H480*K480+I480*L480</f>
        <v/>
      </c>
      <c r="N480" s="80">
        <f>MAX(0,I480)</f>
        <v/>
      </c>
      <c r="O480" s="80">
        <f>IF(I480&gt;0,MAX(0,M480),0)</f>
        <v/>
      </c>
      <c r="P480" s="80">
        <f>IF($I480&gt;0,MAX(0,$G480*SIN(RADIANS('13_시나리오비교'!$B$5))*SIN(RADIANS('13_시나리오비교'!$C$5))+$H480*SIN(RADIANS('13_시나리오비교'!$B$5))*COS(RADIANS('13_시나리오비교'!$C$5))+$I480*COS(RADIANS('13_시나리오비교'!$B$5))),0)</f>
        <v/>
      </c>
      <c r="Q480" s="80">
        <f>IF($I480&gt;0,MAX(0,$G480*SIN(RADIANS('13_시나리오비교'!$B$6))*SIN(RADIANS('13_시나리오비교'!$C$6))+$H480*SIN(RADIANS('13_시나리오비교'!$B$6))*COS(RADIANS('13_시나리오비교'!$C$6))+$I480*COS(RADIANS('13_시나리오비교'!$B$6))),0)</f>
        <v/>
      </c>
      <c r="R480" s="80">
        <f>IF($I480&gt;0,MAX(0,$G480*SIN(RADIANS('13_시나리오비교'!$B$7))*SIN(RADIANS('13_시나리오비교'!$C$7))+$H480*SIN(RADIANS('13_시나리오비교'!$B$7))*COS(RADIANS('13_시나리오비교'!$C$7))+$I480*COS(RADIANS('13_시나리오비교'!$B$7))),0)</f>
        <v/>
      </c>
      <c r="S480" s="80">
        <f>IF($I480&gt;0,MAX(0,$G480*SIN(RADIANS('13_시나리오비교'!$B$8))*SIN(RADIANS('13_시나리오비교'!$C$8))+$H480*SIN(RADIANS('13_시나리오비교'!$B$8))*COS(RADIANS('13_시나리오비교'!$C$8))+$I480*COS(RADIANS('13_시나리오비교'!$B$8))),0)</f>
        <v/>
      </c>
      <c r="T480" s="80">
        <f>IF($I480&gt;0,MAX(0,$G480*SIN(RADIANS('13_시나리오비교'!$B$9))*SIN(RADIANS('13_시나리오비교'!$C$9))+$H480*SIN(RADIANS('13_시나리오비교'!$B$9))*COS(RADIANS('13_시나리오비교'!$C$9))+$I480*COS(RADIANS('13_시나리오비교'!$B$9))),0)</f>
        <v/>
      </c>
      <c r="U480" s="80">
        <f>IF($I480&gt;0,MAX(0,$G480*SIN(RADIANS('13_시나리오비교'!$B$10))*SIN(RADIANS('13_시나리오비교'!$C$10))+$H480*SIN(RADIANS('13_시나리오비교'!$B$10))*COS(RADIANS('13_시나리오비교'!$C$10))+$I480*COS(RADIANS('13_시나리오비교'!$B$10))),0)</f>
        <v/>
      </c>
      <c r="V480" s="80">
        <f>IF($I480&gt;0,MAX(0,$G480*SIN(RADIANS('13_시나리오비교'!$B$11))*SIN(RADIANS('13_시나리오비교'!$C$11))+$H480*SIN(RADIANS('13_시나리오비교'!$B$11))*COS(RADIANS('13_시나리오비교'!$C$11))+$I480*COS(RADIANS('13_시나리오비교'!$B$11))),0)</f>
        <v/>
      </c>
      <c r="W480" s="80">
        <f>IF($I480&gt;0,MAX(0,$G480*SIN(RADIANS('13_시나리오비교'!$B$12))*SIN(RADIANS('13_시나리오비교'!$C$12))+$H480*SIN(RADIANS('13_시나리오비교'!$B$12))*COS(RADIANS('13_시나리오비교'!$C$12))+$I480*COS(RADIANS('13_시나리오비교'!$B$12))),0)</f>
        <v/>
      </c>
      <c r="X480" s="80">
        <f>IF($I480&gt;0,MAX(0,$G480*SIN(RADIANS('13_시나리오비교'!$B$13))*SIN(RADIANS('13_시나리오비교'!$C$13))+$H480*SIN(RADIANS('13_시나리오비교'!$B$13))*COS(RADIANS('13_시나리오비교'!$C$13))+$I480*COS(RADIANS('13_시나리오비교'!$B$13))),0)</f>
        <v/>
      </c>
      <c r="Y480" s="80">
        <f>IF($I480&gt;0,MAX(0,$G480*SIN(RADIANS('13_시나리오비교'!$B$14))*SIN(RADIANS('13_시나리오비교'!$C$14))+$H480*SIN(RADIANS('13_시나리오비교'!$B$14))*COS(RADIANS('13_시나리오비교'!$C$14))+$I480*COS(RADIANS('13_시나리오비교'!$B$14))),0)</f>
        <v/>
      </c>
    </row>
    <row r="481" hidden="1" outlineLevel="1">
      <c r="A481" s="79" t="n">
        <v>5</v>
      </c>
      <c r="B481" s="79" t="n">
        <v>77</v>
      </c>
      <c r="C481" s="80">
        <f>(B481-0.5)*'14_지역·상수'!$H$6</f>
        <v/>
      </c>
      <c r="D481" s="79" t="n">
        <v>135</v>
      </c>
      <c r="E481" s="80">
        <f>INDEX($C$4:$C$15,MATCH(A481,$A$4:$A$15,0))</f>
        <v/>
      </c>
      <c r="F481" s="80">
        <f>15*(C481-12)</f>
        <v/>
      </c>
      <c r="G481" s="80">
        <f>-COS(RADIANS(E481))*SIN(RADIANS(F481))</f>
        <v/>
      </c>
      <c r="H481" s="80">
        <f>COS(RADIANS('11_발전량_모델'!$B$17))*SIN(RADIANS(E481))-SIN(RADIANS('11_발전량_모델'!$B$17))*COS(RADIANS(E481))*COS(RADIANS(F481))</f>
        <v/>
      </c>
      <c r="I481" s="80">
        <f>SIN(RADIANS('11_발전량_모델'!$B$17))*SIN(RADIANS(E481))+COS(RADIANS('11_발전량_모델'!$B$17))*COS(RADIANS(E481))*COS(RADIANS(F481))</f>
        <v/>
      </c>
      <c r="J481" s="80">
        <f>SIN(RADIANS('11_발전량_모델'!$B$7))*SIN(RADIANS('11_발전량_모델'!$B$8))</f>
        <v/>
      </c>
      <c r="K481" s="80">
        <f>SIN(RADIANS('11_발전량_모델'!$B$7))*COS(RADIANS('11_발전량_모델'!$B$8))</f>
        <v/>
      </c>
      <c r="L481" s="80">
        <f>COS(RADIANS('11_발전량_모델'!$B$7))</f>
        <v/>
      </c>
      <c r="M481" s="80">
        <f>G481*J481+H481*K481+I481*L481</f>
        <v/>
      </c>
      <c r="N481" s="80">
        <f>MAX(0,I481)</f>
        <v/>
      </c>
      <c r="O481" s="80">
        <f>IF(I481&gt;0,MAX(0,M481),0)</f>
        <v/>
      </c>
      <c r="P481" s="80">
        <f>IF($I481&gt;0,MAX(0,$G481*SIN(RADIANS('13_시나리오비교'!$B$5))*SIN(RADIANS('13_시나리오비교'!$C$5))+$H481*SIN(RADIANS('13_시나리오비교'!$B$5))*COS(RADIANS('13_시나리오비교'!$C$5))+$I481*COS(RADIANS('13_시나리오비교'!$B$5))),0)</f>
        <v/>
      </c>
      <c r="Q481" s="80">
        <f>IF($I481&gt;0,MAX(0,$G481*SIN(RADIANS('13_시나리오비교'!$B$6))*SIN(RADIANS('13_시나리오비교'!$C$6))+$H481*SIN(RADIANS('13_시나리오비교'!$B$6))*COS(RADIANS('13_시나리오비교'!$C$6))+$I481*COS(RADIANS('13_시나리오비교'!$B$6))),0)</f>
        <v/>
      </c>
      <c r="R481" s="80">
        <f>IF($I481&gt;0,MAX(0,$G481*SIN(RADIANS('13_시나리오비교'!$B$7))*SIN(RADIANS('13_시나리오비교'!$C$7))+$H481*SIN(RADIANS('13_시나리오비교'!$B$7))*COS(RADIANS('13_시나리오비교'!$C$7))+$I481*COS(RADIANS('13_시나리오비교'!$B$7))),0)</f>
        <v/>
      </c>
      <c r="S481" s="80">
        <f>IF($I481&gt;0,MAX(0,$G481*SIN(RADIANS('13_시나리오비교'!$B$8))*SIN(RADIANS('13_시나리오비교'!$C$8))+$H481*SIN(RADIANS('13_시나리오비교'!$B$8))*COS(RADIANS('13_시나리오비교'!$C$8))+$I481*COS(RADIANS('13_시나리오비교'!$B$8))),0)</f>
        <v/>
      </c>
      <c r="T481" s="80">
        <f>IF($I481&gt;0,MAX(0,$G481*SIN(RADIANS('13_시나리오비교'!$B$9))*SIN(RADIANS('13_시나리오비교'!$C$9))+$H481*SIN(RADIANS('13_시나리오비교'!$B$9))*COS(RADIANS('13_시나리오비교'!$C$9))+$I481*COS(RADIANS('13_시나리오비교'!$B$9))),0)</f>
        <v/>
      </c>
      <c r="U481" s="80">
        <f>IF($I481&gt;0,MAX(0,$G481*SIN(RADIANS('13_시나리오비교'!$B$10))*SIN(RADIANS('13_시나리오비교'!$C$10))+$H481*SIN(RADIANS('13_시나리오비교'!$B$10))*COS(RADIANS('13_시나리오비교'!$C$10))+$I481*COS(RADIANS('13_시나리오비교'!$B$10))),0)</f>
        <v/>
      </c>
      <c r="V481" s="80">
        <f>IF($I481&gt;0,MAX(0,$G481*SIN(RADIANS('13_시나리오비교'!$B$11))*SIN(RADIANS('13_시나리오비교'!$C$11))+$H481*SIN(RADIANS('13_시나리오비교'!$B$11))*COS(RADIANS('13_시나리오비교'!$C$11))+$I481*COS(RADIANS('13_시나리오비교'!$B$11))),0)</f>
        <v/>
      </c>
      <c r="W481" s="80">
        <f>IF($I481&gt;0,MAX(0,$G481*SIN(RADIANS('13_시나리오비교'!$B$12))*SIN(RADIANS('13_시나리오비교'!$C$12))+$H481*SIN(RADIANS('13_시나리오비교'!$B$12))*COS(RADIANS('13_시나리오비교'!$C$12))+$I481*COS(RADIANS('13_시나리오비교'!$B$12))),0)</f>
        <v/>
      </c>
      <c r="X481" s="80">
        <f>IF($I481&gt;0,MAX(0,$G481*SIN(RADIANS('13_시나리오비교'!$B$13))*SIN(RADIANS('13_시나리오비교'!$C$13))+$H481*SIN(RADIANS('13_시나리오비교'!$B$13))*COS(RADIANS('13_시나리오비교'!$C$13))+$I481*COS(RADIANS('13_시나리오비교'!$B$13))),0)</f>
        <v/>
      </c>
      <c r="Y481" s="80">
        <f>IF($I481&gt;0,MAX(0,$G481*SIN(RADIANS('13_시나리오비교'!$B$14))*SIN(RADIANS('13_시나리오비교'!$C$14))+$H481*SIN(RADIANS('13_시나리오비교'!$B$14))*COS(RADIANS('13_시나리오비교'!$C$14))+$I481*COS(RADIANS('13_시나리오비교'!$B$14))),0)</f>
        <v/>
      </c>
    </row>
    <row r="482" hidden="1" outlineLevel="1">
      <c r="A482" s="79" t="n">
        <v>5</v>
      </c>
      <c r="B482" s="79" t="n">
        <v>78</v>
      </c>
      <c r="C482" s="80">
        <f>(B482-0.5)*'14_지역·상수'!$H$6</f>
        <v/>
      </c>
      <c r="D482" s="79" t="n">
        <v>135</v>
      </c>
      <c r="E482" s="80">
        <f>INDEX($C$4:$C$15,MATCH(A482,$A$4:$A$15,0))</f>
        <v/>
      </c>
      <c r="F482" s="80">
        <f>15*(C482-12)</f>
        <v/>
      </c>
      <c r="G482" s="80">
        <f>-COS(RADIANS(E482))*SIN(RADIANS(F482))</f>
        <v/>
      </c>
      <c r="H482" s="80">
        <f>COS(RADIANS('11_발전량_모델'!$B$17))*SIN(RADIANS(E482))-SIN(RADIANS('11_발전량_모델'!$B$17))*COS(RADIANS(E482))*COS(RADIANS(F482))</f>
        <v/>
      </c>
      <c r="I482" s="80">
        <f>SIN(RADIANS('11_발전량_모델'!$B$17))*SIN(RADIANS(E482))+COS(RADIANS('11_발전량_모델'!$B$17))*COS(RADIANS(E482))*COS(RADIANS(F482))</f>
        <v/>
      </c>
      <c r="J482" s="80">
        <f>SIN(RADIANS('11_발전량_모델'!$B$7))*SIN(RADIANS('11_발전량_모델'!$B$8))</f>
        <v/>
      </c>
      <c r="K482" s="80">
        <f>SIN(RADIANS('11_발전량_모델'!$B$7))*COS(RADIANS('11_발전량_모델'!$B$8))</f>
        <v/>
      </c>
      <c r="L482" s="80">
        <f>COS(RADIANS('11_발전량_모델'!$B$7))</f>
        <v/>
      </c>
      <c r="M482" s="80">
        <f>G482*J482+H482*K482+I482*L482</f>
        <v/>
      </c>
      <c r="N482" s="80">
        <f>MAX(0,I482)</f>
        <v/>
      </c>
      <c r="O482" s="80">
        <f>IF(I482&gt;0,MAX(0,M482),0)</f>
        <v/>
      </c>
      <c r="P482" s="80">
        <f>IF($I482&gt;0,MAX(0,$G482*SIN(RADIANS('13_시나리오비교'!$B$5))*SIN(RADIANS('13_시나리오비교'!$C$5))+$H482*SIN(RADIANS('13_시나리오비교'!$B$5))*COS(RADIANS('13_시나리오비교'!$C$5))+$I482*COS(RADIANS('13_시나리오비교'!$B$5))),0)</f>
        <v/>
      </c>
      <c r="Q482" s="80">
        <f>IF($I482&gt;0,MAX(0,$G482*SIN(RADIANS('13_시나리오비교'!$B$6))*SIN(RADIANS('13_시나리오비교'!$C$6))+$H482*SIN(RADIANS('13_시나리오비교'!$B$6))*COS(RADIANS('13_시나리오비교'!$C$6))+$I482*COS(RADIANS('13_시나리오비교'!$B$6))),0)</f>
        <v/>
      </c>
      <c r="R482" s="80">
        <f>IF($I482&gt;0,MAX(0,$G482*SIN(RADIANS('13_시나리오비교'!$B$7))*SIN(RADIANS('13_시나리오비교'!$C$7))+$H482*SIN(RADIANS('13_시나리오비교'!$B$7))*COS(RADIANS('13_시나리오비교'!$C$7))+$I482*COS(RADIANS('13_시나리오비교'!$B$7))),0)</f>
        <v/>
      </c>
      <c r="S482" s="80">
        <f>IF($I482&gt;0,MAX(0,$G482*SIN(RADIANS('13_시나리오비교'!$B$8))*SIN(RADIANS('13_시나리오비교'!$C$8))+$H482*SIN(RADIANS('13_시나리오비교'!$B$8))*COS(RADIANS('13_시나리오비교'!$C$8))+$I482*COS(RADIANS('13_시나리오비교'!$B$8))),0)</f>
        <v/>
      </c>
      <c r="T482" s="80">
        <f>IF($I482&gt;0,MAX(0,$G482*SIN(RADIANS('13_시나리오비교'!$B$9))*SIN(RADIANS('13_시나리오비교'!$C$9))+$H482*SIN(RADIANS('13_시나리오비교'!$B$9))*COS(RADIANS('13_시나리오비교'!$C$9))+$I482*COS(RADIANS('13_시나리오비교'!$B$9))),0)</f>
        <v/>
      </c>
      <c r="U482" s="80">
        <f>IF($I482&gt;0,MAX(0,$G482*SIN(RADIANS('13_시나리오비교'!$B$10))*SIN(RADIANS('13_시나리오비교'!$C$10))+$H482*SIN(RADIANS('13_시나리오비교'!$B$10))*COS(RADIANS('13_시나리오비교'!$C$10))+$I482*COS(RADIANS('13_시나리오비교'!$B$10))),0)</f>
        <v/>
      </c>
      <c r="V482" s="80">
        <f>IF($I482&gt;0,MAX(0,$G482*SIN(RADIANS('13_시나리오비교'!$B$11))*SIN(RADIANS('13_시나리오비교'!$C$11))+$H482*SIN(RADIANS('13_시나리오비교'!$B$11))*COS(RADIANS('13_시나리오비교'!$C$11))+$I482*COS(RADIANS('13_시나리오비교'!$B$11))),0)</f>
        <v/>
      </c>
      <c r="W482" s="80">
        <f>IF($I482&gt;0,MAX(0,$G482*SIN(RADIANS('13_시나리오비교'!$B$12))*SIN(RADIANS('13_시나리오비교'!$C$12))+$H482*SIN(RADIANS('13_시나리오비교'!$B$12))*COS(RADIANS('13_시나리오비교'!$C$12))+$I482*COS(RADIANS('13_시나리오비교'!$B$12))),0)</f>
        <v/>
      </c>
      <c r="X482" s="80">
        <f>IF($I482&gt;0,MAX(0,$G482*SIN(RADIANS('13_시나리오비교'!$B$13))*SIN(RADIANS('13_시나리오비교'!$C$13))+$H482*SIN(RADIANS('13_시나리오비교'!$B$13))*COS(RADIANS('13_시나리오비교'!$C$13))+$I482*COS(RADIANS('13_시나리오비교'!$B$13))),0)</f>
        <v/>
      </c>
      <c r="Y482" s="80">
        <f>IF($I482&gt;0,MAX(0,$G482*SIN(RADIANS('13_시나리오비교'!$B$14))*SIN(RADIANS('13_시나리오비교'!$C$14))+$H482*SIN(RADIANS('13_시나리오비교'!$B$14))*COS(RADIANS('13_시나리오비교'!$C$14))+$I482*COS(RADIANS('13_시나리오비교'!$B$14))),0)</f>
        <v/>
      </c>
    </row>
    <row r="483" hidden="1" outlineLevel="1">
      <c r="A483" s="79" t="n">
        <v>5</v>
      </c>
      <c r="B483" s="79" t="n">
        <v>79</v>
      </c>
      <c r="C483" s="80">
        <f>(B483-0.5)*'14_지역·상수'!$H$6</f>
        <v/>
      </c>
      <c r="D483" s="79" t="n">
        <v>135</v>
      </c>
      <c r="E483" s="80">
        <f>INDEX($C$4:$C$15,MATCH(A483,$A$4:$A$15,0))</f>
        <v/>
      </c>
      <c r="F483" s="80">
        <f>15*(C483-12)</f>
        <v/>
      </c>
      <c r="G483" s="80">
        <f>-COS(RADIANS(E483))*SIN(RADIANS(F483))</f>
        <v/>
      </c>
      <c r="H483" s="80">
        <f>COS(RADIANS('11_발전량_모델'!$B$17))*SIN(RADIANS(E483))-SIN(RADIANS('11_발전량_모델'!$B$17))*COS(RADIANS(E483))*COS(RADIANS(F483))</f>
        <v/>
      </c>
      <c r="I483" s="80">
        <f>SIN(RADIANS('11_발전량_모델'!$B$17))*SIN(RADIANS(E483))+COS(RADIANS('11_발전량_모델'!$B$17))*COS(RADIANS(E483))*COS(RADIANS(F483))</f>
        <v/>
      </c>
      <c r="J483" s="80">
        <f>SIN(RADIANS('11_발전량_모델'!$B$7))*SIN(RADIANS('11_발전량_모델'!$B$8))</f>
        <v/>
      </c>
      <c r="K483" s="80">
        <f>SIN(RADIANS('11_발전량_모델'!$B$7))*COS(RADIANS('11_발전량_모델'!$B$8))</f>
        <v/>
      </c>
      <c r="L483" s="80">
        <f>COS(RADIANS('11_발전량_모델'!$B$7))</f>
        <v/>
      </c>
      <c r="M483" s="80">
        <f>G483*J483+H483*K483+I483*L483</f>
        <v/>
      </c>
      <c r="N483" s="80">
        <f>MAX(0,I483)</f>
        <v/>
      </c>
      <c r="O483" s="80">
        <f>IF(I483&gt;0,MAX(0,M483),0)</f>
        <v/>
      </c>
      <c r="P483" s="80">
        <f>IF($I483&gt;0,MAX(0,$G483*SIN(RADIANS('13_시나리오비교'!$B$5))*SIN(RADIANS('13_시나리오비교'!$C$5))+$H483*SIN(RADIANS('13_시나리오비교'!$B$5))*COS(RADIANS('13_시나리오비교'!$C$5))+$I483*COS(RADIANS('13_시나리오비교'!$B$5))),0)</f>
        <v/>
      </c>
      <c r="Q483" s="80">
        <f>IF($I483&gt;0,MAX(0,$G483*SIN(RADIANS('13_시나리오비교'!$B$6))*SIN(RADIANS('13_시나리오비교'!$C$6))+$H483*SIN(RADIANS('13_시나리오비교'!$B$6))*COS(RADIANS('13_시나리오비교'!$C$6))+$I483*COS(RADIANS('13_시나리오비교'!$B$6))),0)</f>
        <v/>
      </c>
      <c r="R483" s="80">
        <f>IF($I483&gt;0,MAX(0,$G483*SIN(RADIANS('13_시나리오비교'!$B$7))*SIN(RADIANS('13_시나리오비교'!$C$7))+$H483*SIN(RADIANS('13_시나리오비교'!$B$7))*COS(RADIANS('13_시나리오비교'!$C$7))+$I483*COS(RADIANS('13_시나리오비교'!$B$7))),0)</f>
        <v/>
      </c>
      <c r="S483" s="80">
        <f>IF($I483&gt;0,MAX(0,$G483*SIN(RADIANS('13_시나리오비교'!$B$8))*SIN(RADIANS('13_시나리오비교'!$C$8))+$H483*SIN(RADIANS('13_시나리오비교'!$B$8))*COS(RADIANS('13_시나리오비교'!$C$8))+$I483*COS(RADIANS('13_시나리오비교'!$B$8))),0)</f>
        <v/>
      </c>
      <c r="T483" s="80">
        <f>IF($I483&gt;0,MAX(0,$G483*SIN(RADIANS('13_시나리오비교'!$B$9))*SIN(RADIANS('13_시나리오비교'!$C$9))+$H483*SIN(RADIANS('13_시나리오비교'!$B$9))*COS(RADIANS('13_시나리오비교'!$C$9))+$I483*COS(RADIANS('13_시나리오비교'!$B$9))),0)</f>
        <v/>
      </c>
      <c r="U483" s="80">
        <f>IF($I483&gt;0,MAX(0,$G483*SIN(RADIANS('13_시나리오비교'!$B$10))*SIN(RADIANS('13_시나리오비교'!$C$10))+$H483*SIN(RADIANS('13_시나리오비교'!$B$10))*COS(RADIANS('13_시나리오비교'!$C$10))+$I483*COS(RADIANS('13_시나리오비교'!$B$10))),0)</f>
        <v/>
      </c>
      <c r="V483" s="80">
        <f>IF($I483&gt;0,MAX(0,$G483*SIN(RADIANS('13_시나리오비교'!$B$11))*SIN(RADIANS('13_시나리오비교'!$C$11))+$H483*SIN(RADIANS('13_시나리오비교'!$B$11))*COS(RADIANS('13_시나리오비교'!$C$11))+$I483*COS(RADIANS('13_시나리오비교'!$B$11))),0)</f>
        <v/>
      </c>
      <c r="W483" s="80">
        <f>IF($I483&gt;0,MAX(0,$G483*SIN(RADIANS('13_시나리오비교'!$B$12))*SIN(RADIANS('13_시나리오비교'!$C$12))+$H483*SIN(RADIANS('13_시나리오비교'!$B$12))*COS(RADIANS('13_시나리오비교'!$C$12))+$I483*COS(RADIANS('13_시나리오비교'!$B$12))),0)</f>
        <v/>
      </c>
      <c r="X483" s="80">
        <f>IF($I483&gt;0,MAX(0,$G483*SIN(RADIANS('13_시나리오비교'!$B$13))*SIN(RADIANS('13_시나리오비교'!$C$13))+$H483*SIN(RADIANS('13_시나리오비교'!$B$13))*COS(RADIANS('13_시나리오비교'!$C$13))+$I483*COS(RADIANS('13_시나리오비교'!$B$13))),0)</f>
        <v/>
      </c>
      <c r="Y483" s="80">
        <f>IF($I483&gt;0,MAX(0,$G483*SIN(RADIANS('13_시나리오비교'!$B$14))*SIN(RADIANS('13_시나리오비교'!$C$14))+$H483*SIN(RADIANS('13_시나리오비교'!$B$14))*COS(RADIANS('13_시나리오비교'!$C$14))+$I483*COS(RADIANS('13_시나리오비교'!$B$14))),0)</f>
        <v/>
      </c>
    </row>
    <row r="484" hidden="1" outlineLevel="1">
      <c r="A484" s="79" t="n">
        <v>5</v>
      </c>
      <c r="B484" s="79" t="n">
        <v>80</v>
      </c>
      <c r="C484" s="80">
        <f>(B484-0.5)*'14_지역·상수'!$H$6</f>
        <v/>
      </c>
      <c r="D484" s="79" t="n">
        <v>135</v>
      </c>
      <c r="E484" s="80">
        <f>INDEX($C$4:$C$15,MATCH(A484,$A$4:$A$15,0))</f>
        <v/>
      </c>
      <c r="F484" s="80">
        <f>15*(C484-12)</f>
        <v/>
      </c>
      <c r="G484" s="80">
        <f>-COS(RADIANS(E484))*SIN(RADIANS(F484))</f>
        <v/>
      </c>
      <c r="H484" s="80">
        <f>COS(RADIANS('11_발전량_모델'!$B$17))*SIN(RADIANS(E484))-SIN(RADIANS('11_발전량_모델'!$B$17))*COS(RADIANS(E484))*COS(RADIANS(F484))</f>
        <v/>
      </c>
      <c r="I484" s="80">
        <f>SIN(RADIANS('11_발전량_모델'!$B$17))*SIN(RADIANS(E484))+COS(RADIANS('11_발전량_모델'!$B$17))*COS(RADIANS(E484))*COS(RADIANS(F484))</f>
        <v/>
      </c>
      <c r="J484" s="80">
        <f>SIN(RADIANS('11_발전량_모델'!$B$7))*SIN(RADIANS('11_발전량_모델'!$B$8))</f>
        <v/>
      </c>
      <c r="K484" s="80">
        <f>SIN(RADIANS('11_발전량_모델'!$B$7))*COS(RADIANS('11_발전량_모델'!$B$8))</f>
        <v/>
      </c>
      <c r="L484" s="80">
        <f>COS(RADIANS('11_발전량_모델'!$B$7))</f>
        <v/>
      </c>
      <c r="M484" s="80">
        <f>G484*J484+H484*K484+I484*L484</f>
        <v/>
      </c>
      <c r="N484" s="80">
        <f>MAX(0,I484)</f>
        <v/>
      </c>
      <c r="O484" s="80">
        <f>IF(I484&gt;0,MAX(0,M484),0)</f>
        <v/>
      </c>
      <c r="P484" s="80">
        <f>IF($I484&gt;0,MAX(0,$G484*SIN(RADIANS('13_시나리오비교'!$B$5))*SIN(RADIANS('13_시나리오비교'!$C$5))+$H484*SIN(RADIANS('13_시나리오비교'!$B$5))*COS(RADIANS('13_시나리오비교'!$C$5))+$I484*COS(RADIANS('13_시나리오비교'!$B$5))),0)</f>
        <v/>
      </c>
      <c r="Q484" s="80">
        <f>IF($I484&gt;0,MAX(0,$G484*SIN(RADIANS('13_시나리오비교'!$B$6))*SIN(RADIANS('13_시나리오비교'!$C$6))+$H484*SIN(RADIANS('13_시나리오비교'!$B$6))*COS(RADIANS('13_시나리오비교'!$C$6))+$I484*COS(RADIANS('13_시나리오비교'!$B$6))),0)</f>
        <v/>
      </c>
      <c r="R484" s="80">
        <f>IF($I484&gt;0,MAX(0,$G484*SIN(RADIANS('13_시나리오비교'!$B$7))*SIN(RADIANS('13_시나리오비교'!$C$7))+$H484*SIN(RADIANS('13_시나리오비교'!$B$7))*COS(RADIANS('13_시나리오비교'!$C$7))+$I484*COS(RADIANS('13_시나리오비교'!$B$7))),0)</f>
        <v/>
      </c>
      <c r="S484" s="80">
        <f>IF($I484&gt;0,MAX(0,$G484*SIN(RADIANS('13_시나리오비교'!$B$8))*SIN(RADIANS('13_시나리오비교'!$C$8))+$H484*SIN(RADIANS('13_시나리오비교'!$B$8))*COS(RADIANS('13_시나리오비교'!$C$8))+$I484*COS(RADIANS('13_시나리오비교'!$B$8))),0)</f>
        <v/>
      </c>
      <c r="T484" s="80">
        <f>IF($I484&gt;0,MAX(0,$G484*SIN(RADIANS('13_시나리오비교'!$B$9))*SIN(RADIANS('13_시나리오비교'!$C$9))+$H484*SIN(RADIANS('13_시나리오비교'!$B$9))*COS(RADIANS('13_시나리오비교'!$C$9))+$I484*COS(RADIANS('13_시나리오비교'!$B$9))),0)</f>
        <v/>
      </c>
      <c r="U484" s="80">
        <f>IF($I484&gt;0,MAX(0,$G484*SIN(RADIANS('13_시나리오비교'!$B$10))*SIN(RADIANS('13_시나리오비교'!$C$10))+$H484*SIN(RADIANS('13_시나리오비교'!$B$10))*COS(RADIANS('13_시나리오비교'!$C$10))+$I484*COS(RADIANS('13_시나리오비교'!$B$10))),0)</f>
        <v/>
      </c>
      <c r="V484" s="80">
        <f>IF($I484&gt;0,MAX(0,$G484*SIN(RADIANS('13_시나리오비교'!$B$11))*SIN(RADIANS('13_시나리오비교'!$C$11))+$H484*SIN(RADIANS('13_시나리오비교'!$B$11))*COS(RADIANS('13_시나리오비교'!$C$11))+$I484*COS(RADIANS('13_시나리오비교'!$B$11))),0)</f>
        <v/>
      </c>
      <c r="W484" s="80">
        <f>IF($I484&gt;0,MAX(0,$G484*SIN(RADIANS('13_시나리오비교'!$B$12))*SIN(RADIANS('13_시나리오비교'!$C$12))+$H484*SIN(RADIANS('13_시나리오비교'!$B$12))*COS(RADIANS('13_시나리오비교'!$C$12))+$I484*COS(RADIANS('13_시나리오비교'!$B$12))),0)</f>
        <v/>
      </c>
      <c r="X484" s="80">
        <f>IF($I484&gt;0,MAX(0,$G484*SIN(RADIANS('13_시나리오비교'!$B$13))*SIN(RADIANS('13_시나리오비교'!$C$13))+$H484*SIN(RADIANS('13_시나리오비교'!$B$13))*COS(RADIANS('13_시나리오비교'!$C$13))+$I484*COS(RADIANS('13_시나리오비교'!$B$13))),0)</f>
        <v/>
      </c>
      <c r="Y484" s="80">
        <f>IF($I484&gt;0,MAX(0,$G484*SIN(RADIANS('13_시나리오비교'!$B$14))*SIN(RADIANS('13_시나리오비교'!$C$14))+$H484*SIN(RADIANS('13_시나리오비교'!$B$14))*COS(RADIANS('13_시나리오비교'!$C$14))+$I484*COS(RADIANS('13_시나리오비교'!$B$14))),0)</f>
        <v/>
      </c>
    </row>
    <row r="485" hidden="1" outlineLevel="1">
      <c r="A485" s="79" t="n">
        <v>5</v>
      </c>
      <c r="B485" s="79" t="n">
        <v>81</v>
      </c>
      <c r="C485" s="80">
        <f>(B485-0.5)*'14_지역·상수'!$H$6</f>
        <v/>
      </c>
      <c r="D485" s="79" t="n">
        <v>135</v>
      </c>
      <c r="E485" s="80">
        <f>INDEX($C$4:$C$15,MATCH(A485,$A$4:$A$15,0))</f>
        <v/>
      </c>
      <c r="F485" s="80">
        <f>15*(C485-12)</f>
        <v/>
      </c>
      <c r="G485" s="80">
        <f>-COS(RADIANS(E485))*SIN(RADIANS(F485))</f>
        <v/>
      </c>
      <c r="H485" s="80">
        <f>COS(RADIANS('11_발전량_모델'!$B$17))*SIN(RADIANS(E485))-SIN(RADIANS('11_발전량_모델'!$B$17))*COS(RADIANS(E485))*COS(RADIANS(F485))</f>
        <v/>
      </c>
      <c r="I485" s="80">
        <f>SIN(RADIANS('11_발전량_모델'!$B$17))*SIN(RADIANS(E485))+COS(RADIANS('11_발전량_모델'!$B$17))*COS(RADIANS(E485))*COS(RADIANS(F485))</f>
        <v/>
      </c>
      <c r="J485" s="80">
        <f>SIN(RADIANS('11_발전량_모델'!$B$7))*SIN(RADIANS('11_발전량_모델'!$B$8))</f>
        <v/>
      </c>
      <c r="K485" s="80">
        <f>SIN(RADIANS('11_발전량_모델'!$B$7))*COS(RADIANS('11_발전량_모델'!$B$8))</f>
        <v/>
      </c>
      <c r="L485" s="80">
        <f>COS(RADIANS('11_발전량_모델'!$B$7))</f>
        <v/>
      </c>
      <c r="M485" s="80">
        <f>G485*J485+H485*K485+I485*L485</f>
        <v/>
      </c>
      <c r="N485" s="80">
        <f>MAX(0,I485)</f>
        <v/>
      </c>
      <c r="O485" s="80">
        <f>IF(I485&gt;0,MAX(0,M485),0)</f>
        <v/>
      </c>
      <c r="P485" s="80">
        <f>IF($I485&gt;0,MAX(0,$G485*SIN(RADIANS('13_시나리오비교'!$B$5))*SIN(RADIANS('13_시나리오비교'!$C$5))+$H485*SIN(RADIANS('13_시나리오비교'!$B$5))*COS(RADIANS('13_시나리오비교'!$C$5))+$I485*COS(RADIANS('13_시나리오비교'!$B$5))),0)</f>
        <v/>
      </c>
      <c r="Q485" s="80">
        <f>IF($I485&gt;0,MAX(0,$G485*SIN(RADIANS('13_시나리오비교'!$B$6))*SIN(RADIANS('13_시나리오비교'!$C$6))+$H485*SIN(RADIANS('13_시나리오비교'!$B$6))*COS(RADIANS('13_시나리오비교'!$C$6))+$I485*COS(RADIANS('13_시나리오비교'!$B$6))),0)</f>
        <v/>
      </c>
      <c r="R485" s="80">
        <f>IF($I485&gt;0,MAX(0,$G485*SIN(RADIANS('13_시나리오비교'!$B$7))*SIN(RADIANS('13_시나리오비교'!$C$7))+$H485*SIN(RADIANS('13_시나리오비교'!$B$7))*COS(RADIANS('13_시나리오비교'!$C$7))+$I485*COS(RADIANS('13_시나리오비교'!$B$7))),0)</f>
        <v/>
      </c>
      <c r="S485" s="80">
        <f>IF($I485&gt;0,MAX(0,$G485*SIN(RADIANS('13_시나리오비교'!$B$8))*SIN(RADIANS('13_시나리오비교'!$C$8))+$H485*SIN(RADIANS('13_시나리오비교'!$B$8))*COS(RADIANS('13_시나리오비교'!$C$8))+$I485*COS(RADIANS('13_시나리오비교'!$B$8))),0)</f>
        <v/>
      </c>
      <c r="T485" s="80">
        <f>IF($I485&gt;0,MAX(0,$G485*SIN(RADIANS('13_시나리오비교'!$B$9))*SIN(RADIANS('13_시나리오비교'!$C$9))+$H485*SIN(RADIANS('13_시나리오비교'!$B$9))*COS(RADIANS('13_시나리오비교'!$C$9))+$I485*COS(RADIANS('13_시나리오비교'!$B$9))),0)</f>
        <v/>
      </c>
      <c r="U485" s="80">
        <f>IF($I485&gt;0,MAX(0,$G485*SIN(RADIANS('13_시나리오비교'!$B$10))*SIN(RADIANS('13_시나리오비교'!$C$10))+$H485*SIN(RADIANS('13_시나리오비교'!$B$10))*COS(RADIANS('13_시나리오비교'!$C$10))+$I485*COS(RADIANS('13_시나리오비교'!$B$10))),0)</f>
        <v/>
      </c>
      <c r="V485" s="80">
        <f>IF($I485&gt;0,MAX(0,$G485*SIN(RADIANS('13_시나리오비교'!$B$11))*SIN(RADIANS('13_시나리오비교'!$C$11))+$H485*SIN(RADIANS('13_시나리오비교'!$B$11))*COS(RADIANS('13_시나리오비교'!$C$11))+$I485*COS(RADIANS('13_시나리오비교'!$B$11))),0)</f>
        <v/>
      </c>
      <c r="W485" s="80">
        <f>IF($I485&gt;0,MAX(0,$G485*SIN(RADIANS('13_시나리오비교'!$B$12))*SIN(RADIANS('13_시나리오비교'!$C$12))+$H485*SIN(RADIANS('13_시나리오비교'!$B$12))*COS(RADIANS('13_시나리오비교'!$C$12))+$I485*COS(RADIANS('13_시나리오비교'!$B$12))),0)</f>
        <v/>
      </c>
      <c r="X485" s="80">
        <f>IF($I485&gt;0,MAX(0,$G485*SIN(RADIANS('13_시나리오비교'!$B$13))*SIN(RADIANS('13_시나리오비교'!$C$13))+$H485*SIN(RADIANS('13_시나리오비교'!$B$13))*COS(RADIANS('13_시나리오비교'!$C$13))+$I485*COS(RADIANS('13_시나리오비교'!$B$13))),0)</f>
        <v/>
      </c>
      <c r="Y485" s="80">
        <f>IF($I485&gt;0,MAX(0,$G485*SIN(RADIANS('13_시나리오비교'!$B$14))*SIN(RADIANS('13_시나리오비교'!$C$14))+$H485*SIN(RADIANS('13_시나리오비교'!$B$14))*COS(RADIANS('13_시나리오비교'!$C$14))+$I485*COS(RADIANS('13_시나리오비교'!$B$14))),0)</f>
        <v/>
      </c>
    </row>
    <row r="486" hidden="1" outlineLevel="1">
      <c r="A486" s="79" t="n">
        <v>5</v>
      </c>
      <c r="B486" s="79" t="n">
        <v>82</v>
      </c>
      <c r="C486" s="80">
        <f>(B486-0.5)*'14_지역·상수'!$H$6</f>
        <v/>
      </c>
      <c r="D486" s="79" t="n">
        <v>135</v>
      </c>
      <c r="E486" s="80">
        <f>INDEX($C$4:$C$15,MATCH(A486,$A$4:$A$15,0))</f>
        <v/>
      </c>
      <c r="F486" s="80">
        <f>15*(C486-12)</f>
        <v/>
      </c>
      <c r="G486" s="80">
        <f>-COS(RADIANS(E486))*SIN(RADIANS(F486))</f>
        <v/>
      </c>
      <c r="H486" s="80">
        <f>COS(RADIANS('11_발전량_모델'!$B$17))*SIN(RADIANS(E486))-SIN(RADIANS('11_발전량_모델'!$B$17))*COS(RADIANS(E486))*COS(RADIANS(F486))</f>
        <v/>
      </c>
      <c r="I486" s="80">
        <f>SIN(RADIANS('11_발전량_모델'!$B$17))*SIN(RADIANS(E486))+COS(RADIANS('11_발전량_모델'!$B$17))*COS(RADIANS(E486))*COS(RADIANS(F486))</f>
        <v/>
      </c>
      <c r="J486" s="80">
        <f>SIN(RADIANS('11_발전량_모델'!$B$7))*SIN(RADIANS('11_발전량_모델'!$B$8))</f>
        <v/>
      </c>
      <c r="K486" s="80">
        <f>SIN(RADIANS('11_발전량_모델'!$B$7))*COS(RADIANS('11_발전량_모델'!$B$8))</f>
        <v/>
      </c>
      <c r="L486" s="80">
        <f>COS(RADIANS('11_발전량_모델'!$B$7))</f>
        <v/>
      </c>
      <c r="M486" s="80">
        <f>G486*J486+H486*K486+I486*L486</f>
        <v/>
      </c>
      <c r="N486" s="80">
        <f>MAX(0,I486)</f>
        <v/>
      </c>
      <c r="O486" s="80">
        <f>IF(I486&gt;0,MAX(0,M486),0)</f>
        <v/>
      </c>
      <c r="P486" s="80">
        <f>IF($I486&gt;0,MAX(0,$G486*SIN(RADIANS('13_시나리오비교'!$B$5))*SIN(RADIANS('13_시나리오비교'!$C$5))+$H486*SIN(RADIANS('13_시나리오비교'!$B$5))*COS(RADIANS('13_시나리오비교'!$C$5))+$I486*COS(RADIANS('13_시나리오비교'!$B$5))),0)</f>
        <v/>
      </c>
      <c r="Q486" s="80">
        <f>IF($I486&gt;0,MAX(0,$G486*SIN(RADIANS('13_시나리오비교'!$B$6))*SIN(RADIANS('13_시나리오비교'!$C$6))+$H486*SIN(RADIANS('13_시나리오비교'!$B$6))*COS(RADIANS('13_시나리오비교'!$C$6))+$I486*COS(RADIANS('13_시나리오비교'!$B$6))),0)</f>
        <v/>
      </c>
      <c r="R486" s="80">
        <f>IF($I486&gt;0,MAX(0,$G486*SIN(RADIANS('13_시나리오비교'!$B$7))*SIN(RADIANS('13_시나리오비교'!$C$7))+$H486*SIN(RADIANS('13_시나리오비교'!$B$7))*COS(RADIANS('13_시나리오비교'!$C$7))+$I486*COS(RADIANS('13_시나리오비교'!$B$7))),0)</f>
        <v/>
      </c>
      <c r="S486" s="80">
        <f>IF($I486&gt;0,MAX(0,$G486*SIN(RADIANS('13_시나리오비교'!$B$8))*SIN(RADIANS('13_시나리오비교'!$C$8))+$H486*SIN(RADIANS('13_시나리오비교'!$B$8))*COS(RADIANS('13_시나리오비교'!$C$8))+$I486*COS(RADIANS('13_시나리오비교'!$B$8))),0)</f>
        <v/>
      </c>
      <c r="T486" s="80">
        <f>IF($I486&gt;0,MAX(0,$G486*SIN(RADIANS('13_시나리오비교'!$B$9))*SIN(RADIANS('13_시나리오비교'!$C$9))+$H486*SIN(RADIANS('13_시나리오비교'!$B$9))*COS(RADIANS('13_시나리오비교'!$C$9))+$I486*COS(RADIANS('13_시나리오비교'!$B$9))),0)</f>
        <v/>
      </c>
      <c r="U486" s="80">
        <f>IF($I486&gt;0,MAX(0,$G486*SIN(RADIANS('13_시나리오비교'!$B$10))*SIN(RADIANS('13_시나리오비교'!$C$10))+$H486*SIN(RADIANS('13_시나리오비교'!$B$10))*COS(RADIANS('13_시나리오비교'!$C$10))+$I486*COS(RADIANS('13_시나리오비교'!$B$10))),0)</f>
        <v/>
      </c>
      <c r="V486" s="80">
        <f>IF($I486&gt;0,MAX(0,$G486*SIN(RADIANS('13_시나리오비교'!$B$11))*SIN(RADIANS('13_시나리오비교'!$C$11))+$H486*SIN(RADIANS('13_시나리오비교'!$B$11))*COS(RADIANS('13_시나리오비교'!$C$11))+$I486*COS(RADIANS('13_시나리오비교'!$B$11))),0)</f>
        <v/>
      </c>
      <c r="W486" s="80">
        <f>IF($I486&gt;0,MAX(0,$G486*SIN(RADIANS('13_시나리오비교'!$B$12))*SIN(RADIANS('13_시나리오비교'!$C$12))+$H486*SIN(RADIANS('13_시나리오비교'!$B$12))*COS(RADIANS('13_시나리오비교'!$C$12))+$I486*COS(RADIANS('13_시나리오비교'!$B$12))),0)</f>
        <v/>
      </c>
      <c r="X486" s="80">
        <f>IF($I486&gt;0,MAX(0,$G486*SIN(RADIANS('13_시나리오비교'!$B$13))*SIN(RADIANS('13_시나리오비교'!$C$13))+$H486*SIN(RADIANS('13_시나리오비교'!$B$13))*COS(RADIANS('13_시나리오비교'!$C$13))+$I486*COS(RADIANS('13_시나리오비교'!$B$13))),0)</f>
        <v/>
      </c>
      <c r="Y486" s="80">
        <f>IF($I486&gt;0,MAX(0,$G486*SIN(RADIANS('13_시나리오비교'!$B$14))*SIN(RADIANS('13_시나리오비교'!$C$14))+$H486*SIN(RADIANS('13_시나리오비교'!$B$14))*COS(RADIANS('13_시나리오비교'!$C$14))+$I486*COS(RADIANS('13_시나리오비교'!$B$14))),0)</f>
        <v/>
      </c>
    </row>
    <row r="487" hidden="1" outlineLevel="1">
      <c r="A487" s="79" t="n">
        <v>5</v>
      </c>
      <c r="B487" s="79" t="n">
        <v>83</v>
      </c>
      <c r="C487" s="80">
        <f>(B487-0.5)*'14_지역·상수'!$H$6</f>
        <v/>
      </c>
      <c r="D487" s="79" t="n">
        <v>135</v>
      </c>
      <c r="E487" s="80">
        <f>INDEX($C$4:$C$15,MATCH(A487,$A$4:$A$15,0))</f>
        <v/>
      </c>
      <c r="F487" s="80">
        <f>15*(C487-12)</f>
        <v/>
      </c>
      <c r="G487" s="80">
        <f>-COS(RADIANS(E487))*SIN(RADIANS(F487))</f>
        <v/>
      </c>
      <c r="H487" s="80">
        <f>COS(RADIANS('11_발전량_모델'!$B$17))*SIN(RADIANS(E487))-SIN(RADIANS('11_발전량_모델'!$B$17))*COS(RADIANS(E487))*COS(RADIANS(F487))</f>
        <v/>
      </c>
      <c r="I487" s="80">
        <f>SIN(RADIANS('11_발전량_모델'!$B$17))*SIN(RADIANS(E487))+COS(RADIANS('11_발전량_모델'!$B$17))*COS(RADIANS(E487))*COS(RADIANS(F487))</f>
        <v/>
      </c>
      <c r="J487" s="80">
        <f>SIN(RADIANS('11_발전량_모델'!$B$7))*SIN(RADIANS('11_발전량_모델'!$B$8))</f>
        <v/>
      </c>
      <c r="K487" s="80">
        <f>SIN(RADIANS('11_발전량_모델'!$B$7))*COS(RADIANS('11_발전량_모델'!$B$8))</f>
        <v/>
      </c>
      <c r="L487" s="80">
        <f>COS(RADIANS('11_발전량_모델'!$B$7))</f>
        <v/>
      </c>
      <c r="M487" s="80">
        <f>G487*J487+H487*K487+I487*L487</f>
        <v/>
      </c>
      <c r="N487" s="80">
        <f>MAX(0,I487)</f>
        <v/>
      </c>
      <c r="O487" s="80">
        <f>IF(I487&gt;0,MAX(0,M487),0)</f>
        <v/>
      </c>
      <c r="P487" s="80">
        <f>IF($I487&gt;0,MAX(0,$G487*SIN(RADIANS('13_시나리오비교'!$B$5))*SIN(RADIANS('13_시나리오비교'!$C$5))+$H487*SIN(RADIANS('13_시나리오비교'!$B$5))*COS(RADIANS('13_시나리오비교'!$C$5))+$I487*COS(RADIANS('13_시나리오비교'!$B$5))),0)</f>
        <v/>
      </c>
      <c r="Q487" s="80">
        <f>IF($I487&gt;0,MAX(0,$G487*SIN(RADIANS('13_시나리오비교'!$B$6))*SIN(RADIANS('13_시나리오비교'!$C$6))+$H487*SIN(RADIANS('13_시나리오비교'!$B$6))*COS(RADIANS('13_시나리오비교'!$C$6))+$I487*COS(RADIANS('13_시나리오비교'!$B$6))),0)</f>
        <v/>
      </c>
      <c r="R487" s="80">
        <f>IF($I487&gt;0,MAX(0,$G487*SIN(RADIANS('13_시나리오비교'!$B$7))*SIN(RADIANS('13_시나리오비교'!$C$7))+$H487*SIN(RADIANS('13_시나리오비교'!$B$7))*COS(RADIANS('13_시나리오비교'!$C$7))+$I487*COS(RADIANS('13_시나리오비교'!$B$7))),0)</f>
        <v/>
      </c>
      <c r="S487" s="80">
        <f>IF($I487&gt;0,MAX(0,$G487*SIN(RADIANS('13_시나리오비교'!$B$8))*SIN(RADIANS('13_시나리오비교'!$C$8))+$H487*SIN(RADIANS('13_시나리오비교'!$B$8))*COS(RADIANS('13_시나리오비교'!$C$8))+$I487*COS(RADIANS('13_시나리오비교'!$B$8))),0)</f>
        <v/>
      </c>
      <c r="T487" s="80">
        <f>IF($I487&gt;0,MAX(0,$G487*SIN(RADIANS('13_시나리오비교'!$B$9))*SIN(RADIANS('13_시나리오비교'!$C$9))+$H487*SIN(RADIANS('13_시나리오비교'!$B$9))*COS(RADIANS('13_시나리오비교'!$C$9))+$I487*COS(RADIANS('13_시나리오비교'!$B$9))),0)</f>
        <v/>
      </c>
      <c r="U487" s="80">
        <f>IF($I487&gt;0,MAX(0,$G487*SIN(RADIANS('13_시나리오비교'!$B$10))*SIN(RADIANS('13_시나리오비교'!$C$10))+$H487*SIN(RADIANS('13_시나리오비교'!$B$10))*COS(RADIANS('13_시나리오비교'!$C$10))+$I487*COS(RADIANS('13_시나리오비교'!$B$10))),0)</f>
        <v/>
      </c>
      <c r="V487" s="80">
        <f>IF($I487&gt;0,MAX(0,$G487*SIN(RADIANS('13_시나리오비교'!$B$11))*SIN(RADIANS('13_시나리오비교'!$C$11))+$H487*SIN(RADIANS('13_시나리오비교'!$B$11))*COS(RADIANS('13_시나리오비교'!$C$11))+$I487*COS(RADIANS('13_시나리오비교'!$B$11))),0)</f>
        <v/>
      </c>
      <c r="W487" s="80">
        <f>IF($I487&gt;0,MAX(0,$G487*SIN(RADIANS('13_시나리오비교'!$B$12))*SIN(RADIANS('13_시나리오비교'!$C$12))+$H487*SIN(RADIANS('13_시나리오비교'!$B$12))*COS(RADIANS('13_시나리오비교'!$C$12))+$I487*COS(RADIANS('13_시나리오비교'!$B$12))),0)</f>
        <v/>
      </c>
      <c r="X487" s="80">
        <f>IF($I487&gt;0,MAX(0,$G487*SIN(RADIANS('13_시나리오비교'!$B$13))*SIN(RADIANS('13_시나리오비교'!$C$13))+$H487*SIN(RADIANS('13_시나리오비교'!$B$13))*COS(RADIANS('13_시나리오비교'!$C$13))+$I487*COS(RADIANS('13_시나리오비교'!$B$13))),0)</f>
        <v/>
      </c>
      <c r="Y487" s="80">
        <f>IF($I487&gt;0,MAX(0,$G487*SIN(RADIANS('13_시나리오비교'!$B$14))*SIN(RADIANS('13_시나리오비교'!$C$14))+$H487*SIN(RADIANS('13_시나리오비교'!$B$14))*COS(RADIANS('13_시나리오비교'!$C$14))+$I487*COS(RADIANS('13_시나리오비교'!$B$14))),0)</f>
        <v/>
      </c>
    </row>
    <row r="488" hidden="1" outlineLevel="1">
      <c r="A488" s="79" t="n">
        <v>5</v>
      </c>
      <c r="B488" s="79" t="n">
        <v>84</v>
      </c>
      <c r="C488" s="80">
        <f>(B488-0.5)*'14_지역·상수'!$H$6</f>
        <v/>
      </c>
      <c r="D488" s="79" t="n">
        <v>135</v>
      </c>
      <c r="E488" s="80">
        <f>INDEX($C$4:$C$15,MATCH(A488,$A$4:$A$15,0))</f>
        <v/>
      </c>
      <c r="F488" s="80">
        <f>15*(C488-12)</f>
        <v/>
      </c>
      <c r="G488" s="80">
        <f>-COS(RADIANS(E488))*SIN(RADIANS(F488))</f>
        <v/>
      </c>
      <c r="H488" s="80">
        <f>COS(RADIANS('11_발전량_모델'!$B$17))*SIN(RADIANS(E488))-SIN(RADIANS('11_발전량_모델'!$B$17))*COS(RADIANS(E488))*COS(RADIANS(F488))</f>
        <v/>
      </c>
      <c r="I488" s="80">
        <f>SIN(RADIANS('11_발전량_모델'!$B$17))*SIN(RADIANS(E488))+COS(RADIANS('11_발전량_모델'!$B$17))*COS(RADIANS(E488))*COS(RADIANS(F488))</f>
        <v/>
      </c>
      <c r="J488" s="80">
        <f>SIN(RADIANS('11_발전량_모델'!$B$7))*SIN(RADIANS('11_발전량_모델'!$B$8))</f>
        <v/>
      </c>
      <c r="K488" s="80">
        <f>SIN(RADIANS('11_발전량_모델'!$B$7))*COS(RADIANS('11_발전량_모델'!$B$8))</f>
        <v/>
      </c>
      <c r="L488" s="80">
        <f>COS(RADIANS('11_발전량_모델'!$B$7))</f>
        <v/>
      </c>
      <c r="M488" s="80">
        <f>G488*J488+H488*K488+I488*L488</f>
        <v/>
      </c>
      <c r="N488" s="80">
        <f>MAX(0,I488)</f>
        <v/>
      </c>
      <c r="O488" s="80">
        <f>IF(I488&gt;0,MAX(0,M488),0)</f>
        <v/>
      </c>
      <c r="P488" s="80">
        <f>IF($I488&gt;0,MAX(0,$G488*SIN(RADIANS('13_시나리오비교'!$B$5))*SIN(RADIANS('13_시나리오비교'!$C$5))+$H488*SIN(RADIANS('13_시나리오비교'!$B$5))*COS(RADIANS('13_시나리오비교'!$C$5))+$I488*COS(RADIANS('13_시나리오비교'!$B$5))),0)</f>
        <v/>
      </c>
      <c r="Q488" s="80">
        <f>IF($I488&gt;0,MAX(0,$G488*SIN(RADIANS('13_시나리오비교'!$B$6))*SIN(RADIANS('13_시나리오비교'!$C$6))+$H488*SIN(RADIANS('13_시나리오비교'!$B$6))*COS(RADIANS('13_시나리오비교'!$C$6))+$I488*COS(RADIANS('13_시나리오비교'!$B$6))),0)</f>
        <v/>
      </c>
      <c r="R488" s="80">
        <f>IF($I488&gt;0,MAX(0,$G488*SIN(RADIANS('13_시나리오비교'!$B$7))*SIN(RADIANS('13_시나리오비교'!$C$7))+$H488*SIN(RADIANS('13_시나리오비교'!$B$7))*COS(RADIANS('13_시나리오비교'!$C$7))+$I488*COS(RADIANS('13_시나리오비교'!$B$7))),0)</f>
        <v/>
      </c>
      <c r="S488" s="80">
        <f>IF($I488&gt;0,MAX(0,$G488*SIN(RADIANS('13_시나리오비교'!$B$8))*SIN(RADIANS('13_시나리오비교'!$C$8))+$H488*SIN(RADIANS('13_시나리오비교'!$B$8))*COS(RADIANS('13_시나리오비교'!$C$8))+$I488*COS(RADIANS('13_시나리오비교'!$B$8))),0)</f>
        <v/>
      </c>
      <c r="T488" s="80">
        <f>IF($I488&gt;0,MAX(0,$G488*SIN(RADIANS('13_시나리오비교'!$B$9))*SIN(RADIANS('13_시나리오비교'!$C$9))+$H488*SIN(RADIANS('13_시나리오비교'!$B$9))*COS(RADIANS('13_시나리오비교'!$C$9))+$I488*COS(RADIANS('13_시나리오비교'!$B$9))),0)</f>
        <v/>
      </c>
      <c r="U488" s="80">
        <f>IF($I488&gt;0,MAX(0,$G488*SIN(RADIANS('13_시나리오비교'!$B$10))*SIN(RADIANS('13_시나리오비교'!$C$10))+$H488*SIN(RADIANS('13_시나리오비교'!$B$10))*COS(RADIANS('13_시나리오비교'!$C$10))+$I488*COS(RADIANS('13_시나리오비교'!$B$10))),0)</f>
        <v/>
      </c>
      <c r="V488" s="80">
        <f>IF($I488&gt;0,MAX(0,$G488*SIN(RADIANS('13_시나리오비교'!$B$11))*SIN(RADIANS('13_시나리오비교'!$C$11))+$H488*SIN(RADIANS('13_시나리오비교'!$B$11))*COS(RADIANS('13_시나리오비교'!$C$11))+$I488*COS(RADIANS('13_시나리오비교'!$B$11))),0)</f>
        <v/>
      </c>
      <c r="W488" s="80">
        <f>IF($I488&gt;0,MAX(0,$G488*SIN(RADIANS('13_시나리오비교'!$B$12))*SIN(RADIANS('13_시나리오비교'!$C$12))+$H488*SIN(RADIANS('13_시나리오비교'!$B$12))*COS(RADIANS('13_시나리오비교'!$C$12))+$I488*COS(RADIANS('13_시나리오비교'!$B$12))),0)</f>
        <v/>
      </c>
      <c r="X488" s="80">
        <f>IF($I488&gt;0,MAX(0,$G488*SIN(RADIANS('13_시나리오비교'!$B$13))*SIN(RADIANS('13_시나리오비교'!$C$13))+$H488*SIN(RADIANS('13_시나리오비교'!$B$13))*COS(RADIANS('13_시나리오비교'!$C$13))+$I488*COS(RADIANS('13_시나리오비교'!$B$13))),0)</f>
        <v/>
      </c>
      <c r="Y488" s="80">
        <f>IF($I488&gt;0,MAX(0,$G488*SIN(RADIANS('13_시나리오비교'!$B$14))*SIN(RADIANS('13_시나리오비교'!$C$14))+$H488*SIN(RADIANS('13_시나리오비교'!$B$14))*COS(RADIANS('13_시나리오비교'!$C$14))+$I488*COS(RADIANS('13_시나리오비교'!$B$14))),0)</f>
        <v/>
      </c>
    </row>
    <row r="489" hidden="1" outlineLevel="1">
      <c r="A489" s="79" t="n">
        <v>5</v>
      </c>
      <c r="B489" s="79" t="n">
        <v>85</v>
      </c>
      <c r="C489" s="80">
        <f>(B489-0.5)*'14_지역·상수'!$H$6</f>
        <v/>
      </c>
      <c r="D489" s="79" t="n">
        <v>135</v>
      </c>
      <c r="E489" s="80">
        <f>INDEX($C$4:$C$15,MATCH(A489,$A$4:$A$15,0))</f>
        <v/>
      </c>
      <c r="F489" s="80">
        <f>15*(C489-12)</f>
        <v/>
      </c>
      <c r="G489" s="80">
        <f>-COS(RADIANS(E489))*SIN(RADIANS(F489))</f>
        <v/>
      </c>
      <c r="H489" s="80">
        <f>COS(RADIANS('11_발전량_모델'!$B$17))*SIN(RADIANS(E489))-SIN(RADIANS('11_발전량_모델'!$B$17))*COS(RADIANS(E489))*COS(RADIANS(F489))</f>
        <v/>
      </c>
      <c r="I489" s="80">
        <f>SIN(RADIANS('11_발전량_모델'!$B$17))*SIN(RADIANS(E489))+COS(RADIANS('11_발전량_모델'!$B$17))*COS(RADIANS(E489))*COS(RADIANS(F489))</f>
        <v/>
      </c>
      <c r="J489" s="80">
        <f>SIN(RADIANS('11_발전량_모델'!$B$7))*SIN(RADIANS('11_발전량_모델'!$B$8))</f>
        <v/>
      </c>
      <c r="K489" s="80">
        <f>SIN(RADIANS('11_발전량_모델'!$B$7))*COS(RADIANS('11_발전량_모델'!$B$8))</f>
        <v/>
      </c>
      <c r="L489" s="80">
        <f>COS(RADIANS('11_발전량_모델'!$B$7))</f>
        <v/>
      </c>
      <c r="M489" s="80">
        <f>G489*J489+H489*K489+I489*L489</f>
        <v/>
      </c>
      <c r="N489" s="80">
        <f>MAX(0,I489)</f>
        <v/>
      </c>
      <c r="O489" s="80">
        <f>IF(I489&gt;0,MAX(0,M489),0)</f>
        <v/>
      </c>
      <c r="P489" s="80">
        <f>IF($I489&gt;0,MAX(0,$G489*SIN(RADIANS('13_시나리오비교'!$B$5))*SIN(RADIANS('13_시나리오비교'!$C$5))+$H489*SIN(RADIANS('13_시나리오비교'!$B$5))*COS(RADIANS('13_시나리오비교'!$C$5))+$I489*COS(RADIANS('13_시나리오비교'!$B$5))),0)</f>
        <v/>
      </c>
      <c r="Q489" s="80">
        <f>IF($I489&gt;0,MAX(0,$G489*SIN(RADIANS('13_시나리오비교'!$B$6))*SIN(RADIANS('13_시나리오비교'!$C$6))+$H489*SIN(RADIANS('13_시나리오비교'!$B$6))*COS(RADIANS('13_시나리오비교'!$C$6))+$I489*COS(RADIANS('13_시나리오비교'!$B$6))),0)</f>
        <v/>
      </c>
      <c r="R489" s="80">
        <f>IF($I489&gt;0,MAX(0,$G489*SIN(RADIANS('13_시나리오비교'!$B$7))*SIN(RADIANS('13_시나리오비교'!$C$7))+$H489*SIN(RADIANS('13_시나리오비교'!$B$7))*COS(RADIANS('13_시나리오비교'!$C$7))+$I489*COS(RADIANS('13_시나리오비교'!$B$7))),0)</f>
        <v/>
      </c>
      <c r="S489" s="80">
        <f>IF($I489&gt;0,MAX(0,$G489*SIN(RADIANS('13_시나리오비교'!$B$8))*SIN(RADIANS('13_시나리오비교'!$C$8))+$H489*SIN(RADIANS('13_시나리오비교'!$B$8))*COS(RADIANS('13_시나리오비교'!$C$8))+$I489*COS(RADIANS('13_시나리오비교'!$B$8))),0)</f>
        <v/>
      </c>
      <c r="T489" s="80">
        <f>IF($I489&gt;0,MAX(0,$G489*SIN(RADIANS('13_시나리오비교'!$B$9))*SIN(RADIANS('13_시나리오비교'!$C$9))+$H489*SIN(RADIANS('13_시나리오비교'!$B$9))*COS(RADIANS('13_시나리오비교'!$C$9))+$I489*COS(RADIANS('13_시나리오비교'!$B$9))),0)</f>
        <v/>
      </c>
      <c r="U489" s="80">
        <f>IF($I489&gt;0,MAX(0,$G489*SIN(RADIANS('13_시나리오비교'!$B$10))*SIN(RADIANS('13_시나리오비교'!$C$10))+$H489*SIN(RADIANS('13_시나리오비교'!$B$10))*COS(RADIANS('13_시나리오비교'!$C$10))+$I489*COS(RADIANS('13_시나리오비교'!$B$10))),0)</f>
        <v/>
      </c>
      <c r="V489" s="80">
        <f>IF($I489&gt;0,MAX(0,$G489*SIN(RADIANS('13_시나리오비교'!$B$11))*SIN(RADIANS('13_시나리오비교'!$C$11))+$H489*SIN(RADIANS('13_시나리오비교'!$B$11))*COS(RADIANS('13_시나리오비교'!$C$11))+$I489*COS(RADIANS('13_시나리오비교'!$B$11))),0)</f>
        <v/>
      </c>
      <c r="W489" s="80">
        <f>IF($I489&gt;0,MAX(0,$G489*SIN(RADIANS('13_시나리오비교'!$B$12))*SIN(RADIANS('13_시나리오비교'!$C$12))+$H489*SIN(RADIANS('13_시나리오비교'!$B$12))*COS(RADIANS('13_시나리오비교'!$C$12))+$I489*COS(RADIANS('13_시나리오비교'!$B$12))),0)</f>
        <v/>
      </c>
      <c r="X489" s="80">
        <f>IF($I489&gt;0,MAX(0,$G489*SIN(RADIANS('13_시나리오비교'!$B$13))*SIN(RADIANS('13_시나리오비교'!$C$13))+$H489*SIN(RADIANS('13_시나리오비교'!$B$13))*COS(RADIANS('13_시나리오비교'!$C$13))+$I489*COS(RADIANS('13_시나리오비교'!$B$13))),0)</f>
        <v/>
      </c>
      <c r="Y489" s="80">
        <f>IF($I489&gt;0,MAX(0,$G489*SIN(RADIANS('13_시나리오비교'!$B$14))*SIN(RADIANS('13_시나리오비교'!$C$14))+$H489*SIN(RADIANS('13_시나리오비교'!$B$14))*COS(RADIANS('13_시나리오비교'!$C$14))+$I489*COS(RADIANS('13_시나리오비교'!$B$14))),0)</f>
        <v/>
      </c>
    </row>
    <row r="490" hidden="1" outlineLevel="1">
      <c r="A490" s="79" t="n">
        <v>5</v>
      </c>
      <c r="B490" s="79" t="n">
        <v>86</v>
      </c>
      <c r="C490" s="80">
        <f>(B490-0.5)*'14_지역·상수'!$H$6</f>
        <v/>
      </c>
      <c r="D490" s="79" t="n">
        <v>135</v>
      </c>
      <c r="E490" s="80">
        <f>INDEX($C$4:$C$15,MATCH(A490,$A$4:$A$15,0))</f>
        <v/>
      </c>
      <c r="F490" s="80">
        <f>15*(C490-12)</f>
        <v/>
      </c>
      <c r="G490" s="80">
        <f>-COS(RADIANS(E490))*SIN(RADIANS(F490))</f>
        <v/>
      </c>
      <c r="H490" s="80">
        <f>COS(RADIANS('11_발전량_모델'!$B$17))*SIN(RADIANS(E490))-SIN(RADIANS('11_발전량_모델'!$B$17))*COS(RADIANS(E490))*COS(RADIANS(F490))</f>
        <v/>
      </c>
      <c r="I490" s="80">
        <f>SIN(RADIANS('11_발전량_모델'!$B$17))*SIN(RADIANS(E490))+COS(RADIANS('11_발전량_모델'!$B$17))*COS(RADIANS(E490))*COS(RADIANS(F490))</f>
        <v/>
      </c>
      <c r="J490" s="80">
        <f>SIN(RADIANS('11_발전량_모델'!$B$7))*SIN(RADIANS('11_발전량_모델'!$B$8))</f>
        <v/>
      </c>
      <c r="K490" s="80">
        <f>SIN(RADIANS('11_발전량_모델'!$B$7))*COS(RADIANS('11_발전량_모델'!$B$8))</f>
        <v/>
      </c>
      <c r="L490" s="80">
        <f>COS(RADIANS('11_발전량_모델'!$B$7))</f>
        <v/>
      </c>
      <c r="M490" s="80">
        <f>G490*J490+H490*K490+I490*L490</f>
        <v/>
      </c>
      <c r="N490" s="80">
        <f>MAX(0,I490)</f>
        <v/>
      </c>
      <c r="O490" s="80">
        <f>IF(I490&gt;0,MAX(0,M490),0)</f>
        <v/>
      </c>
      <c r="P490" s="80">
        <f>IF($I490&gt;0,MAX(0,$G490*SIN(RADIANS('13_시나리오비교'!$B$5))*SIN(RADIANS('13_시나리오비교'!$C$5))+$H490*SIN(RADIANS('13_시나리오비교'!$B$5))*COS(RADIANS('13_시나리오비교'!$C$5))+$I490*COS(RADIANS('13_시나리오비교'!$B$5))),0)</f>
        <v/>
      </c>
      <c r="Q490" s="80">
        <f>IF($I490&gt;0,MAX(0,$G490*SIN(RADIANS('13_시나리오비교'!$B$6))*SIN(RADIANS('13_시나리오비교'!$C$6))+$H490*SIN(RADIANS('13_시나리오비교'!$B$6))*COS(RADIANS('13_시나리오비교'!$C$6))+$I490*COS(RADIANS('13_시나리오비교'!$B$6))),0)</f>
        <v/>
      </c>
      <c r="R490" s="80">
        <f>IF($I490&gt;0,MAX(0,$G490*SIN(RADIANS('13_시나리오비교'!$B$7))*SIN(RADIANS('13_시나리오비교'!$C$7))+$H490*SIN(RADIANS('13_시나리오비교'!$B$7))*COS(RADIANS('13_시나리오비교'!$C$7))+$I490*COS(RADIANS('13_시나리오비교'!$B$7))),0)</f>
        <v/>
      </c>
      <c r="S490" s="80">
        <f>IF($I490&gt;0,MAX(0,$G490*SIN(RADIANS('13_시나리오비교'!$B$8))*SIN(RADIANS('13_시나리오비교'!$C$8))+$H490*SIN(RADIANS('13_시나리오비교'!$B$8))*COS(RADIANS('13_시나리오비교'!$C$8))+$I490*COS(RADIANS('13_시나리오비교'!$B$8))),0)</f>
        <v/>
      </c>
      <c r="T490" s="80">
        <f>IF($I490&gt;0,MAX(0,$G490*SIN(RADIANS('13_시나리오비교'!$B$9))*SIN(RADIANS('13_시나리오비교'!$C$9))+$H490*SIN(RADIANS('13_시나리오비교'!$B$9))*COS(RADIANS('13_시나리오비교'!$C$9))+$I490*COS(RADIANS('13_시나리오비교'!$B$9))),0)</f>
        <v/>
      </c>
      <c r="U490" s="80">
        <f>IF($I490&gt;0,MAX(0,$G490*SIN(RADIANS('13_시나리오비교'!$B$10))*SIN(RADIANS('13_시나리오비교'!$C$10))+$H490*SIN(RADIANS('13_시나리오비교'!$B$10))*COS(RADIANS('13_시나리오비교'!$C$10))+$I490*COS(RADIANS('13_시나리오비교'!$B$10))),0)</f>
        <v/>
      </c>
      <c r="V490" s="80">
        <f>IF($I490&gt;0,MAX(0,$G490*SIN(RADIANS('13_시나리오비교'!$B$11))*SIN(RADIANS('13_시나리오비교'!$C$11))+$H490*SIN(RADIANS('13_시나리오비교'!$B$11))*COS(RADIANS('13_시나리오비교'!$C$11))+$I490*COS(RADIANS('13_시나리오비교'!$B$11))),0)</f>
        <v/>
      </c>
      <c r="W490" s="80">
        <f>IF($I490&gt;0,MAX(0,$G490*SIN(RADIANS('13_시나리오비교'!$B$12))*SIN(RADIANS('13_시나리오비교'!$C$12))+$H490*SIN(RADIANS('13_시나리오비교'!$B$12))*COS(RADIANS('13_시나리오비교'!$C$12))+$I490*COS(RADIANS('13_시나리오비교'!$B$12))),0)</f>
        <v/>
      </c>
      <c r="X490" s="80">
        <f>IF($I490&gt;0,MAX(0,$G490*SIN(RADIANS('13_시나리오비교'!$B$13))*SIN(RADIANS('13_시나리오비교'!$C$13))+$H490*SIN(RADIANS('13_시나리오비교'!$B$13))*COS(RADIANS('13_시나리오비교'!$C$13))+$I490*COS(RADIANS('13_시나리오비교'!$B$13))),0)</f>
        <v/>
      </c>
      <c r="Y490" s="80">
        <f>IF($I490&gt;0,MAX(0,$G490*SIN(RADIANS('13_시나리오비교'!$B$14))*SIN(RADIANS('13_시나리오비교'!$C$14))+$H490*SIN(RADIANS('13_시나리오비교'!$B$14))*COS(RADIANS('13_시나리오비교'!$C$14))+$I490*COS(RADIANS('13_시나리오비교'!$B$14))),0)</f>
        <v/>
      </c>
    </row>
    <row r="491" hidden="1" outlineLevel="1">
      <c r="A491" s="79" t="n">
        <v>5</v>
      </c>
      <c r="B491" s="79" t="n">
        <v>87</v>
      </c>
      <c r="C491" s="80">
        <f>(B491-0.5)*'14_지역·상수'!$H$6</f>
        <v/>
      </c>
      <c r="D491" s="79" t="n">
        <v>135</v>
      </c>
      <c r="E491" s="80">
        <f>INDEX($C$4:$C$15,MATCH(A491,$A$4:$A$15,0))</f>
        <v/>
      </c>
      <c r="F491" s="80">
        <f>15*(C491-12)</f>
        <v/>
      </c>
      <c r="G491" s="80">
        <f>-COS(RADIANS(E491))*SIN(RADIANS(F491))</f>
        <v/>
      </c>
      <c r="H491" s="80">
        <f>COS(RADIANS('11_발전량_모델'!$B$17))*SIN(RADIANS(E491))-SIN(RADIANS('11_발전량_모델'!$B$17))*COS(RADIANS(E491))*COS(RADIANS(F491))</f>
        <v/>
      </c>
      <c r="I491" s="80">
        <f>SIN(RADIANS('11_발전량_모델'!$B$17))*SIN(RADIANS(E491))+COS(RADIANS('11_발전량_모델'!$B$17))*COS(RADIANS(E491))*COS(RADIANS(F491))</f>
        <v/>
      </c>
      <c r="J491" s="80">
        <f>SIN(RADIANS('11_발전량_모델'!$B$7))*SIN(RADIANS('11_발전량_모델'!$B$8))</f>
        <v/>
      </c>
      <c r="K491" s="80">
        <f>SIN(RADIANS('11_발전량_모델'!$B$7))*COS(RADIANS('11_발전량_모델'!$B$8))</f>
        <v/>
      </c>
      <c r="L491" s="80">
        <f>COS(RADIANS('11_발전량_모델'!$B$7))</f>
        <v/>
      </c>
      <c r="M491" s="80">
        <f>G491*J491+H491*K491+I491*L491</f>
        <v/>
      </c>
      <c r="N491" s="80">
        <f>MAX(0,I491)</f>
        <v/>
      </c>
      <c r="O491" s="80">
        <f>IF(I491&gt;0,MAX(0,M491),0)</f>
        <v/>
      </c>
      <c r="P491" s="80">
        <f>IF($I491&gt;0,MAX(0,$G491*SIN(RADIANS('13_시나리오비교'!$B$5))*SIN(RADIANS('13_시나리오비교'!$C$5))+$H491*SIN(RADIANS('13_시나리오비교'!$B$5))*COS(RADIANS('13_시나리오비교'!$C$5))+$I491*COS(RADIANS('13_시나리오비교'!$B$5))),0)</f>
        <v/>
      </c>
      <c r="Q491" s="80">
        <f>IF($I491&gt;0,MAX(0,$G491*SIN(RADIANS('13_시나리오비교'!$B$6))*SIN(RADIANS('13_시나리오비교'!$C$6))+$H491*SIN(RADIANS('13_시나리오비교'!$B$6))*COS(RADIANS('13_시나리오비교'!$C$6))+$I491*COS(RADIANS('13_시나리오비교'!$B$6))),0)</f>
        <v/>
      </c>
      <c r="R491" s="80">
        <f>IF($I491&gt;0,MAX(0,$G491*SIN(RADIANS('13_시나리오비교'!$B$7))*SIN(RADIANS('13_시나리오비교'!$C$7))+$H491*SIN(RADIANS('13_시나리오비교'!$B$7))*COS(RADIANS('13_시나리오비교'!$C$7))+$I491*COS(RADIANS('13_시나리오비교'!$B$7))),0)</f>
        <v/>
      </c>
      <c r="S491" s="80">
        <f>IF($I491&gt;0,MAX(0,$G491*SIN(RADIANS('13_시나리오비교'!$B$8))*SIN(RADIANS('13_시나리오비교'!$C$8))+$H491*SIN(RADIANS('13_시나리오비교'!$B$8))*COS(RADIANS('13_시나리오비교'!$C$8))+$I491*COS(RADIANS('13_시나리오비교'!$B$8))),0)</f>
        <v/>
      </c>
      <c r="T491" s="80">
        <f>IF($I491&gt;0,MAX(0,$G491*SIN(RADIANS('13_시나리오비교'!$B$9))*SIN(RADIANS('13_시나리오비교'!$C$9))+$H491*SIN(RADIANS('13_시나리오비교'!$B$9))*COS(RADIANS('13_시나리오비교'!$C$9))+$I491*COS(RADIANS('13_시나리오비교'!$B$9))),0)</f>
        <v/>
      </c>
      <c r="U491" s="80">
        <f>IF($I491&gt;0,MAX(0,$G491*SIN(RADIANS('13_시나리오비교'!$B$10))*SIN(RADIANS('13_시나리오비교'!$C$10))+$H491*SIN(RADIANS('13_시나리오비교'!$B$10))*COS(RADIANS('13_시나리오비교'!$C$10))+$I491*COS(RADIANS('13_시나리오비교'!$B$10))),0)</f>
        <v/>
      </c>
      <c r="V491" s="80">
        <f>IF($I491&gt;0,MAX(0,$G491*SIN(RADIANS('13_시나리오비교'!$B$11))*SIN(RADIANS('13_시나리오비교'!$C$11))+$H491*SIN(RADIANS('13_시나리오비교'!$B$11))*COS(RADIANS('13_시나리오비교'!$C$11))+$I491*COS(RADIANS('13_시나리오비교'!$B$11))),0)</f>
        <v/>
      </c>
      <c r="W491" s="80">
        <f>IF($I491&gt;0,MAX(0,$G491*SIN(RADIANS('13_시나리오비교'!$B$12))*SIN(RADIANS('13_시나리오비교'!$C$12))+$H491*SIN(RADIANS('13_시나리오비교'!$B$12))*COS(RADIANS('13_시나리오비교'!$C$12))+$I491*COS(RADIANS('13_시나리오비교'!$B$12))),0)</f>
        <v/>
      </c>
      <c r="X491" s="80">
        <f>IF($I491&gt;0,MAX(0,$G491*SIN(RADIANS('13_시나리오비교'!$B$13))*SIN(RADIANS('13_시나리오비교'!$C$13))+$H491*SIN(RADIANS('13_시나리오비교'!$B$13))*COS(RADIANS('13_시나리오비교'!$C$13))+$I491*COS(RADIANS('13_시나리오비교'!$B$13))),0)</f>
        <v/>
      </c>
      <c r="Y491" s="80">
        <f>IF($I491&gt;0,MAX(0,$G491*SIN(RADIANS('13_시나리오비교'!$B$14))*SIN(RADIANS('13_시나리오비교'!$C$14))+$H491*SIN(RADIANS('13_시나리오비교'!$B$14))*COS(RADIANS('13_시나리오비교'!$C$14))+$I491*COS(RADIANS('13_시나리오비교'!$B$14))),0)</f>
        <v/>
      </c>
    </row>
    <row r="492" hidden="1" outlineLevel="1">
      <c r="A492" s="79" t="n">
        <v>5</v>
      </c>
      <c r="B492" s="79" t="n">
        <v>88</v>
      </c>
      <c r="C492" s="80">
        <f>(B492-0.5)*'14_지역·상수'!$H$6</f>
        <v/>
      </c>
      <c r="D492" s="79" t="n">
        <v>135</v>
      </c>
      <c r="E492" s="80">
        <f>INDEX($C$4:$C$15,MATCH(A492,$A$4:$A$15,0))</f>
        <v/>
      </c>
      <c r="F492" s="80">
        <f>15*(C492-12)</f>
        <v/>
      </c>
      <c r="G492" s="80">
        <f>-COS(RADIANS(E492))*SIN(RADIANS(F492))</f>
        <v/>
      </c>
      <c r="H492" s="80">
        <f>COS(RADIANS('11_발전량_모델'!$B$17))*SIN(RADIANS(E492))-SIN(RADIANS('11_발전량_모델'!$B$17))*COS(RADIANS(E492))*COS(RADIANS(F492))</f>
        <v/>
      </c>
      <c r="I492" s="80">
        <f>SIN(RADIANS('11_발전량_모델'!$B$17))*SIN(RADIANS(E492))+COS(RADIANS('11_발전량_모델'!$B$17))*COS(RADIANS(E492))*COS(RADIANS(F492))</f>
        <v/>
      </c>
      <c r="J492" s="80">
        <f>SIN(RADIANS('11_발전량_모델'!$B$7))*SIN(RADIANS('11_발전량_모델'!$B$8))</f>
        <v/>
      </c>
      <c r="K492" s="80">
        <f>SIN(RADIANS('11_발전량_모델'!$B$7))*COS(RADIANS('11_발전량_모델'!$B$8))</f>
        <v/>
      </c>
      <c r="L492" s="80">
        <f>COS(RADIANS('11_발전량_모델'!$B$7))</f>
        <v/>
      </c>
      <c r="M492" s="80">
        <f>G492*J492+H492*K492+I492*L492</f>
        <v/>
      </c>
      <c r="N492" s="80">
        <f>MAX(0,I492)</f>
        <v/>
      </c>
      <c r="O492" s="80">
        <f>IF(I492&gt;0,MAX(0,M492),0)</f>
        <v/>
      </c>
      <c r="P492" s="80">
        <f>IF($I492&gt;0,MAX(0,$G492*SIN(RADIANS('13_시나리오비교'!$B$5))*SIN(RADIANS('13_시나리오비교'!$C$5))+$H492*SIN(RADIANS('13_시나리오비교'!$B$5))*COS(RADIANS('13_시나리오비교'!$C$5))+$I492*COS(RADIANS('13_시나리오비교'!$B$5))),0)</f>
        <v/>
      </c>
      <c r="Q492" s="80">
        <f>IF($I492&gt;0,MAX(0,$G492*SIN(RADIANS('13_시나리오비교'!$B$6))*SIN(RADIANS('13_시나리오비교'!$C$6))+$H492*SIN(RADIANS('13_시나리오비교'!$B$6))*COS(RADIANS('13_시나리오비교'!$C$6))+$I492*COS(RADIANS('13_시나리오비교'!$B$6))),0)</f>
        <v/>
      </c>
      <c r="R492" s="80">
        <f>IF($I492&gt;0,MAX(0,$G492*SIN(RADIANS('13_시나리오비교'!$B$7))*SIN(RADIANS('13_시나리오비교'!$C$7))+$H492*SIN(RADIANS('13_시나리오비교'!$B$7))*COS(RADIANS('13_시나리오비교'!$C$7))+$I492*COS(RADIANS('13_시나리오비교'!$B$7))),0)</f>
        <v/>
      </c>
      <c r="S492" s="80">
        <f>IF($I492&gt;0,MAX(0,$G492*SIN(RADIANS('13_시나리오비교'!$B$8))*SIN(RADIANS('13_시나리오비교'!$C$8))+$H492*SIN(RADIANS('13_시나리오비교'!$B$8))*COS(RADIANS('13_시나리오비교'!$C$8))+$I492*COS(RADIANS('13_시나리오비교'!$B$8))),0)</f>
        <v/>
      </c>
      <c r="T492" s="80">
        <f>IF($I492&gt;0,MAX(0,$G492*SIN(RADIANS('13_시나리오비교'!$B$9))*SIN(RADIANS('13_시나리오비교'!$C$9))+$H492*SIN(RADIANS('13_시나리오비교'!$B$9))*COS(RADIANS('13_시나리오비교'!$C$9))+$I492*COS(RADIANS('13_시나리오비교'!$B$9))),0)</f>
        <v/>
      </c>
      <c r="U492" s="80">
        <f>IF($I492&gt;0,MAX(0,$G492*SIN(RADIANS('13_시나리오비교'!$B$10))*SIN(RADIANS('13_시나리오비교'!$C$10))+$H492*SIN(RADIANS('13_시나리오비교'!$B$10))*COS(RADIANS('13_시나리오비교'!$C$10))+$I492*COS(RADIANS('13_시나리오비교'!$B$10))),0)</f>
        <v/>
      </c>
      <c r="V492" s="80">
        <f>IF($I492&gt;0,MAX(0,$G492*SIN(RADIANS('13_시나리오비교'!$B$11))*SIN(RADIANS('13_시나리오비교'!$C$11))+$H492*SIN(RADIANS('13_시나리오비교'!$B$11))*COS(RADIANS('13_시나리오비교'!$C$11))+$I492*COS(RADIANS('13_시나리오비교'!$B$11))),0)</f>
        <v/>
      </c>
      <c r="W492" s="80">
        <f>IF($I492&gt;0,MAX(0,$G492*SIN(RADIANS('13_시나리오비교'!$B$12))*SIN(RADIANS('13_시나리오비교'!$C$12))+$H492*SIN(RADIANS('13_시나리오비교'!$B$12))*COS(RADIANS('13_시나리오비교'!$C$12))+$I492*COS(RADIANS('13_시나리오비교'!$B$12))),0)</f>
        <v/>
      </c>
      <c r="X492" s="80">
        <f>IF($I492&gt;0,MAX(0,$G492*SIN(RADIANS('13_시나리오비교'!$B$13))*SIN(RADIANS('13_시나리오비교'!$C$13))+$H492*SIN(RADIANS('13_시나리오비교'!$B$13))*COS(RADIANS('13_시나리오비교'!$C$13))+$I492*COS(RADIANS('13_시나리오비교'!$B$13))),0)</f>
        <v/>
      </c>
      <c r="Y492" s="80">
        <f>IF($I492&gt;0,MAX(0,$G492*SIN(RADIANS('13_시나리오비교'!$B$14))*SIN(RADIANS('13_시나리오비교'!$C$14))+$H492*SIN(RADIANS('13_시나리오비교'!$B$14))*COS(RADIANS('13_시나리오비교'!$C$14))+$I492*COS(RADIANS('13_시나리오비교'!$B$14))),0)</f>
        <v/>
      </c>
    </row>
    <row r="493" hidden="1" outlineLevel="1">
      <c r="A493" s="79" t="n">
        <v>5</v>
      </c>
      <c r="B493" s="79" t="n">
        <v>89</v>
      </c>
      <c r="C493" s="80">
        <f>(B493-0.5)*'14_지역·상수'!$H$6</f>
        <v/>
      </c>
      <c r="D493" s="79" t="n">
        <v>135</v>
      </c>
      <c r="E493" s="80">
        <f>INDEX($C$4:$C$15,MATCH(A493,$A$4:$A$15,0))</f>
        <v/>
      </c>
      <c r="F493" s="80">
        <f>15*(C493-12)</f>
        <v/>
      </c>
      <c r="G493" s="80">
        <f>-COS(RADIANS(E493))*SIN(RADIANS(F493))</f>
        <v/>
      </c>
      <c r="H493" s="80">
        <f>COS(RADIANS('11_발전량_모델'!$B$17))*SIN(RADIANS(E493))-SIN(RADIANS('11_발전량_모델'!$B$17))*COS(RADIANS(E493))*COS(RADIANS(F493))</f>
        <v/>
      </c>
      <c r="I493" s="80">
        <f>SIN(RADIANS('11_발전량_모델'!$B$17))*SIN(RADIANS(E493))+COS(RADIANS('11_발전량_모델'!$B$17))*COS(RADIANS(E493))*COS(RADIANS(F493))</f>
        <v/>
      </c>
      <c r="J493" s="80">
        <f>SIN(RADIANS('11_발전량_모델'!$B$7))*SIN(RADIANS('11_발전량_모델'!$B$8))</f>
        <v/>
      </c>
      <c r="K493" s="80">
        <f>SIN(RADIANS('11_발전량_모델'!$B$7))*COS(RADIANS('11_발전량_모델'!$B$8))</f>
        <v/>
      </c>
      <c r="L493" s="80">
        <f>COS(RADIANS('11_발전량_모델'!$B$7))</f>
        <v/>
      </c>
      <c r="M493" s="80">
        <f>G493*J493+H493*K493+I493*L493</f>
        <v/>
      </c>
      <c r="N493" s="80">
        <f>MAX(0,I493)</f>
        <v/>
      </c>
      <c r="O493" s="80">
        <f>IF(I493&gt;0,MAX(0,M493),0)</f>
        <v/>
      </c>
      <c r="P493" s="80">
        <f>IF($I493&gt;0,MAX(0,$G493*SIN(RADIANS('13_시나리오비교'!$B$5))*SIN(RADIANS('13_시나리오비교'!$C$5))+$H493*SIN(RADIANS('13_시나리오비교'!$B$5))*COS(RADIANS('13_시나리오비교'!$C$5))+$I493*COS(RADIANS('13_시나리오비교'!$B$5))),0)</f>
        <v/>
      </c>
      <c r="Q493" s="80">
        <f>IF($I493&gt;0,MAX(0,$G493*SIN(RADIANS('13_시나리오비교'!$B$6))*SIN(RADIANS('13_시나리오비교'!$C$6))+$H493*SIN(RADIANS('13_시나리오비교'!$B$6))*COS(RADIANS('13_시나리오비교'!$C$6))+$I493*COS(RADIANS('13_시나리오비교'!$B$6))),0)</f>
        <v/>
      </c>
      <c r="R493" s="80">
        <f>IF($I493&gt;0,MAX(0,$G493*SIN(RADIANS('13_시나리오비교'!$B$7))*SIN(RADIANS('13_시나리오비교'!$C$7))+$H493*SIN(RADIANS('13_시나리오비교'!$B$7))*COS(RADIANS('13_시나리오비교'!$C$7))+$I493*COS(RADIANS('13_시나리오비교'!$B$7))),0)</f>
        <v/>
      </c>
      <c r="S493" s="80">
        <f>IF($I493&gt;0,MAX(0,$G493*SIN(RADIANS('13_시나리오비교'!$B$8))*SIN(RADIANS('13_시나리오비교'!$C$8))+$H493*SIN(RADIANS('13_시나리오비교'!$B$8))*COS(RADIANS('13_시나리오비교'!$C$8))+$I493*COS(RADIANS('13_시나리오비교'!$B$8))),0)</f>
        <v/>
      </c>
      <c r="T493" s="80">
        <f>IF($I493&gt;0,MAX(0,$G493*SIN(RADIANS('13_시나리오비교'!$B$9))*SIN(RADIANS('13_시나리오비교'!$C$9))+$H493*SIN(RADIANS('13_시나리오비교'!$B$9))*COS(RADIANS('13_시나리오비교'!$C$9))+$I493*COS(RADIANS('13_시나리오비교'!$B$9))),0)</f>
        <v/>
      </c>
      <c r="U493" s="80">
        <f>IF($I493&gt;0,MAX(0,$G493*SIN(RADIANS('13_시나리오비교'!$B$10))*SIN(RADIANS('13_시나리오비교'!$C$10))+$H493*SIN(RADIANS('13_시나리오비교'!$B$10))*COS(RADIANS('13_시나리오비교'!$C$10))+$I493*COS(RADIANS('13_시나리오비교'!$B$10))),0)</f>
        <v/>
      </c>
      <c r="V493" s="80">
        <f>IF($I493&gt;0,MAX(0,$G493*SIN(RADIANS('13_시나리오비교'!$B$11))*SIN(RADIANS('13_시나리오비교'!$C$11))+$H493*SIN(RADIANS('13_시나리오비교'!$B$11))*COS(RADIANS('13_시나리오비교'!$C$11))+$I493*COS(RADIANS('13_시나리오비교'!$B$11))),0)</f>
        <v/>
      </c>
      <c r="W493" s="80">
        <f>IF($I493&gt;0,MAX(0,$G493*SIN(RADIANS('13_시나리오비교'!$B$12))*SIN(RADIANS('13_시나리오비교'!$C$12))+$H493*SIN(RADIANS('13_시나리오비교'!$B$12))*COS(RADIANS('13_시나리오비교'!$C$12))+$I493*COS(RADIANS('13_시나리오비교'!$B$12))),0)</f>
        <v/>
      </c>
      <c r="X493" s="80">
        <f>IF($I493&gt;0,MAX(0,$G493*SIN(RADIANS('13_시나리오비교'!$B$13))*SIN(RADIANS('13_시나리오비교'!$C$13))+$H493*SIN(RADIANS('13_시나리오비교'!$B$13))*COS(RADIANS('13_시나리오비교'!$C$13))+$I493*COS(RADIANS('13_시나리오비교'!$B$13))),0)</f>
        <v/>
      </c>
      <c r="Y493" s="80">
        <f>IF($I493&gt;0,MAX(0,$G493*SIN(RADIANS('13_시나리오비교'!$B$14))*SIN(RADIANS('13_시나리오비교'!$C$14))+$H493*SIN(RADIANS('13_시나리오비교'!$B$14))*COS(RADIANS('13_시나리오비교'!$C$14))+$I493*COS(RADIANS('13_시나리오비교'!$B$14))),0)</f>
        <v/>
      </c>
    </row>
    <row r="494" hidden="1" outlineLevel="1">
      <c r="A494" s="79" t="n">
        <v>5</v>
      </c>
      <c r="B494" s="79" t="n">
        <v>90</v>
      </c>
      <c r="C494" s="80">
        <f>(B494-0.5)*'14_지역·상수'!$H$6</f>
        <v/>
      </c>
      <c r="D494" s="79" t="n">
        <v>135</v>
      </c>
      <c r="E494" s="80">
        <f>INDEX($C$4:$C$15,MATCH(A494,$A$4:$A$15,0))</f>
        <v/>
      </c>
      <c r="F494" s="80">
        <f>15*(C494-12)</f>
        <v/>
      </c>
      <c r="G494" s="80">
        <f>-COS(RADIANS(E494))*SIN(RADIANS(F494))</f>
        <v/>
      </c>
      <c r="H494" s="80">
        <f>COS(RADIANS('11_발전량_모델'!$B$17))*SIN(RADIANS(E494))-SIN(RADIANS('11_발전량_모델'!$B$17))*COS(RADIANS(E494))*COS(RADIANS(F494))</f>
        <v/>
      </c>
      <c r="I494" s="80">
        <f>SIN(RADIANS('11_발전량_모델'!$B$17))*SIN(RADIANS(E494))+COS(RADIANS('11_발전량_모델'!$B$17))*COS(RADIANS(E494))*COS(RADIANS(F494))</f>
        <v/>
      </c>
      <c r="J494" s="80">
        <f>SIN(RADIANS('11_발전량_모델'!$B$7))*SIN(RADIANS('11_발전량_모델'!$B$8))</f>
        <v/>
      </c>
      <c r="K494" s="80">
        <f>SIN(RADIANS('11_발전량_모델'!$B$7))*COS(RADIANS('11_발전량_모델'!$B$8))</f>
        <v/>
      </c>
      <c r="L494" s="80">
        <f>COS(RADIANS('11_발전량_모델'!$B$7))</f>
        <v/>
      </c>
      <c r="M494" s="80">
        <f>G494*J494+H494*K494+I494*L494</f>
        <v/>
      </c>
      <c r="N494" s="80">
        <f>MAX(0,I494)</f>
        <v/>
      </c>
      <c r="O494" s="80">
        <f>IF(I494&gt;0,MAX(0,M494),0)</f>
        <v/>
      </c>
      <c r="P494" s="80">
        <f>IF($I494&gt;0,MAX(0,$G494*SIN(RADIANS('13_시나리오비교'!$B$5))*SIN(RADIANS('13_시나리오비교'!$C$5))+$H494*SIN(RADIANS('13_시나리오비교'!$B$5))*COS(RADIANS('13_시나리오비교'!$C$5))+$I494*COS(RADIANS('13_시나리오비교'!$B$5))),0)</f>
        <v/>
      </c>
      <c r="Q494" s="80">
        <f>IF($I494&gt;0,MAX(0,$G494*SIN(RADIANS('13_시나리오비교'!$B$6))*SIN(RADIANS('13_시나리오비교'!$C$6))+$H494*SIN(RADIANS('13_시나리오비교'!$B$6))*COS(RADIANS('13_시나리오비교'!$C$6))+$I494*COS(RADIANS('13_시나리오비교'!$B$6))),0)</f>
        <v/>
      </c>
      <c r="R494" s="80">
        <f>IF($I494&gt;0,MAX(0,$G494*SIN(RADIANS('13_시나리오비교'!$B$7))*SIN(RADIANS('13_시나리오비교'!$C$7))+$H494*SIN(RADIANS('13_시나리오비교'!$B$7))*COS(RADIANS('13_시나리오비교'!$C$7))+$I494*COS(RADIANS('13_시나리오비교'!$B$7))),0)</f>
        <v/>
      </c>
      <c r="S494" s="80">
        <f>IF($I494&gt;0,MAX(0,$G494*SIN(RADIANS('13_시나리오비교'!$B$8))*SIN(RADIANS('13_시나리오비교'!$C$8))+$H494*SIN(RADIANS('13_시나리오비교'!$B$8))*COS(RADIANS('13_시나리오비교'!$C$8))+$I494*COS(RADIANS('13_시나리오비교'!$B$8))),0)</f>
        <v/>
      </c>
      <c r="T494" s="80">
        <f>IF($I494&gt;0,MAX(0,$G494*SIN(RADIANS('13_시나리오비교'!$B$9))*SIN(RADIANS('13_시나리오비교'!$C$9))+$H494*SIN(RADIANS('13_시나리오비교'!$B$9))*COS(RADIANS('13_시나리오비교'!$C$9))+$I494*COS(RADIANS('13_시나리오비교'!$B$9))),0)</f>
        <v/>
      </c>
      <c r="U494" s="80">
        <f>IF($I494&gt;0,MAX(0,$G494*SIN(RADIANS('13_시나리오비교'!$B$10))*SIN(RADIANS('13_시나리오비교'!$C$10))+$H494*SIN(RADIANS('13_시나리오비교'!$B$10))*COS(RADIANS('13_시나리오비교'!$C$10))+$I494*COS(RADIANS('13_시나리오비교'!$B$10))),0)</f>
        <v/>
      </c>
      <c r="V494" s="80">
        <f>IF($I494&gt;0,MAX(0,$G494*SIN(RADIANS('13_시나리오비교'!$B$11))*SIN(RADIANS('13_시나리오비교'!$C$11))+$H494*SIN(RADIANS('13_시나리오비교'!$B$11))*COS(RADIANS('13_시나리오비교'!$C$11))+$I494*COS(RADIANS('13_시나리오비교'!$B$11))),0)</f>
        <v/>
      </c>
      <c r="W494" s="80">
        <f>IF($I494&gt;0,MAX(0,$G494*SIN(RADIANS('13_시나리오비교'!$B$12))*SIN(RADIANS('13_시나리오비교'!$C$12))+$H494*SIN(RADIANS('13_시나리오비교'!$B$12))*COS(RADIANS('13_시나리오비교'!$C$12))+$I494*COS(RADIANS('13_시나리오비교'!$B$12))),0)</f>
        <v/>
      </c>
      <c r="X494" s="80">
        <f>IF($I494&gt;0,MAX(0,$G494*SIN(RADIANS('13_시나리오비교'!$B$13))*SIN(RADIANS('13_시나리오비교'!$C$13))+$H494*SIN(RADIANS('13_시나리오비교'!$B$13))*COS(RADIANS('13_시나리오비교'!$C$13))+$I494*COS(RADIANS('13_시나리오비교'!$B$13))),0)</f>
        <v/>
      </c>
      <c r="Y494" s="80">
        <f>IF($I494&gt;0,MAX(0,$G494*SIN(RADIANS('13_시나리오비교'!$B$14))*SIN(RADIANS('13_시나리오비교'!$C$14))+$H494*SIN(RADIANS('13_시나리오비교'!$B$14))*COS(RADIANS('13_시나리오비교'!$C$14))+$I494*COS(RADIANS('13_시나리오비교'!$B$14))),0)</f>
        <v/>
      </c>
    </row>
    <row r="495" hidden="1" outlineLevel="1">
      <c r="A495" s="79" t="n">
        <v>5</v>
      </c>
      <c r="B495" s="79" t="n">
        <v>91</v>
      </c>
      <c r="C495" s="80">
        <f>(B495-0.5)*'14_지역·상수'!$H$6</f>
        <v/>
      </c>
      <c r="D495" s="79" t="n">
        <v>135</v>
      </c>
      <c r="E495" s="80">
        <f>INDEX($C$4:$C$15,MATCH(A495,$A$4:$A$15,0))</f>
        <v/>
      </c>
      <c r="F495" s="80">
        <f>15*(C495-12)</f>
        <v/>
      </c>
      <c r="G495" s="80">
        <f>-COS(RADIANS(E495))*SIN(RADIANS(F495))</f>
        <v/>
      </c>
      <c r="H495" s="80">
        <f>COS(RADIANS('11_발전량_모델'!$B$17))*SIN(RADIANS(E495))-SIN(RADIANS('11_발전량_모델'!$B$17))*COS(RADIANS(E495))*COS(RADIANS(F495))</f>
        <v/>
      </c>
      <c r="I495" s="80">
        <f>SIN(RADIANS('11_발전량_모델'!$B$17))*SIN(RADIANS(E495))+COS(RADIANS('11_발전량_모델'!$B$17))*COS(RADIANS(E495))*COS(RADIANS(F495))</f>
        <v/>
      </c>
      <c r="J495" s="80">
        <f>SIN(RADIANS('11_발전량_모델'!$B$7))*SIN(RADIANS('11_발전량_모델'!$B$8))</f>
        <v/>
      </c>
      <c r="K495" s="80">
        <f>SIN(RADIANS('11_발전량_모델'!$B$7))*COS(RADIANS('11_발전량_모델'!$B$8))</f>
        <v/>
      </c>
      <c r="L495" s="80">
        <f>COS(RADIANS('11_발전량_모델'!$B$7))</f>
        <v/>
      </c>
      <c r="M495" s="80">
        <f>G495*J495+H495*K495+I495*L495</f>
        <v/>
      </c>
      <c r="N495" s="80">
        <f>MAX(0,I495)</f>
        <v/>
      </c>
      <c r="O495" s="80">
        <f>IF(I495&gt;0,MAX(0,M495),0)</f>
        <v/>
      </c>
      <c r="P495" s="80">
        <f>IF($I495&gt;0,MAX(0,$G495*SIN(RADIANS('13_시나리오비교'!$B$5))*SIN(RADIANS('13_시나리오비교'!$C$5))+$H495*SIN(RADIANS('13_시나리오비교'!$B$5))*COS(RADIANS('13_시나리오비교'!$C$5))+$I495*COS(RADIANS('13_시나리오비교'!$B$5))),0)</f>
        <v/>
      </c>
      <c r="Q495" s="80">
        <f>IF($I495&gt;0,MAX(0,$G495*SIN(RADIANS('13_시나리오비교'!$B$6))*SIN(RADIANS('13_시나리오비교'!$C$6))+$H495*SIN(RADIANS('13_시나리오비교'!$B$6))*COS(RADIANS('13_시나리오비교'!$C$6))+$I495*COS(RADIANS('13_시나리오비교'!$B$6))),0)</f>
        <v/>
      </c>
      <c r="R495" s="80">
        <f>IF($I495&gt;0,MAX(0,$G495*SIN(RADIANS('13_시나리오비교'!$B$7))*SIN(RADIANS('13_시나리오비교'!$C$7))+$H495*SIN(RADIANS('13_시나리오비교'!$B$7))*COS(RADIANS('13_시나리오비교'!$C$7))+$I495*COS(RADIANS('13_시나리오비교'!$B$7))),0)</f>
        <v/>
      </c>
      <c r="S495" s="80">
        <f>IF($I495&gt;0,MAX(0,$G495*SIN(RADIANS('13_시나리오비교'!$B$8))*SIN(RADIANS('13_시나리오비교'!$C$8))+$H495*SIN(RADIANS('13_시나리오비교'!$B$8))*COS(RADIANS('13_시나리오비교'!$C$8))+$I495*COS(RADIANS('13_시나리오비교'!$B$8))),0)</f>
        <v/>
      </c>
      <c r="T495" s="80">
        <f>IF($I495&gt;0,MAX(0,$G495*SIN(RADIANS('13_시나리오비교'!$B$9))*SIN(RADIANS('13_시나리오비교'!$C$9))+$H495*SIN(RADIANS('13_시나리오비교'!$B$9))*COS(RADIANS('13_시나리오비교'!$C$9))+$I495*COS(RADIANS('13_시나리오비교'!$B$9))),0)</f>
        <v/>
      </c>
      <c r="U495" s="80">
        <f>IF($I495&gt;0,MAX(0,$G495*SIN(RADIANS('13_시나리오비교'!$B$10))*SIN(RADIANS('13_시나리오비교'!$C$10))+$H495*SIN(RADIANS('13_시나리오비교'!$B$10))*COS(RADIANS('13_시나리오비교'!$C$10))+$I495*COS(RADIANS('13_시나리오비교'!$B$10))),0)</f>
        <v/>
      </c>
      <c r="V495" s="80">
        <f>IF($I495&gt;0,MAX(0,$G495*SIN(RADIANS('13_시나리오비교'!$B$11))*SIN(RADIANS('13_시나리오비교'!$C$11))+$H495*SIN(RADIANS('13_시나리오비교'!$B$11))*COS(RADIANS('13_시나리오비교'!$C$11))+$I495*COS(RADIANS('13_시나리오비교'!$B$11))),0)</f>
        <v/>
      </c>
      <c r="W495" s="80">
        <f>IF($I495&gt;0,MAX(0,$G495*SIN(RADIANS('13_시나리오비교'!$B$12))*SIN(RADIANS('13_시나리오비교'!$C$12))+$H495*SIN(RADIANS('13_시나리오비교'!$B$12))*COS(RADIANS('13_시나리오비교'!$C$12))+$I495*COS(RADIANS('13_시나리오비교'!$B$12))),0)</f>
        <v/>
      </c>
      <c r="X495" s="80">
        <f>IF($I495&gt;0,MAX(0,$G495*SIN(RADIANS('13_시나리오비교'!$B$13))*SIN(RADIANS('13_시나리오비교'!$C$13))+$H495*SIN(RADIANS('13_시나리오비교'!$B$13))*COS(RADIANS('13_시나리오비교'!$C$13))+$I495*COS(RADIANS('13_시나리오비교'!$B$13))),0)</f>
        <v/>
      </c>
      <c r="Y495" s="80">
        <f>IF($I495&gt;0,MAX(0,$G495*SIN(RADIANS('13_시나리오비교'!$B$14))*SIN(RADIANS('13_시나리오비교'!$C$14))+$H495*SIN(RADIANS('13_시나리오비교'!$B$14))*COS(RADIANS('13_시나리오비교'!$C$14))+$I495*COS(RADIANS('13_시나리오비교'!$B$14))),0)</f>
        <v/>
      </c>
    </row>
    <row r="496" hidden="1" outlineLevel="1">
      <c r="A496" s="79" t="n">
        <v>5</v>
      </c>
      <c r="B496" s="79" t="n">
        <v>92</v>
      </c>
      <c r="C496" s="80">
        <f>(B496-0.5)*'14_지역·상수'!$H$6</f>
        <v/>
      </c>
      <c r="D496" s="79" t="n">
        <v>135</v>
      </c>
      <c r="E496" s="80">
        <f>INDEX($C$4:$C$15,MATCH(A496,$A$4:$A$15,0))</f>
        <v/>
      </c>
      <c r="F496" s="80">
        <f>15*(C496-12)</f>
        <v/>
      </c>
      <c r="G496" s="80">
        <f>-COS(RADIANS(E496))*SIN(RADIANS(F496))</f>
        <v/>
      </c>
      <c r="H496" s="80">
        <f>COS(RADIANS('11_발전량_모델'!$B$17))*SIN(RADIANS(E496))-SIN(RADIANS('11_발전량_모델'!$B$17))*COS(RADIANS(E496))*COS(RADIANS(F496))</f>
        <v/>
      </c>
      <c r="I496" s="80">
        <f>SIN(RADIANS('11_발전량_모델'!$B$17))*SIN(RADIANS(E496))+COS(RADIANS('11_발전량_모델'!$B$17))*COS(RADIANS(E496))*COS(RADIANS(F496))</f>
        <v/>
      </c>
      <c r="J496" s="80">
        <f>SIN(RADIANS('11_발전량_모델'!$B$7))*SIN(RADIANS('11_발전량_모델'!$B$8))</f>
        <v/>
      </c>
      <c r="K496" s="80">
        <f>SIN(RADIANS('11_발전량_모델'!$B$7))*COS(RADIANS('11_발전량_모델'!$B$8))</f>
        <v/>
      </c>
      <c r="L496" s="80">
        <f>COS(RADIANS('11_발전량_모델'!$B$7))</f>
        <v/>
      </c>
      <c r="M496" s="80">
        <f>G496*J496+H496*K496+I496*L496</f>
        <v/>
      </c>
      <c r="N496" s="80">
        <f>MAX(0,I496)</f>
        <v/>
      </c>
      <c r="O496" s="80">
        <f>IF(I496&gt;0,MAX(0,M496),0)</f>
        <v/>
      </c>
      <c r="P496" s="80">
        <f>IF($I496&gt;0,MAX(0,$G496*SIN(RADIANS('13_시나리오비교'!$B$5))*SIN(RADIANS('13_시나리오비교'!$C$5))+$H496*SIN(RADIANS('13_시나리오비교'!$B$5))*COS(RADIANS('13_시나리오비교'!$C$5))+$I496*COS(RADIANS('13_시나리오비교'!$B$5))),0)</f>
        <v/>
      </c>
      <c r="Q496" s="80">
        <f>IF($I496&gt;0,MAX(0,$G496*SIN(RADIANS('13_시나리오비교'!$B$6))*SIN(RADIANS('13_시나리오비교'!$C$6))+$H496*SIN(RADIANS('13_시나리오비교'!$B$6))*COS(RADIANS('13_시나리오비교'!$C$6))+$I496*COS(RADIANS('13_시나리오비교'!$B$6))),0)</f>
        <v/>
      </c>
      <c r="R496" s="80">
        <f>IF($I496&gt;0,MAX(0,$G496*SIN(RADIANS('13_시나리오비교'!$B$7))*SIN(RADIANS('13_시나리오비교'!$C$7))+$H496*SIN(RADIANS('13_시나리오비교'!$B$7))*COS(RADIANS('13_시나리오비교'!$C$7))+$I496*COS(RADIANS('13_시나리오비교'!$B$7))),0)</f>
        <v/>
      </c>
      <c r="S496" s="80">
        <f>IF($I496&gt;0,MAX(0,$G496*SIN(RADIANS('13_시나리오비교'!$B$8))*SIN(RADIANS('13_시나리오비교'!$C$8))+$H496*SIN(RADIANS('13_시나리오비교'!$B$8))*COS(RADIANS('13_시나리오비교'!$C$8))+$I496*COS(RADIANS('13_시나리오비교'!$B$8))),0)</f>
        <v/>
      </c>
      <c r="T496" s="80">
        <f>IF($I496&gt;0,MAX(0,$G496*SIN(RADIANS('13_시나리오비교'!$B$9))*SIN(RADIANS('13_시나리오비교'!$C$9))+$H496*SIN(RADIANS('13_시나리오비교'!$B$9))*COS(RADIANS('13_시나리오비교'!$C$9))+$I496*COS(RADIANS('13_시나리오비교'!$B$9))),0)</f>
        <v/>
      </c>
      <c r="U496" s="80">
        <f>IF($I496&gt;0,MAX(0,$G496*SIN(RADIANS('13_시나리오비교'!$B$10))*SIN(RADIANS('13_시나리오비교'!$C$10))+$H496*SIN(RADIANS('13_시나리오비교'!$B$10))*COS(RADIANS('13_시나리오비교'!$C$10))+$I496*COS(RADIANS('13_시나리오비교'!$B$10))),0)</f>
        <v/>
      </c>
      <c r="V496" s="80">
        <f>IF($I496&gt;0,MAX(0,$G496*SIN(RADIANS('13_시나리오비교'!$B$11))*SIN(RADIANS('13_시나리오비교'!$C$11))+$H496*SIN(RADIANS('13_시나리오비교'!$B$11))*COS(RADIANS('13_시나리오비교'!$C$11))+$I496*COS(RADIANS('13_시나리오비교'!$B$11))),0)</f>
        <v/>
      </c>
      <c r="W496" s="80">
        <f>IF($I496&gt;0,MAX(0,$G496*SIN(RADIANS('13_시나리오비교'!$B$12))*SIN(RADIANS('13_시나리오비교'!$C$12))+$H496*SIN(RADIANS('13_시나리오비교'!$B$12))*COS(RADIANS('13_시나리오비교'!$C$12))+$I496*COS(RADIANS('13_시나리오비교'!$B$12))),0)</f>
        <v/>
      </c>
      <c r="X496" s="80">
        <f>IF($I496&gt;0,MAX(0,$G496*SIN(RADIANS('13_시나리오비교'!$B$13))*SIN(RADIANS('13_시나리오비교'!$C$13))+$H496*SIN(RADIANS('13_시나리오비교'!$B$13))*COS(RADIANS('13_시나리오비교'!$C$13))+$I496*COS(RADIANS('13_시나리오비교'!$B$13))),0)</f>
        <v/>
      </c>
      <c r="Y496" s="80">
        <f>IF($I496&gt;0,MAX(0,$G496*SIN(RADIANS('13_시나리오비교'!$B$14))*SIN(RADIANS('13_시나리오비교'!$C$14))+$H496*SIN(RADIANS('13_시나리오비교'!$B$14))*COS(RADIANS('13_시나리오비교'!$C$14))+$I496*COS(RADIANS('13_시나리오비교'!$B$14))),0)</f>
        <v/>
      </c>
    </row>
    <row r="497" hidden="1" outlineLevel="1">
      <c r="A497" s="79" t="n">
        <v>5</v>
      </c>
      <c r="B497" s="79" t="n">
        <v>93</v>
      </c>
      <c r="C497" s="80">
        <f>(B497-0.5)*'14_지역·상수'!$H$6</f>
        <v/>
      </c>
      <c r="D497" s="79" t="n">
        <v>135</v>
      </c>
      <c r="E497" s="80">
        <f>INDEX($C$4:$C$15,MATCH(A497,$A$4:$A$15,0))</f>
        <v/>
      </c>
      <c r="F497" s="80">
        <f>15*(C497-12)</f>
        <v/>
      </c>
      <c r="G497" s="80">
        <f>-COS(RADIANS(E497))*SIN(RADIANS(F497))</f>
        <v/>
      </c>
      <c r="H497" s="80">
        <f>COS(RADIANS('11_발전량_모델'!$B$17))*SIN(RADIANS(E497))-SIN(RADIANS('11_발전량_모델'!$B$17))*COS(RADIANS(E497))*COS(RADIANS(F497))</f>
        <v/>
      </c>
      <c r="I497" s="80">
        <f>SIN(RADIANS('11_발전량_모델'!$B$17))*SIN(RADIANS(E497))+COS(RADIANS('11_발전량_모델'!$B$17))*COS(RADIANS(E497))*COS(RADIANS(F497))</f>
        <v/>
      </c>
      <c r="J497" s="80">
        <f>SIN(RADIANS('11_발전량_모델'!$B$7))*SIN(RADIANS('11_발전량_모델'!$B$8))</f>
        <v/>
      </c>
      <c r="K497" s="80">
        <f>SIN(RADIANS('11_발전량_모델'!$B$7))*COS(RADIANS('11_발전량_모델'!$B$8))</f>
        <v/>
      </c>
      <c r="L497" s="80">
        <f>COS(RADIANS('11_발전량_모델'!$B$7))</f>
        <v/>
      </c>
      <c r="M497" s="80">
        <f>G497*J497+H497*K497+I497*L497</f>
        <v/>
      </c>
      <c r="N497" s="80">
        <f>MAX(0,I497)</f>
        <v/>
      </c>
      <c r="O497" s="80">
        <f>IF(I497&gt;0,MAX(0,M497),0)</f>
        <v/>
      </c>
      <c r="P497" s="80">
        <f>IF($I497&gt;0,MAX(0,$G497*SIN(RADIANS('13_시나리오비교'!$B$5))*SIN(RADIANS('13_시나리오비교'!$C$5))+$H497*SIN(RADIANS('13_시나리오비교'!$B$5))*COS(RADIANS('13_시나리오비교'!$C$5))+$I497*COS(RADIANS('13_시나리오비교'!$B$5))),0)</f>
        <v/>
      </c>
      <c r="Q497" s="80">
        <f>IF($I497&gt;0,MAX(0,$G497*SIN(RADIANS('13_시나리오비교'!$B$6))*SIN(RADIANS('13_시나리오비교'!$C$6))+$H497*SIN(RADIANS('13_시나리오비교'!$B$6))*COS(RADIANS('13_시나리오비교'!$C$6))+$I497*COS(RADIANS('13_시나리오비교'!$B$6))),0)</f>
        <v/>
      </c>
      <c r="R497" s="80">
        <f>IF($I497&gt;0,MAX(0,$G497*SIN(RADIANS('13_시나리오비교'!$B$7))*SIN(RADIANS('13_시나리오비교'!$C$7))+$H497*SIN(RADIANS('13_시나리오비교'!$B$7))*COS(RADIANS('13_시나리오비교'!$C$7))+$I497*COS(RADIANS('13_시나리오비교'!$B$7))),0)</f>
        <v/>
      </c>
      <c r="S497" s="80">
        <f>IF($I497&gt;0,MAX(0,$G497*SIN(RADIANS('13_시나리오비교'!$B$8))*SIN(RADIANS('13_시나리오비교'!$C$8))+$H497*SIN(RADIANS('13_시나리오비교'!$B$8))*COS(RADIANS('13_시나리오비교'!$C$8))+$I497*COS(RADIANS('13_시나리오비교'!$B$8))),0)</f>
        <v/>
      </c>
      <c r="T497" s="80">
        <f>IF($I497&gt;0,MAX(0,$G497*SIN(RADIANS('13_시나리오비교'!$B$9))*SIN(RADIANS('13_시나리오비교'!$C$9))+$H497*SIN(RADIANS('13_시나리오비교'!$B$9))*COS(RADIANS('13_시나리오비교'!$C$9))+$I497*COS(RADIANS('13_시나리오비교'!$B$9))),0)</f>
        <v/>
      </c>
      <c r="U497" s="80">
        <f>IF($I497&gt;0,MAX(0,$G497*SIN(RADIANS('13_시나리오비교'!$B$10))*SIN(RADIANS('13_시나리오비교'!$C$10))+$H497*SIN(RADIANS('13_시나리오비교'!$B$10))*COS(RADIANS('13_시나리오비교'!$C$10))+$I497*COS(RADIANS('13_시나리오비교'!$B$10))),0)</f>
        <v/>
      </c>
      <c r="V497" s="80">
        <f>IF($I497&gt;0,MAX(0,$G497*SIN(RADIANS('13_시나리오비교'!$B$11))*SIN(RADIANS('13_시나리오비교'!$C$11))+$H497*SIN(RADIANS('13_시나리오비교'!$B$11))*COS(RADIANS('13_시나리오비교'!$C$11))+$I497*COS(RADIANS('13_시나리오비교'!$B$11))),0)</f>
        <v/>
      </c>
      <c r="W497" s="80">
        <f>IF($I497&gt;0,MAX(0,$G497*SIN(RADIANS('13_시나리오비교'!$B$12))*SIN(RADIANS('13_시나리오비교'!$C$12))+$H497*SIN(RADIANS('13_시나리오비교'!$B$12))*COS(RADIANS('13_시나리오비교'!$C$12))+$I497*COS(RADIANS('13_시나리오비교'!$B$12))),0)</f>
        <v/>
      </c>
      <c r="X497" s="80">
        <f>IF($I497&gt;0,MAX(0,$G497*SIN(RADIANS('13_시나리오비교'!$B$13))*SIN(RADIANS('13_시나리오비교'!$C$13))+$H497*SIN(RADIANS('13_시나리오비교'!$B$13))*COS(RADIANS('13_시나리오비교'!$C$13))+$I497*COS(RADIANS('13_시나리오비교'!$B$13))),0)</f>
        <v/>
      </c>
      <c r="Y497" s="80">
        <f>IF($I497&gt;0,MAX(0,$G497*SIN(RADIANS('13_시나리오비교'!$B$14))*SIN(RADIANS('13_시나리오비교'!$C$14))+$H497*SIN(RADIANS('13_시나리오비교'!$B$14))*COS(RADIANS('13_시나리오비교'!$C$14))+$I497*COS(RADIANS('13_시나리오비교'!$B$14))),0)</f>
        <v/>
      </c>
    </row>
    <row r="498" hidden="1" outlineLevel="1">
      <c r="A498" s="79" t="n">
        <v>5</v>
      </c>
      <c r="B498" s="79" t="n">
        <v>94</v>
      </c>
      <c r="C498" s="80">
        <f>(B498-0.5)*'14_지역·상수'!$H$6</f>
        <v/>
      </c>
      <c r="D498" s="79" t="n">
        <v>135</v>
      </c>
      <c r="E498" s="80">
        <f>INDEX($C$4:$C$15,MATCH(A498,$A$4:$A$15,0))</f>
        <v/>
      </c>
      <c r="F498" s="80">
        <f>15*(C498-12)</f>
        <v/>
      </c>
      <c r="G498" s="80">
        <f>-COS(RADIANS(E498))*SIN(RADIANS(F498))</f>
        <v/>
      </c>
      <c r="H498" s="80">
        <f>COS(RADIANS('11_발전량_모델'!$B$17))*SIN(RADIANS(E498))-SIN(RADIANS('11_발전량_모델'!$B$17))*COS(RADIANS(E498))*COS(RADIANS(F498))</f>
        <v/>
      </c>
      <c r="I498" s="80">
        <f>SIN(RADIANS('11_발전량_모델'!$B$17))*SIN(RADIANS(E498))+COS(RADIANS('11_발전량_모델'!$B$17))*COS(RADIANS(E498))*COS(RADIANS(F498))</f>
        <v/>
      </c>
      <c r="J498" s="80">
        <f>SIN(RADIANS('11_발전량_모델'!$B$7))*SIN(RADIANS('11_발전량_모델'!$B$8))</f>
        <v/>
      </c>
      <c r="K498" s="80">
        <f>SIN(RADIANS('11_발전량_모델'!$B$7))*COS(RADIANS('11_발전량_모델'!$B$8))</f>
        <v/>
      </c>
      <c r="L498" s="80">
        <f>COS(RADIANS('11_발전량_모델'!$B$7))</f>
        <v/>
      </c>
      <c r="M498" s="80">
        <f>G498*J498+H498*K498+I498*L498</f>
        <v/>
      </c>
      <c r="N498" s="80">
        <f>MAX(0,I498)</f>
        <v/>
      </c>
      <c r="O498" s="80">
        <f>IF(I498&gt;0,MAX(0,M498),0)</f>
        <v/>
      </c>
      <c r="P498" s="80">
        <f>IF($I498&gt;0,MAX(0,$G498*SIN(RADIANS('13_시나리오비교'!$B$5))*SIN(RADIANS('13_시나리오비교'!$C$5))+$H498*SIN(RADIANS('13_시나리오비교'!$B$5))*COS(RADIANS('13_시나리오비교'!$C$5))+$I498*COS(RADIANS('13_시나리오비교'!$B$5))),0)</f>
        <v/>
      </c>
      <c r="Q498" s="80">
        <f>IF($I498&gt;0,MAX(0,$G498*SIN(RADIANS('13_시나리오비교'!$B$6))*SIN(RADIANS('13_시나리오비교'!$C$6))+$H498*SIN(RADIANS('13_시나리오비교'!$B$6))*COS(RADIANS('13_시나리오비교'!$C$6))+$I498*COS(RADIANS('13_시나리오비교'!$B$6))),0)</f>
        <v/>
      </c>
      <c r="R498" s="80">
        <f>IF($I498&gt;0,MAX(0,$G498*SIN(RADIANS('13_시나리오비교'!$B$7))*SIN(RADIANS('13_시나리오비교'!$C$7))+$H498*SIN(RADIANS('13_시나리오비교'!$B$7))*COS(RADIANS('13_시나리오비교'!$C$7))+$I498*COS(RADIANS('13_시나리오비교'!$B$7))),0)</f>
        <v/>
      </c>
      <c r="S498" s="80">
        <f>IF($I498&gt;0,MAX(0,$G498*SIN(RADIANS('13_시나리오비교'!$B$8))*SIN(RADIANS('13_시나리오비교'!$C$8))+$H498*SIN(RADIANS('13_시나리오비교'!$B$8))*COS(RADIANS('13_시나리오비교'!$C$8))+$I498*COS(RADIANS('13_시나리오비교'!$B$8))),0)</f>
        <v/>
      </c>
      <c r="T498" s="80">
        <f>IF($I498&gt;0,MAX(0,$G498*SIN(RADIANS('13_시나리오비교'!$B$9))*SIN(RADIANS('13_시나리오비교'!$C$9))+$H498*SIN(RADIANS('13_시나리오비교'!$B$9))*COS(RADIANS('13_시나리오비교'!$C$9))+$I498*COS(RADIANS('13_시나리오비교'!$B$9))),0)</f>
        <v/>
      </c>
      <c r="U498" s="80">
        <f>IF($I498&gt;0,MAX(0,$G498*SIN(RADIANS('13_시나리오비교'!$B$10))*SIN(RADIANS('13_시나리오비교'!$C$10))+$H498*SIN(RADIANS('13_시나리오비교'!$B$10))*COS(RADIANS('13_시나리오비교'!$C$10))+$I498*COS(RADIANS('13_시나리오비교'!$B$10))),0)</f>
        <v/>
      </c>
      <c r="V498" s="80">
        <f>IF($I498&gt;0,MAX(0,$G498*SIN(RADIANS('13_시나리오비교'!$B$11))*SIN(RADIANS('13_시나리오비교'!$C$11))+$H498*SIN(RADIANS('13_시나리오비교'!$B$11))*COS(RADIANS('13_시나리오비교'!$C$11))+$I498*COS(RADIANS('13_시나리오비교'!$B$11))),0)</f>
        <v/>
      </c>
      <c r="W498" s="80">
        <f>IF($I498&gt;0,MAX(0,$G498*SIN(RADIANS('13_시나리오비교'!$B$12))*SIN(RADIANS('13_시나리오비교'!$C$12))+$H498*SIN(RADIANS('13_시나리오비교'!$B$12))*COS(RADIANS('13_시나리오비교'!$C$12))+$I498*COS(RADIANS('13_시나리오비교'!$B$12))),0)</f>
        <v/>
      </c>
      <c r="X498" s="80">
        <f>IF($I498&gt;0,MAX(0,$G498*SIN(RADIANS('13_시나리오비교'!$B$13))*SIN(RADIANS('13_시나리오비교'!$C$13))+$H498*SIN(RADIANS('13_시나리오비교'!$B$13))*COS(RADIANS('13_시나리오비교'!$C$13))+$I498*COS(RADIANS('13_시나리오비교'!$B$13))),0)</f>
        <v/>
      </c>
      <c r="Y498" s="80">
        <f>IF($I498&gt;0,MAX(0,$G498*SIN(RADIANS('13_시나리오비교'!$B$14))*SIN(RADIANS('13_시나리오비교'!$C$14))+$H498*SIN(RADIANS('13_시나리오비교'!$B$14))*COS(RADIANS('13_시나리오비교'!$C$14))+$I498*COS(RADIANS('13_시나리오비교'!$B$14))),0)</f>
        <v/>
      </c>
    </row>
    <row r="499" hidden="1" outlineLevel="1">
      <c r="A499" s="79" t="n">
        <v>5</v>
      </c>
      <c r="B499" s="79" t="n">
        <v>95</v>
      </c>
      <c r="C499" s="80">
        <f>(B499-0.5)*'14_지역·상수'!$H$6</f>
        <v/>
      </c>
      <c r="D499" s="79" t="n">
        <v>135</v>
      </c>
      <c r="E499" s="80">
        <f>INDEX($C$4:$C$15,MATCH(A499,$A$4:$A$15,0))</f>
        <v/>
      </c>
      <c r="F499" s="80">
        <f>15*(C499-12)</f>
        <v/>
      </c>
      <c r="G499" s="80">
        <f>-COS(RADIANS(E499))*SIN(RADIANS(F499))</f>
        <v/>
      </c>
      <c r="H499" s="80">
        <f>COS(RADIANS('11_발전량_모델'!$B$17))*SIN(RADIANS(E499))-SIN(RADIANS('11_발전량_모델'!$B$17))*COS(RADIANS(E499))*COS(RADIANS(F499))</f>
        <v/>
      </c>
      <c r="I499" s="80">
        <f>SIN(RADIANS('11_발전량_모델'!$B$17))*SIN(RADIANS(E499))+COS(RADIANS('11_발전량_모델'!$B$17))*COS(RADIANS(E499))*COS(RADIANS(F499))</f>
        <v/>
      </c>
      <c r="J499" s="80">
        <f>SIN(RADIANS('11_발전량_모델'!$B$7))*SIN(RADIANS('11_발전량_모델'!$B$8))</f>
        <v/>
      </c>
      <c r="K499" s="80">
        <f>SIN(RADIANS('11_발전량_모델'!$B$7))*COS(RADIANS('11_발전량_모델'!$B$8))</f>
        <v/>
      </c>
      <c r="L499" s="80">
        <f>COS(RADIANS('11_발전량_모델'!$B$7))</f>
        <v/>
      </c>
      <c r="M499" s="80">
        <f>G499*J499+H499*K499+I499*L499</f>
        <v/>
      </c>
      <c r="N499" s="80">
        <f>MAX(0,I499)</f>
        <v/>
      </c>
      <c r="O499" s="80">
        <f>IF(I499&gt;0,MAX(0,M499),0)</f>
        <v/>
      </c>
      <c r="P499" s="80">
        <f>IF($I499&gt;0,MAX(0,$G499*SIN(RADIANS('13_시나리오비교'!$B$5))*SIN(RADIANS('13_시나리오비교'!$C$5))+$H499*SIN(RADIANS('13_시나리오비교'!$B$5))*COS(RADIANS('13_시나리오비교'!$C$5))+$I499*COS(RADIANS('13_시나리오비교'!$B$5))),0)</f>
        <v/>
      </c>
      <c r="Q499" s="80">
        <f>IF($I499&gt;0,MAX(0,$G499*SIN(RADIANS('13_시나리오비교'!$B$6))*SIN(RADIANS('13_시나리오비교'!$C$6))+$H499*SIN(RADIANS('13_시나리오비교'!$B$6))*COS(RADIANS('13_시나리오비교'!$C$6))+$I499*COS(RADIANS('13_시나리오비교'!$B$6))),0)</f>
        <v/>
      </c>
      <c r="R499" s="80">
        <f>IF($I499&gt;0,MAX(0,$G499*SIN(RADIANS('13_시나리오비교'!$B$7))*SIN(RADIANS('13_시나리오비교'!$C$7))+$H499*SIN(RADIANS('13_시나리오비교'!$B$7))*COS(RADIANS('13_시나리오비교'!$C$7))+$I499*COS(RADIANS('13_시나리오비교'!$B$7))),0)</f>
        <v/>
      </c>
      <c r="S499" s="80">
        <f>IF($I499&gt;0,MAX(0,$G499*SIN(RADIANS('13_시나리오비교'!$B$8))*SIN(RADIANS('13_시나리오비교'!$C$8))+$H499*SIN(RADIANS('13_시나리오비교'!$B$8))*COS(RADIANS('13_시나리오비교'!$C$8))+$I499*COS(RADIANS('13_시나리오비교'!$B$8))),0)</f>
        <v/>
      </c>
      <c r="T499" s="80">
        <f>IF($I499&gt;0,MAX(0,$G499*SIN(RADIANS('13_시나리오비교'!$B$9))*SIN(RADIANS('13_시나리오비교'!$C$9))+$H499*SIN(RADIANS('13_시나리오비교'!$B$9))*COS(RADIANS('13_시나리오비교'!$C$9))+$I499*COS(RADIANS('13_시나리오비교'!$B$9))),0)</f>
        <v/>
      </c>
      <c r="U499" s="80">
        <f>IF($I499&gt;0,MAX(0,$G499*SIN(RADIANS('13_시나리오비교'!$B$10))*SIN(RADIANS('13_시나리오비교'!$C$10))+$H499*SIN(RADIANS('13_시나리오비교'!$B$10))*COS(RADIANS('13_시나리오비교'!$C$10))+$I499*COS(RADIANS('13_시나리오비교'!$B$10))),0)</f>
        <v/>
      </c>
      <c r="V499" s="80">
        <f>IF($I499&gt;0,MAX(0,$G499*SIN(RADIANS('13_시나리오비교'!$B$11))*SIN(RADIANS('13_시나리오비교'!$C$11))+$H499*SIN(RADIANS('13_시나리오비교'!$B$11))*COS(RADIANS('13_시나리오비교'!$C$11))+$I499*COS(RADIANS('13_시나리오비교'!$B$11))),0)</f>
        <v/>
      </c>
      <c r="W499" s="80">
        <f>IF($I499&gt;0,MAX(0,$G499*SIN(RADIANS('13_시나리오비교'!$B$12))*SIN(RADIANS('13_시나리오비교'!$C$12))+$H499*SIN(RADIANS('13_시나리오비교'!$B$12))*COS(RADIANS('13_시나리오비교'!$C$12))+$I499*COS(RADIANS('13_시나리오비교'!$B$12))),0)</f>
        <v/>
      </c>
      <c r="X499" s="80">
        <f>IF($I499&gt;0,MAX(0,$G499*SIN(RADIANS('13_시나리오비교'!$B$13))*SIN(RADIANS('13_시나리오비교'!$C$13))+$H499*SIN(RADIANS('13_시나리오비교'!$B$13))*COS(RADIANS('13_시나리오비교'!$C$13))+$I499*COS(RADIANS('13_시나리오비교'!$B$13))),0)</f>
        <v/>
      </c>
      <c r="Y499" s="80">
        <f>IF($I499&gt;0,MAX(0,$G499*SIN(RADIANS('13_시나리오비교'!$B$14))*SIN(RADIANS('13_시나리오비교'!$C$14))+$H499*SIN(RADIANS('13_시나리오비교'!$B$14))*COS(RADIANS('13_시나리오비교'!$C$14))+$I499*COS(RADIANS('13_시나리오비교'!$B$14))),0)</f>
        <v/>
      </c>
    </row>
    <row r="500" hidden="1" outlineLevel="1">
      <c r="A500" s="79" t="n">
        <v>5</v>
      </c>
      <c r="B500" s="79" t="n">
        <v>96</v>
      </c>
      <c r="C500" s="80">
        <f>(B500-0.5)*'14_지역·상수'!$H$6</f>
        <v/>
      </c>
      <c r="D500" s="79" t="n">
        <v>135</v>
      </c>
      <c r="E500" s="80">
        <f>INDEX($C$4:$C$15,MATCH(A500,$A$4:$A$15,0))</f>
        <v/>
      </c>
      <c r="F500" s="80">
        <f>15*(C500-12)</f>
        <v/>
      </c>
      <c r="G500" s="80">
        <f>-COS(RADIANS(E500))*SIN(RADIANS(F500))</f>
        <v/>
      </c>
      <c r="H500" s="80">
        <f>COS(RADIANS('11_발전량_모델'!$B$17))*SIN(RADIANS(E500))-SIN(RADIANS('11_발전량_모델'!$B$17))*COS(RADIANS(E500))*COS(RADIANS(F500))</f>
        <v/>
      </c>
      <c r="I500" s="80">
        <f>SIN(RADIANS('11_발전량_모델'!$B$17))*SIN(RADIANS(E500))+COS(RADIANS('11_발전량_모델'!$B$17))*COS(RADIANS(E500))*COS(RADIANS(F500))</f>
        <v/>
      </c>
      <c r="J500" s="80">
        <f>SIN(RADIANS('11_발전량_모델'!$B$7))*SIN(RADIANS('11_발전량_모델'!$B$8))</f>
        <v/>
      </c>
      <c r="K500" s="80">
        <f>SIN(RADIANS('11_발전량_모델'!$B$7))*COS(RADIANS('11_발전량_모델'!$B$8))</f>
        <v/>
      </c>
      <c r="L500" s="80">
        <f>COS(RADIANS('11_발전량_모델'!$B$7))</f>
        <v/>
      </c>
      <c r="M500" s="80">
        <f>G500*J500+H500*K500+I500*L500</f>
        <v/>
      </c>
      <c r="N500" s="80">
        <f>MAX(0,I500)</f>
        <v/>
      </c>
      <c r="O500" s="80">
        <f>IF(I500&gt;0,MAX(0,M500),0)</f>
        <v/>
      </c>
      <c r="P500" s="80">
        <f>IF($I500&gt;0,MAX(0,$G500*SIN(RADIANS('13_시나리오비교'!$B$5))*SIN(RADIANS('13_시나리오비교'!$C$5))+$H500*SIN(RADIANS('13_시나리오비교'!$B$5))*COS(RADIANS('13_시나리오비교'!$C$5))+$I500*COS(RADIANS('13_시나리오비교'!$B$5))),0)</f>
        <v/>
      </c>
      <c r="Q500" s="80">
        <f>IF($I500&gt;0,MAX(0,$G500*SIN(RADIANS('13_시나리오비교'!$B$6))*SIN(RADIANS('13_시나리오비교'!$C$6))+$H500*SIN(RADIANS('13_시나리오비교'!$B$6))*COS(RADIANS('13_시나리오비교'!$C$6))+$I500*COS(RADIANS('13_시나리오비교'!$B$6))),0)</f>
        <v/>
      </c>
      <c r="R500" s="80">
        <f>IF($I500&gt;0,MAX(0,$G500*SIN(RADIANS('13_시나리오비교'!$B$7))*SIN(RADIANS('13_시나리오비교'!$C$7))+$H500*SIN(RADIANS('13_시나리오비교'!$B$7))*COS(RADIANS('13_시나리오비교'!$C$7))+$I500*COS(RADIANS('13_시나리오비교'!$B$7))),0)</f>
        <v/>
      </c>
      <c r="S500" s="80">
        <f>IF($I500&gt;0,MAX(0,$G500*SIN(RADIANS('13_시나리오비교'!$B$8))*SIN(RADIANS('13_시나리오비교'!$C$8))+$H500*SIN(RADIANS('13_시나리오비교'!$B$8))*COS(RADIANS('13_시나리오비교'!$C$8))+$I500*COS(RADIANS('13_시나리오비교'!$B$8))),0)</f>
        <v/>
      </c>
      <c r="T500" s="80">
        <f>IF($I500&gt;0,MAX(0,$G500*SIN(RADIANS('13_시나리오비교'!$B$9))*SIN(RADIANS('13_시나리오비교'!$C$9))+$H500*SIN(RADIANS('13_시나리오비교'!$B$9))*COS(RADIANS('13_시나리오비교'!$C$9))+$I500*COS(RADIANS('13_시나리오비교'!$B$9))),0)</f>
        <v/>
      </c>
      <c r="U500" s="80">
        <f>IF($I500&gt;0,MAX(0,$G500*SIN(RADIANS('13_시나리오비교'!$B$10))*SIN(RADIANS('13_시나리오비교'!$C$10))+$H500*SIN(RADIANS('13_시나리오비교'!$B$10))*COS(RADIANS('13_시나리오비교'!$C$10))+$I500*COS(RADIANS('13_시나리오비교'!$B$10))),0)</f>
        <v/>
      </c>
      <c r="V500" s="80">
        <f>IF($I500&gt;0,MAX(0,$G500*SIN(RADIANS('13_시나리오비교'!$B$11))*SIN(RADIANS('13_시나리오비교'!$C$11))+$H500*SIN(RADIANS('13_시나리오비교'!$B$11))*COS(RADIANS('13_시나리오비교'!$C$11))+$I500*COS(RADIANS('13_시나리오비교'!$B$11))),0)</f>
        <v/>
      </c>
      <c r="W500" s="80">
        <f>IF($I500&gt;0,MAX(0,$G500*SIN(RADIANS('13_시나리오비교'!$B$12))*SIN(RADIANS('13_시나리오비교'!$C$12))+$H500*SIN(RADIANS('13_시나리오비교'!$B$12))*COS(RADIANS('13_시나리오비교'!$C$12))+$I500*COS(RADIANS('13_시나리오비교'!$B$12))),0)</f>
        <v/>
      </c>
      <c r="X500" s="80">
        <f>IF($I500&gt;0,MAX(0,$G500*SIN(RADIANS('13_시나리오비교'!$B$13))*SIN(RADIANS('13_시나리오비교'!$C$13))+$H500*SIN(RADIANS('13_시나리오비교'!$B$13))*COS(RADIANS('13_시나리오비교'!$C$13))+$I500*COS(RADIANS('13_시나리오비교'!$B$13))),0)</f>
        <v/>
      </c>
      <c r="Y500" s="80">
        <f>IF($I500&gt;0,MAX(0,$G500*SIN(RADIANS('13_시나리오비교'!$B$14))*SIN(RADIANS('13_시나리오비교'!$C$14))+$H500*SIN(RADIANS('13_시나리오비교'!$B$14))*COS(RADIANS('13_시나리오비교'!$C$14))+$I500*COS(RADIANS('13_시나리오비교'!$B$14))),0)</f>
        <v/>
      </c>
    </row>
    <row r="501" hidden="1" outlineLevel="1">
      <c r="A501" s="79" t="n">
        <v>6</v>
      </c>
      <c r="B501" s="79" t="n">
        <v>1</v>
      </c>
      <c r="C501" s="80">
        <f>(B501-0.5)*'14_지역·상수'!$H$6</f>
        <v/>
      </c>
      <c r="D501" s="79" t="n">
        <v>162</v>
      </c>
      <c r="E501" s="80">
        <f>INDEX($C$4:$C$15,MATCH(A501,$A$4:$A$15,0))</f>
        <v/>
      </c>
      <c r="F501" s="80">
        <f>15*(C501-12)</f>
        <v/>
      </c>
      <c r="G501" s="80">
        <f>-COS(RADIANS(E501))*SIN(RADIANS(F501))</f>
        <v/>
      </c>
      <c r="H501" s="80">
        <f>COS(RADIANS('11_발전량_모델'!$B$17))*SIN(RADIANS(E501))-SIN(RADIANS('11_발전량_모델'!$B$17))*COS(RADIANS(E501))*COS(RADIANS(F501))</f>
        <v/>
      </c>
      <c r="I501" s="80">
        <f>SIN(RADIANS('11_발전량_모델'!$B$17))*SIN(RADIANS(E501))+COS(RADIANS('11_발전량_모델'!$B$17))*COS(RADIANS(E501))*COS(RADIANS(F501))</f>
        <v/>
      </c>
      <c r="J501" s="80">
        <f>SIN(RADIANS('11_발전량_모델'!$B$7))*SIN(RADIANS('11_발전량_모델'!$B$8))</f>
        <v/>
      </c>
      <c r="K501" s="80">
        <f>SIN(RADIANS('11_발전량_모델'!$B$7))*COS(RADIANS('11_발전량_모델'!$B$8))</f>
        <v/>
      </c>
      <c r="L501" s="80">
        <f>COS(RADIANS('11_발전량_모델'!$B$7))</f>
        <v/>
      </c>
      <c r="M501" s="80">
        <f>G501*J501+H501*K501+I501*L501</f>
        <v/>
      </c>
      <c r="N501" s="80">
        <f>MAX(0,I501)</f>
        <v/>
      </c>
      <c r="O501" s="80">
        <f>IF(I501&gt;0,MAX(0,M501),0)</f>
        <v/>
      </c>
      <c r="P501" s="80">
        <f>IF($I501&gt;0,MAX(0,$G501*SIN(RADIANS('13_시나리오비교'!$B$5))*SIN(RADIANS('13_시나리오비교'!$C$5))+$H501*SIN(RADIANS('13_시나리오비교'!$B$5))*COS(RADIANS('13_시나리오비교'!$C$5))+$I501*COS(RADIANS('13_시나리오비교'!$B$5))),0)</f>
        <v/>
      </c>
      <c r="Q501" s="80">
        <f>IF($I501&gt;0,MAX(0,$G501*SIN(RADIANS('13_시나리오비교'!$B$6))*SIN(RADIANS('13_시나리오비교'!$C$6))+$H501*SIN(RADIANS('13_시나리오비교'!$B$6))*COS(RADIANS('13_시나리오비교'!$C$6))+$I501*COS(RADIANS('13_시나리오비교'!$B$6))),0)</f>
        <v/>
      </c>
      <c r="R501" s="80">
        <f>IF($I501&gt;0,MAX(0,$G501*SIN(RADIANS('13_시나리오비교'!$B$7))*SIN(RADIANS('13_시나리오비교'!$C$7))+$H501*SIN(RADIANS('13_시나리오비교'!$B$7))*COS(RADIANS('13_시나리오비교'!$C$7))+$I501*COS(RADIANS('13_시나리오비교'!$B$7))),0)</f>
        <v/>
      </c>
      <c r="S501" s="80">
        <f>IF($I501&gt;0,MAX(0,$G501*SIN(RADIANS('13_시나리오비교'!$B$8))*SIN(RADIANS('13_시나리오비교'!$C$8))+$H501*SIN(RADIANS('13_시나리오비교'!$B$8))*COS(RADIANS('13_시나리오비교'!$C$8))+$I501*COS(RADIANS('13_시나리오비교'!$B$8))),0)</f>
        <v/>
      </c>
      <c r="T501" s="80">
        <f>IF($I501&gt;0,MAX(0,$G501*SIN(RADIANS('13_시나리오비교'!$B$9))*SIN(RADIANS('13_시나리오비교'!$C$9))+$H501*SIN(RADIANS('13_시나리오비교'!$B$9))*COS(RADIANS('13_시나리오비교'!$C$9))+$I501*COS(RADIANS('13_시나리오비교'!$B$9))),0)</f>
        <v/>
      </c>
      <c r="U501" s="80">
        <f>IF($I501&gt;0,MAX(0,$G501*SIN(RADIANS('13_시나리오비교'!$B$10))*SIN(RADIANS('13_시나리오비교'!$C$10))+$H501*SIN(RADIANS('13_시나리오비교'!$B$10))*COS(RADIANS('13_시나리오비교'!$C$10))+$I501*COS(RADIANS('13_시나리오비교'!$B$10))),0)</f>
        <v/>
      </c>
      <c r="V501" s="80">
        <f>IF($I501&gt;0,MAX(0,$G501*SIN(RADIANS('13_시나리오비교'!$B$11))*SIN(RADIANS('13_시나리오비교'!$C$11))+$H501*SIN(RADIANS('13_시나리오비교'!$B$11))*COS(RADIANS('13_시나리오비교'!$C$11))+$I501*COS(RADIANS('13_시나리오비교'!$B$11))),0)</f>
        <v/>
      </c>
      <c r="W501" s="80">
        <f>IF($I501&gt;0,MAX(0,$G501*SIN(RADIANS('13_시나리오비교'!$B$12))*SIN(RADIANS('13_시나리오비교'!$C$12))+$H501*SIN(RADIANS('13_시나리오비교'!$B$12))*COS(RADIANS('13_시나리오비교'!$C$12))+$I501*COS(RADIANS('13_시나리오비교'!$B$12))),0)</f>
        <v/>
      </c>
      <c r="X501" s="80">
        <f>IF($I501&gt;0,MAX(0,$G501*SIN(RADIANS('13_시나리오비교'!$B$13))*SIN(RADIANS('13_시나리오비교'!$C$13))+$H501*SIN(RADIANS('13_시나리오비교'!$B$13))*COS(RADIANS('13_시나리오비교'!$C$13))+$I501*COS(RADIANS('13_시나리오비교'!$B$13))),0)</f>
        <v/>
      </c>
      <c r="Y501" s="80">
        <f>IF($I501&gt;0,MAX(0,$G501*SIN(RADIANS('13_시나리오비교'!$B$14))*SIN(RADIANS('13_시나리오비교'!$C$14))+$H501*SIN(RADIANS('13_시나리오비교'!$B$14))*COS(RADIANS('13_시나리오비교'!$C$14))+$I501*COS(RADIANS('13_시나리오비교'!$B$14))),0)</f>
        <v/>
      </c>
    </row>
    <row r="502" hidden="1" outlineLevel="1">
      <c r="A502" s="79" t="n">
        <v>6</v>
      </c>
      <c r="B502" s="79" t="n">
        <v>2</v>
      </c>
      <c r="C502" s="80">
        <f>(B502-0.5)*'14_지역·상수'!$H$6</f>
        <v/>
      </c>
      <c r="D502" s="79" t="n">
        <v>162</v>
      </c>
      <c r="E502" s="80">
        <f>INDEX($C$4:$C$15,MATCH(A502,$A$4:$A$15,0))</f>
        <v/>
      </c>
      <c r="F502" s="80">
        <f>15*(C502-12)</f>
        <v/>
      </c>
      <c r="G502" s="80">
        <f>-COS(RADIANS(E502))*SIN(RADIANS(F502))</f>
        <v/>
      </c>
      <c r="H502" s="80">
        <f>COS(RADIANS('11_발전량_모델'!$B$17))*SIN(RADIANS(E502))-SIN(RADIANS('11_발전량_모델'!$B$17))*COS(RADIANS(E502))*COS(RADIANS(F502))</f>
        <v/>
      </c>
      <c r="I502" s="80">
        <f>SIN(RADIANS('11_발전량_모델'!$B$17))*SIN(RADIANS(E502))+COS(RADIANS('11_발전량_모델'!$B$17))*COS(RADIANS(E502))*COS(RADIANS(F502))</f>
        <v/>
      </c>
      <c r="J502" s="80">
        <f>SIN(RADIANS('11_발전량_모델'!$B$7))*SIN(RADIANS('11_발전량_모델'!$B$8))</f>
        <v/>
      </c>
      <c r="K502" s="80">
        <f>SIN(RADIANS('11_발전량_모델'!$B$7))*COS(RADIANS('11_발전량_모델'!$B$8))</f>
        <v/>
      </c>
      <c r="L502" s="80">
        <f>COS(RADIANS('11_발전량_모델'!$B$7))</f>
        <v/>
      </c>
      <c r="M502" s="80">
        <f>G502*J502+H502*K502+I502*L502</f>
        <v/>
      </c>
      <c r="N502" s="80">
        <f>MAX(0,I502)</f>
        <v/>
      </c>
      <c r="O502" s="80">
        <f>IF(I502&gt;0,MAX(0,M502),0)</f>
        <v/>
      </c>
      <c r="P502" s="80">
        <f>IF($I502&gt;0,MAX(0,$G502*SIN(RADIANS('13_시나리오비교'!$B$5))*SIN(RADIANS('13_시나리오비교'!$C$5))+$H502*SIN(RADIANS('13_시나리오비교'!$B$5))*COS(RADIANS('13_시나리오비교'!$C$5))+$I502*COS(RADIANS('13_시나리오비교'!$B$5))),0)</f>
        <v/>
      </c>
      <c r="Q502" s="80">
        <f>IF($I502&gt;0,MAX(0,$G502*SIN(RADIANS('13_시나리오비교'!$B$6))*SIN(RADIANS('13_시나리오비교'!$C$6))+$H502*SIN(RADIANS('13_시나리오비교'!$B$6))*COS(RADIANS('13_시나리오비교'!$C$6))+$I502*COS(RADIANS('13_시나리오비교'!$B$6))),0)</f>
        <v/>
      </c>
      <c r="R502" s="80">
        <f>IF($I502&gt;0,MAX(0,$G502*SIN(RADIANS('13_시나리오비교'!$B$7))*SIN(RADIANS('13_시나리오비교'!$C$7))+$H502*SIN(RADIANS('13_시나리오비교'!$B$7))*COS(RADIANS('13_시나리오비교'!$C$7))+$I502*COS(RADIANS('13_시나리오비교'!$B$7))),0)</f>
        <v/>
      </c>
      <c r="S502" s="80">
        <f>IF($I502&gt;0,MAX(0,$G502*SIN(RADIANS('13_시나리오비교'!$B$8))*SIN(RADIANS('13_시나리오비교'!$C$8))+$H502*SIN(RADIANS('13_시나리오비교'!$B$8))*COS(RADIANS('13_시나리오비교'!$C$8))+$I502*COS(RADIANS('13_시나리오비교'!$B$8))),0)</f>
        <v/>
      </c>
      <c r="T502" s="80">
        <f>IF($I502&gt;0,MAX(0,$G502*SIN(RADIANS('13_시나리오비교'!$B$9))*SIN(RADIANS('13_시나리오비교'!$C$9))+$H502*SIN(RADIANS('13_시나리오비교'!$B$9))*COS(RADIANS('13_시나리오비교'!$C$9))+$I502*COS(RADIANS('13_시나리오비교'!$B$9))),0)</f>
        <v/>
      </c>
      <c r="U502" s="80">
        <f>IF($I502&gt;0,MAX(0,$G502*SIN(RADIANS('13_시나리오비교'!$B$10))*SIN(RADIANS('13_시나리오비교'!$C$10))+$H502*SIN(RADIANS('13_시나리오비교'!$B$10))*COS(RADIANS('13_시나리오비교'!$C$10))+$I502*COS(RADIANS('13_시나리오비교'!$B$10))),0)</f>
        <v/>
      </c>
      <c r="V502" s="80">
        <f>IF($I502&gt;0,MAX(0,$G502*SIN(RADIANS('13_시나리오비교'!$B$11))*SIN(RADIANS('13_시나리오비교'!$C$11))+$H502*SIN(RADIANS('13_시나리오비교'!$B$11))*COS(RADIANS('13_시나리오비교'!$C$11))+$I502*COS(RADIANS('13_시나리오비교'!$B$11))),0)</f>
        <v/>
      </c>
      <c r="W502" s="80">
        <f>IF($I502&gt;0,MAX(0,$G502*SIN(RADIANS('13_시나리오비교'!$B$12))*SIN(RADIANS('13_시나리오비교'!$C$12))+$H502*SIN(RADIANS('13_시나리오비교'!$B$12))*COS(RADIANS('13_시나리오비교'!$C$12))+$I502*COS(RADIANS('13_시나리오비교'!$B$12))),0)</f>
        <v/>
      </c>
      <c r="X502" s="80">
        <f>IF($I502&gt;0,MAX(0,$G502*SIN(RADIANS('13_시나리오비교'!$B$13))*SIN(RADIANS('13_시나리오비교'!$C$13))+$H502*SIN(RADIANS('13_시나리오비교'!$B$13))*COS(RADIANS('13_시나리오비교'!$C$13))+$I502*COS(RADIANS('13_시나리오비교'!$B$13))),0)</f>
        <v/>
      </c>
      <c r="Y502" s="80">
        <f>IF($I502&gt;0,MAX(0,$G502*SIN(RADIANS('13_시나리오비교'!$B$14))*SIN(RADIANS('13_시나리오비교'!$C$14))+$H502*SIN(RADIANS('13_시나리오비교'!$B$14))*COS(RADIANS('13_시나리오비교'!$C$14))+$I502*COS(RADIANS('13_시나리오비교'!$B$14))),0)</f>
        <v/>
      </c>
    </row>
    <row r="503" hidden="1" outlineLevel="1">
      <c r="A503" s="79" t="n">
        <v>6</v>
      </c>
      <c r="B503" s="79" t="n">
        <v>3</v>
      </c>
      <c r="C503" s="80">
        <f>(B503-0.5)*'14_지역·상수'!$H$6</f>
        <v/>
      </c>
      <c r="D503" s="79" t="n">
        <v>162</v>
      </c>
      <c r="E503" s="80">
        <f>INDEX($C$4:$C$15,MATCH(A503,$A$4:$A$15,0))</f>
        <v/>
      </c>
      <c r="F503" s="80">
        <f>15*(C503-12)</f>
        <v/>
      </c>
      <c r="G503" s="80">
        <f>-COS(RADIANS(E503))*SIN(RADIANS(F503))</f>
        <v/>
      </c>
      <c r="H503" s="80">
        <f>COS(RADIANS('11_발전량_모델'!$B$17))*SIN(RADIANS(E503))-SIN(RADIANS('11_발전량_모델'!$B$17))*COS(RADIANS(E503))*COS(RADIANS(F503))</f>
        <v/>
      </c>
      <c r="I503" s="80">
        <f>SIN(RADIANS('11_발전량_모델'!$B$17))*SIN(RADIANS(E503))+COS(RADIANS('11_발전량_모델'!$B$17))*COS(RADIANS(E503))*COS(RADIANS(F503))</f>
        <v/>
      </c>
      <c r="J503" s="80">
        <f>SIN(RADIANS('11_발전량_모델'!$B$7))*SIN(RADIANS('11_발전량_모델'!$B$8))</f>
        <v/>
      </c>
      <c r="K503" s="80">
        <f>SIN(RADIANS('11_발전량_모델'!$B$7))*COS(RADIANS('11_발전량_모델'!$B$8))</f>
        <v/>
      </c>
      <c r="L503" s="80">
        <f>COS(RADIANS('11_발전량_모델'!$B$7))</f>
        <v/>
      </c>
      <c r="M503" s="80">
        <f>G503*J503+H503*K503+I503*L503</f>
        <v/>
      </c>
      <c r="N503" s="80">
        <f>MAX(0,I503)</f>
        <v/>
      </c>
      <c r="O503" s="80">
        <f>IF(I503&gt;0,MAX(0,M503),0)</f>
        <v/>
      </c>
      <c r="P503" s="80">
        <f>IF($I503&gt;0,MAX(0,$G503*SIN(RADIANS('13_시나리오비교'!$B$5))*SIN(RADIANS('13_시나리오비교'!$C$5))+$H503*SIN(RADIANS('13_시나리오비교'!$B$5))*COS(RADIANS('13_시나리오비교'!$C$5))+$I503*COS(RADIANS('13_시나리오비교'!$B$5))),0)</f>
        <v/>
      </c>
      <c r="Q503" s="80">
        <f>IF($I503&gt;0,MAX(0,$G503*SIN(RADIANS('13_시나리오비교'!$B$6))*SIN(RADIANS('13_시나리오비교'!$C$6))+$H503*SIN(RADIANS('13_시나리오비교'!$B$6))*COS(RADIANS('13_시나리오비교'!$C$6))+$I503*COS(RADIANS('13_시나리오비교'!$B$6))),0)</f>
        <v/>
      </c>
      <c r="R503" s="80">
        <f>IF($I503&gt;0,MAX(0,$G503*SIN(RADIANS('13_시나리오비교'!$B$7))*SIN(RADIANS('13_시나리오비교'!$C$7))+$H503*SIN(RADIANS('13_시나리오비교'!$B$7))*COS(RADIANS('13_시나리오비교'!$C$7))+$I503*COS(RADIANS('13_시나리오비교'!$B$7))),0)</f>
        <v/>
      </c>
      <c r="S503" s="80">
        <f>IF($I503&gt;0,MAX(0,$G503*SIN(RADIANS('13_시나리오비교'!$B$8))*SIN(RADIANS('13_시나리오비교'!$C$8))+$H503*SIN(RADIANS('13_시나리오비교'!$B$8))*COS(RADIANS('13_시나리오비교'!$C$8))+$I503*COS(RADIANS('13_시나리오비교'!$B$8))),0)</f>
        <v/>
      </c>
      <c r="T503" s="80">
        <f>IF($I503&gt;0,MAX(0,$G503*SIN(RADIANS('13_시나리오비교'!$B$9))*SIN(RADIANS('13_시나리오비교'!$C$9))+$H503*SIN(RADIANS('13_시나리오비교'!$B$9))*COS(RADIANS('13_시나리오비교'!$C$9))+$I503*COS(RADIANS('13_시나리오비교'!$B$9))),0)</f>
        <v/>
      </c>
      <c r="U503" s="80">
        <f>IF($I503&gt;0,MAX(0,$G503*SIN(RADIANS('13_시나리오비교'!$B$10))*SIN(RADIANS('13_시나리오비교'!$C$10))+$H503*SIN(RADIANS('13_시나리오비교'!$B$10))*COS(RADIANS('13_시나리오비교'!$C$10))+$I503*COS(RADIANS('13_시나리오비교'!$B$10))),0)</f>
        <v/>
      </c>
      <c r="V503" s="80">
        <f>IF($I503&gt;0,MAX(0,$G503*SIN(RADIANS('13_시나리오비교'!$B$11))*SIN(RADIANS('13_시나리오비교'!$C$11))+$H503*SIN(RADIANS('13_시나리오비교'!$B$11))*COS(RADIANS('13_시나리오비교'!$C$11))+$I503*COS(RADIANS('13_시나리오비교'!$B$11))),0)</f>
        <v/>
      </c>
      <c r="W503" s="80">
        <f>IF($I503&gt;0,MAX(0,$G503*SIN(RADIANS('13_시나리오비교'!$B$12))*SIN(RADIANS('13_시나리오비교'!$C$12))+$H503*SIN(RADIANS('13_시나리오비교'!$B$12))*COS(RADIANS('13_시나리오비교'!$C$12))+$I503*COS(RADIANS('13_시나리오비교'!$B$12))),0)</f>
        <v/>
      </c>
      <c r="X503" s="80">
        <f>IF($I503&gt;0,MAX(0,$G503*SIN(RADIANS('13_시나리오비교'!$B$13))*SIN(RADIANS('13_시나리오비교'!$C$13))+$H503*SIN(RADIANS('13_시나리오비교'!$B$13))*COS(RADIANS('13_시나리오비교'!$C$13))+$I503*COS(RADIANS('13_시나리오비교'!$B$13))),0)</f>
        <v/>
      </c>
      <c r="Y503" s="80">
        <f>IF($I503&gt;0,MAX(0,$G503*SIN(RADIANS('13_시나리오비교'!$B$14))*SIN(RADIANS('13_시나리오비교'!$C$14))+$H503*SIN(RADIANS('13_시나리오비교'!$B$14))*COS(RADIANS('13_시나리오비교'!$C$14))+$I503*COS(RADIANS('13_시나리오비교'!$B$14))),0)</f>
        <v/>
      </c>
    </row>
    <row r="504" hidden="1" outlineLevel="1">
      <c r="A504" s="79" t="n">
        <v>6</v>
      </c>
      <c r="B504" s="79" t="n">
        <v>4</v>
      </c>
      <c r="C504" s="80">
        <f>(B504-0.5)*'14_지역·상수'!$H$6</f>
        <v/>
      </c>
      <c r="D504" s="79" t="n">
        <v>162</v>
      </c>
      <c r="E504" s="80">
        <f>INDEX($C$4:$C$15,MATCH(A504,$A$4:$A$15,0))</f>
        <v/>
      </c>
      <c r="F504" s="80">
        <f>15*(C504-12)</f>
        <v/>
      </c>
      <c r="G504" s="80">
        <f>-COS(RADIANS(E504))*SIN(RADIANS(F504))</f>
        <v/>
      </c>
      <c r="H504" s="80">
        <f>COS(RADIANS('11_발전량_모델'!$B$17))*SIN(RADIANS(E504))-SIN(RADIANS('11_발전량_모델'!$B$17))*COS(RADIANS(E504))*COS(RADIANS(F504))</f>
        <v/>
      </c>
      <c r="I504" s="80">
        <f>SIN(RADIANS('11_발전량_모델'!$B$17))*SIN(RADIANS(E504))+COS(RADIANS('11_발전량_모델'!$B$17))*COS(RADIANS(E504))*COS(RADIANS(F504))</f>
        <v/>
      </c>
      <c r="J504" s="80">
        <f>SIN(RADIANS('11_발전량_모델'!$B$7))*SIN(RADIANS('11_발전량_모델'!$B$8))</f>
        <v/>
      </c>
      <c r="K504" s="80">
        <f>SIN(RADIANS('11_발전량_모델'!$B$7))*COS(RADIANS('11_발전량_모델'!$B$8))</f>
        <v/>
      </c>
      <c r="L504" s="80">
        <f>COS(RADIANS('11_발전량_모델'!$B$7))</f>
        <v/>
      </c>
      <c r="M504" s="80">
        <f>G504*J504+H504*K504+I504*L504</f>
        <v/>
      </c>
      <c r="N504" s="80">
        <f>MAX(0,I504)</f>
        <v/>
      </c>
      <c r="O504" s="80">
        <f>IF(I504&gt;0,MAX(0,M504),0)</f>
        <v/>
      </c>
      <c r="P504" s="80">
        <f>IF($I504&gt;0,MAX(0,$G504*SIN(RADIANS('13_시나리오비교'!$B$5))*SIN(RADIANS('13_시나리오비교'!$C$5))+$H504*SIN(RADIANS('13_시나리오비교'!$B$5))*COS(RADIANS('13_시나리오비교'!$C$5))+$I504*COS(RADIANS('13_시나리오비교'!$B$5))),0)</f>
        <v/>
      </c>
      <c r="Q504" s="80">
        <f>IF($I504&gt;0,MAX(0,$G504*SIN(RADIANS('13_시나리오비교'!$B$6))*SIN(RADIANS('13_시나리오비교'!$C$6))+$H504*SIN(RADIANS('13_시나리오비교'!$B$6))*COS(RADIANS('13_시나리오비교'!$C$6))+$I504*COS(RADIANS('13_시나리오비교'!$B$6))),0)</f>
        <v/>
      </c>
      <c r="R504" s="80">
        <f>IF($I504&gt;0,MAX(0,$G504*SIN(RADIANS('13_시나리오비교'!$B$7))*SIN(RADIANS('13_시나리오비교'!$C$7))+$H504*SIN(RADIANS('13_시나리오비교'!$B$7))*COS(RADIANS('13_시나리오비교'!$C$7))+$I504*COS(RADIANS('13_시나리오비교'!$B$7))),0)</f>
        <v/>
      </c>
      <c r="S504" s="80">
        <f>IF($I504&gt;0,MAX(0,$G504*SIN(RADIANS('13_시나리오비교'!$B$8))*SIN(RADIANS('13_시나리오비교'!$C$8))+$H504*SIN(RADIANS('13_시나리오비교'!$B$8))*COS(RADIANS('13_시나리오비교'!$C$8))+$I504*COS(RADIANS('13_시나리오비교'!$B$8))),0)</f>
        <v/>
      </c>
      <c r="T504" s="80">
        <f>IF($I504&gt;0,MAX(0,$G504*SIN(RADIANS('13_시나리오비교'!$B$9))*SIN(RADIANS('13_시나리오비교'!$C$9))+$H504*SIN(RADIANS('13_시나리오비교'!$B$9))*COS(RADIANS('13_시나리오비교'!$C$9))+$I504*COS(RADIANS('13_시나리오비교'!$B$9))),0)</f>
        <v/>
      </c>
      <c r="U504" s="80">
        <f>IF($I504&gt;0,MAX(0,$G504*SIN(RADIANS('13_시나리오비교'!$B$10))*SIN(RADIANS('13_시나리오비교'!$C$10))+$H504*SIN(RADIANS('13_시나리오비교'!$B$10))*COS(RADIANS('13_시나리오비교'!$C$10))+$I504*COS(RADIANS('13_시나리오비교'!$B$10))),0)</f>
        <v/>
      </c>
      <c r="V504" s="80">
        <f>IF($I504&gt;0,MAX(0,$G504*SIN(RADIANS('13_시나리오비교'!$B$11))*SIN(RADIANS('13_시나리오비교'!$C$11))+$H504*SIN(RADIANS('13_시나리오비교'!$B$11))*COS(RADIANS('13_시나리오비교'!$C$11))+$I504*COS(RADIANS('13_시나리오비교'!$B$11))),0)</f>
        <v/>
      </c>
      <c r="W504" s="80">
        <f>IF($I504&gt;0,MAX(0,$G504*SIN(RADIANS('13_시나리오비교'!$B$12))*SIN(RADIANS('13_시나리오비교'!$C$12))+$H504*SIN(RADIANS('13_시나리오비교'!$B$12))*COS(RADIANS('13_시나리오비교'!$C$12))+$I504*COS(RADIANS('13_시나리오비교'!$B$12))),0)</f>
        <v/>
      </c>
      <c r="X504" s="80">
        <f>IF($I504&gt;0,MAX(0,$G504*SIN(RADIANS('13_시나리오비교'!$B$13))*SIN(RADIANS('13_시나리오비교'!$C$13))+$H504*SIN(RADIANS('13_시나리오비교'!$B$13))*COS(RADIANS('13_시나리오비교'!$C$13))+$I504*COS(RADIANS('13_시나리오비교'!$B$13))),0)</f>
        <v/>
      </c>
      <c r="Y504" s="80">
        <f>IF($I504&gt;0,MAX(0,$G504*SIN(RADIANS('13_시나리오비교'!$B$14))*SIN(RADIANS('13_시나리오비교'!$C$14))+$H504*SIN(RADIANS('13_시나리오비교'!$B$14))*COS(RADIANS('13_시나리오비교'!$C$14))+$I504*COS(RADIANS('13_시나리오비교'!$B$14))),0)</f>
        <v/>
      </c>
    </row>
    <row r="505" hidden="1" outlineLevel="1">
      <c r="A505" s="79" t="n">
        <v>6</v>
      </c>
      <c r="B505" s="79" t="n">
        <v>5</v>
      </c>
      <c r="C505" s="80">
        <f>(B505-0.5)*'14_지역·상수'!$H$6</f>
        <v/>
      </c>
      <c r="D505" s="79" t="n">
        <v>162</v>
      </c>
      <c r="E505" s="80">
        <f>INDEX($C$4:$C$15,MATCH(A505,$A$4:$A$15,0))</f>
        <v/>
      </c>
      <c r="F505" s="80">
        <f>15*(C505-12)</f>
        <v/>
      </c>
      <c r="G505" s="80">
        <f>-COS(RADIANS(E505))*SIN(RADIANS(F505))</f>
        <v/>
      </c>
      <c r="H505" s="80">
        <f>COS(RADIANS('11_발전량_모델'!$B$17))*SIN(RADIANS(E505))-SIN(RADIANS('11_발전량_모델'!$B$17))*COS(RADIANS(E505))*COS(RADIANS(F505))</f>
        <v/>
      </c>
      <c r="I505" s="80">
        <f>SIN(RADIANS('11_발전량_모델'!$B$17))*SIN(RADIANS(E505))+COS(RADIANS('11_발전량_모델'!$B$17))*COS(RADIANS(E505))*COS(RADIANS(F505))</f>
        <v/>
      </c>
      <c r="J505" s="80">
        <f>SIN(RADIANS('11_발전량_모델'!$B$7))*SIN(RADIANS('11_발전량_모델'!$B$8))</f>
        <v/>
      </c>
      <c r="K505" s="80">
        <f>SIN(RADIANS('11_발전량_모델'!$B$7))*COS(RADIANS('11_발전량_모델'!$B$8))</f>
        <v/>
      </c>
      <c r="L505" s="80">
        <f>COS(RADIANS('11_발전량_모델'!$B$7))</f>
        <v/>
      </c>
      <c r="M505" s="80">
        <f>G505*J505+H505*K505+I505*L505</f>
        <v/>
      </c>
      <c r="N505" s="80">
        <f>MAX(0,I505)</f>
        <v/>
      </c>
      <c r="O505" s="80">
        <f>IF(I505&gt;0,MAX(0,M505),0)</f>
        <v/>
      </c>
      <c r="P505" s="80">
        <f>IF($I505&gt;0,MAX(0,$G505*SIN(RADIANS('13_시나리오비교'!$B$5))*SIN(RADIANS('13_시나리오비교'!$C$5))+$H505*SIN(RADIANS('13_시나리오비교'!$B$5))*COS(RADIANS('13_시나리오비교'!$C$5))+$I505*COS(RADIANS('13_시나리오비교'!$B$5))),0)</f>
        <v/>
      </c>
      <c r="Q505" s="80">
        <f>IF($I505&gt;0,MAX(0,$G505*SIN(RADIANS('13_시나리오비교'!$B$6))*SIN(RADIANS('13_시나리오비교'!$C$6))+$H505*SIN(RADIANS('13_시나리오비교'!$B$6))*COS(RADIANS('13_시나리오비교'!$C$6))+$I505*COS(RADIANS('13_시나리오비교'!$B$6))),0)</f>
        <v/>
      </c>
      <c r="R505" s="80">
        <f>IF($I505&gt;0,MAX(0,$G505*SIN(RADIANS('13_시나리오비교'!$B$7))*SIN(RADIANS('13_시나리오비교'!$C$7))+$H505*SIN(RADIANS('13_시나리오비교'!$B$7))*COS(RADIANS('13_시나리오비교'!$C$7))+$I505*COS(RADIANS('13_시나리오비교'!$B$7))),0)</f>
        <v/>
      </c>
      <c r="S505" s="80">
        <f>IF($I505&gt;0,MAX(0,$G505*SIN(RADIANS('13_시나리오비교'!$B$8))*SIN(RADIANS('13_시나리오비교'!$C$8))+$H505*SIN(RADIANS('13_시나리오비교'!$B$8))*COS(RADIANS('13_시나리오비교'!$C$8))+$I505*COS(RADIANS('13_시나리오비교'!$B$8))),0)</f>
        <v/>
      </c>
      <c r="T505" s="80">
        <f>IF($I505&gt;0,MAX(0,$G505*SIN(RADIANS('13_시나리오비교'!$B$9))*SIN(RADIANS('13_시나리오비교'!$C$9))+$H505*SIN(RADIANS('13_시나리오비교'!$B$9))*COS(RADIANS('13_시나리오비교'!$C$9))+$I505*COS(RADIANS('13_시나리오비교'!$B$9))),0)</f>
        <v/>
      </c>
      <c r="U505" s="80">
        <f>IF($I505&gt;0,MAX(0,$G505*SIN(RADIANS('13_시나리오비교'!$B$10))*SIN(RADIANS('13_시나리오비교'!$C$10))+$H505*SIN(RADIANS('13_시나리오비교'!$B$10))*COS(RADIANS('13_시나리오비교'!$C$10))+$I505*COS(RADIANS('13_시나리오비교'!$B$10))),0)</f>
        <v/>
      </c>
      <c r="V505" s="80">
        <f>IF($I505&gt;0,MAX(0,$G505*SIN(RADIANS('13_시나리오비교'!$B$11))*SIN(RADIANS('13_시나리오비교'!$C$11))+$H505*SIN(RADIANS('13_시나리오비교'!$B$11))*COS(RADIANS('13_시나리오비교'!$C$11))+$I505*COS(RADIANS('13_시나리오비교'!$B$11))),0)</f>
        <v/>
      </c>
      <c r="W505" s="80">
        <f>IF($I505&gt;0,MAX(0,$G505*SIN(RADIANS('13_시나리오비교'!$B$12))*SIN(RADIANS('13_시나리오비교'!$C$12))+$H505*SIN(RADIANS('13_시나리오비교'!$B$12))*COS(RADIANS('13_시나리오비교'!$C$12))+$I505*COS(RADIANS('13_시나리오비교'!$B$12))),0)</f>
        <v/>
      </c>
      <c r="X505" s="80">
        <f>IF($I505&gt;0,MAX(0,$G505*SIN(RADIANS('13_시나리오비교'!$B$13))*SIN(RADIANS('13_시나리오비교'!$C$13))+$H505*SIN(RADIANS('13_시나리오비교'!$B$13))*COS(RADIANS('13_시나리오비교'!$C$13))+$I505*COS(RADIANS('13_시나리오비교'!$B$13))),0)</f>
        <v/>
      </c>
      <c r="Y505" s="80">
        <f>IF($I505&gt;0,MAX(0,$G505*SIN(RADIANS('13_시나리오비교'!$B$14))*SIN(RADIANS('13_시나리오비교'!$C$14))+$H505*SIN(RADIANS('13_시나리오비교'!$B$14))*COS(RADIANS('13_시나리오비교'!$C$14))+$I505*COS(RADIANS('13_시나리오비교'!$B$14))),0)</f>
        <v/>
      </c>
    </row>
    <row r="506" hidden="1" outlineLevel="1">
      <c r="A506" s="79" t="n">
        <v>6</v>
      </c>
      <c r="B506" s="79" t="n">
        <v>6</v>
      </c>
      <c r="C506" s="80">
        <f>(B506-0.5)*'14_지역·상수'!$H$6</f>
        <v/>
      </c>
      <c r="D506" s="79" t="n">
        <v>162</v>
      </c>
      <c r="E506" s="80">
        <f>INDEX($C$4:$C$15,MATCH(A506,$A$4:$A$15,0))</f>
        <v/>
      </c>
      <c r="F506" s="80">
        <f>15*(C506-12)</f>
        <v/>
      </c>
      <c r="G506" s="80">
        <f>-COS(RADIANS(E506))*SIN(RADIANS(F506))</f>
        <v/>
      </c>
      <c r="H506" s="80">
        <f>COS(RADIANS('11_발전량_모델'!$B$17))*SIN(RADIANS(E506))-SIN(RADIANS('11_발전량_모델'!$B$17))*COS(RADIANS(E506))*COS(RADIANS(F506))</f>
        <v/>
      </c>
      <c r="I506" s="80">
        <f>SIN(RADIANS('11_발전량_모델'!$B$17))*SIN(RADIANS(E506))+COS(RADIANS('11_발전량_모델'!$B$17))*COS(RADIANS(E506))*COS(RADIANS(F506))</f>
        <v/>
      </c>
      <c r="J506" s="80">
        <f>SIN(RADIANS('11_발전량_모델'!$B$7))*SIN(RADIANS('11_발전량_모델'!$B$8))</f>
        <v/>
      </c>
      <c r="K506" s="80">
        <f>SIN(RADIANS('11_발전량_모델'!$B$7))*COS(RADIANS('11_발전량_모델'!$B$8))</f>
        <v/>
      </c>
      <c r="L506" s="80">
        <f>COS(RADIANS('11_발전량_모델'!$B$7))</f>
        <v/>
      </c>
      <c r="M506" s="80">
        <f>G506*J506+H506*K506+I506*L506</f>
        <v/>
      </c>
      <c r="N506" s="80">
        <f>MAX(0,I506)</f>
        <v/>
      </c>
      <c r="O506" s="80">
        <f>IF(I506&gt;0,MAX(0,M506),0)</f>
        <v/>
      </c>
      <c r="P506" s="80">
        <f>IF($I506&gt;0,MAX(0,$G506*SIN(RADIANS('13_시나리오비교'!$B$5))*SIN(RADIANS('13_시나리오비교'!$C$5))+$H506*SIN(RADIANS('13_시나리오비교'!$B$5))*COS(RADIANS('13_시나리오비교'!$C$5))+$I506*COS(RADIANS('13_시나리오비교'!$B$5))),0)</f>
        <v/>
      </c>
      <c r="Q506" s="80">
        <f>IF($I506&gt;0,MAX(0,$G506*SIN(RADIANS('13_시나리오비교'!$B$6))*SIN(RADIANS('13_시나리오비교'!$C$6))+$H506*SIN(RADIANS('13_시나리오비교'!$B$6))*COS(RADIANS('13_시나리오비교'!$C$6))+$I506*COS(RADIANS('13_시나리오비교'!$B$6))),0)</f>
        <v/>
      </c>
      <c r="R506" s="80">
        <f>IF($I506&gt;0,MAX(0,$G506*SIN(RADIANS('13_시나리오비교'!$B$7))*SIN(RADIANS('13_시나리오비교'!$C$7))+$H506*SIN(RADIANS('13_시나리오비교'!$B$7))*COS(RADIANS('13_시나리오비교'!$C$7))+$I506*COS(RADIANS('13_시나리오비교'!$B$7))),0)</f>
        <v/>
      </c>
      <c r="S506" s="80">
        <f>IF($I506&gt;0,MAX(0,$G506*SIN(RADIANS('13_시나리오비교'!$B$8))*SIN(RADIANS('13_시나리오비교'!$C$8))+$H506*SIN(RADIANS('13_시나리오비교'!$B$8))*COS(RADIANS('13_시나리오비교'!$C$8))+$I506*COS(RADIANS('13_시나리오비교'!$B$8))),0)</f>
        <v/>
      </c>
      <c r="T506" s="80">
        <f>IF($I506&gt;0,MAX(0,$G506*SIN(RADIANS('13_시나리오비교'!$B$9))*SIN(RADIANS('13_시나리오비교'!$C$9))+$H506*SIN(RADIANS('13_시나리오비교'!$B$9))*COS(RADIANS('13_시나리오비교'!$C$9))+$I506*COS(RADIANS('13_시나리오비교'!$B$9))),0)</f>
        <v/>
      </c>
      <c r="U506" s="80">
        <f>IF($I506&gt;0,MAX(0,$G506*SIN(RADIANS('13_시나리오비교'!$B$10))*SIN(RADIANS('13_시나리오비교'!$C$10))+$H506*SIN(RADIANS('13_시나리오비교'!$B$10))*COS(RADIANS('13_시나리오비교'!$C$10))+$I506*COS(RADIANS('13_시나리오비교'!$B$10))),0)</f>
        <v/>
      </c>
      <c r="V506" s="80">
        <f>IF($I506&gt;0,MAX(0,$G506*SIN(RADIANS('13_시나리오비교'!$B$11))*SIN(RADIANS('13_시나리오비교'!$C$11))+$H506*SIN(RADIANS('13_시나리오비교'!$B$11))*COS(RADIANS('13_시나리오비교'!$C$11))+$I506*COS(RADIANS('13_시나리오비교'!$B$11))),0)</f>
        <v/>
      </c>
      <c r="W506" s="80">
        <f>IF($I506&gt;0,MAX(0,$G506*SIN(RADIANS('13_시나리오비교'!$B$12))*SIN(RADIANS('13_시나리오비교'!$C$12))+$H506*SIN(RADIANS('13_시나리오비교'!$B$12))*COS(RADIANS('13_시나리오비교'!$C$12))+$I506*COS(RADIANS('13_시나리오비교'!$B$12))),0)</f>
        <v/>
      </c>
      <c r="X506" s="80">
        <f>IF($I506&gt;0,MAX(0,$G506*SIN(RADIANS('13_시나리오비교'!$B$13))*SIN(RADIANS('13_시나리오비교'!$C$13))+$H506*SIN(RADIANS('13_시나리오비교'!$B$13))*COS(RADIANS('13_시나리오비교'!$C$13))+$I506*COS(RADIANS('13_시나리오비교'!$B$13))),0)</f>
        <v/>
      </c>
      <c r="Y506" s="80">
        <f>IF($I506&gt;0,MAX(0,$G506*SIN(RADIANS('13_시나리오비교'!$B$14))*SIN(RADIANS('13_시나리오비교'!$C$14))+$H506*SIN(RADIANS('13_시나리오비교'!$B$14))*COS(RADIANS('13_시나리오비교'!$C$14))+$I506*COS(RADIANS('13_시나리오비교'!$B$14))),0)</f>
        <v/>
      </c>
    </row>
    <row r="507" hidden="1" outlineLevel="1">
      <c r="A507" s="79" t="n">
        <v>6</v>
      </c>
      <c r="B507" s="79" t="n">
        <v>7</v>
      </c>
      <c r="C507" s="80">
        <f>(B507-0.5)*'14_지역·상수'!$H$6</f>
        <v/>
      </c>
      <c r="D507" s="79" t="n">
        <v>162</v>
      </c>
      <c r="E507" s="80">
        <f>INDEX($C$4:$C$15,MATCH(A507,$A$4:$A$15,0))</f>
        <v/>
      </c>
      <c r="F507" s="80">
        <f>15*(C507-12)</f>
        <v/>
      </c>
      <c r="G507" s="80">
        <f>-COS(RADIANS(E507))*SIN(RADIANS(F507))</f>
        <v/>
      </c>
      <c r="H507" s="80">
        <f>COS(RADIANS('11_발전량_모델'!$B$17))*SIN(RADIANS(E507))-SIN(RADIANS('11_발전량_모델'!$B$17))*COS(RADIANS(E507))*COS(RADIANS(F507))</f>
        <v/>
      </c>
      <c r="I507" s="80">
        <f>SIN(RADIANS('11_발전량_모델'!$B$17))*SIN(RADIANS(E507))+COS(RADIANS('11_발전량_모델'!$B$17))*COS(RADIANS(E507))*COS(RADIANS(F507))</f>
        <v/>
      </c>
      <c r="J507" s="80">
        <f>SIN(RADIANS('11_발전량_모델'!$B$7))*SIN(RADIANS('11_발전량_모델'!$B$8))</f>
        <v/>
      </c>
      <c r="K507" s="80">
        <f>SIN(RADIANS('11_발전량_모델'!$B$7))*COS(RADIANS('11_발전량_모델'!$B$8))</f>
        <v/>
      </c>
      <c r="L507" s="80">
        <f>COS(RADIANS('11_발전량_모델'!$B$7))</f>
        <v/>
      </c>
      <c r="M507" s="80">
        <f>G507*J507+H507*K507+I507*L507</f>
        <v/>
      </c>
      <c r="N507" s="80">
        <f>MAX(0,I507)</f>
        <v/>
      </c>
      <c r="O507" s="80">
        <f>IF(I507&gt;0,MAX(0,M507),0)</f>
        <v/>
      </c>
      <c r="P507" s="80">
        <f>IF($I507&gt;0,MAX(0,$G507*SIN(RADIANS('13_시나리오비교'!$B$5))*SIN(RADIANS('13_시나리오비교'!$C$5))+$H507*SIN(RADIANS('13_시나리오비교'!$B$5))*COS(RADIANS('13_시나리오비교'!$C$5))+$I507*COS(RADIANS('13_시나리오비교'!$B$5))),0)</f>
        <v/>
      </c>
      <c r="Q507" s="80">
        <f>IF($I507&gt;0,MAX(0,$G507*SIN(RADIANS('13_시나리오비교'!$B$6))*SIN(RADIANS('13_시나리오비교'!$C$6))+$H507*SIN(RADIANS('13_시나리오비교'!$B$6))*COS(RADIANS('13_시나리오비교'!$C$6))+$I507*COS(RADIANS('13_시나리오비교'!$B$6))),0)</f>
        <v/>
      </c>
      <c r="R507" s="80">
        <f>IF($I507&gt;0,MAX(0,$G507*SIN(RADIANS('13_시나리오비교'!$B$7))*SIN(RADIANS('13_시나리오비교'!$C$7))+$H507*SIN(RADIANS('13_시나리오비교'!$B$7))*COS(RADIANS('13_시나리오비교'!$C$7))+$I507*COS(RADIANS('13_시나리오비교'!$B$7))),0)</f>
        <v/>
      </c>
      <c r="S507" s="80">
        <f>IF($I507&gt;0,MAX(0,$G507*SIN(RADIANS('13_시나리오비교'!$B$8))*SIN(RADIANS('13_시나리오비교'!$C$8))+$H507*SIN(RADIANS('13_시나리오비교'!$B$8))*COS(RADIANS('13_시나리오비교'!$C$8))+$I507*COS(RADIANS('13_시나리오비교'!$B$8))),0)</f>
        <v/>
      </c>
      <c r="T507" s="80">
        <f>IF($I507&gt;0,MAX(0,$G507*SIN(RADIANS('13_시나리오비교'!$B$9))*SIN(RADIANS('13_시나리오비교'!$C$9))+$H507*SIN(RADIANS('13_시나리오비교'!$B$9))*COS(RADIANS('13_시나리오비교'!$C$9))+$I507*COS(RADIANS('13_시나리오비교'!$B$9))),0)</f>
        <v/>
      </c>
      <c r="U507" s="80">
        <f>IF($I507&gt;0,MAX(0,$G507*SIN(RADIANS('13_시나리오비교'!$B$10))*SIN(RADIANS('13_시나리오비교'!$C$10))+$H507*SIN(RADIANS('13_시나리오비교'!$B$10))*COS(RADIANS('13_시나리오비교'!$C$10))+$I507*COS(RADIANS('13_시나리오비교'!$B$10))),0)</f>
        <v/>
      </c>
      <c r="V507" s="80">
        <f>IF($I507&gt;0,MAX(0,$G507*SIN(RADIANS('13_시나리오비교'!$B$11))*SIN(RADIANS('13_시나리오비교'!$C$11))+$H507*SIN(RADIANS('13_시나리오비교'!$B$11))*COS(RADIANS('13_시나리오비교'!$C$11))+$I507*COS(RADIANS('13_시나리오비교'!$B$11))),0)</f>
        <v/>
      </c>
      <c r="W507" s="80">
        <f>IF($I507&gt;0,MAX(0,$G507*SIN(RADIANS('13_시나리오비교'!$B$12))*SIN(RADIANS('13_시나리오비교'!$C$12))+$H507*SIN(RADIANS('13_시나리오비교'!$B$12))*COS(RADIANS('13_시나리오비교'!$C$12))+$I507*COS(RADIANS('13_시나리오비교'!$B$12))),0)</f>
        <v/>
      </c>
      <c r="X507" s="80">
        <f>IF($I507&gt;0,MAX(0,$G507*SIN(RADIANS('13_시나리오비교'!$B$13))*SIN(RADIANS('13_시나리오비교'!$C$13))+$H507*SIN(RADIANS('13_시나리오비교'!$B$13))*COS(RADIANS('13_시나리오비교'!$C$13))+$I507*COS(RADIANS('13_시나리오비교'!$B$13))),0)</f>
        <v/>
      </c>
      <c r="Y507" s="80">
        <f>IF($I507&gt;0,MAX(0,$G507*SIN(RADIANS('13_시나리오비교'!$B$14))*SIN(RADIANS('13_시나리오비교'!$C$14))+$H507*SIN(RADIANS('13_시나리오비교'!$B$14))*COS(RADIANS('13_시나리오비교'!$C$14))+$I507*COS(RADIANS('13_시나리오비교'!$B$14))),0)</f>
        <v/>
      </c>
    </row>
    <row r="508" hidden="1" outlineLevel="1">
      <c r="A508" s="79" t="n">
        <v>6</v>
      </c>
      <c r="B508" s="79" t="n">
        <v>8</v>
      </c>
      <c r="C508" s="80">
        <f>(B508-0.5)*'14_지역·상수'!$H$6</f>
        <v/>
      </c>
      <c r="D508" s="79" t="n">
        <v>162</v>
      </c>
      <c r="E508" s="80">
        <f>INDEX($C$4:$C$15,MATCH(A508,$A$4:$A$15,0))</f>
        <v/>
      </c>
      <c r="F508" s="80">
        <f>15*(C508-12)</f>
        <v/>
      </c>
      <c r="G508" s="80">
        <f>-COS(RADIANS(E508))*SIN(RADIANS(F508))</f>
        <v/>
      </c>
      <c r="H508" s="80">
        <f>COS(RADIANS('11_발전량_모델'!$B$17))*SIN(RADIANS(E508))-SIN(RADIANS('11_발전량_모델'!$B$17))*COS(RADIANS(E508))*COS(RADIANS(F508))</f>
        <v/>
      </c>
      <c r="I508" s="80">
        <f>SIN(RADIANS('11_발전량_모델'!$B$17))*SIN(RADIANS(E508))+COS(RADIANS('11_발전량_모델'!$B$17))*COS(RADIANS(E508))*COS(RADIANS(F508))</f>
        <v/>
      </c>
      <c r="J508" s="80">
        <f>SIN(RADIANS('11_발전량_모델'!$B$7))*SIN(RADIANS('11_발전량_모델'!$B$8))</f>
        <v/>
      </c>
      <c r="K508" s="80">
        <f>SIN(RADIANS('11_발전량_모델'!$B$7))*COS(RADIANS('11_발전량_모델'!$B$8))</f>
        <v/>
      </c>
      <c r="L508" s="80">
        <f>COS(RADIANS('11_발전량_모델'!$B$7))</f>
        <v/>
      </c>
      <c r="M508" s="80">
        <f>G508*J508+H508*K508+I508*L508</f>
        <v/>
      </c>
      <c r="N508" s="80">
        <f>MAX(0,I508)</f>
        <v/>
      </c>
      <c r="O508" s="80">
        <f>IF(I508&gt;0,MAX(0,M508),0)</f>
        <v/>
      </c>
      <c r="P508" s="80">
        <f>IF($I508&gt;0,MAX(0,$G508*SIN(RADIANS('13_시나리오비교'!$B$5))*SIN(RADIANS('13_시나리오비교'!$C$5))+$H508*SIN(RADIANS('13_시나리오비교'!$B$5))*COS(RADIANS('13_시나리오비교'!$C$5))+$I508*COS(RADIANS('13_시나리오비교'!$B$5))),0)</f>
        <v/>
      </c>
      <c r="Q508" s="80">
        <f>IF($I508&gt;0,MAX(0,$G508*SIN(RADIANS('13_시나리오비교'!$B$6))*SIN(RADIANS('13_시나리오비교'!$C$6))+$H508*SIN(RADIANS('13_시나리오비교'!$B$6))*COS(RADIANS('13_시나리오비교'!$C$6))+$I508*COS(RADIANS('13_시나리오비교'!$B$6))),0)</f>
        <v/>
      </c>
      <c r="R508" s="80">
        <f>IF($I508&gt;0,MAX(0,$G508*SIN(RADIANS('13_시나리오비교'!$B$7))*SIN(RADIANS('13_시나리오비교'!$C$7))+$H508*SIN(RADIANS('13_시나리오비교'!$B$7))*COS(RADIANS('13_시나리오비교'!$C$7))+$I508*COS(RADIANS('13_시나리오비교'!$B$7))),0)</f>
        <v/>
      </c>
      <c r="S508" s="80">
        <f>IF($I508&gt;0,MAX(0,$G508*SIN(RADIANS('13_시나리오비교'!$B$8))*SIN(RADIANS('13_시나리오비교'!$C$8))+$H508*SIN(RADIANS('13_시나리오비교'!$B$8))*COS(RADIANS('13_시나리오비교'!$C$8))+$I508*COS(RADIANS('13_시나리오비교'!$B$8))),0)</f>
        <v/>
      </c>
      <c r="T508" s="80">
        <f>IF($I508&gt;0,MAX(0,$G508*SIN(RADIANS('13_시나리오비교'!$B$9))*SIN(RADIANS('13_시나리오비교'!$C$9))+$H508*SIN(RADIANS('13_시나리오비교'!$B$9))*COS(RADIANS('13_시나리오비교'!$C$9))+$I508*COS(RADIANS('13_시나리오비교'!$B$9))),0)</f>
        <v/>
      </c>
      <c r="U508" s="80">
        <f>IF($I508&gt;0,MAX(0,$G508*SIN(RADIANS('13_시나리오비교'!$B$10))*SIN(RADIANS('13_시나리오비교'!$C$10))+$H508*SIN(RADIANS('13_시나리오비교'!$B$10))*COS(RADIANS('13_시나리오비교'!$C$10))+$I508*COS(RADIANS('13_시나리오비교'!$B$10))),0)</f>
        <v/>
      </c>
      <c r="V508" s="80">
        <f>IF($I508&gt;0,MAX(0,$G508*SIN(RADIANS('13_시나리오비교'!$B$11))*SIN(RADIANS('13_시나리오비교'!$C$11))+$H508*SIN(RADIANS('13_시나리오비교'!$B$11))*COS(RADIANS('13_시나리오비교'!$C$11))+$I508*COS(RADIANS('13_시나리오비교'!$B$11))),0)</f>
        <v/>
      </c>
      <c r="W508" s="80">
        <f>IF($I508&gt;0,MAX(0,$G508*SIN(RADIANS('13_시나리오비교'!$B$12))*SIN(RADIANS('13_시나리오비교'!$C$12))+$H508*SIN(RADIANS('13_시나리오비교'!$B$12))*COS(RADIANS('13_시나리오비교'!$C$12))+$I508*COS(RADIANS('13_시나리오비교'!$B$12))),0)</f>
        <v/>
      </c>
      <c r="X508" s="80">
        <f>IF($I508&gt;0,MAX(0,$G508*SIN(RADIANS('13_시나리오비교'!$B$13))*SIN(RADIANS('13_시나리오비교'!$C$13))+$H508*SIN(RADIANS('13_시나리오비교'!$B$13))*COS(RADIANS('13_시나리오비교'!$C$13))+$I508*COS(RADIANS('13_시나리오비교'!$B$13))),0)</f>
        <v/>
      </c>
      <c r="Y508" s="80">
        <f>IF($I508&gt;0,MAX(0,$G508*SIN(RADIANS('13_시나리오비교'!$B$14))*SIN(RADIANS('13_시나리오비교'!$C$14))+$H508*SIN(RADIANS('13_시나리오비교'!$B$14))*COS(RADIANS('13_시나리오비교'!$C$14))+$I508*COS(RADIANS('13_시나리오비교'!$B$14))),0)</f>
        <v/>
      </c>
    </row>
    <row r="509" hidden="1" outlineLevel="1">
      <c r="A509" s="79" t="n">
        <v>6</v>
      </c>
      <c r="B509" s="79" t="n">
        <v>9</v>
      </c>
      <c r="C509" s="80">
        <f>(B509-0.5)*'14_지역·상수'!$H$6</f>
        <v/>
      </c>
      <c r="D509" s="79" t="n">
        <v>162</v>
      </c>
      <c r="E509" s="80">
        <f>INDEX($C$4:$C$15,MATCH(A509,$A$4:$A$15,0))</f>
        <v/>
      </c>
      <c r="F509" s="80">
        <f>15*(C509-12)</f>
        <v/>
      </c>
      <c r="G509" s="80">
        <f>-COS(RADIANS(E509))*SIN(RADIANS(F509))</f>
        <v/>
      </c>
      <c r="H509" s="80">
        <f>COS(RADIANS('11_발전량_모델'!$B$17))*SIN(RADIANS(E509))-SIN(RADIANS('11_발전량_모델'!$B$17))*COS(RADIANS(E509))*COS(RADIANS(F509))</f>
        <v/>
      </c>
      <c r="I509" s="80">
        <f>SIN(RADIANS('11_발전량_모델'!$B$17))*SIN(RADIANS(E509))+COS(RADIANS('11_발전량_모델'!$B$17))*COS(RADIANS(E509))*COS(RADIANS(F509))</f>
        <v/>
      </c>
      <c r="J509" s="80">
        <f>SIN(RADIANS('11_발전량_모델'!$B$7))*SIN(RADIANS('11_발전량_모델'!$B$8))</f>
        <v/>
      </c>
      <c r="K509" s="80">
        <f>SIN(RADIANS('11_발전량_모델'!$B$7))*COS(RADIANS('11_발전량_모델'!$B$8))</f>
        <v/>
      </c>
      <c r="L509" s="80">
        <f>COS(RADIANS('11_발전량_모델'!$B$7))</f>
        <v/>
      </c>
      <c r="M509" s="80">
        <f>G509*J509+H509*K509+I509*L509</f>
        <v/>
      </c>
      <c r="N509" s="80">
        <f>MAX(0,I509)</f>
        <v/>
      </c>
      <c r="O509" s="80">
        <f>IF(I509&gt;0,MAX(0,M509),0)</f>
        <v/>
      </c>
      <c r="P509" s="80">
        <f>IF($I509&gt;0,MAX(0,$G509*SIN(RADIANS('13_시나리오비교'!$B$5))*SIN(RADIANS('13_시나리오비교'!$C$5))+$H509*SIN(RADIANS('13_시나리오비교'!$B$5))*COS(RADIANS('13_시나리오비교'!$C$5))+$I509*COS(RADIANS('13_시나리오비교'!$B$5))),0)</f>
        <v/>
      </c>
      <c r="Q509" s="80">
        <f>IF($I509&gt;0,MAX(0,$G509*SIN(RADIANS('13_시나리오비교'!$B$6))*SIN(RADIANS('13_시나리오비교'!$C$6))+$H509*SIN(RADIANS('13_시나리오비교'!$B$6))*COS(RADIANS('13_시나리오비교'!$C$6))+$I509*COS(RADIANS('13_시나리오비교'!$B$6))),0)</f>
        <v/>
      </c>
      <c r="R509" s="80">
        <f>IF($I509&gt;0,MAX(0,$G509*SIN(RADIANS('13_시나리오비교'!$B$7))*SIN(RADIANS('13_시나리오비교'!$C$7))+$H509*SIN(RADIANS('13_시나리오비교'!$B$7))*COS(RADIANS('13_시나리오비교'!$C$7))+$I509*COS(RADIANS('13_시나리오비교'!$B$7))),0)</f>
        <v/>
      </c>
      <c r="S509" s="80">
        <f>IF($I509&gt;0,MAX(0,$G509*SIN(RADIANS('13_시나리오비교'!$B$8))*SIN(RADIANS('13_시나리오비교'!$C$8))+$H509*SIN(RADIANS('13_시나리오비교'!$B$8))*COS(RADIANS('13_시나리오비교'!$C$8))+$I509*COS(RADIANS('13_시나리오비교'!$B$8))),0)</f>
        <v/>
      </c>
      <c r="T509" s="80">
        <f>IF($I509&gt;0,MAX(0,$G509*SIN(RADIANS('13_시나리오비교'!$B$9))*SIN(RADIANS('13_시나리오비교'!$C$9))+$H509*SIN(RADIANS('13_시나리오비교'!$B$9))*COS(RADIANS('13_시나리오비교'!$C$9))+$I509*COS(RADIANS('13_시나리오비교'!$B$9))),0)</f>
        <v/>
      </c>
      <c r="U509" s="80">
        <f>IF($I509&gt;0,MAX(0,$G509*SIN(RADIANS('13_시나리오비교'!$B$10))*SIN(RADIANS('13_시나리오비교'!$C$10))+$H509*SIN(RADIANS('13_시나리오비교'!$B$10))*COS(RADIANS('13_시나리오비교'!$C$10))+$I509*COS(RADIANS('13_시나리오비교'!$B$10))),0)</f>
        <v/>
      </c>
      <c r="V509" s="80">
        <f>IF($I509&gt;0,MAX(0,$G509*SIN(RADIANS('13_시나리오비교'!$B$11))*SIN(RADIANS('13_시나리오비교'!$C$11))+$H509*SIN(RADIANS('13_시나리오비교'!$B$11))*COS(RADIANS('13_시나리오비교'!$C$11))+$I509*COS(RADIANS('13_시나리오비교'!$B$11))),0)</f>
        <v/>
      </c>
      <c r="W509" s="80">
        <f>IF($I509&gt;0,MAX(0,$G509*SIN(RADIANS('13_시나리오비교'!$B$12))*SIN(RADIANS('13_시나리오비교'!$C$12))+$H509*SIN(RADIANS('13_시나리오비교'!$B$12))*COS(RADIANS('13_시나리오비교'!$C$12))+$I509*COS(RADIANS('13_시나리오비교'!$B$12))),0)</f>
        <v/>
      </c>
      <c r="X509" s="80">
        <f>IF($I509&gt;0,MAX(0,$G509*SIN(RADIANS('13_시나리오비교'!$B$13))*SIN(RADIANS('13_시나리오비교'!$C$13))+$H509*SIN(RADIANS('13_시나리오비교'!$B$13))*COS(RADIANS('13_시나리오비교'!$C$13))+$I509*COS(RADIANS('13_시나리오비교'!$B$13))),0)</f>
        <v/>
      </c>
      <c r="Y509" s="80">
        <f>IF($I509&gt;0,MAX(0,$G509*SIN(RADIANS('13_시나리오비교'!$B$14))*SIN(RADIANS('13_시나리오비교'!$C$14))+$H509*SIN(RADIANS('13_시나리오비교'!$B$14))*COS(RADIANS('13_시나리오비교'!$C$14))+$I509*COS(RADIANS('13_시나리오비교'!$B$14))),0)</f>
        <v/>
      </c>
    </row>
    <row r="510" hidden="1" outlineLevel="1">
      <c r="A510" s="79" t="n">
        <v>6</v>
      </c>
      <c r="B510" s="79" t="n">
        <v>10</v>
      </c>
      <c r="C510" s="80">
        <f>(B510-0.5)*'14_지역·상수'!$H$6</f>
        <v/>
      </c>
      <c r="D510" s="79" t="n">
        <v>162</v>
      </c>
      <c r="E510" s="80">
        <f>INDEX($C$4:$C$15,MATCH(A510,$A$4:$A$15,0))</f>
        <v/>
      </c>
      <c r="F510" s="80">
        <f>15*(C510-12)</f>
        <v/>
      </c>
      <c r="G510" s="80">
        <f>-COS(RADIANS(E510))*SIN(RADIANS(F510))</f>
        <v/>
      </c>
      <c r="H510" s="80">
        <f>COS(RADIANS('11_발전량_모델'!$B$17))*SIN(RADIANS(E510))-SIN(RADIANS('11_발전량_모델'!$B$17))*COS(RADIANS(E510))*COS(RADIANS(F510))</f>
        <v/>
      </c>
      <c r="I510" s="80">
        <f>SIN(RADIANS('11_발전량_모델'!$B$17))*SIN(RADIANS(E510))+COS(RADIANS('11_발전량_모델'!$B$17))*COS(RADIANS(E510))*COS(RADIANS(F510))</f>
        <v/>
      </c>
      <c r="J510" s="80">
        <f>SIN(RADIANS('11_발전량_모델'!$B$7))*SIN(RADIANS('11_발전량_모델'!$B$8))</f>
        <v/>
      </c>
      <c r="K510" s="80">
        <f>SIN(RADIANS('11_발전량_모델'!$B$7))*COS(RADIANS('11_발전량_모델'!$B$8))</f>
        <v/>
      </c>
      <c r="L510" s="80">
        <f>COS(RADIANS('11_발전량_모델'!$B$7))</f>
        <v/>
      </c>
      <c r="M510" s="80">
        <f>G510*J510+H510*K510+I510*L510</f>
        <v/>
      </c>
      <c r="N510" s="80">
        <f>MAX(0,I510)</f>
        <v/>
      </c>
      <c r="O510" s="80">
        <f>IF(I510&gt;0,MAX(0,M510),0)</f>
        <v/>
      </c>
      <c r="P510" s="80">
        <f>IF($I510&gt;0,MAX(0,$G510*SIN(RADIANS('13_시나리오비교'!$B$5))*SIN(RADIANS('13_시나리오비교'!$C$5))+$H510*SIN(RADIANS('13_시나리오비교'!$B$5))*COS(RADIANS('13_시나리오비교'!$C$5))+$I510*COS(RADIANS('13_시나리오비교'!$B$5))),0)</f>
        <v/>
      </c>
      <c r="Q510" s="80">
        <f>IF($I510&gt;0,MAX(0,$G510*SIN(RADIANS('13_시나리오비교'!$B$6))*SIN(RADIANS('13_시나리오비교'!$C$6))+$H510*SIN(RADIANS('13_시나리오비교'!$B$6))*COS(RADIANS('13_시나리오비교'!$C$6))+$I510*COS(RADIANS('13_시나리오비교'!$B$6))),0)</f>
        <v/>
      </c>
      <c r="R510" s="80">
        <f>IF($I510&gt;0,MAX(0,$G510*SIN(RADIANS('13_시나리오비교'!$B$7))*SIN(RADIANS('13_시나리오비교'!$C$7))+$H510*SIN(RADIANS('13_시나리오비교'!$B$7))*COS(RADIANS('13_시나리오비교'!$C$7))+$I510*COS(RADIANS('13_시나리오비교'!$B$7))),0)</f>
        <v/>
      </c>
      <c r="S510" s="80">
        <f>IF($I510&gt;0,MAX(0,$G510*SIN(RADIANS('13_시나리오비교'!$B$8))*SIN(RADIANS('13_시나리오비교'!$C$8))+$H510*SIN(RADIANS('13_시나리오비교'!$B$8))*COS(RADIANS('13_시나리오비교'!$C$8))+$I510*COS(RADIANS('13_시나리오비교'!$B$8))),0)</f>
        <v/>
      </c>
      <c r="T510" s="80">
        <f>IF($I510&gt;0,MAX(0,$G510*SIN(RADIANS('13_시나리오비교'!$B$9))*SIN(RADIANS('13_시나리오비교'!$C$9))+$H510*SIN(RADIANS('13_시나리오비교'!$B$9))*COS(RADIANS('13_시나리오비교'!$C$9))+$I510*COS(RADIANS('13_시나리오비교'!$B$9))),0)</f>
        <v/>
      </c>
      <c r="U510" s="80">
        <f>IF($I510&gt;0,MAX(0,$G510*SIN(RADIANS('13_시나리오비교'!$B$10))*SIN(RADIANS('13_시나리오비교'!$C$10))+$H510*SIN(RADIANS('13_시나리오비교'!$B$10))*COS(RADIANS('13_시나리오비교'!$C$10))+$I510*COS(RADIANS('13_시나리오비교'!$B$10))),0)</f>
        <v/>
      </c>
      <c r="V510" s="80">
        <f>IF($I510&gt;0,MAX(0,$G510*SIN(RADIANS('13_시나리오비교'!$B$11))*SIN(RADIANS('13_시나리오비교'!$C$11))+$H510*SIN(RADIANS('13_시나리오비교'!$B$11))*COS(RADIANS('13_시나리오비교'!$C$11))+$I510*COS(RADIANS('13_시나리오비교'!$B$11))),0)</f>
        <v/>
      </c>
      <c r="W510" s="80">
        <f>IF($I510&gt;0,MAX(0,$G510*SIN(RADIANS('13_시나리오비교'!$B$12))*SIN(RADIANS('13_시나리오비교'!$C$12))+$H510*SIN(RADIANS('13_시나리오비교'!$B$12))*COS(RADIANS('13_시나리오비교'!$C$12))+$I510*COS(RADIANS('13_시나리오비교'!$B$12))),0)</f>
        <v/>
      </c>
      <c r="X510" s="80">
        <f>IF($I510&gt;0,MAX(0,$G510*SIN(RADIANS('13_시나리오비교'!$B$13))*SIN(RADIANS('13_시나리오비교'!$C$13))+$H510*SIN(RADIANS('13_시나리오비교'!$B$13))*COS(RADIANS('13_시나리오비교'!$C$13))+$I510*COS(RADIANS('13_시나리오비교'!$B$13))),0)</f>
        <v/>
      </c>
      <c r="Y510" s="80">
        <f>IF($I510&gt;0,MAX(0,$G510*SIN(RADIANS('13_시나리오비교'!$B$14))*SIN(RADIANS('13_시나리오비교'!$C$14))+$H510*SIN(RADIANS('13_시나리오비교'!$B$14))*COS(RADIANS('13_시나리오비교'!$C$14))+$I510*COS(RADIANS('13_시나리오비교'!$B$14))),0)</f>
        <v/>
      </c>
    </row>
    <row r="511" hidden="1" outlineLevel="1">
      <c r="A511" s="79" t="n">
        <v>6</v>
      </c>
      <c r="B511" s="79" t="n">
        <v>11</v>
      </c>
      <c r="C511" s="80">
        <f>(B511-0.5)*'14_지역·상수'!$H$6</f>
        <v/>
      </c>
      <c r="D511" s="79" t="n">
        <v>162</v>
      </c>
      <c r="E511" s="80">
        <f>INDEX($C$4:$C$15,MATCH(A511,$A$4:$A$15,0))</f>
        <v/>
      </c>
      <c r="F511" s="80">
        <f>15*(C511-12)</f>
        <v/>
      </c>
      <c r="G511" s="80">
        <f>-COS(RADIANS(E511))*SIN(RADIANS(F511))</f>
        <v/>
      </c>
      <c r="H511" s="80">
        <f>COS(RADIANS('11_발전량_모델'!$B$17))*SIN(RADIANS(E511))-SIN(RADIANS('11_발전량_모델'!$B$17))*COS(RADIANS(E511))*COS(RADIANS(F511))</f>
        <v/>
      </c>
      <c r="I511" s="80">
        <f>SIN(RADIANS('11_발전량_모델'!$B$17))*SIN(RADIANS(E511))+COS(RADIANS('11_발전량_모델'!$B$17))*COS(RADIANS(E511))*COS(RADIANS(F511))</f>
        <v/>
      </c>
      <c r="J511" s="80">
        <f>SIN(RADIANS('11_발전량_모델'!$B$7))*SIN(RADIANS('11_발전량_모델'!$B$8))</f>
        <v/>
      </c>
      <c r="K511" s="80">
        <f>SIN(RADIANS('11_발전량_모델'!$B$7))*COS(RADIANS('11_발전량_모델'!$B$8))</f>
        <v/>
      </c>
      <c r="L511" s="80">
        <f>COS(RADIANS('11_발전량_모델'!$B$7))</f>
        <v/>
      </c>
      <c r="M511" s="80">
        <f>G511*J511+H511*K511+I511*L511</f>
        <v/>
      </c>
      <c r="N511" s="80">
        <f>MAX(0,I511)</f>
        <v/>
      </c>
      <c r="O511" s="80">
        <f>IF(I511&gt;0,MAX(0,M511),0)</f>
        <v/>
      </c>
      <c r="P511" s="80">
        <f>IF($I511&gt;0,MAX(0,$G511*SIN(RADIANS('13_시나리오비교'!$B$5))*SIN(RADIANS('13_시나리오비교'!$C$5))+$H511*SIN(RADIANS('13_시나리오비교'!$B$5))*COS(RADIANS('13_시나리오비교'!$C$5))+$I511*COS(RADIANS('13_시나리오비교'!$B$5))),0)</f>
        <v/>
      </c>
      <c r="Q511" s="80">
        <f>IF($I511&gt;0,MAX(0,$G511*SIN(RADIANS('13_시나리오비교'!$B$6))*SIN(RADIANS('13_시나리오비교'!$C$6))+$H511*SIN(RADIANS('13_시나리오비교'!$B$6))*COS(RADIANS('13_시나리오비교'!$C$6))+$I511*COS(RADIANS('13_시나리오비교'!$B$6))),0)</f>
        <v/>
      </c>
      <c r="R511" s="80">
        <f>IF($I511&gt;0,MAX(0,$G511*SIN(RADIANS('13_시나리오비교'!$B$7))*SIN(RADIANS('13_시나리오비교'!$C$7))+$H511*SIN(RADIANS('13_시나리오비교'!$B$7))*COS(RADIANS('13_시나리오비교'!$C$7))+$I511*COS(RADIANS('13_시나리오비교'!$B$7))),0)</f>
        <v/>
      </c>
      <c r="S511" s="80">
        <f>IF($I511&gt;0,MAX(0,$G511*SIN(RADIANS('13_시나리오비교'!$B$8))*SIN(RADIANS('13_시나리오비교'!$C$8))+$H511*SIN(RADIANS('13_시나리오비교'!$B$8))*COS(RADIANS('13_시나리오비교'!$C$8))+$I511*COS(RADIANS('13_시나리오비교'!$B$8))),0)</f>
        <v/>
      </c>
      <c r="T511" s="80">
        <f>IF($I511&gt;0,MAX(0,$G511*SIN(RADIANS('13_시나리오비교'!$B$9))*SIN(RADIANS('13_시나리오비교'!$C$9))+$H511*SIN(RADIANS('13_시나리오비교'!$B$9))*COS(RADIANS('13_시나리오비교'!$C$9))+$I511*COS(RADIANS('13_시나리오비교'!$B$9))),0)</f>
        <v/>
      </c>
      <c r="U511" s="80">
        <f>IF($I511&gt;0,MAX(0,$G511*SIN(RADIANS('13_시나리오비교'!$B$10))*SIN(RADIANS('13_시나리오비교'!$C$10))+$H511*SIN(RADIANS('13_시나리오비교'!$B$10))*COS(RADIANS('13_시나리오비교'!$C$10))+$I511*COS(RADIANS('13_시나리오비교'!$B$10))),0)</f>
        <v/>
      </c>
      <c r="V511" s="80">
        <f>IF($I511&gt;0,MAX(0,$G511*SIN(RADIANS('13_시나리오비교'!$B$11))*SIN(RADIANS('13_시나리오비교'!$C$11))+$H511*SIN(RADIANS('13_시나리오비교'!$B$11))*COS(RADIANS('13_시나리오비교'!$C$11))+$I511*COS(RADIANS('13_시나리오비교'!$B$11))),0)</f>
        <v/>
      </c>
      <c r="W511" s="80">
        <f>IF($I511&gt;0,MAX(0,$G511*SIN(RADIANS('13_시나리오비교'!$B$12))*SIN(RADIANS('13_시나리오비교'!$C$12))+$H511*SIN(RADIANS('13_시나리오비교'!$B$12))*COS(RADIANS('13_시나리오비교'!$C$12))+$I511*COS(RADIANS('13_시나리오비교'!$B$12))),0)</f>
        <v/>
      </c>
      <c r="X511" s="80">
        <f>IF($I511&gt;0,MAX(0,$G511*SIN(RADIANS('13_시나리오비교'!$B$13))*SIN(RADIANS('13_시나리오비교'!$C$13))+$H511*SIN(RADIANS('13_시나리오비교'!$B$13))*COS(RADIANS('13_시나리오비교'!$C$13))+$I511*COS(RADIANS('13_시나리오비교'!$B$13))),0)</f>
        <v/>
      </c>
      <c r="Y511" s="80">
        <f>IF($I511&gt;0,MAX(0,$G511*SIN(RADIANS('13_시나리오비교'!$B$14))*SIN(RADIANS('13_시나리오비교'!$C$14))+$H511*SIN(RADIANS('13_시나리오비교'!$B$14))*COS(RADIANS('13_시나리오비교'!$C$14))+$I511*COS(RADIANS('13_시나리오비교'!$B$14))),0)</f>
        <v/>
      </c>
    </row>
    <row r="512" hidden="1" outlineLevel="1">
      <c r="A512" s="79" t="n">
        <v>6</v>
      </c>
      <c r="B512" s="79" t="n">
        <v>12</v>
      </c>
      <c r="C512" s="80">
        <f>(B512-0.5)*'14_지역·상수'!$H$6</f>
        <v/>
      </c>
      <c r="D512" s="79" t="n">
        <v>162</v>
      </c>
      <c r="E512" s="80">
        <f>INDEX($C$4:$C$15,MATCH(A512,$A$4:$A$15,0))</f>
        <v/>
      </c>
      <c r="F512" s="80">
        <f>15*(C512-12)</f>
        <v/>
      </c>
      <c r="G512" s="80">
        <f>-COS(RADIANS(E512))*SIN(RADIANS(F512))</f>
        <v/>
      </c>
      <c r="H512" s="80">
        <f>COS(RADIANS('11_발전량_모델'!$B$17))*SIN(RADIANS(E512))-SIN(RADIANS('11_발전량_모델'!$B$17))*COS(RADIANS(E512))*COS(RADIANS(F512))</f>
        <v/>
      </c>
      <c r="I512" s="80">
        <f>SIN(RADIANS('11_발전량_모델'!$B$17))*SIN(RADIANS(E512))+COS(RADIANS('11_발전량_모델'!$B$17))*COS(RADIANS(E512))*COS(RADIANS(F512))</f>
        <v/>
      </c>
      <c r="J512" s="80">
        <f>SIN(RADIANS('11_발전량_모델'!$B$7))*SIN(RADIANS('11_발전량_모델'!$B$8))</f>
        <v/>
      </c>
      <c r="K512" s="80">
        <f>SIN(RADIANS('11_발전량_모델'!$B$7))*COS(RADIANS('11_발전량_모델'!$B$8))</f>
        <v/>
      </c>
      <c r="L512" s="80">
        <f>COS(RADIANS('11_발전량_모델'!$B$7))</f>
        <v/>
      </c>
      <c r="M512" s="80">
        <f>G512*J512+H512*K512+I512*L512</f>
        <v/>
      </c>
      <c r="N512" s="80">
        <f>MAX(0,I512)</f>
        <v/>
      </c>
      <c r="O512" s="80">
        <f>IF(I512&gt;0,MAX(0,M512),0)</f>
        <v/>
      </c>
      <c r="P512" s="80">
        <f>IF($I512&gt;0,MAX(0,$G512*SIN(RADIANS('13_시나리오비교'!$B$5))*SIN(RADIANS('13_시나리오비교'!$C$5))+$H512*SIN(RADIANS('13_시나리오비교'!$B$5))*COS(RADIANS('13_시나리오비교'!$C$5))+$I512*COS(RADIANS('13_시나리오비교'!$B$5))),0)</f>
        <v/>
      </c>
      <c r="Q512" s="80">
        <f>IF($I512&gt;0,MAX(0,$G512*SIN(RADIANS('13_시나리오비교'!$B$6))*SIN(RADIANS('13_시나리오비교'!$C$6))+$H512*SIN(RADIANS('13_시나리오비교'!$B$6))*COS(RADIANS('13_시나리오비교'!$C$6))+$I512*COS(RADIANS('13_시나리오비교'!$B$6))),0)</f>
        <v/>
      </c>
      <c r="R512" s="80">
        <f>IF($I512&gt;0,MAX(0,$G512*SIN(RADIANS('13_시나리오비교'!$B$7))*SIN(RADIANS('13_시나리오비교'!$C$7))+$H512*SIN(RADIANS('13_시나리오비교'!$B$7))*COS(RADIANS('13_시나리오비교'!$C$7))+$I512*COS(RADIANS('13_시나리오비교'!$B$7))),0)</f>
        <v/>
      </c>
      <c r="S512" s="80">
        <f>IF($I512&gt;0,MAX(0,$G512*SIN(RADIANS('13_시나리오비교'!$B$8))*SIN(RADIANS('13_시나리오비교'!$C$8))+$H512*SIN(RADIANS('13_시나리오비교'!$B$8))*COS(RADIANS('13_시나리오비교'!$C$8))+$I512*COS(RADIANS('13_시나리오비교'!$B$8))),0)</f>
        <v/>
      </c>
      <c r="T512" s="80">
        <f>IF($I512&gt;0,MAX(0,$G512*SIN(RADIANS('13_시나리오비교'!$B$9))*SIN(RADIANS('13_시나리오비교'!$C$9))+$H512*SIN(RADIANS('13_시나리오비교'!$B$9))*COS(RADIANS('13_시나리오비교'!$C$9))+$I512*COS(RADIANS('13_시나리오비교'!$B$9))),0)</f>
        <v/>
      </c>
      <c r="U512" s="80">
        <f>IF($I512&gt;0,MAX(0,$G512*SIN(RADIANS('13_시나리오비교'!$B$10))*SIN(RADIANS('13_시나리오비교'!$C$10))+$H512*SIN(RADIANS('13_시나리오비교'!$B$10))*COS(RADIANS('13_시나리오비교'!$C$10))+$I512*COS(RADIANS('13_시나리오비교'!$B$10))),0)</f>
        <v/>
      </c>
      <c r="V512" s="80">
        <f>IF($I512&gt;0,MAX(0,$G512*SIN(RADIANS('13_시나리오비교'!$B$11))*SIN(RADIANS('13_시나리오비교'!$C$11))+$H512*SIN(RADIANS('13_시나리오비교'!$B$11))*COS(RADIANS('13_시나리오비교'!$C$11))+$I512*COS(RADIANS('13_시나리오비교'!$B$11))),0)</f>
        <v/>
      </c>
      <c r="W512" s="80">
        <f>IF($I512&gt;0,MAX(0,$G512*SIN(RADIANS('13_시나리오비교'!$B$12))*SIN(RADIANS('13_시나리오비교'!$C$12))+$H512*SIN(RADIANS('13_시나리오비교'!$B$12))*COS(RADIANS('13_시나리오비교'!$C$12))+$I512*COS(RADIANS('13_시나리오비교'!$B$12))),0)</f>
        <v/>
      </c>
      <c r="X512" s="80">
        <f>IF($I512&gt;0,MAX(0,$G512*SIN(RADIANS('13_시나리오비교'!$B$13))*SIN(RADIANS('13_시나리오비교'!$C$13))+$H512*SIN(RADIANS('13_시나리오비교'!$B$13))*COS(RADIANS('13_시나리오비교'!$C$13))+$I512*COS(RADIANS('13_시나리오비교'!$B$13))),0)</f>
        <v/>
      </c>
      <c r="Y512" s="80">
        <f>IF($I512&gt;0,MAX(0,$G512*SIN(RADIANS('13_시나리오비교'!$B$14))*SIN(RADIANS('13_시나리오비교'!$C$14))+$H512*SIN(RADIANS('13_시나리오비교'!$B$14))*COS(RADIANS('13_시나리오비교'!$C$14))+$I512*COS(RADIANS('13_시나리오비교'!$B$14))),0)</f>
        <v/>
      </c>
    </row>
    <row r="513" hidden="1" outlineLevel="1">
      <c r="A513" s="79" t="n">
        <v>6</v>
      </c>
      <c r="B513" s="79" t="n">
        <v>13</v>
      </c>
      <c r="C513" s="80">
        <f>(B513-0.5)*'14_지역·상수'!$H$6</f>
        <v/>
      </c>
      <c r="D513" s="79" t="n">
        <v>162</v>
      </c>
      <c r="E513" s="80">
        <f>INDEX($C$4:$C$15,MATCH(A513,$A$4:$A$15,0))</f>
        <v/>
      </c>
      <c r="F513" s="80">
        <f>15*(C513-12)</f>
        <v/>
      </c>
      <c r="G513" s="80">
        <f>-COS(RADIANS(E513))*SIN(RADIANS(F513))</f>
        <v/>
      </c>
      <c r="H513" s="80">
        <f>COS(RADIANS('11_발전량_모델'!$B$17))*SIN(RADIANS(E513))-SIN(RADIANS('11_발전량_모델'!$B$17))*COS(RADIANS(E513))*COS(RADIANS(F513))</f>
        <v/>
      </c>
      <c r="I513" s="80">
        <f>SIN(RADIANS('11_발전량_모델'!$B$17))*SIN(RADIANS(E513))+COS(RADIANS('11_발전량_모델'!$B$17))*COS(RADIANS(E513))*COS(RADIANS(F513))</f>
        <v/>
      </c>
      <c r="J513" s="80">
        <f>SIN(RADIANS('11_발전량_모델'!$B$7))*SIN(RADIANS('11_발전량_모델'!$B$8))</f>
        <v/>
      </c>
      <c r="K513" s="80">
        <f>SIN(RADIANS('11_발전량_모델'!$B$7))*COS(RADIANS('11_발전량_모델'!$B$8))</f>
        <v/>
      </c>
      <c r="L513" s="80">
        <f>COS(RADIANS('11_발전량_모델'!$B$7))</f>
        <v/>
      </c>
      <c r="M513" s="80">
        <f>G513*J513+H513*K513+I513*L513</f>
        <v/>
      </c>
      <c r="N513" s="80">
        <f>MAX(0,I513)</f>
        <v/>
      </c>
      <c r="O513" s="80">
        <f>IF(I513&gt;0,MAX(0,M513),0)</f>
        <v/>
      </c>
      <c r="P513" s="80">
        <f>IF($I513&gt;0,MAX(0,$G513*SIN(RADIANS('13_시나리오비교'!$B$5))*SIN(RADIANS('13_시나리오비교'!$C$5))+$H513*SIN(RADIANS('13_시나리오비교'!$B$5))*COS(RADIANS('13_시나리오비교'!$C$5))+$I513*COS(RADIANS('13_시나리오비교'!$B$5))),0)</f>
        <v/>
      </c>
      <c r="Q513" s="80">
        <f>IF($I513&gt;0,MAX(0,$G513*SIN(RADIANS('13_시나리오비교'!$B$6))*SIN(RADIANS('13_시나리오비교'!$C$6))+$H513*SIN(RADIANS('13_시나리오비교'!$B$6))*COS(RADIANS('13_시나리오비교'!$C$6))+$I513*COS(RADIANS('13_시나리오비교'!$B$6))),0)</f>
        <v/>
      </c>
      <c r="R513" s="80">
        <f>IF($I513&gt;0,MAX(0,$G513*SIN(RADIANS('13_시나리오비교'!$B$7))*SIN(RADIANS('13_시나리오비교'!$C$7))+$H513*SIN(RADIANS('13_시나리오비교'!$B$7))*COS(RADIANS('13_시나리오비교'!$C$7))+$I513*COS(RADIANS('13_시나리오비교'!$B$7))),0)</f>
        <v/>
      </c>
      <c r="S513" s="80">
        <f>IF($I513&gt;0,MAX(0,$G513*SIN(RADIANS('13_시나리오비교'!$B$8))*SIN(RADIANS('13_시나리오비교'!$C$8))+$H513*SIN(RADIANS('13_시나리오비교'!$B$8))*COS(RADIANS('13_시나리오비교'!$C$8))+$I513*COS(RADIANS('13_시나리오비교'!$B$8))),0)</f>
        <v/>
      </c>
      <c r="T513" s="80">
        <f>IF($I513&gt;0,MAX(0,$G513*SIN(RADIANS('13_시나리오비교'!$B$9))*SIN(RADIANS('13_시나리오비교'!$C$9))+$H513*SIN(RADIANS('13_시나리오비교'!$B$9))*COS(RADIANS('13_시나리오비교'!$C$9))+$I513*COS(RADIANS('13_시나리오비교'!$B$9))),0)</f>
        <v/>
      </c>
      <c r="U513" s="80">
        <f>IF($I513&gt;0,MAX(0,$G513*SIN(RADIANS('13_시나리오비교'!$B$10))*SIN(RADIANS('13_시나리오비교'!$C$10))+$H513*SIN(RADIANS('13_시나리오비교'!$B$10))*COS(RADIANS('13_시나리오비교'!$C$10))+$I513*COS(RADIANS('13_시나리오비교'!$B$10))),0)</f>
        <v/>
      </c>
      <c r="V513" s="80">
        <f>IF($I513&gt;0,MAX(0,$G513*SIN(RADIANS('13_시나리오비교'!$B$11))*SIN(RADIANS('13_시나리오비교'!$C$11))+$H513*SIN(RADIANS('13_시나리오비교'!$B$11))*COS(RADIANS('13_시나리오비교'!$C$11))+$I513*COS(RADIANS('13_시나리오비교'!$B$11))),0)</f>
        <v/>
      </c>
      <c r="W513" s="80">
        <f>IF($I513&gt;0,MAX(0,$G513*SIN(RADIANS('13_시나리오비교'!$B$12))*SIN(RADIANS('13_시나리오비교'!$C$12))+$H513*SIN(RADIANS('13_시나리오비교'!$B$12))*COS(RADIANS('13_시나리오비교'!$C$12))+$I513*COS(RADIANS('13_시나리오비교'!$B$12))),0)</f>
        <v/>
      </c>
      <c r="X513" s="80">
        <f>IF($I513&gt;0,MAX(0,$G513*SIN(RADIANS('13_시나리오비교'!$B$13))*SIN(RADIANS('13_시나리오비교'!$C$13))+$H513*SIN(RADIANS('13_시나리오비교'!$B$13))*COS(RADIANS('13_시나리오비교'!$C$13))+$I513*COS(RADIANS('13_시나리오비교'!$B$13))),0)</f>
        <v/>
      </c>
      <c r="Y513" s="80">
        <f>IF($I513&gt;0,MAX(0,$G513*SIN(RADIANS('13_시나리오비교'!$B$14))*SIN(RADIANS('13_시나리오비교'!$C$14))+$H513*SIN(RADIANS('13_시나리오비교'!$B$14))*COS(RADIANS('13_시나리오비교'!$C$14))+$I513*COS(RADIANS('13_시나리오비교'!$B$14))),0)</f>
        <v/>
      </c>
    </row>
    <row r="514" hidden="1" outlineLevel="1">
      <c r="A514" s="79" t="n">
        <v>6</v>
      </c>
      <c r="B514" s="79" t="n">
        <v>14</v>
      </c>
      <c r="C514" s="80">
        <f>(B514-0.5)*'14_지역·상수'!$H$6</f>
        <v/>
      </c>
      <c r="D514" s="79" t="n">
        <v>162</v>
      </c>
      <c r="E514" s="80">
        <f>INDEX($C$4:$C$15,MATCH(A514,$A$4:$A$15,0))</f>
        <v/>
      </c>
      <c r="F514" s="80">
        <f>15*(C514-12)</f>
        <v/>
      </c>
      <c r="G514" s="80">
        <f>-COS(RADIANS(E514))*SIN(RADIANS(F514))</f>
        <v/>
      </c>
      <c r="H514" s="80">
        <f>COS(RADIANS('11_발전량_모델'!$B$17))*SIN(RADIANS(E514))-SIN(RADIANS('11_발전량_모델'!$B$17))*COS(RADIANS(E514))*COS(RADIANS(F514))</f>
        <v/>
      </c>
      <c r="I514" s="80">
        <f>SIN(RADIANS('11_발전량_모델'!$B$17))*SIN(RADIANS(E514))+COS(RADIANS('11_발전량_모델'!$B$17))*COS(RADIANS(E514))*COS(RADIANS(F514))</f>
        <v/>
      </c>
      <c r="J514" s="80">
        <f>SIN(RADIANS('11_발전량_모델'!$B$7))*SIN(RADIANS('11_발전량_모델'!$B$8))</f>
        <v/>
      </c>
      <c r="K514" s="80">
        <f>SIN(RADIANS('11_발전량_모델'!$B$7))*COS(RADIANS('11_발전량_모델'!$B$8))</f>
        <v/>
      </c>
      <c r="L514" s="80">
        <f>COS(RADIANS('11_발전량_모델'!$B$7))</f>
        <v/>
      </c>
      <c r="M514" s="80">
        <f>G514*J514+H514*K514+I514*L514</f>
        <v/>
      </c>
      <c r="N514" s="80">
        <f>MAX(0,I514)</f>
        <v/>
      </c>
      <c r="O514" s="80">
        <f>IF(I514&gt;0,MAX(0,M514),0)</f>
        <v/>
      </c>
      <c r="P514" s="80">
        <f>IF($I514&gt;0,MAX(0,$G514*SIN(RADIANS('13_시나리오비교'!$B$5))*SIN(RADIANS('13_시나리오비교'!$C$5))+$H514*SIN(RADIANS('13_시나리오비교'!$B$5))*COS(RADIANS('13_시나리오비교'!$C$5))+$I514*COS(RADIANS('13_시나리오비교'!$B$5))),0)</f>
        <v/>
      </c>
      <c r="Q514" s="80">
        <f>IF($I514&gt;0,MAX(0,$G514*SIN(RADIANS('13_시나리오비교'!$B$6))*SIN(RADIANS('13_시나리오비교'!$C$6))+$H514*SIN(RADIANS('13_시나리오비교'!$B$6))*COS(RADIANS('13_시나리오비교'!$C$6))+$I514*COS(RADIANS('13_시나리오비교'!$B$6))),0)</f>
        <v/>
      </c>
      <c r="R514" s="80">
        <f>IF($I514&gt;0,MAX(0,$G514*SIN(RADIANS('13_시나리오비교'!$B$7))*SIN(RADIANS('13_시나리오비교'!$C$7))+$H514*SIN(RADIANS('13_시나리오비교'!$B$7))*COS(RADIANS('13_시나리오비교'!$C$7))+$I514*COS(RADIANS('13_시나리오비교'!$B$7))),0)</f>
        <v/>
      </c>
      <c r="S514" s="80">
        <f>IF($I514&gt;0,MAX(0,$G514*SIN(RADIANS('13_시나리오비교'!$B$8))*SIN(RADIANS('13_시나리오비교'!$C$8))+$H514*SIN(RADIANS('13_시나리오비교'!$B$8))*COS(RADIANS('13_시나리오비교'!$C$8))+$I514*COS(RADIANS('13_시나리오비교'!$B$8))),0)</f>
        <v/>
      </c>
      <c r="T514" s="80">
        <f>IF($I514&gt;0,MAX(0,$G514*SIN(RADIANS('13_시나리오비교'!$B$9))*SIN(RADIANS('13_시나리오비교'!$C$9))+$H514*SIN(RADIANS('13_시나리오비교'!$B$9))*COS(RADIANS('13_시나리오비교'!$C$9))+$I514*COS(RADIANS('13_시나리오비교'!$B$9))),0)</f>
        <v/>
      </c>
      <c r="U514" s="80">
        <f>IF($I514&gt;0,MAX(0,$G514*SIN(RADIANS('13_시나리오비교'!$B$10))*SIN(RADIANS('13_시나리오비교'!$C$10))+$H514*SIN(RADIANS('13_시나리오비교'!$B$10))*COS(RADIANS('13_시나리오비교'!$C$10))+$I514*COS(RADIANS('13_시나리오비교'!$B$10))),0)</f>
        <v/>
      </c>
      <c r="V514" s="80">
        <f>IF($I514&gt;0,MAX(0,$G514*SIN(RADIANS('13_시나리오비교'!$B$11))*SIN(RADIANS('13_시나리오비교'!$C$11))+$H514*SIN(RADIANS('13_시나리오비교'!$B$11))*COS(RADIANS('13_시나리오비교'!$C$11))+$I514*COS(RADIANS('13_시나리오비교'!$B$11))),0)</f>
        <v/>
      </c>
      <c r="W514" s="80">
        <f>IF($I514&gt;0,MAX(0,$G514*SIN(RADIANS('13_시나리오비교'!$B$12))*SIN(RADIANS('13_시나리오비교'!$C$12))+$H514*SIN(RADIANS('13_시나리오비교'!$B$12))*COS(RADIANS('13_시나리오비교'!$C$12))+$I514*COS(RADIANS('13_시나리오비교'!$B$12))),0)</f>
        <v/>
      </c>
      <c r="X514" s="80">
        <f>IF($I514&gt;0,MAX(0,$G514*SIN(RADIANS('13_시나리오비교'!$B$13))*SIN(RADIANS('13_시나리오비교'!$C$13))+$H514*SIN(RADIANS('13_시나리오비교'!$B$13))*COS(RADIANS('13_시나리오비교'!$C$13))+$I514*COS(RADIANS('13_시나리오비교'!$B$13))),0)</f>
        <v/>
      </c>
      <c r="Y514" s="80">
        <f>IF($I514&gt;0,MAX(0,$G514*SIN(RADIANS('13_시나리오비교'!$B$14))*SIN(RADIANS('13_시나리오비교'!$C$14))+$H514*SIN(RADIANS('13_시나리오비교'!$B$14))*COS(RADIANS('13_시나리오비교'!$C$14))+$I514*COS(RADIANS('13_시나리오비교'!$B$14))),0)</f>
        <v/>
      </c>
    </row>
    <row r="515" hidden="1" outlineLevel="1">
      <c r="A515" s="79" t="n">
        <v>6</v>
      </c>
      <c r="B515" s="79" t="n">
        <v>15</v>
      </c>
      <c r="C515" s="80">
        <f>(B515-0.5)*'14_지역·상수'!$H$6</f>
        <v/>
      </c>
      <c r="D515" s="79" t="n">
        <v>162</v>
      </c>
      <c r="E515" s="80">
        <f>INDEX($C$4:$C$15,MATCH(A515,$A$4:$A$15,0))</f>
        <v/>
      </c>
      <c r="F515" s="80">
        <f>15*(C515-12)</f>
        <v/>
      </c>
      <c r="G515" s="80">
        <f>-COS(RADIANS(E515))*SIN(RADIANS(F515))</f>
        <v/>
      </c>
      <c r="H515" s="80">
        <f>COS(RADIANS('11_발전량_모델'!$B$17))*SIN(RADIANS(E515))-SIN(RADIANS('11_발전량_모델'!$B$17))*COS(RADIANS(E515))*COS(RADIANS(F515))</f>
        <v/>
      </c>
      <c r="I515" s="80">
        <f>SIN(RADIANS('11_발전량_모델'!$B$17))*SIN(RADIANS(E515))+COS(RADIANS('11_발전량_모델'!$B$17))*COS(RADIANS(E515))*COS(RADIANS(F515))</f>
        <v/>
      </c>
      <c r="J515" s="80">
        <f>SIN(RADIANS('11_발전량_모델'!$B$7))*SIN(RADIANS('11_발전량_모델'!$B$8))</f>
        <v/>
      </c>
      <c r="K515" s="80">
        <f>SIN(RADIANS('11_발전량_모델'!$B$7))*COS(RADIANS('11_발전량_모델'!$B$8))</f>
        <v/>
      </c>
      <c r="L515" s="80">
        <f>COS(RADIANS('11_발전량_모델'!$B$7))</f>
        <v/>
      </c>
      <c r="M515" s="80">
        <f>G515*J515+H515*K515+I515*L515</f>
        <v/>
      </c>
      <c r="N515" s="80">
        <f>MAX(0,I515)</f>
        <v/>
      </c>
      <c r="O515" s="80">
        <f>IF(I515&gt;0,MAX(0,M515),0)</f>
        <v/>
      </c>
      <c r="P515" s="80">
        <f>IF($I515&gt;0,MAX(0,$G515*SIN(RADIANS('13_시나리오비교'!$B$5))*SIN(RADIANS('13_시나리오비교'!$C$5))+$H515*SIN(RADIANS('13_시나리오비교'!$B$5))*COS(RADIANS('13_시나리오비교'!$C$5))+$I515*COS(RADIANS('13_시나리오비교'!$B$5))),0)</f>
        <v/>
      </c>
      <c r="Q515" s="80">
        <f>IF($I515&gt;0,MAX(0,$G515*SIN(RADIANS('13_시나리오비교'!$B$6))*SIN(RADIANS('13_시나리오비교'!$C$6))+$H515*SIN(RADIANS('13_시나리오비교'!$B$6))*COS(RADIANS('13_시나리오비교'!$C$6))+$I515*COS(RADIANS('13_시나리오비교'!$B$6))),0)</f>
        <v/>
      </c>
      <c r="R515" s="80">
        <f>IF($I515&gt;0,MAX(0,$G515*SIN(RADIANS('13_시나리오비교'!$B$7))*SIN(RADIANS('13_시나리오비교'!$C$7))+$H515*SIN(RADIANS('13_시나리오비교'!$B$7))*COS(RADIANS('13_시나리오비교'!$C$7))+$I515*COS(RADIANS('13_시나리오비교'!$B$7))),0)</f>
        <v/>
      </c>
      <c r="S515" s="80">
        <f>IF($I515&gt;0,MAX(0,$G515*SIN(RADIANS('13_시나리오비교'!$B$8))*SIN(RADIANS('13_시나리오비교'!$C$8))+$H515*SIN(RADIANS('13_시나리오비교'!$B$8))*COS(RADIANS('13_시나리오비교'!$C$8))+$I515*COS(RADIANS('13_시나리오비교'!$B$8))),0)</f>
        <v/>
      </c>
      <c r="T515" s="80">
        <f>IF($I515&gt;0,MAX(0,$G515*SIN(RADIANS('13_시나리오비교'!$B$9))*SIN(RADIANS('13_시나리오비교'!$C$9))+$H515*SIN(RADIANS('13_시나리오비교'!$B$9))*COS(RADIANS('13_시나리오비교'!$C$9))+$I515*COS(RADIANS('13_시나리오비교'!$B$9))),0)</f>
        <v/>
      </c>
      <c r="U515" s="80">
        <f>IF($I515&gt;0,MAX(0,$G515*SIN(RADIANS('13_시나리오비교'!$B$10))*SIN(RADIANS('13_시나리오비교'!$C$10))+$H515*SIN(RADIANS('13_시나리오비교'!$B$10))*COS(RADIANS('13_시나리오비교'!$C$10))+$I515*COS(RADIANS('13_시나리오비교'!$B$10))),0)</f>
        <v/>
      </c>
      <c r="V515" s="80">
        <f>IF($I515&gt;0,MAX(0,$G515*SIN(RADIANS('13_시나리오비교'!$B$11))*SIN(RADIANS('13_시나리오비교'!$C$11))+$H515*SIN(RADIANS('13_시나리오비교'!$B$11))*COS(RADIANS('13_시나리오비교'!$C$11))+$I515*COS(RADIANS('13_시나리오비교'!$B$11))),0)</f>
        <v/>
      </c>
      <c r="W515" s="80">
        <f>IF($I515&gt;0,MAX(0,$G515*SIN(RADIANS('13_시나리오비교'!$B$12))*SIN(RADIANS('13_시나리오비교'!$C$12))+$H515*SIN(RADIANS('13_시나리오비교'!$B$12))*COS(RADIANS('13_시나리오비교'!$C$12))+$I515*COS(RADIANS('13_시나리오비교'!$B$12))),0)</f>
        <v/>
      </c>
      <c r="X515" s="80">
        <f>IF($I515&gt;0,MAX(0,$G515*SIN(RADIANS('13_시나리오비교'!$B$13))*SIN(RADIANS('13_시나리오비교'!$C$13))+$H515*SIN(RADIANS('13_시나리오비교'!$B$13))*COS(RADIANS('13_시나리오비교'!$C$13))+$I515*COS(RADIANS('13_시나리오비교'!$B$13))),0)</f>
        <v/>
      </c>
      <c r="Y515" s="80">
        <f>IF($I515&gt;0,MAX(0,$G515*SIN(RADIANS('13_시나리오비교'!$B$14))*SIN(RADIANS('13_시나리오비교'!$C$14))+$H515*SIN(RADIANS('13_시나리오비교'!$B$14))*COS(RADIANS('13_시나리오비교'!$C$14))+$I515*COS(RADIANS('13_시나리오비교'!$B$14))),0)</f>
        <v/>
      </c>
    </row>
    <row r="516" hidden="1" outlineLevel="1">
      <c r="A516" s="79" t="n">
        <v>6</v>
      </c>
      <c r="B516" s="79" t="n">
        <v>16</v>
      </c>
      <c r="C516" s="80">
        <f>(B516-0.5)*'14_지역·상수'!$H$6</f>
        <v/>
      </c>
      <c r="D516" s="79" t="n">
        <v>162</v>
      </c>
      <c r="E516" s="80">
        <f>INDEX($C$4:$C$15,MATCH(A516,$A$4:$A$15,0))</f>
        <v/>
      </c>
      <c r="F516" s="80">
        <f>15*(C516-12)</f>
        <v/>
      </c>
      <c r="G516" s="80">
        <f>-COS(RADIANS(E516))*SIN(RADIANS(F516))</f>
        <v/>
      </c>
      <c r="H516" s="80">
        <f>COS(RADIANS('11_발전량_모델'!$B$17))*SIN(RADIANS(E516))-SIN(RADIANS('11_발전량_모델'!$B$17))*COS(RADIANS(E516))*COS(RADIANS(F516))</f>
        <v/>
      </c>
      <c r="I516" s="80">
        <f>SIN(RADIANS('11_발전량_모델'!$B$17))*SIN(RADIANS(E516))+COS(RADIANS('11_발전량_모델'!$B$17))*COS(RADIANS(E516))*COS(RADIANS(F516))</f>
        <v/>
      </c>
      <c r="J516" s="80">
        <f>SIN(RADIANS('11_발전량_모델'!$B$7))*SIN(RADIANS('11_발전량_모델'!$B$8))</f>
        <v/>
      </c>
      <c r="K516" s="80">
        <f>SIN(RADIANS('11_발전량_모델'!$B$7))*COS(RADIANS('11_발전량_모델'!$B$8))</f>
        <v/>
      </c>
      <c r="L516" s="80">
        <f>COS(RADIANS('11_발전량_모델'!$B$7))</f>
        <v/>
      </c>
      <c r="M516" s="80">
        <f>G516*J516+H516*K516+I516*L516</f>
        <v/>
      </c>
      <c r="N516" s="80">
        <f>MAX(0,I516)</f>
        <v/>
      </c>
      <c r="O516" s="80">
        <f>IF(I516&gt;0,MAX(0,M516),0)</f>
        <v/>
      </c>
      <c r="P516" s="80">
        <f>IF($I516&gt;0,MAX(0,$G516*SIN(RADIANS('13_시나리오비교'!$B$5))*SIN(RADIANS('13_시나리오비교'!$C$5))+$H516*SIN(RADIANS('13_시나리오비교'!$B$5))*COS(RADIANS('13_시나리오비교'!$C$5))+$I516*COS(RADIANS('13_시나리오비교'!$B$5))),0)</f>
        <v/>
      </c>
      <c r="Q516" s="80">
        <f>IF($I516&gt;0,MAX(0,$G516*SIN(RADIANS('13_시나리오비교'!$B$6))*SIN(RADIANS('13_시나리오비교'!$C$6))+$H516*SIN(RADIANS('13_시나리오비교'!$B$6))*COS(RADIANS('13_시나리오비교'!$C$6))+$I516*COS(RADIANS('13_시나리오비교'!$B$6))),0)</f>
        <v/>
      </c>
      <c r="R516" s="80">
        <f>IF($I516&gt;0,MAX(0,$G516*SIN(RADIANS('13_시나리오비교'!$B$7))*SIN(RADIANS('13_시나리오비교'!$C$7))+$H516*SIN(RADIANS('13_시나리오비교'!$B$7))*COS(RADIANS('13_시나리오비교'!$C$7))+$I516*COS(RADIANS('13_시나리오비교'!$B$7))),0)</f>
        <v/>
      </c>
      <c r="S516" s="80">
        <f>IF($I516&gt;0,MAX(0,$G516*SIN(RADIANS('13_시나리오비교'!$B$8))*SIN(RADIANS('13_시나리오비교'!$C$8))+$H516*SIN(RADIANS('13_시나리오비교'!$B$8))*COS(RADIANS('13_시나리오비교'!$C$8))+$I516*COS(RADIANS('13_시나리오비교'!$B$8))),0)</f>
        <v/>
      </c>
      <c r="T516" s="80">
        <f>IF($I516&gt;0,MAX(0,$G516*SIN(RADIANS('13_시나리오비교'!$B$9))*SIN(RADIANS('13_시나리오비교'!$C$9))+$H516*SIN(RADIANS('13_시나리오비교'!$B$9))*COS(RADIANS('13_시나리오비교'!$C$9))+$I516*COS(RADIANS('13_시나리오비교'!$B$9))),0)</f>
        <v/>
      </c>
      <c r="U516" s="80">
        <f>IF($I516&gt;0,MAX(0,$G516*SIN(RADIANS('13_시나리오비교'!$B$10))*SIN(RADIANS('13_시나리오비교'!$C$10))+$H516*SIN(RADIANS('13_시나리오비교'!$B$10))*COS(RADIANS('13_시나리오비교'!$C$10))+$I516*COS(RADIANS('13_시나리오비교'!$B$10))),0)</f>
        <v/>
      </c>
      <c r="V516" s="80">
        <f>IF($I516&gt;0,MAX(0,$G516*SIN(RADIANS('13_시나리오비교'!$B$11))*SIN(RADIANS('13_시나리오비교'!$C$11))+$H516*SIN(RADIANS('13_시나리오비교'!$B$11))*COS(RADIANS('13_시나리오비교'!$C$11))+$I516*COS(RADIANS('13_시나리오비교'!$B$11))),0)</f>
        <v/>
      </c>
      <c r="W516" s="80">
        <f>IF($I516&gt;0,MAX(0,$G516*SIN(RADIANS('13_시나리오비교'!$B$12))*SIN(RADIANS('13_시나리오비교'!$C$12))+$H516*SIN(RADIANS('13_시나리오비교'!$B$12))*COS(RADIANS('13_시나리오비교'!$C$12))+$I516*COS(RADIANS('13_시나리오비교'!$B$12))),0)</f>
        <v/>
      </c>
      <c r="X516" s="80">
        <f>IF($I516&gt;0,MAX(0,$G516*SIN(RADIANS('13_시나리오비교'!$B$13))*SIN(RADIANS('13_시나리오비교'!$C$13))+$H516*SIN(RADIANS('13_시나리오비교'!$B$13))*COS(RADIANS('13_시나리오비교'!$C$13))+$I516*COS(RADIANS('13_시나리오비교'!$B$13))),0)</f>
        <v/>
      </c>
      <c r="Y516" s="80">
        <f>IF($I516&gt;0,MAX(0,$G516*SIN(RADIANS('13_시나리오비교'!$B$14))*SIN(RADIANS('13_시나리오비교'!$C$14))+$H516*SIN(RADIANS('13_시나리오비교'!$B$14))*COS(RADIANS('13_시나리오비교'!$C$14))+$I516*COS(RADIANS('13_시나리오비교'!$B$14))),0)</f>
        <v/>
      </c>
    </row>
    <row r="517" hidden="1" outlineLevel="1">
      <c r="A517" s="79" t="n">
        <v>6</v>
      </c>
      <c r="B517" s="79" t="n">
        <v>17</v>
      </c>
      <c r="C517" s="80">
        <f>(B517-0.5)*'14_지역·상수'!$H$6</f>
        <v/>
      </c>
      <c r="D517" s="79" t="n">
        <v>162</v>
      </c>
      <c r="E517" s="80">
        <f>INDEX($C$4:$C$15,MATCH(A517,$A$4:$A$15,0))</f>
        <v/>
      </c>
      <c r="F517" s="80">
        <f>15*(C517-12)</f>
        <v/>
      </c>
      <c r="G517" s="80">
        <f>-COS(RADIANS(E517))*SIN(RADIANS(F517))</f>
        <v/>
      </c>
      <c r="H517" s="80">
        <f>COS(RADIANS('11_발전량_모델'!$B$17))*SIN(RADIANS(E517))-SIN(RADIANS('11_발전량_모델'!$B$17))*COS(RADIANS(E517))*COS(RADIANS(F517))</f>
        <v/>
      </c>
      <c r="I517" s="80">
        <f>SIN(RADIANS('11_발전량_모델'!$B$17))*SIN(RADIANS(E517))+COS(RADIANS('11_발전량_모델'!$B$17))*COS(RADIANS(E517))*COS(RADIANS(F517))</f>
        <v/>
      </c>
      <c r="J517" s="80">
        <f>SIN(RADIANS('11_발전량_모델'!$B$7))*SIN(RADIANS('11_발전량_모델'!$B$8))</f>
        <v/>
      </c>
      <c r="K517" s="80">
        <f>SIN(RADIANS('11_발전량_모델'!$B$7))*COS(RADIANS('11_발전량_모델'!$B$8))</f>
        <v/>
      </c>
      <c r="L517" s="80">
        <f>COS(RADIANS('11_발전량_모델'!$B$7))</f>
        <v/>
      </c>
      <c r="M517" s="80">
        <f>G517*J517+H517*K517+I517*L517</f>
        <v/>
      </c>
      <c r="N517" s="80">
        <f>MAX(0,I517)</f>
        <v/>
      </c>
      <c r="O517" s="80">
        <f>IF(I517&gt;0,MAX(0,M517),0)</f>
        <v/>
      </c>
      <c r="P517" s="80">
        <f>IF($I517&gt;0,MAX(0,$G517*SIN(RADIANS('13_시나리오비교'!$B$5))*SIN(RADIANS('13_시나리오비교'!$C$5))+$H517*SIN(RADIANS('13_시나리오비교'!$B$5))*COS(RADIANS('13_시나리오비교'!$C$5))+$I517*COS(RADIANS('13_시나리오비교'!$B$5))),0)</f>
        <v/>
      </c>
      <c r="Q517" s="80">
        <f>IF($I517&gt;0,MAX(0,$G517*SIN(RADIANS('13_시나리오비교'!$B$6))*SIN(RADIANS('13_시나리오비교'!$C$6))+$H517*SIN(RADIANS('13_시나리오비교'!$B$6))*COS(RADIANS('13_시나리오비교'!$C$6))+$I517*COS(RADIANS('13_시나리오비교'!$B$6))),0)</f>
        <v/>
      </c>
      <c r="R517" s="80">
        <f>IF($I517&gt;0,MAX(0,$G517*SIN(RADIANS('13_시나리오비교'!$B$7))*SIN(RADIANS('13_시나리오비교'!$C$7))+$H517*SIN(RADIANS('13_시나리오비교'!$B$7))*COS(RADIANS('13_시나리오비교'!$C$7))+$I517*COS(RADIANS('13_시나리오비교'!$B$7))),0)</f>
        <v/>
      </c>
      <c r="S517" s="80">
        <f>IF($I517&gt;0,MAX(0,$G517*SIN(RADIANS('13_시나리오비교'!$B$8))*SIN(RADIANS('13_시나리오비교'!$C$8))+$H517*SIN(RADIANS('13_시나리오비교'!$B$8))*COS(RADIANS('13_시나리오비교'!$C$8))+$I517*COS(RADIANS('13_시나리오비교'!$B$8))),0)</f>
        <v/>
      </c>
      <c r="T517" s="80">
        <f>IF($I517&gt;0,MAX(0,$G517*SIN(RADIANS('13_시나리오비교'!$B$9))*SIN(RADIANS('13_시나리오비교'!$C$9))+$H517*SIN(RADIANS('13_시나리오비교'!$B$9))*COS(RADIANS('13_시나리오비교'!$C$9))+$I517*COS(RADIANS('13_시나리오비교'!$B$9))),0)</f>
        <v/>
      </c>
      <c r="U517" s="80">
        <f>IF($I517&gt;0,MAX(0,$G517*SIN(RADIANS('13_시나리오비교'!$B$10))*SIN(RADIANS('13_시나리오비교'!$C$10))+$H517*SIN(RADIANS('13_시나리오비교'!$B$10))*COS(RADIANS('13_시나리오비교'!$C$10))+$I517*COS(RADIANS('13_시나리오비교'!$B$10))),0)</f>
        <v/>
      </c>
      <c r="V517" s="80">
        <f>IF($I517&gt;0,MAX(0,$G517*SIN(RADIANS('13_시나리오비교'!$B$11))*SIN(RADIANS('13_시나리오비교'!$C$11))+$H517*SIN(RADIANS('13_시나리오비교'!$B$11))*COS(RADIANS('13_시나리오비교'!$C$11))+$I517*COS(RADIANS('13_시나리오비교'!$B$11))),0)</f>
        <v/>
      </c>
      <c r="W517" s="80">
        <f>IF($I517&gt;0,MAX(0,$G517*SIN(RADIANS('13_시나리오비교'!$B$12))*SIN(RADIANS('13_시나리오비교'!$C$12))+$H517*SIN(RADIANS('13_시나리오비교'!$B$12))*COS(RADIANS('13_시나리오비교'!$C$12))+$I517*COS(RADIANS('13_시나리오비교'!$B$12))),0)</f>
        <v/>
      </c>
      <c r="X517" s="80">
        <f>IF($I517&gt;0,MAX(0,$G517*SIN(RADIANS('13_시나리오비교'!$B$13))*SIN(RADIANS('13_시나리오비교'!$C$13))+$H517*SIN(RADIANS('13_시나리오비교'!$B$13))*COS(RADIANS('13_시나리오비교'!$C$13))+$I517*COS(RADIANS('13_시나리오비교'!$B$13))),0)</f>
        <v/>
      </c>
      <c r="Y517" s="80">
        <f>IF($I517&gt;0,MAX(0,$G517*SIN(RADIANS('13_시나리오비교'!$B$14))*SIN(RADIANS('13_시나리오비교'!$C$14))+$H517*SIN(RADIANS('13_시나리오비교'!$B$14))*COS(RADIANS('13_시나리오비교'!$C$14))+$I517*COS(RADIANS('13_시나리오비교'!$B$14))),0)</f>
        <v/>
      </c>
    </row>
    <row r="518" hidden="1" outlineLevel="1">
      <c r="A518" s="79" t="n">
        <v>6</v>
      </c>
      <c r="B518" s="79" t="n">
        <v>18</v>
      </c>
      <c r="C518" s="80">
        <f>(B518-0.5)*'14_지역·상수'!$H$6</f>
        <v/>
      </c>
      <c r="D518" s="79" t="n">
        <v>162</v>
      </c>
      <c r="E518" s="80">
        <f>INDEX($C$4:$C$15,MATCH(A518,$A$4:$A$15,0))</f>
        <v/>
      </c>
      <c r="F518" s="80">
        <f>15*(C518-12)</f>
        <v/>
      </c>
      <c r="G518" s="80">
        <f>-COS(RADIANS(E518))*SIN(RADIANS(F518))</f>
        <v/>
      </c>
      <c r="H518" s="80">
        <f>COS(RADIANS('11_발전량_모델'!$B$17))*SIN(RADIANS(E518))-SIN(RADIANS('11_발전량_모델'!$B$17))*COS(RADIANS(E518))*COS(RADIANS(F518))</f>
        <v/>
      </c>
      <c r="I518" s="80">
        <f>SIN(RADIANS('11_발전량_모델'!$B$17))*SIN(RADIANS(E518))+COS(RADIANS('11_발전량_모델'!$B$17))*COS(RADIANS(E518))*COS(RADIANS(F518))</f>
        <v/>
      </c>
      <c r="J518" s="80">
        <f>SIN(RADIANS('11_발전량_모델'!$B$7))*SIN(RADIANS('11_발전량_모델'!$B$8))</f>
        <v/>
      </c>
      <c r="K518" s="80">
        <f>SIN(RADIANS('11_발전량_모델'!$B$7))*COS(RADIANS('11_발전량_모델'!$B$8))</f>
        <v/>
      </c>
      <c r="L518" s="80">
        <f>COS(RADIANS('11_발전량_모델'!$B$7))</f>
        <v/>
      </c>
      <c r="M518" s="80">
        <f>G518*J518+H518*K518+I518*L518</f>
        <v/>
      </c>
      <c r="N518" s="80">
        <f>MAX(0,I518)</f>
        <v/>
      </c>
      <c r="O518" s="80">
        <f>IF(I518&gt;0,MAX(0,M518),0)</f>
        <v/>
      </c>
      <c r="P518" s="80">
        <f>IF($I518&gt;0,MAX(0,$G518*SIN(RADIANS('13_시나리오비교'!$B$5))*SIN(RADIANS('13_시나리오비교'!$C$5))+$H518*SIN(RADIANS('13_시나리오비교'!$B$5))*COS(RADIANS('13_시나리오비교'!$C$5))+$I518*COS(RADIANS('13_시나리오비교'!$B$5))),0)</f>
        <v/>
      </c>
      <c r="Q518" s="80">
        <f>IF($I518&gt;0,MAX(0,$G518*SIN(RADIANS('13_시나리오비교'!$B$6))*SIN(RADIANS('13_시나리오비교'!$C$6))+$H518*SIN(RADIANS('13_시나리오비교'!$B$6))*COS(RADIANS('13_시나리오비교'!$C$6))+$I518*COS(RADIANS('13_시나리오비교'!$B$6))),0)</f>
        <v/>
      </c>
      <c r="R518" s="80">
        <f>IF($I518&gt;0,MAX(0,$G518*SIN(RADIANS('13_시나리오비교'!$B$7))*SIN(RADIANS('13_시나리오비교'!$C$7))+$H518*SIN(RADIANS('13_시나리오비교'!$B$7))*COS(RADIANS('13_시나리오비교'!$C$7))+$I518*COS(RADIANS('13_시나리오비교'!$B$7))),0)</f>
        <v/>
      </c>
      <c r="S518" s="80">
        <f>IF($I518&gt;0,MAX(0,$G518*SIN(RADIANS('13_시나리오비교'!$B$8))*SIN(RADIANS('13_시나리오비교'!$C$8))+$H518*SIN(RADIANS('13_시나리오비교'!$B$8))*COS(RADIANS('13_시나리오비교'!$C$8))+$I518*COS(RADIANS('13_시나리오비교'!$B$8))),0)</f>
        <v/>
      </c>
      <c r="T518" s="80">
        <f>IF($I518&gt;0,MAX(0,$G518*SIN(RADIANS('13_시나리오비교'!$B$9))*SIN(RADIANS('13_시나리오비교'!$C$9))+$H518*SIN(RADIANS('13_시나리오비교'!$B$9))*COS(RADIANS('13_시나리오비교'!$C$9))+$I518*COS(RADIANS('13_시나리오비교'!$B$9))),0)</f>
        <v/>
      </c>
      <c r="U518" s="80">
        <f>IF($I518&gt;0,MAX(0,$G518*SIN(RADIANS('13_시나리오비교'!$B$10))*SIN(RADIANS('13_시나리오비교'!$C$10))+$H518*SIN(RADIANS('13_시나리오비교'!$B$10))*COS(RADIANS('13_시나리오비교'!$C$10))+$I518*COS(RADIANS('13_시나리오비교'!$B$10))),0)</f>
        <v/>
      </c>
      <c r="V518" s="80">
        <f>IF($I518&gt;0,MAX(0,$G518*SIN(RADIANS('13_시나리오비교'!$B$11))*SIN(RADIANS('13_시나리오비교'!$C$11))+$H518*SIN(RADIANS('13_시나리오비교'!$B$11))*COS(RADIANS('13_시나리오비교'!$C$11))+$I518*COS(RADIANS('13_시나리오비교'!$B$11))),0)</f>
        <v/>
      </c>
      <c r="W518" s="80">
        <f>IF($I518&gt;0,MAX(0,$G518*SIN(RADIANS('13_시나리오비교'!$B$12))*SIN(RADIANS('13_시나리오비교'!$C$12))+$H518*SIN(RADIANS('13_시나리오비교'!$B$12))*COS(RADIANS('13_시나리오비교'!$C$12))+$I518*COS(RADIANS('13_시나리오비교'!$B$12))),0)</f>
        <v/>
      </c>
      <c r="X518" s="80">
        <f>IF($I518&gt;0,MAX(0,$G518*SIN(RADIANS('13_시나리오비교'!$B$13))*SIN(RADIANS('13_시나리오비교'!$C$13))+$H518*SIN(RADIANS('13_시나리오비교'!$B$13))*COS(RADIANS('13_시나리오비교'!$C$13))+$I518*COS(RADIANS('13_시나리오비교'!$B$13))),0)</f>
        <v/>
      </c>
      <c r="Y518" s="80">
        <f>IF($I518&gt;0,MAX(0,$G518*SIN(RADIANS('13_시나리오비교'!$B$14))*SIN(RADIANS('13_시나리오비교'!$C$14))+$H518*SIN(RADIANS('13_시나리오비교'!$B$14))*COS(RADIANS('13_시나리오비교'!$C$14))+$I518*COS(RADIANS('13_시나리오비교'!$B$14))),0)</f>
        <v/>
      </c>
    </row>
    <row r="519" hidden="1" outlineLevel="1">
      <c r="A519" s="79" t="n">
        <v>6</v>
      </c>
      <c r="B519" s="79" t="n">
        <v>19</v>
      </c>
      <c r="C519" s="80">
        <f>(B519-0.5)*'14_지역·상수'!$H$6</f>
        <v/>
      </c>
      <c r="D519" s="79" t="n">
        <v>162</v>
      </c>
      <c r="E519" s="80">
        <f>INDEX($C$4:$C$15,MATCH(A519,$A$4:$A$15,0))</f>
        <v/>
      </c>
      <c r="F519" s="80">
        <f>15*(C519-12)</f>
        <v/>
      </c>
      <c r="G519" s="80">
        <f>-COS(RADIANS(E519))*SIN(RADIANS(F519))</f>
        <v/>
      </c>
      <c r="H519" s="80">
        <f>COS(RADIANS('11_발전량_모델'!$B$17))*SIN(RADIANS(E519))-SIN(RADIANS('11_발전량_모델'!$B$17))*COS(RADIANS(E519))*COS(RADIANS(F519))</f>
        <v/>
      </c>
      <c r="I519" s="80">
        <f>SIN(RADIANS('11_발전량_모델'!$B$17))*SIN(RADIANS(E519))+COS(RADIANS('11_발전량_모델'!$B$17))*COS(RADIANS(E519))*COS(RADIANS(F519))</f>
        <v/>
      </c>
      <c r="J519" s="80">
        <f>SIN(RADIANS('11_발전량_모델'!$B$7))*SIN(RADIANS('11_발전량_모델'!$B$8))</f>
        <v/>
      </c>
      <c r="K519" s="80">
        <f>SIN(RADIANS('11_발전량_모델'!$B$7))*COS(RADIANS('11_발전량_모델'!$B$8))</f>
        <v/>
      </c>
      <c r="L519" s="80">
        <f>COS(RADIANS('11_발전량_모델'!$B$7))</f>
        <v/>
      </c>
      <c r="M519" s="80">
        <f>G519*J519+H519*K519+I519*L519</f>
        <v/>
      </c>
      <c r="N519" s="80">
        <f>MAX(0,I519)</f>
        <v/>
      </c>
      <c r="O519" s="80">
        <f>IF(I519&gt;0,MAX(0,M519),0)</f>
        <v/>
      </c>
      <c r="P519" s="80">
        <f>IF($I519&gt;0,MAX(0,$G519*SIN(RADIANS('13_시나리오비교'!$B$5))*SIN(RADIANS('13_시나리오비교'!$C$5))+$H519*SIN(RADIANS('13_시나리오비교'!$B$5))*COS(RADIANS('13_시나리오비교'!$C$5))+$I519*COS(RADIANS('13_시나리오비교'!$B$5))),0)</f>
        <v/>
      </c>
      <c r="Q519" s="80">
        <f>IF($I519&gt;0,MAX(0,$G519*SIN(RADIANS('13_시나리오비교'!$B$6))*SIN(RADIANS('13_시나리오비교'!$C$6))+$H519*SIN(RADIANS('13_시나리오비교'!$B$6))*COS(RADIANS('13_시나리오비교'!$C$6))+$I519*COS(RADIANS('13_시나리오비교'!$B$6))),0)</f>
        <v/>
      </c>
      <c r="R519" s="80">
        <f>IF($I519&gt;0,MAX(0,$G519*SIN(RADIANS('13_시나리오비교'!$B$7))*SIN(RADIANS('13_시나리오비교'!$C$7))+$H519*SIN(RADIANS('13_시나리오비교'!$B$7))*COS(RADIANS('13_시나리오비교'!$C$7))+$I519*COS(RADIANS('13_시나리오비교'!$B$7))),0)</f>
        <v/>
      </c>
      <c r="S519" s="80">
        <f>IF($I519&gt;0,MAX(0,$G519*SIN(RADIANS('13_시나리오비교'!$B$8))*SIN(RADIANS('13_시나리오비교'!$C$8))+$H519*SIN(RADIANS('13_시나리오비교'!$B$8))*COS(RADIANS('13_시나리오비교'!$C$8))+$I519*COS(RADIANS('13_시나리오비교'!$B$8))),0)</f>
        <v/>
      </c>
      <c r="T519" s="80">
        <f>IF($I519&gt;0,MAX(0,$G519*SIN(RADIANS('13_시나리오비교'!$B$9))*SIN(RADIANS('13_시나리오비교'!$C$9))+$H519*SIN(RADIANS('13_시나리오비교'!$B$9))*COS(RADIANS('13_시나리오비교'!$C$9))+$I519*COS(RADIANS('13_시나리오비교'!$B$9))),0)</f>
        <v/>
      </c>
      <c r="U519" s="80">
        <f>IF($I519&gt;0,MAX(0,$G519*SIN(RADIANS('13_시나리오비교'!$B$10))*SIN(RADIANS('13_시나리오비교'!$C$10))+$H519*SIN(RADIANS('13_시나리오비교'!$B$10))*COS(RADIANS('13_시나리오비교'!$C$10))+$I519*COS(RADIANS('13_시나리오비교'!$B$10))),0)</f>
        <v/>
      </c>
      <c r="V519" s="80">
        <f>IF($I519&gt;0,MAX(0,$G519*SIN(RADIANS('13_시나리오비교'!$B$11))*SIN(RADIANS('13_시나리오비교'!$C$11))+$H519*SIN(RADIANS('13_시나리오비교'!$B$11))*COS(RADIANS('13_시나리오비교'!$C$11))+$I519*COS(RADIANS('13_시나리오비교'!$B$11))),0)</f>
        <v/>
      </c>
      <c r="W519" s="80">
        <f>IF($I519&gt;0,MAX(0,$G519*SIN(RADIANS('13_시나리오비교'!$B$12))*SIN(RADIANS('13_시나리오비교'!$C$12))+$H519*SIN(RADIANS('13_시나리오비교'!$B$12))*COS(RADIANS('13_시나리오비교'!$C$12))+$I519*COS(RADIANS('13_시나리오비교'!$B$12))),0)</f>
        <v/>
      </c>
      <c r="X519" s="80">
        <f>IF($I519&gt;0,MAX(0,$G519*SIN(RADIANS('13_시나리오비교'!$B$13))*SIN(RADIANS('13_시나리오비교'!$C$13))+$H519*SIN(RADIANS('13_시나리오비교'!$B$13))*COS(RADIANS('13_시나리오비교'!$C$13))+$I519*COS(RADIANS('13_시나리오비교'!$B$13))),0)</f>
        <v/>
      </c>
      <c r="Y519" s="80">
        <f>IF($I519&gt;0,MAX(0,$G519*SIN(RADIANS('13_시나리오비교'!$B$14))*SIN(RADIANS('13_시나리오비교'!$C$14))+$H519*SIN(RADIANS('13_시나리오비교'!$B$14))*COS(RADIANS('13_시나리오비교'!$C$14))+$I519*COS(RADIANS('13_시나리오비교'!$B$14))),0)</f>
        <v/>
      </c>
    </row>
    <row r="520" hidden="1" outlineLevel="1">
      <c r="A520" s="79" t="n">
        <v>6</v>
      </c>
      <c r="B520" s="79" t="n">
        <v>20</v>
      </c>
      <c r="C520" s="80">
        <f>(B520-0.5)*'14_지역·상수'!$H$6</f>
        <v/>
      </c>
      <c r="D520" s="79" t="n">
        <v>162</v>
      </c>
      <c r="E520" s="80">
        <f>INDEX($C$4:$C$15,MATCH(A520,$A$4:$A$15,0))</f>
        <v/>
      </c>
      <c r="F520" s="80">
        <f>15*(C520-12)</f>
        <v/>
      </c>
      <c r="G520" s="80">
        <f>-COS(RADIANS(E520))*SIN(RADIANS(F520))</f>
        <v/>
      </c>
      <c r="H520" s="80">
        <f>COS(RADIANS('11_발전량_모델'!$B$17))*SIN(RADIANS(E520))-SIN(RADIANS('11_발전량_모델'!$B$17))*COS(RADIANS(E520))*COS(RADIANS(F520))</f>
        <v/>
      </c>
      <c r="I520" s="80">
        <f>SIN(RADIANS('11_발전량_모델'!$B$17))*SIN(RADIANS(E520))+COS(RADIANS('11_발전량_모델'!$B$17))*COS(RADIANS(E520))*COS(RADIANS(F520))</f>
        <v/>
      </c>
      <c r="J520" s="80">
        <f>SIN(RADIANS('11_발전량_모델'!$B$7))*SIN(RADIANS('11_발전량_모델'!$B$8))</f>
        <v/>
      </c>
      <c r="K520" s="80">
        <f>SIN(RADIANS('11_발전량_모델'!$B$7))*COS(RADIANS('11_발전량_모델'!$B$8))</f>
        <v/>
      </c>
      <c r="L520" s="80">
        <f>COS(RADIANS('11_발전량_모델'!$B$7))</f>
        <v/>
      </c>
      <c r="M520" s="80">
        <f>G520*J520+H520*K520+I520*L520</f>
        <v/>
      </c>
      <c r="N520" s="80">
        <f>MAX(0,I520)</f>
        <v/>
      </c>
      <c r="O520" s="80">
        <f>IF(I520&gt;0,MAX(0,M520),0)</f>
        <v/>
      </c>
      <c r="P520" s="80">
        <f>IF($I520&gt;0,MAX(0,$G520*SIN(RADIANS('13_시나리오비교'!$B$5))*SIN(RADIANS('13_시나리오비교'!$C$5))+$H520*SIN(RADIANS('13_시나리오비교'!$B$5))*COS(RADIANS('13_시나리오비교'!$C$5))+$I520*COS(RADIANS('13_시나리오비교'!$B$5))),0)</f>
        <v/>
      </c>
      <c r="Q520" s="80">
        <f>IF($I520&gt;0,MAX(0,$G520*SIN(RADIANS('13_시나리오비교'!$B$6))*SIN(RADIANS('13_시나리오비교'!$C$6))+$H520*SIN(RADIANS('13_시나리오비교'!$B$6))*COS(RADIANS('13_시나리오비교'!$C$6))+$I520*COS(RADIANS('13_시나리오비교'!$B$6))),0)</f>
        <v/>
      </c>
      <c r="R520" s="80">
        <f>IF($I520&gt;0,MAX(0,$G520*SIN(RADIANS('13_시나리오비교'!$B$7))*SIN(RADIANS('13_시나리오비교'!$C$7))+$H520*SIN(RADIANS('13_시나리오비교'!$B$7))*COS(RADIANS('13_시나리오비교'!$C$7))+$I520*COS(RADIANS('13_시나리오비교'!$B$7))),0)</f>
        <v/>
      </c>
      <c r="S520" s="80">
        <f>IF($I520&gt;0,MAX(0,$G520*SIN(RADIANS('13_시나리오비교'!$B$8))*SIN(RADIANS('13_시나리오비교'!$C$8))+$H520*SIN(RADIANS('13_시나리오비교'!$B$8))*COS(RADIANS('13_시나리오비교'!$C$8))+$I520*COS(RADIANS('13_시나리오비교'!$B$8))),0)</f>
        <v/>
      </c>
      <c r="T520" s="80">
        <f>IF($I520&gt;0,MAX(0,$G520*SIN(RADIANS('13_시나리오비교'!$B$9))*SIN(RADIANS('13_시나리오비교'!$C$9))+$H520*SIN(RADIANS('13_시나리오비교'!$B$9))*COS(RADIANS('13_시나리오비교'!$C$9))+$I520*COS(RADIANS('13_시나리오비교'!$B$9))),0)</f>
        <v/>
      </c>
      <c r="U520" s="80">
        <f>IF($I520&gt;0,MAX(0,$G520*SIN(RADIANS('13_시나리오비교'!$B$10))*SIN(RADIANS('13_시나리오비교'!$C$10))+$H520*SIN(RADIANS('13_시나리오비교'!$B$10))*COS(RADIANS('13_시나리오비교'!$C$10))+$I520*COS(RADIANS('13_시나리오비교'!$B$10))),0)</f>
        <v/>
      </c>
      <c r="V520" s="80">
        <f>IF($I520&gt;0,MAX(0,$G520*SIN(RADIANS('13_시나리오비교'!$B$11))*SIN(RADIANS('13_시나리오비교'!$C$11))+$H520*SIN(RADIANS('13_시나리오비교'!$B$11))*COS(RADIANS('13_시나리오비교'!$C$11))+$I520*COS(RADIANS('13_시나리오비교'!$B$11))),0)</f>
        <v/>
      </c>
      <c r="W520" s="80">
        <f>IF($I520&gt;0,MAX(0,$G520*SIN(RADIANS('13_시나리오비교'!$B$12))*SIN(RADIANS('13_시나리오비교'!$C$12))+$H520*SIN(RADIANS('13_시나리오비교'!$B$12))*COS(RADIANS('13_시나리오비교'!$C$12))+$I520*COS(RADIANS('13_시나리오비교'!$B$12))),0)</f>
        <v/>
      </c>
      <c r="X520" s="80">
        <f>IF($I520&gt;0,MAX(0,$G520*SIN(RADIANS('13_시나리오비교'!$B$13))*SIN(RADIANS('13_시나리오비교'!$C$13))+$H520*SIN(RADIANS('13_시나리오비교'!$B$13))*COS(RADIANS('13_시나리오비교'!$C$13))+$I520*COS(RADIANS('13_시나리오비교'!$B$13))),0)</f>
        <v/>
      </c>
      <c r="Y520" s="80">
        <f>IF($I520&gt;0,MAX(0,$G520*SIN(RADIANS('13_시나리오비교'!$B$14))*SIN(RADIANS('13_시나리오비교'!$C$14))+$H520*SIN(RADIANS('13_시나리오비교'!$B$14))*COS(RADIANS('13_시나리오비교'!$C$14))+$I520*COS(RADIANS('13_시나리오비교'!$B$14))),0)</f>
        <v/>
      </c>
    </row>
    <row r="521" hidden="1" outlineLevel="1">
      <c r="A521" s="79" t="n">
        <v>6</v>
      </c>
      <c r="B521" s="79" t="n">
        <v>21</v>
      </c>
      <c r="C521" s="80">
        <f>(B521-0.5)*'14_지역·상수'!$H$6</f>
        <v/>
      </c>
      <c r="D521" s="79" t="n">
        <v>162</v>
      </c>
      <c r="E521" s="80">
        <f>INDEX($C$4:$C$15,MATCH(A521,$A$4:$A$15,0))</f>
        <v/>
      </c>
      <c r="F521" s="80">
        <f>15*(C521-12)</f>
        <v/>
      </c>
      <c r="G521" s="80">
        <f>-COS(RADIANS(E521))*SIN(RADIANS(F521))</f>
        <v/>
      </c>
      <c r="H521" s="80">
        <f>COS(RADIANS('11_발전량_모델'!$B$17))*SIN(RADIANS(E521))-SIN(RADIANS('11_발전량_모델'!$B$17))*COS(RADIANS(E521))*COS(RADIANS(F521))</f>
        <v/>
      </c>
      <c r="I521" s="80">
        <f>SIN(RADIANS('11_발전량_모델'!$B$17))*SIN(RADIANS(E521))+COS(RADIANS('11_발전량_모델'!$B$17))*COS(RADIANS(E521))*COS(RADIANS(F521))</f>
        <v/>
      </c>
      <c r="J521" s="80">
        <f>SIN(RADIANS('11_발전량_모델'!$B$7))*SIN(RADIANS('11_발전량_모델'!$B$8))</f>
        <v/>
      </c>
      <c r="K521" s="80">
        <f>SIN(RADIANS('11_발전량_모델'!$B$7))*COS(RADIANS('11_발전량_모델'!$B$8))</f>
        <v/>
      </c>
      <c r="L521" s="80">
        <f>COS(RADIANS('11_발전량_모델'!$B$7))</f>
        <v/>
      </c>
      <c r="M521" s="80">
        <f>G521*J521+H521*K521+I521*L521</f>
        <v/>
      </c>
      <c r="N521" s="80">
        <f>MAX(0,I521)</f>
        <v/>
      </c>
      <c r="O521" s="80">
        <f>IF(I521&gt;0,MAX(0,M521),0)</f>
        <v/>
      </c>
      <c r="P521" s="80">
        <f>IF($I521&gt;0,MAX(0,$G521*SIN(RADIANS('13_시나리오비교'!$B$5))*SIN(RADIANS('13_시나리오비교'!$C$5))+$H521*SIN(RADIANS('13_시나리오비교'!$B$5))*COS(RADIANS('13_시나리오비교'!$C$5))+$I521*COS(RADIANS('13_시나리오비교'!$B$5))),0)</f>
        <v/>
      </c>
      <c r="Q521" s="80">
        <f>IF($I521&gt;0,MAX(0,$G521*SIN(RADIANS('13_시나리오비교'!$B$6))*SIN(RADIANS('13_시나리오비교'!$C$6))+$H521*SIN(RADIANS('13_시나리오비교'!$B$6))*COS(RADIANS('13_시나리오비교'!$C$6))+$I521*COS(RADIANS('13_시나리오비교'!$B$6))),0)</f>
        <v/>
      </c>
      <c r="R521" s="80">
        <f>IF($I521&gt;0,MAX(0,$G521*SIN(RADIANS('13_시나리오비교'!$B$7))*SIN(RADIANS('13_시나리오비교'!$C$7))+$H521*SIN(RADIANS('13_시나리오비교'!$B$7))*COS(RADIANS('13_시나리오비교'!$C$7))+$I521*COS(RADIANS('13_시나리오비교'!$B$7))),0)</f>
        <v/>
      </c>
      <c r="S521" s="80">
        <f>IF($I521&gt;0,MAX(0,$G521*SIN(RADIANS('13_시나리오비교'!$B$8))*SIN(RADIANS('13_시나리오비교'!$C$8))+$H521*SIN(RADIANS('13_시나리오비교'!$B$8))*COS(RADIANS('13_시나리오비교'!$C$8))+$I521*COS(RADIANS('13_시나리오비교'!$B$8))),0)</f>
        <v/>
      </c>
      <c r="T521" s="80">
        <f>IF($I521&gt;0,MAX(0,$G521*SIN(RADIANS('13_시나리오비교'!$B$9))*SIN(RADIANS('13_시나리오비교'!$C$9))+$H521*SIN(RADIANS('13_시나리오비교'!$B$9))*COS(RADIANS('13_시나리오비교'!$C$9))+$I521*COS(RADIANS('13_시나리오비교'!$B$9))),0)</f>
        <v/>
      </c>
      <c r="U521" s="80">
        <f>IF($I521&gt;0,MAX(0,$G521*SIN(RADIANS('13_시나리오비교'!$B$10))*SIN(RADIANS('13_시나리오비교'!$C$10))+$H521*SIN(RADIANS('13_시나리오비교'!$B$10))*COS(RADIANS('13_시나리오비교'!$C$10))+$I521*COS(RADIANS('13_시나리오비교'!$B$10))),0)</f>
        <v/>
      </c>
      <c r="V521" s="80">
        <f>IF($I521&gt;0,MAX(0,$G521*SIN(RADIANS('13_시나리오비교'!$B$11))*SIN(RADIANS('13_시나리오비교'!$C$11))+$H521*SIN(RADIANS('13_시나리오비교'!$B$11))*COS(RADIANS('13_시나리오비교'!$C$11))+$I521*COS(RADIANS('13_시나리오비교'!$B$11))),0)</f>
        <v/>
      </c>
      <c r="W521" s="80">
        <f>IF($I521&gt;0,MAX(0,$G521*SIN(RADIANS('13_시나리오비교'!$B$12))*SIN(RADIANS('13_시나리오비교'!$C$12))+$H521*SIN(RADIANS('13_시나리오비교'!$B$12))*COS(RADIANS('13_시나리오비교'!$C$12))+$I521*COS(RADIANS('13_시나리오비교'!$B$12))),0)</f>
        <v/>
      </c>
      <c r="X521" s="80">
        <f>IF($I521&gt;0,MAX(0,$G521*SIN(RADIANS('13_시나리오비교'!$B$13))*SIN(RADIANS('13_시나리오비교'!$C$13))+$H521*SIN(RADIANS('13_시나리오비교'!$B$13))*COS(RADIANS('13_시나리오비교'!$C$13))+$I521*COS(RADIANS('13_시나리오비교'!$B$13))),0)</f>
        <v/>
      </c>
      <c r="Y521" s="80">
        <f>IF($I521&gt;0,MAX(0,$G521*SIN(RADIANS('13_시나리오비교'!$B$14))*SIN(RADIANS('13_시나리오비교'!$C$14))+$H521*SIN(RADIANS('13_시나리오비교'!$B$14))*COS(RADIANS('13_시나리오비교'!$C$14))+$I521*COS(RADIANS('13_시나리오비교'!$B$14))),0)</f>
        <v/>
      </c>
    </row>
    <row r="522" hidden="1" outlineLevel="1">
      <c r="A522" s="79" t="n">
        <v>6</v>
      </c>
      <c r="B522" s="79" t="n">
        <v>22</v>
      </c>
      <c r="C522" s="80">
        <f>(B522-0.5)*'14_지역·상수'!$H$6</f>
        <v/>
      </c>
      <c r="D522" s="79" t="n">
        <v>162</v>
      </c>
      <c r="E522" s="80">
        <f>INDEX($C$4:$C$15,MATCH(A522,$A$4:$A$15,0))</f>
        <v/>
      </c>
      <c r="F522" s="80">
        <f>15*(C522-12)</f>
        <v/>
      </c>
      <c r="G522" s="80">
        <f>-COS(RADIANS(E522))*SIN(RADIANS(F522))</f>
        <v/>
      </c>
      <c r="H522" s="80">
        <f>COS(RADIANS('11_발전량_모델'!$B$17))*SIN(RADIANS(E522))-SIN(RADIANS('11_발전량_모델'!$B$17))*COS(RADIANS(E522))*COS(RADIANS(F522))</f>
        <v/>
      </c>
      <c r="I522" s="80">
        <f>SIN(RADIANS('11_발전량_모델'!$B$17))*SIN(RADIANS(E522))+COS(RADIANS('11_발전량_모델'!$B$17))*COS(RADIANS(E522))*COS(RADIANS(F522))</f>
        <v/>
      </c>
      <c r="J522" s="80">
        <f>SIN(RADIANS('11_발전량_모델'!$B$7))*SIN(RADIANS('11_발전량_모델'!$B$8))</f>
        <v/>
      </c>
      <c r="K522" s="80">
        <f>SIN(RADIANS('11_발전량_모델'!$B$7))*COS(RADIANS('11_발전량_모델'!$B$8))</f>
        <v/>
      </c>
      <c r="L522" s="80">
        <f>COS(RADIANS('11_발전량_모델'!$B$7))</f>
        <v/>
      </c>
      <c r="M522" s="80">
        <f>G522*J522+H522*K522+I522*L522</f>
        <v/>
      </c>
      <c r="N522" s="80">
        <f>MAX(0,I522)</f>
        <v/>
      </c>
      <c r="O522" s="80">
        <f>IF(I522&gt;0,MAX(0,M522),0)</f>
        <v/>
      </c>
      <c r="P522" s="80">
        <f>IF($I522&gt;0,MAX(0,$G522*SIN(RADIANS('13_시나리오비교'!$B$5))*SIN(RADIANS('13_시나리오비교'!$C$5))+$H522*SIN(RADIANS('13_시나리오비교'!$B$5))*COS(RADIANS('13_시나리오비교'!$C$5))+$I522*COS(RADIANS('13_시나리오비교'!$B$5))),0)</f>
        <v/>
      </c>
      <c r="Q522" s="80">
        <f>IF($I522&gt;0,MAX(0,$G522*SIN(RADIANS('13_시나리오비교'!$B$6))*SIN(RADIANS('13_시나리오비교'!$C$6))+$H522*SIN(RADIANS('13_시나리오비교'!$B$6))*COS(RADIANS('13_시나리오비교'!$C$6))+$I522*COS(RADIANS('13_시나리오비교'!$B$6))),0)</f>
        <v/>
      </c>
      <c r="R522" s="80">
        <f>IF($I522&gt;0,MAX(0,$G522*SIN(RADIANS('13_시나리오비교'!$B$7))*SIN(RADIANS('13_시나리오비교'!$C$7))+$H522*SIN(RADIANS('13_시나리오비교'!$B$7))*COS(RADIANS('13_시나리오비교'!$C$7))+$I522*COS(RADIANS('13_시나리오비교'!$B$7))),0)</f>
        <v/>
      </c>
      <c r="S522" s="80">
        <f>IF($I522&gt;0,MAX(0,$G522*SIN(RADIANS('13_시나리오비교'!$B$8))*SIN(RADIANS('13_시나리오비교'!$C$8))+$H522*SIN(RADIANS('13_시나리오비교'!$B$8))*COS(RADIANS('13_시나리오비교'!$C$8))+$I522*COS(RADIANS('13_시나리오비교'!$B$8))),0)</f>
        <v/>
      </c>
      <c r="T522" s="80">
        <f>IF($I522&gt;0,MAX(0,$G522*SIN(RADIANS('13_시나리오비교'!$B$9))*SIN(RADIANS('13_시나리오비교'!$C$9))+$H522*SIN(RADIANS('13_시나리오비교'!$B$9))*COS(RADIANS('13_시나리오비교'!$C$9))+$I522*COS(RADIANS('13_시나리오비교'!$B$9))),0)</f>
        <v/>
      </c>
      <c r="U522" s="80">
        <f>IF($I522&gt;0,MAX(0,$G522*SIN(RADIANS('13_시나리오비교'!$B$10))*SIN(RADIANS('13_시나리오비교'!$C$10))+$H522*SIN(RADIANS('13_시나리오비교'!$B$10))*COS(RADIANS('13_시나리오비교'!$C$10))+$I522*COS(RADIANS('13_시나리오비교'!$B$10))),0)</f>
        <v/>
      </c>
      <c r="V522" s="80">
        <f>IF($I522&gt;0,MAX(0,$G522*SIN(RADIANS('13_시나리오비교'!$B$11))*SIN(RADIANS('13_시나리오비교'!$C$11))+$H522*SIN(RADIANS('13_시나리오비교'!$B$11))*COS(RADIANS('13_시나리오비교'!$C$11))+$I522*COS(RADIANS('13_시나리오비교'!$B$11))),0)</f>
        <v/>
      </c>
      <c r="W522" s="80">
        <f>IF($I522&gt;0,MAX(0,$G522*SIN(RADIANS('13_시나리오비교'!$B$12))*SIN(RADIANS('13_시나리오비교'!$C$12))+$H522*SIN(RADIANS('13_시나리오비교'!$B$12))*COS(RADIANS('13_시나리오비교'!$C$12))+$I522*COS(RADIANS('13_시나리오비교'!$B$12))),0)</f>
        <v/>
      </c>
      <c r="X522" s="80">
        <f>IF($I522&gt;0,MAX(0,$G522*SIN(RADIANS('13_시나리오비교'!$B$13))*SIN(RADIANS('13_시나리오비교'!$C$13))+$H522*SIN(RADIANS('13_시나리오비교'!$B$13))*COS(RADIANS('13_시나리오비교'!$C$13))+$I522*COS(RADIANS('13_시나리오비교'!$B$13))),0)</f>
        <v/>
      </c>
      <c r="Y522" s="80">
        <f>IF($I522&gt;0,MAX(0,$G522*SIN(RADIANS('13_시나리오비교'!$B$14))*SIN(RADIANS('13_시나리오비교'!$C$14))+$H522*SIN(RADIANS('13_시나리오비교'!$B$14))*COS(RADIANS('13_시나리오비교'!$C$14))+$I522*COS(RADIANS('13_시나리오비교'!$B$14))),0)</f>
        <v/>
      </c>
    </row>
    <row r="523" hidden="1" outlineLevel="1">
      <c r="A523" s="79" t="n">
        <v>6</v>
      </c>
      <c r="B523" s="79" t="n">
        <v>23</v>
      </c>
      <c r="C523" s="80">
        <f>(B523-0.5)*'14_지역·상수'!$H$6</f>
        <v/>
      </c>
      <c r="D523" s="79" t="n">
        <v>162</v>
      </c>
      <c r="E523" s="80">
        <f>INDEX($C$4:$C$15,MATCH(A523,$A$4:$A$15,0))</f>
        <v/>
      </c>
      <c r="F523" s="80">
        <f>15*(C523-12)</f>
        <v/>
      </c>
      <c r="G523" s="80">
        <f>-COS(RADIANS(E523))*SIN(RADIANS(F523))</f>
        <v/>
      </c>
      <c r="H523" s="80">
        <f>COS(RADIANS('11_발전량_모델'!$B$17))*SIN(RADIANS(E523))-SIN(RADIANS('11_발전량_모델'!$B$17))*COS(RADIANS(E523))*COS(RADIANS(F523))</f>
        <v/>
      </c>
      <c r="I523" s="80">
        <f>SIN(RADIANS('11_발전량_모델'!$B$17))*SIN(RADIANS(E523))+COS(RADIANS('11_발전량_모델'!$B$17))*COS(RADIANS(E523))*COS(RADIANS(F523))</f>
        <v/>
      </c>
      <c r="J523" s="80">
        <f>SIN(RADIANS('11_발전량_모델'!$B$7))*SIN(RADIANS('11_발전량_모델'!$B$8))</f>
        <v/>
      </c>
      <c r="K523" s="80">
        <f>SIN(RADIANS('11_발전량_모델'!$B$7))*COS(RADIANS('11_발전량_모델'!$B$8))</f>
        <v/>
      </c>
      <c r="L523" s="80">
        <f>COS(RADIANS('11_발전량_모델'!$B$7))</f>
        <v/>
      </c>
      <c r="M523" s="80">
        <f>G523*J523+H523*K523+I523*L523</f>
        <v/>
      </c>
      <c r="N523" s="80">
        <f>MAX(0,I523)</f>
        <v/>
      </c>
      <c r="O523" s="80">
        <f>IF(I523&gt;0,MAX(0,M523),0)</f>
        <v/>
      </c>
      <c r="P523" s="80">
        <f>IF($I523&gt;0,MAX(0,$G523*SIN(RADIANS('13_시나리오비교'!$B$5))*SIN(RADIANS('13_시나리오비교'!$C$5))+$H523*SIN(RADIANS('13_시나리오비교'!$B$5))*COS(RADIANS('13_시나리오비교'!$C$5))+$I523*COS(RADIANS('13_시나리오비교'!$B$5))),0)</f>
        <v/>
      </c>
      <c r="Q523" s="80">
        <f>IF($I523&gt;0,MAX(0,$G523*SIN(RADIANS('13_시나리오비교'!$B$6))*SIN(RADIANS('13_시나리오비교'!$C$6))+$H523*SIN(RADIANS('13_시나리오비교'!$B$6))*COS(RADIANS('13_시나리오비교'!$C$6))+$I523*COS(RADIANS('13_시나리오비교'!$B$6))),0)</f>
        <v/>
      </c>
      <c r="R523" s="80">
        <f>IF($I523&gt;0,MAX(0,$G523*SIN(RADIANS('13_시나리오비교'!$B$7))*SIN(RADIANS('13_시나리오비교'!$C$7))+$H523*SIN(RADIANS('13_시나리오비교'!$B$7))*COS(RADIANS('13_시나리오비교'!$C$7))+$I523*COS(RADIANS('13_시나리오비교'!$B$7))),0)</f>
        <v/>
      </c>
      <c r="S523" s="80">
        <f>IF($I523&gt;0,MAX(0,$G523*SIN(RADIANS('13_시나리오비교'!$B$8))*SIN(RADIANS('13_시나리오비교'!$C$8))+$H523*SIN(RADIANS('13_시나리오비교'!$B$8))*COS(RADIANS('13_시나리오비교'!$C$8))+$I523*COS(RADIANS('13_시나리오비교'!$B$8))),0)</f>
        <v/>
      </c>
      <c r="T523" s="80">
        <f>IF($I523&gt;0,MAX(0,$G523*SIN(RADIANS('13_시나리오비교'!$B$9))*SIN(RADIANS('13_시나리오비교'!$C$9))+$H523*SIN(RADIANS('13_시나리오비교'!$B$9))*COS(RADIANS('13_시나리오비교'!$C$9))+$I523*COS(RADIANS('13_시나리오비교'!$B$9))),0)</f>
        <v/>
      </c>
      <c r="U523" s="80">
        <f>IF($I523&gt;0,MAX(0,$G523*SIN(RADIANS('13_시나리오비교'!$B$10))*SIN(RADIANS('13_시나리오비교'!$C$10))+$H523*SIN(RADIANS('13_시나리오비교'!$B$10))*COS(RADIANS('13_시나리오비교'!$C$10))+$I523*COS(RADIANS('13_시나리오비교'!$B$10))),0)</f>
        <v/>
      </c>
      <c r="V523" s="80">
        <f>IF($I523&gt;0,MAX(0,$G523*SIN(RADIANS('13_시나리오비교'!$B$11))*SIN(RADIANS('13_시나리오비교'!$C$11))+$H523*SIN(RADIANS('13_시나리오비교'!$B$11))*COS(RADIANS('13_시나리오비교'!$C$11))+$I523*COS(RADIANS('13_시나리오비교'!$B$11))),0)</f>
        <v/>
      </c>
      <c r="W523" s="80">
        <f>IF($I523&gt;0,MAX(0,$G523*SIN(RADIANS('13_시나리오비교'!$B$12))*SIN(RADIANS('13_시나리오비교'!$C$12))+$H523*SIN(RADIANS('13_시나리오비교'!$B$12))*COS(RADIANS('13_시나리오비교'!$C$12))+$I523*COS(RADIANS('13_시나리오비교'!$B$12))),0)</f>
        <v/>
      </c>
      <c r="X523" s="80">
        <f>IF($I523&gt;0,MAX(0,$G523*SIN(RADIANS('13_시나리오비교'!$B$13))*SIN(RADIANS('13_시나리오비교'!$C$13))+$H523*SIN(RADIANS('13_시나리오비교'!$B$13))*COS(RADIANS('13_시나리오비교'!$C$13))+$I523*COS(RADIANS('13_시나리오비교'!$B$13))),0)</f>
        <v/>
      </c>
      <c r="Y523" s="80">
        <f>IF($I523&gt;0,MAX(0,$G523*SIN(RADIANS('13_시나리오비교'!$B$14))*SIN(RADIANS('13_시나리오비교'!$C$14))+$H523*SIN(RADIANS('13_시나리오비교'!$B$14))*COS(RADIANS('13_시나리오비교'!$C$14))+$I523*COS(RADIANS('13_시나리오비교'!$B$14))),0)</f>
        <v/>
      </c>
    </row>
    <row r="524" hidden="1" outlineLevel="1">
      <c r="A524" s="79" t="n">
        <v>6</v>
      </c>
      <c r="B524" s="79" t="n">
        <v>24</v>
      </c>
      <c r="C524" s="80">
        <f>(B524-0.5)*'14_지역·상수'!$H$6</f>
        <v/>
      </c>
      <c r="D524" s="79" t="n">
        <v>162</v>
      </c>
      <c r="E524" s="80">
        <f>INDEX($C$4:$C$15,MATCH(A524,$A$4:$A$15,0))</f>
        <v/>
      </c>
      <c r="F524" s="80">
        <f>15*(C524-12)</f>
        <v/>
      </c>
      <c r="G524" s="80">
        <f>-COS(RADIANS(E524))*SIN(RADIANS(F524))</f>
        <v/>
      </c>
      <c r="H524" s="80">
        <f>COS(RADIANS('11_발전량_모델'!$B$17))*SIN(RADIANS(E524))-SIN(RADIANS('11_발전량_모델'!$B$17))*COS(RADIANS(E524))*COS(RADIANS(F524))</f>
        <v/>
      </c>
      <c r="I524" s="80">
        <f>SIN(RADIANS('11_발전량_모델'!$B$17))*SIN(RADIANS(E524))+COS(RADIANS('11_발전량_모델'!$B$17))*COS(RADIANS(E524))*COS(RADIANS(F524))</f>
        <v/>
      </c>
      <c r="J524" s="80">
        <f>SIN(RADIANS('11_발전량_모델'!$B$7))*SIN(RADIANS('11_발전량_모델'!$B$8))</f>
        <v/>
      </c>
      <c r="K524" s="80">
        <f>SIN(RADIANS('11_발전량_모델'!$B$7))*COS(RADIANS('11_발전량_모델'!$B$8))</f>
        <v/>
      </c>
      <c r="L524" s="80">
        <f>COS(RADIANS('11_발전량_모델'!$B$7))</f>
        <v/>
      </c>
      <c r="M524" s="80">
        <f>G524*J524+H524*K524+I524*L524</f>
        <v/>
      </c>
      <c r="N524" s="80">
        <f>MAX(0,I524)</f>
        <v/>
      </c>
      <c r="O524" s="80">
        <f>IF(I524&gt;0,MAX(0,M524),0)</f>
        <v/>
      </c>
      <c r="P524" s="80">
        <f>IF($I524&gt;0,MAX(0,$G524*SIN(RADIANS('13_시나리오비교'!$B$5))*SIN(RADIANS('13_시나리오비교'!$C$5))+$H524*SIN(RADIANS('13_시나리오비교'!$B$5))*COS(RADIANS('13_시나리오비교'!$C$5))+$I524*COS(RADIANS('13_시나리오비교'!$B$5))),0)</f>
        <v/>
      </c>
      <c r="Q524" s="80">
        <f>IF($I524&gt;0,MAX(0,$G524*SIN(RADIANS('13_시나리오비교'!$B$6))*SIN(RADIANS('13_시나리오비교'!$C$6))+$H524*SIN(RADIANS('13_시나리오비교'!$B$6))*COS(RADIANS('13_시나리오비교'!$C$6))+$I524*COS(RADIANS('13_시나리오비교'!$B$6))),0)</f>
        <v/>
      </c>
      <c r="R524" s="80">
        <f>IF($I524&gt;0,MAX(0,$G524*SIN(RADIANS('13_시나리오비교'!$B$7))*SIN(RADIANS('13_시나리오비교'!$C$7))+$H524*SIN(RADIANS('13_시나리오비교'!$B$7))*COS(RADIANS('13_시나리오비교'!$C$7))+$I524*COS(RADIANS('13_시나리오비교'!$B$7))),0)</f>
        <v/>
      </c>
      <c r="S524" s="80">
        <f>IF($I524&gt;0,MAX(0,$G524*SIN(RADIANS('13_시나리오비교'!$B$8))*SIN(RADIANS('13_시나리오비교'!$C$8))+$H524*SIN(RADIANS('13_시나리오비교'!$B$8))*COS(RADIANS('13_시나리오비교'!$C$8))+$I524*COS(RADIANS('13_시나리오비교'!$B$8))),0)</f>
        <v/>
      </c>
      <c r="T524" s="80">
        <f>IF($I524&gt;0,MAX(0,$G524*SIN(RADIANS('13_시나리오비교'!$B$9))*SIN(RADIANS('13_시나리오비교'!$C$9))+$H524*SIN(RADIANS('13_시나리오비교'!$B$9))*COS(RADIANS('13_시나리오비교'!$C$9))+$I524*COS(RADIANS('13_시나리오비교'!$B$9))),0)</f>
        <v/>
      </c>
      <c r="U524" s="80">
        <f>IF($I524&gt;0,MAX(0,$G524*SIN(RADIANS('13_시나리오비교'!$B$10))*SIN(RADIANS('13_시나리오비교'!$C$10))+$H524*SIN(RADIANS('13_시나리오비교'!$B$10))*COS(RADIANS('13_시나리오비교'!$C$10))+$I524*COS(RADIANS('13_시나리오비교'!$B$10))),0)</f>
        <v/>
      </c>
      <c r="V524" s="80">
        <f>IF($I524&gt;0,MAX(0,$G524*SIN(RADIANS('13_시나리오비교'!$B$11))*SIN(RADIANS('13_시나리오비교'!$C$11))+$H524*SIN(RADIANS('13_시나리오비교'!$B$11))*COS(RADIANS('13_시나리오비교'!$C$11))+$I524*COS(RADIANS('13_시나리오비교'!$B$11))),0)</f>
        <v/>
      </c>
      <c r="W524" s="80">
        <f>IF($I524&gt;0,MAX(0,$G524*SIN(RADIANS('13_시나리오비교'!$B$12))*SIN(RADIANS('13_시나리오비교'!$C$12))+$H524*SIN(RADIANS('13_시나리오비교'!$B$12))*COS(RADIANS('13_시나리오비교'!$C$12))+$I524*COS(RADIANS('13_시나리오비교'!$B$12))),0)</f>
        <v/>
      </c>
      <c r="X524" s="80">
        <f>IF($I524&gt;0,MAX(0,$G524*SIN(RADIANS('13_시나리오비교'!$B$13))*SIN(RADIANS('13_시나리오비교'!$C$13))+$H524*SIN(RADIANS('13_시나리오비교'!$B$13))*COS(RADIANS('13_시나리오비교'!$C$13))+$I524*COS(RADIANS('13_시나리오비교'!$B$13))),0)</f>
        <v/>
      </c>
      <c r="Y524" s="80">
        <f>IF($I524&gt;0,MAX(0,$G524*SIN(RADIANS('13_시나리오비교'!$B$14))*SIN(RADIANS('13_시나리오비교'!$C$14))+$H524*SIN(RADIANS('13_시나리오비교'!$B$14))*COS(RADIANS('13_시나리오비교'!$C$14))+$I524*COS(RADIANS('13_시나리오비교'!$B$14))),0)</f>
        <v/>
      </c>
    </row>
    <row r="525" hidden="1" outlineLevel="1">
      <c r="A525" s="79" t="n">
        <v>6</v>
      </c>
      <c r="B525" s="79" t="n">
        <v>25</v>
      </c>
      <c r="C525" s="80">
        <f>(B525-0.5)*'14_지역·상수'!$H$6</f>
        <v/>
      </c>
      <c r="D525" s="79" t="n">
        <v>162</v>
      </c>
      <c r="E525" s="80">
        <f>INDEX($C$4:$C$15,MATCH(A525,$A$4:$A$15,0))</f>
        <v/>
      </c>
      <c r="F525" s="80">
        <f>15*(C525-12)</f>
        <v/>
      </c>
      <c r="G525" s="80">
        <f>-COS(RADIANS(E525))*SIN(RADIANS(F525))</f>
        <v/>
      </c>
      <c r="H525" s="80">
        <f>COS(RADIANS('11_발전량_모델'!$B$17))*SIN(RADIANS(E525))-SIN(RADIANS('11_발전량_모델'!$B$17))*COS(RADIANS(E525))*COS(RADIANS(F525))</f>
        <v/>
      </c>
      <c r="I525" s="80">
        <f>SIN(RADIANS('11_발전량_모델'!$B$17))*SIN(RADIANS(E525))+COS(RADIANS('11_발전량_모델'!$B$17))*COS(RADIANS(E525))*COS(RADIANS(F525))</f>
        <v/>
      </c>
      <c r="J525" s="80">
        <f>SIN(RADIANS('11_발전량_모델'!$B$7))*SIN(RADIANS('11_발전량_모델'!$B$8))</f>
        <v/>
      </c>
      <c r="K525" s="80">
        <f>SIN(RADIANS('11_발전량_모델'!$B$7))*COS(RADIANS('11_발전량_모델'!$B$8))</f>
        <v/>
      </c>
      <c r="L525" s="80">
        <f>COS(RADIANS('11_발전량_모델'!$B$7))</f>
        <v/>
      </c>
      <c r="M525" s="80">
        <f>G525*J525+H525*K525+I525*L525</f>
        <v/>
      </c>
      <c r="N525" s="80">
        <f>MAX(0,I525)</f>
        <v/>
      </c>
      <c r="O525" s="80">
        <f>IF(I525&gt;0,MAX(0,M525),0)</f>
        <v/>
      </c>
      <c r="P525" s="80">
        <f>IF($I525&gt;0,MAX(0,$G525*SIN(RADIANS('13_시나리오비교'!$B$5))*SIN(RADIANS('13_시나리오비교'!$C$5))+$H525*SIN(RADIANS('13_시나리오비교'!$B$5))*COS(RADIANS('13_시나리오비교'!$C$5))+$I525*COS(RADIANS('13_시나리오비교'!$B$5))),0)</f>
        <v/>
      </c>
      <c r="Q525" s="80">
        <f>IF($I525&gt;0,MAX(0,$G525*SIN(RADIANS('13_시나리오비교'!$B$6))*SIN(RADIANS('13_시나리오비교'!$C$6))+$H525*SIN(RADIANS('13_시나리오비교'!$B$6))*COS(RADIANS('13_시나리오비교'!$C$6))+$I525*COS(RADIANS('13_시나리오비교'!$B$6))),0)</f>
        <v/>
      </c>
      <c r="R525" s="80">
        <f>IF($I525&gt;0,MAX(0,$G525*SIN(RADIANS('13_시나리오비교'!$B$7))*SIN(RADIANS('13_시나리오비교'!$C$7))+$H525*SIN(RADIANS('13_시나리오비교'!$B$7))*COS(RADIANS('13_시나리오비교'!$C$7))+$I525*COS(RADIANS('13_시나리오비교'!$B$7))),0)</f>
        <v/>
      </c>
      <c r="S525" s="80">
        <f>IF($I525&gt;0,MAX(0,$G525*SIN(RADIANS('13_시나리오비교'!$B$8))*SIN(RADIANS('13_시나리오비교'!$C$8))+$H525*SIN(RADIANS('13_시나리오비교'!$B$8))*COS(RADIANS('13_시나리오비교'!$C$8))+$I525*COS(RADIANS('13_시나리오비교'!$B$8))),0)</f>
        <v/>
      </c>
      <c r="T525" s="80">
        <f>IF($I525&gt;0,MAX(0,$G525*SIN(RADIANS('13_시나리오비교'!$B$9))*SIN(RADIANS('13_시나리오비교'!$C$9))+$H525*SIN(RADIANS('13_시나리오비교'!$B$9))*COS(RADIANS('13_시나리오비교'!$C$9))+$I525*COS(RADIANS('13_시나리오비교'!$B$9))),0)</f>
        <v/>
      </c>
      <c r="U525" s="80">
        <f>IF($I525&gt;0,MAX(0,$G525*SIN(RADIANS('13_시나리오비교'!$B$10))*SIN(RADIANS('13_시나리오비교'!$C$10))+$H525*SIN(RADIANS('13_시나리오비교'!$B$10))*COS(RADIANS('13_시나리오비교'!$C$10))+$I525*COS(RADIANS('13_시나리오비교'!$B$10))),0)</f>
        <v/>
      </c>
      <c r="V525" s="80">
        <f>IF($I525&gt;0,MAX(0,$G525*SIN(RADIANS('13_시나리오비교'!$B$11))*SIN(RADIANS('13_시나리오비교'!$C$11))+$H525*SIN(RADIANS('13_시나리오비교'!$B$11))*COS(RADIANS('13_시나리오비교'!$C$11))+$I525*COS(RADIANS('13_시나리오비교'!$B$11))),0)</f>
        <v/>
      </c>
      <c r="W525" s="80">
        <f>IF($I525&gt;0,MAX(0,$G525*SIN(RADIANS('13_시나리오비교'!$B$12))*SIN(RADIANS('13_시나리오비교'!$C$12))+$H525*SIN(RADIANS('13_시나리오비교'!$B$12))*COS(RADIANS('13_시나리오비교'!$C$12))+$I525*COS(RADIANS('13_시나리오비교'!$B$12))),0)</f>
        <v/>
      </c>
      <c r="X525" s="80">
        <f>IF($I525&gt;0,MAX(0,$G525*SIN(RADIANS('13_시나리오비교'!$B$13))*SIN(RADIANS('13_시나리오비교'!$C$13))+$H525*SIN(RADIANS('13_시나리오비교'!$B$13))*COS(RADIANS('13_시나리오비교'!$C$13))+$I525*COS(RADIANS('13_시나리오비교'!$B$13))),0)</f>
        <v/>
      </c>
      <c r="Y525" s="80">
        <f>IF($I525&gt;0,MAX(0,$G525*SIN(RADIANS('13_시나리오비교'!$B$14))*SIN(RADIANS('13_시나리오비교'!$C$14))+$H525*SIN(RADIANS('13_시나리오비교'!$B$14))*COS(RADIANS('13_시나리오비교'!$C$14))+$I525*COS(RADIANS('13_시나리오비교'!$B$14))),0)</f>
        <v/>
      </c>
    </row>
    <row r="526" hidden="1" outlineLevel="1">
      <c r="A526" s="79" t="n">
        <v>6</v>
      </c>
      <c r="B526" s="79" t="n">
        <v>26</v>
      </c>
      <c r="C526" s="80">
        <f>(B526-0.5)*'14_지역·상수'!$H$6</f>
        <v/>
      </c>
      <c r="D526" s="79" t="n">
        <v>162</v>
      </c>
      <c r="E526" s="80">
        <f>INDEX($C$4:$C$15,MATCH(A526,$A$4:$A$15,0))</f>
        <v/>
      </c>
      <c r="F526" s="80">
        <f>15*(C526-12)</f>
        <v/>
      </c>
      <c r="G526" s="80">
        <f>-COS(RADIANS(E526))*SIN(RADIANS(F526))</f>
        <v/>
      </c>
      <c r="H526" s="80">
        <f>COS(RADIANS('11_발전량_모델'!$B$17))*SIN(RADIANS(E526))-SIN(RADIANS('11_발전량_모델'!$B$17))*COS(RADIANS(E526))*COS(RADIANS(F526))</f>
        <v/>
      </c>
      <c r="I526" s="80">
        <f>SIN(RADIANS('11_발전량_모델'!$B$17))*SIN(RADIANS(E526))+COS(RADIANS('11_발전량_모델'!$B$17))*COS(RADIANS(E526))*COS(RADIANS(F526))</f>
        <v/>
      </c>
      <c r="J526" s="80">
        <f>SIN(RADIANS('11_발전량_모델'!$B$7))*SIN(RADIANS('11_발전량_모델'!$B$8))</f>
        <v/>
      </c>
      <c r="K526" s="80">
        <f>SIN(RADIANS('11_발전량_모델'!$B$7))*COS(RADIANS('11_발전량_모델'!$B$8))</f>
        <v/>
      </c>
      <c r="L526" s="80">
        <f>COS(RADIANS('11_발전량_모델'!$B$7))</f>
        <v/>
      </c>
      <c r="M526" s="80">
        <f>G526*J526+H526*K526+I526*L526</f>
        <v/>
      </c>
      <c r="N526" s="80">
        <f>MAX(0,I526)</f>
        <v/>
      </c>
      <c r="O526" s="80">
        <f>IF(I526&gt;0,MAX(0,M526),0)</f>
        <v/>
      </c>
      <c r="P526" s="80">
        <f>IF($I526&gt;0,MAX(0,$G526*SIN(RADIANS('13_시나리오비교'!$B$5))*SIN(RADIANS('13_시나리오비교'!$C$5))+$H526*SIN(RADIANS('13_시나리오비교'!$B$5))*COS(RADIANS('13_시나리오비교'!$C$5))+$I526*COS(RADIANS('13_시나리오비교'!$B$5))),0)</f>
        <v/>
      </c>
      <c r="Q526" s="80">
        <f>IF($I526&gt;0,MAX(0,$G526*SIN(RADIANS('13_시나리오비교'!$B$6))*SIN(RADIANS('13_시나리오비교'!$C$6))+$H526*SIN(RADIANS('13_시나리오비교'!$B$6))*COS(RADIANS('13_시나리오비교'!$C$6))+$I526*COS(RADIANS('13_시나리오비교'!$B$6))),0)</f>
        <v/>
      </c>
      <c r="R526" s="80">
        <f>IF($I526&gt;0,MAX(0,$G526*SIN(RADIANS('13_시나리오비교'!$B$7))*SIN(RADIANS('13_시나리오비교'!$C$7))+$H526*SIN(RADIANS('13_시나리오비교'!$B$7))*COS(RADIANS('13_시나리오비교'!$C$7))+$I526*COS(RADIANS('13_시나리오비교'!$B$7))),0)</f>
        <v/>
      </c>
      <c r="S526" s="80">
        <f>IF($I526&gt;0,MAX(0,$G526*SIN(RADIANS('13_시나리오비교'!$B$8))*SIN(RADIANS('13_시나리오비교'!$C$8))+$H526*SIN(RADIANS('13_시나리오비교'!$B$8))*COS(RADIANS('13_시나리오비교'!$C$8))+$I526*COS(RADIANS('13_시나리오비교'!$B$8))),0)</f>
        <v/>
      </c>
      <c r="T526" s="80">
        <f>IF($I526&gt;0,MAX(0,$G526*SIN(RADIANS('13_시나리오비교'!$B$9))*SIN(RADIANS('13_시나리오비교'!$C$9))+$H526*SIN(RADIANS('13_시나리오비교'!$B$9))*COS(RADIANS('13_시나리오비교'!$C$9))+$I526*COS(RADIANS('13_시나리오비교'!$B$9))),0)</f>
        <v/>
      </c>
      <c r="U526" s="80">
        <f>IF($I526&gt;0,MAX(0,$G526*SIN(RADIANS('13_시나리오비교'!$B$10))*SIN(RADIANS('13_시나리오비교'!$C$10))+$H526*SIN(RADIANS('13_시나리오비교'!$B$10))*COS(RADIANS('13_시나리오비교'!$C$10))+$I526*COS(RADIANS('13_시나리오비교'!$B$10))),0)</f>
        <v/>
      </c>
      <c r="V526" s="80">
        <f>IF($I526&gt;0,MAX(0,$G526*SIN(RADIANS('13_시나리오비교'!$B$11))*SIN(RADIANS('13_시나리오비교'!$C$11))+$H526*SIN(RADIANS('13_시나리오비교'!$B$11))*COS(RADIANS('13_시나리오비교'!$C$11))+$I526*COS(RADIANS('13_시나리오비교'!$B$11))),0)</f>
        <v/>
      </c>
      <c r="W526" s="80">
        <f>IF($I526&gt;0,MAX(0,$G526*SIN(RADIANS('13_시나리오비교'!$B$12))*SIN(RADIANS('13_시나리오비교'!$C$12))+$H526*SIN(RADIANS('13_시나리오비교'!$B$12))*COS(RADIANS('13_시나리오비교'!$C$12))+$I526*COS(RADIANS('13_시나리오비교'!$B$12))),0)</f>
        <v/>
      </c>
      <c r="X526" s="80">
        <f>IF($I526&gt;0,MAX(0,$G526*SIN(RADIANS('13_시나리오비교'!$B$13))*SIN(RADIANS('13_시나리오비교'!$C$13))+$H526*SIN(RADIANS('13_시나리오비교'!$B$13))*COS(RADIANS('13_시나리오비교'!$C$13))+$I526*COS(RADIANS('13_시나리오비교'!$B$13))),0)</f>
        <v/>
      </c>
      <c r="Y526" s="80">
        <f>IF($I526&gt;0,MAX(0,$G526*SIN(RADIANS('13_시나리오비교'!$B$14))*SIN(RADIANS('13_시나리오비교'!$C$14))+$H526*SIN(RADIANS('13_시나리오비교'!$B$14))*COS(RADIANS('13_시나리오비교'!$C$14))+$I526*COS(RADIANS('13_시나리오비교'!$B$14))),0)</f>
        <v/>
      </c>
    </row>
    <row r="527" hidden="1" outlineLevel="1">
      <c r="A527" s="79" t="n">
        <v>6</v>
      </c>
      <c r="B527" s="79" t="n">
        <v>27</v>
      </c>
      <c r="C527" s="80">
        <f>(B527-0.5)*'14_지역·상수'!$H$6</f>
        <v/>
      </c>
      <c r="D527" s="79" t="n">
        <v>162</v>
      </c>
      <c r="E527" s="80">
        <f>INDEX($C$4:$C$15,MATCH(A527,$A$4:$A$15,0))</f>
        <v/>
      </c>
      <c r="F527" s="80">
        <f>15*(C527-12)</f>
        <v/>
      </c>
      <c r="G527" s="80">
        <f>-COS(RADIANS(E527))*SIN(RADIANS(F527))</f>
        <v/>
      </c>
      <c r="H527" s="80">
        <f>COS(RADIANS('11_발전량_모델'!$B$17))*SIN(RADIANS(E527))-SIN(RADIANS('11_발전량_모델'!$B$17))*COS(RADIANS(E527))*COS(RADIANS(F527))</f>
        <v/>
      </c>
      <c r="I527" s="80">
        <f>SIN(RADIANS('11_발전량_모델'!$B$17))*SIN(RADIANS(E527))+COS(RADIANS('11_발전량_모델'!$B$17))*COS(RADIANS(E527))*COS(RADIANS(F527))</f>
        <v/>
      </c>
      <c r="J527" s="80">
        <f>SIN(RADIANS('11_발전량_모델'!$B$7))*SIN(RADIANS('11_발전량_모델'!$B$8))</f>
        <v/>
      </c>
      <c r="K527" s="80">
        <f>SIN(RADIANS('11_발전량_모델'!$B$7))*COS(RADIANS('11_발전량_모델'!$B$8))</f>
        <v/>
      </c>
      <c r="L527" s="80">
        <f>COS(RADIANS('11_발전량_모델'!$B$7))</f>
        <v/>
      </c>
      <c r="M527" s="80">
        <f>G527*J527+H527*K527+I527*L527</f>
        <v/>
      </c>
      <c r="N527" s="80">
        <f>MAX(0,I527)</f>
        <v/>
      </c>
      <c r="O527" s="80">
        <f>IF(I527&gt;0,MAX(0,M527),0)</f>
        <v/>
      </c>
      <c r="P527" s="80">
        <f>IF($I527&gt;0,MAX(0,$G527*SIN(RADIANS('13_시나리오비교'!$B$5))*SIN(RADIANS('13_시나리오비교'!$C$5))+$H527*SIN(RADIANS('13_시나리오비교'!$B$5))*COS(RADIANS('13_시나리오비교'!$C$5))+$I527*COS(RADIANS('13_시나리오비교'!$B$5))),0)</f>
        <v/>
      </c>
      <c r="Q527" s="80">
        <f>IF($I527&gt;0,MAX(0,$G527*SIN(RADIANS('13_시나리오비교'!$B$6))*SIN(RADIANS('13_시나리오비교'!$C$6))+$H527*SIN(RADIANS('13_시나리오비교'!$B$6))*COS(RADIANS('13_시나리오비교'!$C$6))+$I527*COS(RADIANS('13_시나리오비교'!$B$6))),0)</f>
        <v/>
      </c>
      <c r="R527" s="80">
        <f>IF($I527&gt;0,MAX(0,$G527*SIN(RADIANS('13_시나리오비교'!$B$7))*SIN(RADIANS('13_시나리오비교'!$C$7))+$H527*SIN(RADIANS('13_시나리오비교'!$B$7))*COS(RADIANS('13_시나리오비교'!$C$7))+$I527*COS(RADIANS('13_시나리오비교'!$B$7))),0)</f>
        <v/>
      </c>
      <c r="S527" s="80">
        <f>IF($I527&gt;0,MAX(0,$G527*SIN(RADIANS('13_시나리오비교'!$B$8))*SIN(RADIANS('13_시나리오비교'!$C$8))+$H527*SIN(RADIANS('13_시나리오비교'!$B$8))*COS(RADIANS('13_시나리오비교'!$C$8))+$I527*COS(RADIANS('13_시나리오비교'!$B$8))),0)</f>
        <v/>
      </c>
      <c r="T527" s="80">
        <f>IF($I527&gt;0,MAX(0,$G527*SIN(RADIANS('13_시나리오비교'!$B$9))*SIN(RADIANS('13_시나리오비교'!$C$9))+$H527*SIN(RADIANS('13_시나리오비교'!$B$9))*COS(RADIANS('13_시나리오비교'!$C$9))+$I527*COS(RADIANS('13_시나리오비교'!$B$9))),0)</f>
        <v/>
      </c>
      <c r="U527" s="80">
        <f>IF($I527&gt;0,MAX(0,$G527*SIN(RADIANS('13_시나리오비교'!$B$10))*SIN(RADIANS('13_시나리오비교'!$C$10))+$H527*SIN(RADIANS('13_시나리오비교'!$B$10))*COS(RADIANS('13_시나리오비교'!$C$10))+$I527*COS(RADIANS('13_시나리오비교'!$B$10))),0)</f>
        <v/>
      </c>
      <c r="V527" s="80">
        <f>IF($I527&gt;0,MAX(0,$G527*SIN(RADIANS('13_시나리오비교'!$B$11))*SIN(RADIANS('13_시나리오비교'!$C$11))+$H527*SIN(RADIANS('13_시나리오비교'!$B$11))*COS(RADIANS('13_시나리오비교'!$C$11))+$I527*COS(RADIANS('13_시나리오비교'!$B$11))),0)</f>
        <v/>
      </c>
      <c r="W527" s="80">
        <f>IF($I527&gt;0,MAX(0,$G527*SIN(RADIANS('13_시나리오비교'!$B$12))*SIN(RADIANS('13_시나리오비교'!$C$12))+$H527*SIN(RADIANS('13_시나리오비교'!$B$12))*COS(RADIANS('13_시나리오비교'!$C$12))+$I527*COS(RADIANS('13_시나리오비교'!$B$12))),0)</f>
        <v/>
      </c>
      <c r="X527" s="80">
        <f>IF($I527&gt;0,MAX(0,$G527*SIN(RADIANS('13_시나리오비교'!$B$13))*SIN(RADIANS('13_시나리오비교'!$C$13))+$H527*SIN(RADIANS('13_시나리오비교'!$B$13))*COS(RADIANS('13_시나리오비교'!$C$13))+$I527*COS(RADIANS('13_시나리오비교'!$B$13))),0)</f>
        <v/>
      </c>
      <c r="Y527" s="80">
        <f>IF($I527&gt;0,MAX(0,$G527*SIN(RADIANS('13_시나리오비교'!$B$14))*SIN(RADIANS('13_시나리오비교'!$C$14))+$H527*SIN(RADIANS('13_시나리오비교'!$B$14))*COS(RADIANS('13_시나리오비교'!$C$14))+$I527*COS(RADIANS('13_시나리오비교'!$B$14))),0)</f>
        <v/>
      </c>
    </row>
    <row r="528" hidden="1" outlineLevel="1">
      <c r="A528" s="79" t="n">
        <v>6</v>
      </c>
      <c r="B528" s="79" t="n">
        <v>28</v>
      </c>
      <c r="C528" s="80">
        <f>(B528-0.5)*'14_지역·상수'!$H$6</f>
        <v/>
      </c>
      <c r="D528" s="79" t="n">
        <v>162</v>
      </c>
      <c r="E528" s="80">
        <f>INDEX($C$4:$C$15,MATCH(A528,$A$4:$A$15,0))</f>
        <v/>
      </c>
      <c r="F528" s="80">
        <f>15*(C528-12)</f>
        <v/>
      </c>
      <c r="G528" s="80">
        <f>-COS(RADIANS(E528))*SIN(RADIANS(F528))</f>
        <v/>
      </c>
      <c r="H528" s="80">
        <f>COS(RADIANS('11_발전량_모델'!$B$17))*SIN(RADIANS(E528))-SIN(RADIANS('11_발전량_모델'!$B$17))*COS(RADIANS(E528))*COS(RADIANS(F528))</f>
        <v/>
      </c>
      <c r="I528" s="80">
        <f>SIN(RADIANS('11_발전량_모델'!$B$17))*SIN(RADIANS(E528))+COS(RADIANS('11_발전량_모델'!$B$17))*COS(RADIANS(E528))*COS(RADIANS(F528))</f>
        <v/>
      </c>
      <c r="J528" s="80">
        <f>SIN(RADIANS('11_발전량_모델'!$B$7))*SIN(RADIANS('11_발전량_모델'!$B$8))</f>
        <v/>
      </c>
      <c r="K528" s="80">
        <f>SIN(RADIANS('11_발전량_모델'!$B$7))*COS(RADIANS('11_발전량_모델'!$B$8))</f>
        <v/>
      </c>
      <c r="L528" s="80">
        <f>COS(RADIANS('11_발전량_모델'!$B$7))</f>
        <v/>
      </c>
      <c r="M528" s="80">
        <f>G528*J528+H528*K528+I528*L528</f>
        <v/>
      </c>
      <c r="N528" s="80">
        <f>MAX(0,I528)</f>
        <v/>
      </c>
      <c r="O528" s="80">
        <f>IF(I528&gt;0,MAX(0,M528),0)</f>
        <v/>
      </c>
      <c r="P528" s="80">
        <f>IF($I528&gt;0,MAX(0,$G528*SIN(RADIANS('13_시나리오비교'!$B$5))*SIN(RADIANS('13_시나리오비교'!$C$5))+$H528*SIN(RADIANS('13_시나리오비교'!$B$5))*COS(RADIANS('13_시나리오비교'!$C$5))+$I528*COS(RADIANS('13_시나리오비교'!$B$5))),0)</f>
        <v/>
      </c>
      <c r="Q528" s="80">
        <f>IF($I528&gt;0,MAX(0,$G528*SIN(RADIANS('13_시나리오비교'!$B$6))*SIN(RADIANS('13_시나리오비교'!$C$6))+$H528*SIN(RADIANS('13_시나리오비교'!$B$6))*COS(RADIANS('13_시나리오비교'!$C$6))+$I528*COS(RADIANS('13_시나리오비교'!$B$6))),0)</f>
        <v/>
      </c>
      <c r="R528" s="80">
        <f>IF($I528&gt;0,MAX(0,$G528*SIN(RADIANS('13_시나리오비교'!$B$7))*SIN(RADIANS('13_시나리오비교'!$C$7))+$H528*SIN(RADIANS('13_시나리오비교'!$B$7))*COS(RADIANS('13_시나리오비교'!$C$7))+$I528*COS(RADIANS('13_시나리오비교'!$B$7))),0)</f>
        <v/>
      </c>
      <c r="S528" s="80">
        <f>IF($I528&gt;0,MAX(0,$G528*SIN(RADIANS('13_시나리오비교'!$B$8))*SIN(RADIANS('13_시나리오비교'!$C$8))+$H528*SIN(RADIANS('13_시나리오비교'!$B$8))*COS(RADIANS('13_시나리오비교'!$C$8))+$I528*COS(RADIANS('13_시나리오비교'!$B$8))),0)</f>
        <v/>
      </c>
      <c r="T528" s="80">
        <f>IF($I528&gt;0,MAX(0,$G528*SIN(RADIANS('13_시나리오비교'!$B$9))*SIN(RADIANS('13_시나리오비교'!$C$9))+$H528*SIN(RADIANS('13_시나리오비교'!$B$9))*COS(RADIANS('13_시나리오비교'!$C$9))+$I528*COS(RADIANS('13_시나리오비교'!$B$9))),0)</f>
        <v/>
      </c>
      <c r="U528" s="80">
        <f>IF($I528&gt;0,MAX(0,$G528*SIN(RADIANS('13_시나리오비교'!$B$10))*SIN(RADIANS('13_시나리오비교'!$C$10))+$H528*SIN(RADIANS('13_시나리오비교'!$B$10))*COS(RADIANS('13_시나리오비교'!$C$10))+$I528*COS(RADIANS('13_시나리오비교'!$B$10))),0)</f>
        <v/>
      </c>
      <c r="V528" s="80">
        <f>IF($I528&gt;0,MAX(0,$G528*SIN(RADIANS('13_시나리오비교'!$B$11))*SIN(RADIANS('13_시나리오비교'!$C$11))+$H528*SIN(RADIANS('13_시나리오비교'!$B$11))*COS(RADIANS('13_시나리오비교'!$C$11))+$I528*COS(RADIANS('13_시나리오비교'!$B$11))),0)</f>
        <v/>
      </c>
      <c r="W528" s="80">
        <f>IF($I528&gt;0,MAX(0,$G528*SIN(RADIANS('13_시나리오비교'!$B$12))*SIN(RADIANS('13_시나리오비교'!$C$12))+$H528*SIN(RADIANS('13_시나리오비교'!$B$12))*COS(RADIANS('13_시나리오비교'!$C$12))+$I528*COS(RADIANS('13_시나리오비교'!$B$12))),0)</f>
        <v/>
      </c>
      <c r="X528" s="80">
        <f>IF($I528&gt;0,MAX(0,$G528*SIN(RADIANS('13_시나리오비교'!$B$13))*SIN(RADIANS('13_시나리오비교'!$C$13))+$H528*SIN(RADIANS('13_시나리오비교'!$B$13))*COS(RADIANS('13_시나리오비교'!$C$13))+$I528*COS(RADIANS('13_시나리오비교'!$B$13))),0)</f>
        <v/>
      </c>
      <c r="Y528" s="80">
        <f>IF($I528&gt;0,MAX(0,$G528*SIN(RADIANS('13_시나리오비교'!$B$14))*SIN(RADIANS('13_시나리오비교'!$C$14))+$H528*SIN(RADIANS('13_시나리오비교'!$B$14))*COS(RADIANS('13_시나리오비교'!$C$14))+$I528*COS(RADIANS('13_시나리오비교'!$B$14))),0)</f>
        <v/>
      </c>
    </row>
    <row r="529" hidden="1" outlineLevel="1">
      <c r="A529" s="79" t="n">
        <v>6</v>
      </c>
      <c r="B529" s="79" t="n">
        <v>29</v>
      </c>
      <c r="C529" s="80">
        <f>(B529-0.5)*'14_지역·상수'!$H$6</f>
        <v/>
      </c>
      <c r="D529" s="79" t="n">
        <v>162</v>
      </c>
      <c r="E529" s="80">
        <f>INDEX($C$4:$C$15,MATCH(A529,$A$4:$A$15,0))</f>
        <v/>
      </c>
      <c r="F529" s="80">
        <f>15*(C529-12)</f>
        <v/>
      </c>
      <c r="G529" s="80">
        <f>-COS(RADIANS(E529))*SIN(RADIANS(F529))</f>
        <v/>
      </c>
      <c r="H529" s="80">
        <f>COS(RADIANS('11_발전량_모델'!$B$17))*SIN(RADIANS(E529))-SIN(RADIANS('11_발전량_모델'!$B$17))*COS(RADIANS(E529))*COS(RADIANS(F529))</f>
        <v/>
      </c>
      <c r="I529" s="80">
        <f>SIN(RADIANS('11_발전량_모델'!$B$17))*SIN(RADIANS(E529))+COS(RADIANS('11_발전량_모델'!$B$17))*COS(RADIANS(E529))*COS(RADIANS(F529))</f>
        <v/>
      </c>
      <c r="J529" s="80">
        <f>SIN(RADIANS('11_발전량_모델'!$B$7))*SIN(RADIANS('11_발전량_모델'!$B$8))</f>
        <v/>
      </c>
      <c r="K529" s="80">
        <f>SIN(RADIANS('11_발전량_모델'!$B$7))*COS(RADIANS('11_발전량_모델'!$B$8))</f>
        <v/>
      </c>
      <c r="L529" s="80">
        <f>COS(RADIANS('11_발전량_모델'!$B$7))</f>
        <v/>
      </c>
      <c r="M529" s="80">
        <f>G529*J529+H529*K529+I529*L529</f>
        <v/>
      </c>
      <c r="N529" s="80">
        <f>MAX(0,I529)</f>
        <v/>
      </c>
      <c r="O529" s="80">
        <f>IF(I529&gt;0,MAX(0,M529),0)</f>
        <v/>
      </c>
      <c r="P529" s="80">
        <f>IF($I529&gt;0,MAX(0,$G529*SIN(RADIANS('13_시나리오비교'!$B$5))*SIN(RADIANS('13_시나리오비교'!$C$5))+$H529*SIN(RADIANS('13_시나리오비교'!$B$5))*COS(RADIANS('13_시나리오비교'!$C$5))+$I529*COS(RADIANS('13_시나리오비교'!$B$5))),0)</f>
        <v/>
      </c>
      <c r="Q529" s="80">
        <f>IF($I529&gt;0,MAX(0,$G529*SIN(RADIANS('13_시나리오비교'!$B$6))*SIN(RADIANS('13_시나리오비교'!$C$6))+$H529*SIN(RADIANS('13_시나리오비교'!$B$6))*COS(RADIANS('13_시나리오비교'!$C$6))+$I529*COS(RADIANS('13_시나리오비교'!$B$6))),0)</f>
        <v/>
      </c>
      <c r="R529" s="80">
        <f>IF($I529&gt;0,MAX(0,$G529*SIN(RADIANS('13_시나리오비교'!$B$7))*SIN(RADIANS('13_시나리오비교'!$C$7))+$H529*SIN(RADIANS('13_시나리오비교'!$B$7))*COS(RADIANS('13_시나리오비교'!$C$7))+$I529*COS(RADIANS('13_시나리오비교'!$B$7))),0)</f>
        <v/>
      </c>
      <c r="S529" s="80">
        <f>IF($I529&gt;0,MAX(0,$G529*SIN(RADIANS('13_시나리오비교'!$B$8))*SIN(RADIANS('13_시나리오비교'!$C$8))+$H529*SIN(RADIANS('13_시나리오비교'!$B$8))*COS(RADIANS('13_시나리오비교'!$C$8))+$I529*COS(RADIANS('13_시나리오비교'!$B$8))),0)</f>
        <v/>
      </c>
      <c r="T529" s="80">
        <f>IF($I529&gt;0,MAX(0,$G529*SIN(RADIANS('13_시나리오비교'!$B$9))*SIN(RADIANS('13_시나리오비교'!$C$9))+$H529*SIN(RADIANS('13_시나리오비교'!$B$9))*COS(RADIANS('13_시나리오비교'!$C$9))+$I529*COS(RADIANS('13_시나리오비교'!$B$9))),0)</f>
        <v/>
      </c>
      <c r="U529" s="80">
        <f>IF($I529&gt;0,MAX(0,$G529*SIN(RADIANS('13_시나리오비교'!$B$10))*SIN(RADIANS('13_시나리오비교'!$C$10))+$H529*SIN(RADIANS('13_시나리오비교'!$B$10))*COS(RADIANS('13_시나리오비교'!$C$10))+$I529*COS(RADIANS('13_시나리오비교'!$B$10))),0)</f>
        <v/>
      </c>
      <c r="V529" s="80">
        <f>IF($I529&gt;0,MAX(0,$G529*SIN(RADIANS('13_시나리오비교'!$B$11))*SIN(RADIANS('13_시나리오비교'!$C$11))+$H529*SIN(RADIANS('13_시나리오비교'!$B$11))*COS(RADIANS('13_시나리오비교'!$C$11))+$I529*COS(RADIANS('13_시나리오비교'!$B$11))),0)</f>
        <v/>
      </c>
      <c r="W529" s="80">
        <f>IF($I529&gt;0,MAX(0,$G529*SIN(RADIANS('13_시나리오비교'!$B$12))*SIN(RADIANS('13_시나리오비교'!$C$12))+$H529*SIN(RADIANS('13_시나리오비교'!$B$12))*COS(RADIANS('13_시나리오비교'!$C$12))+$I529*COS(RADIANS('13_시나리오비교'!$B$12))),0)</f>
        <v/>
      </c>
      <c r="X529" s="80">
        <f>IF($I529&gt;0,MAX(0,$G529*SIN(RADIANS('13_시나리오비교'!$B$13))*SIN(RADIANS('13_시나리오비교'!$C$13))+$H529*SIN(RADIANS('13_시나리오비교'!$B$13))*COS(RADIANS('13_시나리오비교'!$C$13))+$I529*COS(RADIANS('13_시나리오비교'!$B$13))),0)</f>
        <v/>
      </c>
      <c r="Y529" s="80">
        <f>IF($I529&gt;0,MAX(0,$G529*SIN(RADIANS('13_시나리오비교'!$B$14))*SIN(RADIANS('13_시나리오비교'!$C$14))+$H529*SIN(RADIANS('13_시나리오비교'!$B$14))*COS(RADIANS('13_시나리오비교'!$C$14))+$I529*COS(RADIANS('13_시나리오비교'!$B$14))),0)</f>
        <v/>
      </c>
    </row>
    <row r="530" hidden="1" outlineLevel="1">
      <c r="A530" s="79" t="n">
        <v>6</v>
      </c>
      <c r="B530" s="79" t="n">
        <v>30</v>
      </c>
      <c r="C530" s="80">
        <f>(B530-0.5)*'14_지역·상수'!$H$6</f>
        <v/>
      </c>
      <c r="D530" s="79" t="n">
        <v>162</v>
      </c>
      <c r="E530" s="80">
        <f>INDEX($C$4:$C$15,MATCH(A530,$A$4:$A$15,0))</f>
        <v/>
      </c>
      <c r="F530" s="80">
        <f>15*(C530-12)</f>
        <v/>
      </c>
      <c r="G530" s="80">
        <f>-COS(RADIANS(E530))*SIN(RADIANS(F530))</f>
        <v/>
      </c>
      <c r="H530" s="80">
        <f>COS(RADIANS('11_발전량_모델'!$B$17))*SIN(RADIANS(E530))-SIN(RADIANS('11_발전량_모델'!$B$17))*COS(RADIANS(E530))*COS(RADIANS(F530))</f>
        <v/>
      </c>
      <c r="I530" s="80">
        <f>SIN(RADIANS('11_발전량_모델'!$B$17))*SIN(RADIANS(E530))+COS(RADIANS('11_발전량_모델'!$B$17))*COS(RADIANS(E530))*COS(RADIANS(F530))</f>
        <v/>
      </c>
      <c r="J530" s="80">
        <f>SIN(RADIANS('11_발전량_모델'!$B$7))*SIN(RADIANS('11_발전량_모델'!$B$8))</f>
        <v/>
      </c>
      <c r="K530" s="80">
        <f>SIN(RADIANS('11_발전량_모델'!$B$7))*COS(RADIANS('11_발전량_모델'!$B$8))</f>
        <v/>
      </c>
      <c r="L530" s="80">
        <f>COS(RADIANS('11_발전량_모델'!$B$7))</f>
        <v/>
      </c>
      <c r="M530" s="80">
        <f>G530*J530+H530*K530+I530*L530</f>
        <v/>
      </c>
      <c r="N530" s="80">
        <f>MAX(0,I530)</f>
        <v/>
      </c>
      <c r="O530" s="80">
        <f>IF(I530&gt;0,MAX(0,M530),0)</f>
        <v/>
      </c>
      <c r="P530" s="80">
        <f>IF($I530&gt;0,MAX(0,$G530*SIN(RADIANS('13_시나리오비교'!$B$5))*SIN(RADIANS('13_시나리오비교'!$C$5))+$H530*SIN(RADIANS('13_시나리오비교'!$B$5))*COS(RADIANS('13_시나리오비교'!$C$5))+$I530*COS(RADIANS('13_시나리오비교'!$B$5))),0)</f>
        <v/>
      </c>
      <c r="Q530" s="80">
        <f>IF($I530&gt;0,MAX(0,$G530*SIN(RADIANS('13_시나리오비교'!$B$6))*SIN(RADIANS('13_시나리오비교'!$C$6))+$H530*SIN(RADIANS('13_시나리오비교'!$B$6))*COS(RADIANS('13_시나리오비교'!$C$6))+$I530*COS(RADIANS('13_시나리오비교'!$B$6))),0)</f>
        <v/>
      </c>
      <c r="R530" s="80">
        <f>IF($I530&gt;0,MAX(0,$G530*SIN(RADIANS('13_시나리오비교'!$B$7))*SIN(RADIANS('13_시나리오비교'!$C$7))+$H530*SIN(RADIANS('13_시나리오비교'!$B$7))*COS(RADIANS('13_시나리오비교'!$C$7))+$I530*COS(RADIANS('13_시나리오비교'!$B$7))),0)</f>
        <v/>
      </c>
      <c r="S530" s="80">
        <f>IF($I530&gt;0,MAX(0,$G530*SIN(RADIANS('13_시나리오비교'!$B$8))*SIN(RADIANS('13_시나리오비교'!$C$8))+$H530*SIN(RADIANS('13_시나리오비교'!$B$8))*COS(RADIANS('13_시나리오비교'!$C$8))+$I530*COS(RADIANS('13_시나리오비교'!$B$8))),0)</f>
        <v/>
      </c>
      <c r="T530" s="80">
        <f>IF($I530&gt;0,MAX(0,$G530*SIN(RADIANS('13_시나리오비교'!$B$9))*SIN(RADIANS('13_시나리오비교'!$C$9))+$H530*SIN(RADIANS('13_시나리오비교'!$B$9))*COS(RADIANS('13_시나리오비교'!$C$9))+$I530*COS(RADIANS('13_시나리오비교'!$B$9))),0)</f>
        <v/>
      </c>
      <c r="U530" s="80">
        <f>IF($I530&gt;0,MAX(0,$G530*SIN(RADIANS('13_시나리오비교'!$B$10))*SIN(RADIANS('13_시나리오비교'!$C$10))+$H530*SIN(RADIANS('13_시나리오비교'!$B$10))*COS(RADIANS('13_시나리오비교'!$C$10))+$I530*COS(RADIANS('13_시나리오비교'!$B$10))),0)</f>
        <v/>
      </c>
      <c r="V530" s="80">
        <f>IF($I530&gt;0,MAX(0,$G530*SIN(RADIANS('13_시나리오비교'!$B$11))*SIN(RADIANS('13_시나리오비교'!$C$11))+$H530*SIN(RADIANS('13_시나리오비교'!$B$11))*COS(RADIANS('13_시나리오비교'!$C$11))+$I530*COS(RADIANS('13_시나리오비교'!$B$11))),0)</f>
        <v/>
      </c>
      <c r="W530" s="80">
        <f>IF($I530&gt;0,MAX(0,$G530*SIN(RADIANS('13_시나리오비교'!$B$12))*SIN(RADIANS('13_시나리오비교'!$C$12))+$H530*SIN(RADIANS('13_시나리오비교'!$B$12))*COS(RADIANS('13_시나리오비교'!$C$12))+$I530*COS(RADIANS('13_시나리오비교'!$B$12))),0)</f>
        <v/>
      </c>
      <c r="X530" s="80">
        <f>IF($I530&gt;0,MAX(0,$G530*SIN(RADIANS('13_시나리오비교'!$B$13))*SIN(RADIANS('13_시나리오비교'!$C$13))+$H530*SIN(RADIANS('13_시나리오비교'!$B$13))*COS(RADIANS('13_시나리오비교'!$C$13))+$I530*COS(RADIANS('13_시나리오비교'!$B$13))),0)</f>
        <v/>
      </c>
      <c r="Y530" s="80">
        <f>IF($I530&gt;0,MAX(0,$G530*SIN(RADIANS('13_시나리오비교'!$B$14))*SIN(RADIANS('13_시나리오비교'!$C$14))+$H530*SIN(RADIANS('13_시나리오비교'!$B$14))*COS(RADIANS('13_시나리오비교'!$C$14))+$I530*COS(RADIANS('13_시나리오비교'!$B$14))),0)</f>
        <v/>
      </c>
    </row>
    <row r="531" hidden="1" outlineLevel="1">
      <c r="A531" s="79" t="n">
        <v>6</v>
      </c>
      <c r="B531" s="79" t="n">
        <v>31</v>
      </c>
      <c r="C531" s="80">
        <f>(B531-0.5)*'14_지역·상수'!$H$6</f>
        <v/>
      </c>
      <c r="D531" s="79" t="n">
        <v>162</v>
      </c>
      <c r="E531" s="80">
        <f>INDEX($C$4:$C$15,MATCH(A531,$A$4:$A$15,0))</f>
        <v/>
      </c>
      <c r="F531" s="80">
        <f>15*(C531-12)</f>
        <v/>
      </c>
      <c r="G531" s="80">
        <f>-COS(RADIANS(E531))*SIN(RADIANS(F531))</f>
        <v/>
      </c>
      <c r="H531" s="80">
        <f>COS(RADIANS('11_발전량_모델'!$B$17))*SIN(RADIANS(E531))-SIN(RADIANS('11_발전량_모델'!$B$17))*COS(RADIANS(E531))*COS(RADIANS(F531))</f>
        <v/>
      </c>
      <c r="I531" s="80">
        <f>SIN(RADIANS('11_발전량_모델'!$B$17))*SIN(RADIANS(E531))+COS(RADIANS('11_발전량_모델'!$B$17))*COS(RADIANS(E531))*COS(RADIANS(F531))</f>
        <v/>
      </c>
      <c r="J531" s="80">
        <f>SIN(RADIANS('11_발전량_모델'!$B$7))*SIN(RADIANS('11_발전량_모델'!$B$8))</f>
        <v/>
      </c>
      <c r="K531" s="80">
        <f>SIN(RADIANS('11_발전량_모델'!$B$7))*COS(RADIANS('11_발전량_모델'!$B$8))</f>
        <v/>
      </c>
      <c r="L531" s="80">
        <f>COS(RADIANS('11_발전량_모델'!$B$7))</f>
        <v/>
      </c>
      <c r="M531" s="80">
        <f>G531*J531+H531*K531+I531*L531</f>
        <v/>
      </c>
      <c r="N531" s="80">
        <f>MAX(0,I531)</f>
        <v/>
      </c>
      <c r="O531" s="80">
        <f>IF(I531&gt;0,MAX(0,M531),0)</f>
        <v/>
      </c>
      <c r="P531" s="80">
        <f>IF($I531&gt;0,MAX(0,$G531*SIN(RADIANS('13_시나리오비교'!$B$5))*SIN(RADIANS('13_시나리오비교'!$C$5))+$H531*SIN(RADIANS('13_시나리오비교'!$B$5))*COS(RADIANS('13_시나리오비교'!$C$5))+$I531*COS(RADIANS('13_시나리오비교'!$B$5))),0)</f>
        <v/>
      </c>
      <c r="Q531" s="80">
        <f>IF($I531&gt;0,MAX(0,$G531*SIN(RADIANS('13_시나리오비교'!$B$6))*SIN(RADIANS('13_시나리오비교'!$C$6))+$H531*SIN(RADIANS('13_시나리오비교'!$B$6))*COS(RADIANS('13_시나리오비교'!$C$6))+$I531*COS(RADIANS('13_시나리오비교'!$B$6))),0)</f>
        <v/>
      </c>
      <c r="R531" s="80">
        <f>IF($I531&gt;0,MAX(0,$G531*SIN(RADIANS('13_시나리오비교'!$B$7))*SIN(RADIANS('13_시나리오비교'!$C$7))+$H531*SIN(RADIANS('13_시나리오비교'!$B$7))*COS(RADIANS('13_시나리오비교'!$C$7))+$I531*COS(RADIANS('13_시나리오비교'!$B$7))),0)</f>
        <v/>
      </c>
      <c r="S531" s="80">
        <f>IF($I531&gt;0,MAX(0,$G531*SIN(RADIANS('13_시나리오비교'!$B$8))*SIN(RADIANS('13_시나리오비교'!$C$8))+$H531*SIN(RADIANS('13_시나리오비교'!$B$8))*COS(RADIANS('13_시나리오비교'!$C$8))+$I531*COS(RADIANS('13_시나리오비교'!$B$8))),0)</f>
        <v/>
      </c>
      <c r="T531" s="80">
        <f>IF($I531&gt;0,MAX(0,$G531*SIN(RADIANS('13_시나리오비교'!$B$9))*SIN(RADIANS('13_시나리오비교'!$C$9))+$H531*SIN(RADIANS('13_시나리오비교'!$B$9))*COS(RADIANS('13_시나리오비교'!$C$9))+$I531*COS(RADIANS('13_시나리오비교'!$B$9))),0)</f>
        <v/>
      </c>
      <c r="U531" s="80">
        <f>IF($I531&gt;0,MAX(0,$G531*SIN(RADIANS('13_시나리오비교'!$B$10))*SIN(RADIANS('13_시나리오비교'!$C$10))+$H531*SIN(RADIANS('13_시나리오비교'!$B$10))*COS(RADIANS('13_시나리오비교'!$C$10))+$I531*COS(RADIANS('13_시나리오비교'!$B$10))),0)</f>
        <v/>
      </c>
      <c r="V531" s="80">
        <f>IF($I531&gt;0,MAX(0,$G531*SIN(RADIANS('13_시나리오비교'!$B$11))*SIN(RADIANS('13_시나리오비교'!$C$11))+$H531*SIN(RADIANS('13_시나리오비교'!$B$11))*COS(RADIANS('13_시나리오비교'!$C$11))+$I531*COS(RADIANS('13_시나리오비교'!$B$11))),0)</f>
        <v/>
      </c>
      <c r="W531" s="80">
        <f>IF($I531&gt;0,MAX(0,$G531*SIN(RADIANS('13_시나리오비교'!$B$12))*SIN(RADIANS('13_시나리오비교'!$C$12))+$H531*SIN(RADIANS('13_시나리오비교'!$B$12))*COS(RADIANS('13_시나리오비교'!$C$12))+$I531*COS(RADIANS('13_시나리오비교'!$B$12))),0)</f>
        <v/>
      </c>
      <c r="X531" s="80">
        <f>IF($I531&gt;0,MAX(0,$G531*SIN(RADIANS('13_시나리오비교'!$B$13))*SIN(RADIANS('13_시나리오비교'!$C$13))+$H531*SIN(RADIANS('13_시나리오비교'!$B$13))*COS(RADIANS('13_시나리오비교'!$C$13))+$I531*COS(RADIANS('13_시나리오비교'!$B$13))),0)</f>
        <v/>
      </c>
      <c r="Y531" s="80">
        <f>IF($I531&gt;0,MAX(0,$G531*SIN(RADIANS('13_시나리오비교'!$B$14))*SIN(RADIANS('13_시나리오비교'!$C$14))+$H531*SIN(RADIANS('13_시나리오비교'!$B$14))*COS(RADIANS('13_시나리오비교'!$C$14))+$I531*COS(RADIANS('13_시나리오비교'!$B$14))),0)</f>
        <v/>
      </c>
    </row>
    <row r="532" hidden="1" outlineLevel="1">
      <c r="A532" s="79" t="n">
        <v>6</v>
      </c>
      <c r="B532" s="79" t="n">
        <v>32</v>
      </c>
      <c r="C532" s="80">
        <f>(B532-0.5)*'14_지역·상수'!$H$6</f>
        <v/>
      </c>
      <c r="D532" s="79" t="n">
        <v>162</v>
      </c>
      <c r="E532" s="80">
        <f>INDEX($C$4:$C$15,MATCH(A532,$A$4:$A$15,0))</f>
        <v/>
      </c>
      <c r="F532" s="80">
        <f>15*(C532-12)</f>
        <v/>
      </c>
      <c r="G532" s="80">
        <f>-COS(RADIANS(E532))*SIN(RADIANS(F532))</f>
        <v/>
      </c>
      <c r="H532" s="80">
        <f>COS(RADIANS('11_발전량_모델'!$B$17))*SIN(RADIANS(E532))-SIN(RADIANS('11_발전량_모델'!$B$17))*COS(RADIANS(E532))*COS(RADIANS(F532))</f>
        <v/>
      </c>
      <c r="I532" s="80">
        <f>SIN(RADIANS('11_발전량_모델'!$B$17))*SIN(RADIANS(E532))+COS(RADIANS('11_발전량_모델'!$B$17))*COS(RADIANS(E532))*COS(RADIANS(F532))</f>
        <v/>
      </c>
      <c r="J532" s="80">
        <f>SIN(RADIANS('11_발전량_모델'!$B$7))*SIN(RADIANS('11_발전량_모델'!$B$8))</f>
        <v/>
      </c>
      <c r="K532" s="80">
        <f>SIN(RADIANS('11_발전량_모델'!$B$7))*COS(RADIANS('11_발전량_모델'!$B$8))</f>
        <v/>
      </c>
      <c r="L532" s="80">
        <f>COS(RADIANS('11_발전량_모델'!$B$7))</f>
        <v/>
      </c>
      <c r="M532" s="80">
        <f>G532*J532+H532*K532+I532*L532</f>
        <v/>
      </c>
      <c r="N532" s="80">
        <f>MAX(0,I532)</f>
        <v/>
      </c>
      <c r="O532" s="80">
        <f>IF(I532&gt;0,MAX(0,M532),0)</f>
        <v/>
      </c>
      <c r="P532" s="80">
        <f>IF($I532&gt;0,MAX(0,$G532*SIN(RADIANS('13_시나리오비교'!$B$5))*SIN(RADIANS('13_시나리오비교'!$C$5))+$H532*SIN(RADIANS('13_시나리오비교'!$B$5))*COS(RADIANS('13_시나리오비교'!$C$5))+$I532*COS(RADIANS('13_시나리오비교'!$B$5))),0)</f>
        <v/>
      </c>
      <c r="Q532" s="80">
        <f>IF($I532&gt;0,MAX(0,$G532*SIN(RADIANS('13_시나리오비교'!$B$6))*SIN(RADIANS('13_시나리오비교'!$C$6))+$H532*SIN(RADIANS('13_시나리오비교'!$B$6))*COS(RADIANS('13_시나리오비교'!$C$6))+$I532*COS(RADIANS('13_시나리오비교'!$B$6))),0)</f>
        <v/>
      </c>
      <c r="R532" s="80">
        <f>IF($I532&gt;0,MAX(0,$G532*SIN(RADIANS('13_시나리오비교'!$B$7))*SIN(RADIANS('13_시나리오비교'!$C$7))+$H532*SIN(RADIANS('13_시나리오비교'!$B$7))*COS(RADIANS('13_시나리오비교'!$C$7))+$I532*COS(RADIANS('13_시나리오비교'!$B$7))),0)</f>
        <v/>
      </c>
      <c r="S532" s="80">
        <f>IF($I532&gt;0,MAX(0,$G532*SIN(RADIANS('13_시나리오비교'!$B$8))*SIN(RADIANS('13_시나리오비교'!$C$8))+$H532*SIN(RADIANS('13_시나리오비교'!$B$8))*COS(RADIANS('13_시나리오비교'!$C$8))+$I532*COS(RADIANS('13_시나리오비교'!$B$8))),0)</f>
        <v/>
      </c>
      <c r="T532" s="80">
        <f>IF($I532&gt;0,MAX(0,$G532*SIN(RADIANS('13_시나리오비교'!$B$9))*SIN(RADIANS('13_시나리오비교'!$C$9))+$H532*SIN(RADIANS('13_시나리오비교'!$B$9))*COS(RADIANS('13_시나리오비교'!$C$9))+$I532*COS(RADIANS('13_시나리오비교'!$B$9))),0)</f>
        <v/>
      </c>
      <c r="U532" s="80">
        <f>IF($I532&gt;0,MAX(0,$G532*SIN(RADIANS('13_시나리오비교'!$B$10))*SIN(RADIANS('13_시나리오비교'!$C$10))+$H532*SIN(RADIANS('13_시나리오비교'!$B$10))*COS(RADIANS('13_시나리오비교'!$C$10))+$I532*COS(RADIANS('13_시나리오비교'!$B$10))),0)</f>
        <v/>
      </c>
      <c r="V532" s="80">
        <f>IF($I532&gt;0,MAX(0,$G532*SIN(RADIANS('13_시나리오비교'!$B$11))*SIN(RADIANS('13_시나리오비교'!$C$11))+$H532*SIN(RADIANS('13_시나리오비교'!$B$11))*COS(RADIANS('13_시나리오비교'!$C$11))+$I532*COS(RADIANS('13_시나리오비교'!$B$11))),0)</f>
        <v/>
      </c>
      <c r="W532" s="80">
        <f>IF($I532&gt;0,MAX(0,$G532*SIN(RADIANS('13_시나리오비교'!$B$12))*SIN(RADIANS('13_시나리오비교'!$C$12))+$H532*SIN(RADIANS('13_시나리오비교'!$B$12))*COS(RADIANS('13_시나리오비교'!$C$12))+$I532*COS(RADIANS('13_시나리오비교'!$B$12))),0)</f>
        <v/>
      </c>
      <c r="X532" s="80">
        <f>IF($I532&gt;0,MAX(0,$G532*SIN(RADIANS('13_시나리오비교'!$B$13))*SIN(RADIANS('13_시나리오비교'!$C$13))+$H532*SIN(RADIANS('13_시나리오비교'!$B$13))*COS(RADIANS('13_시나리오비교'!$C$13))+$I532*COS(RADIANS('13_시나리오비교'!$B$13))),0)</f>
        <v/>
      </c>
      <c r="Y532" s="80">
        <f>IF($I532&gt;0,MAX(0,$G532*SIN(RADIANS('13_시나리오비교'!$B$14))*SIN(RADIANS('13_시나리오비교'!$C$14))+$H532*SIN(RADIANS('13_시나리오비교'!$B$14))*COS(RADIANS('13_시나리오비교'!$C$14))+$I532*COS(RADIANS('13_시나리오비교'!$B$14))),0)</f>
        <v/>
      </c>
    </row>
    <row r="533" hidden="1" outlineLevel="1">
      <c r="A533" s="79" t="n">
        <v>6</v>
      </c>
      <c r="B533" s="79" t="n">
        <v>33</v>
      </c>
      <c r="C533" s="80">
        <f>(B533-0.5)*'14_지역·상수'!$H$6</f>
        <v/>
      </c>
      <c r="D533" s="79" t="n">
        <v>162</v>
      </c>
      <c r="E533" s="80">
        <f>INDEX($C$4:$C$15,MATCH(A533,$A$4:$A$15,0))</f>
        <v/>
      </c>
      <c r="F533" s="80">
        <f>15*(C533-12)</f>
        <v/>
      </c>
      <c r="G533" s="80">
        <f>-COS(RADIANS(E533))*SIN(RADIANS(F533))</f>
        <v/>
      </c>
      <c r="H533" s="80">
        <f>COS(RADIANS('11_발전량_모델'!$B$17))*SIN(RADIANS(E533))-SIN(RADIANS('11_발전량_모델'!$B$17))*COS(RADIANS(E533))*COS(RADIANS(F533))</f>
        <v/>
      </c>
      <c r="I533" s="80">
        <f>SIN(RADIANS('11_발전량_모델'!$B$17))*SIN(RADIANS(E533))+COS(RADIANS('11_발전량_모델'!$B$17))*COS(RADIANS(E533))*COS(RADIANS(F533))</f>
        <v/>
      </c>
      <c r="J533" s="80">
        <f>SIN(RADIANS('11_발전량_모델'!$B$7))*SIN(RADIANS('11_발전량_모델'!$B$8))</f>
        <v/>
      </c>
      <c r="K533" s="80">
        <f>SIN(RADIANS('11_발전량_모델'!$B$7))*COS(RADIANS('11_발전량_모델'!$B$8))</f>
        <v/>
      </c>
      <c r="L533" s="80">
        <f>COS(RADIANS('11_발전량_모델'!$B$7))</f>
        <v/>
      </c>
      <c r="M533" s="80">
        <f>G533*J533+H533*K533+I533*L533</f>
        <v/>
      </c>
      <c r="N533" s="80">
        <f>MAX(0,I533)</f>
        <v/>
      </c>
      <c r="O533" s="80">
        <f>IF(I533&gt;0,MAX(0,M533),0)</f>
        <v/>
      </c>
      <c r="P533" s="80">
        <f>IF($I533&gt;0,MAX(0,$G533*SIN(RADIANS('13_시나리오비교'!$B$5))*SIN(RADIANS('13_시나리오비교'!$C$5))+$H533*SIN(RADIANS('13_시나리오비교'!$B$5))*COS(RADIANS('13_시나리오비교'!$C$5))+$I533*COS(RADIANS('13_시나리오비교'!$B$5))),0)</f>
        <v/>
      </c>
      <c r="Q533" s="80">
        <f>IF($I533&gt;0,MAX(0,$G533*SIN(RADIANS('13_시나리오비교'!$B$6))*SIN(RADIANS('13_시나리오비교'!$C$6))+$H533*SIN(RADIANS('13_시나리오비교'!$B$6))*COS(RADIANS('13_시나리오비교'!$C$6))+$I533*COS(RADIANS('13_시나리오비교'!$B$6))),0)</f>
        <v/>
      </c>
      <c r="R533" s="80">
        <f>IF($I533&gt;0,MAX(0,$G533*SIN(RADIANS('13_시나리오비교'!$B$7))*SIN(RADIANS('13_시나리오비교'!$C$7))+$H533*SIN(RADIANS('13_시나리오비교'!$B$7))*COS(RADIANS('13_시나리오비교'!$C$7))+$I533*COS(RADIANS('13_시나리오비교'!$B$7))),0)</f>
        <v/>
      </c>
      <c r="S533" s="80">
        <f>IF($I533&gt;0,MAX(0,$G533*SIN(RADIANS('13_시나리오비교'!$B$8))*SIN(RADIANS('13_시나리오비교'!$C$8))+$H533*SIN(RADIANS('13_시나리오비교'!$B$8))*COS(RADIANS('13_시나리오비교'!$C$8))+$I533*COS(RADIANS('13_시나리오비교'!$B$8))),0)</f>
        <v/>
      </c>
      <c r="T533" s="80">
        <f>IF($I533&gt;0,MAX(0,$G533*SIN(RADIANS('13_시나리오비교'!$B$9))*SIN(RADIANS('13_시나리오비교'!$C$9))+$H533*SIN(RADIANS('13_시나리오비교'!$B$9))*COS(RADIANS('13_시나리오비교'!$C$9))+$I533*COS(RADIANS('13_시나리오비교'!$B$9))),0)</f>
        <v/>
      </c>
      <c r="U533" s="80">
        <f>IF($I533&gt;0,MAX(0,$G533*SIN(RADIANS('13_시나리오비교'!$B$10))*SIN(RADIANS('13_시나리오비교'!$C$10))+$H533*SIN(RADIANS('13_시나리오비교'!$B$10))*COS(RADIANS('13_시나리오비교'!$C$10))+$I533*COS(RADIANS('13_시나리오비교'!$B$10))),0)</f>
        <v/>
      </c>
      <c r="V533" s="80">
        <f>IF($I533&gt;0,MAX(0,$G533*SIN(RADIANS('13_시나리오비교'!$B$11))*SIN(RADIANS('13_시나리오비교'!$C$11))+$H533*SIN(RADIANS('13_시나리오비교'!$B$11))*COS(RADIANS('13_시나리오비교'!$C$11))+$I533*COS(RADIANS('13_시나리오비교'!$B$11))),0)</f>
        <v/>
      </c>
      <c r="W533" s="80">
        <f>IF($I533&gt;0,MAX(0,$G533*SIN(RADIANS('13_시나리오비교'!$B$12))*SIN(RADIANS('13_시나리오비교'!$C$12))+$H533*SIN(RADIANS('13_시나리오비교'!$B$12))*COS(RADIANS('13_시나리오비교'!$C$12))+$I533*COS(RADIANS('13_시나리오비교'!$B$12))),0)</f>
        <v/>
      </c>
      <c r="X533" s="80">
        <f>IF($I533&gt;0,MAX(0,$G533*SIN(RADIANS('13_시나리오비교'!$B$13))*SIN(RADIANS('13_시나리오비교'!$C$13))+$H533*SIN(RADIANS('13_시나리오비교'!$B$13))*COS(RADIANS('13_시나리오비교'!$C$13))+$I533*COS(RADIANS('13_시나리오비교'!$B$13))),0)</f>
        <v/>
      </c>
      <c r="Y533" s="80">
        <f>IF($I533&gt;0,MAX(0,$G533*SIN(RADIANS('13_시나리오비교'!$B$14))*SIN(RADIANS('13_시나리오비교'!$C$14))+$H533*SIN(RADIANS('13_시나리오비교'!$B$14))*COS(RADIANS('13_시나리오비교'!$C$14))+$I533*COS(RADIANS('13_시나리오비교'!$B$14))),0)</f>
        <v/>
      </c>
    </row>
    <row r="534" hidden="1" outlineLevel="1">
      <c r="A534" s="79" t="n">
        <v>6</v>
      </c>
      <c r="B534" s="79" t="n">
        <v>34</v>
      </c>
      <c r="C534" s="80">
        <f>(B534-0.5)*'14_지역·상수'!$H$6</f>
        <v/>
      </c>
      <c r="D534" s="79" t="n">
        <v>162</v>
      </c>
      <c r="E534" s="80">
        <f>INDEX($C$4:$C$15,MATCH(A534,$A$4:$A$15,0))</f>
        <v/>
      </c>
      <c r="F534" s="80">
        <f>15*(C534-12)</f>
        <v/>
      </c>
      <c r="G534" s="80">
        <f>-COS(RADIANS(E534))*SIN(RADIANS(F534))</f>
        <v/>
      </c>
      <c r="H534" s="80">
        <f>COS(RADIANS('11_발전량_모델'!$B$17))*SIN(RADIANS(E534))-SIN(RADIANS('11_발전량_모델'!$B$17))*COS(RADIANS(E534))*COS(RADIANS(F534))</f>
        <v/>
      </c>
      <c r="I534" s="80">
        <f>SIN(RADIANS('11_발전량_모델'!$B$17))*SIN(RADIANS(E534))+COS(RADIANS('11_발전량_모델'!$B$17))*COS(RADIANS(E534))*COS(RADIANS(F534))</f>
        <v/>
      </c>
      <c r="J534" s="80">
        <f>SIN(RADIANS('11_발전량_모델'!$B$7))*SIN(RADIANS('11_발전량_모델'!$B$8))</f>
        <v/>
      </c>
      <c r="K534" s="80">
        <f>SIN(RADIANS('11_발전량_모델'!$B$7))*COS(RADIANS('11_발전량_모델'!$B$8))</f>
        <v/>
      </c>
      <c r="L534" s="80">
        <f>COS(RADIANS('11_발전량_모델'!$B$7))</f>
        <v/>
      </c>
      <c r="M534" s="80">
        <f>G534*J534+H534*K534+I534*L534</f>
        <v/>
      </c>
      <c r="N534" s="80">
        <f>MAX(0,I534)</f>
        <v/>
      </c>
      <c r="O534" s="80">
        <f>IF(I534&gt;0,MAX(0,M534),0)</f>
        <v/>
      </c>
      <c r="P534" s="80">
        <f>IF($I534&gt;0,MAX(0,$G534*SIN(RADIANS('13_시나리오비교'!$B$5))*SIN(RADIANS('13_시나리오비교'!$C$5))+$H534*SIN(RADIANS('13_시나리오비교'!$B$5))*COS(RADIANS('13_시나리오비교'!$C$5))+$I534*COS(RADIANS('13_시나리오비교'!$B$5))),0)</f>
        <v/>
      </c>
      <c r="Q534" s="80">
        <f>IF($I534&gt;0,MAX(0,$G534*SIN(RADIANS('13_시나리오비교'!$B$6))*SIN(RADIANS('13_시나리오비교'!$C$6))+$H534*SIN(RADIANS('13_시나리오비교'!$B$6))*COS(RADIANS('13_시나리오비교'!$C$6))+$I534*COS(RADIANS('13_시나리오비교'!$B$6))),0)</f>
        <v/>
      </c>
      <c r="R534" s="80">
        <f>IF($I534&gt;0,MAX(0,$G534*SIN(RADIANS('13_시나리오비교'!$B$7))*SIN(RADIANS('13_시나리오비교'!$C$7))+$H534*SIN(RADIANS('13_시나리오비교'!$B$7))*COS(RADIANS('13_시나리오비교'!$C$7))+$I534*COS(RADIANS('13_시나리오비교'!$B$7))),0)</f>
        <v/>
      </c>
      <c r="S534" s="80">
        <f>IF($I534&gt;0,MAX(0,$G534*SIN(RADIANS('13_시나리오비교'!$B$8))*SIN(RADIANS('13_시나리오비교'!$C$8))+$H534*SIN(RADIANS('13_시나리오비교'!$B$8))*COS(RADIANS('13_시나리오비교'!$C$8))+$I534*COS(RADIANS('13_시나리오비교'!$B$8))),0)</f>
        <v/>
      </c>
      <c r="T534" s="80">
        <f>IF($I534&gt;0,MAX(0,$G534*SIN(RADIANS('13_시나리오비교'!$B$9))*SIN(RADIANS('13_시나리오비교'!$C$9))+$H534*SIN(RADIANS('13_시나리오비교'!$B$9))*COS(RADIANS('13_시나리오비교'!$C$9))+$I534*COS(RADIANS('13_시나리오비교'!$B$9))),0)</f>
        <v/>
      </c>
      <c r="U534" s="80">
        <f>IF($I534&gt;0,MAX(0,$G534*SIN(RADIANS('13_시나리오비교'!$B$10))*SIN(RADIANS('13_시나리오비교'!$C$10))+$H534*SIN(RADIANS('13_시나리오비교'!$B$10))*COS(RADIANS('13_시나리오비교'!$C$10))+$I534*COS(RADIANS('13_시나리오비교'!$B$10))),0)</f>
        <v/>
      </c>
      <c r="V534" s="80">
        <f>IF($I534&gt;0,MAX(0,$G534*SIN(RADIANS('13_시나리오비교'!$B$11))*SIN(RADIANS('13_시나리오비교'!$C$11))+$H534*SIN(RADIANS('13_시나리오비교'!$B$11))*COS(RADIANS('13_시나리오비교'!$C$11))+$I534*COS(RADIANS('13_시나리오비교'!$B$11))),0)</f>
        <v/>
      </c>
      <c r="W534" s="80">
        <f>IF($I534&gt;0,MAX(0,$G534*SIN(RADIANS('13_시나리오비교'!$B$12))*SIN(RADIANS('13_시나리오비교'!$C$12))+$H534*SIN(RADIANS('13_시나리오비교'!$B$12))*COS(RADIANS('13_시나리오비교'!$C$12))+$I534*COS(RADIANS('13_시나리오비교'!$B$12))),0)</f>
        <v/>
      </c>
      <c r="X534" s="80">
        <f>IF($I534&gt;0,MAX(0,$G534*SIN(RADIANS('13_시나리오비교'!$B$13))*SIN(RADIANS('13_시나리오비교'!$C$13))+$H534*SIN(RADIANS('13_시나리오비교'!$B$13))*COS(RADIANS('13_시나리오비교'!$C$13))+$I534*COS(RADIANS('13_시나리오비교'!$B$13))),0)</f>
        <v/>
      </c>
      <c r="Y534" s="80">
        <f>IF($I534&gt;0,MAX(0,$G534*SIN(RADIANS('13_시나리오비교'!$B$14))*SIN(RADIANS('13_시나리오비교'!$C$14))+$H534*SIN(RADIANS('13_시나리오비교'!$B$14))*COS(RADIANS('13_시나리오비교'!$C$14))+$I534*COS(RADIANS('13_시나리오비교'!$B$14))),0)</f>
        <v/>
      </c>
    </row>
    <row r="535" hidden="1" outlineLevel="1">
      <c r="A535" s="79" t="n">
        <v>6</v>
      </c>
      <c r="B535" s="79" t="n">
        <v>35</v>
      </c>
      <c r="C535" s="80">
        <f>(B535-0.5)*'14_지역·상수'!$H$6</f>
        <v/>
      </c>
      <c r="D535" s="79" t="n">
        <v>162</v>
      </c>
      <c r="E535" s="80">
        <f>INDEX($C$4:$C$15,MATCH(A535,$A$4:$A$15,0))</f>
        <v/>
      </c>
      <c r="F535" s="80">
        <f>15*(C535-12)</f>
        <v/>
      </c>
      <c r="G535" s="80">
        <f>-COS(RADIANS(E535))*SIN(RADIANS(F535))</f>
        <v/>
      </c>
      <c r="H535" s="80">
        <f>COS(RADIANS('11_발전량_모델'!$B$17))*SIN(RADIANS(E535))-SIN(RADIANS('11_발전량_모델'!$B$17))*COS(RADIANS(E535))*COS(RADIANS(F535))</f>
        <v/>
      </c>
      <c r="I535" s="80">
        <f>SIN(RADIANS('11_발전량_모델'!$B$17))*SIN(RADIANS(E535))+COS(RADIANS('11_발전량_모델'!$B$17))*COS(RADIANS(E535))*COS(RADIANS(F535))</f>
        <v/>
      </c>
      <c r="J535" s="80">
        <f>SIN(RADIANS('11_발전량_모델'!$B$7))*SIN(RADIANS('11_발전량_모델'!$B$8))</f>
        <v/>
      </c>
      <c r="K535" s="80">
        <f>SIN(RADIANS('11_발전량_모델'!$B$7))*COS(RADIANS('11_발전량_모델'!$B$8))</f>
        <v/>
      </c>
      <c r="L535" s="80">
        <f>COS(RADIANS('11_발전량_모델'!$B$7))</f>
        <v/>
      </c>
      <c r="M535" s="80">
        <f>G535*J535+H535*K535+I535*L535</f>
        <v/>
      </c>
      <c r="N535" s="80">
        <f>MAX(0,I535)</f>
        <v/>
      </c>
      <c r="O535" s="80">
        <f>IF(I535&gt;0,MAX(0,M535),0)</f>
        <v/>
      </c>
      <c r="P535" s="80">
        <f>IF($I535&gt;0,MAX(0,$G535*SIN(RADIANS('13_시나리오비교'!$B$5))*SIN(RADIANS('13_시나리오비교'!$C$5))+$H535*SIN(RADIANS('13_시나리오비교'!$B$5))*COS(RADIANS('13_시나리오비교'!$C$5))+$I535*COS(RADIANS('13_시나리오비교'!$B$5))),0)</f>
        <v/>
      </c>
      <c r="Q535" s="80">
        <f>IF($I535&gt;0,MAX(0,$G535*SIN(RADIANS('13_시나리오비교'!$B$6))*SIN(RADIANS('13_시나리오비교'!$C$6))+$H535*SIN(RADIANS('13_시나리오비교'!$B$6))*COS(RADIANS('13_시나리오비교'!$C$6))+$I535*COS(RADIANS('13_시나리오비교'!$B$6))),0)</f>
        <v/>
      </c>
      <c r="R535" s="80">
        <f>IF($I535&gt;0,MAX(0,$G535*SIN(RADIANS('13_시나리오비교'!$B$7))*SIN(RADIANS('13_시나리오비교'!$C$7))+$H535*SIN(RADIANS('13_시나리오비교'!$B$7))*COS(RADIANS('13_시나리오비교'!$C$7))+$I535*COS(RADIANS('13_시나리오비교'!$B$7))),0)</f>
        <v/>
      </c>
      <c r="S535" s="80">
        <f>IF($I535&gt;0,MAX(0,$G535*SIN(RADIANS('13_시나리오비교'!$B$8))*SIN(RADIANS('13_시나리오비교'!$C$8))+$H535*SIN(RADIANS('13_시나리오비교'!$B$8))*COS(RADIANS('13_시나리오비교'!$C$8))+$I535*COS(RADIANS('13_시나리오비교'!$B$8))),0)</f>
        <v/>
      </c>
      <c r="T535" s="80">
        <f>IF($I535&gt;0,MAX(0,$G535*SIN(RADIANS('13_시나리오비교'!$B$9))*SIN(RADIANS('13_시나리오비교'!$C$9))+$H535*SIN(RADIANS('13_시나리오비교'!$B$9))*COS(RADIANS('13_시나리오비교'!$C$9))+$I535*COS(RADIANS('13_시나리오비교'!$B$9))),0)</f>
        <v/>
      </c>
      <c r="U535" s="80">
        <f>IF($I535&gt;0,MAX(0,$G535*SIN(RADIANS('13_시나리오비교'!$B$10))*SIN(RADIANS('13_시나리오비교'!$C$10))+$H535*SIN(RADIANS('13_시나리오비교'!$B$10))*COS(RADIANS('13_시나리오비교'!$C$10))+$I535*COS(RADIANS('13_시나리오비교'!$B$10))),0)</f>
        <v/>
      </c>
      <c r="V535" s="80">
        <f>IF($I535&gt;0,MAX(0,$G535*SIN(RADIANS('13_시나리오비교'!$B$11))*SIN(RADIANS('13_시나리오비교'!$C$11))+$H535*SIN(RADIANS('13_시나리오비교'!$B$11))*COS(RADIANS('13_시나리오비교'!$C$11))+$I535*COS(RADIANS('13_시나리오비교'!$B$11))),0)</f>
        <v/>
      </c>
      <c r="W535" s="80">
        <f>IF($I535&gt;0,MAX(0,$G535*SIN(RADIANS('13_시나리오비교'!$B$12))*SIN(RADIANS('13_시나리오비교'!$C$12))+$H535*SIN(RADIANS('13_시나리오비교'!$B$12))*COS(RADIANS('13_시나리오비교'!$C$12))+$I535*COS(RADIANS('13_시나리오비교'!$B$12))),0)</f>
        <v/>
      </c>
      <c r="X535" s="80">
        <f>IF($I535&gt;0,MAX(0,$G535*SIN(RADIANS('13_시나리오비교'!$B$13))*SIN(RADIANS('13_시나리오비교'!$C$13))+$H535*SIN(RADIANS('13_시나리오비교'!$B$13))*COS(RADIANS('13_시나리오비교'!$C$13))+$I535*COS(RADIANS('13_시나리오비교'!$B$13))),0)</f>
        <v/>
      </c>
      <c r="Y535" s="80">
        <f>IF($I535&gt;0,MAX(0,$G535*SIN(RADIANS('13_시나리오비교'!$B$14))*SIN(RADIANS('13_시나리오비교'!$C$14))+$H535*SIN(RADIANS('13_시나리오비교'!$B$14))*COS(RADIANS('13_시나리오비교'!$C$14))+$I535*COS(RADIANS('13_시나리오비교'!$B$14))),0)</f>
        <v/>
      </c>
    </row>
    <row r="536" hidden="1" outlineLevel="1">
      <c r="A536" s="79" t="n">
        <v>6</v>
      </c>
      <c r="B536" s="79" t="n">
        <v>36</v>
      </c>
      <c r="C536" s="80">
        <f>(B536-0.5)*'14_지역·상수'!$H$6</f>
        <v/>
      </c>
      <c r="D536" s="79" t="n">
        <v>162</v>
      </c>
      <c r="E536" s="80">
        <f>INDEX($C$4:$C$15,MATCH(A536,$A$4:$A$15,0))</f>
        <v/>
      </c>
      <c r="F536" s="80">
        <f>15*(C536-12)</f>
        <v/>
      </c>
      <c r="G536" s="80">
        <f>-COS(RADIANS(E536))*SIN(RADIANS(F536))</f>
        <v/>
      </c>
      <c r="H536" s="80">
        <f>COS(RADIANS('11_발전량_모델'!$B$17))*SIN(RADIANS(E536))-SIN(RADIANS('11_발전량_모델'!$B$17))*COS(RADIANS(E536))*COS(RADIANS(F536))</f>
        <v/>
      </c>
      <c r="I536" s="80">
        <f>SIN(RADIANS('11_발전량_모델'!$B$17))*SIN(RADIANS(E536))+COS(RADIANS('11_발전량_모델'!$B$17))*COS(RADIANS(E536))*COS(RADIANS(F536))</f>
        <v/>
      </c>
      <c r="J536" s="80">
        <f>SIN(RADIANS('11_발전량_모델'!$B$7))*SIN(RADIANS('11_발전량_모델'!$B$8))</f>
        <v/>
      </c>
      <c r="K536" s="80">
        <f>SIN(RADIANS('11_발전량_모델'!$B$7))*COS(RADIANS('11_발전량_모델'!$B$8))</f>
        <v/>
      </c>
      <c r="L536" s="80">
        <f>COS(RADIANS('11_발전량_모델'!$B$7))</f>
        <v/>
      </c>
      <c r="M536" s="80">
        <f>G536*J536+H536*K536+I536*L536</f>
        <v/>
      </c>
      <c r="N536" s="80">
        <f>MAX(0,I536)</f>
        <v/>
      </c>
      <c r="O536" s="80">
        <f>IF(I536&gt;0,MAX(0,M536),0)</f>
        <v/>
      </c>
      <c r="P536" s="80">
        <f>IF($I536&gt;0,MAX(0,$G536*SIN(RADIANS('13_시나리오비교'!$B$5))*SIN(RADIANS('13_시나리오비교'!$C$5))+$H536*SIN(RADIANS('13_시나리오비교'!$B$5))*COS(RADIANS('13_시나리오비교'!$C$5))+$I536*COS(RADIANS('13_시나리오비교'!$B$5))),0)</f>
        <v/>
      </c>
      <c r="Q536" s="80">
        <f>IF($I536&gt;0,MAX(0,$G536*SIN(RADIANS('13_시나리오비교'!$B$6))*SIN(RADIANS('13_시나리오비교'!$C$6))+$H536*SIN(RADIANS('13_시나리오비교'!$B$6))*COS(RADIANS('13_시나리오비교'!$C$6))+$I536*COS(RADIANS('13_시나리오비교'!$B$6))),0)</f>
        <v/>
      </c>
      <c r="R536" s="80">
        <f>IF($I536&gt;0,MAX(0,$G536*SIN(RADIANS('13_시나리오비교'!$B$7))*SIN(RADIANS('13_시나리오비교'!$C$7))+$H536*SIN(RADIANS('13_시나리오비교'!$B$7))*COS(RADIANS('13_시나리오비교'!$C$7))+$I536*COS(RADIANS('13_시나리오비교'!$B$7))),0)</f>
        <v/>
      </c>
      <c r="S536" s="80">
        <f>IF($I536&gt;0,MAX(0,$G536*SIN(RADIANS('13_시나리오비교'!$B$8))*SIN(RADIANS('13_시나리오비교'!$C$8))+$H536*SIN(RADIANS('13_시나리오비교'!$B$8))*COS(RADIANS('13_시나리오비교'!$C$8))+$I536*COS(RADIANS('13_시나리오비교'!$B$8))),0)</f>
        <v/>
      </c>
      <c r="T536" s="80">
        <f>IF($I536&gt;0,MAX(0,$G536*SIN(RADIANS('13_시나리오비교'!$B$9))*SIN(RADIANS('13_시나리오비교'!$C$9))+$H536*SIN(RADIANS('13_시나리오비교'!$B$9))*COS(RADIANS('13_시나리오비교'!$C$9))+$I536*COS(RADIANS('13_시나리오비교'!$B$9))),0)</f>
        <v/>
      </c>
      <c r="U536" s="80">
        <f>IF($I536&gt;0,MAX(0,$G536*SIN(RADIANS('13_시나리오비교'!$B$10))*SIN(RADIANS('13_시나리오비교'!$C$10))+$H536*SIN(RADIANS('13_시나리오비교'!$B$10))*COS(RADIANS('13_시나리오비교'!$C$10))+$I536*COS(RADIANS('13_시나리오비교'!$B$10))),0)</f>
        <v/>
      </c>
      <c r="V536" s="80">
        <f>IF($I536&gt;0,MAX(0,$G536*SIN(RADIANS('13_시나리오비교'!$B$11))*SIN(RADIANS('13_시나리오비교'!$C$11))+$H536*SIN(RADIANS('13_시나리오비교'!$B$11))*COS(RADIANS('13_시나리오비교'!$C$11))+$I536*COS(RADIANS('13_시나리오비교'!$B$11))),0)</f>
        <v/>
      </c>
      <c r="W536" s="80">
        <f>IF($I536&gt;0,MAX(0,$G536*SIN(RADIANS('13_시나리오비교'!$B$12))*SIN(RADIANS('13_시나리오비교'!$C$12))+$H536*SIN(RADIANS('13_시나리오비교'!$B$12))*COS(RADIANS('13_시나리오비교'!$C$12))+$I536*COS(RADIANS('13_시나리오비교'!$B$12))),0)</f>
        <v/>
      </c>
      <c r="X536" s="80">
        <f>IF($I536&gt;0,MAX(0,$G536*SIN(RADIANS('13_시나리오비교'!$B$13))*SIN(RADIANS('13_시나리오비교'!$C$13))+$H536*SIN(RADIANS('13_시나리오비교'!$B$13))*COS(RADIANS('13_시나리오비교'!$C$13))+$I536*COS(RADIANS('13_시나리오비교'!$B$13))),0)</f>
        <v/>
      </c>
      <c r="Y536" s="80">
        <f>IF($I536&gt;0,MAX(0,$G536*SIN(RADIANS('13_시나리오비교'!$B$14))*SIN(RADIANS('13_시나리오비교'!$C$14))+$H536*SIN(RADIANS('13_시나리오비교'!$B$14))*COS(RADIANS('13_시나리오비교'!$C$14))+$I536*COS(RADIANS('13_시나리오비교'!$B$14))),0)</f>
        <v/>
      </c>
    </row>
    <row r="537" hidden="1" outlineLevel="1">
      <c r="A537" s="79" t="n">
        <v>6</v>
      </c>
      <c r="B537" s="79" t="n">
        <v>37</v>
      </c>
      <c r="C537" s="80">
        <f>(B537-0.5)*'14_지역·상수'!$H$6</f>
        <v/>
      </c>
      <c r="D537" s="79" t="n">
        <v>162</v>
      </c>
      <c r="E537" s="80">
        <f>INDEX($C$4:$C$15,MATCH(A537,$A$4:$A$15,0))</f>
        <v/>
      </c>
      <c r="F537" s="80">
        <f>15*(C537-12)</f>
        <v/>
      </c>
      <c r="G537" s="80">
        <f>-COS(RADIANS(E537))*SIN(RADIANS(F537))</f>
        <v/>
      </c>
      <c r="H537" s="80">
        <f>COS(RADIANS('11_발전량_모델'!$B$17))*SIN(RADIANS(E537))-SIN(RADIANS('11_발전량_모델'!$B$17))*COS(RADIANS(E537))*COS(RADIANS(F537))</f>
        <v/>
      </c>
      <c r="I537" s="80">
        <f>SIN(RADIANS('11_발전량_모델'!$B$17))*SIN(RADIANS(E537))+COS(RADIANS('11_발전량_모델'!$B$17))*COS(RADIANS(E537))*COS(RADIANS(F537))</f>
        <v/>
      </c>
      <c r="J537" s="80">
        <f>SIN(RADIANS('11_발전량_모델'!$B$7))*SIN(RADIANS('11_발전량_모델'!$B$8))</f>
        <v/>
      </c>
      <c r="K537" s="80">
        <f>SIN(RADIANS('11_발전량_모델'!$B$7))*COS(RADIANS('11_발전량_모델'!$B$8))</f>
        <v/>
      </c>
      <c r="L537" s="80">
        <f>COS(RADIANS('11_발전량_모델'!$B$7))</f>
        <v/>
      </c>
      <c r="M537" s="80">
        <f>G537*J537+H537*K537+I537*L537</f>
        <v/>
      </c>
      <c r="N537" s="80">
        <f>MAX(0,I537)</f>
        <v/>
      </c>
      <c r="O537" s="80">
        <f>IF(I537&gt;0,MAX(0,M537),0)</f>
        <v/>
      </c>
      <c r="P537" s="80">
        <f>IF($I537&gt;0,MAX(0,$G537*SIN(RADIANS('13_시나리오비교'!$B$5))*SIN(RADIANS('13_시나리오비교'!$C$5))+$H537*SIN(RADIANS('13_시나리오비교'!$B$5))*COS(RADIANS('13_시나리오비교'!$C$5))+$I537*COS(RADIANS('13_시나리오비교'!$B$5))),0)</f>
        <v/>
      </c>
      <c r="Q537" s="80">
        <f>IF($I537&gt;0,MAX(0,$G537*SIN(RADIANS('13_시나리오비교'!$B$6))*SIN(RADIANS('13_시나리오비교'!$C$6))+$H537*SIN(RADIANS('13_시나리오비교'!$B$6))*COS(RADIANS('13_시나리오비교'!$C$6))+$I537*COS(RADIANS('13_시나리오비교'!$B$6))),0)</f>
        <v/>
      </c>
      <c r="R537" s="80">
        <f>IF($I537&gt;0,MAX(0,$G537*SIN(RADIANS('13_시나리오비교'!$B$7))*SIN(RADIANS('13_시나리오비교'!$C$7))+$H537*SIN(RADIANS('13_시나리오비교'!$B$7))*COS(RADIANS('13_시나리오비교'!$C$7))+$I537*COS(RADIANS('13_시나리오비교'!$B$7))),0)</f>
        <v/>
      </c>
      <c r="S537" s="80">
        <f>IF($I537&gt;0,MAX(0,$G537*SIN(RADIANS('13_시나리오비교'!$B$8))*SIN(RADIANS('13_시나리오비교'!$C$8))+$H537*SIN(RADIANS('13_시나리오비교'!$B$8))*COS(RADIANS('13_시나리오비교'!$C$8))+$I537*COS(RADIANS('13_시나리오비교'!$B$8))),0)</f>
        <v/>
      </c>
      <c r="T537" s="80">
        <f>IF($I537&gt;0,MAX(0,$G537*SIN(RADIANS('13_시나리오비교'!$B$9))*SIN(RADIANS('13_시나리오비교'!$C$9))+$H537*SIN(RADIANS('13_시나리오비교'!$B$9))*COS(RADIANS('13_시나리오비교'!$C$9))+$I537*COS(RADIANS('13_시나리오비교'!$B$9))),0)</f>
        <v/>
      </c>
      <c r="U537" s="80">
        <f>IF($I537&gt;0,MAX(0,$G537*SIN(RADIANS('13_시나리오비교'!$B$10))*SIN(RADIANS('13_시나리오비교'!$C$10))+$H537*SIN(RADIANS('13_시나리오비교'!$B$10))*COS(RADIANS('13_시나리오비교'!$C$10))+$I537*COS(RADIANS('13_시나리오비교'!$B$10))),0)</f>
        <v/>
      </c>
      <c r="V537" s="80">
        <f>IF($I537&gt;0,MAX(0,$G537*SIN(RADIANS('13_시나리오비교'!$B$11))*SIN(RADIANS('13_시나리오비교'!$C$11))+$H537*SIN(RADIANS('13_시나리오비교'!$B$11))*COS(RADIANS('13_시나리오비교'!$C$11))+$I537*COS(RADIANS('13_시나리오비교'!$B$11))),0)</f>
        <v/>
      </c>
      <c r="W537" s="80">
        <f>IF($I537&gt;0,MAX(0,$G537*SIN(RADIANS('13_시나리오비교'!$B$12))*SIN(RADIANS('13_시나리오비교'!$C$12))+$H537*SIN(RADIANS('13_시나리오비교'!$B$12))*COS(RADIANS('13_시나리오비교'!$C$12))+$I537*COS(RADIANS('13_시나리오비교'!$B$12))),0)</f>
        <v/>
      </c>
      <c r="X537" s="80">
        <f>IF($I537&gt;0,MAX(0,$G537*SIN(RADIANS('13_시나리오비교'!$B$13))*SIN(RADIANS('13_시나리오비교'!$C$13))+$H537*SIN(RADIANS('13_시나리오비교'!$B$13))*COS(RADIANS('13_시나리오비교'!$C$13))+$I537*COS(RADIANS('13_시나리오비교'!$B$13))),0)</f>
        <v/>
      </c>
      <c r="Y537" s="80">
        <f>IF($I537&gt;0,MAX(0,$G537*SIN(RADIANS('13_시나리오비교'!$B$14))*SIN(RADIANS('13_시나리오비교'!$C$14))+$H537*SIN(RADIANS('13_시나리오비교'!$B$14))*COS(RADIANS('13_시나리오비교'!$C$14))+$I537*COS(RADIANS('13_시나리오비교'!$B$14))),0)</f>
        <v/>
      </c>
    </row>
    <row r="538" hidden="1" outlineLevel="1">
      <c r="A538" s="79" t="n">
        <v>6</v>
      </c>
      <c r="B538" s="79" t="n">
        <v>38</v>
      </c>
      <c r="C538" s="80">
        <f>(B538-0.5)*'14_지역·상수'!$H$6</f>
        <v/>
      </c>
      <c r="D538" s="79" t="n">
        <v>162</v>
      </c>
      <c r="E538" s="80">
        <f>INDEX($C$4:$C$15,MATCH(A538,$A$4:$A$15,0))</f>
        <v/>
      </c>
      <c r="F538" s="80">
        <f>15*(C538-12)</f>
        <v/>
      </c>
      <c r="G538" s="80">
        <f>-COS(RADIANS(E538))*SIN(RADIANS(F538))</f>
        <v/>
      </c>
      <c r="H538" s="80">
        <f>COS(RADIANS('11_발전량_모델'!$B$17))*SIN(RADIANS(E538))-SIN(RADIANS('11_발전량_모델'!$B$17))*COS(RADIANS(E538))*COS(RADIANS(F538))</f>
        <v/>
      </c>
      <c r="I538" s="80">
        <f>SIN(RADIANS('11_발전량_모델'!$B$17))*SIN(RADIANS(E538))+COS(RADIANS('11_발전량_모델'!$B$17))*COS(RADIANS(E538))*COS(RADIANS(F538))</f>
        <v/>
      </c>
      <c r="J538" s="80">
        <f>SIN(RADIANS('11_발전량_모델'!$B$7))*SIN(RADIANS('11_발전량_모델'!$B$8))</f>
        <v/>
      </c>
      <c r="K538" s="80">
        <f>SIN(RADIANS('11_발전량_모델'!$B$7))*COS(RADIANS('11_발전량_모델'!$B$8))</f>
        <v/>
      </c>
      <c r="L538" s="80">
        <f>COS(RADIANS('11_발전량_모델'!$B$7))</f>
        <v/>
      </c>
      <c r="M538" s="80">
        <f>G538*J538+H538*K538+I538*L538</f>
        <v/>
      </c>
      <c r="N538" s="80">
        <f>MAX(0,I538)</f>
        <v/>
      </c>
      <c r="O538" s="80">
        <f>IF(I538&gt;0,MAX(0,M538),0)</f>
        <v/>
      </c>
      <c r="P538" s="80">
        <f>IF($I538&gt;0,MAX(0,$G538*SIN(RADIANS('13_시나리오비교'!$B$5))*SIN(RADIANS('13_시나리오비교'!$C$5))+$H538*SIN(RADIANS('13_시나리오비교'!$B$5))*COS(RADIANS('13_시나리오비교'!$C$5))+$I538*COS(RADIANS('13_시나리오비교'!$B$5))),0)</f>
        <v/>
      </c>
      <c r="Q538" s="80">
        <f>IF($I538&gt;0,MAX(0,$G538*SIN(RADIANS('13_시나리오비교'!$B$6))*SIN(RADIANS('13_시나리오비교'!$C$6))+$H538*SIN(RADIANS('13_시나리오비교'!$B$6))*COS(RADIANS('13_시나리오비교'!$C$6))+$I538*COS(RADIANS('13_시나리오비교'!$B$6))),0)</f>
        <v/>
      </c>
      <c r="R538" s="80">
        <f>IF($I538&gt;0,MAX(0,$G538*SIN(RADIANS('13_시나리오비교'!$B$7))*SIN(RADIANS('13_시나리오비교'!$C$7))+$H538*SIN(RADIANS('13_시나리오비교'!$B$7))*COS(RADIANS('13_시나리오비교'!$C$7))+$I538*COS(RADIANS('13_시나리오비교'!$B$7))),0)</f>
        <v/>
      </c>
      <c r="S538" s="80">
        <f>IF($I538&gt;0,MAX(0,$G538*SIN(RADIANS('13_시나리오비교'!$B$8))*SIN(RADIANS('13_시나리오비교'!$C$8))+$H538*SIN(RADIANS('13_시나리오비교'!$B$8))*COS(RADIANS('13_시나리오비교'!$C$8))+$I538*COS(RADIANS('13_시나리오비교'!$B$8))),0)</f>
        <v/>
      </c>
      <c r="T538" s="80">
        <f>IF($I538&gt;0,MAX(0,$G538*SIN(RADIANS('13_시나리오비교'!$B$9))*SIN(RADIANS('13_시나리오비교'!$C$9))+$H538*SIN(RADIANS('13_시나리오비교'!$B$9))*COS(RADIANS('13_시나리오비교'!$C$9))+$I538*COS(RADIANS('13_시나리오비교'!$B$9))),0)</f>
        <v/>
      </c>
      <c r="U538" s="80">
        <f>IF($I538&gt;0,MAX(0,$G538*SIN(RADIANS('13_시나리오비교'!$B$10))*SIN(RADIANS('13_시나리오비교'!$C$10))+$H538*SIN(RADIANS('13_시나리오비교'!$B$10))*COS(RADIANS('13_시나리오비교'!$C$10))+$I538*COS(RADIANS('13_시나리오비교'!$B$10))),0)</f>
        <v/>
      </c>
      <c r="V538" s="80">
        <f>IF($I538&gt;0,MAX(0,$G538*SIN(RADIANS('13_시나리오비교'!$B$11))*SIN(RADIANS('13_시나리오비교'!$C$11))+$H538*SIN(RADIANS('13_시나리오비교'!$B$11))*COS(RADIANS('13_시나리오비교'!$C$11))+$I538*COS(RADIANS('13_시나리오비교'!$B$11))),0)</f>
        <v/>
      </c>
      <c r="W538" s="80">
        <f>IF($I538&gt;0,MAX(0,$G538*SIN(RADIANS('13_시나리오비교'!$B$12))*SIN(RADIANS('13_시나리오비교'!$C$12))+$H538*SIN(RADIANS('13_시나리오비교'!$B$12))*COS(RADIANS('13_시나리오비교'!$C$12))+$I538*COS(RADIANS('13_시나리오비교'!$B$12))),0)</f>
        <v/>
      </c>
      <c r="X538" s="80">
        <f>IF($I538&gt;0,MAX(0,$G538*SIN(RADIANS('13_시나리오비교'!$B$13))*SIN(RADIANS('13_시나리오비교'!$C$13))+$H538*SIN(RADIANS('13_시나리오비교'!$B$13))*COS(RADIANS('13_시나리오비교'!$C$13))+$I538*COS(RADIANS('13_시나리오비교'!$B$13))),0)</f>
        <v/>
      </c>
      <c r="Y538" s="80">
        <f>IF($I538&gt;0,MAX(0,$G538*SIN(RADIANS('13_시나리오비교'!$B$14))*SIN(RADIANS('13_시나리오비교'!$C$14))+$H538*SIN(RADIANS('13_시나리오비교'!$B$14))*COS(RADIANS('13_시나리오비교'!$C$14))+$I538*COS(RADIANS('13_시나리오비교'!$B$14))),0)</f>
        <v/>
      </c>
    </row>
    <row r="539" hidden="1" outlineLevel="1">
      <c r="A539" s="79" t="n">
        <v>6</v>
      </c>
      <c r="B539" s="79" t="n">
        <v>39</v>
      </c>
      <c r="C539" s="80">
        <f>(B539-0.5)*'14_지역·상수'!$H$6</f>
        <v/>
      </c>
      <c r="D539" s="79" t="n">
        <v>162</v>
      </c>
      <c r="E539" s="80">
        <f>INDEX($C$4:$C$15,MATCH(A539,$A$4:$A$15,0))</f>
        <v/>
      </c>
      <c r="F539" s="80">
        <f>15*(C539-12)</f>
        <v/>
      </c>
      <c r="G539" s="80">
        <f>-COS(RADIANS(E539))*SIN(RADIANS(F539))</f>
        <v/>
      </c>
      <c r="H539" s="80">
        <f>COS(RADIANS('11_발전량_모델'!$B$17))*SIN(RADIANS(E539))-SIN(RADIANS('11_발전량_모델'!$B$17))*COS(RADIANS(E539))*COS(RADIANS(F539))</f>
        <v/>
      </c>
      <c r="I539" s="80">
        <f>SIN(RADIANS('11_발전량_모델'!$B$17))*SIN(RADIANS(E539))+COS(RADIANS('11_발전량_모델'!$B$17))*COS(RADIANS(E539))*COS(RADIANS(F539))</f>
        <v/>
      </c>
      <c r="J539" s="80">
        <f>SIN(RADIANS('11_발전량_모델'!$B$7))*SIN(RADIANS('11_발전량_모델'!$B$8))</f>
        <v/>
      </c>
      <c r="K539" s="80">
        <f>SIN(RADIANS('11_발전량_모델'!$B$7))*COS(RADIANS('11_발전량_모델'!$B$8))</f>
        <v/>
      </c>
      <c r="L539" s="80">
        <f>COS(RADIANS('11_발전량_모델'!$B$7))</f>
        <v/>
      </c>
      <c r="M539" s="80">
        <f>G539*J539+H539*K539+I539*L539</f>
        <v/>
      </c>
      <c r="N539" s="80">
        <f>MAX(0,I539)</f>
        <v/>
      </c>
      <c r="O539" s="80">
        <f>IF(I539&gt;0,MAX(0,M539),0)</f>
        <v/>
      </c>
      <c r="P539" s="80">
        <f>IF($I539&gt;0,MAX(0,$G539*SIN(RADIANS('13_시나리오비교'!$B$5))*SIN(RADIANS('13_시나리오비교'!$C$5))+$H539*SIN(RADIANS('13_시나리오비교'!$B$5))*COS(RADIANS('13_시나리오비교'!$C$5))+$I539*COS(RADIANS('13_시나리오비교'!$B$5))),0)</f>
        <v/>
      </c>
      <c r="Q539" s="80">
        <f>IF($I539&gt;0,MAX(0,$G539*SIN(RADIANS('13_시나리오비교'!$B$6))*SIN(RADIANS('13_시나리오비교'!$C$6))+$H539*SIN(RADIANS('13_시나리오비교'!$B$6))*COS(RADIANS('13_시나리오비교'!$C$6))+$I539*COS(RADIANS('13_시나리오비교'!$B$6))),0)</f>
        <v/>
      </c>
      <c r="R539" s="80">
        <f>IF($I539&gt;0,MAX(0,$G539*SIN(RADIANS('13_시나리오비교'!$B$7))*SIN(RADIANS('13_시나리오비교'!$C$7))+$H539*SIN(RADIANS('13_시나리오비교'!$B$7))*COS(RADIANS('13_시나리오비교'!$C$7))+$I539*COS(RADIANS('13_시나리오비교'!$B$7))),0)</f>
        <v/>
      </c>
      <c r="S539" s="80">
        <f>IF($I539&gt;0,MAX(0,$G539*SIN(RADIANS('13_시나리오비교'!$B$8))*SIN(RADIANS('13_시나리오비교'!$C$8))+$H539*SIN(RADIANS('13_시나리오비교'!$B$8))*COS(RADIANS('13_시나리오비교'!$C$8))+$I539*COS(RADIANS('13_시나리오비교'!$B$8))),0)</f>
        <v/>
      </c>
      <c r="T539" s="80">
        <f>IF($I539&gt;0,MAX(0,$G539*SIN(RADIANS('13_시나리오비교'!$B$9))*SIN(RADIANS('13_시나리오비교'!$C$9))+$H539*SIN(RADIANS('13_시나리오비교'!$B$9))*COS(RADIANS('13_시나리오비교'!$C$9))+$I539*COS(RADIANS('13_시나리오비교'!$B$9))),0)</f>
        <v/>
      </c>
      <c r="U539" s="80">
        <f>IF($I539&gt;0,MAX(0,$G539*SIN(RADIANS('13_시나리오비교'!$B$10))*SIN(RADIANS('13_시나리오비교'!$C$10))+$H539*SIN(RADIANS('13_시나리오비교'!$B$10))*COS(RADIANS('13_시나리오비교'!$C$10))+$I539*COS(RADIANS('13_시나리오비교'!$B$10))),0)</f>
        <v/>
      </c>
      <c r="V539" s="80">
        <f>IF($I539&gt;0,MAX(0,$G539*SIN(RADIANS('13_시나리오비교'!$B$11))*SIN(RADIANS('13_시나리오비교'!$C$11))+$H539*SIN(RADIANS('13_시나리오비교'!$B$11))*COS(RADIANS('13_시나리오비교'!$C$11))+$I539*COS(RADIANS('13_시나리오비교'!$B$11))),0)</f>
        <v/>
      </c>
      <c r="W539" s="80">
        <f>IF($I539&gt;0,MAX(0,$G539*SIN(RADIANS('13_시나리오비교'!$B$12))*SIN(RADIANS('13_시나리오비교'!$C$12))+$H539*SIN(RADIANS('13_시나리오비교'!$B$12))*COS(RADIANS('13_시나리오비교'!$C$12))+$I539*COS(RADIANS('13_시나리오비교'!$B$12))),0)</f>
        <v/>
      </c>
      <c r="X539" s="80">
        <f>IF($I539&gt;0,MAX(0,$G539*SIN(RADIANS('13_시나리오비교'!$B$13))*SIN(RADIANS('13_시나리오비교'!$C$13))+$H539*SIN(RADIANS('13_시나리오비교'!$B$13))*COS(RADIANS('13_시나리오비교'!$C$13))+$I539*COS(RADIANS('13_시나리오비교'!$B$13))),0)</f>
        <v/>
      </c>
      <c r="Y539" s="80">
        <f>IF($I539&gt;0,MAX(0,$G539*SIN(RADIANS('13_시나리오비교'!$B$14))*SIN(RADIANS('13_시나리오비교'!$C$14))+$H539*SIN(RADIANS('13_시나리오비교'!$B$14))*COS(RADIANS('13_시나리오비교'!$C$14))+$I539*COS(RADIANS('13_시나리오비교'!$B$14))),0)</f>
        <v/>
      </c>
    </row>
    <row r="540" hidden="1" outlineLevel="1">
      <c r="A540" s="79" t="n">
        <v>6</v>
      </c>
      <c r="B540" s="79" t="n">
        <v>40</v>
      </c>
      <c r="C540" s="80">
        <f>(B540-0.5)*'14_지역·상수'!$H$6</f>
        <v/>
      </c>
      <c r="D540" s="79" t="n">
        <v>162</v>
      </c>
      <c r="E540" s="80">
        <f>INDEX($C$4:$C$15,MATCH(A540,$A$4:$A$15,0))</f>
        <v/>
      </c>
      <c r="F540" s="80">
        <f>15*(C540-12)</f>
        <v/>
      </c>
      <c r="G540" s="80">
        <f>-COS(RADIANS(E540))*SIN(RADIANS(F540))</f>
        <v/>
      </c>
      <c r="H540" s="80">
        <f>COS(RADIANS('11_발전량_모델'!$B$17))*SIN(RADIANS(E540))-SIN(RADIANS('11_발전량_모델'!$B$17))*COS(RADIANS(E540))*COS(RADIANS(F540))</f>
        <v/>
      </c>
      <c r="I540" s="80">
        <f>SIN(RADIANS('11_발전량_모델'!$B$17))*SIN(RADIANS(E540))+COS(RADIANS('11_발전량_모델'!$B$17))*COS(RADIANS(E540))*COS(RADIANS(F540))</f>
        <v/>
      </c>
      <c r="J540" s="80">
        <f>SIN(RADIANS('11_발전량_모델'!$B$7))*SIN(RADIANS('11_발전량_모델'!$B$8))</f>
        <v/>
      </c>
      <c r="K540" s="80">
        <f>SIN(RADIANS('11_발전량_모델'!$B$7))*COS(RADIANS('11_발전량_모델'!$B$8))</f>
        <v/>
      </c>
      <c r="L540" s="80">
        <f>COS(RADIANS('11_발전량_모델'!$B$7))</f>
        <v/>
      </c>
      <c r="M540" s="80">
        <f>G540*J540+H540*K540+I540*L540</f>
        <v/>
      </c>
      <c r="N540" s="80">
        <f>MAX(0,I540)</f>
        <v/>
      </c>
      <c r="O540" s="80">
        <f>IF(I540&gt;0,MAX(0,M540),0)</f>
        <v/>
      </c>
      <c r="P540" s="80">
        <f>IF($I540&gt;0,MAX(0,$G540*SIN(RADIANS('13_시나리오비교'!$B$5))*SIN(RADIANS('13_시나리오비교'!$C$5))+$H540*SIN(RADIANS('13_시나리오비교'!$B$5))*COS(RADIANS('13_시나리오비교'!$C$5))+$I540*COS(RADIANS('13_시나리오비교'!$B$5))),0)</f>
        <v/>
      </c>
      <c r="Q540" s="80">
        <f>IF($I540&gt;0,MAX(0,$G540*SIN(RADIANS('13_시나리오비교'!$B$6))*SIN(RADIANS('13_시나리오비교'!$C$6))+$H540*SIN(RADIANS('13_시나리오비교'!$B$6))*COS(RADIANS('13_시나리오비교'!$C$6))+$I540*COS(RADIANS('13_시나리오비교'!$B$6))),0)</f>
        <v/>
      </c>
      <c r="R540" s="80">
        <f>IF($I540&gt;0,MAX(0,$G540*SIN(RADIANS('13_시나리오비교'!$B$7))*SIN(RADIANS('13_시나리오비교'!$C$7))+$H540*SIN(RADIANS('13_시나리오비교'!$B$7))*COS(RADIANS('13_시나리오비교'!$C$7))+$I540*COS(RADIANS('13_시나리오비교'!$B$7))),0)</f>
        <v/>
      </c>
      <c r="S540" s="80">
        <f>IF($I540&gt;0,MAX(0,$G540*SIN(RADIANS('13_시나리오비교'!$B$8))*SIN(RADIANS('13_시나리오비교'!$C$8))+$H540*SIN(RADIANS('13_시나리오비교'!$B$8))*COS(RADIANS('13_시나리오비교'!$C$8))+$I540*COS(RADIANS('13_시나리오비교'!$B$8))),0)</f>
        <v/>
      </c>
      <c r="T540" s="80">
        <f>IF($I540&gt;0,MAX(0,$G540*SIN(RADIANS('13_시나리오비교'!$B$9))*SIN(RADIANS('13_시나리오비교'!$C$9))+$H540*SIN(RADIANS('13_시나리오비교'!$B$9))*COS(RADIANS('13_시나리오비교'!$C$9))+$I540*COS(RADIANS('13_시나리오비교'!$B$9))),0)</f>
        <v/>
      </c>
      <c r="U540" s="80">
        <f>IF($I540&gt;0,MAX(0,$G540*SIN(RADIANS('13_시나리오비교'!$B$10))*SIN(RADIANS('13_시나리오비교'!$C$10))+$H540*SIN(RADIANS('13_시나리오비교'!$B$10))*COS(RADIANS('13_시나리오비교'!$C$10))+$I540*COS(RADIANS('13_시나리오비교'!$B$10))),0)</f>
        <v/>
      </c>
      <c r="V540" s="80">
        <f>IF($I540&gt;0,MAX(0,$G540*SIN(RADIANS('13_시나리오비교'!$B$11))*SIN(RADIANS('13_시나리오비교'!$C$11))+$H540*SIN(RADIANS('13_시나리오비교'!$B$11))*COS(RADIANS('13_시나리오비교'!$C$11))+$I540*COS(RADIANS('13_시나리오비교'!$B$11))),0)</f>
        <v/>
      </c>
      <c r="W540" s="80">
        <f>IF($I540&gt;0,MAX(0,$G540*SIN(RADIANS('13_시나리오비교'!$B$12))*SIN(RADIANS('13_시나리오비교'!$C$12))+$H540*SIN(RADIANS('13_시나리오비교'!$B$12))*COS(RADIANS('13_시나리오비교'!$C$12))+$I540*COS(RADIANS('13_시나리오비교'!$B$12))),0)</f>
        <v/>
      </c>
      <c r="X540" s="80">
        <f>IF($I540&gt;0,MAX(0,$G540*SIN(RADIANS('13_시나리오비교'!$B$13))*SIN(RADIANS('13_시나리오비교'!$C$13))+$H540*SIN(RADIANS('13_시나리오비교'!$B$13))*COS(RADIANS('13_시나리오비교'!$C$13))+$I540*COS(RADIANS('13_시나리오비교'!$B$13))),0)</f>
        <v/>
      </c>
      <c r="Y540" s="80">
        <f>IF($I540&gt;0,MAX(0,$G540*SIN(RADIANS('13_시나리오비교'!$B$14))*SIN(RADIANS('13_시나리오비교'!$C$14))+$H540*SIN(RADIANS('13_시나리오비교'!$B$14))*COS(RADIANS('13_시나리오비교'!$C$14))+$I540*COS(RADIANS('13_시나리오비교'!$B$14))),0)</f>
        <v/>
      </c>
    </row>
    <row r="541" hidden="1" outlineLevel="1">
      <c r="A541" s="79" t="n">
        <v>6</v>
      </c>
      <c r="B541" s="79" t="n">
        <v>41</v>
      </c>
      <c r="C541" s="80">
        <f>(B541-0.5)*'14_지역·상수'!$H$6</f>
        <v/>
      </c>
      <c r="D541" s="79" t="n">
        <v>162</v>
      </c>
      <c r="E541" s="80">
        <f>INDEX($C$4:$C$15,MATCH(A541,$A$4:$A$15,0))</f>
        <v/>
      </c>
      <c r="F541" s="80">
        <f>15*(C541-12)</f>
        <v/>
      </c>
      <c r="G541" s="80">
        <f>-COS(RADIANS(E541))*SIN(RADIANS(F541))</f>
        <v/>
      </c>
      <c r="H541" s="80">
        <f>COS(RADIANS('11_발전량_모델'!$B$17))*SIN(RADIANS(E541))-SIN(RADIANS('11_발전량_모델'!$B$17))*COS(RADIANS(E541))*COS(RADIANS(F541))</f>
        <v/>
      </c>
      <c r="I541" s="80">
        <f>SIN(RADIANS('11_발전량_모델'!$B$17))*SIN(RADIANS(E541))+COS(RADIANS('11_발전량_모델'!$B$17))*COS(RADIANS(E541))*COS(RADIANS(F541))</f>
        <v/>
      </c>
      <c r="J541" s="80">
        <f>SIN(RADIANS('11_발전량_모델'!$B$7))*SIN(RADIANS('11_발전량_모델'!$B$8))</f>
        <v/>
      </c>
      <c r="K541" s="80">
        <f>SIN(RADIANS('11_발전량_모델'!$B$7))*COS(RADIANS('11_발전량_모델'!$B$8))</f>
        <v/>
      </c>
      <c r="L541" s="80">
        <f>COS(RADIANS('11_발전량_모델'!$B$7))</f>
        <v/>
      </c>
      <c r="M541" s="80">
        <f>G541*J541+H541*K541+I541*L541</f>
        <v/>
      </c>
      <c r="N541" s="80">
        <f>MAX(0,I541)</f>
        <v/>
      </c>
      <c r="O541" s="80">
        <f>IF(I541&gt;0,MAX(0,M541),0)</f>
        <v/>
      </c>
      <c r="P541" s="80">
        <f>IF($I541&gt;0,MAX(0,$G541*SIN(RADIANS('13_시나리오비교'!$B$5))*SIN(RADIANS('13_시나리오비교'!$C$5))+$H541*SIN(RADIANS('13_시나리오비교'!$B$5))*COS(RADIANS('13_시나리오비교'!$C$5))+$I541*COS(RADIANS('13_시나리오비교'!$B$5))),0)</f>
        <v/>
      </c>
      <c r="Q541" s="80">
        <f>IF($I541&gt;0,MAX(0,$G541*SIN(RADIANS('13_시나리오비교'!$B$6))*SIN(RADIANS('13_시나리오비교'!$C$6))+$H541*SIN(RADIANS('13_시나리오비교'!$B$6))*COS(RADIANS('13_시나리오비교'!$C$6))+$I541*COS(RADIANS('13_시나리오비교'!$B$6))),0)</f>
        <v/>
      </c>
      <c r="R541" s="80">
        <f>IF($I541&gt;0,MAX(0,$G541*SIN(RADIANS('13_시나리오비교'!$B$7))*SIN(RADIANS('13_시나리오비교'!$C$7))+$H541*SIN(RADIANS('13_시나리오비교'!$B$7))*COS(RADIANS('13_시나리오비교'!$C$7))+$I541*COS(RADIANS('13_시나리오비교'!$B$7))),0)</f>
        <v/>
      </c>
      <c r="S541" s="80">
        <f>IF($I541&gt;0,MAX(0,$G541*SIN(RADIANS('13_시나리오비교'!$B$8))*SIN(RADIANS('13_시나리오비교'!$C$8))+$H541*SIN(RADIANS('13_시나리오비교'!$B$8))*COS(RADIANS('13_시나리오비교'!$C$8))+$I541*COS(RADIANS('13_시나리오비교'!$B$8))),0)</f>
        <v/>
      </c>
      <c r="T541" s="80">
        <f>IF($I541&gt;0,MAX(0,$G541*SIN(RADIANS('13_시나리오비교'!$B$9))*SIN(RADIANS('13_시나리오비교'!$C$9))+$H541*SIN(RADIANS('13_시나리오비교'!$B$9))*COS(RADIANS('13_시나리오비교'!$C$9))+$I541*COS(RADIANS('13_시나리오비교'!$B$9))),0)</f>
        <v/>
      </c>
      <c r="U541" s="80">
        <f>IF($I541&gt;0,MAX(0,$G541*SIN(RADIANS('13_시나리오비교'!$B$10))*SIN(RADIANS('13_시나리오비교'!$C$10))+$H541*SIN(RADIANS('13_시나리오비교'!$B$10))*COS(RADIANS('13_시나리오비교'!$C$10))+$I541*COS(RADIANS('13_시나리오비교'!$B$10))),0)</f>
        <v/>
      </c>
      <c r="V541" s="80">
        <f>IF($I541&gt;0,MAX(0,$G541*SIN(RADIANS('13_시나리오비교'!$B$11))*SIN(RADIANS('13_시나리오비교'!$C$11))+$H541*SIN(RADIANS('13_시나리오비교'!$B$11))*COS(RADIANS('13_시나리오비교'!$C$11))+$I541*COS(RADIANS('13_시나리오비교'!$B$11))),0)</f>
        <v/>
      </c>
      <c r="W541" s="80">
        <f>IF($I541&gt;0,MAX(0,$G541*SIN(RADIANS('13_시나리오비교'!$B$12))*SIN(RADIANS('13_시나리오비교'!$C$12))+$H541*SIN(RADIANS('13_시나리오비교'!$B$12))*COS(RADIANS('13_시나리오비교'!$C$12))+$I541*COS(RADIANS('13_시나리오비교'!$B$12))),0)</f>
        <v/>
      </c>
      <c r="X541" s="80">
        <f>IF($I541&gt;0,MAX(0,$G541*SIN(RADIANS('13_시나리오비교'!$B$13))*SIN(RADIANS('13_시나리오비교'!$C$13))+$H541*SIN(RADIANS('13_시나리오비교'!$B$13))*COS(RADIANS('13_시나리오비교'!$C$13))+$I541*COS(RADIANS('13_시나리오비교'!$B$13))),0)</f>
        <v/>
      </c>
      <c r="Y541" s="80">
        <f>IF($I541&gt;0,MAX(0,$G541*SIN(RADIANS('13_시나리오비교'!$B$14))*SIN(RADIANS('13_시나리오비교'!$C$14))+$H541*SIN(RADIANS('13_시나리오비교'!$B$14))*COS(RADIANS('13_시나리오비교'!$C$14))+$I541*COS(RADIANS('13_시나리오비교'!$B$14))),0)</f>
        <v/>
      </c>
    </row>
    <row r="542" hidden="1" outlineLevel="1">
      <c r="A542" s="79" t="n">
        <v>6</v>
      </c>
      <c r="B542" s="79" t="n">
        <v>42</v>
      </c>
      <c r="C542" s="80">
        <f>(B542-0.5)*'14_지역·상수'!$H$6</f>
        <v/>
      </c>
      <c r="D542" s="79" t="n">
        <v>162</v>
      </c>
      <c r="E542" s="80">
        <f>INDEX($C$4:$C$15,MATCH(A542,$A$4:$A$15,0))</f>
        <v/>
      </c>
      <c r="F542" s="80">
        <f>15*(C542-12)</f>
        <v/>
      </c>
      <c r="G542" s="80">
        <f>-COS(RADIANS(E542))*SIN(RADIANS(F542))</f>
        <v/>
      </c>
      <c r="H542" s="80">
        <f>COS(RADIANS('11_발전량_모델'!$B$17))*SIN(RADIANS(E542))-SIN(RADIANS('11_발전량_모델'!$B$17))*COS(RADIANS(E542))*COS(RADIANS(F542))</f>
        <v/>
      </c>
      <c r="I542" s="80">
        <f>SIN(RADIANS('11_발전량_모델'!$B$17))*SIN(RADIANS(E542))+COS(RADIANS('11_발전량_모델'!$B$17))*COS(RADIANS(E542))*COS(RADIANS(F542))</f>
        <v/>
      </c>
      <c r="J542" s="80">
        <f>SIN(RADIANS('11_발전량_모델'!$B$7))*SIN(RADIANS('11_발전량_모델'!$B$8))</f>
        <v/>
      </c>
      <c r="K542" s="80">
        <f>SIN(RADIANS('11_발전량_모델'!$B$7))*COS(RADIANS('11_발전량_모델'!$B$8))</f>
        <v/>
      </c>
      <c r="L542" s="80">
        <f>COS(RADIANS('11_발전량_모델'!$B$7))</f>
        <v/>
      </c>
      <c r="M542" s="80">
        <f>G542*J542+H542*K542+I542*L542</f>
        <v/>
      </c>
      <c r="N542" s="80">
        <f>MAX(0,I542)</f>
        <v/>
      </c>
      <c r="O542" s="80">
        <f>IF(I542&gt;0,MAX(0,M542),0)</f>
        <v/>
      </c>
      <c r="P542" s="80">
        <f>IF($I542&gt;0,MAX(0,$G542*SIN(RADIANS('13_시나리오비교'!$B$5))*SIN(RADIANS('13_시나리오비교'!$C$5))+$H542*SIN(RADIANS('13_시나리오비교'!$B$5))*COS(RADIANS('13_시나리오비교'!$C$5))+$I542*COS(RADIANS('13_시나리오비교'!$B$5))),0)</f>
        <v/>
      </c>
      <c r="Q542" s="80">
        <f>IF($I542&gt;0,MAX(0,$G542*SIN(RADIANS('13_시나리오비교'!$B$6))*SIN(RADIANS('13_시나리오비교'!$C$6))+$H542*SIN(RADIANS('13_시나리오비교'!$B$6))*COS(RADIANS('13_시나리오비교'!$C$6))+$I542*COS(RADIANS('13_시나리오비교'!$B$6))),0)</f>
        <v/>
      </c>
      <c r="R542" s="80">
        <f>IF($I542&gt;0,MAX(0,$G542*SIN(RADIANS('13_시나리오비교'!$B$7))*SIN(RADIANS('13_시나리오비교'!$C$7))+$H542*SIN(RADIANS('13_시나리오비교'!$B$7))*COS(RADIANS('13_시나리오비교'!$C$7))+$I542*COS(RADIANS('13_시나리오비교'!$B$7))),0)</f>
        <v/>
      </c>
      <c r="S542" s="80">
        <f>IF($I542&gt;0,MAX(0,$G542*SIN(RADIANS('13_시나리오비교'!$B$8))*SIN(RADIANS('13_시나리오비교'!$C$8))+$H542*SIN(RADIANS('13_시나리오비교'!$B$8))*COS(RADIANS('13_시나리오비교'!$C$8))+$I542*COS(RADIANS('13_시나리오비교'!$B$8))),0)</f>
        <v/>
      </c>
      <c r="T542" s="80">
        <f>IF($I542&gt;0,MAX(0,$G542*SIN(RADIANS('13_시나리오비교'!$B$9))*SIN(RADIANS('13_시나리오비교'!$C$9))+$H542*SIN(RADIANS('13_시나리오비교'!$B$9))*COS(RADIANS('13_시나리오비교'!$C$9))+$I542*COS(RADIANS('13_시나리오비교'!$B$9))),0)</f>
        <v/>
      </c>
      <c r="U542" s="80">
        <f>IF($I542&gt;0,MAX(0,$G542*SIN(RADIANS('13_시나리오비교'!$B$10))*SIN(RADIANS('13_시나리오비교'!$C$10))+$H542*SIN(RADIANS('13_시나리오비교'!$B$10))*COS(RADIANS('13_시나리오비교'!$C$10))+$I542*COS(RADIANS('13_시나리오비교'!$B$10))),0)</f>
        <v/>
      </c>
      <c r="V542" s="80">
        <f>IF($I542&gt;0,MAX(0,$G542*SIN(RADIANS('13_시나리오비교'!$B$11))*SIN(RADIANS('13_시나리오비교'!$C$11))+$H542*SIN(RADIANS('13_시나리오비교'!$B$11))*COS(RADIANS('13_시나리오비교'!$C$11))+$I542*COS(RADIANS('13_시나리오비교'!$B$11))),0)</f>
        <v/>
      </c>
      <c r="W542" s="80">
        <f>IF($I542&gt;0,MAX(0,$G542*SIN(RADIANS('13_시나리오비교'!$B$12))*SIN(RADIANS('13_시나리오비교'!$C$12))+$H542*SIN(RADIANS('13_시나리오비교'!$B$12))*COS(RADIANS('13_시나리오비교'!$C$12))+$I542*COS(RADIANS('13_시나리오비교'!$B$12))),0)</f>
        <v/>
      </c>
      <c r="X542" s="80">
        <f>IF($I542&gt;0,MAX(0,$G542*SIN(RADIANS('13_시나리오비교'!$B$13))*SIN(RADIANS('13_시나리오비교'!$C$13))+$H542*SIN(RADIANS('13_시나리오비교'!$B$13))*COS(RADIANS('13_시나리오비교'!$C$13))+$I542*COS(RADIANS('13_시나리오비교'!$B$13))),0)</f>
        <v/>
      </c>
      <c r="Y542" s="80">
        <f>IF($I542&gt;0,MAX(0,$G542*SIN(RADIANS('13_시나리오비교'!$B$14))*SIN(RADIANS('13_시나리오비교'!$C$14))+$H542*SIN(RADIANS('13_시나리오비교'!$B$14))*COS(RADIANS('13_시나리오비교'!$C$14))+$I542*COS(RADIANS('13_시나리오비교'!$B$14))),0)</f>
        <v/>
      </c>
    </row>
    <row r="543" hidden="1" outlineLevel="1">
      <c r="A543" s="79" t="n">
        <v>6</v>
      </c>
      <c r="B543" s="79" t="n">
        <v>43</v>
      </c>
      <c r="C543" s="80">
        <f>(B543-0.5)*'14_지역·상수'!$H$6</f>
        <v/>
      </c>
      <c r="D543" s="79" t="n">
        <v>162</v>
      </c>
      <c r="E543" s="80">
        <f>INDEX($C$4:$C$15,MATCH(A543,$A$4:$A$15,0))</f>
        <v/>
      </c>
      <c r="F543" s="80">
        <f>15*(C543-12)</f>
        <v/>
      </c>
      <c r="G543" s="80">
        <f>-COS(RADIANS(E543))*SIN(RADIANS(F543))</f>
        <v/>
      </c>
      <c r="H543" s="80">
        <f>COS(RADIANS('11_발전량_모델'!$B$17))*SIN(RADIANS(E543))-SIN(RADIANS('11_발전량_모델'!$B$17))*COS(RADIANS(E543))*COS(RADIANS(F543))</f>
        <v/>
      </c>
      <c r="I543" s="80">
        <f>SIN(RADIANS('11_발전량_모델'!$B$17))*SIN(RADIANS(E543))+COS(RADIANS('11_발전량_모델'!$B$17))*COS(RADIANS(E543))*COS(RADIANS(F543))</f>
        <v/>
      </c>
      <c r="J543" s="80">
        <f>SIN(RADIANS('11_발전량_모델'!$B$7))*SIN(RADIANS('11_발전량_모델'!$B$8))</f>
        <v/>
      </c>
      <c r="K543" s="80">
        <f>SIN(RADIANS('11_발전량_모델'!$B$7))*COS(RADIANS('11_발전량_모델'!$B$8))</f>
        <v/>
      </c>
      <c r="L543" s="80">
        <f>COS(RADIANS('11_발전량_모델'!$B$7))</f>
        <v/>
      </c>
      <c r="M543" s="80">
        <f>G543*J543+H543*K543+I543*L543</f>
        <v/>
      </c>
      <c r="N543" s="80">
        <f>MAX(0,I543)</f>
        <v/>
      </c>
      <c r="O543" s="80">
        <f>IF(I543&gt;0,MAX(0,M543),0)</f>
        <v/>
      </c>
      <c r="P543" s="80">
        <f>IF($I543&gt;0,MAX(0,$G543*SIN(RADIANS('13_시나리오비교'!$B$5))*SIN(RADIANS('13_시나리오비교'!$C$5))+$H543*SIN(RADIANS('13_시나리오비교'!$B$5))*COS(RADIANS('13_시나리오비교'!$C$5))+$I543*COS(RADIANS('13_시나리오비교'!$B$5))),0)</f>
        <v/>
      </c>
      <c r="Q543" s="80">
        <f>IF($I543&gt;0,MAX(0,$G543*SIN(RADIANS('13_시나리오비교'!$B$6))*SIN(RADIANS('13_시나리오비교'!$C$6))+$H543*SIN(RADIANS('13_시나리오비교'!$B$6))*COS(RADIANS('13_시나리오비교'!$C$6))+$I543*COS(RADIANS('13_시나리오비교'!$B$6))),0)</f>
        <v/>
      </c>
      <c r="R543" s="80">
        <f>IF($I543&gt;0,MAX(0,$G543*SIN(RADIANS('13_시나리오비교'!$B$7))*SIN(RADIANS('13_시나리오비교'!$C$7))+$H543*SIN(RADIANS('13_시나리오비교'!$B$7))*COS(RADIANS('13_시나리오비교'!$C$7))+$I543*COS(RADIANS('13_시나리오비교'!$B$7))),0)</f>
        <v/>
      </c>
      <c r="S543" s="80">
        <f>IF($I543&gt;0,MAX(0,$G543*SIN(RADIANS('13_시나리오비교'!$B$8))*SIN(RADIANS('13_시나리오비교'!$C$8))+$H543*SIN(RADIANS('13_시나리오비교'!$B$8))*COS(RADIANS('13_시나리오비교'!$C$8))+$I543*COS(RADIANS('13_시나리오비교'!$B$8))),0)</f>
        <v/>
      </c>
      <c r="T543" s="80">
        <f>IF($I543&gt;0,MAX(0,$G543*SIN(RADIANS('13_시나리오비교'!$B$9))*SIN(RADIANS('13_시나리오비교'!$C$9))+$H543*SIN(RADIANS('13_시나리오비교'!$B$9))*COS(RADIANS('13_시나리오비교'!$C$9))+$I543*COS(RADIANS('13_시나리오비교'!$B$9))),0)</f>
        <v/>
      </c>
      <c r="U543" s="80">
        <f>IF($I543&gt;0,MAX(0,$G543*SIN(RADIANS('13_시나리오비교'!$B$10))*SIN(RADIANS('13_시나리오비교'!$C$10))+$H543*SIN(RADIANS('13_시나리오비교'!$B$10))*COS(RADIANS('13_시나리오비교'!$C$10))+$I543*COS(RADIANS('13_시나리오비교'!$B$10))),0)</f>
        <v/>
      </c>
      <c r="V543" s="80">
        <f>IF($I543&gt;0,MAX(0,$G543*SIN(RADIANS('13_시나리오비교'!$B$11))*SIN(RADIANS('13_시나리오비교'!$C$11))+$H543*SIN(RADIANS('13_시나리오비교'!$B$11))*COS(RADIANS('13_시나리오비교'!$C$11))+$I543*COS(RADIANS('13_시나리오비교'!$B$11))),0)</f>
        <v/>
      </c>
      <c r="W543" s="80">
        <f>IF($I543&gt;0,MAX(0,$G543*SIN(RADIANS('13_시나리오비교'!$B$12))*SIN(RADIANS('13_시나리오비교'!$C$12))+$H543*SIN(RADIANS('13_시나리오비교'!$B$12))*COS(RADIANS('13_시나리오비교'!$C$12))+$I543*COS(RADIANS('13_시나리오비교'!$B$12))),0)</f>
        <v/>
      </c>
      <c r="X543" s="80">
        <f>IF($I543&gt;0,MAX(0,$G543*SIN(RADIANS('13_시나리오비교'!$B$13))*SIN(RADIANS('13_시나리오비교'!$C$13))+$H543*SIN(RADIANS('13_시나리오비교'!$B$13))*COS(RADIANS('13_시나리오비교'!$C$13))+$I543*COS(RADIANS('13_시나리오비교'!$B$13))),0)</f>
        <v/>
      </c>
      <c r="Y543" s="80">
        <f>IF($I543&gt;0,MAX(0,$G543*SIN(RADIANS('13_시나리오비교'!$B$14))*SIN(RADIANS('13_시나리오비교'!$C$14))+$H543*SIN(RADIANS('13_시나리오비교'!$B$14))*COS(RADIANS('13_시나리오비교'!$C$14))+$I543*COS(RADIANS('13_시나리오비교'!$B$14))),0)</f>
        <v/>
      </c>
    </row>
    <row r="544" hidden="1" outlineLevel="1">
      <c r="A544" s="79" t="n">
        <v>6</v>
      </c>
      <c r="B544" s="79" t="n">
        <v>44</v>
      </c>
      <c r="C544" s="80">
        <f>(B544-0.5)*'14_지역·상수'!$H$6</f>
        <v/>
      </c>
      <c r="D544" s="79" t="n">
        <v>162</v>
      </c>
      <c r="E544" s="80">
        <f>INDEX($C$4:$C$15,MATCH(A544,$A$4:$A$15,0))</f>
        <v/>
      </c>
      <c r="F544" s="80">
        <f>15*(C544-12)</f>
        <v/>
      </c>
      <c r="G544" s="80">
        <f>-COS(RADIANS(E544))*SIN(RADIANS(F544))</f>
        <v/>
      </c>
      <c r="H544" s="80">
        <f>COS(RADIANS('11_발전량_모델'!$B$17))*SIN(RADIANS(E544))-SIN(RADIANS('11_발전량_모델'!$B$17))*COS(RADIANS(E544))*COS(RADIANS(F544))</f>
        <v/>
      </c>
      <c r="I544" s="80">
        <f>SIN(RADIANS('11_발전량_모델'!$B$17))*SIN(RADIANS(E544))+COS(RADIANS('11_발전량_모델'!$B$17))*COS(RADIANS(E544))*COS(RADIANS(F544))</f>
        <v/>
      </c>
      <c r="J544" s="80">
        <f>SIN(RADIANS('11_발전량_모델'!$B$7))*SIN(RADIANS('11_발전량_모델'!$B$8))</f>
        <v/>
      </c>
      <c r="K544" s="80">
        <f>SIN(RADIANS('11_발전량_모델'!$B$7))*COS(RADIANS('11_발전량_모델'!$B$8))</f>
        <v/>
      </c>
      <c r="L544" s="80">
        <f>COS(RADIANS('11_발전량_모델'!$B$7))</f>
        <v/>
      </c>
      <c r="M544" s="80">
        <f>G544*J544+H544*K544+I544*L544</f>
        <v/>
      </c>
      <c r="N544" s="80">
        <f>MAX(0,I544)</f>
        <v/>
      </c>
      <c r="O544" s="80">
        <f>IF(I544&gt;0,MAX(0,M544),0)</f>
        <v/>
      </c>
      <c r="P544" s="80">
        <f>IF($I544&gt;0,MAX(0,$G544*SIN(RADIANS('13_시나리오비교'!$B$5))*SIN(RADIANS('13_시나리오비교'!$C$5))+$H544*SIN(RADIANS('13_시나리오비교'!$B$5))*COS(RADIANS('13_시나리오비교'!$C$5))+$I544*COS(RADIANS('13_시나리오비교'!$B$5))),0)</f>
        <v/>
      </c>
      <c r="Q544" s="80">
        <f>IF($I544&gt;0,MAX(0,$G544*SIN(RADIANS('13_시나리오비교'!$B$6))*SIN(RADIANS('13_시나리오비교'!$C$6))+$H544*SIN(RADIANS('13_시나리오비교'!$B$6))*COS(RADIANS('13_시나리오비교'!$C$6))+$I544*COS(RADIANS('13_시나리오비교'!$B$6))),0)</f>
        <v/>
      </c>
      <c r="R544" s="80">
        <f>IF($I544&gt;0,MAX(0,$G544*SIN(RADIANS('13_시나리오비교'!$B$7))*SIN(RADIANS('13_시나리오비교'!$C$7))+$H544*SIN(RADIANS('13_시나리오비교'!$B$7))*COS(RADIANS('13_시나리오비교'!$C$7))+$I544*COS(RADIANS('13_시나리오비교'!$B$7))),0)</f>
        <v/>
      </c>
      <c r="S544" s="80">
        <f>IF($I544&gt;0,MAX(0,$G544*SIN(RADIANS('13_시나리오비교'!$B$8))*SIN(RADIANS('13_시나리오비교'!$C$8))+$H544*SIN(RADIANS('13_시나리오비교'!$B$8))*COS(RADIANS('13_시나리오비교'!$C$8))+$I544*COS(RADIANS('13_시나리오비교'!$B$8))),0)</f>
        <v/>
      </c>
      <c r="T544" s="80">
        <f>IF($I544&gt;0,MAX(0,$G544*SIN(RADIANS('13_시나리오비교'!$B$9))*SIN(RADIANS('13_시나리오비교'!$C$9))+$H544*SIN(RADIANS('13_시나리오비교'!$B$9))*COS(RADIANS('13_시나리오비교'!$C$9))+$I544*COS(RADIANS('13_시나리오비교'!$B$9))),0)</f>
        <v/>
      </c>
      <c r="U544" s="80">
        <f>IF($I544&gt;0,MAX(0,$G544*SIN(RADIANS('13_시나리오비교'!$B$10))*SIN(RADIANS('13_시나리오비교'!$C$10))+$H544*SIN(RADIANS('13_시나리오비교'!$B$10))*COS(RADIANS('13_시나리오비교'!$C$10))+$I544*COS(RADIANS('13_시나리오비교'!$B$10))),0)</f>
        <v/>
      </c>
      <c r="V544" s="80">
        <f>IF($I544&gt;0,MAX(0,$G544*SIN(RADIANS('13_시나리오비교'!$B$11))*SIN(RADIANS('13_시나리오비교'!$C$11))+$H544*SIN(RADIANS('13_시나리오비교'!$B$11))*COS(RADIANS('13_시나리오비교'!$C$11))+$I544*COS(RADIANS('13_시나리오비교'!$B$11))),0)</f>
        <v/>
      </c>
      <c r="W544" s="80">
        <f>IF($I544&gt;0,MAX(0,$G544*SIN(RADIANS('13_시나리오비교'!$B$12))*SIN(RADIANS('13_시나리오비교'!$C$12))+$H544*SIN(RADIANS('13_시나리오비교'!$B$12))*COS(RADIANS('13_시나리오비교'!$C$12))+$I544*COS(RADIANS('13_시나리오비교'!$B$12))),0)</f>
        <v/>
      </c>
      <c r="X544" s="80">
        <f>IF($I544&gt;0,MAX(0,$G544*SIN(RADIANS('13_시나리오비교'!$B$13))*SIN(RADIANS('13_시나리오비교'!$C$13))+$H544*SIN(RADIANS('13_시나리오비교'!$B$13))*COS(RADIANS('13_시나리오비교'!$C$13))+$I544*COS(RADIANS('13_시나리오비교'!$B$13))),0)</f>
        <v/>
      </c>
      <c r="Y544" s="80">
        <f>IF($I544&gt;0,MAX(0,$G544*SIN(RADIANS('13_시나리오비교'!$B$14))*SIN(RADIANS('13_시나리오비교'!$C$14))+$H544*SIN(RADIANS('13_시나리오비교'!$B$14))*COS(RADIANS('13_시나리오비교'!$C$14))+$I544*COS(RADIANS('13_시나리오비교'!$B$14))),0)</f>
        <v/>
      </c>
    </row>
    <row r="545" hidden="1" outlineLevel="1">
      <c r="A545" s="79" t="n">
        <v>6</v>
      </c>
      <c r="B545" s="79" t="n">
        <v>45</v>
      </c>
      <c r="C545" s="80">
        <f>(B545-0.5)*'14_지역·상수'!$H$6</f>
        <v/>
      </c>
      <c r="D545" s="79" t="n">
        <v>162</v>
      </c>
      <c r="E545" s="80">
        <f>INDEX($C$4:$C$15,MATCH(A545,$A$4:$A$15,0))</f>
        <v/>
      </c>
      <c r="F545" s="80">
        <f>15*(C545-12)</f>
        <v/>
      </c>
      <c r="G545" s="80">
        <f>-COS(RADIANS(E545))*SIN(RADIANS(F545))</f>
        <v/>
      </c>
      <c r="H545" s="80">
        <f>COS(RADIANS('11_발전량_모델'!$B$17))*SIN(RADIANS(E545))-SIN(RADIANS('11_발전량_모델'!$B$17))*COS(RADIANS(E545))*COS(RADIANS(F545))</f>
        <v/>
      </c>
      <c r="I545" s="80">
        <f>SIN(RADIANS('11_발전량_모델'!$B$17))*SIN(RADIANS(E545))+COS(RADIANS('11_발전량_모델'!$B$17))*COS(RADIANS(E545))*COS(RADIANS(F545))</f>
        <v/>
      </c>
      <c r="J545" s="80">
        <f>SIN(RADIANS('11_발전량_모델'!$B$7))*SIN(RADIANS('11_발전량_모델'!$B$8))</f>
        <v/>
      </c>
      <c r="K545" s="80">
        <f>SIN(RADIANS('11_발전량_모델'!$B$7))*COS(RADIANS('11_발전량_모델'!$B$8))</f>
        <v/>
      </c>
      <c r="L545" s="80">
        <f>COS(RADIANS('11_발전량_모델'!$B$7))</f>
        <v/>
      </c>
      <c r="M545" s="80">
        <f>G545*J545+H545*K545+I545*L545</f>
        <v/>
      </c>
      <c r="N545" s="80">
        <f>MAX(0,I545)</f>
        <v/>
      </c>
      <c r="O545" s="80">
        <f>IF(I545&gt;0,MAX(0,M545),0)</f>
        <v/>
      </c>
      <c r="P545" s="80">
        <f>IF($I545&gt;0,MAX(0,$G545*SIN(RADIANS('13_시나리오비교'!$B$5))*SIN(RADIANS('13_시나리오비교'!$C$5))+$H545*SIN(RADIANS('13_시나리오비교'!$B$5))*COS(RADIANS('13_시나리오비교'!$C$5))+$I545*COS(RADIANS('13_시나리오비교'!$B$5))),0)</f>
        <v/>
      </c>
      <c r="Q545" s="80">
        <f>IF($I545&gt;0,MAX(0,$G545*SIN(RADIANS('13_시나리오비교'!$B$6))*SIN(RADIANS('13_시나리오비교'!$C$6))+$H545*SIN(RADIANS('13_시나리오비교'!$B$6))*COS(RADIANS('13_시나리오비교'!$C$6))+$I545*COS(RADIANS('13_시나리오비교'!$B$6))),0)</f>
        <v/>
      </c>
      <c r="R545" s="80">
        <f>IF($I545&gt;0,MAX(0,$G545*SIN(RADIANS('13_시나리오비교'!$B$7))*SIN(RADIANS('13_시나리오비교'!$C$7))+$H545*SIN(RADIANS('13_시나리오비교'!$B$7))*COS(RADIANS('13_시나리오비교'!$C$7))+$I545*COS(RADIANS('13_시나리오비교'!$B$7))),0)</f>
        <v/>
      </c>
      <c r="S545" s="80">
        <f>IF($I545&gt;0,MAX(0,$G545*SIN(RADIANS('13_시나리오비교'!$B$8))*SIN(RADIANS('13_시나리오비교'!$C$8))+$H545*SIN(RADIANS('13_시나리오비교'!$B$8))*COS(RADIANS('13_시나리오비교'!$C$8))+$I545*COS(RADIANS('13_시나리오비교'!$B$8))),0)</f>
        <v/>
      </c>
      <c r="T545" s="80">
        <f>IF($I545&gt;0,MAX(0,$G545*SIN(RADIANS('13_시나리오비교'!$B$9))*SIN(RADIANS('13_시나리오비교'!$C$9))+$H545*SIN(RADIANS('13_시나리오비교'!$B$9))*COS(RADIANS('13_시나리오비교'!$C$9))+$I545*COS(RADIANS('13_시나리오비교'!$B$9))),0)</f>
        <v/>
      </c>
      <c r="U545" s="80">
        <f>IF($I545&gt;0,MAX(0,$G545*SIN(RADIANS('13_시나리오비교'!$B$10))*SIN(RADIANS('13_시나리오비교'!$C$10))+$H545*SIN(RADIANS('13_시나리오비교'!$B$10))*COS(RADIANS('13_시나리오비교'!$C$10))+$I545*COS(RADIANS('13_시나리오비교'!$B$10))),0)</f>
        <v/>
      </c>
      <c r="V545" s="80">
        <f>IF($I545&gt;0,MAX(0,$G545*SIN(RADIANS('13_시나리오비교'!$B$11))*SIN(RADIANS('13_시나리오비교'!$C$11))+$H545*SIN(RADIANS('13_시나리오비교'!$B$11))*COS(RADIANS('13_시나리오비교'!$C$11))+$I545*COS(RADIANS('13_시나리오비교'!$B$11))),0)</f>
        <v/>
      </c>
      <c r="W545" s="80">
        <f>IF($I545&gt;0,MAX(0,$G545*SIN(RADIANS('13_시나리오비교'!$B$12))*SIN(RADIANS('13_시나리오비교'!$C$12))+$H545*SIN(RADIANS('13_시나리오비교'!$B$12))*COS(RADIANS('13_시나리오비교'!$C$12))+$I545*COS(RADIANS('13_시나리오비교'!$B$12))),0)</f>
        <v/>
      </c>
      <c r="X545" s="80">
        <f>IF($I545&gt;0,MAX(0,$G545*SIN(RADIANS('13_시나리오비교'!$B$13))*SIN(RADIANS('13_시나리오비교'!$C$13))+$H545*SIN(RADIANS('13_시나리오비교'!$B$13))*COS(RADIANS('13_시나리오비교'!$C$13))+$I545*COS(RADIANS('13_시나리오비교'!$B$13))),0)</f>
        <v/>
      </c>
      <c r="Y545" s="80">
        <f>IF($I545&gt;0,MAX(0,$G545*SIN(RADIANS('13_시나리오비교'!$B$14))*SIN(RADIANS('13_시나리오비교'!$C$14))+$H545*SIN(RADIANS('13_시나리오비교'!$B$14))*COS(RADIANS('13_시나리오비교'!$C$14))+$I545*COS(RADIANS('13_시나리오비교'!$B$14))),0)</f>
        <v/>
      </c>
    </row>
    <row r="546" hidden="1" outlineLevel="1">
      <c r="A546" s="79" t="n">
        <v>6</v>
      </c>
      <c r="B546" s="79" t="n">
        <v>46</v>
      </c>
      <c r="C546" s="80">
        <f>(B546-0.5)*'14_지역·상수'!$H$6</f>
        <v/>
      </c>
      <c r="D546" s="79" t="n">
        <v>162</v>
      </c>
      <c r="E546" s="80">
        <f>INDEX($C$4:$C$15,MATCH(A546,$A$4:$A$15,0))</f>
        <v/>
      </c>
      <c r="F546" s="80">
        <f>15*(C546-12)</f>
        <v/>
      </c>
      <c r="G546" s="80">
        <f>-COS(RADIANS(E546))*SIN(RADIANS(F546))</f>
        <v/>
      </c>
      <c r="H546" s="80">
        <f>COS(RADIANS('11_발전량_모델'!$B$17))*SIN(RADIANS(E546))-SIN(RADIANS('11_발전량_모델'!$B$17))*COS(RADIANS(E546))*COS(RADIANS(F546))</f>
        <v/>
      </c>
      <c r="I546" s="80">
        <f>SIN(RADIANS('11_발전량_모델'!$B$17))*SIN(RADIANS(E546))+COS(RADIANS('11_발전량_모델'!$B$17))*COS(RADIANS(E546))*COS(RADIANS(F546))</f>
        <v/>
      </c>
      <c r="J546" s="80">
        <f>SIN(RADIANS('11_발전량_모델'!$B$7))*SIN(RADIANS('11_발전량_모델'!$B$8))</f>
        <v/>
      </c>
      <c r="K546" s="80">
        <f>SIN(RADIANS('11_발전량_모델'!$B$7))*COS(RADIANS('11_발전량_모델'!$B$8))</f>
        <v/>
      </c>
      <c r="L546" s="80">
        <f>COS(RADIANS('11_발전량_모델'!$B$7))</f>
        <v/>
      </c>
      <c r="M546" s="80">
        <f>G546*J546+H546*K546+I546*L546</f>
        <v/>
      </c>
      <c r="N546" s="80">
        <f>MAX(0,I546)</f>
        <v/>
      </c>
      <c r="O546" s="80">
        <f>IF(I546&gt;0,MAX(0,M546),0)</f>
        <v/>
      </c>
      <c r="P546" s="80">
        <f>IF($I546&gt;0,MAX(0,$G546*SIN(RADIANS('13_시나리오비교'!$B$5))*SIN(RADIANS('13_시나리오비교'!$C$5))+$H546*SIN(RADIANS('13_시나리오비교'!$B$5))*COS(RADIANS('13_시나리오비교'!$C$5))+$I546*COS(RADIANS('13_시나리오비교'!$B$5))),0)</f>
        <v/>
      </c>
      <c r="Q546" s="80">
        <f>IF($I546&gt;0,MAX(0,$G546*SIN(RADIANS('13_시나리오비교'!$B$6))*SIN(RADIANS('13_시나리오비교'!$C$6))+$H546*SIN(RADIANS('13_시나리오비교'!$B$6))*COS(RADIANS('13_시나리오비교'!$C$6))+$I546*COS(RADIANS('13_시나리오비교'!$B$6))),0)</f>
        <v/>
      </c>
      <c r="R546" s="80">
        <f>IF($I546&gt;0,MAX(0,$G546*SIN(RADIANS('13_시나리오비교'!$B$7))*SIN(RADIANS('13_시나리오비교'!$C$7))+$H546*SIN(RADIANS('13_시나리오비교'!$B$7))*COS(RADIANS('13_시나리오비교'!$C$7))+$I546*COS(RADIANS('13_시나리오비교'!$B$7))),0)</f>
        <v/>
      </c>
      <c r="S546" s="80">
        <f>IF($I546&gt;0,MAX(0,$G546*SIN(RADIANS('13_시나리오비교'!$B$8))*SIN(RADIANS('13_시나리오비교'!$C$8))+$H546*SIN(RADIANS('13_시나리오비교'!$B$8))*COS(RADIANS('13_시나리오비교'!$C$8))+$I546*COS(RADIANS('13_시나리오비교'!$B$8))),0)</f>
        <v/>
      </c>
      <c r="T546" s="80">
        <f>IF($I546&gt;0,MAX(0,$G546*SIN(RADIANS('13_시나리오비교'!$B$9))*SIN(RADIANS('13_시나리오비교'!$C$9))+$H546*SIN(RADIANS('13_시나리오비교'!$B$9))*COS(RADIANS('13_시나리오비교'!$C$9))+$I546*COS(RADIANS('13_시나리오비교'!$B$9))),0)</f>
        <v/>
      </c>
      <c r="U546" s="80">
        <f>IF($I546&gt;0,MAX(0,$G546*SIN(RADIANS('13_시나리오비교'!$B$10))*SIN(RADIANS('13_시나리오비교'!$C$10))+$H546*SIN(RADIANS('13_시나리오비교'!$B$10))*COS(RADIANS('13_시나리오비교'!$C$10))+$I546*COS(RADIANS('13_시나리오비교'!$B$10))),0)</f>
        <v/>
      </c>
      <c r="V546" s="80">
        <f>IF($I546&gt;0,MAX(0,$G546*SIN(RADIANS('13_시나리오비교'!$B$11))*SIN(RADIANS('13_시나리오비교'!$C$11))+$H546*SIN(RADIANS('13_시나리오비교'!$B$11))*COS(RADIANS('13_시나리오비교'!$C$11))+$I546*COS(RADIANS('13_시나리오비교'!$B$11))),0)</f>
        <v/>
      </c>
      <c r="W546" s="80">
        <f>IF($I546&gt;0,MAX(0,$G546*SIN(RADIANS('13_시나리오비교'!$B$12))*SIN(RADIANS('13_시나리오비교'!$C$12))+$H546*SIN(RADIANS('13_시나리오비교'!$B$12))*COS(RADIANS('13_시나리오비교'!$C$12))+$I546*COS(RADIANS('13_시나리오비교'!$B$12))),0)</f>
        <v/>
      </c>
      <c r="X546" s="80">
        <f>IF($I546&gt;0,MAX(0,$G546*SIN(RADIANS('13_시나리오비교'!$B$13))*SIN(RADIANS('13_시나리오비교'!$C$13))+$H546*SIN(RADIANS('13_시나리오비교'!$B$13))*COS(RADIANS('13_시나리오비교'!$C$13))+$I546*COS(RADIANS('13_시나리오비교'!$B$13))),0)</f>
        <v/>
      </c>
      <c r="Y546" s="80">
        <f>IF($I546&gt;0,MAX(0,$G546*SIN(RADIANS('13_시나리오비교'!$B$14))*SIN(RADIANS('13_시나리오비교'!$C$14))+$H546*SIN(RADIANS('13_시나리오비교'!$B$14))*COS(RADIANS('13_시나리오비교'!$C$14))+$I546*COS(RADIANS('13_시나리오비교'!$B$14))),0)</f>
        <v/>
      </c>
    </row>
    <row r="547" hidden="1" outlineLevel="1">
      <c r="A547" s="79" t="n">
        <v>6</v>
      </c>
      <c r="B547" s="79" t="n">
        <v>47</v>
      </c>
      <c r="C547" s="80">
        <f>(B547-0.5)*'14_지역·상수'!$H$6</f>
        <v/>
      </c>
      <c r="D547" s="79" t="n">
        <v>162</v>
      </c>
      <c r="E547" s="80">
        <f>INDEX($C$4:$C$15,MATCH(A547,$A$4:$A$15,0))</f>
        <v/>
      </c>
      <c r="F547" s="80">
        <f>15*(C547-12)</f>
        <v/>
      </c>
      <c r="G547" s="80">
        <f>-COS(RADIANS(E547))*SIN(RADIANS(F547))</f>
        <v/>
      </c>
      <c r="H547" s="80">
        <f>COS(RADIANS('11_발전량_모델'!$B$17))*SIN(RADIANS(E547))-SIN(RADIANS('11_발전량_모델'!$B$17))*COS(RADIANS(E547))*COS(RADIANS(F547))</f>
        <v/>
      </c>
      <c r="I547" s="80">
        <f>SIN(RADIANS('11_발전량_모델'!$B$17))*SIN(RADIANS(E547))+COS(RADIANS('11_발전량_모델'!$B$17))*COS(RADIANS(E547))*COS(RADIANS(F547))</f>
        <v/>
      </c>
      <c r="J547" s="80">
        <f>SIN(RADIANS('11_발전량_모델'!$B$7))*SIN(RADIANS('11_발전량_모델'!$B$8))</f>
        <v/>
      </c>
      <c r="K547" s="80">
        <f>SIN(RADIANS('11_발전량_모델'!$B$7))*COS(RADIANS('11_발전량_모델'!$B$8))</f>
        <v/>
      </c>
      <c r="L547" s="80">
        <f>COS(RADIANS('11_발전량_모델'!$B$7))</f>
        <v/>
      </c>
      <c r="M547" s="80">
        <f>G547*J547+H547*K547+I547*L547</f>
        <v/>
      </c>
      <c r="N547" s="80">
        <f>MAX(0,I547)</f>
        <v/>
      </c>
      <c r="O547" s="80">
        <f>IF(I547&gt;0,MAX(0,M547),0)</f>
        <v/>
      </c>
      <c r="P547" s="80">
        <f>IF($I547&gt;0,MAX(0,$G547*SIN(RADIANS('13_시나리오비교'!$B$5))*SIN(RADIANS('13_시나리오비교'!$C$5))+$H547*SIN(RADIANS('13_시나리오비교'!$B$5))*COS(RADIANS('13_시나리오비교'!$C$5))+$I547*COS(RADIANS('13_시나리오비교'!$B$5))),0)</f>
        <v/>
      </c>
      <c r="Q547" s="80">
        <f>IF($I547&gt;0,MAX(0,$G547*SIN(RADIANS('13_시나리오비교'!$B$6))*SIN(RADIANS('13_시나리오비교'!$C$6))+$H547*SIN(RADIANS('13_시나리오비교'!$B$6))*COS(RADIANS('13_시나리오비교'!$C$6))+$I547*COS(RADIANS('13_시나리오비교'!$B$6))),0)</f>
        <v/>
      </c>
      <c r="R547" s="80">
        <f>IF($I547&gt;0,MAX(0,$G547*SIN(RADIANS('13_시나리오비교'!$B$7))*SIN(RADIANS('13_시나리오비교'!$C$7))+$H547*SIN(RADIANS('13_시나리오비교'!$B$7))*COS(RADIANS('13_시나리오비교'!$C$7))+$I547*COS(RADIANS('13_시나리오비교'!$B$7))),0)</f>
        <v/>
      </c>
      <c r="S547" s="80">
        <f>IF($I547&gt;0,MAX(0,$G547*SIN(RADIANS('13_시나리오비교'!$B$8))*SIN(RADIANS('13_시나리오비교'!$C$8))+$H547*SIN(RADIANS('13_시나리오비교'!$B$8))*COS(RADIANS('13_시나리오비교'!$C$8))+$I547*COS(RADIANS('13_시나리오비교'!$B$8))),0)</f>
        <v/>
      </c>
      <c r="T547" s="80">
        <f>IF($I547&gt;0,MAX(0,$G547*SIN(RADIANS('13_시나리오비교'!$B$9))*SIN(RADIANS('13_시나리오비교'!$C$9))+$H547*SIN(RADIANS('13_시나리오비교'!$B$9))*COS(RADIANS('13_시나리오비교'!$C$9))+$I547*COS(RADIANS('13_시나리오비교'!$B$9))),0)</f>
        <v/>
      </c>
      <c r="U547" s="80">
        <f>IF($I547&gt;0,MAX(0,$G547*SIN(RADIANS('13_시나리오비교'!$B$10))*SIN(RADIANS('13_시나리오비교'!$C$10))+$H547*SIN(RADIANS('13_시나리오비교'!$B$10))*COS(RADIANS('13_시나리오비교'!$C$10))+$I547*COS(RADIANS('13_시나리오비교'!$B$10))),0)</f>
        <v/>
      </c>
      <c r="V547" s="80">
        <f>IF($I547&gt;0,MAX(0,$G547*SIN(RADIANS('13_시나리오비교'!$B$11))*SIN(RADIANS('13_시나리오비교'!$C$11))+$H547*SIN(RADIANS('13_시나리오비교'!$B$11))*COS(RADIANS('13_시나리오비교'!$C$11))+$I547*COS(RADIANS('13_시나리오비교'!$B$11))),0)</f>
        <v/>
      </c>
      <c r="W547" s="80">
        <f>IF($I547&gt;0,MAX(0,$G547*SIN(RADIANS('13_시나리오비교'!$B$12))*SIN(RADIANS('13_시나리오비교'!$C$12))+$H547*SIN(RADIANS('13_시나리오비교'!$B$12))*COS(RADIANS('13_시나리오비교'!$C$12))+$I547*COS(RADIANS('13_시나리오비교'!$B$12))),0)</f>
        <v/>
      </c>
      <c r="X547" s="80">
        <f>IF($I547&gt;0,MAX(0,$G547*SIN(RADIANS('13_시나리오비교'!$B$13))*SIN(RADIANS('13_시나리오비교'!$C$13))+$H547*SIN(RADIANS('13_시나리오비교'!$B$13))*COS(RADIANS('13_시나리오비교'!$C$13))+$I547*COS(RADIANS('13_시나리오비교'!$B$13))),0)</f>
        <v/>
      </c>
      <c r="Y547" s="80">
        <f>IF($I547&gt;0,MAX(0,$G547*SIN(RADIANS('13_시나리오비교'!$B$14))*SIN(RADIANS('13_시나리오비교'!$C$14))+$H547*SIN(RADIANS('13_시나리오비교'!$B$14))*COS(RADIANS('13_시나리오비교'!$C$14))+$I547*COS(RADIANS('13_시나리오비교'!$B$14))),0)</f>
        <v/>
      </c>
    </row>
    <row r="548" hidden="1" outlineLevel="1">
      <c r="A548" s="79" t="n">
        <v>6</v>
      </c>
      <c r="B548" s="79" t="n">
        <v>48</v>
      </c>
      <c r="C548" s="80">
        <f>(B548-0.5)*'14_지역·상수'!$H$6</f>
        <v/>
      </c>
      <c r="D548" s="79" t="n">
        <v>162</v>
      </c>
      <c r="E548" s="80">
        <f>INDEX($C$4:$C$15,MATCH(A548,$A$4:$A$15,0))</f>
        <v/>
      </c>
      <c r="F548" s="80">
        <f>15*(C548-12)</f>
        <v/>
      </c>
      <c r="G548" s="80">
        <f>-COS(RADIANS(E548))*SIN(RADIANS(F548))</f>
        <v/>
      </c>
      <c r="H548" s="80">
        <f>COS(RADIANS('11_발전량_모델'!$B$17))*SIN(RADIANS(E548))-SIN(RADIANS('11_발전량_모델'!$B$17))*COS(RADIANS(E548))*COS(RADIANS(F548))</f>
        <v/>
      </c>
      <c r="I548" s="80">
        <f>SIN(RADIANS('11_발전량_모델'!$B$17))*SIN(RADIANS(E548))+COS(RADIANS('11_발전량_모델'!$B$17))*COS(RADIANS(E548))*COS(RADIANS(F548))</f>
        <v/>
      </c>
      <c r="J548" s="80">
        <f>SIN(RADIANS('11_발전량_모델'!$B$7))*SIN(RADIANS('11_발전량_모델'!$B$8))</f>
        <v/>
      </c>
      <c r="K548" s="80">
        <f>SIN(RADIANS('11_발전량_모델'!$B$7))*COS(RADIANS('11_발전량_모델'!$B$8))</f>
        <v/>
      </c>
      <c r="L548" s="80">
        <f>COS(RADIANS('11_발전량_모델'!$B$7))</f>
        <v/>
      </c>
      <c r="M548" s="80">
        <f>G548*J548+H548*K548+I548*L548</f>
        <v/>
      </c>
      <c r="N548" s="80">
        <f>MAX(0,I548)</f>
        <v/>
      </c>
      <c r="O548" s="80">
        <f>IF(I548&gt;0,MAX(0,M548),0)</f>
        <v/>
      </c>
      <c r="P548" s="80">
        <f>IF($I548&gt;0,MAX(0,$G548*SIN(RADIANS('13_시나리오비교'!$B$5))*SIN(RADIANS('13_시나리오비교'!$C$5))+$H548*SIN(RADIANS('13_시나리오비교'!$B$5))*COS(RADIANS('13_시나리오비교'!$C$5))+$I548*COS(RADIANS('13_시나리오비교'!$B$5))),0)</f>
        <v/>
      </c>
      <c r="Q548" s="80">
        <f>IF($I548&gt;0,MAX(0,$G548*SIN(RADIANS('13_시나리오비교'!$B$6))*SIN(RADIANS('13_시나리오비교'!$C$6))+$H548*SIN(RADIANS('13_시나리오비교'!$B$6))*COS(RADIANS('13_시나리오비교'!$C$6))+$I548*COS(RADIANS('13_시나리오비교'!$B$6))),0)</f>
        <v/>
      </c>
      <c r="R548" s="80">
        <f>IF($I548&gt;0,MAX(0,$G548*SIN(RADIANS('13_시나리오비교'!$B$7))*SIN(RADIANS('13_시나리오비교'!$C$7))+$H548*SIN(RADIANS('13_시나리오비교'!$B$7))*COS(RADIANS('13_시나리오비교'!$C$7))+$I548*COS(RADIANS('13_시나리오비교'!$B$7))),0)</f>
        <v/>
      </c>
      <c r="S548" s="80">
        <f>IF($I548&gt;0,MAX(0,$G548*SIN(RADIANS('13_시나리오비교'!$B$8))*SIN(RADIANS('13_시나리오비교'!$C$8))+$H548*SIN(RADIANS('13_시나리오비교'!$B$8))*COS(RADIANS('13_시나리오비교'!$C$8))+$I548*COS(RADIANS('13_시나리오비교'!$B$8))),0)</f>
        <v/>
      </c>
      <c r="T548" s="80">
        <f>IF($I548&gt;0,MAX(0,$G548*SIN(RADIANS('13_시나리오비교'!$B$9))*SIN(RADIANS('13_시나리오비교'!$C$9))+$H548*SIN(RADIANS('13_시나리오비교'!$B$9))*COS(RADIANS('13_시나리오비교'!$C$9))+$I548*COS(RADIANS('13_시나리오비교'!$B$9))),0)</f>
        <v/>
      </c>
      <c r="U548" s="80">
        <f>IF($I548&gt;0,MAX(0,$G548*SIN(RADIANS('13_시나리오비교'!$B$10))*SIN(RADIANS('13_시나리오비교'!$C$10))+$H548*SIN(RADIANS('13_시나리오비교'!$B$10))*COS(RADIANS('13_시나리오비교'!$C$10))+$I548*COS(RADIANS('13_시나리오비교'!$B$10))),0)</f>
        <v/>
      </c>
      <c r="V548" s="80">
        <f>IF($I548&gt;0,MAX(0,$G548*SIN(RADIANS('13_시나리오비교'!$B$11))*SIN(RADIANS('13_시나리오비교'!$C$11))+$H548*SIN(RADIANS('13_시나리오비교'!$B$11))*COS(RADIANS('13_시나리오비교'!$C$11))+$I548*COS(RADIANS('13_시나리오비교'!$B$11))),0)</f>
        <v/>
      </c>
      <c r="W548" s="80">
        <f>IF($I548&gt;0,MAX(0,$G548*SIN(RADIANS('13_시나리오비교'!$B$12))*SIN(RADIANS('13_시나리오비교'!$C$12))+$H548*SIN(RADIANS('13_시나리오비교'!$B$12))*COS(RADIANS('13_시나리오비교'!$C$12))+$I548*COS(RADIANS('13_시나리오비교'!$B$12))),0)</f>
        <v/>
      </c>
      <c r="X548" s="80">
        <f>IF($I548&gt;0,MAX(0,$G548*SIN(RADIANS('13_시나리오비교'!$B$13))*SIN(RADIANS('13_시나리오비교'!$C$13))+$H548*SIN(RADIANS('13_시나리오비교'!$B$13))*COS(RADIANS('13_시나리오비교'!$C$13))+$I548*COS(RADIANS('13_시나리오비교'!$B$13))),0)</f>
        <v/>
      </c>
      <c r="Y548" s="80">
        <f>IF($I548&gt;0,MAX(0,$G548*SIN(RADIANS('13_시나리오비교'!$B$14))*SIN(RADIANS('13_시나리오비교'!$C$14))+$H548*SIN(RADIANS('13_시나리오비교'!$B$14))*COS(RADIANS('13_시나리오비교'!$C$14))+$I548*COS(RADIANS('13_시나리오비교'!$B$14))),0)</f>
        <v/>
      </c>
    </row>
    <row r="549" hidden="1" outlineLevel="1">
      <c r="A549" s="79" t="n">
        <v>6</v>
      </c>
      <c r="B549" s="79" t="n">
        <v>49</v>
      </c>
      <c r="C549" s="80">
        <f>(B549-0.5)*'14_지역·상수'!$H$6</f>
        <v/>
      </c>
      <c r="D549" s="79" t="n">
        <v>162</v>
      </c>
      <c r="E549" s="80">
        <f>INDEX($C$4:$C$15,MATCH(A549,$A$4:$A$15,0))</f>
        <v/>
      </c>
      <c r="F549" s="80">
        <f>15*(C549-12)</f>
        <v/>
      </c>
      <c r="G549" s="80">
        <f>-COS(RADIANS(E549))*SIN(RADIANS(F549))</f>
        <v/>
      </c>
      <c r="H549" s="80">
        <f>COS(RADIANS('11_발전량_모델'!$B$17))*SIN(RADIANS(E549))-SIN(RADIANS('11_발전량_모델'!$B$17))*COS(RADIANS(E549))*COS(RADIANS(F549))</f>
        <v/>
      </c>
      <c r="I549" s="80">
        <f>SIN(RADIANS('11_발전량_모델'!$B$17))*SIN(RADIANS(E549))+COS(RADIANS('11_발전량_모델'!$B$17))*COS(RADIANS(E549))*COS(RADIANS(F549))</f>
        <v/>
      </c>
      <c r="J549" s="80">
        <f>SIN(RADIANS('11_발전량_모델'!$B$7))*SIN(RADIANS('11_발전량_모델'!$B$8))</f>
        <v/>
      </c>
      <c r="K549" s="80">
        <f>SIN(RADIANS('11_발전량_모델'!$B$7))*COS(RADIANS('11_발전량_모델'!$B$8))</f>
        <v/>
      </c>
      <c r="L549" s="80">
        <f>COS(RADIANS('11_발전량_모델'!$B$7))</f>
        <v/>
      </c>
      <c r="M549" s="80">
        <f>G549*J549+H549*K549+I549*L549</f>
        <v/>
      </c>
      <c r="N549" s="80">
        <f>MAX(0,I549)</f>
        <v/>
      </c>
      <c r="O549" s="80">
        <f>IF(I549&gt;0,MAX(0,M549),0)</f>
        <v/>
      </c>
      <c r="P549" s="80">
        <f>IF($I549&gt;0,MAX(0,$G549*SIN(RADIANS('13_시나리오비교'!$B$5))*SIN(RADIANS('13_시나리오비교'!$C$5))+$H549*SIN(RADIANS('13_시나리오비교'!$B$5))*COS(RADIANS('13_시나리오비교'!$C$5))+$I549*COS(RADIANS('13_시나리오비교'!$B$5))),0)</f>
        <v/>
      </c>
      <c r="Q549" s="80">
        <f>IF($I549&gt;0,MAX(0,$G549*SIN(RADIANS('13_시나리오비교'!$B$6))*SIN(RADIANS('13_시나리오비교'!$C$6))+$H549*SIN(RADIANS('13_시나리오비교'!$B$6))*COS(RADIANS('13_시나리오비교'!$C$6))+$I549*COS(RADIANS('13_시나리오비교'!$B$6))),0)</f>
        <v/>
      </c>
      <c r="R549" s="80">
        <f>IF($I549&gt;0,MAX(0,$G549*SIN(RADIANS('13_시나리오비교'!$B$7))*SIN(RADIANS('13_시나리오비교'!$C$7))+$H549*SIN(RADIANS('13_시나리오비교'!$B$7))*COS(RADIANS('13_시나리오비교'!$C$7))+$I549*COS(RADIANS('13_시나리오비교'!$B$7))),0)</f>
        <v/>
      </c>
      <c r="S549" s="80">
        <f>IF($I549&gt;0,MAX(0,$G549*SIN(RADIANS('13_시나리오비교'!$B$8))*SIN(RADIANS('13_시나리오비교'!$C$8))+$H549*SIN(RADIANS('13_시나리오비교'!$B$8))*COS(RADIANS('13_시나리오비교'!$C$8))+$I549*COS(RADIANS('13_시나리오비교'!$B$8))),0)</f>
        <v/>
      </c>
      <c r="T549" s="80">
        <f>IF($I549&gt;0,MAX(0,$G549*SIN(RADIANS('13_시나리오비교'!$B$9))*SIN(RADIANS('13_시나리오비교'!$C$9))+$H549*SIN(RADIANS('13_시나리오비교'!$B$9))*COS(RADIANS('13_시나리오비교'!$C$9))+$I549*COS(RADIANS('13_시나리오비교'!$B$9))),0)</f>
        <v/>
      </c>
      <c r="U549" s="80">
        <f>IF($I549&gt;0,MAX(0,$G549*SIN(RADIANS('13_시나리오비교'!$B$10))*SIN(RADIANS('13_시나리오비교'!$C$10))+$H549*SIN(RADIANS('13_시나리오비교'!$B$10))*COS(RADIANS('13_시나리오비교'!$C$10))+$I549*COS(RADIANS('13_시나리오비교'!$B$10))),0)</f>
        <v/>
      </c>
      <c r="V549" s="80">
        <f>IF($I549&gt;0,MAX(0,$G549*SIN(RADIANS('13_시나리오비교'!$B$11))*SIN(RADIANS('13_시나리오비교'!$C$11))+$H549*SIN(RADIANS('13_시나리오비교'!$B$11))*COS(RADIANS('13_시나리오비교'!$C$11))+$I549*COS(RADIANS('13_시나리오비교'!$B$11))),0)</f>
        <v/>
      </c>
      <c r="W549" s="80">
        <f>IF($I549&gt;0,MAX(0,$G549*SIN(RADIANS('13_시나리오비교'!$B$12))*SIN(RADIANS('13_시나리오비교'!$C$12))+$H549*SIN(RADIANS('13_시나리오비교'!$B$12))*COS(RADIANS('13_시나리오비교'!$C$12))+$I549*COS(RADIANS('13_시나리오비교'!$B$12))),0)</f>
        <v/>
      </c>
      <c r="X549" s="80">
        <f>IF($I549&gt;0,MAX(0,$G549*SIN(RADIANS('13_시나리오비교'!$B$13))*SIN(RADIANS('13_시나리오비교'!$C$13))+$H549*SIN(RADIANS('13_시나리오비교'!$B$13))*COS(RADIANS('13_시나리오비교'!$C$13))+$I549*COS(RADIANS('13_시나리오비교'!$B$13))),0)</f>
        <v/>
      </c>
      <c r="Y549" s="80">
        <f>IF($I549&gt;0,MAX(0,$G549*SIN(RADIANS('13_시나리오비교'!$B$14))*SIN(RADIANS('13_시나리오비교'!$C$14))+$H549*SIN(RADIANS('13_시나리오비교'!$B$14))*COS(RADIANS('13_시나리오비교'!$C$14))+$I549*COS(RADIANS('13_시나리오비교'!$B$14))),0)</f>
        <v/>
      </c>
    </row>
    <row r="550" hidden="1" outlineLevel="1">
      <c r="A550" s="79" t="n">
        <v>6</v>
      </c>
      <c r="B550" s="79" t="n">
        <v>50</v>
      </c>
      <c r="C550" s="80">
        <f>(B550-0.5)*'14_지역·상수'!$H$6</f>
        <v/>
      </c>
      <c r="D550" s="79" t="n">
        <v>162</v>
      </c>
      <c r="E550" s="80">
        <f>INDEX($C$4:$C$15,MATCH(A550,$A$4:$A$15,0))</f>
        <v/>
      </c>
      <c r="F550" s="80">
        <f>15*(C550-12)</f>
        <v/>
      </c>
      <c r="G550" s="80">
        <f>-COS(RADIANS(E550))*SIN(RADIANS(F550))</f>
        <v/>
      </c>
      <c r="H550" s="80">
        <f>COS(RADIANS('11_발전량_모델'!$B$17))*SIN(RADIANS(E550))-SIN(RADIANS('11_발전량_모델'!$B$17))*COS(RADIANS(E550))*COS(RADIANS(F550))</f>
        <v/>
      </c>
      <c r="I550" s="80">
        <f>SIN(RADIANS('11_발전량_모델'!$B$17))*SIN(RADIANS(E550))+COS(RADIANS('11_발전량_모델'!$B$17))*COS(RADIANS(E550))*COS(RADIANS(F550))</f>
        <v/>
      </c>
      <c r="J550" s="80">
        <f>SIN(RADIANS('11_발전량_모델'!$B$7))*SIN(RADIANS('11_발전량_모델'!$B$8))</f>
        <v/>
      </c>
      <c r="K550" s="80">
        <f>SIN(RADIANS('11_발전량_모델'!$B$7))*COS(RADIANS('11_발전량_모델'!$B$8))</f>
        <v/>
      </c>
      <c r="L550" s="80">
        <f>COS(RADIANS('11_발전량_모델'!$B$7))</f>
        <v/>
      </c>
      <c r="M550" s="80">
        <f>G550*J550+H550*K550+I550*L550</f>
        <v/>
      </c>
      <c r="N550" s="80">
        <f>MAX(0,I550)</f>
        <v/>
      </c>
      <c r="O550" s="80">
        <f>IF(I550&gt;0,MAX(0,M550),0)</f>
        <v/>
      </c>
      <c r="P550" s="80">
        <f>IF($I550&gt;0,MAX(0,$G550*SIN(RADIANS('13_시나리오비교'!$B$5))*SIN(RADIANS('13_시나리오비교'!$C$5))+$H550*SIN(RADIANS('13_시나리오비교'!$B$5))*COS(RADIANS('13_시나리오비교'!$C$5))+$I550*COS(RADIANS('13_시나리오비교'!$B$5))),0)</f>
        <v/>
      </c>
      <c r="Q550" s="80">
        <f>IF($I550&gt;0,MAX(0,$G550*SIN(RADIANS('13_시나리오비교'!$B$6))*SIN(RADIANS('13_시나리오비교'!$C$6))+$H550*SIN(RADIANS('13_시나리오비교'!$B$6))*COS(RADIANS('13_시나리오비교'!$C$6))+$I550*COS(RADIANS('13_시나리오비교'!$B$6))),0)</f>
        <v/>
      </c>
      <c r="R550" s="80">
        <f>IF($I550&gt;0,MAX(0,$G550*SIN(RADIANS('13_시나리오비교'!$B$7))*SIN(RADIANS('13_시나리오비교'!$C$7))+$H550*SIN(RADIANS('13_시나리오비교'!$B$7))*COS(RADIANS('13_시나리오비교'!$C$7))+$I550*COS(RADIANS('13_시나리오비교'!$B$7))),0)</f>
        <v/>
      </c>
      <c r="S550" s="80">
        <f>IF($I550&gt;0,MAX(0,$G550*SIN(RADIANS('13_시나리오비교'!$B$8))*SIN(RADIANS('13_시나리오비교'!$C$8))+$H550*SIN(RADIANS('13_시나리오비교'!$B$8))*COS(RADIANS('13_시나리오비교'!$C$8))+$I550*COS(RADIANS('13_시나리오비교'!$B$8))),0)</f>
        <v/>
      </c>
      <c r="T550" s="80">
        <f>IF($I550&gt;0,MAX(0,$G550*SIN(RADIANS('13_시나리오비교'!$B$9))*SIN(RADIANS('13_시나리오비교'!$C$9))+$H550*SIN(RADIANS('13_시나리오비교'!$B$9))*COS(RADIANS('13_시나리오비교'!$C$9))+$I550*COS(RADIANS('13_시나리오비교'!$B$9))),0)</f>
        <v/>
      </c>
      <c r="U550" s="80">
        <f>IF($I550&gt;0,MAX(0,$G550*SIN(RADIANS('13_시나리오비교'!$B$10))*SIN(RADIANS('13_시나리오비교'!$C$10))+$H550*SIN(RADIANS('13_시나리오비교'!$B$10))*COS(RADIANS('13_시나리오비교'!$C$10))+$I550*COS(RADIANS('13_시나리오비교'!$B$10))),0)</f>
        <v/>
      </c>
      <c r="V550" s="80">
        <f>IF($I550&gt;0,MAX(0,$G550*SIN(RADIANS('13_시나리오비교'!$B$11))*SIN(RADIANS('13_시나리오비교'!$C$11))+$H550*SIN(RADIANS('13_시나리오비교'!$B$11))*COS(RADIANS('13_시나리오비교'!$C$11))+$I550*COS(RADIANS('13_시나리오비교'!$B$11))),0)</f>
        <v/>
      </c>
      <c r="W550" s="80">
        <f>IF($I550&gt;0,MAX(0,$G550*SIN(RADIANS('13_시나리오비교'!$B$12))*SIN(RADIANS('13_시나리오비교'!$C$12))+$H550*SIN(RADIANS('13_시나리오비교'!$B$12))*COS(RADIANS('13_시나리오비교'!$C$12))+$I550*COS(RADIANS('13_시나리오비교'!$B$12))),0)</f>
        <v/>
      </c>
      <c r="X550" s="80">
        <f>IF($I550&gt;0,MAX(0,$G550*SIN(RADIANS('13_시나리오비교'!$B$13))*SIN(RADIANS('13_시나리오비교'!$C$13))+$H550*SIN(RADIANS('13_시나리오비교'!$B$13))*COS(RADIANS('13_시나리오비교'!$C$13))+$I550*COS(RADIANS('13_시나리오비교'!$B$13))),0)</f>
        <v/>
      </c>
      <c r="Y550" s="80">
        <f>IF($I550&gt;0,MAX(0,$G550*SIN(RADIANS('13_시나리오비교'!$B$14))*SIN(RADIANS('13_시나리오비교'!$C$14))+$H550*SIN(RADIANS('13_시나리오비교'!$B$14))*COS(RADIANS('13_시나리오비교'!$C$14))+$I550*COS(RADIANS('13_시나리오비교'!$B$14))),0)</f>
        <v/>
      </c>
    </row>
    <row r="551" hidden="1" outlineLevel="1">
      <c r="A551" s="79" t="n">
        <v>6</v>
      </c>
      <c r="B551" s="79" t="n">
        <v>51</v>
      </c>
      <c r="C551" s="80">
        <f>(B551-0.5)*'14_지역·상수'!$H$6</f>
        <v/>
      </c>
      <c r="D551" s="79" t="n">
        <v>162</v>
      </c>
      <c r="E551" s="80">
        <f>INDEX($C$4:$C$15,MATCH(A551,$A$4:$A$15,0))</f>
        <v/>
      </c>
      <c r="F551" s="80">
        <f>15*(C551-12)</f>
        <v/>
      </c>
      <c r="G551" s="80">
        <f>-COS(RADIANS(E551))*SIN(RADIANS(F551))</f>
        <v/>
      </c>
      <c r="H551" s="80">
        <f>COS(RADIANS('11_발전량_모델'!$B$17))*SIN(RADIANS(E551))-SIN(RADIANS('11_발전량_모델'!$B$17))*COS(RADIANS(E551))*COS(RADIANS(F551))</f>
        <v/>
      </c>
      <c r="I551" s="80">
        <f>SIN(RADIANS('11_발전량_모델'!$B$17))*SIN(RADIANS(E551))+COS(RADIANS('11_발전량_모델'!$B$17))*COS(RADIANS(E551))*COS(RADIANS(F551))</f>
        <v/>
      </c>
      <c r="J551" s="80">
        <f>SIN(RADIANS('11_발전량_모델'!$B$7))*SIN(RADIANS('11_발전량_모델'!$B$8))</f>
        <v/>
      </c>
      <c r="K551" s="80">
        <f>SIN(RADIANS('11_발전량_모델'!$B$7))*COS(RADIANS('11_발전량_모델'!$B$8))</f>
        <v/>
      </c>
      <c r="L551" s="80">
        <f>COS(RADIANS('11_발전량_모델'!$B$7))</f>
        <v/>
      </c>
      <c r="M551" s="80">
        <f>G551*J551+H551*K551+I551*L551</f>
        <v/>
      </c>
      <c r="N551" s="80">
        <f>MAX(0,I551)</f>
        <v/>
      </c>
      <c r="O551" s="80">
        <f>IF(I551&gt;0,MAX(0,M551),0)</f>
        <v/>
      </c>
      <c r="P551" s="80">
        <f>IF($I551&gt;0,MAX(0,$G551*SIN(RADIANS('13_시나리오비교'!$B$5))*SIN(RADIANS('13_시나리오비교'!$C$5))+$H551*SIN(RADIANS('13_시나리오비교'!$B$5))*COS(RADIANS('13_시나리오비교'!$C$5))+$I551*COS(RADIANS('13_시나리오비교'!$B$5))),0)</f>
        <v/>
      </c>
      <c r="Q551" s="80">
        <f>IF($I551&gt;0,MAX(0,$G551*SIN(RADIANS('13_시나리오비교'!$B$6))*SIN(RADIANS('13_시나리오비교'!$C$6))+$H551*SIN(RADIANS('13_시나리오비교'!$B$6))*COS(RADIANS('13_시나리오비교'!$C$6))+$I551*COS(RADIANS('13_시나리오비교'!$B$6))),0)</f>
        <v/>
      </c>
      <c r="R551" s="80">
        <f>IF($I551&gt;0,MAX(0,$G551*SIN(RADIANS('13_시나리오비교'!$B$7))*SIN(RADIANS('13_시나리오비교'!$C$7))+$H551*SIN(RADIANS('13_시나리오비교'!$B$7))*COS(RADIANS('13_시나리오비교'!$C$7))+$I551*COS(RADIANS('13_시나리오비교'!$B$7))),0)</f>
        <v/>
      </c>
      <c r="S551" s="80">
        <f>IF($I551&gt;0,MAX(0,$G551*SIN(RADIANS('13_시나리오비교'!$B$8))*SIN(RADIANS('13_시나리오비교'!$C$8))+$H551*SIN(RADIANS('13_시나리오비교'!$B$8))*COS(RADIANS('13_시나리오비교'!$C$8))+$I551*COS(RADIANS('13_시나리오비교'!$B$8))),0)</f>
        <v/>
      </c>
      <c r="T551" s="80">
        <f>IF($I551&gt;0,MAX(0,$G551*SIN(RADIANS('13_시나리오비교'!$B$9))*SIN(RADIANS('13_시나리오비교'!$C$9))+$H551*SIN(RADIANS('13_시나리오비교'!$B$9))*COS(RADIANS('13_시나리오비교'!$C$9))+$I551*COS(RADIANS('13_시나리오비교'!$B$9))),0)</f>
        <v/>
      </c>
      <c r="U551" s="80">
        <f>IF($I551&gt;0,MAX(0,$G551*SIN(RADIANS('13_시나리오비교'!$B$10))*SIN(RADIANS('13_시나리오비교'!$C$10))+$H551*SIN(RADIANS('13_시나리오비교'!$B$10))*COS(RADIANS('13_시나리오비교'!$C$10))+$I551*COS(RADIANS('13_시나리오비교'!$B$10))),0)</f>
        <v/>
      </c>
      <c r="V551" s="80">
        <f>IF($I551&gt;0,MAX(0,$G551*SIN(RADIANS('13_시나리오비교'!$B$11))*SIN(RADIANS('13_시나리오비교'!$C$11))+$H551*SIN(RADIANS('13_시나리오비교'!$B$11))*COS(RADIANS('13_시나리오비교'!$C$11))+$I551*COS(RADIANS('13_시나리오비교'!$B$11))),0)</f>
        <v/>
      </c>
      <c r="W551" s="80">
        <f>IF($I551&gt;0,MAX(0,$G551*SIN(RADIANS('13_시나리오비교'!$B$12))*SIN(RADIANS('13_시나리오비교'!$C$12))+$H551*SIN(RADIANS('13_시나리오비교'!$B$12))*COS(RADIANS('13_시나리오비교'!$C$12))+$I551*COS(RADIANS('13_시나리오비교'!$B$12))),0)</f>
        <v/>
      </c>
      <c r="X551" s="80">
        <f>IF($I551&gt;0,MAX(0,$G551*SIN(RADIANS('13_시나리오비교'!$B$13))*SIN(RADIANS('13_시나리오비교'!$C$13))+$H551*SIN(RADIANS('13_시나리오비교'!$B$13))*COS(RADIANS('13_시나리오비교'!$C$13))+$I551*COS(RADIANS('13_시나리오비교'!$B$13))),0)</f>
        <v/>
      </c>
      <c r="Y551" s="80">
        <f>IF($I551&gt;0,MAX(0,$G551*SIN(RADIANS('13_시나리오비교'!$B$14))*SIN(RADIANS('13_시나리오비교'!$C$14))+$H551*SIN(RADIANS('13_시나리오비교'!$B$14))*COS(RADIANS('13_시나리오비교'!$C$14))+$I551*COS(RADIANS('13_시나리오비교'!$B$14))),0)</f>
        <v/>
      </c>
    </row>
    <row r="552" hidden="1" outlineLevel="1">
      <c r="A552" s="79" t="n">
        <v>6</v>
      </c>
      <c r="B552" s="79" t="n">
        <v>52</v>
      </c>
      <c r="C552" s="80">
        <f>(B552-0.5)*'14_지역·상수'!$H$6</f>
        <v/>
      </c>
      <c r="D552" s="79" t="n">
        <v>162</v>
      </c>
      <c r="E552" s="80">
        <f>INDEX($C$4:$C$15,MATCH(A552,$A$4:$A$15,0))</f>
        <v/>
      </c>
      <c r="F552" s="80">
        <f>15*(C552-12)</f>
        <v/>
      </c>
      <c r="G552" s="80">
        <f>-COS(RADIANS(E552))*SIN(RADIANS(F552))</f>
        <v/>
      </c>
      <c r="H552" s="80">
        <f>COS(RADIANS('11_발전량_모델'!$B$17))*SIN(RADIANS(E552))-SIN(RADIANS('11_발전량_모델'!$B$17))*COS(RADIANS(E552))*COS(RADIANS(F552))</f>
        <v/>
      </c>
      <c r="I552" s="80">
        <f>SIN(RADIANS('11_발전량_모델'!$B$17))*SIN(RADIANS(E552))+COS(RADIANS('11_발전량_모델'!$B$17))*COS(RADIANS(E552))*COS(RADIANS(F552))</f>
        <v/>
      </c>
      <c r="J552" s="80">
        <f>SIN(RADIANS('11_발전량_모델'!$B$7))*SIN(RADIANS('11_발전량_모델'!$B$8))</f>
        <v/>
      </c>
      <c r="K552" s="80">
        <f>SIN(RADIANS('11_발전량_모델'!$B$7))*COS(RADIANS('11_발전량_모델'!$B$8))</f>
        <v/>
      </c>
      <c r="L552" s="80">
        <f>COS(RADIANS('11_발전량_모델'!$B$7))</f>
        <v/>
      </c>
      <c r="M552" s="80">
        <f>G552*J552+H552*K552+I552*L552</f>
        <v/>
      </c>
      <c r="N552" s="80">
        <f>MAX(0,I552)</f>
        <v/>
      </c>
      <c r="O552" s="80">
        <f>IF(I552&gt;0,MAX(0,M552),0)</f>
        <v/>
      </c>
      <c r="P552" s="80">
        <f>IF($I552&gt;0,MAX(0,$G552*SIN(RADIANS('13_시나리오비교'!$B$5))*SIN(RADIANS('13_시나리오비교'!$C$5))+$H552*SIN(RADIANS('13_시나리오비교'!$B$5))*COS(RADIANS('13_시나리오비교'!$C$5))+$I552*COS(RADIANS('13_시나리오비교'!$B$5))),0)</f>
        <v/>
      </c>
      <c r="Q552" s="80">
        <f>IF($I552&gt;0,MAX(0,$G552*SIN(RADIANS('13_시나리오비교'!$B$6))*SIN(RADIANS('13_시나리오비교'!$C$6))+$H552*SIN(RADIANS('13_시나리오비교'!$B$6))*COS(RADIANS('13_시나리오비교'!$C$6))+$I552*COS(RADIANS('13_시나리오비교'!$B$6))),0)</f>
        <v/>
      </c>
      <c r="R552" s="80">
        <f>IF($I552&gt;0,MAX(0,$G552*SIN(RADIANS('13_시나리오비교'!$B$7))*SIN(RADIANS('13_시나리오비교'!$C$7))+$H552*SIN(RADIANS('13_시나리오비교'!$B$7))*COS(RADIANS('13_시나리오비교'!$C$7))+$I552*COS(RADIANS('13_시나리오비교'!$B$7))),0)</f>
        <v/>
      </c>
      <c r="S552" s="80">
        <f>IF($I552&gt;0,MAX(0,$G552*SIN(RADIANS('13_시나리오비교'!$B$8))*SIN(RADIANS('13_시나리오비교'!$C$8))+$H552*SIN(RADIANS('13_시나리오비교'!$B$8))*COS(RADIANS('13_시나리오비교'!$C$8))+$I552*COS(RADIANS('13_시나리오비교'!$B$8))),0)</f>
        <v/>
      </c>
      <c r="T552" s="80">
        <f>IF($I552&gt;0,MAX(0,$G552*SIN(RADIANS('13_시나리오비교'!$B$9))*SIN(RADIANS('13_시나리오비교'!$C$9))+$H552*SIN(RADIANS('13_시나리오비교'!$B$9))*COS(RADIANS('13_시나리오비교'!$C$9))+$I552*COS(RADIANS('13_시나리오비교'!$B$9))),0)</f>
        <v/>
      </c>
      <c r="U552" s="80">
        <f>IF($I552&gt;0,MAX(0,$G552*SIN(RADIANS('13_시나리오비교'!$B$10))*SIN(RADIANS('13_시나리오비교'!$C$10))+$H552*SIN(RADIANS('13_시나리오비교'!$B$10))*COS(RADIANS('13_시나리오비교'!$C$10))+$I552*COS(RADIANS('13_시나리오비교'!$B$10))),0)</f>
        <v/>
      </c>
      <c r="V552" s="80">
        <f>IF($I552&gt;0,MAX(0,$G552*SIN(RADIANS('13_시나리오비교'!$B$11))*SIN(RADIANS('13_시나리오비교'!$C$11))+$H552*SIN(RADIANS('13_시나리오비교'!$B$11))*COS(RADIANS('13_시나리오비교'!$C$11))+$I552*COS(RADIANS('13_시나리오비교'!$B$11))),0)</f>
        <v/>
      </c>
      <c r="W552" s="80">
        <f>IF($I552&gt;0,MAX(0,$G552*SIN(RADIANS('13_시나리오비교'!$B$12))*SIN(RADIANS('13_시나리오비교'!$C$12))+$H552*SIN(RADIANS('13_시나리오비교'!$B$12))*COS(RADIANS('13_시나리오비교'!$C$12))+$I552*COS(RADIANS('13_시나리오비교'!$B$12))),0)</f>
        <v/>
      </c>
      <c r="X552" s="80">
        <f>IF($I552&gt;0,MAX(0,$G552*SIN(RADIANS('13_시나리오비교'!$B$13))*SIN(RADIANS('13_시나리오비교'!$C$13))+$H552*SIN(RADIANS('13_시나리오비교'!$B$13))*COS(RADIANS('13_시나리오비교'!$C$13))+$I552*COS(RADIANS('13_시나리오비교'!$B$13))),0)</f>
        <v/>
      </c>
      <c r="Y552" s="80">
        <f>IF($I552&gt;0,MAX(0,$G552*SIN(RADIANS('13_시나리오비교'!$B$14))*SIN(RADIANS('13_시나리오비교'!$C$14))+$H552*SIN(RADIANS('13_시나리오비교'!$B$14))*COS(RADIANS('13_시나리오비교'!$C$14))+$I552*COS(RADIANS('13_시나리오비교'!$B$14))),0)</f>
        <v/>
      </c>
    </row>
    <row r="553" hidden="1" outlineLevel="1">
      <c r="A553" s="79" t="n">
        <v>6</v>
      </c>
      <c r="B553" s="79" t="n">
        <v>53</v>
      </c>
      <c r="C553" s="80">
        <f>(B553-0.5)*'14_지역·상수'!$H$6</f>
        <v/>
      </c>
      <c r="D553" s="79" t="n">
        <v>162</v>
      </c>
      <c r="E553" s="80">
        <f>INDEX($C$4:$C$15,MATCH(A553,$A$4:$A$15,0))</f>
        <v/>
      </c>
      <c r="F553" s="80">
        <f>15*(C553-12)</f>
        <v/>
      </c>
      <c r="G553" s="80">
        <f>-COS(RADIANS(E553))*SIN(RADIANS(F553))</f>
        <v/>
      </c>
      <c r="H553" s="80">
        <f>COS(RADIANS('11_발전량_모델'!$B$17))*SIN(RADIANS(E553))-SIN(RADIANS('11_발전량_모델'!$B$17))*COS(RADIANS(E553))*COS(RADIANS(F553))</f>
        <v/>
      </c>
      <c r="I553" s="80">
        <f>SIN(RADIANS('11_발전량_모델'!$B$17))*SIN(RADIANS(E553))+COS(RADIANS('11_발전량_모델'!$B$17))*COS(RADIANS(E553))*COS(RADIANS(F553))</f>
        <v/>
      </c>
      <c r="J553" s="80">
        <f>SIN(RADIANS('11_발전량_모델'!$B$7))*SIN(RADIANS('11_발전량_모델'!$B$8))</f>
        <v/>
      </c>
      <c r="K553" s="80">
        <f>SIN(RADIANS('11_발전량_모델'!$B$7))*COS(RADIANS('11_발전량_모델'!$B$8))</f>
        <v/>
      </c>
      <c r="L553" s="80">
        <f>COS(RADIANS('11_발전량_모델'!$B$7))</f>
        <v/>
      </c>
      <c r="M553" s="80">
        <f>G553*J553+H553*K553+I553*L553</f>
        <v/>
      </c>
      <c r="N553" s="80">
        <f>MAX(0,I553)</f>
        <v/>
      </c>
      <c r="O553" s="80">
        <f>IF(I553&gt;0,MAX(0,M553),0)</f>
        <v/>
      </c>
      <c r="P553" s="80">
        <f>IF($I553&gt;0,MAX(0,$G553*SIN(RADIANS('13_시나리오비교'!$B$5))*SIN(RADIANS('13_시나리오비교'!$C$5))+$H553*SIN(RADIANS('13_시나리오비교'!$B$5))*COS(RADIANS('13_시나리오비교'!$C$5))+$I553*COS(RADIANS('13_시나리오비교'!$B$5))),0)</f>
        <v/>
      </c>
      <c r="Q553" s="80">
        <f>IF($I553&gt;0,MAX(0,$G553*SIN(RADIANS('13_시나리오비교'!$B$6))*SIN(RADIANS('13_시나리오비교'!$C$6))+$H553*SIN(RADIANS('13_시나리오비교'!$B$6))*COS(RADIANS('13_시나리오비교'!$C$6))+$I553*COS(RADIANS('13_시나리오비교'!$B$6))),0)</f>
        <v/>
      </c>
      <c r="R553" s="80">
        <f>IF($I553&gt;0,MAX(0,$G553*SIN(RADIANS('13_시나리오비교'!$B$7))*SIN(RADIANS('13_시나리오비교'!$C$7))+$H553*SIN(RADIANS('13_시나리오비교'!$B$7))*COS(RADIANS('13_시나리오비교'!$C$7))+$I553*COS(RADIANS('13_시나리오비교'!$B$7))),0)</f>
        <v/>
      </c>
      <c r="S553" s="80">
        <f>IF($I553&gt;0,MAX(0,$G553*SIN(RADIANS('13_시나리오비교'!$B$8))*SIN(RADIANS('13_시나리오비교'!$C$8))+$H553*SIN(RADIANS('13_시나리오비교'!$B$8))*COS(RADIANS('13_시나리오비교'!$C$8))+$I553*COS(RADIANS('13_시나리오비교'!$B$8))),0)</f>
        <v/>
      </c>
      <c r="T553" s="80">
        <f>IF($I553&gt;0,MAX(0,$G553*SIN(RADIANS('13_시나리오비교'!$B$9))*SIN(RADIANS('13_시나리오비교'!$C$9))+$H553*SIN(RADIANS('13_시나리오비교'!$B$9))*COS(RADIANS('13_시나리오비교'!$C$9))+$I553*COS(RADIANS('13_시나리오비교'!$B$9))),0)</f>
        <v/>
      </c>
      <c r="U553" s="80">
        <f>IF($I553&gt;0,MAX(0,$G553*SIN(RADIANS('13_시나리오비교'!$B$10))*SIN(RADIANS('13_시나리오비교'!$C$10))+$H553*SIN(RADIANS('13_시나리오비교'!$B$10))*COS(RADIANS('13_시나리오비교'!$C$10))+$I553*COS(RADIANS('13_시나리오비교'!$B$10))),0)</f>
        <v/>
      </c>
      <c r="V553" s="80">
        <f>IF($I553&gt;0,MAX(0,$G553*SIN(RADIANS('13_시나리오비교'!$B$11))*SIN(RADIANS('13_시나리오비교'!$C$11))+$H553*SIN(RADIANS('13_시나리오비교'!$B$11))*COS(RADIANS('13_시나리오비교'!$C$11))+$I553*COS(RADIANS('13_시나리오비교'!$B$11))),0)</f>
        <v/>
      </c>
      <c r="W553" s="80">
        <f>IF($I553&gt;0,MAX(0,$G553*SIN(RADIANS('13_시나리오비교'!$B$12))*SIN(RADIANS('13_시나리오비교'!$C$12))+$H553*SIN(RADIANS('13_시나리오비교'!$B$12))*COS(RADIANS('13_시나리오비교'!$C$12))+$I553*COS(RADIANS('13_시나리오비교'!$B$12))),0)</f>
        <v/>
      </c>
      <c r="X553" s="80">
        <f>IF($I553&gt;0,MAX(0,$G553*SIN(RADIANS('13_시나리오비교'!$B$13))*SIN(RADIANS('13_시나리오비교'!$C$13))+$H553*SIN(RADIANS('13_시나리오비교'!$B$13))*COS(RADIANS('13_시나리오비교'!$C$13))+$I553*COS(RADIANS('13_시나리오비교'!$B$13))),0)</f>
        <v/>
      </c>
      <c r="Y553" s="80">
        <f>IF($I553&gt;0,MAX(0,$G553*SIN(RADIANS('13_시나리오비교'!$B$14))*SIN(RADIANS('13_시나리오비교'!$C$14))+$H553*SIN(RADIANS('13_시나리오비교'!$B$14))*COS(RADIANS('13_시나리오비교'!$C$14))+$I553*COS(RADIANS('13_시나리오비교'!$B$14))),0)</f>
        <v/>
      </c>
    </row>
    <row r="554" hidden="1" outlineLevel="1">
      <c r="A554" s="79" t="n">
        <v>6</v>
      </c>
      <c r="B554" s="79" t="n">
        <v>54</v>
      </c>
      <c r="C554" s="80">
        <f>(B554-0.5)*'14_지역·상수'!$H$6</f>
        <v/>
      </c>
      <c r="D554" s="79" t="n">
        <v>162</v>
      </c>
      <c r="E554" s="80">
        <f>INDEX($C$4:$C$15,MATCH(A554,$A$4:$A$15,0))</f>
        <v/>
      </c>
      <c r="F554" s="80">
        <f>15*(C554-12)</f>
        <v/>
      </c>
      <c r="G554" s="80">
        <f>-COS(RADIANS(E554))*SIN(RADIANS(F554))</f>
        <v/>
      </c>
      <c r="H554" s="80">
        <f>COS(RADIANS('11_발전량_모델'!$B$17))*SIN(RADIANS(E554))-SIN(RADIANS('11_발전량_모델'!$B$17))*COS(RADIANS(E554))*COS(RADIANS(F554))</f>
        <v/>
      </c>
      <c r="I554" s="80">
        <f>SIN(RADIANS('11_발전량_모델'!$B$17))*SIN(RADIANS(E554))+COS(RADIANS('11_발전량_모델'!$B$17))*COS(RADIANS(E554))*COS(RADIANS(F554))</f>
        <v/>
      </c>
      <c r="J554" s="80">
        <f>SIN(RADIANS('11_발전량_모델'!$B$7))*SIN(RADIANS('11_발전량_모델'!$B$8))</f>
        <v/>
      </c>
      <c r="K554" s="80">
        <f>SIN(RADIANS('11_발전량_모델'!$B$7))*COS(RADIANS('11_발전량_모델'!$B$8))</f>
        <v/>
      </c>
      <c r="L554" s="80">
        <f>COS(RADIANS('11_발전량_모델'!$B$7))</f>
        <v/>
      </c>
      <c r="M554" s="80">
        <f>G554*J554+H554*K554+I554*L554</f>
        <v/>
      </c>
      <c r="N554" s="80">
        <f>MAX(0,I554)</f>
        <v/>
      </c>
      <c r="O554" s="80">
        <f>IF(I554&gt;0,MAX(0,M554),0)</f>
        <v/>
      </c>
      <c r="P554" s="80">
        <f>IF($I554&gt;0,MAX(0,$G554*SIN(RADIANS('13_시나리오비교'!$B$5))*SIN(RADIANS('13_시나리오비교'!$C$5))+$H554*SIN(RADIANS('13_시나리오비교'!$B$5))*COS(RADIANS('13_시나리오비교'!$C$5))+$I554*COS(RADIANS('13_시나리오비교'!$B$5))),0)</f>
        <v/>
      </c>
      <c r="Q554" s="80">
        <f>IF($I554&gt;0,MAX(0,$G554*SIN(RADIANS('13_시나리오비교'!$B$6))*SIN(RADIANS('13_시나리오비교'!$C$6))+$H554*SIN(RADIANS('13_시나리오비교'!$B$6))*COS(RADIANS('13_시나리오비교'!$C$6))+$I554*COS(RADIANS('13_시나리오비교'!$B$6))),0)</f>
        <v/>
      </c>
      <c r="R554" s="80">
        <f>IF($I554&gt;0,MAX(0,$G554*SIN(RADIANS('13_시나리오비교'!$B$7))*SIN(RADIANS('13_시나리오비교'!$C$7))+$H554*SIN(RADIANS('13_시나리오비교'!$B$7))*COS(RADIANS('13_시나리오비교'!$C$7))+$I554*COS(RADIANS('13_시나리오비교'!$B$7))),0)</f>
        <v/>
      </c>
      <c r="S554" s="80">
        <f>IF($I554&gt;0,MAX(0,$G554*SIN(RADIANS('13_시나리오비교'!$B$8))*SIN(RADIANS('13_시나리오비교'!$C$8))+$H554*SIN(RADIANS('13_시나리오비교'!$B$8))*COS(RADIANS('13_시나리오비교'!$C$8))+$I554*COS(RADIANS('13_시나리오비교'!$B$8))),0)</f>
        <v/>
      </c>
      <c r="T554" s="80">
        <f>IF($I554&gt;0,MAX(0,$G554*SIN(RADIANS('13_시나리오비교'!$B$9))*SIN(RADIANS('13_시나리오비교'!$C$9))+$H554*SIN(RADIANS('13_시나리오비교'!$B$9))*COS(RADIANS('13_시나리오비교'!$C$9))+$I554*COS(RADIANS('13_시나리오비교'!$B$9))),0)</f>
        <v/>
      </c>
      <c r="U554" s="80">
        <f>IF($I554&gt;0,MAX(0,$G554*SIN(RADIANS('13_시나리오비교'!$B$10))*SIN(RADIANS('13_시나리오비교'!$C$10))+$H554*SIN(RADIANS('13_시나리오비교'!$B$10))*COS(RADIANS('13_시나리오비교'!$C$10))+$I554*COS(RADIANS('13_시나리오비교'!$B$10))),0)</f>
        <v/>
      </c>
      <c r="V554" s="80">
        <f>IF($I554&gt;0,MAX(0,$G554*SIN(RADIANS('13_시나리오비교'!$B$11))*SIN(RADIANS('13_시나리오비교'!$C$11))+$H554*SIN(RADIANS('13_시나리오비교'!$B$11))*COS(RADIANS('13_시나리오비교'!$C$11))+$I554*COS(RADIANS('13_시나리오비교'!$B$11))),0)</f>
        <v/>
      </c>
      <c r="W554" s="80">
        <f>IF($I554&gt;0,MAX(0,$G554*SIN(RADIANS('13_시나리오비교'!$B$12))*SIN(RADIANS('13_시나리오비교'!$C$12))+$H554*SIN(RADIANS('13_시나리오비교'!$B$12))*COS(RADIANS('13_시나리오비교'!$C$12))+$I554*COS(RADIANS('13_시나리오비교'!$B$12))),0)</f>
        <v/>
      </c>
      <c r="X554" s="80">
        <f>IF($I554&gt;0,MAX(0,$G554*SIN(RADIANS('13_시나리오비교'!$B$13))*SIN(RADIANS('13_시나리오비교'!$C$13))+$H554*SIN(RADIANS('13_시나리오비교'!$B$13))*COS(RADIANS('13_시나리오비교'!$C$13))+$I554*COS(RADIANS('13_시나리오비교'!$B$13))),0)</f>
        <v/>
      </c>
      <c r="Y554" s="80">
        <f>IF($I554&gt;0,MAX(0,$G554*SIN(RADIANS('13_시나리오비교'!$B$14))*SIN(RADIANS('13_시나리오비교'!$C$14))+$H554*SIN(RADIANS('13_시나리오비교'!$B$14))*COS(RADIANS('13_시나리오비교'!$C$14))+$I554*COS(RADIANS('13_시나리오비교'!$B$14))),0)</f>
        <v/>
      </c>
    </row>
    <row r="555" hidden="1" outlineLevel="1">
      <c r="A555" s="79" t="n">
        <v>6</v>
      </c>
      <c r="B555" s="79" t="n">
        <v>55</v>
      </c>
      <c r="C555" s="80">
        <f>(B555-0.5)*'14_지역·상수'!$H$6</f>
        <v/>
      </c>
      <c r="D555" s="79" t="n">
        <v>162</v>
      </c>
      <c r="E555" s="80">
        <f>INDEX($C$4:$C$15,MATCH(A555,$A$4:$A$15,0))</f>
        <v/>
      </c>
      <c r="F555" s="80">
        <f>15*(C555-12)</f>
        <v/>
      </c>
      <c r="G555" s="80">
        <f>-COS(RADIANS(E555))*SIN(RADIANS(F555))</f>
        <v/>
      </c>
      <c r="H555" s="80">
        <f>COS(RADIANS('11_발전량_모델'!$B$17))*SIN(RADIANS(E555))-SIN(RADIANS('11_발전량_모델'!$B$17))*COS(RADIANS(E555))*COS(RADIANS(F555))</f>
        <v/>
      </c>
      <c r="I555" s="80">
        <f>SIN(RADIANS('11_발전량_모델'!$B$17))*SIN(RADIANS(E555))+COS(RADIANS('11_발전량_모델'!$B$17))*COS(RADIANS(E555))*COS(RADIANS(F555))</f>
        <v/>
      </c>
      <c r="J555" s="80">
        <f>SIN(RADIANS('11_발전량_모델'!$B$7))*SIN(RADIANS('11_발전량_모델'!$B$8))</f>
        <v/>
      </c>
      <c r="K555" s="80">
        <f>SIN(RADIANS('11_발전량_모델'!$B$7))*COS(RADIANS('11_발전량_모델'!$B$8))</f>
        <v/>
      </c>
      <c r="L555" s="80">
        <f>COS(RADIANS('11_발전량_모델'!$B$7))</f>
        <v/>
      </c>
      <c r="M555" s="80">
        <f>G555*J555+H555*K555+I555*L555</f>
        <v/>
      </c>
      <c r="N555" s="80">
        <f>MAX(0,I555)</f>
        <v/>
      </c>
      <c r="O555" s="80">
        <f>IF(I555&gt;0,MAX(0,M555),0)</f>
        <v/>
      </c>
      <c r="P555" s="80">
        <f>IF($I555&gt;0,MAX(0,$G555*SIN(RADIANS('13_시나리오비교'!$B$5))*SIN(RADIANS('13_시나리오비교'!$C$5))+$H555*SIN(RADIANS('13_시나리오비교'!$B$5))*COS(RADIANS('13_시나리오비교'!$C$5))+$I555*COS(RADIANS('13_시나리오비교'!$B$5))),0)</f>
        <v/>
      </c>
      <c r="Q555" s="80">
        <f>IF($I555&gt;0,MAX(0,$G555*SIN(RADIANS('13_시나리오비교'!$B$6))*SIN(RADIANS('13_시나리오비교'!$C$6))+$H555*SIN(RADIANS('13_시나리오비교'!$B$6))*COS(RADIANS('13_시나리오비교'!$C$6))+$I555*COS(RADIANS('13_시나리오비교'!$B$6))),0)</f>
        <v/>
      </c>
      <c r="R555" s="80">
        <f>IF($I555&gt;0,MAX(0,$G555*SIN(RADIANS('13_시나리오비교'!$B$7))*SIN(RADIANS('13_시나리오비교'!$C$7))+$H555*SIN(RADIANS('13_시나리오비교'!$B$7))*COS(RADIANS('13_시나리오비교'!$C$7))+$I555*COS(RADIANS('13_시나리오비교'!$B$7))),0)</f>
        <v/>
      </c>
      <c r="S555" s="80">
        <f>IF($I555&gt;0,MAX(0,$G555*SIN(RADIANS('13_시나리오비교'!$B$8))*SIN(RADIANS('13_시나리오비교'!$C$8))+$H555*SIN(RADIANS('13_시나리오비교'!$B$8))*COS(RADIANS('13_시나리오비교'!$C$8))+$I555*COS(RADIANS('13_시나리오비교'!$B$8))),0)</f>
        <v/>
      </c>
      <c r="T555" s="80">
        <f>IF($I555&gt;0,MAX(0,$G555*SIN(RADIANS('13_시나리오비교'!$B$9))*SIN(RADIANS('13_시나리오비교'!$C$9))+$H555*SIN(RADIANS('13_시나리오비교'!$B$9))*COS(RADIANS('13_시나리오비교'!$C$9))+$I555*COS(RADIANS('13_시나리오비교'!$B$9))),0)</f>
        <v/>
      </c>
      <c r="U555" s="80">
        <f>IF($I555&gt;0,MAX(0,$G555*SIN(RADIANS('13_시나리오비교'!$B$10))*SIN(RADIANS('13_시나리오비교'!$C$10))+$H555*SIN(RADIANS('13_시나리오비교'!$B$10))*COS(RADIANS('13_시나리오비교'!$C$10))+$I555*COS(RADIANS('13_시나리오비교'!$B$10))),0)</f>
        <v/>
      </c>
      <c r="V555" s="80">
        <f>IF($I555&gt;0,MAX(0,$G555*SIN(RADIANS('13_시나리오비교'!$B$11))*SIN(RADIANS('13_시나리오비교'!$C$11))+$H555*SIN(RADIANS('13_시나리오비교'!$B$11))*COS(RADIANS('13_시나리오비교'!$C$11))+$I555*COS(RADIANS('13_시나리오비교'!$B$11))),0)</f>
        <v/>
      </c>
      <c r="W555" s="80">
        <f>IF($I555&gt;0,MAX(0,$G555*SIN(RADIANS('13_시나리오비교'!$B$12))*SIN(RADIANS('13_시나리오비교'!$C$12))+$H555*SIN(RADIANS('13_시나리오비교'!$B$12))*COS(RADIANS('13_시나리오비교'!$C$12))+$I555*COS(RADIANS('13_시나리오비교'!$B$12))),0)</f>
        <v/>
      </c>
      <c r="X555" s="80">
        <f>IF($I555&gt;0,MAX(0,$G555*SIN(RADIANS('13_시나리오비교'!$B$13))*SIN(RADIANS('13_시나리오비교'!$C$13))+$H555*SIN(RADIANS('13_시나리오비교'!$B$13))*COS(RADIANS('13_시나리오비교'!$C$13))+$I555*COS(RADIANS('13_시나리오비교'!$B$13))),0)</f>
        <v/>
      </c>
      <c r="Y555" s="80">
        <f>IF($I555&gt;0,MAX(0,$G555*SIN(RADIANS('13_시나리오비교'!$B$14))*SIN(RADIANS('13_시나리오비교'!$C$14))+$H555*SIN(RADIANS('13_시나리오비교'!$B$14))*COS(RADIANS('13_시나리오비교'!$C$14))+$I555*COS(RADIANS('13_시나리오비교'!$B$14))),0)</f>
        <v/>
      </c>
    </row>
    <row r="556" hidden="1" outlineLevel="1">
      <c r="A556" s="79" t="n">
        <v>6</v>
      </c>
      <c r="B556" s="79" t="n">
        <v>56</v>
      </c>
      <c r="C556" s="80">
        <f>(B556-0.5)*'14_지역·상수'!$H$6</f>
        <v/>
      </c>
      <c r="D556" s="79" t="n">
        <v>162</v>
      </c>
      <c r="E556" s="80">
        <f>INDEX($C$4:$C$15,MATCH(A556,$A$4:$A$15,0))</f>
        <v/>
      </c>
      <c r="F556" s="80">
        <f>15*(C556-12)</f>
        <v/>
      </c>
      <c r="G556" s="80">
        <f>-COS(RADIANS(E556))*SIN(RADIANS(F556))</f>
        <v/>
      </c>
      <c r="H556" s="80">
        <f>COS(RADIANS('11_발전량_모델'!$B$17))*SIN(RADIANS(E556))-SIN(RADIANS('11_발전량_모델'!$B$17))*COS(RADIANS(E556))*COS(RADIANS(F556))</f>
        <v/>
      </c>
      <c r="I556" s="80">
        <f>SIN(RADIANS('11_발전량_모델'!$B$17))*SIN(RADIANS(E556))+COS(RADIANS('11_발전량_모델'!$B$17))*COS(RADIANS(E556))*COS(RADIANS(F556))</f>
        <v/>
      </c>
      <c r="J556" s="80">
        <f>SIN(RADIANS('11_발전량_모델'!$B$7))*SIN(RADIANS('11_발전량_모델'!$B$8))</f>
        <v/>
      </c>
      <c r="K556" s="80">
        <f>SIN(RADIANS('11_발전량_모델'!$B$7))*COS(RADIANS('11_발전량_모델'!$B$8))</f>
        <v/>
      </c>
      <c r="L556" s="80">
        <f>COS(RADIANS('11_발전량_모델'!$B$7))</f>
        <v/>
      </c>
      <c r="M556" s="80">
        <f>G556*J556+H556*K556+I556*L556</f>
        <v/>
      </c>
      <c r="N556" s="80">
        <f>MAX(0,I556)</f>
        <v/>
      </c>
      <c r="O556" s="80">
        <f>IF(I556&gt;0,MAX(0,M556),0)</f>
        <v/>
      </c>
      <c r="P556" s="80">
        <f>IF($I556&gt;0,MAX(0,$G556*SIN(RADIANS('13_시나리오비교'!$B$5))*SIN(RADIANS('13_시나리오비교'!$C$5))+$H556*SIN(RADIANS('13_시나리오비교'!$B$5))*COS(RADIANS('13_시나리오비교'!$C$5))+$I556*COS(RADIANS('13_시나리오비교'!$B$5))),0)</f>
        <v/>
      </c>
      <c r="Q556" s="80">
        <f>IF($I556&gt;0,MAX(0,$G556*SIN(RADIANS('13_시나리오비교'!$B$6))*SIN(RADIANS('13_시나리오비교'!$C$6))+$H556*SIN(RADIANS('13_시나리오비교'!$B$6))*COS(RADIANS('13_시나리오비교'!$C$6))+$I556*COS(RADIANS('13_시나리오비교'!$B$6))),0)</f>
        <v/>
      </c>
      <c r="R556" s="80">
        <f>IF($I556&gt;0,MAX(0,$G556*SIN(RADIANS('13_시나리오비교'!$B$7))*SIN(RADIANS('13_시나리오비교'!$C$7))+$H556*SIN(RADIANS('13_시나리오비교'!$B$7))*COS(RADIANS('13_시나리오비교'!$C$7))+$I556*COS(RADIANS('13_시나리오비교'!$B$7))),0)</f>
        <v/>
      </c>
      <c r="S556" s="80">
        <f>IF($I556&gt;0,MAX(0,$G556*SIN(RADIANS('13_시나리오비교'!$B$8))*SIN(RADIANS('13_시나리오비교'!$C$8))+$H556*SIN(RADIANS('13_시나리오비교'!$B$8))*COS(RADIANS('13_시나리오비교'!$C$8))+$I556*COS(RADIANS('13_시나리오비교'!$B$8))),0)</f>
        <v/>
      </c>
      <c r="T556" s="80">
        <f>IF($I556&gt;0,MAX(0,$G556*SIN(RADIANS('13_시나리오비교'!$B$9))*SIN(RADIANS('13_시나리오비교'!$C$9))+$H556*SIN(RADIANS('13_시나리오비교'!$B$9))*COS(RADIANS('13_시나리오비교'!$C$9))+$I556*COS(RADIANS('13_시나리오비교'!$B$9))),0)</f>
        <v/>
      </c>
      <c r="U556" s="80">
        <f>IF($I556&gt;0,MAX(0,$G556*SIN(RADIANS('13_시나리오비교'!$B$10))*SIN(RADIANS('13_시나리오비교'!$C$10))+$H556*SIN(RADIANS('13_시나리오비교'!$B$10))*COS(RADIANS('13_시나리오비교'!$C$10))+$I556*COS(RADIANS('13_시나리오비교'!$B$10))),0)</f>
        <v/>
      </c>
      <c r="V556" s="80">
        <f>IF($I556&gt;0,MAX(0,$G556*SIN(RADIANS('13_시나리오비교'!$B$11))*SIN(RADIANS('13_시나리오비교'!$C$11))+$H556*SIN(RADIANS('13_시나리오비교'!$B$11))*COS(RADIANS('13_시나리오비교'!$C$11))+$I556*COS(RADIANS('13_시나리오비교'!$B$11))),0)</f>
        <v/>
      </c>
      <c r="W556" s="80">
        <f>IF($I556&gt;0,MAX(0,$G556*SIN(RADIANS('13_시나리오비교'!$B$12))*SIN(RADIANS('13_시나리오비교'!$C$12))+$H556*SIN(RADIANS('13_시나리오비교'!$B$12))*COS(RADIANS('13_시나리오비교'!$C$12))+$I556*COS(RADIANS('13_시나리오비교'!$B$12))),0)</f>
        <v/>
      </c>
      <c r="X556" s="80">
        <f>IF($I556&gt;0,MAX(0,$G556*SIN(RADIANS('13_시나리오비교'!$B$13))*SIN(RADIANS('13_시나리오비교'!$C$13))+$H556*SIN(RADIANS('13_시나리오비교'!$B$13))*COS(RADIANS('13_시나리오비교'!$C$13))+$I556*COS(RADIANS('13_시나리오비교'!$B$13))),0)</f>
        <v/>
      </c>
      <c r="Y556" s="80">
        <f>IF($I556&gt;0,MAX(0,$G556*SIN(RADIANS('13_시나리오비교'!$B$14))*SIN(RADIANS('13_시나리오비교'!$C$14))+$H556*SIN(RADIANS('13_시나리오비교'!$B$14))*COS(RADIANS('13_시나리오비교'!$C$14))+$I556*COS(RADIANS('13_시나리오비교'!$B$14))),0)</f>
        <v/>
      </c>
    </row>
    <row r="557" hidden="1" outlineLevel="1">
      <c r="A557" s="79" t="n">
        <v>6</v>
      </c>
      <c r="B557" s="79" t="n">
        <v>57</v>
      </c>
      <c r="C557" s="80">
        <f>(B557-0.5)*'14_지역·상수'!$H$6</f>
        <v/>
      </c>
      <c r="D557" s="79" t="n">
        <v>162</v>
      </c>
      <c r="E557" s="80">
        <f>INDEX($C$4:$C$15,MATCH(A557,$A$4:$A$15,0))</f>
        <v/>
      </c>
      <c r="F557" s="80">
        <f>15*(C557-12)</f>
        <v/>
      </c>
      <c r="G557" s="80">
        <f>-COS(RADIANS(E557))*SIN(RADIANS(F557))</f>
        <v/>
      </c>
      <c r="H557" s="80">
        <f>COS(RADIANS('11_발전량_모델'!$B$17))*SIN(RADIANS(E557))-SIN(RADIANS('11_발전량_모델'!$B$17))*COS(RADIANS(E557))*COS(RADIANS(F557))</f>
        <v/>
      </c>
      <c r="I557" s="80">
        <f>SIN(RADIANS('11_발전량_모델'!$B$17))*SIN(RADIANS(E557))+COS(RADIANS('11_발전량_모델'!$B$17))*COS(RADIANS(E557))*COS(RADIANS(F557))</f>
        <v/>
      </c>
      <c r="J557" s="80">
        <f>SIN(RADIANS('11_발전량_모델'!$B$7))*SIN(RADIANS('11_발전량_모델'!$B$8))</f>
        <v/>
      </c>
      <c r="K557" s="80">
        <f>SIN(RADIANS('11_발전량_모델'!$B$7))*COS(RADIANS('11_발전량_모델'!$B$8))</f>
        <v/>
      </c>
      <c r="L557" s="80">
        <f>COS(RADIANS('11_발전량_모델'!$B$7))</f>
        <v/>
      </c>
      <c r="M557" s="80">
        <f>G557*J557+H557*K557+I557*L557</f>
        <v/>
      </c>
      <c r="N557" s="80">
        <f>MAX(0,I557)</f>
        <v/>
      </c>
      <c r="O557" s="80">
        <f>IF(I557&gt;0,MAX(0,M557),0)</f>
        <v/>
      </c>
      <c r="P557" s="80">
        <f>IF($I557&gt;0,MAX(0,$G557*SIN(RADIANS('13_시나리오비교'!$B$5))*SIN(RADIANS('13_시나리오비교'!$C$5))+$H557*SIN(RADIANS('13_시나리오비교'!$B$5))*COS(RADIANS('13_시나리오비교'!$C$5))+$I557*COS(RADIANS('13_시나리오비교'!$B$5))),0)</f>
        <v/>
      </c>
      <c r="Q557" s="80">
        <f>IF($I557&gt;0,MAX(0,$G557*SIN(RADIANS('13_시나리오비교'!$B$6))*SIN(RADIANS('13_시나리오비교'!$C$6))+$H557*SIN(RADIANS('13_시나리오비교'!$B$6))*COS(RADIANS('13_시나리오비교'!$C$6))+$I557*COS(RADIANS('13_시나리오비교'!$B$6))),0)</f>
        <v/>
      </c>
      <c r="R557" s="80">
        <f>IF($I557&gt;0,MAX(0,$G557*SIN(RADIANS('13_시나리오비교'!$B$7))*SIN(RADIANS('13_시나리오비교'!$C$7))+$H557*SIN(RADIANS('13_시나리오비교'!$B$7))*COS(RADIANS('13_시나리오비교'!$C$7))+$I557*COS(RADIANS('13_시나리오비교'!$B$7))),0)</f>
        <v/>
      </c>
      <c r="S557" s="80">
        <f>IF($I557&gt;0,MAX(0,$G557*SIN(RADIANS('13_시나리오비교'!$B$8))*SIN(RADIANS('13_시나리오비교'!$C$8))+$H557*SIN(RADIANS('13_시나리오비교'!$B$8))*COS(RADIANS('13_시나리오비교'!$C$8))+$I557*COS(RADIANS('13_시나리오비교'!$B$8))),0)</f>
        <v/>
      </c>
      <c r="T557" s="80">
        <f>IF($I557&gt;0,MAX(0,$G557*SIN(RADIANS('13_시나리오비교'!$B$9))*SIN(RADIANS('13_시나리오비교'!$C$9))+$H557*SIN(RADIANS('13_시나리오비교'!$B$9))*COS(RADIANS('13_시나리오비교'!$C$9))+$I557*COS(RADIANS('13_시나리오비교'!$B$9))),0)</f>
        <v/>
      </c>
      <c r="U557" s="80">
        <f>IF($I557&gt;0,MAX(0,$G557*SIN(RADIANS('13_시나리오비교'!$B$10))*SIN(RADIANS('13_시나리오비교'!$C$10))+$H557*SIN(RADIANS('13_시나리오비교'!$B$10))*COS(RADIANS('13_시나리오비교'!$C$10))+$I557*COS(RADIANS('13_시나리오비교'!$B$10))),0)</f>
        <v/>
      </c>
      <c r="V557" s="80">
        <f>IF($I557&gt;0,MAX(0,$G557*SIN(RADIANS('13_시나리오비교'!$B$11))*SIN(RADIANS('13_시나리오비교'!$C$11))+$H557*SIN(RADIANS('13_시나리오비교'!$B$11))*COS(RADIANS('13_시나리오비교'!$C$11))+$I557*COS(RADIANS('13_시나리오비교'!$B$11))),0)</f>
        <v/>
      </c>
      <c r="W557" s="80">
        <f>IF($I557&gt;0,MAX(0,$G557*SIN(RADIANS('13_시나리오비교'!$B$12))*SIN(RADIANS('13_시나리오비교'!$C$12))+$H557*SIN(RADIANS('13_시나리오비교'!$B$12))*COS(RADIANS('13_시나리오비교'!$C$12))+$I557*COS(RADIANS('13_시나리오비교'!$B$12))),0)</f>
        <v/>
      </c>
      <c r="X557" s="80">
        <f>IF($I557&gt;0,MAX(0,$G557*SIN(RADIANS('13_시나리오비교'!$B$13))*SIN(RADIANS('13_시나리오비교'!$C$13))+$H557*SIN(RADIANS('13_시나리오비교'!$B$13))*COS(RADIANS('13_시나리오비교'!$C$13))+$I557*COS(RADIANS('13_시나리오비교'!$B$13))),0)</f>
        <v/>
      </c>
      <c r="Y557" s="80">
        <f>IF($I557&gt;0,MAX(0,$G557*SIN(RADIANS('13_시나리오비교'!$B$14))*SIN(RADIANS('13_시나리오비교'!$C$14))+$H557*SIN(RADIANS('13_시나리오비교'!$B$14))*COS(RADIANS('13_시나리오비교'!$C$14))+$I557*COS(RADIANS('13_시나리오비교'!$B$14))),0)</f>
        <v/>
      </c>
    </row>
    <row r="558" hidden="1" outlineLevel="1">
      <c r="A558" s="79" t="n">
        <v>6</v>
      </c>
      <c r="B558" s="79" t="n">
        <v>58</v>
      </c>
      <c r="C558" s="80">
        <f>(B558-0.5)*'14_지역·상수'!$H$6</f>
        <v/>
      </c>
      <c r="D558" s="79" t="n">
        <v>162</v>
      </c>
      <c r="E558" s="80">
        <f>INDEX($C$4:$C$15,MATCH(A558,$A$4:$A$15,0))</f>
        <v/>
      </c>
      <c r="F558" s="80">
        <f>15*(C558-12)</f>
        <v/>
      </c>
      <c r="G558" s="80">
        <f>-COS(RADIANS(E558))*SIN(RADIANS(F558))</f>
        <v/>
      </c>
      <c r="H558" s="80">
        <f>COS(RADIANS('11_발전량_모델'!$B$17))*SIN(RADIANS(E558))-SIN(RADIANS('11_발전량_모델'!$B$17))*COS(RADIANS(E558))*COS(RADIANS(F558))</f>
        <v/>
      </c>
      <c r="I558" s="80">
        <f>SIN(RADIANS('11_발전량_모델'!$B$17))*SIN(RADIANS(E558))+COS(RADIANS('11_발전량_모델'!$B$17))*COS(RADIANS(E558))*COS(RADIANS(F558))</f>
        <v/>
      </c>
      <c r="J558" s="80">
        <f>SIN(RADIANS('11_발전량_모델'!$B$7))*SIN(RADIANS('11_발전량_모델'!$B$8))</f>
        <v/>
      </c>
      <c r="K558" s="80">
        <f>SIN(RADIANS('11_발전량_모델'!$B$7))*COS(RADIANS('11_발전량_모델'!$B$8))</f>
        <v/>
      </c>
      <c r="L558" s="80">
        <f>COS(RADIANS('11_발전량_모델'!$B$7))</f>
        <v/>
      </c>
      <c r="M558" s="80">
        <f>G558*J558+H558*K558+I558*L558</f>
        <v/>
      </c>
      <c r="N558" s="80">
        <f>MAX(0,I558)</f>
        <v/>
      </c>
      <c r="O558" s="80">
        <f>IF(I558&gt;0,MAX(0,M558),0)</f>
        <v/>
      </c>
      <c r="P558" s="80">
        <f>IF($I558&gt;0,MAX(0,$G558*SIN(RADIANS('13_시나리오비교'!$B$5))*SIN(RADIANS('13_시나리오비교'!$C$5))+$H558*SIN(RADIANS('13_시나리오비교'!$B$5))*COS(RADIANS('13_시나리오비교'!$C$5))+$I558*COS(RADIANS('13_시나리오비교'!$B$5))),0)</f>
        <v/>
      </c>
      <c r="Q558" s="80">
        <f>IF($I558&gt;0,MAX(0,$G558*SIN(RADIANS('13_시나리오비교'!$B$6))*SIN(RADIANS('13_시나리오비교'!$C$6))+$H558*SIN(RADIANS('13_시나리오비교'!$B$6))*COS(RADIANS('13_시나리오비교'!$C$6))+$I558*COS(RADIANS('13_시나리오비교'!$B$6))),0)</f>
        <v/>
      </c>
      <c r="R558" s="80">
        <f>IF($I558&gt;0,MAX(0,$G558*SIN(RADIANS('13_시나리오비교'!$B$7))*SIN(RADIANS('13_시나리오비교'!$C$7))+$H558*SIN(RADIANS('13_시나리오비교'!$B$7))*COS(RADIANS('13_시나리오비교'!$C$7))+$I558*COS(RADIANS('13_시나리오비교'!$B$7))),0)</f>
        <v/>
      </c>
      <c r="S558" s="80">
        <f>IF($I558&gt;0,MAX(0,$G558*SIN(RADIANS('13_시나리오비교'!$B$8))*SIN(RADIANS('13_시나리오비교'!$C$8))+$H558*SIN(RADIANS('13_시나리오비교'!$B$8))*COS(RADIANS('13_시나리오비교'!$C$8))+$I558*COS(RADIANS('13_시나리오비교'!$B$8))),0)</f>
        <v/>
      </c>
      <c r="T558" s="80">
        <f>IF($I558&gt;0,MAX(0,$G558*SIN(RADIANS('13_시나리오비교'!$B$9))*SIN(RADIANS('13_시나리오비교'!$C$9))+$H558*SIN(RADIANS('13_시나리오비교'!$B$9))*COS(RADIANS('13_시나리오비교'!$C$9))+$I558*COS(RADIANS('13_시나리오비교'!$B$9))),0)</f>
        <v/>
      </c>
      <c r="U558" s="80">
        <f>IF($I558&gt;0,MAX(0,$G558*SIN(RADIANS('13_시나리오비교'!$B$10))*SIN(RADIANS('13_시나리오비교'!$C$10))+$H558*SIN(RADIANS('13_시나리오비교'!$B$10))*COS(RADIANS('13_시나리오비교'!$C$10))+$I558*COS(RADIANS('13_시나리오비교'!$B$10))),0)</f>
        <v/>
      </c>
      <c r="V558" s="80">
        <f>IF($I558&gt;0,MAX(0,$G558*SIN(RADIANS('13_시나리오비교'!$B$11))*SIN(RADIANS('13_시나리오비교'!$C$11))+$H558*SIN(RADIANS('13_시나리오비교'!$B$11))*COS(RADIANS('13_시나리오비교'!$C$11))+$I558*COS(RADIANS('13_시나리오비교'!$B$11))),0)</f>
        <v/>
      </c>
      <c r="W558" s="80">
        <f>IF($I558&gt;0,MAX(0,$G558*SIN(RADIANS('13_시나리오비교'!$B$12))*SIN(RADIANS('13_시나리오비교'!$C$12))+$H558*SIN(RADIANS('13_시나리오비교'!$B$12))*COS(RADIANS('13_시나리오비교'!$C$12))+$I558*COS(RADIANS('13_시나리오비교'!$B$12))),0)</f>
        <v/>
      </c>
      <c r="X558" s="80">
        <f>IF($I558&gt;0,MAX(0,$G558*SIN(RADIANS('13_시나리오비교'!$B$13))*SIN(RADIANS('13_시나리오비교'!$C$13))+$H558*SIN(RADIANS('13_시나리오비교'!$B$13))*COS(RADIANS('13_시나리오비교'!$C$13))+$I558*COS(RADIANS('13_시나리오비교'!$B$13))),0)</f>
        <v/>
      </c>
      <c r="Y558" s="80">
        <f>IF($I558&gt;0,MAX(0,$G558*SIN(RADIANS('13_시나리오비교'!$B$14))*SIN(RADIANS('13_시나리오비교'!$C$14))+$H558*SIN(RADIANS('13_시나리오비교'!$B$14))*COS(RADIANS('13_시나리오비교'!$C$14))+$I558*COS(RADIANS('13_시나리오비교'!$B$14))),0)</f>
        <v/>
      </c>
    </row>
    <row r="559" hidden="1" outlineLevel="1">
      <c r="A559" s="79" t="n">
        <v>6</v>
      </c>
      <c r="B559" s="79" t="n">
        <v>59</v>
      </c>
      <c r="C559" s="80">
        <f>(B559-0.5)*'14_지역·상수'!$H$6</f>
        <v/>
      </c>
      <c r="D559" s="79" t="n">
        <v>162</v>
      </c>
      <c r="E559" s="80">
        <f>INDEX($C$4:$C$15,MATCH(A559,$A$4:$A$15,0))</f>
        <v/>
      </c>
      <c r="F559" s="80">
        <f>15*(C559-12)</f>
        <v/>
      </c>
      <c r="G559" s="80">
        <f>-COS(RADIANS(E559))*SIN(RADIANS(F559))</f>
        <v/>
      </c>
      <c r="H559" s="80">
        <f>COS(RADIANS('11_발전량_모델'!$B$17))*SIN(RADIANS(E559))-SIN(RADIANS('11_발전량_모델'!$B$17))*COS(RADIANS(E559))*COS(RADIANS(F559))</f>
        <v/>
      </c>
      <c r="I559" s="80">
        <f>SIN(RADIANS('11_발전량_모델'!$B$17))*SIN(RADIANS(E559))+COS(RADIANS('11_발전량_모델'!$B$17))*COS(RADIANS(E559))*COS(RADIANS(F559))</f>
        <v/>
      </c>
      <c r="J559" s="80">
        <f>SIN(RADIANS('11_발전량_모델'!$B$7))*SIN(RADIANS('11_발전량_모델'!$B$8))</f>
        <v/>
      </c>
      <c r="K559" s="80">
        <f>SIN(RADIANS('11_발전량_모델'!$B$7))*COS(RADIANS('11_발전량_모델'!$B$8))</f>
        <v/>
      </c>
      <c r="L559" s="80">
        <f>COS(RADIANS('11_발전량_모델'!$B$7))</f>
        <v/>
      </c>
      <c r="M559" s="80">
        <f>G559*J559+H559*K559+I559*L559</f>
        <v/>
      </c>
      <c r="N559" s="80">
        <f>MAX(0,I559)</f>
        <v/>
      </c>
      <c r="O559" s="80">
        <f>IF(I559&gt;0,MAX(0,M559),0)</f>
        <v/>
      </c>
      <c r="P559" s="80">
        <f>IF($I559&gt;0,MAX(0,$G559*SIN(RADIANS('13_시나리오비교'!$B$5))*SIN(RADIANS('13_시나리오비교'!$C$5))+$H559*SIN(RADIANS('13_시나리오비교'!$B$5))*COS(RADIANS('13_시나리오비교'!$C$5))+$I559*COS(RADIANS('13_시나리오비교'!$B$5))),0)</f>
        <v/>
      </c>
      <c r="Q559" s="80">
        <f>IF($I559&gt;0,MAX(0,$G559*SIN(RADIANS('13_시나리오비교'!$B$6))*SIN(RADIANS('13_시나리오비교'!$C$6))+$H559*SIN(RADIANS('13_시나리오비교'!$B$6))*COS(RADIANS('13_시나리오비교'!$C$6))+$I559*COS(RADIANS('13_시나리오비교'!$B$6))),0)</f>
        <v/>
      </c>
      <c r="R559" s="80">
        <f>IF($I559&gt;0,MAX(0,$G559*SIN(RADIANS('13_시나리오비교'!$B$7))*SIN(RADIANS('13_시나리오비교'!$C$7))+$H559*SIN(RADIANS('13_시나리오비교'!$B$7))*COS(RADIANS('13_시나리오비교'!$C$7))+$I559*COS(RADIANS('13_시나리오비교'!$B$7))),0)</f>
        <v/>
      </c>
      <c r="S559" s="80">
        <f>IF($I559&gt;0,MAX(0,$G559*SIN(RADIANS('13_시나리오비교'!$B$8))*SIN(RADIANS('13_시나리오비교'!$C$8))+$H559*SIN(RADIANS('13_시나리오비교'!$B$8))*COS(RADIANS('13_시나리오비교'!$C$8))+$I559*COS(RADIANS('13_시나리오비교'!$B$8))),0)</f>
        <v/>
      </c>
      <c r="T559" s="80">
        <f>IF($I559&gt;0,MAX(0,$G559*SIN(RADIANS('13_시나리오비교'!$B$9))*SIN(RADIANS('13_시나리오비교'!$C$9))+$H559*SIN(RADIANS('13_시나리오비교'!$B$9))*COS(RADIANS('13_시나리오비교'!$C$9))+$I559*COS(RADIANS('13_시나리오비교'!$B$9))),0)</f>
        <v/>
      </c>
      <c r="U559" s="80">
        <f>IF($I559&gt;0,MAX(0,$G559*SIN(RADIANS('13_시나리오비교'!$B$10))*SIN(RADIANS('13_시나리오비교'!$C$10))+$H559*SIN(RADIANS('13_시나리오비교'!$B$10))*COS(RADIANS('13_시나리오비교'!$C$10))+$I559*COS(RADIANS('13_시나리오비교'!$B$10))),0)</f>
        <v/>
      </c>
      <c r="V559" s="80">
        <f>IF($I559&gt;0,MAX(0,$G559*SIN(RADIANS('13_시나리오비교'!$B$11))*SIN(RADIANS('13_시나리오비교'!$C$11))+$H559*SIN(RADIANS('13_시나리오비교'!$B$11))*COS(RADIANS('13_시나리오비교'!$C$11))+$I559*COS(RADIANS('13_시나리오비교'!$B$11))),0)</f>
        <v/>
      </c>
      <c r="W559" s="80">
        <f>IF($I559&gt;0,MAX(0,$G559*SIN(RADIANS('13_시나리오비교'!$B$12))*SIN(RADIANS('13_시나리오비교'!$C$12))+$H559*SIN(RADIANS('13_시나리오비교'!$B$12))*COS(RADIANS('13_시나리오비교'!$C$12))+$I559*COS(RADIANS('13_시나리오비교'!$B$12))),0)</f>
        <v/>
      </c>
      <c r="X559" s="80">
        <f>IF($I559&gt;0,MAX(0,$G559*SIN(RADIANS('13_시나리오비교'!$B$13))*SIN(RADIANS('13_시나리오비교'!$C$13))+$H559*SIN(RADIANS('13_시나리오비교'!$B$13))*COS(RADIANS('13_시나리오비교'!$C$13))+$I559*COS(RADIANS('13_시나리오비교'!$B$13))),0)</f>
        <v/>
      </c>
      <c r="Y559" s="80">
        <f>IF($I559&gt;0,MAX(0,$G559*SIN(RADIANS('13_시나리오비교'!$B$14))*SIN(RADIANS('13_시나리오비교'!$C$14))+$H559*SIN(RADIANS('13_시나리오비교'!$B$14))*COS(RADIANS('13_시나리오비교'!$C$14))+$I559*COS(RADIANS('13_시나리오비교'!$B$14))),0)</f>
        <v/>
      </c>
    </row>
    <row r="560" hidden="1" outlineLevel="1">
      <c r="A560" s="79" t="n">
        <v>6</v>
      </c>
      <c r="B560" s="79" t="n">
        <v>60</v>
      </c>
      <c r="C560" s="80">
        <f>(B560-0.5)*'14_지역·상수'!$H$6</f>
        <v/>
      </c>
      <c r="D560" s="79" t="n">
        <v>162</v>
      </c>
      <c r="E560" s="80">
        <f>INDEX($C$4:$C$15,MATCH(A560,$A$4:$A$15,0))</f>
        <v/>
      </c>
      <c r="F560" s="80">
        <f>15*(C560-12)</f>
        <v/>
      </c>
      <c r="G560" s="80">
        <f>-COS(RADIANS(E560))*SIN(RADIANS(F560))</f>
        <v/>
      </c>
      <c r="H560" s="80">
        <f>COS(RADIANS('11_발전량_모델'!$B$17))*SIN(RADIANS(E560))-SIN(RADIANS('11_발전량_모델'!$B$17))*COS(RADIANS(E560))*COS(RADIANS(F560))</f>
        <v/>
      </c>
      <c r="I560" s="80">
        <f>SIN(RADIANS('11_발전량_모델'!$B$17))*SIN(RADIANS(E560))+COS(RADIANS('11_발전량_모델'!$B$17))*COS(RADIANS(E560))*COS(RADIANS(F560))</f>
        <v/>
      </c>
      <c r="J560" s="80">
        <f>SIN(RADIANS('11_발전량_모델'!$B$7))*SIN(RADIANS('11_발전량_모델'!$B$8))</f>
        <v/>
      </c>
      <c r="K560" s="80">
        <f>SIN(RADIANS('11_발전량_모델'!$B$7))*COS(RADIANS('11_발전량_모델'!$B$8))</f>
        <v/>
      </c>
      <c r="L560" s="80">
        <f>COS(RADIANS('11_발전량_모델'!$B$7))</f>
        <v/>
      </c>
      <c r="M560" s="80">
        <f>G560*J560+H560*K560+I560*L560</f>
        <v/>
      </c>
      <c r="N560" s="80">
        <f>MAX(0,I560)</f>
        <v/>
      </c>
      <c r="O560" s="80">
        <f>IF(I560&gt;0,MAX(0,M560),0)</f>
        <v/>
      </c>
      <c r="P560" s="80">
        <f>IF($I560&gt;0,MAX(0,$G560*SIN(RADIANS('13_시나리오비교'!$B$5))*SIN(RADIANS('13_시나리오비교'!$C$5))+$H560*SIN(RADIANS('13_시나리오비교'!$B$5))*COS(RADIANS('13_시나리오비교'!$C$5))+$I560*COS(RADIANS('13_시나리오비교'!$B$5))),0)</f>
        <v/>
      </c>
      <c r="Q560" s="80">
        <f>IF($I560&gt;0,MAX(0,$G560*SIN(RADIANS('13_시나리오비교'!$B$6))*SIN(RADIANS('13_시나리오비교'!$C$6))+$H560*SIN(RADIANS('13_시나리오비교'!$B$6))*COS(RADIANS('13_시나리오비교'!$C$6))+$I560*COS(RADIANS('13_시나리오비교'!$B$6))),0)</f>
        <v/>
      </c>
      <c r="R560" s="80">
        <f>IF($I560&gt;0,MAX(0,$G560*SIN(RADIANS('13_시나리오비교'!$B$7))*SIN(RADIANS('13_시나리오비교'!$C$7))+$H560*SIN(RADIANS('13_시나리오비교'!$B$7))*COS(RADIANS('13_시나리오비교'!$C$7))+$I560*COS(RADIANS('13_시나리오비교'!$B$7))),0)</f>
        <v/>
      </c>
      <c r="S560" s="80">
        <f>IF($I560&gt;0,MAX(0,$G560*SIN(RADIANS('13_시나리오비교'!$B$8))*SIN(RADIANS('13_시나리오비교'!$C$8))+$H560*SIN(RADIANS('13_시나리오비교'!$B$8))*COS(RADIANS('13_시나리오비교'!$C$8))+$I560*COS(RADIANS('13_시나리오비교'!$B$8))),0)</f>
        <v/>
      </c>
      <c r="T560" s="80">
        <f>IF($I560&gt;0,MAX(0,$G560*SIN(RADIANS('13_시나리오비교'!$B$9))*SIN(RADIANS('13_시나리오비교'!$C$9))+$H560*SIN(RADIANS('13_시나리오비교'!$B$9))*COS(RADIANS('13_시나리오비교'!$C$9))+$I560*COS(RADIANS('13_시나리오비교'!$B$9))),0)</f>
        <v/>
      </c>
      <c r="U560" s="80">
        <f>IF($I560&gt;0,MAX(0,$G560*SIN(RADIANS('13_시나리오비교'!$B$10))*SIN(RADIANS('13_시나리오비교'!$C$10))+$H560*SIN(RADIANS('13_시나리오비교'!$B$10))*COS(RADIANS('13_시나리오비교'!$C$10))+$I560*COS(RADIANS('13_시나리오비교'!$B$10))),0)</f>
        <v/>
      </c>
      <c r="V560" s="80">
        <f>IF($I560&gt;0,MAX(0,$G560*SIN(RADIANS('13_시나리오비교'!$B$11))*SIN(RADIANS('13_시나리오비교'!$C$11))+$H560*SIN(RADIANS('13_시나리오비교'!$B$11))*COS(RADIANS('13_시나리오비교'!$C$11))+$I560*COS(RADIANS('13_시나리오비교'!$B$11))),0)</f>
        <v/>
      </c>
      <c r="W560" s="80">
        <f>IF($I560&gt;0,MAX(0,$G560*SIN(RADIANS('13_시나리오비교'!$B$12))*SIN(RADIANS('13_시나리오비교'!$C$12))+$H560*SIN(RADIANS('13_시나리오비교'!$B$12))*COS(RADIANS('13_시나리오비교'!$C$12))+$I560*COS(RADIANS('13_시나리오비교'!$B$12))),0)</f>
        <v/>
      </c>
      <c r="X560" s="80">
        <f>IF($I560&gt;0,MAX(0,$G560*SIN(RADIANS('13_시나리오비교'!$B$13))*SIN(RADIANS('13_시나리오비교'!$C$13))+$H560*SIN(RADIANS('13_시나리오비교'!$B$13))*COS(RADIANS('13_시나리오비교'!$C$13))+$I560*COS(RADIANS('13_시나리오비교'!$B$13))),0)</f>
        <v/>
      </c>
      <c r="Y560" s="80">
        <f>IF($I560&gt;0,MAX(0,$G560*SIN(RADIANS('13_시나리오비교'!$B$14))*SIN(RADIANS('13_시나리오비교'!$C$14))+$H560*SIN(RADIANS('13_시나리오비교'!$B$14))*COS(RADIANS('13_시나리오비교'!$C$14))+$I560*COS(RADIANS('13_시나리오비교'!$B$14))),0)</f>
        <v/>
      </c>
    </row>
    <row r="561" hidden="1" outlineLevel="1">
      <c r="A561" s="79" t="n">
        <v>6</v>
      </c>
      <c r="B561" s="79" t="n">
        <v>61</v>
      </c>
      <c r="C561" s="80">
        <f>(B561-0.5)*'14_지역·상수'!$H$6</f>
        <v/>
      </c>
      <c r="D561" s="79" t="n">
        <v>162</v>
      </c>
      <c r="E561" s="80">
        <f>INDEX($C$4:$C$15,MATCH(A561,$A$4:$A$15,0))</f>
        <v/>
      </c>
      <c r="F561" s="80">
        <f>15*(C561-12)</f>
        <v/>
      </c>
      <c r="G561" s="80">
        <f>-COS(RADIANS(E561))*SIN(RADIANS(F561))</f>
        <v/>
      </c>
      <c r="H561" s="80">
        <f>COS(RADIANS('11_발전량_모델'!$B$17))*SIN(RADIANS(E561))-SIN(RADIANS('11_발전량_모델'!$B$17))*COS(RADIANS(E561))*COS(RADIANS(F561))</f>
        <v/>
      </c>
      <c r="I561" s="80">
        <f>SIN(RADIANS('11_발전량_모델'!$B$17))*SIN(RADIANS(E561))+COS(RADIANS('11_발전량_모델'!$B$17))*COS(RADIANS(E561))*COS(RADIANS(F561))</f>
        <v/>
      </c>
      <c r="J561" s="80">
        <f>SIN(RADIANS('11_발전량_모델'!$B$7))*SIN(RADIANS('11_발전량_모델'!$B$8))</f>
        <v/>
      </c>
      <c r="K561" s="80">
        <f>SIN(RADIANS('11_발전량_모델'!$B$7))*COS(RADIANS('11_발전량_모델'!$B$8))</f>
        <v/>
      </c>
      <c r="L561" s="80">
        <f>COS(RADIANS('11_발전량_모델'!$B$7))</f>
        <v/>
      </c>
      <c r="M561" s="80">
        <f>G561*J561+H561*K561+I561*L561</f>
        <v/>
      </c>
      <c r="N561" s="80">
        <f>MAX(0,I561)</f>
        <v/>
      </c>
      <c r="O561" s="80">
        <f>IF(I561&gt;0,MAX(0,M561),0)</f>
        <v/>
      </c>
      <c r="P561" s="80">
        <f>IF($I561&gt;0,MAX(0,$G561*SIN(RADIANS('13_시나리오비교'!$B$5))*SIN(RADIANS('13_시나리오비교'!$C$5))+$H561*SIN(RADIANS('13_시나리오비교'!$B$5))*COS(RADIANS('13_시나리오비교'!$C$5))+$I561*COS(RADIANS('13_시나리오비교'!$B$5))),0)</f>
        <v/>
      </c>
      <c r="Q561" s="80">
        <f>IF($I561&gt;0,MAX(0,$G561*SIN(RADIANS('13_시나리오비교'!$B$6))*SIN(RADIANS('13_시나리오비교'!$C$6))+$H561*SIN(RADIANS('13_시나리오비교'!$B$6))*COS(RADIANS('13_시나리오비교'!$C$6))+$I561*COS(RADIANS('13_시나리오비교'!$B$6))),0)</f>
        <v/>
      </c>
      <c r="R561" s="80">
        <f>IF($I561&gt;0,MAX(0,$G561*SIN(RADIANS('13_시나리오비교'!$B$7))*SIN(RADIANS('13_시나리오비교'!$C$7))+$H561*SIN(RADIANS('13_시나리오비교'!$B$7))*COS(RADIANS('13_시나리오비교'!$C$7))+$I561*COS(RADIANS('13_시나리오비교'!$B$7))),0)</f>
        <v/>
      </c>
      <c r="S561" s="80">
        <f>IF($I561&gt;0,MAX(0,$G561*SIN(RADIANS('13_시나리오비교'!$B$8))*SIN(RADIANS('13_시나리오비교'!$C$8))+$H561*SIN(RADIANS('13_시나리오비교'!$B$8))*COS(RADIANS('13_시나리오비교'!$C$8))+$I561*COS(RADIANS('13_시나리오비교'!$B$8))),0)</f>
        <v/>
      </c>
      <c r="T561" s="80">
        <f>IF($I561&gt;0,MAX(0,$G561*SIN(RADIANS('13_시나리오비교'!$B$9))*SIN(RADIANS('13_시나리오비교'!$C$9))+$H561*SIN(RADIANS('13_시나리오비교'!$B$9))*COS(RADIANS('13_시나리오비교'!$C$9))+$I561*COS(RADIANS('13_시나리오비교'!$B$9))),0)</f>
        <v/>
      </c>
      <c r="U561" s="80">
        <f>IF($I561&gt;0,MAX(0,$G561*SIN(RADIANS('13_시나리오비교'!$B$10))*SIN(RADIANS('13_시나리오비교'!$C$10))+$H561*SIN(RADIANS('13_시나리오비교'!$B$10))*COS(RADIANS('13_시나리오비교'!$C$10))+$I561*COS(RADIANS('13_시나리오비교'!$B$10))),0)</f>
        <v/>
      </c>
      <c r="V561" s="80">
        <f>IF($I561&gt;0,MAX(0,$G561*SIN(RADIANS('13_시나리오비교'!$B$11))*SIN(RADIANS('13_시나리오비교'!$C$11))+$H561*SIN(RADIANS('13_시나리오비교'!$B$11))*COS(RADIANS('13_시나리오비교'!$C$11))+$I561*COS(RADIANS('13_시나리오비교'!$B$11))),0)</f>
        <v/>
      </c>
      <c r="W561" s="80">
        <f>IF($I561&gt;0,MAX(0,$G561*SIN(RADIANS('13_시나리오비교'!$B$12))*SIN(RADIANS('13_시나리오비교'!$C$12))+$H561*SIN(RADIANS('13_시나리오비교'!$B$12))*COS(RADIANS('13_시나리오비교'!$C$12))+$I561*COS(RADIANS('13_시나리오비교'!$B$12))),0)</f>
        <v/>
      </c>
      <c r="X561" s="80">
        <f>IF($I561&gt;0,MAX(0,$G561*SIN(RADIANS('13_시나리오비교'!$B$13))*SIN(RADIANS('13_시나리오비교'!$C$13))+$H561*SIN(RADIANS('13_시나리오비교'!$B$13))*COS(RADIANS('13_시나리오비교'!$C$13))+$I561*COS(RADIANS('13_시나리오비교'!$B$13))),0)</f>
        <v/>
      </c>
      <c r="Y561" s="80">
        <f>IF($I561&gt;0,MAX(0,$G561*SIN(RADIANS('13_시나리오비교'!$B$14))*SIN(RADIANS('13_시나리오비교'!$C$14))+$H561*SIN(RADIANS('13_시나리오비교'!$B$14))*COS(RADIANS('13_시나리오비교'!$C$14))+$I561*COS(RADIANS('13_시나리오비교'!$B$14))),0)</f>
        <v/>
      </c>
    </row>
    <row r="562" hidden="1" outlineLevel="1">
      <c r="A562" s="79" t="n">
        <v>6</v>
      </c>
      <c r="B562" s="79" t="n">
        <v>62</v>
      </c>
      <c r="C562" s="80">
        <f>(B562-0.5)*'14_지역·상수'!$H$6</f>
        <v/>
      </c>
      <c r="D562" s="79" t="n">
        <v>162</v>
      </c>
      <c r="E562" s="80">
        <f>INDEX($C$4:$C$15,MATCH(A562,$A$4:$A$15,0))</f>
        <v/>
      </c>
      <c r="F562" s="80">
        <f>15*(C562-12)</f>
        <v/>
      </c>
      <c r="G562" s="80">
        <f>-COS(RADIANS(E562))*SIN(RADIANS(F562))</f>
        <v/>
      </c>
      <c r="H562" s="80">
        <f>COS(RADIANS('11_발전량_모델'!$B$17))*SIN(RADIANS(E562))-SIN(RADIANS('11_발전량_모델'!$B$17))*COS(RADIANS(E562))*COS(RADIANS(F562))</f>
        <v/>
      </c>
      <c r="I562" s="80">
        <f>SIN(RADIANS('11_발전량_모델'!$B$17))*SIN(RADIANS(E562))+COS(RADIANS('11_발전량_모델'!$B$17))*COS(RADIANS(E562))*COS(RADIANS(F562))</f>
        <v/>
      </c>
      <c r="J562" s="80">
        <f>SIN(RADIANS('11_발전량_모델'!$B$7))*SIN(RADIANS('11_발전량_모델'!$B$8))</f>
        <v/>
      </c>
      <c r="K562" s="80">
        <f>SIN(RADIANS('11_발전량_모델'!$B$7))*COS(RADIANS('11_발전량_모델'!$B$8))</f>
        <v/>
      </c>
      <c r="L562" s="80">
        <f>COS(RADIANS('11_발전량_모델'!$B$7))</f>
        <v/>
      </c>
      <c r="M562" s="80">
        <f>G562*J562+H562*K562+I562*L562</f>
        <v/>
      </c>
      <c r="N562" s="80">
        <f>MAX(0,I562)</f>
        <v/>
      </c>
      <c r="O562" s="80">
        <f>IF(I562&gt;0,MAX(0,M562),0)</f>
        <v/>
      </c>
      <c r="P562" s="80">
        <f>IF($I562&gt;0,MAX(0,$G562*SIN(RADIANS('13_시나리오비교'!$B$5))*SIN(RADIANS('13_시나리오비교'!$C$5))+$H562*SIN(RADIANS('13_시나리오비교'!$B$5))*COS(RADIANS('13_시나리오비교'!$C$5))+$I562*COS(RADIANS('13_시나리오비교'!$B$5))),0)</f>
        <v/>
      </c>
      <c r="Q562" s="80">
        <f>IF($I562&gt;0,MAX(0,$G562*SIN(RADIANS('13_시나리오비교'!$B$6))*SIN(RADIANS('13_시나리오비교'!$C$6))+$H562*SIN(RADIANS('13_시나리오비교'!$B$6))*COS(RADIANS('13_시나리오비교'!$C$6))+$I562*COS(RADIANS('13_시나리오비교'!$B$6))),0)</f>
        <v/>
      </c>
      <c r="R562" s="80">
        <f>IF($I562&gt;0,MAX(0,$G562*SIN(RADIANS('13_시나리오비교'!$B$7))*SIN(RADIANS('13_시나리오비교'!$C$7))+$H562*SIN(RADIANS('13_시나리오비교'!$B$7))*COS(RADIANS('13_시나리오비교'!$C$7))+$I562*COS(RADIANS('13_시나리오비교'!$B$7))),0)</f>
        <v/>
      </c>
      <c r="S562" s="80">
        <f>IF($I562&gt;0,MAX(0,$G562*SIN(RADIANS('13_시나리오비교'!$B$8))*SIN(RADIANS('13_시나리오비교'!$C$8))+$H562*SIN(RADIANS('13_시나리오비교'!$B$8))*COS(RADIANS('13_시나리오비교'!$C$8))+$I562*COS(RADIANS('13_시나리오비교'!$B$8))),0)</f>
        <v/>
      </c>
      <c r="T562" s="80">
        <f>IF($I562&gt;0,MAX(0,$G562*SIN(RADIANS('13_시나리오비교'!$B$9))*SIN(RADIANS('13_시나리오비교'!$C$9))+$H562*SIN(RADIANS('13_시나리오비교'!$B$9))*COS(RADIANS('13_시나리오비교'!$C$9))+$I562*COS(RADIANS('13_시나리오비교'!$B$9))),0)</f>
        <v/>
      </c>
      <c r="U562" s="80">
        <f>IF($I562&gt;0,MAX(0,$G562*SIN(RADIANS('13_시나리오비교'!$B$10))*SIN(RADIANS('13_시나리오비교'!$C$10))+$H562*SIN(RADIANS('13_시나리오비교'!$B$10))*COS(RADIANS('13_시나리오비교'!$C$10))+$I562*COS(RADIANS('13_시나리오비교'!$B$10))),0)</f>
        <v/>
      </c>
      <c r="V562" s="80">
        <f>IF($I562&gt;0,MAX(0,$G562*SIN(RADIANS('13_시나리오비교'!$B$11))*SIN(RADIANS('13_시나리오비교'!$C$11))+$H562*SIN(RADIANS('13_시나리오비교'!$B$11))*COS(RADIANS('13_시나리오비교'!$C$11))+$I562*COS(RADIANS('13_시나리오비교'!$B$11))),0)</f>
        <v/>
      </c>
      <c r="W562" s="80">
        <f>IF($I562&gt;0,MAX(0,$G562*SIN(RADIANS('13_시나리오비교'!$B$12))*SIN(RADIANS('13_시나리오비교'!$C$12))+$H562*SIN(RADIANS('13_시나리오비교'!$B$12))*COS(RADIANS('13_시나리오비교'!$C$12))+$I562*COS(RADIANS('13_시나리오비교'!$B$12))),0)</f>
        <v/>
      </c>
      <c r="X562" s="80">
        <f>IF($I562&gt;0,MAX(0,$G562*SIN(RADIANS('13_시나리오비교'!$B$13))*SIN(RADIANS('13_시나리오비교'!$C$13))+$H562*SIN(RADIANS('13_시나리오비교'!$B$13))*COS(RADIANS('13_시나리오비교'!$C$13))+$I562*COS(RADIANS('13_시나리오비교'!$B$13))),0)</f>
        <v/>
      </c>
      <c r="Y562" s="80">
        <f>IF($I562&gt;0,MAX(0,$G562*SIN(RADIANS('13_시나리오비교'!$B$14))*SIN(RADIANS('13_시나리오비교'!$C$14))+$H562*SIN(RADIANS('13_시나리오비교'!$B$14))*COS(RADIANS('13_시나리오비교'!$C$14))+$I562*COS(RADIANS('13_시나리오비교'!$B$14))),0)</f>
        <v/>
      </c>
    </row>
    <row r="563" hidden="1" outlineLevel="1">
      <c r="A563" s="79" t="n">
        <v>6</v>
      </c>
      <c r="B563" s="79" t="n">
        <v>63</v>
      </c>
      <c r="C563" s="80">
        <f>(B563-0.5)*'14_지역·상수'!$H$6</f>
        <v/>
      </c>
      <c r="D563" s="79" t="n">
        <v>162</v>
      </c>
      <c r="E563" s="80">
        <f>INDEX($C$4:$C$15,MATCH(A563,$A$4:$A$15,0))</f>
        <v/>
      </c>
      <c r="F563" s="80">
        <f>15*(C563-12)</f>
        <v/>
      </c>
      <c r="G563" s="80">
        <f>-COS(RADIANS(E563))*SIN(RADIANS(F563))</f>
        <v/>
      </c>
      <c r="H563" s="80">
        <f>COS(RADIANS('11_발전량_모델'!$B$17))*SIN(RADIANS(E563))-SIN(RADIANS('11_발전량_모델'!$B$17))*COS(RADIANS(E563))*COS(RADIANS(F563))</f>
        <v/>
      </c>
      <c r="I563" s="80">
        <f>SIN(RADIANS('11_발전량_모델'!$B$17))*SIN(RADIANS(E563))+COS(RADIANS('11_발전량_모델'!$B$17))*COS(RADIANS(E563))*COS(RADIANS(F563))</f>
        <v/>
      </c>
      <c r="J563" s="80">
        <f>SIN(RADIANS('11_발전량_모델'!$B$7))*SIN(RADIANS('11_발전량_모델'!$B$8))</f>
        <v/>
      </c>
      <c r="K563" s="80">
        <f>SIN(RADIANS('11_발전량_모델'!$B$7))*COS(RADIANS('11_발전량_모델'!$B$8))</f>
        <v/>
      </c>
      <c r="L563" s="80">
        <f>COS(RADIANS('11_발전량_모델'!$B$7))</f>
        <v/>
      </c>
      <c r="M563" s="80">
        <f>G563*J563+H563*K563+I563*L563</f>
        <v/>
      </c>
      <c r="N563" s="80">
        <f>MAX(0,I563)</f>
        <v/>
      </c>
      <c r="O563" s="80">
        <f>IF(I563&gt;0,MAX(0,M563),0)</f>
        <v/>
      </c>
      <c r="P563" s="80">
        <f>IF($I563&gt;0,MAX(0,$G563*SIN(RADIANS('13_시나리오비교'!$B$5))*SIN(RADIANS('13_시나리오비교'!$C$5))+$H563*SIN(RADIANS('13_시나리오비교'!$B$5))*COS(RADIANS('13_시나리오비교'!$C$5))+$I563*COS(RADIANS('13_시나리오비교'!$B$5))),0)</f>
        <v/>
      </c>
      <c r="Q563" s="80">
        <f>IF($I563&gt;0,MAX(0,$G563*SIN(RADIANS('13_시나리오비교'!$B$6))*SIN(RADIANS('13_시나리오비교'!$C$6))+$H563*SIN(RADIANS('13_시나리오비교'!$B$6))*COS(RADIANS('13_시나리오비교'!$C$6))+$I563*COS(RADIANS('13_시나리오비교'!$B$6))),0)</f>
        <v/>
      </c>
      <c r="R563" s="80">
        <f>IF($I563&gt;0,MAX(0,$G563*SIN(RADIANS('13_시나리오비교'!$B$7))*SIN(RADIANS('13_시나리오비교'!$C$7))+$H563*SIN(RADIANS('13_시나리오비교'!$B$7))*COS(RADIANS('13_시나리오비교'!$C$7))+$I563*COS(RADIANS('13_시나리오비교'!$B$7))),0)</f>
        <v/>
      </c>
      <c r="S563" s="80">
        <f>IF($I563&gt;0,MAX(0,$G563*SIN(RADIANS('13_시나리오비교'!$B$8))*SIN(RADIANS('13_시나리오비교'!$C$8))+$H563*SIN(RADIANS('13_시나리오비교'!$B$8))*COS(RADIANS('13_시나리오비교'!$C$8))+$I563*COS(RADIANS('13_시나리오비교'!$B$8))),0)</f>
        <v/>
      </c>
      <c r="T563" s="80">
        <f>IF($I563&gt;0,MAX(0,$G563*SIN(RADIANS('13_시나리오비교'!$B$9))*SIN(RADIANS('13_시나리오비교'!$C$9))+$H563*SIN(RADIANS('13_시나리오비교'!$B$9))*COS(RADIANS('13_시나리오비교'!$C$9))+$I563*COS(RADIANS('13_시나리오비교'!$B$9))),0)</f>
        <v/>
      </c>
      <c r="U563" s="80">
        <f>IF($I563&gt;0,MAX(0,$G563*SIN(RADIANS('13_시나리오비교'!$B$10))*SIN(RADIANS('13_시나리오비교'!$C$10))+$H563*SIN(RADIANS('13_시나리오비교'!$B$10))*COS(RADIANS('13_시나리오비교'!$C$10))+$I563*COS(RADIANS('13_시나리오비교'!$B$10))),0)</f>
        <v/>
      </c>
      <c r="V563" s="80">
        <f>IF($I563&gt;0,MAX(0,$G563*SIN(RADIANS('13_시나리오비교'!$B$11))*SIN(RADIANS('13_시나리오비교'!$C$11))+$H563*SIN(RADIANS('13_시나리오비교'!$B$11))*COS(RADIANS('13_시나리오비교'!$C$11))+$I563*COS(RADIANS('13_시나리오비교'!$B$11))),0)</f>
        <v/>
      </c>
      <c r="W563" s="80">
        <f>IF($I563&gt;0,MAX(0,$G563*SIN(RADIANS('13_시나리오비교'!$B$12))*SIN(RADIANS('13_시나리오비교'!$C$12))+$H563*SIN(RADIANS('13_시나리오비교'!$B$12))*COS(RADIANS('13_시나리오비교'!$C$12))+$I563*COS(RADIANS('13_시나리오비교'!$B$12))),0)</f>
        <v/>
      </c>
      <c r="X563" s="80">
        <f>IF($I563&gt;0,MAX(0,$G563*SIN(RADIANS('13_시나리오비교'!$B$13))*SIN(RADIANS('13_시나리오비교'!$C$13))+$H563*SIN(RADIANS('13_시나리오비교'!$B$13))*COS(RADIANS('13_시나리오비교'!$C$13))+$I563*COS(RADIANS('13_시나리오비교'!$B$13))),0)</f>
        <v/>
      </c>
      <c r="Y563" s="80">
        <f>IF($I563&gt;0,MAX(0,$G563*SIN(RADIANS('13_시나리오비교'!$B$14))*SIN(RADIANS('13_시나리오비교'!$C$14))+$H563*SIN(RADIANS('13_시나리오비교'!$B$14))*COS(RADIANS('13_시나리오비교'!$C$14))+$I563*COS(RADIANS('13_시나리오비교'!$B$14))),0)</f>
        <v/>
      </c>
    </row>
    <row r="564" hidden="1" outlineLevel="1">
      <c r="A564" s="79" t="n">
        <v>6</v>
      </c>
      <c r="B564" s="79" t="n">
        <v>64</v>
      </c>
      <c r="C564" s="80">
        <f>(B564-0.5)*'14_지역·상수'!$H$6</f>
        <v/>
      </c>
      <c r="D564" s="79" t="n">
        <v>162</v>
      </c>
      <c r="E564" s="80">
        <f>INDEX($C$4:$C$15,MATCH(A564,$A$4:$A$15,0))</f>
        <v/>
      </c>
      <c r="F564" s="80">
        <f>15*(C564-12)</f>
        <v/>
      </c>
      <c r="G564" s="80">
        <f>-COS(RADIANS(E564))*SIN(RADIANS(F564))</f>
        <v/>
      </c>
      <c r="H564" s="80">
        <f>COS(RADIANS('11_발전량_모델'!$B$17))*SIN(RADIANS(E564))-SIN(RADIANS('11_발전량_모델'!$B$17))*COS(RADIANS(E564))*COS(RADIANS(F564))</f>
        <v/>
      </c>
      <c r="I564" s="80">
        <f>SIN(RADIANS('11_발전량_모델'!$B$17))*SIN(RADIANS(E564))+COS(RADIANS('11_발전량_모델'!$B$17))*COS(RADIANS(E564))*COS(RADIANS(F564))</f>
        <v/>
      </c>
      <c r="J564" s="80">
        <f>SIN(RADIANS('11_발전량_모델'!$B$7))*SIN(RADIANS('11_발전량_모델'!$B$8))</f>
        <v/>
      </c>
      <c r="K564" s="80">
        <f>SIN(RADIANS('11_발전량_모델'!$B$7))*COS(RADIANS('11_발전량_모델'!$B$8))</f>
        <v/>
      </c>
      <c r="L564" s="80">
        <f>COS(RADIANS('11_발전량_모델'!$B$7))</f>
        <v/>
      </c>
      <c r="M564" s="80">
        <f>G564*J564+H564*K564+I564*L564</f>
        <v/>
      </c>
      <c r="N564" s="80">
        <f>MAX(0,I564)</f>
        <v/>
      </c>
      <c r="O564" s="80">
        <f>IF(I564&gt;0,MAX(0,M564),0)</f>
        <v/>
      </c>
      <c r="P564" s="80">
        <f>IF($I564&gt;0,MAX(0,$G564*SIN(RADIANS('13_시나리오비교'!$B$5))*SIN(RADIANS('13_시나리오비교'!$C$5))+$H564*SIN(RADIANS('13_시나리오비교'!$B$5))*COS(RADIANS('13_시나리오비교'!$C$5))+$I564*COS(RADIANS('13_시나리오비교'!$B$5))),0)</f>
        <v/>
      </c>
      <c r="Q564" s="80">
        <f>IF($I564&gt;0,MAX(0,$G564*SIN(RADIANS('13_시나리오비교'!$B$6))*SIN(RADIANS('13_시나리오비교'!$C$6))+$H564*SIN(RADIANS('13_시나리오비교'!$B$6))*COS(RADIANS('13_시나리오비교'!$C$6))+$I564*COS(RADIANS('13_시나리오비교'!$B$6))),0)</f>
        <v/>
      </c>
      <c r="R564" s="80">
        <f>IF($I564&gt;0,MAX(0,$G564*SIN(RADIANS('13_시나리오비교'!$B$7))*SIN(RADIANS('13_시나리오비교'!$C$7))+$H564*SIN(RADIANS('13_시나리오비교'!$B$7))*COS(RADIANS('13_시나리오비교'!$C$7))+$I564*COS(RADIANS('13_시나리오비교'!$B$7))),0)</f>
        <v/>
      </c>
      <c r="S564" s="80">
        <f>IF($I564&gt;0,MAX(0,$G564*SIN(RADIANS('13_시나리오비교'!$B$8))*SIN(RADIANS('13_시나리오비교'!$C$8))+$H564*SIN(RADIANS('13_시나리오비교'!$B$8))*COS(RADIANS('13_시나리오비교'!$C$8))+$I564*COS(RADIANS('13_시나리오비교'!$B$8))),0)</f>
        <v/>
      </c>
      <c r="T564" s="80">
        <f>IF($I564&gt;0,MAX(0,$G564*SIN(RADIANS('13_시나리오비교'!$B$9))*SIN(RADIANS('13_시나리오비교'!$C$9))+$H564*SIN(RADIANS('13_시나리오비교'!$B$9))*COS(RADIANS('13_시나리오비교'!$C$9))+$I564*COS(RADIANS('13_시나리오비교'!$B$9))),0)</f>
        <v/>
      </c>
      <c r="U564" s="80">
        <f>IF($I564&gt;0,MAX(0,$G564*SIN(RADIANS('13_시나리오비교'!$B$10))*SIN(RADIANS('13_시나리오비교'!$C$10))+$H564*SIN(RADIANS('13_시나리오비교'!$B$10))*COS(RADIANS('13_시나리오비교'!$C$10))+$I564*COS(RADIANS('13_시나리오비교'!$B$10))),0)</f>
        <v/>
      </c>
      <c r="V564" s="80">
        <f>IF($I564&gt;0,MAX(0,$G564*SIN(RADIANS('13_시나리오비교'!$B$11))*SIN(RADIANS('13_시나리오비교'!$C$11))+$H564*SIN(RADIANS('13_시나리오비교'!$B$11))*COS(RADIANS('13_시나리오비교'!$C$11))+$I564*COS(RADIANS('13_시나리오비교'!$B$11))),0)</f>
        <v/>
      </c>
      <c r="W564" s="80">
        <f>IF($I564&gt;0,MAX(0,$G564*SIN(RADIANS('13_시나리오비교'!$B$12))*SIN(RADIANS('13_시나리오비교'!$C$12))+$H564*SIN(RADIANS('13_시나리오비교'!$B$12))*COS(RADIANS('13_시나리오비교'!$C$12))+$I564*COS(RADIANS('13_시나리오비교'!$B$12))),0)</f>
        <v/>
      </c>
      <c r="X564" s="80">
        <f>IF($I564&gt;0,MAX(0,$G564*SIN(RADIANS('13_시나리오비교'!$B$13))*SIN(RADIANS('13_시나리오비교'!$C$13))+$H564*SIN(RADIANS('13_시나리오비교'!$B$13))*COS(RADIANS('13_시나리오비교'!$C$13))+$I564*COS(RADIANS('13_시나리오비교'!$B$13))),0)</f>
        <v/>
      </c>
      <c r="Y564" s="80">
        <f>IF($I564&gt;0,MAX(0,$G564*SIN(RADIANS('13_시나리오비교'!$B$14))*SIN(RADIANS('13_시나리오비교'!$C$14))+$H564*SIN(RADIANS('13_시나리오비교'!$B$14))*COS(RADIANS('13_시나리오비교'!$C$14))+$I564*COS(RADIANS('13_시나리오비교'!$B$14))),0)</f>
        <v/>
      </c>
    </row>
    <row r="565" hidden="1" outlineLevel="1">
      <c r="A565" s="79" t="n">
        <v>6</v>
      </c>
      <c r="B565" s="79" t="n">
        <v>65</v>
      </c>
      <c r="C565" s="80">
        <f>(B565-0.5)*'14_지역·상수'!$H$6</f>
        <v/>
      </c>
      <c r="D565" s="79" t="n">
        <v>162</v>
      </c>
      <c r="E565" s="80">
        <f>INDEX($C$4:$C$15,MATCH(A565,$A$4:$A$15,0))</f>
        <v/>
      </c>
      <c r="F565" s="80">
        <f>15*(C565-12)</f>
        <v/>
      </c>
      <c r="G565" s="80">
        <f>-COS(RADIANS(E565))*SIN(RADIANS(F565))</f>
        <v/>
      </c>
      <c r="H565" s="80">
        <f>COS(RADIANS('11_발전량_모델'!$B$17))*SIN(RADIANS(E565))-SIN(RADIANS('11_발전량_모델'!$B$17))*COS(RADIANS(E565))*COS(RADIANS(F565))</f>
        <v/>
      </c>
      <c r="I565" s="80">
        <f>SIN(RADIANS('11_발전량_모델'!$B$17))*SIN(RADIANS(E565))+COS(RADIANS('11_발전량_모델'!$B$17))*COS(RADIANS(E565))*COS(RADIANS(F565))</f>
        <v/>
      </c>
      <c r="J565" s="80">
        <f>SIN(RADIANS('11_발전량_모델'!$B$7))*SIN(RADIANS('11_발전량_모델'!$B$8))</f>
        <v/>
      </c>
      <c r="K565" s="80">
        <f>SIN(RADIANS('11_발전량_모델'!$B$7))*COS(RADIANS('11_발전량_모델'!$B$8))</f>
        <v/>
      </c>
      <c r="L565" s="80">
        <f>COS(RADIANS('11_발전량_모델'!$B$7))</f>
        <v/>
      </c>
      <c r="M565" s="80">
        <f>G565*J565+H565*K565+I565*L565</f>
        <v/>
      </c>
      <c r="N565" s="80">
        <f>MAX(0,I565)</f>
        <v/>
      </c>
      <c r="O565" s="80">
        <f>IF(I565&gt;0,MAX(0,M565),0)</f>
        <v/>
      </c>
      <c r="P565" s="80">
        <f>IF($I565&gt;0,MAX(0,$G565*SIN(RADIANS('13_시나리오비교'!$B$5))*SIN(RADIANS('13_시나리오비교'!$C$5))+$H565*SIN(RADIANS('13_시나리오비교'!$B$5))*COS(RADIANS('13_시나리오비교'!$C$5))+$I565*COS(RADIANS('13_시나리오비교'!$B$5))),0)</f>
        <v/>
      </c>
      <c r="Q565" s="80">
        <f>IF($I565&gt;0,MAX(0,$G565*SIN(RADIANS('13_시나리오비교'!$B$6))*SIN(RADIANS('13_시나리오비교'!$C$6))+$H565*SIN(RADIANS('13_시나리오비교'!$B$6))*COS(RADIANS('13_시나리오비교'!$C$6))+$I565*COS(RADIANS('13_시나리오비교'!$B$6))),0)</f>
        <v/>
      </c>
      <c r="R565" s="80">
        <f>IF($I565&gt;0,MAX(0,$G565*SIN(RADIANS('13_시나리오비교'!$B$7))*SIN(RADIANS('13_시나리오비교'!$C$7))+$H565*SIN(RADIANS('13_시나리오비교'!$B$7))*COS(RADIANS('13_시나리오비교'!$C$7))+$I565*COS(RADIANS('13_시나리오비교'!$B$7))),0)</f>
        <v/>
      </c>
      <c r="S565" s="80">
        <f>IF($I565&gt;0,MAX(0,$G565*SIN(RADIANS('13_시나리오비교'!$B$8))*SIN(RADIANS('13_시나리오비교'!$C$8))+$H565*SIN(RADIANS('13_시나리오비교'!$B$8))*COS(RADIANS('13_시나리오비교'!$C$8))+$I565*COS(RADIANS('13_시나리오비교'!$B$8))),0)</f>
        <v/>
      </c>
      <c r="T565" s="80">
        <f>IF($I565&gt;0,MAX(0,$G565*SIN(RADIANS('13_시나리오비교'!$B$9))*SIN(RADIANS('13_시나리오비교'!$C$9))+$H565*SIN(RADIANS('13_시나리오비교'!$B$9))*COS(RADIANS('13_시나리오비교'!$C$9))+$I565*COS(RADIANS('13_시나리오비교'!$B$9))),0)</f>
        <v/>
      </c>
      <c r="U565" s="80">
        <f>IF($I565&gt;0,MAX(0,$G565*SIN(RADIANS('13_시나리오비교'!$B$10))*SIN(RADIANS('13_시나리오비교'!$C$10))+$H565*SIN(RADIANS('13_시나리오비교'!$B$10))*COS(RADIANS('13_시나리오비교'!$C$10))+$I565*COS(RADIANS('13_시나리오비교'!$B$10))),0)</f>
        <v/>
      </c>
      <c r="V565" s="80">
        <f>IF($I565&gt;0,MAX(0,$G565*SIN(RADIANS('13_시나리오비교'!$B$11))*SIN(RADIANS('13_시나리오비교'!$C$11))+$H565*SIN(RADIANS('13_시나리오비교'!$B$11))*COS(RADIANS('13_시나리오비교'!$C$11))+$I565*COS(RADIANS('13_시나리오비교'!$B$11))),0)</f>
        <v/>
      </c>
      <c r="W565" s="80">
        <f>IF($I565&gt;0,MAX(0,$G565*SIN(RADIANS('13_시나리오비교'!$B$12))*SIN(RADIANS('13_시나리오비교'!$C$12))+$H565*SIN(RADIANS('13_시나리오비교'!$B$12))*COS(RADIANS('13_시나리오비교'!$C$12))+$I565*COS(RADIANS('13_시나리오비교'!$B$12))),0)</f>
        <v/>
      </c>
      <c r="X565" s="80">
        <f>IF($I565&gt;0,MAX(0,$G565*SIN(RADIANS('13_시나리오비교'!$B$13))*SIN(RADIANS('13_시나리오비교'!$C$13))+$H565*SIN(RADIANS('13_시나리오비교'!$B$13))*COS(RADIANS('13_시나리오비교'!$C$13))+$I565*COS(RADIANS('13_시나리오비교'!$B$13))),0)</f>
        <v/>
      </c>
      <c r="Y565" s="80">
        <f>IF($I565&gt;0,MAX(0,$G565*SIN(RADIANS('13_시나리오비교'!$B$14))*SIN(RADIANS('13_시나리오비교'!$C$14))+$H565*SIN(RADIANS('13_시나리오비교'!$B$14))*COS(RADIANS('13_시나리오비교'!$C$14))+$I565*COS(RADIANS('13_시나리오비교'!$B$14))),0)</f>
        <v/>
      </c>
    </row>
    <row r="566" hidden="1" outlineLevel="1">
      <c r="A566" s="79" t="n">
        <v>6</v>
      </c>
      <c r="B566" s="79" t="n">
        <v>66</v>
      </c>
      <c r="C566" s="80">
        <f>(B566-0.5)*'14_지역·상수'!$H$6</f>
        <v/>
      </c>
      <c r="D566" s="79" t="n">
        <v>162</v>
      </c>
      <c r="E566" s="80">
        <f>INDEX($C$4:$C$15,MATCH(A566,$A$4:$A$15,0))</f>
        <v/>
      </c>
      <c r="F566" s="80">
        <f>15*(C566-12)</f>
        <v/>
      </c>
      <c r="G566" s="80">
        <f>-COS(RADIANS(E566))*SIN(RADIANS(F566))</f>
        <v/>
      </c>
      <c r="H566" s="80">
        <f>COS(RADIANS('11_발전량_모델'!$B$17))*SIN(RADIANS(E566))-SIN(RADIANS('11_발전량_모델'!$B$17))*COS(RADIANS(E566))*COS(RADIANS(F566))</f>
        <v/>
      </c>
      <c r="I566" s="80">
        <f>SIN(RADIANS('11_발전량_모델'!$B$17))*SIN(RADIANS(E566))+COS(RADIANS('11_발전량_모델'!$B$17))*COS(RADIANS(E566))*COS(RADIANS(F566))</f>
        <v/>
      </c>
      <c r="J566" s="80">
        <f>SIN(RADIANS('11_발전량_모델'!$B$7))*SIN(RADIANS('11_발전량_모델'!$B$8))</f>
        <v/>
      </c>
      <c r="K566" s="80">
        <f>SIN(RADIANS('11_발전량_모델'!$B$7))*COS(RADIANS('11_발전량_모델'!$B$8))</f>
        <v/>
      </c>
      <c r="L566" s="80">
        <f>COS(RADIANS('11_발전량_모델'!$B$7))</f>
        <v/>
      </c>
      <c r="M566" s="80">
        <f>G566*J566+H566*K566+I566*L566</f>
        <v/>
      </c>
      <c r="N566" s="80">
        <f>MAX(0,I566)</f>
        <v/>
      </c>
      <c r="O566" s="80">
        <f>IF(I566&gt;0,MAX(0,M566),0)</f>
        <v/>
      </c>
      <c r="P566" s="80">
        <f>IF($I566&gt;0,MAX(0,$G566*SIN(RADIANS('13_시나리오비교'!$B$5))*SIN(RADIANS('13_시나리오비교'!$C$5))+$H566*SIN(RADIANS('13_시나리오비교'!$B$5))*COS(RADIANS('13_시나리오비교'!$C$5))+$I566*COS(RADIANS('13_시나리오비교'!$B$5))),0)</f>
        <v/>
      </c>
      <c r="Q566" s="80">
        <f>IF($I566&gt;0,MAX(0,$G566*SIN(RADIANS('13_시나리오비교'!$B$6))*SIN(RADIANS('13_시나리오비교'!$C$6))+$H566*SIN(RADIANS('13_시나리오비교'!$B$6))*COS(RADIANS('13_시나리오비교'!$C$6))+$I566*COS(RADIANS('13_시나리오비교'!$B$6))),0)</f>
        <v/>
      </c>
      <c r="R566" s="80">
        <f>IF($I566&gt;0,MAX(0,$G566*SIN(RADIANS('13_시나리오비교'!$B$7))*SIN(RADIANS('13_시나리오비교'!$C$7))+$H566*SIN(RADIANS('13_시나리오비교'!$B$7))*COS(RADIANS('13_시나리오비교'!$C$7))+$I566*COS(RADIANS('13_시나리오비교'!$B$7))),0)</f>
        <v/>
      </c>
      <c r="S566" s="80">
        <f>IF($I566&gt;0,MAX(0,$G566*SIN(RADIANS('13_시나리오비교'!$B$8))*SIN(RADIANS('13_시나리오비교'!$C$8))+$H566*SIN(RADIANS('13_시나리오비교'!$B$8))*COS(RADIANS('13_시나리오비교'!$C$8))+$I566*COS(RADIANS('13_시나리오비교'!$B$8))),0)</f>
        <v/>
      </c>
      <c r="T566" s="80">
        <f>IF($I566&gt;0,MAX(0,$G566*SIN(RADIANS('13_시나리오비교'!$B$9))*SIN(RADIANS('13_시나리오비교'!$C$9))+$H566*SIN(RADIANS('13_시나리오비교'!$B$9))*COS(RADIANS('13_시나리오비교'!$C$9))+$I566*COS(RADIANS('13_시나리오비교'!$B$9))),0)</f>
        <v/>
      </c>
      <c r="U566" s="80">
        <f>IF($I566&gt;0,MAX(0,$G566*SIN(RADIANS('13_시나리오비교'!$B$10))*SIN(RADIANS('13_시나리오비교'!$C$10))+$H566*SIN(RADIANS('13_시나리오비교'!$B$10))*COS(RADIANS('13_시나리오비교'!$C$10))+$I566*COS(RADIANS('13_시나리오비교'!$B$10))),0)</f>
        <v/>
      </c>
      <c r="V566" s="80">
        <f>IF($I566&gt;0,MAX(0,$G566*SIN(RADIANS('13_시나리오비교'!$B$11))*SIN(RADIANS('13_시나리오비교'!$C$11))+$H566*SIN(RADIANS('13_시나리오비교'!$B$11))*COS(RADIANS('13_시나리오비교'!$C$11))+$I566*COS(RADIANS('13_시나리오비교'!$B$11))),0)</f>
        <v/>
      </c>
      <c r="W566" s="80">
        <f>IF($I566&gt;0,MAX(0,$G566*SIN(RADIANS('13_시나리오비교'!$B$12))*SIN(RADIANS('13_시나리오비교'!$C$12))+$H566*SIN(RADIANS('13_시나리오비교'!$B$12))*COS(RADIANS('13_시나리오비교'!$C$12))+$I566*COS(RADIANS('13_시나리오비교'!$B$12))),0)</f>
        <v/>
      </c>
      <c r="X566" s="80">
        <f>IF($I566&gt;0,MAX(0,$G566*SIN(RADIANS('13_시나리오비교'!$B$13))*SIN(RADIANS('13_시나리오비교'!$C$13))+$H566*SIN(RADIANS('13_시나리오비교'!$B$13))*COS(RADIANS('13_시나리오비교'!$C$13))+$I566*COS(RADIANS('13_시나리오비교'!$B$13))),0)</f>
        <v/>
      </c>
      <c r="Y566" s="80">
        <f>IF($I566&gt;0,MAX(0,$G566*SIN(RADIANS('13_시나리오비교'!$B$14))*SIN(RADIANS('13_시나리오비교'!$C$14))+$H566*SIN(RADIANS('13_시나리오비교'!$B$14))*COS(RADIANS('13_시나리오비교'!$C$14))+$I566*COS(RADIANS('13_시나리오비교'!$B$14))),0)</f>
        <v/>
      </c>
    </row>
    <row r="567" hidden="1" outlineLevel="1">
      <c r="A567" s="79" t="n">
        <v>6</v>
      </c>
      <c r="B567" s="79" t="n">
        <v>67</v>
      </c>
      <c r="C567" s="80">
        <f>(B567-0.5)*'14_지역·상수'!$H$6</f>
        <v/>
      </c>
      <c r="D567" s="79" t="n">
        <v>162</v>
      </c>
      <c r="E567" s="80">
        <f>INDEX($C$4:$C$15,MATCH(A567,$A$4:$A$15,0))</f>
        <v/>
      </c>
      <c r="F567" s="80">
        <f>15*(C567-12)</f>
        <v/>
      </c>
      <c r="G567" s="80">
        <f>-COS(RADIANS(E567))*SIN(RADIANS(F567))</f>
        <v/>
      </c>
      <c r="H567" s="80">
        <f>COS(RADIANS('11_발전량_모델'!$B$17))*SIN(RADIANS(E567))-SIN(RADIANS('11_발전량_모델'!$B$17))*COS(RADIANS(E567))*COS(RADIANS(F567))</f>
        <v/>
      </c>
      <c r="I567" s="80">
        <f>SIN(RADIANS('11_발전량_모델'!$B$17))*SIN(RADIANS(E567))+COS(RADIANS('11_발전량_모델'!$B$17))*COS(RADIANS(E567))*COS(RADIANS(F567))</f>
        <v/>
      </c>
      <c r="J567" s="80">
        <f>SIN(RADIANS('11_발전량_모델'!$B$7))*SIN(RADIANS('11_발전량_모델'!$B$8))</f>
        <v/>
      </c>
      <c r="K567" s="80">
        <f>SIN(RADIANS('11_발전량_모델'!$B$7))*COS(RADIANS('11_발전량_모델'!$B$8))</f>
        <v/>
      </c>
      <c r="L567" s="80">
        <f>COS(RADIANS('11_발전량_모델'!$B$7))</f>
        <v/>
      </c>
      <c r="M567" s="80">
        <f>G567*J567+H567*K567+I567*L567</f>
        <v/>
      </c>
      <c r="N567" s="80">
        <f>MAX(0,I567)</f>
        <v/>
      </c>
      <c r="O567" s="80">
        <f>IF(I567&gt;0,MAX(0,M567),0)</f>
        <v/>
      </c>
      <c r="P567" s="80">
        <f>IF($I567&gt;0,MAX(0,$G567*SIN(RADIANS('13_시나리오비교'!$B$5))*SIN(RADIANS('13_시나리오비교'!$C$5))+$H567*SIN(RADIANS('13_시나리오비교'!$B$5))*COS(RADIANS('13_시나리오비교'!$C$5))+$I567*COS(RADIANS('13_시나리오비교'!$B$5))),0)</f>
        <v/>
      </c>
      <c r="Q567" s="80">
        <f>IF($I567&gt;0,MAX(0,$G567*SIN(RADIANS('13_시나리오비교'!$B$6))*SIN(RADIANS('13_시나리오비교'!$C$6))+$H567*SIN(RADIANS('13_시나리오비교'!$B$6))*COS(RADIANS('13_시나리오비교'!$C$6))+$I567*COS(RADIANS('13_시나리오비교'!$B$6))),0)</f>
        <v/>
      </c>
      <c r="R567" s="80">
        <f>IF($I567&gt;0,MAX(0,$G567*SIN(RADIANS('13_시나리오비교'!$B$7))*SIN(RADIANS('13_시나리오비교'!$C$7))+$H567*SIN(RADIANS('13_시나리오비교'!$B$7))*COS(RADIANS('13_시나리오비교'!$C$7))+$I567*COS(RADIANS('13_시나리오비교'!$B$7))),0)</f>
        <v/>
      </c>
      <c r="S567" s="80">
        <f>IF($I567&gt;0,MAX(0,$G567*SIN(RADIANS('13_시나리오비교'!$B$8))*SIN(RADIANS('13_시나리오비교'!$C$8))+$H567*SIN(RADIANS('13_시나리오비교'!$B$8))*COS(RADIANS('13_시나리오비교'!$C$8))+$I567*COS(RADIANS('13_시나리오비교'!$B$8))),0)</f>
        <v/>
      </c>
      <c r="T567" s="80">
        <f>IF($I567&gt;0,MAX(0,$G567*SIN(RADIANS('13_시나리오비교'!$B$9))*SIN(RADIANS('13_시나리오비교'!$C$9))+$H567*SIN(RADIANS('13_시나리오비교'!$B$9))*COS(RADIANS('13_시나리오비교'!$C$9))+$I567*COS(RADIANS('13_시나리오비교'!$B$9))),0)</f>
        <v/>
      </c>
      <c r="U567" s="80">
        <f>IF($I567&gt;0,MAX(0,$G567*SIN(RADIANS('13_시나리오비교'!$B$10))*SIN(RADIANS('13_시나리오비교'!$C$10))+$H567*SIN(RADIANS('13_시나리오비교'!$B$10))*COS(RADIANS('13_시나리오비교'!$C$10))+$I567*COS(RADIANS('13_시나리오비교'!$B$10))),0)</f>
        <v/>
      </c>
      <c r="V567" s="80">
        <f>IF($I567&gt;0,MAX(0,$G567*SIN(RADIANS('13_시나리오비교'!$B$11))*SIN(RADIANS('13_시나리오비교'!$C$11))+$H567*SIN(RADIANS('13_시나리오비교'!$B$11))*COS(RADIANS('13_시나리오비교'!$C$11))+$I567*COS(RADIANS('13_시나리오비교'!$B$11))),0)</f>
        <v/>
      </c>
      <c r="W567" s="80">
        <f>IF($I567&gt;0,MAX(0,$G567*SIN(RADIANS('13_시나리오비교'!$B$12))*SIN(RADIANS('13_시나리오비교'!$C$12))+$H567*SIN(RADIANS('13_시나리오비교'!$B$12))*COS(RADIANS('13_시나리오비교'!$C$12))+$I567*COS(RADIANS('13_시나리오비교'!$B$12))),0)</f>
        <v/>
      </c>
      <c r="X567" s="80">
        <f>IF($I567&gt;0,MAX(0,$G567*SIN(RADIANS('13_시나리오비교'!$B$13))*SIN(RADIANS('13_시나리오비교'!$C$13))+$H567*SIN(RADIANS('13_시나리오비교'!$B$13))*COS(RADIANS('13_시나리오비교'!$C$13))+$I567*COS(RADIANS('13_시나리오비교'!$B$13))),0)</f>
        <v/>
      </c>
      <c r="Y567" s="80">
        <f>IF($I567&gt;0,MAX(0,$G567*SIN(RADIANS('13_시나리오비교'!$B$14))*SIN(RADIANS('13_시나리오비교'!$C$14))+$H567*SIN(RADIANS('13_시나리오비교'!$B$14))*COS(RADIANS('13_시나리오비교'!$C$14))+$I567*COS(RADIANS('13_시나리오비교'!$B$14))),0)</f>
        <v/>
      </c>
    </row>
    <row r="568" hidden="1" outlineLevel="1">
      <c r="A568" s="79" t="n">
        <v>6</v>
      </c>
      <c r="B568" s="79" t="n">
        <v>68</v>
      </c>
      <c r="C568" s="80">
        <f>(B568-0.5)*'14_지역·상수'!$H$6</f>
        <v/>
      </c>
      <c r="D568" s="79" t="n">
        <v>162</v>
      </c>
      <c r="E568" s="80">
        <f>INDEX($C$4:$C$15,MATCH(A568,$A$4:$A$15,0))</f>
        <v/>
      </c>
      <c r="F568" s="80">
        <f>15*(C568-12)</f>
        <v/>
      </c>
      <c r="G568" s="80">
        <f>-COS(RADIANS(E568))*SIN(RADIANS(F568))</f>
        <v/>
      </c>
      <c r="H568" s="80">
        <f>COS(RADIANS('11_발전량_모델'!$B$17))*SIN(RADIANS(E568))-SIN(RADIANS('11_발전량_모델'!$B$17))*COS(RADIANS(E568))*COS(RADIANS(F568))</f>
        <v/>
      </c>
      <c r="I568" s="80">
        <f>SIN(RADIANS('11_발전량_모델'!$B$17))*SIN(RADIANS(E568))+COS(RADIANS('11_발전량_모델'!$B$17))*COS(RADIANS(E568))*COS(RADIANS(F568))</f>
        <v/>
      </c>
      <c r="J568" s="80">
        <f>SIN(RADIANS('11_발전량_모델'!$B$7))*SIN(RADIANS('11_발전량_모델'!$B$8))</f>
        <v/>
      </c>
      <c r="K568" s="80">
        <f>SIN(RADIANS('11_발전량_모델'!$B$7))*COS(RADIANS('11_발전량_모델'!$B$8))</f>
        <v/>
      </c>
      <c r="L568" s="80">
        <f>COS(RADIANS('11_발전량_모델'!$B$7))</f>
        <v/>
      </c>
      <c r="M568" s="80">
        <f>G568*J568+H568*K568+I568*L568</f>
        <v/>
      </c>
      <c r="N568" s="80">
        <f>MAX(0,I568)</f>
        <v/>
      </c>
      <c r="O568" s="80">
        <f>IF(I568&gt;0,MAX(0,M568),0)</f>
        <v/>
      </c>
      <c r="P568" s="80">
        <f>IF($I568&gt;0,MAX(0,$G568*SIN(RADIANS('13_시나리오비교'!$B$5))*SIN(RADIANS('13_시나리오비교'!$C$5))+$H568*SIN(RADIANS('13_시나리오비교'!$B$5))*COS(RADIANS('13_시나리오비교'!$C$5))+$I568*COS(RADIANS('13_시나리오비교'!$B$5))),0)</f>
        <v/>
      </c>
      <c r="Q568" s="80">
        <f>IF($I568&gt;0,MAX(0,$G568*SIN(RADIANS('13_시나리오비교'!$B$6))*SIN(RADIANS('13_시나리오비교'!$C$6))+$H568*SIN(RADIANS('13_시나리오비교'!$B$6))*COS(RADIANS('13_시나리오비교'!$C$6))+$I568*COS(RADIANS('13_시나리오비교'!$B$6))),0)</f>
        <v/>
      </c>
      <c r="R568" s="80">
        <f>IF($I568&gt;0,MAX(0,$G568*SIN(RADIANS('13_시나리오비교'!$B$7))*SIN(RADIANS('13_시나리오비교'!$C$7))+$H568*SIN(RADIANS('13_시나리오비교'!$B$7))*COS(RADIANS('13_시나리오비교'!$C$7))+$I568*COS(RADIANS('13_시나리오비교'!$B$7))),0)</f>
        <v/>
      </c>
      <c r="S568" s="80">
        <f>IF($I568&gt;0,MAX(0,$G568*SIN(RADIANS('13_시나리오비교'!$B$8))*SIN(RADIANS('13_시나리오비교'!$C$8))+$H568*SIN(RADIANS('13_시나리오비교'!$B$8))*COS(RADIANS('13_시나리오비교'!$C$8))+$I568*COS(RADIANS('13_시나리오비교'!$B$8))),0)</f>
        <v/>
      </c>
      <c r="T568" s="80">
        <f>IF($I568&gt;0,MAX(0,$G568*SIN(RADIANS('13_시나리오비교'!$B$9))*SIN(RADIANS('13_시나리오비교'!$C$9))+$H568*SIN(RADIANS('13_시나리오비교'!$B$9))*COS(RADIANS('13_시나리오비교'!$C$9))+$I568*COS(RADIANS('13_시나리오비교'!$B$9))),0)</f>
        <v/>
      </c>
      <c r="U568" s="80">
        <f>IF($I568&gt;0,MAX(0,$G568*SIN(RADIANS('13_시나리오비교'!$B$10))*SIN(RADIANS('13_시나리오비교'!$C$10))+$H568*SIN(RADIANS('13_시나리오비교'!$B$10))*COS(RADIANS('13_시나리오비교'!$C$10))+$I568*COS(RADIANS('13_시나리오비교'!$B$10))),0)</f>
        <v/>
      </c>
      <c r="V568" s="80">
        <f>IF($I568&gt;0,MAX(0,$G568*SIN(RADIANS('13_시나리오비교'!$B$11))*SIN(RADIANS('13_시나리오비교'!$C$11))+$H568*SIN(RADIANS('13_시나리오비교'!$B$11))*COS(RADIANS('13_시나리오비교'!$C$11))+$I568*COS(RADIANS('13_시나리오비교'!$B$11))),0)</f>
        <v/>
      </c>
      <c r="W568" s="80">
        <f>IF($I568&gt;0,MAX(0,$G568*SIN(RADIANS('13_시나리오비교'!$B$12))*SIN(RADIANS('13_시나리오비교'!$C$12))+$H568*SIN(RADIANS('13_시나리오비교'!$B$12))*COS(RADIANS('13_시나리오비교'!$C$12))+$I568*COS(RADIANS('13_시나리오비교'!$B$12))),0)</f>
        <v/>
      </c>
      <c r="X568" s="80">
        <f>IF($I568&gt;0,MAX(0,$G568*SIN(RADIANS('13_시나리오비교'!$B$13))*SIN(RADIANS('13_시나리오비교'!$C$13))+$H568*SIN(RADIANS('13_시나리오비교'!$B$13))*COS(RADIANS('13_시나리오비교'!$C$13))+$I568*COS(RADIANS('13_시나리오비교'!$B$13))),0)</f>
        <v/>
      </c>
      <c r="Y568" s="80">
        <f>IF($I568&gt;0,MAX(0,$G568*SIN(RADIANS('13_시나리오비교'!$B$14))*SIN(RADIANS('13_시나리오비교'!$C$14))+$H568*SIN(RADIANS('13_시나리오비교'!$B$14))*COS(RADIANS('13_시나리오비교'!$C$14))+$I568*COS(RADIANS('13_시나리오비교'!$B$14))),0)</f>
        <v/>
      </c>
    </row>
    <row r="569" hidden="1" outlineLevel="1">
      <c r="A569" s="79" t="n">
        <v>6</v>
      </c>
      <c r="B569" s="79" t="n">
        <v>69</v>
      </c>
      <c r="C569" s="80">
        <f>(B569-0.5)*'14_지역·상수'!$H$6</f>
        <v/>
      </c>
      <c r="D569" s="79" t="n">
        <v>162</v>
      </c>
      <c r="E569" s="80">
        <f>INDEX($C$4:$C$15,MATCH(A569,$A$4:$A$15,0))</f>
        <v/>
      </c>
      <c r="F569" s="80">
        <f>15*(C569-12)</f>
        <v/>
      </c>
      <c r="G569" s="80">
        <f>-COS(RADIANS(E569))*SIN(RADIANS(F569))</f>
        <v/>
      </c>
      <c r="H569" s="80">
        <f>COS(RADIANS('11_발전량_모델'!$B$17))*SIN(RADIANS(E569))-SIN(RADIANS('11_발전량_모델'!$B$17))*COS(RADIANS(E569))*COS(RADIANS(F569))</f>
        <v/>
      </c>
      <c r="I569" s="80">
        <f>SIN(RADIANS('11_발전량_모델'!$B$17))*SIN(RADIANS(E569))+COS(RADIANS('11_발전량_모델'!$B$17))*COS(RADIANS(E569))*COS(RADIANS(F569))</f>
        <v/>
      </c>
      <c r="J569" s="80">
        <f>SIN(RADIANS('11_발전량_모델'!$B$7))*SIN(RADIANS('11_발전량_모델'!$B$8))</f>
        <v/>
      </c>
      <c r="K569" s="80">
        <f>SIN(RADIANS('11_발전량_모델'!$B$7))*COS(RADIANS('11_발전량_모델'!$B$8))</f>
        <v/>
      </c>
      <c r="L569" s="80">
        <f>COS(RADIANS('11_발전량_모델'!$B$7))</f>
        <v/>
      </c>
      <c r="M569" s="80">
        <f>G569*J569+H569*K569+I569*L569</f>
        <v/>
      </c>
      <c r="N569" s="80">
        <f>MAX(0,I569)</f>
        <v/>
      </c>
      <c r="O569" s="80">
        <f>IF(I569&gt;0,MAX(0,M569),0)</f>
        <v/>
      </c>
      <c r="P569" s="80">
        <f>IF($I569&gt;0,MAX(0,$G569*SIN(RADIANS('13_시나리오비교'!$B$5))*SIN(RADIANS('13_시나리오비교'!$C$5))+$H569*SIN(RADIANS('13_시나리오비교'!$B$5))*COS(RADIANS('13_시나리오비교'!$C$5))+$I569*COS(RADIANS('13_시나리오비교'!$B$5))),0)</f>
        <v/>
      </c>
      <c r="Q569" s="80">
        <f>IF($I569&gt;0,MAX(0,$G569*SIN(RADIANS('13_시나리오비교'!$B$6))*SIN(RADIANS('13_시나리오비교'!$C$6))+$H569*SIN(RADIANS('13_시나리오비교'!$B$6))*COS(RADIANS('13_시나리오비교'!$C$6))+$I569*COS(RADIANS('13_시나리오비교'!$B$6))),0)</f>
        <v/>
      </c>
      <c r="R569" s="80">
        <f>IF($I569&gt;0,MAX(0,$G569*SIN(RADIANS('13_시나리오비교'!$B$7))*SIN(RADIANS('13_시나리오비교'!$C$7))+$H569*SIN(RADIANS('13_시나리오비교'!$B$7))*COS(RADIANS('13_시나리오비교'!$C$7))+$I569*COS(RADIANS('13_시나리오비교'!$B$7))),0)</f>
        <v/>
      </c>
      <c r="S569" s="80">
        <f>IF($I569&gt;0,MAX(0,$G569*SIN(RADIANS('13_시나리오비교'!$B$8))*SIN(RADIANS('13_시나리오비교'!$C$8))+$H569*SIN(RADIANS('13_시나리오비교'!$B$8))*COS(RADIANS('13_시나리오비교'!$C$8))+$I569*COS(RADIANS('13_시나리오비교'!$B$8))),0)</f>
        <v/>
      </c>
      <c r="T569" s="80">
        <f>IF($I569&gt;0,MAX(0,$G569*SIN(RADIANS('13_시나리오비교'!$B$9))*SIN(RADIANS('13_시나리오비교'!$C$9))+$H569*SIN(RADIANS('13_시나리오비교'!$B$9))*COS(RADIANS('13_시나리오비교'!$C$9))+$I569*COS(RADIANS('13_시나리오비교'!$B$9))),0)</f>
        <v/>
      </c>
      <c r="U569" s="80">
        <f>IF($I569&gt;0,MAX(0,$G569*SIN(RADIANS('13_시나리오비교'!$B$10))*SIN(RADIANS('13_시나리오비교'!$C$10))+$H569*SIN(RADIANS('13_시나리오비교'!$B$10))*COS(RADIANS('13_시나리오비교'!$C$10))+$I569*COS(RADIANS('13_시나리오비교'!$B$10))),0)</f>
        <v/>
      </c>
      <c r="V569" s="80">
        <f>IF($I569&gt;0,MAX(0,$G569*SIN(RADIANS('13_시나리오비교'!$B$11))*SIN(RADIANS('13_시나리오비교'!$C$11))+$H569*SIN(RADIANS('13_시나리오비교'!$B$11))*COS(RADIANS('13_시나리오비교'!$C$11))+$I569*COS(RADIANS('13_시나리오비교'!$B$11))),0)</f>
        <v/>
      </c>
      <c r="W569" s="80">
        <f>IF($I569&gt;0,MAX(0,$G569*SIN(RADIANS('13_시나리오비교'!$B$12))*SIN(RADIANS('13_시나리오비교'!$C$12))+$H569*SIN(RADIANS('13_시나리오비교'!$B$12))*COS(RADIANS('13_시나리오비교'!$C$12))+$I569*COS(RADIANS('13_시나리오비교'!$B$12))),0)</f>
        <v/>
      </c>
      <c r="X569" s="80">
        <f>IF($I569&gt;0,MAX(0,$G569*SIN(RADIANS('13_시나리오비교'!$B$13))*SIN(RADIANS('13_시나리오비교'!$C$13))+$H569*SIN(RADIANS('13_시나리오비교'!$B$13))*COS(RADIANS('13_시나리오비교'!$C$13))+$I569*COS(RADIANS('13_시나리오비교'!$B$13))),0)</f>
        <v/>
      </c>
      <c r="Y569" s="80">
        <f>IF($I569&gt;0,MAX(0,$G569*SIN(RADIANS('13_시나리오비교'!$B$14))*SIN(RADIANS('13_시나리오비교'!$C$14))+$H569*SIN(RADIANS('13_시나리오비교'!$B$14))*COS(RADIANS('13_시나리오비교'!$C$14))+$I569*COS(RADIANS('13_시나리오비교'!$B$14))),0)</f>
        <v/>
      </c>
    </row>
    <row r="570" hidden="1" outlineLevel="1">
      <c r="A570" s="79" t="n">
        <v>6</v>
      </c>
      <c r="B570" s="79" t="n">
        <v>70</v>
      </c>
      <c r="C570" s="80">
        <f>(B570-0.5)*'14_지역·상수'!$H$6</f>
        <v/>
      </c>
      <c r="D570" s="79" t="n">
        <v>162</v>
      </c>
      <c r="E570" s="80">
        <f>INDEX($C$4:$C$15,MATCH(A570,$A$4:$A$15,0))</f>
        <v/>
      </c>
      <c r="F570" s="80">
        <f>15*(C570-12)</f>
        <v/>
      </c>
      <c r="G570" s="80">
        <f>-COS(RADIANS(E570))*SIN(RADIANS(F570))</f>
        <v/>
      </c>
      <c r="H570" s="80">
        <f>COS(RADIANS('11_발전량_모델'!$B$17))*SIN(RADIANS(E570))-SIN(RADIANS('11_발전량_모델'!$B$17))*COS(RADIANS(E570))*COS(RADIANS(F570))</f>
        <v/>
      </c>
      <c r="I570" s="80">
        <f>SIN(RADIANS('11_발전량_모델'!$B$17))*SIN(RADIANS(E570))+COS(RADIANS('11_발전량_모델'!$B$17))*COS(RADIANS(E570))*COS(RADIANS(F570))</f>
        <v/>
      </c>
      <c r="J570" s="80">
        <f>SIN(RADIANS('11_발전량_모델'!$B$7))*SIN(RADIANS('11_발전량_모델'!$B$8))</f>
        <v/>
      </c>
      <c r="K570" s="80">
        <f>SIN(RADIANS('11_발전량_모델'!$B$7))*COS(RADIANS('11_발전량_모델'!$B$8))</f>
        <v/>
      </c>
      <c r="L570" s="80">
        <f>COS(RADIANS('11_발전량_모델'!$B$7))</f>
        <v/>
      </c>
      <c r="M570" s="80">
        <f>G570*J570+H570*K570+I570*L570</f>
        <v/>
      </c>
      <c r="N570" s="80">
        <f>MAX(0,I570)</f>
        <v/>
      </c>
      <c r="O570" s="80">
        <f>IF(I570&gt;0,MAX(0,M570),0)</f>
        <v/>
      </c>
      <c r="P570" s="80">
        <f>IF($I570&gt;0,MAX(0,$G570*SIN(RADIANS('13_시나리오비교'!$B$5))*SIN(RADIANS('13_시나리오비교'!$C$5))+$H570*SIN(RADIANS('13_시나리오비교'!$B$5))*COS(RADIANS('13_시나리오비교'!$C$5))+$I570*COS(RADIANS('13_시나리오비교'!$B$5))),0)</f>
        <v/>
      </c>
      <c r="Q570" s="80">
        <f>IF($I570&gt;0,MAX(0,$G570*SIN(RADIANS('13_시나리오비교'!$B$6))*SIN(RADIANS('13_시나리오비교'!$C$6))+$H570*SIN(RADIANS('13_시나리오비교'!$B$6))*COS(RADIANS('13_시나리오비교'!$C$6))+$I570*COS(RADIANS('13_시나리오비교'!$B$6))),0)</f>
        <v/>
      </c>
      <c r="R570" s="80">
        <f>IF($I570&gt;0,MAX(0,$G570*SIN(RADIANS('13_시나리오비교'!$B$7))*SIN(RADIANS('13_시나리오비교'!$C$7))+$H570*SIN(RADIANS('13_시나리오비교'!$B$7))*COS(RADIANS('13_시나리오비교'!$C$7))+$I570*COS(RADIANS('13_시나리오비교'!$B$7))),0)</f>
        <v/>
      </c>
      <c r="S570" s="80">
        <f>IF($I570&gt;0,MAX(0,$G570*SIN(RADIANS('13_시나리오비교'!$B$8))*SIN(RADIANS('13_시나리오비교'!$C$8))+$H570*SIN(RADIANS('13_시나리오비교'!$B$8))*COS(RADIANS('13_시나리오비교'!$C$8))+$I570*COS(RADIANS('13_시나리오비교'!$B$8))),0)</f>
        <v/>
      </c>
      <c r="T570" s="80">
        <f>IF($I570&gt;0,MAX(0,$G570*SIN(RADIANS('13_시나리오비교'!$B$9))*SIN(RADIANS('13_시나리오비교'!$C$9))+$H570*SIN(RADIANS('13_시나리오비교'!$B$9))*COS(RADIANS('13_시나리오비교'!$C$9))+$I570*COS(RADIANS('13_시나리오비교'!$B$9))),0)</f>
        <v/>
      </c>
      <c r="U570" s="80">
        <f>IF($I570&gt;0,MAX(0,$G570*SIN(RADIANS('13_시나리오비교'!$B$10))*SIN(RADIANS('13_시나리오비교'!$C$10))+$H570*SIN(RADIANS('13_시나리오비교'!$B$10))*COS(RADIANS('13_시나리오비교'!$C$10))+$I570*COS(RADIANS('13_시나리오비교'!$B$10))),0)</f>
        <v/>
      </c>
      <c r="V570" s="80">
        <f>IF($I570&gt;0,MAX(0,$G570*SIN(RADIANS('13_시나리오비교'!$B$11))*SIN(RADIANS('13_시나리오비교'!$C$11))+$H570*SIN(RADIANS('13_시나리오비교'!$B$11))*COS(RADIANS('13_시나리오비교'!$C$11))+$I570*COS(RADIANS('13_시나리오비교'!$B$11))),0)</f>
        <v/>
      </c>
      <c r="W570" s="80">
        <f>IF($I570&gt;0,MAX(0,$G570*SIN(RADIANS('13_시나리오비교'!$B$12))*SIN(RADIANS('13_시나리오비교'!$C$12))+$H570*SIN(RADIANS('13_시나리오비교'!$B$12))*COS(RADIANS('13_시나리오비교'!$C$12))+$I570*COS(RADIANS('13_시나리오비교'!$B$12))),0)</f>
        <v/>
      </c>
      <c r="X570" s="80">
        <f>IF($I570&gt;0,MAX(0,$G570*SIN(RADIANS('13_시나리오비교'!$B$13))*SIN(RADIANS('13_시나리오비교'!$C$13))+$H570*SIN(RADIANS('13_시나리오비교'!$B$13))*COS(RADIANS('13_시나리오비교'!$C$13))+$I570*COS(RADIANS('13_시나리오비교'!$B$13))),0)</f>
        <v/>
      </c>
      <c r="Y570" s="80">
        <f>IF($I570&gt;0,MAX(0,$G570*SIN(RADIANS('13_시나리오비교'!$B$14))*SIN(RADIANS('13_시나리오비교'!$C$14))+$H570*SIN(RADIANS('13_시나리오비교'!$B$14))*COS(RADIANS('13_시나리오비교'!$C$14))+$I570*COS(RADIANS('13_시나리오비교'!$B$14))),0)</f>
        <v/>
      </c>
    </row>
    <row r="571" hidden="1" outlineLevel="1">
      <c r="A571" s="79" t="n">
        <v>6</v>
      </c>
      <c r="B571" s="79" t="n">
        <v>71</v>
      </c>
      <c r="C571" s="80">
        <f>(B571-0.5)*'14_지역·상수'!$H$6</f>
        <v/>
      </c>
      <c r="D571" s="79" t="n">
        <v>162</v>
      </c>
      <c r="E571" s="80">
        <f>INDEX($C$4:$C$15,MATCH(A571,$A$4:$A$15,0))</f>
        <v/>
      </c>
      <c r="F571" s="80">
        <f>15*(C571-12)</f>
        <v/>
      </c>
      <c r="G571" s="80">
        <f>-COS(RADIANS(E571))*SIN(RADIANS(F571))</f>
        <v/>
      </c>
      <c r="H571" s="80">
        <f>COS(RADIANS('11_발전량_모델'!$B$17))*SIN(RADIANS(E571))-SIN(RADIANS('11_발전량_모델'!$B$17))*COS(RADIANS(E571))*COS(RADIANS(F571))</f>
        <v/>
      </c>
      <c r="I571" s="80">
        <f>SIN(RADIANS('11_발전량_모델'!$B$17))*SIN(RADIANS(E571))+COS(RADIANS('11_발전량_모델'!$B$17))*COS(RADIANS(E571))*COS(RADIANS(F571))</f>
        <v/>
      </c>
      <c r="J571" s="80">
        <f>SIN(RADIANS('11_발전량_모델'!$B$7))*SIN(RADIANS('11_발전량_모델'!$B$8))</f>
        <v/>
      </c>
      <c r="K571" s="80">
        <f>SIN(RADIANS('11_발전량_모델'!$B$7))*COS(RADIANS('11_발전량_모델'!$B$8))</f>
        <v/>
      </c>
      <c r="L571" s="80">
        <f>COS(RADIANS('11_발전량_모델'!$B$7))</f>
        <v/>
      </c>
      <c r="M571" s="80">
        <f>G571*J571+H571*K571+I571*L571</f>
        <v/>
      </c>
      <c r="N571" s="80">
        <f>MAX(0,I571)</f>
        <v/>
      </c>
      <c r="O571" s="80">
        <f>IF(I571&gt;0,MAX(0,M571),0)</f>
        <v/>
      </c>
      <c r="P571" s="80">
        <f>IF($I571&gt;0,MAX(0,$G571*SIN(RADIANS('13_시나리오비교'!$B$5))*SIN(RADIANS('13_시나리오비교'!$C$5))+$H571*SIN(RADIANS('13_시나리오비교'!$B$5))*COS(RADIANS('13_시나리오비교'!$C$5))+$I571*COS(RADIANS('13_시나리오비교'!$B$5))),0)</f>
        <v/>
      </c>
      <c r="Q571" s="80">
        <f>IF($I571&gt;0,MAX(0,$G571*SIN(RADIANS('13_시나리오비교'!$B$6))*SIN(RADIANS('13_시나리오비교'!$C$6))+$H571*SIN(RADIANS('13_시나리오비교'!$B$6))*COS(RADIANS('13_시나리오비교'!$C$6))+$I571*COS(RADIANS('13_시나리오비교'!$B$6))),0)</f>
        <v/>
      </c>
      <c r="R571" s="80">
        <f>IF($I571&gt;0,MAX(0,$G571*SIN(RADIANS('13_시나리오비교'!$B$7))*SIN(RADIANS('13_시나리오비교'!$C$7))+$H571*SIN(RADIANS('13_시나리오비교'!$B$7))*COS(RADIANS('13_시나리오비교'!$C$7))+$I571*COS(RADIANS('13_시나리오비교'!$B$7))),0)</f>
        <v/>
      </c>
      <c r="S571" s="80">
        <f>IF($I571&gt;0,MAX(0,$G571*SIN(RADIANS('13_시나리오비교'!$B$8))*SIN(RADIANS('13_시나리오비교'!$C$8))+$H571*SIN(RADIANS('13_시나리오비교'!$B$8))*COS(RADIANS('13_시나리오비교'!$C$8))+$I571*COS(RADIANS('13_시나리오비교'!$B$8))),0)</f>
        <v/>
      </c>
      <c r="T571" s="80">
        <f>IF($I571&gt;0,MAX(0,$G571*SIN(RADIANS('13_시나리오비교'!$B$9))*SIN(RADIANS('13_시나리오비교'!$C$9))+$H571*SIN(RADIANS('13_시나리오비교'!$B$9))*COS(RADIANS('13_시나리오비교'!$C$9))+$I571*COS(RADIANS('13_시나리오비교'!$B$9))),0)</f>
        <v/>
      </c>
      <c r="U571" s="80">
        <f>IF($I571&gt;0,MAX(0,$G571*SIN(RADIANS('13_시나리오비교'!$B$10))*SIN(RADIANS('13_시나리오비교'!$C$10))+$H571*SIN(RADIANS('13_시나리오비교'!$B$10))*COS(RADIANS('13_시나리오비교'!$C$10))+$I571*COS(RADIANS('13_시나리오비교'!$B$10))),0)</f>
        <v/>
      </c>
      <c r="V571" s="80">
        <f>IF($I571&gt;0,MAX(0,$G571*SIN(RADIANS('13_시나리오비교'!$B$11))*SIN(RADIANS('13_시나리오비교'!$C$11))+$H571*SIN(RADIANS('13_시나리오비교'!$B$11))*COS(RADIANS('13_시나리오비교'!$C$11))+$I571*COS(RADIANS('13_시나리오비교'!$B$11))),0)</f>
        <v/>
      </c>
      <c r="W571" s="80">
        <f>IF($I571&gt;0,MAX(0,$G571*SIN(RADIANS('13_시나리오비교'!$B$12))*SIN(RADIANS('13_시나리오비교'!$C$12))+$H571*SIN(RADIANS('13_시나리오비교'!$B$12))*COS(RADIANS('13_시나리오비교'!$C$12))+$I571*COS(RADIANS('13_시나리오비교'!$B$12))),0)</f>
        <v/>
      </c>
      <c r="X571" s="80">
        <f>IF($I571&gt;0,MAX(0,$G571*SIN(RADIANS('13_시나리오비교'!$B$13))*SIN(RADIANS('13_시나리오비교'!$C$13))+$H571*SIN(RADIANS('13_시나리오비교'!$B$13))*COS(RADIANS('13_시나리오비교'!$C$13))+$I571*COS(RADIANS('13_시나리오비교'!$B$13))),0)</f>
        <v/>
      </c>
      <c r="Y571" s="80">
        <f>IF($I571&gt;0,MAX(0,$G571*SIN(RADIANS('13_시나리오비교'!$B$14))*SIN(RADIANS('13_시나리오비교'!$C$14))+$H571*SIN(RADIANS('13_시나리오비교'!$B$14))*COS(RADIANS('13_시나리오비교'!$C$14))+$I571*COS(RADIANS('13_시나리오비교'!$B$14))),0)</f>
        <v/>
      </c>
    </row>
    <row r="572" hidden="1" outlineLevel="1">
      <c r="A572" s="79" t="n">
        <v>6</v>
      </c>
      <c r="B572" s="79" t="n">
        <v>72</v>
      </c>
      <c r="C572" s="80">
        <f>(B572-0.5)*'14_지역·상수'!$H$6</f>
        <v/>
      </c>
      <c r="D572" s="79" t="n">
        <v>162</v>
      </c>
      <c r="E572" s="80">
        <f>INDEX($C$4:$C$15,MATCH(A572,$A$4:$A$15,0))</f>
        <v/>
      </c>
      <c r="F572" s="80">
        <f>15*(C572-12)</f>
        <v/>
      </c>
      <c r="G572" s="80">
        <f>-COS(RADIANS(E572))*SIN(RADIANS(F572))</f>
        <v/>
      </c>
      <c r="H572" s="80">
        <f>COS(RADIANS('11_발전량_모델'!$B$17))*SIN(RADIANS(E572))-SIN(RADIANS('11_발전량_모델'!$B$17))*COS(RADIANS(E572))*COS(RADIANS(F572))</f>
        <v/>
      </c>
      <c r="I572" s="80">
        <f>SIN(RADIANS('11_발전량_모델'!$B$17))*SIN(RADIANS(E572))+COS(RADIANS('11_발전량_모델'!$B$17))*COS(RADIANS(E572))*COS(RADIANS(F572))</f>
        <v/>
      </c>
      <c r="J572" s="80">
        <f>SIN(RADIANS('11_발전량_모델'!$B$7))*SIN(RADIANS('11_발전량_모델'!$B$8))</f>
        <v/>
      </c>
      <c r="K572" s="80">
        <f>SIN(RADIANS('11_발전량_모델'!$B$7))*COS(RADIANS('11_발전량_모델'!$B$8))</f>
        <v/>
      </c>
      <c r="L572" s="80">
        <f>COS(RADIANS('11_발전량_모델'!$B$7))</f>
        <v/>
      </c>
      <c r="M572" s="80">
        <f>G572*J572+H572*K572+I572*L572</f>
        <v/>
      </c>
      <c r="N572" s="80">
        <f>MAX(0,I572)</f>
        <v/>
      </c>
      <c r="O572" s="80">
        <f>IF(I572&gt;0,MAX(0,M572),0)</f>
        <v/>
      </c>
      <c r="P572" s="80">
        <f>IF($I572&gt;0,MAX(0,$G572*SIN(RADIANS('13_시나리오비교'!$B$5))*SIN(RADIANS('13_시나리오비교'!$C$5))+$H572*SIN(RADIANS('13_시나리오비교'!$B$5))*COS(RADIANS('13_시나리오비교'!$C$5))+$I572*COS(RADIANS('13_시나리오비교'!$B$5))),0)</f>
        <v/>
      </c>
      <c r="Q572" s="80">
        <f>IF($I572&gt;0,MAX(0,$G572*SIN(RADIANS('13_시나리오비교'!$B$6))*SIN(RADIANS('13_시나리오비교'!$C$6))+$H572*SIN(RADIANS('13_시나리오비교'!$B$6))*COS(RADIANS('13_시나리오비교'!$C$6))+$I572*COS(RADIANS('13_시나리오비교'!$B$6))),0)</f>
        <v/>
      </c>
      <c r="R572" s="80">
        <f>IF($I572&gt;0,MAX(0,$G572*SIN(RADIANS('13_시나리오비교'!$B$7))*SIN(RADIANS('13_시나리오비교'!$C$7))+$H572*SIN(RADIANS('13_시나리오비교'!$B$7))*COS(RADIANS('13_시나리오비교'!$C$7))+$I572*COS(RADIANS('13_시나리오비교'!$B$7))),0)</f>
        <v/>
      </c>
      <c r="S572" s="80">
        <f>IF($I572&gt;0,MAX(0,$G572*SIN(RADIANS('13_시나리오비교'!$B$8))*SIN(RADIANS('13_시나리오비교'!$C$8))+$H572*SIN(RADIANS('13_시나리오비교'!$B$8))*COS(RADIANS('13_시나리오비교'!$C$8))+$I572*COS(RADIANS('13_시나리오비교'!$B$8))),0)</f>
        <v/>
      </c>
      <c r="T572" s="80">
        <f>IF($I572&gt;0,MAX(0,$G572*SIN(RADIANS('13_시나리오비교'!$B$9))*SIN(RADIANS('13_시나리오비교'!$C$9))+$H572*SIN(RADIANS('13_시나리오비교'!$B$9))*COS(RADIANS('13_시나리오비교'!$C$9))+$I572*COS(RADIANS('13_시나리오비교'!$B$9))),0)</f>
        <v/>
      </c>
      <c r="U572" s="80">
        <f>IF($I572&gt;0,MAX(0,$G572*SIN(RADIANS('13_시나리오비교'!$B$10))*SIN(RADIANS('13_시나리오비교'!$C$10))+$H572*SIN(RADIANS('13_시나리오비교'!$B$10))*COS(RADIANS('13_시나리오비교'!$C$10))+$I572*COS(RADIANS('13_시나리오비교'!$B$10))),0)</f>
        <v/>
      </c>
      <c r="V572" s="80">
        <f>IF($I572&gt;0,MAX(0,$G572*SIN(RADIANS('13_시나리오비교'!$B$11))*SIN(RADIANS('13_시나리오비교'!$C$11))+$H572*SIN(RADIANS('13_시나리오비교'!$B$11))*COS(RADIANS('13_시나리오비교'!$C$11))+$I572*COS(RADIANS('13_시나리오비교'!$B$11))),0)</f>
        <v/>
      </c>
      <c r="W572" s="80">
        <f>IF($I572&gt;0,MAX(0,$G572*SIN(RADIANS('13_시나리오비교'!$B$12))*SIN(RADIANS('13_시나리오비교'!$C$12))+$H572*SIN(RADIANS('13_시나리오비교'!$B$12))*COS(RADIANS('13_시나리오비교'!$C$12))+$I572*COS(RADIANS('13_시나리오비교'!$B$12))),0)</f>
        <v/>
      </c>
      <c r="X572" s="80">
        <f>IF($I572&gt;0,MAX(0,$G572*SIN(RADIANS('13_시나리오비교'!$B$13))*SIN(RADIANS('13_시나리오비교'!$C$13))+$H572*SIN(RADIANS('13_시나리오비교'!$B$13))*COS(RADIANS('13_시나리오비교'!$C$13))+$I572*COS(RADIANS('13_시나리오비교'!$B$13))),0)</f>
        <v/>
      </c>
      <c r="Y572" s="80">
        <f>IF($I572&gt;0,MAX(0,$G572*SIN(RADIANS('13_시나리오비교'!$B$14))*SIN(RADIANS('13_시나리오비교'!$C$14))+$H572*SIN(RADIANS('13_시나리오비교'!$B$14))*COS(RADIANS('13_시나리오비교'!$C$14))+$I572*COS(RADIANS('13_시나리오비교'!$B$14))),0)</f>
        <v/>
      </c>
    </row>
    <row r="573" hidden="1" outlineLevel="1">
      <c r="A573" s="79" t="n">
        <v>6</v>
      </c>
      <c r="B573" s="79" t="n">
        <v>73</v>
      </c>
      <c r="C573" s="80">
        <f>(B573-0.5)*'14_지역·상수'!$H$6</f>
        <v/>
      </c>
      <c r="D573" s="79" t="n">
        <v>162</v>
      </c>
      <c r="E573" s="80">
        <f>INDEX($C$4:$C$15,MATCH(A573,$A$4:$A$15,0))</f>
        <v/>
      </c>
      <c r="F573" s="80">
        <f>15*(C573-12)</f>
        <v/>
      </c>
      <c r="G573" s="80">
        <f>-COS(RADIANS(E573))*SIN(RADIANS(F573))</f>
        <v/>
      </c>
      <c r="H573" s="80">
        <f>COS(RADIANS('11_발전량_모델'!$B$17))*SIN(RADIANS(E573))-SIN(RADIANS('11_발전량_모델'!$B$17))*COS(RADIANS(E573))*COS(RADIANS(F573))</f>
        <v/>
      </c>
      <c r="I573" s="80">
        <f>SIN(RADIANS('11_발전량_모델'!$B$17))*SIN(RADIANS(E573))+COS(RADIANS('11_발전량_모델'!$B$17))*COS(RADIANS(E573))*COS(RADIANS(F573))</f>
        <v/>
      </c>
      <c r="J573" s="80">
        <f>SIN(RADIANS('11_발전량_모델'!$B$7))*SIN(RADIANS('11_발전량_모델'!$B$8))</f>
        <v/>
      </c>
      <c r="K573" s="80">
        <f>SIN(RADIANS('11_발전량_모델'!$B$7))*COS(RADIANS('11_발전량_모델'!$B$8))</f>
        <v/>
      </c>
      <c r="L573" s="80">
        <f>COS(RADIANS('11_발전량_모델'!$B$7))</f>
        <v/>
      </c>
      <c r="M573" s="80">
        <f>G573*J573+H573*K573+I573*L573</f>
        <v/>
      </c>
      <c r="N573" s="80">
        <f>MAX(0,I573)</f>
        <v/>
      </c>
      <c r="O573" s="80">
        <f>IF(I573&gt;0,MAX(0,M573),0)</f>
        <v/>
      </c>
      <c r="P573" s="80">
        <f>IF($I573&gt;0,MAX(0,$G573*SIN(RADIANS('13_시나리오비교'!$B$5))*SIN(RADIANS('13_시나리오비교'!$C$5))+$H573*SIN(RADIANS('13_시나리오비교'!$B$5))*COS(RADIANS('13_시나리오비교'!$C$5))+$I573*COS(RADIANS('13_시나리오비교'!$B$5))),0)</f>
        <v/>
      </c>
      <c r="Q573" s="80">
        <f>IF($I573&gt;0,MAX(0,$G573*SIN(RADIANS('13_시나리오비교'!$B$6))*SIN(RADIANS('13_시나리오비교'!$C$6))+$H573*SIN(RADIANS('13_시나리오비교'!$B$6))*COS(RADIANS('13_시나리오비교'!$C$6))+$I573*COS(RADIANS('13_시나리오비교'!$B$6))),0)</f>
        <v/>
      </c>
      <c r="R573" s="80">
        <f>IF($I573&gt;0,MAX(0,$G573*SIN(RADIANS('13_시나리오비교'!$B$7))*SIN(RADIANS('13_시나리오비교'!$C$7))+$H573*SIN(RADIANS('13_시나리오비교'!$B$7))*COS(RADIANS('13_시나리오비교'!$C$7))+$I573*COS(RADIANS('13_시나리오비교'!$B$7))),0)</f>
        <v/>
      </c>
      <c r="S573" s="80">
        <f>IF($I573&gt;0,MAX(0,$G573*SIN(RADIANS('13_시나리오비교'!$B$8))*SIN(RADIANS('13_시나리오비교'!$C$8))+$H573*SIN(RADIANS('13_시나리오비교'!$B$8))*COS(RADIANS('13_시나리오비교'!$C$8))+$I573*COS(RADIANS('13_시나리오비교'!$B$8))),0)</f>
        <v/>
      </c>
      <c r="T573" s="80">
        <f>IF($I573&gt;0,MAX(0,$G573*SIN(RADIANS('13_시나리오비교'!$B$9))*SIN(RADIANS('13_시나리오비교'!$C$9))+$H573*SIN(RADIANS('13_시나리오비교'!$B$9))*COS(RADIANS('13_시나리오비교'!$C$9))+$I573*COS(RADIANS('13_시나리오비교'!$B$9))),0)</f>
        <v/>
      </c>
      <c r="U573" s="80">
        <f>IF($I573&gt;0,MAX(0,$G573*SIN(RADIANS('13_시나리오비교'!$B$10))*SIN(RADIANS('13_시나리오비교'!$C$10))+$H573*SIN(RADIANS('13_시나리오비교'!$B$10))*COS(RADIANS('13_시나리오비교'!$C$10))+$I573*COS(RADIANS('13_시나리오비교'!$B$10))),0)</f>
        <v/>
      </c>
      <c r="V573" s="80">
        <f>IF($I573&gt;0,MAX(0,$G573*SIN(RADIANS('13_시나리오비교'!$B$11))*SIN(RADIANS('13_시나리오비교'!$C$11))+$H573*SIN(RADIANS('13_시나리오비교'!$B$11))*COS(RADIANS('13_시나리오비교'!$C$11))+$I573*COS(RADIANS('13_시나리오비교'!$B$11))),0)</f>
        <v/>
      </c>
      <c r="W573" s="80">
        <f>IF($I573&gt;0,MAX(0,$G573*SIN(RADIANS('13_시나리오비교'!$B$12))*SIN(RADIANS('13_시나리오비교'!$C$12))+$H573*SIN(RADIANS('13_시나리오비교'!$B$12))*COS(RADIANS('13_시나리오비교'!$C$12))+$I573*COS(RADIANS('13_시나리오비교'!$B$12))),0)</f>
        <v/>
      </c>
      <c r="X573" s="80">
        <f>IF($I573&gt;0,MAX(0,$G573*SIN(RADIANS('13_시나리오비교'!$B$13))*SIN(RADIANS('13_시나리오비교'!$C$13))+$H573*SIN(RADIANS('13_시나리오비교'!$B$13))*COS(RADIANS('13_시나리오비교'!$C$13))+$I573*COS(RADIANS('13_시나리오비교'!$B$13))),0)</f>
        <v/>
      </c>
      <c r="Y573" s="80">
        <f>IF($I573&gt;0,MAX(0,$G573*SIN(RADIANS('13_시나리오비교'!$B$14))*SIN(RADIANS('13_시나리오비교'!$C$14))+$H573*SIN(RADIANS('13_시나리오비교'!$B$14))*COS(RADIANS('13_시나리오비교'!$C$14))+$I573*COS(RADIANS('13_시나리오비교'!$B$14))),0)</f>
        <v/>
      </c>
    </row>
    <row r="574" hidden="1" outlineLevel="1">
      <c r="A574" s="79" t="n">
        <v>6</v>
      </c>
      <c r="B574" s="79" t="n">
        <v>74</v>
      </c>
      <c r="C574" s="80">
        <f>(B574-0.5)*'14_지역·상수'!$H$6</f>
        <v/>
      </c>
      <c r="D574" s="79" t="n">
        <v>162</v>
      </c>
      <c r="E574" s="80">
        <f>INDEX($C$4:$C$15,MATCH(A574,$A$4:$A$15,0))</f>
        <v/>
      </c>
      <c r="F574" s="80">
        <f>15*(C574-12)</f>
        <v/>
      </c>
      <c r="G574" s="80">
        <f>-COS(RADIANS(E574))*SIN(RADIANS(F574))</f>
        <v/>
      </c>
      <c r="H574" s="80">
        <f>COS(RADIANS('11_발전량_모델'!$B$17))*SIN(RADIANS(E574))-SIN(RADIANS('11_발전량_모델'!$B$17))*COS(RADIANS(E574))*COS(RADIANS(F574))</f>
        <v/>
      </c>
      <c r="I574" s="80">
        <f>SIN(RADIANS('11_발전량_모델'!$B$17))*SIN(RADIANS(E574))+COS(RADIANS('11_발전량_모델'!$B$17))*COS(RADIANS(E574))*COS(RADIANS(F574))</f>
        <v/>
      </c>
      <c r="J574" s="80">
        <f>SIN(RADIANS('11_발전량_모델'!$B$7))*SIN(RADIANS('11_발전량_모델'!$B$8))</f>
        <v/>
      </c>
      <c r="K574" s="80">
        <f>SIN(RADIANS('11_발전량_모델'!$B$7))*COS(RADIANS('11_발전량_모델'!$B$8))</f>
        <v/>
      </c>
      <c r="L574" s="80">
        <f>COS(RADIANS('11_발전량_모델'!$B$7))</f>
        <v/>
      </c>
      <c r="M574" s="80">
        <f>G574*J574+H574*K574+I574*L574</f>
        <v/>
      </c>
      <c r="N574" s="80">
        <f>MAX(0,I574)</f>
        <v/>
      </c>
      <c r="O574" s="80">
        <f>IF(I574&gt;0,MAX(0,M574),0)</f>
        <v/>
      </c>
      <c r="P574" s="80">
        <f>IF($I574&gt;0,MAX(0,$G574*SIN(RADIANS('13_시나리오비교'!$B$5))*SIN(RADIANS('13_시나리오비교'!$C$5))+$H574*SIN(RADIANS('13_시나리오비교'!$B$5))*COS(RADIANS('13_시나리오비교'!$C$5))+$I574*COS(RADIANS('13_시나리오비교'!$B$5))),0)</f>
        <v/>
      </c>
      <c r="Q574" s="80">
        <f>IF($I574&gt;0,MAX(0,$G574*SIN(RADIANS('13_시나리오비교'!$B$6))*SIN(RADIANS('13_시나리오비교'!$C$6))+$H574*SIN(RADIANS('13_시나리오비교'!$B$6))*COS(RADIANS('13_시나리오비교'!$C$6))+$I574*COS(RADIANS('13_시나리오비교'!$B$6))),0)</f>
        <v/>
      </c>
      <c r="R574" s="80">
        <f>IF($I574&gt;0,MAX(0,$G574*SIN(RADIANS('13_시나리오비교'!$B$7))*SIN(RADIANS('13_시나리오비교'!$C$7))+$H574*SIN(RADIANS('13_시나리오비교'!$B$7))*COS(RADIANS('13_시나리오비교'!$C$7))+$I574*COS(RADIANS('13_시나리오비교'!$B$7))),0)</f>
        <v/>
      </c>
      <c r="S574" s="80">
        <f>IF($I574&gt;0,MAX(0,$G574*SIN(RADIANS('13_시나리오비교'!$B$8))*SIN(RADIANS('13_시나리오비교'!$C$8))+$H574*SIN(RADIANS('13_시나리오비교'!$B$8))*COS(RADIANS('13_시나리오비교'!$C$8))+$I574*COS(RADIANS('13_시나리오비교'!$B$8))),0)</f>
        <v/>
      </c>
      <c r="T574" s="80">
        <f>IF($I574&gt;0,MAX(0,$G574*SIN(RADIANS('13_시나리오비교'!$B$9))*SIN(RADIANS('13_시나리오비교'!$C$9))+$H574*SIN(RADIANS('13_시나리오비교'!$B$9))*COS(RADIANS('13_시나리오비교'!$C$9))+$I574*COS(RADIANS('13_시나리오비교'!$B$9))),0)</f>
        <v/>
      </c>
      <c r="U574" s="80">
        <f>IF($I574&gt;0,MAX(0,$G574*SIN(RADIANS('13_시나리오비교'!$B$10))*SIN(RADIANS('13_시나리오비교'!$C$10))+$H574*SIN(RADIANS('13_시나리오비교'!$B$10))*COS(RADIANS('13_시나리오비교'!$C$10))+$I574*COS(RADIANS('13_시나리오비교'!$B$10))),0)</f>
        <v/>
      </c>
      <c r="V574" s="80">
        <f>IF($I574&gt;0,MAX(0,$G574*SIN(RADIANS('13_시나리오비교'!$B$11))*SIN(RADIANS('13_시나리오비교'!$C$11))+$H574*SIN(RADIANS('13_시나리오비교'!$B$11))*COS(RADIANS('13_시나리오비교'!$C$11))+$I574*COS(RADIANS('13_시나리오비교'!$B$11))),0)</f>
        <v/>
      </c>
      <c r="W574" s="80">
        <f>IF($I574&gt;0,MAX(0,$G574*SIN(RADIANS('13_시나리오비교'!$B$12))*SIN(RADIANS('13_시나리오비교'!$C$12))+$H574*SIN(RADIANS('13_시나리오비교'!$B$12))*COS(RADIANS('13_시나리오비교'!$C$12))+$I574*COS(RADIANS('13_시나리오비교'!$B$12))),0)</f>
        <v/>
      </c>
      <c r="X574" s="80">
        <f>IF($I574&gt;0,MAX(0,$G574*SIN(RADIANS('13_시나리오비교'!$B$13))*SIN(RADIANS('13_시나리오비교'!$C$13))+$H574*SIN(RADIANS('13_시나리오비교'!$B$13))*COS(RADIANS('13_시나리오비교'!$C$13))+$I574*COS(RADIANS('13_시나리오비교'!$B$13))),0)</f>
        <v/>
      </c>
      <c r="Y574" s="80">
        <f>IF($I574&gt;0,MAX(0,$G574*SIN(RADIANS('13_시나리오비교'!$B$14))*SIN(RADIANS('13_시나리오비교'!$C$14))+$H574*SIN(RADIANS('13_시나리오비교'!$B$14))*COS(RADIANS('13_시나리오비교'!$C$14))+$I574*COS(RADIANS('13_시나리오비교'!$B$14))),0)</f>
        <v/>
      </c>
    </row>
    <row r="575" hidden="1" outlineLevel="1">
      <c r="A575" s="79" t="n">
        <v>6</v>
      </c>
      <c r="B575" s="79" t="n">
        <v>75</v>
      </c>
      <c r="C575" s="80">
        <f>(B575-0.5)*'14_지역·상수'!$H$6</f>
        <v/>
      </c>
      <c r="D575" s="79" t="n">
        <v>162</v>
      </c>
      <c r="E575" s="80">
        <f>INDEX($C$4:$C$15,MATCH(A575,$A$4:$A$15,0))</f>
        <v/>
      </c>
      <c r="F575" s="80">
        <f>15*(C575-12)</f>
        <v/>
      </c>
      <c r="G575" s="80">
        <f>-COS(RADIANS(E575))*SIN(RADIANS(F575))</f>
        <v/>
      </c>
      <c r="H575" s="80">
        <f>COS(RADIANS('11_발전량_모델'!$B$17))*SIN(RADIANS(E575))-SIN(RADIANS('11_발전량_모델'!$B$17))*COS(RADIANS(E575))*COS(RADIANS(F575))</f>
        <v/>
      </c>
      <c r="I575" s="80">
        <f>SIN(RADIANS('11_발전량_모델'!$B$17))*SIN(RADIANS(E575))+COS(RADIANS('11_발전량_모델'!$B$17))*COS(RADIANS(E575))*COS(RADIANS(F575))</f>
        <v/>
      </c>
      <c r="J575" s="80">
        <f>SIN(RADIANS('11_발전량_모델'!$B$7))*SIN(RADIANS('11_발전량_모델'!$B$8))</f>
        <v/>
      </c>
      <c r="K575" s="80">
        <f>SIN(RADIANS('11_발전량_모델'!$B$7))*COS(RADIANS('11_발전량_모델'!$B$8))</f>
        <v/>
      </c>
      <c r="L575" s="80">
        <f>COS(RADIANS('11_발전량_모델'!$B$7))</f>
        <v/>
      </c>
      <c r="M575" s="80">
        <f>G575*J575+H575*K575+I575*L575</f>
        <v/>
      </c>
      <c r="N575" s="80">
        <f>MAX(0,I575)</f>
        <v/>
      </c>
      <c r="O575" s="80">
        <f>IF(I575&gt;0,MAX(0,M575),0)</f>
        <v/>
      </c>
      <c r="P575" s="80">
        <f>IF($I575&gt;0,MAX(0,$G575*SIN(RADIANS('13_시나리오비교'!$B$5))*SIN(RADIANS('13_시나리오비교'!$C$5))+$H575*SIN(RADIANS('13_시나리오비교'!$B$5))*COS(RADIANS('13_시나리오비교'!$C$5))+$I575*COS(RADIANS('13_시나리오비교'!$B$5))),0)</f>
        <v/>
      </c>
      <c r="Q575" s="80">
        <f>IF($I575&gt;0,MAX(0,$G575*SIN(RADIANS('13_시나리오비교'!$B$6))*SIN(RADIANS('13_시나리오비교'!$C$6))+$H575*SIN(RADIANS('13_시나리오비교'!$B$6))*COS(RADIANS('13_시나리오비교'!$C$6))+$I575*COS(RADIANS('13_시나리오비교'!$B$6))),0)</f>
        <v/>
      </c>
      <c r="R575" s="80">
        <f>IF($I575&gt;0,MAX(0,$G575*SIN(RADIANS('13_시나리오비교'!$B$7))*SIN(RADIANS('13_시나리오비교'!$C$7))+$H575*SIN(RADIANS('13_시나리오비교'!$B$7))*COS(RADIANS('13_시나리오비교'!$C$7))+$I575*COS(RADIANS('13_시나리오비교'!$B$7))),0)</f>
        <v/>
      </c>
      <c r="S575" s="80">
        <f>IF($I575&gt;0,MAX(0,$G575*SIN(RADIANS('13_시나리오비교'!$B$8))*SIN(RADIANS('13_시나리오비교'!$C$8))+$H575*SIN(RADIANS('13_시나리오비교'!$B$8))*COS(RADIANS('13_시나리오비교'!$C$8))+$I575*COS(RADIANS('13_시나리오비교'!$B$8))),0)</f>
        <v/>
      </c>
      <c r="T575" s="80">
        <f>IF($I575&gt;0,MAX(0,$G575*SIN(RADIANS('13_시나리오비교'!$B$9))*SIN(RADIANS('13_시나리오비교'!$C$9))+$H575*SIN(RADIANS('13_시나리오비교'!$B$9))*COS(RADIANS('13_시나리오비교'!$C$9))+$I575*COS(RADIANS('13_시나리오비교'!$B$9))),0)</f>
        <v/>
      </c>
      <c r="U575" s="80">
        <f>IF($I575&gt;0,MAX(0,$G575*SIN(RADIANS('13_시나리오비교'!$B$10))*SIN(RADIANS('13_시나리오비교'!$C$10))+$H575*SIN(RADIANS('13_시나리오비교'!$B$10))*COS(RADIANS('13_시나리오비교'!$C$10))+$I575*COS(RADIANS('13_시나리오비교'!$B$10))),0)</f>
        <v/>
      </c>
      <c r="V575" s="80">
        <f>IF($I575&gt;0,MAX(0,$G575*SIN(RADIANS('13_시나리오비교'!$B$11))*SIN(RADIANS('13_시나리오비교'!$C$11))+$H575*SIN(RADIANS('13_시나리오비교'!$B$11))*COS(RADIANS('13_시나리오비교'!$C$11))+$I575*COS(RADIANS('13_시나리오비교'!$B$11))),0)</f>
        <v/>
      </c>
      <c r="W575" s="80">
        <f>IF($I575&gt;0,MAX(0,$G575*SIN(RADIANS('13_시나리오비교'!$B$12))*SIN(RADIANS('13_시나리오비교'!$C$12))+$H575*SIN(RADIANS('13_시나리오비교'!$B$12))*COS(RADIANS('13_시나리오비교'!$C$12))+$I575*COS(RADIANS('13_시나리오비교'!$B$12))),0)</f>
        <v/>
      </c>
      <c r="X575" s="80">
        <f>IF($I575&gt;0,MAX(0,$G575*SIN(RADIANS('13_시나리오비교'!$B$13))*SIN(RADIANS('13_시나리오비교'!$C$13))+$H575*SIN(RADIANS('13_시나리오비교'!$B$13))*COS(RADIANS('13_시나리오비교'!$C$13))+$I575*COS(RADIANS('13_시나리오비교'!$B$13))),0)</f>
        <v/>
      </c>
      <c r="Y575" s="80">
        <f>IF($I575&gt;0,MAX(0,$G575*SIN(RADIANS('13_시나리오비교'!$B$14))*SIN(RADIANS('13_시나리오비교'!$C$14))+$H575*SIN(RADIANS('13_시나리오비교'!$B$14))*COS(RADIANS('13_시나리오비교'!$C$14))+$I575*COS(RADIANS('13_시나리오비교'!$B$14))),0)</f>
        <v/>
      </c>
    </row>
    <row r="576" hidden="1" outlineLevel="1">
      <c r="A576" s="79" t="n">
        <v>6</v>
      </c>
      <c r="B576" s="79" t="n">
        <v>76</v>
      </c>
      <c r="C576" s="80">
        <f>(B576-0.5)*'14_지역·상수'!$H$6</f>
        <v/>
      </c>
      <c r="D576" s="79" t="n">
        <v>162</v>
      </c>
      <c r="E576" s="80">
        <f>INDEX($C$4:$C$15,MATCH(A576,$A$4:$A$15,0))</f>
        <v/>
      </c>
      <c r="F576" s="80">
        <f>15*(C576-12)</f>
        <v/>
      </c>
      <c r="G576" s="80">
        <f>-COS(RADIANS(E576))*SIN(RADIANS(F576))</f>
        <v/>
      </c>
      <c r="H576" s="80">
        <f>COS(RADIANS('11_발전량_모델'!$B$17))*SIN(RADIANS(E576))-SIN(RADIANS('11_발전량_모델'!$B$17))*COS(RADIANS(E576))*COS(RADIANS(F576))</f>
        <v/>
      </c>
      <c r="I576" s="80">
        <f>SIN(RADIANS('11_발전량_모델'!$B$17))*SIN(RADIANS(E576))+COS(RADIANS('11_발전량_모델'!$B$17))*COS(RADIANS(E576))*COS(RADIANS(F576))</f>
        <v/>
      </c>
      <c r="J576" s="80">
        <f>SIN(RADIANS('11_발전량_모델'!$B$7))*SIN(RADIANS('11_발전량_모델'!$B$8))</f>
        <v/>
      </c>
      <c r="K576" s="80">
        <f>SIN(RADIANS('11_발전량_모델'!$B$7))*COS(RADIANS('11_발전량_모델'!$B$8))</f>
        <v/>
      </c>
      <c r="L576" s="80">
        <f>COS(RADIANS('11_발전량_모델'!$B$7))</f>
        <v/>
      </c>
      <c r="M576" s="80">
        <f>G576*J576+H576*K576+I576*L576</f>
        <v/>
      </c>
      <c r="N576" s="80">
        <f>MAX(0,I576)</f>
        <v/>
      </c>
      <c r="O576" s="80">
        <f>IF(I576&gt;0,MAX(0,M576),0)</f>
        <v/>
      </c>
      <c r="P576" s="80">
        <f>IF($I576&gt;0,MAX(0,$G576*SIN(RADIANS('13_시나리오비교'!$B$5))*SIN(RADIANS('13_시나리오비교'!$C$5))+$H576*SIN(RADIANS('13_시나리오비교'!$B$5))*COS(RADIANS('13_시나리오비교'!$C$5))+$I576*COS(RADIANS('13_시나리오비교'!$B$5))),0)</f>
        <v/>
      </c>
      <c r="Q576" s="80">
        <f>IF($I576&gt;0,MAX(0,$G576*SIN(RADIANS('13_시나리오비교'!$B$6))*SIN(RADIANS('13_시나리오비교'!$C$6))+$H576*SIN(RADIANS('13_시나리오비교'!$B$6))*COS(RADIANS('13_시나리오비교'!$C$6))+$I576*COS(RADIANS('13_시나리오비교'!$B$6))),0)</f>
        <v/>
      </c>
      <c r="R576" s="80">
        <f>IF($I576&gt;0,MAX(0,$G576*SIN(RADIANS('13_시나리오비교'!$B$7))*SIN(RADIANS('13_시나리오비교'!$C$7))+$H576*SIN(RADIANS('13_시나리오비교'!$B$7))*COS(RADIANS('13_시나리오비교'!$C$7))+$I576*COS(RADIANS('13_시나리오비교'!$B$7))),0)</f>
        <v/>
      </c>
      <c r="S576" s="80">
        <f>IF($I576&gt;0,MAX(0,$G576*SIN(RADIANS('13_시나리오비교'!$B$8))*SIN(RADIANS('13_시나리오비교'!$C$8))+$H576*SIN(RADIANS('13_시나리오비교'!$B$8))*COS(RADIANS('13_시나리오비교'!$C$8))+$I576*COS(RADIANS('13_시나리오비교'!$B$8))),0)</f>
        <v/>
      </c>
      <c r="T576" s="80">
        <f>IF($I576&gt;0,MAX(0,$G576*SIN(RADIANS('13_시나리오비교'!$B$9))*SIN(RADIANS('13_시나리오비교'!$C$9))+$H576*SIN(RADIANS('13_시나리오비교'!$B$9))*COS(RADIANS('13_시나리오비교'!$C$9))+$I576*COS(RADIANS('13_시나리오비교'!$B$9))),0)</f>
        <v/>
      </c>
      <c r="U576" s="80">
        <f>IF($I576&gt;0,MAX(0,$G576*SIN(RADIANS('13_시나리오비교'!$B$10))*SIN(RADIANS('13_시나리오비교'!$C$10))+$H576*SIN(RADIANS('13_시나리오비교'!$B$10))*COS(RADIANS('13_시나리오비교'!$C$10))+$I576*COS(RADIANS('13_시나리오비교'!$B$10))),0)</f>
        <v/>
      </c>
      <c r="V576" s="80">
        <f>IF($I576&gt;0,MAX(0,$G576*SIN(RADIANS('13_시나리오비교'!$B$11))*SIN(RADIANS('13_시나리오비교'!$C$11))+$H576*SIN(RADIANS('13_시나리오비교'!$B$11))*COS(RADIANS('13_시나리오비교'!$C$11))+$I576*COS(RADIANS('13_시나리오비교'!$B$11))),0)</f>
        <v/>
      </c>
      <c r="W576" s="80">
        <f>IF($I576&gt;0,MAX(0,$G576*SIN(RADIANS('13_시나리오비교'!$B$12))*SIN(RADIANS('13_시나리오비교'!$C$12))+$H576*SIN(RADIANS('13_시나리오비교'!$B$12))*COS(RADIANS('13_시나리오비교'!$C$12))+$I576*COS(RADIANS('13_시나리오비교'!$B$12))),0)</f>
        <v/>
      </c>
      <c r="X576" s="80">
        <f>IF($I576&gt;0,MAX(0,$G576*SIN(RADIANS('13_시나리오비교'!$B$13))*SIN(RADIANS('13_시나리오비교'!$C$13))+$H576*SIN(RADIANS('13_시나리오비교'!$B$13))*COS(RADIANS('13_시나리오비교'!$C$13))+$I576*COS(RADIANS('13_시나리오비교'!$B$13))),0)</f>
        <v/>
      </c>
      <c r="Y576" s="80">
        <f>IF($I576&gt;0,MAX(0,$G576*SIN(RADIANS('13_시나리오비교'!$B$14))*SIN(RADIANS('13_시나리오비교'!$C$14))+$H576*SIN(RADIANS('13_시나리오비교'!$B$14))*COS(RADIANS('13_시나리오비교'!$C$14))+$I576*COS(RADIANS('13_시나리오비교'!$B$14))),0)</f>
        <v/>
      </c>
    </row>
    <row r="577" hidden="1" outlineLevel="1">
      <c r="A577" s="79" t="n">
        <v>6</v>
      </c>
      <c r="B577" s="79" t="n">
        <v>77</v>
      </c>
      <c r="C577" s="80">
        <f>(B577-0.5)*'14_지역·상수'!$H$6</f>
        <v/>
      </c>
      <c r="D577" s="79" t="n">
        <v>162</v>
      </c>
      <c r="E577" s="80">
        <f>INDEX($C$4:$C$15,MATCH(A577,$A$4:$A$15,0))</f>
        <v/>
      </c>
      <c r="F577" s="80">
        <f>15*(C577-12)</f>
        <v/>
      </c>
      <c r="G577" s="80">
        <f>-COS(RADIANS(E577))*SIN(RADIANS(F577))</f>
        <v/>
      </c>
      <c r="H577" s="80">
        <f>COS(RADIANS('11_발전량_모델'!$B$17))*SIN(RADIANS(E577))-SIN(RADIANS('11_발전량_모델'!$B$17))*COS(RADIANS(E577))*COS(RADIANS(F577))</f>
        <v/>
      </c>
      <c r="I577" s="80">
        <f>SIN(RADIANS('11_발전량_모델'!$B$17))*SIN(RADIANS(E577))+COS(RADIANS('11_발전량_모델'!$B$17))*COS(RADIANS(E577))*COS(RADIANS(F577))</f>
        <v/>
      </c>
      <c r="J577" s="80">
        <f>SIN(RADIANS('11_발전량_모델'!$B$7))*SIN(RADIANS('11_발전량_모델'!$B$8))</f>
        <v/>
      </c>
      <c r="K577" s="80">
        <f>SIN(RADIANS('11_발전량_모델'!$B$7))*COS(RADIANS('11_발전량_모델'!$B$8))</f>
        <v/>
      </c>
      <c r="L577" s="80">
        <f>COS(RADIANS('11_발전량_모델'!$B$7))</f>
        <v/>
      </c>
      <c r="M577" s="80">
        <f>G577*J577+H577*K577+I577*L577</f>
        <v/>
      </c>
      <c r="N577" s="80">
        <f>MAX(0,I577)</f>
        <v/>
      </c>
      <c r="O577" s="80">
        <f>IF(I577&gt;0,MAX(0,M577),0)</f>
        <v/>
      </c>
      <c r="P577" s="80">
        <f>IF($I577&gt;0,MAX(0,$G577*SIN(RADIANS('13_시나리오비교'!$B$5))*SIN(RADIANS('13_시나리오비교'!$C$5))+$H577*SIN(RADIANS('13_시나리오비교'!$B$5))*COS(RADIANS('13_시나리오비교'!$C$5))+$I577*COS(RADIANS('13_시나리오비교'!$B$5))),0)</f>
        <v/>
      </c>
      <c r="Q577" s="80">
        <f>IF($I577&gt;0,MAX(0,$G577*SIN(RADIANS('13_시나리오비교'!$B$6))*SIN(RADIANS('13_시나리오비교'!$C$6))+$H577*SIN(RADIANS('13_시나리오비교'!$B$6))*COS(RADIANS('13_시나리오비교'!$C$6))+$I577*COS(RADIANS('13_시나리오비교'!$B$6))),0)</f>
        <v/>
      </c>
      <c r="R577" s="80">
        <f>IF($I577&gt;0,MAX(0,$G577*SIN(RADIANS('13_시나리오비교'!$B$7))*SIN(RADIANS('13_시나리오비교'!$C$7))+$H577*SIN(RADIANS('13_시나리오비교'!$B$7))*COS(RADIANS('13_시나리오비교'!$C$7))+$I577*COS(RADIANS('13_시나리오비교'!$B$7))),0)</f>
        <v/>
      </c>
      <c r="S577" s="80">
        <f>IF($I577&gt;0,MAX(0,$G577*SIN(RADIANS('13_시나리오비교'!$B$8))*SIN(RADIANS('13_시나리오비교'!$C$8))+$H577*SIN(RADIANS('13_시나리오비교'!$B$8))*COS(RADIANS('13_시나리오비교'!$C$8))+$I577*COS(RADIANS('13_시나리오비교'!$B$8))),0)</f>
        <v/>
      </c>
      <c r="T577" s="80">
        <f>IF($I577&gt;0,MAX(0,$G577*SIN(RADIANS('13_시나리오비교'!$B$9))*SIN(RADIANS('13_시나리오비교'!$C$9))+$H577*SIN(RADIANS('13_시나리오비교'!$B$9))*COS(RADIANS('13_시나리오비교'!$C$9))+$I577*COS(RADIANS('13_시나리오비교'!$B$9))),0)</f>
        <v/>
      </c>
      <c r="U577" s="80">
        <f>IF($I577&gt;0,MAX(0,$G577*SIN(RADIANS('13_시나리오비교'!$B$10))*SIN(RADIANS('13_시나리오비교'!$C$10))+$H577*SIN(RADIANS('13_시나리오비교'!$B$10))*COS(RADIANS('13_시나리오비교'!$C$10))+$I577*COS(RADIANS('13_시나리오비교'!$B$10))),0)</f>
        <v/>
      </c>
      <c r="V577" s="80">
        <f>IF($I577&gt;0,MAX(0,$G577*SIN(RADIANS('13_시나리오비교'!$B$11))*SIN(RADIANS('13_시나리오비교'!$C$11))+$H577*SIN(RADIANS('13_시나리오비교'!$B$11))*COS(RADIANS('13_시나리오비교'!$C$11))+$I577*COS(RADIANS('13_시나리오비교'!$B$11))),0)</f>
        <v/>
      </c>
      <c r="W577" s="80">
        <f>IF($I577&gt;0,MAX(0,$G577*SIN(RADIANS('13_시나리오비교'!$B$12))*SIN(RADIANS('13_시나리오비교'!$C$12))+$H577*SIN(RADIANS('13_시나리오비교'!$B$12))*COS(RADIANS('13_시나리오비교'!$C$12))+$I577*COS(RADIANS('13_시나리오비교'!$B$12))),0)</f>
        <v/>
      </c>
      <c r="X577" s="80">
        <f>IF($I577&gt;0,MAX(0,$G577*SIN(RADIANS('13_시나리오비교'!$B$13))*SIN(RADIANS('13_시나리오비교'!$C$13))+$H577*SIN(RADIANS('13_시나리오비교'!$B$13))*COS(RADIANS('13_시나리오비교'!$C$13))+$I577*COS(RADIANS('13_시나리오비교'!$B$13))),0)</f>
        <v/>
      </c>
      <c r="Y577" s="80">
        <f>IF($I577&gt;0,MAX(0,$G577*SIN(RADIANS('13_시나리오비교'!$B$14))*SIN(RADIANS('13_시나리오비교'!$C$14))+$H577*SIN(RADIANS('13_시나리오비교'!$B$14))*COS(RADIANS('13_시나리오비교'!$C$14))+$I577*COS(RADIANS('13_시나리오비교'!$B$14))),0)</f>
        <v/>
      </c>
    </row>
    <row r="578" hidden="1" outlineLevel="1">
      <c r="A578" s="79" t="n">
        <v>6</v>
      </c>
      <c r="B578" s="79" t="n">
        <v>78</v>
      </c>
      <c r="C578" s="80">
        <f>(B578-0.5)*'14_지역·상수'!$H$6</f>
        <v/>
      </c>
      <c r="D578" s="79" t="n">
        <v>162</v>
      </c>
      <c r="E578" s="80">
        <f>INDEX($C$4:$C$15,MATCH(A578,$A$4:$A$15,0))</f>
        <v/>
      </c>
      <c r="F578" s="80">
        <f>15*(C578-12)</f>
        <v/>
      </c>
      <c r="G578" s="80">
        <f>-COS(RADIANS(E578))*SIN(RADIANS(F578))</f>
        <v/>
      </c>
      <c r="H578" s="80">
        <f>COS(RADIANS('11_발전량_모델'!$B$17))*SIN(RADIANS(E578))-SIN(RADIANS('11_발전량_모델'!$B$17))*COS(RADIANS(E578))*COS(RADIANS(F578))</f>
        <v/>
      </c>
      <c r="I578" s="80">
        <f>SIN(RADIANS('11_발전량_모델'!$B$17))*SIN(RADIANS(E578))+COS(RADIANS('11_발전량_모델'!$B$17))*COS(RADIANS(E578))*COS(RADIANS(F578))</f>
        <v/>
      </c>
      <c r="J578" s="80">
        <f>SIN(RADIANS('11_발전량_모델'!$B$7))*SIN(RADIANS('11_발전량_모델'!$B$8))</f>
        <v/>
      </c>
      <c r="K578" s="80">
        <f>SIN(RADIANS('11_발전량_모델'!$B$7))*COS(RADIANS('11_발전량_모델'!$B$8))</f>
        <v/>
      </c>
      <c r="L578" s="80">
        <f>COS(RADIANS('11_발전량_모델'!$B$7))</f>
        <v/>
      </c>
      <c r="M578" s="80">
        <f>G578*J578+H578*K578+I578*L578</f>
        <v/>
      </c>
      <c r="N578" s="80">
        <f>MAX(0,I578)</f>
        <v/>
      </c>
      <c r="O578" s="80">
        <f>IF(I578&gt;0,MAX(0,M578),0)</f>
        <v/>
      </c>
      <c r="P578" s="80">
        <f>IF($I578&gt;0,MAX(0,$G578*SIN(RADIANS('13_시나리오비교'!$B$5))*SIN(RADIANS('13_시나리오비교'!$C$5))+$H578*SIN(RADIANS('13_시나리오비교'!$B$5))*COS(RADIANS('13_시나리오비교'!$C$5))+$I578*COS(RADIANS('13_시나리오비교'!$B$5))),0)</f>
        <v/>
      </c>
      <c r="Q578" s="80">
        <f>IF($I578&gt;0,MAX(0,$G578*SIN(RADIANS('13_시나리오비교'!$B$6))*SIN(RADIANS('13_시나리오비교'!$C$6))+$H578*SIN(RADIANS('13_시나리오비교'!$B$6))*COS(RADIANS('13_시나리오비교'!$C$6))+$I578*COS(RADIANS('13_시나리오비교'!$B$6))),0)</f>
        <v/>
      </c>
      <c r="R578" s="80">
        <f>IF($I578&gt;0,MAX(0,$G578*SIN(RADIANS('13_시나리오비교'!$B$7))*SIN(RADIANS('13_시나리오비교'!$C$7))+$H578*SIN(RADIANS('13_시나리오비교'!$B$7))*COS(RADIANS('13_시나리오비교'!$C$7))+$I578*COS(RADIANS('13_시나리오비교'!$B$7))),0)</f>
        <v/>
      </c>
      <c r="S578" s="80">
        <f>IF($I578&gt;0,MAX(0,$G578*SIN(RADIANS('13_시나리오비교'!$B$8))*SIN(RADIANS('13_시나리오비교'!$C$8))+$H578*SIN(RADIANS('13_시나리오비교'!$B$8))*COS(RADIANS('13_시나리오비교'!$C$8))+$I578*COS(RADIANS('13_시나리오비교'!$B$8))),0)</f>
        <v/>
      </c>
      <c r="T578" s="80">
        <f>IF($I578&gt;0,MAX(0,$G578*SIN(RADIANS('13_시나리오비교'!$B$9))*SIN(RADIANS('13_시나리오비교'!$C$9))+$H578*SIN(RADIANS('13_시나리오비교'!$B$9))*COS(RADIANS('13_시나리오비교'!$C$9))+$I578*COS(RADIANS('13_시나리오비교'!$B$9))),0)</f>
        <v/>
      </c>
      <c r="U578" s="80">
        <f>IF($I578&gt;0,MAX(0,$G578*SIN(RADIANS('13_시나리오비교'!$B$10))*SIN(RADIANS('13_시나리오비교'!$C$10))+$H578*SIN(RADIANS('13_시나리오비교'!$B$10))*COS(RADIANS('13_시나리오비교'!$C$10))+$I578*COS(RADIANS('13_시나리오비교'!$B$10))),0)</f>
        <v/>
      </c>
      <c r="V578" s="80">
        <f>IF($I578&gt;0,MAX(0,$G578*SIN(RADIANS('13_시나리오비교'!$B$11))*SIN(RADIANS('13_시나리오비교'!$C$11))+$H578*SIN(RADIANS('13_시나리오비교'!$B$11))*COS(RADIANS('13_시나리오비교'!$C$11))+$I578*COS(RADIANS('13_시나리오비교'!$B$11))),0)</f>
        <v/>
      </c>
      <c r="W578" s="80">
        <f>IF($I578&gt;0,MAX(0,$G578*SIN(RADIANS('13_시나리오비교'!$B$12))*SIN(RADIANS('13_시나리오비교'!$C$12))+$H578*SIN(RADIANS('13_시나리오비교'!$B$12))*COS(RADIANS('13_시나리오비교'!$C$12))+$I578*COS(RADIANS('13_시나리오비교'!$B$12))),0)</f>
        <v/>
      </c>
      <c r="X578" s="80">
        <f>IF($I578&gt;0,MAX(0,$G578*SIN(RADIANS('13_시나리오비교'!$B$13))*SIN(RADIANS('13_시나리오비교'!$C$13))+$H578*SIN(RADIANS('13_시나리오비교'!$B$13))*COS(RADIANS('13_시나리오비교'!$C$13))+$I578*COS(RADIANS('13_시나리오비교'!$B$13))),0)</f>
        <v/>
      </c>
      <c r="Y578" s="80">
        <f>IF($I578&gt;0,MAX(0,$G578*SIN(RADIANS('13_시나리오비교'!$B$14))*SIN(RADIANS('13_시나리오비교'!$C$14))+$H578*SIN(RADIANS('13_시나리오비교'!$B$14))*COS(RADIANS('13_시나리오비교'!$C$14))+$I578*COS(RADIANS('13_시나리오비교'!$B$14))),0)</f>
        <v/>
      </c>
    </row>
    <row r="579" hidden="1" outlineLevel="1">
      <c r="A579" s="79" t="n">
        <v>6</v>
      </c>
      <c r="B579" s="79" t="n">
        <v>79</v>
      </c>
      <c r="C579" s="80">
        <f>(B579-0.5)*'14_지역·상수'!$H$6</f>
        <v/>
      </c>
      <c r="D579" s="79" t="n">
        <v>162</v>
      </c>
      <c r="E579" s="80">
        <f>INDEX($C$4:$C$15,MATCH(A579,$A$4:$A$15,0))</f>
        <v/>
      </c>
      <c r="F579" s="80">
        <f>15*(C579-12)</f>
        <v/>
      </c>
      <c r="G579" s="80">
        <f>-COS(RADIANS(E579))*SIN(RADIANS(F579))</f>
        <v/>
      </c>
      <c r="H579" s="80">
        <f>COS(RADIANS('11_발전량_모델'!$B$17))*SIN(RADIANS(E579))-SIN(RADIANS('11_발전량_모델'!$B$17))*COS(RADIANS(E579))*COS(RADIANS(F579))</f>
        <v/>
      </c>
      <c r="I579" s="80">
        <f>SIN(RADIANS('11_발전량_모델'!$B$17))*SIN(RADIANS(E579))+COS(RADIANS('11_발전량_모델'!$B$17))*COS(RADIANS(E579))*COS(RADIANS(F579))</f>
        <v/>
      </c>
      <c r="J579" s="80">
        <f>SIN(RADIANS('11_발전량_모델'!$B$7))*SIN(RADIANS('11_발전량_모델'!$B$8))</f>
        <v/>
      </c>
      <c r="K579" s="80">
        <f>SIN(RADIANS('11_발전량_모델'!$B$7))*COS(RADIANS('11_발전량_모델'!$B$8))</f>
        <v/>
      </c>
      <c r="L579" s="80">
        <f>COS(RADIANS('11_발전량_모델'!$B$7))</f>
        <v/>
      </c>
      <c r="M579" s="80">
        <f>G579*J579+H579*K579+I579*L579</f>
        <v/>
      </c>
      <c r="N579" s="80">
        <f>MAX(0,I579)</f>
        <v/>
      </c>
      <c r="O579" s="80">
        <f>IF(I579&gt;0,MAX(0,M579),0)</f>
        <v/>
      </c>
      <c r="P579" s="80">
        <f>IF($I579&gt;0,MAX(0,$G579*SIN(RADIANS('13_시나리오비교'!$B$5))*SIN(RADIANS('13_시나리오비교'!$C$5))+$H579*SIN(RADIANS('13_시나리오비교'!$B$5))*COS(RADIANS('13_시나리오비교'!$C$5))+$I579*COS(RADIANS('13_시나리오비교'!$B$5))),0)</f>
        <v/>
      </c>
      <c r="Q579" s="80">
        <f>IF($I579&gt;0,MAX(0,$G579*SIN(RADIANS('13_시나리오비교'!$B$6))*SIN(RADIANS('13_시나리오비교'!$C$6))+$H579*SIN(RADIANS('13_시나리오비교'!$B$6))*COS(RADIANS('13_시나리오비교'!$C$6))+$I579*COS(RADIANS('13_시나리오비교'!$B$6))),0)</f>
        <v/>
      </c>
      <c r="R579" s="80">
        <f>IF($I579&gt;0,MAX(0,$G579*SIN(RADIANS('13_시나리오비교'!$B$7))*SIN(RADIANS('13_시나리오비교'!$C$7))+$H579*SIN(RADIANS('13_시나리오비교'!$B$7))*COS(RADIANS('13_시나리오비교'!$C$7))+$I579*COS(RADIANS('13_시나리오비교'!$B$7))),0)</f>
        <v/>
      </c>
      <c r="S579" s="80">
        <f>IF($I579&gt;0,MAX(0,$G579*SIN(RADIANS('13_시나리오비교'!$B$8))*SIN(RADIANS('13_시나리오비교'!$C$8))+$H579*SIN(RADIANS('13_시나리오비교'!$B$8))*COS(RADIANS('13_시나리오비교'!$C$8))+$I579*COS(RADIANS('13_시나리오비교'!$B$8))),0)</f>
        <v/>
      </c>
      <c r="T579" s="80">
        <f>IF($I579&gt;0,MAX(0,$G579*SIN(RADIANS('13_시나리오비교'!$B$9))*SIN(RADIANS('13_시나리오비교'!$C$9))+$H579*SIN(RADIANS('13_시나리오비교'!$B$9))*COS(RADIANS('13_시나리오비교'!$C$9))+$I579*COS(RADIANS('13_시나리오비교'!$B$9))),0)</f>
        <v/>
      </c>
      <c r="U579" s="80">
        <f>IF($I579&gt;0,MAX(0,$G579*SIN(RADIANS('13_시나리오비교'!$B$10))*SIN(RADIANS('13_시나리오비교'!$C$10))+$H579*SIN(RADIANS('13_시나리오비교'!$B$10))*COS(RADIANS('13_시나리오비교'!$C$10))+$I579*COS(RADIANS('13_시나리오비교'!$B$10))),0)</f>
        <v/>
      </c>
      <c r="V579" s="80">
        <f>IF($I579&gt;0,MAX(0,$G579*SIN(RADIANS('13_시나리오비교'!$B$11))*SIN(RADIANS('13_시나리오비교'!$C$11))+$H579*SIN(RADIANS('13_시나리오비교'!$B$11))*COS(RADIANS('13_시나리오비교'!$C$11))+$I579*COS(RADIANS('13_시나리오비교'!$B$11))),0)</f>
        <v/>
      </c>
      <c r="W579" s="80">
        <f>IF($I579&gt;0,MAX(0,$G579*SIN(RADIANS('13_시나리오비교'!$B$12))*SIN(RADIANS('13_시나리오비교'!$C$12))+$H579*SIN(RADIANS('13_시나리오비교'!$B$12))*COS(RADIANS('13_시나리오비교'!$C$12))+$I579*COS(RADIANS('13_시나리오비교'!$B$12))),0)</f>
        <v/>
      </c>
      <c r="X579" s="80">
        <f>IF($I579&gt;0,MAX(0,$G579*SIN(RADIANS('13_시나리오비교'!$B$13))*SIN(RADIANS('13_시나리오비교'!$C$13))+$H579*SIN(RADIANS('13_시나리오비교'!$B$13))*COS(RADIANS('13_시나리오비교'!$C$13))+$I579*COS(RADIANS('13_시나리오비교'!$B$13))),0)</f>
        <v/>
      </c>
      <c r="Y579" s="80">
        <f>IF($I579&gt;0,MAX(0,$G579*SIN(RADIANS('13_시나리오비교'!$B$14))*SIN(RADIANS('13_시나리오비교'!$C$14))+$H579*SIN(RADIANS('13_시나리오비교'!$B$14))*COS(RADIANS('13_시나리오비교'!$C$14))+$I579*COS(RADIANS('13_시나리오비교'!$B$14))),0)</f>
        <v/>
      </c>
    </row>
    <row r="580" hidden="1" outlineLevel="1">
      <c r="A580" s="79" t="n">
        <v>6</v>
      </c>
      <c r="B580" s="79" t="n">
        <v>80</v>
      </c>
      <c r="C580" s="80">
        <f>(B580-0.5)*'14_지역·상수'!$H$6</f>
        <v/>
      </c>
      <c r="D580" s="79" t="n">
        <v>162</v>
      </c>
      <c r="E580" s="80">
        <f>INDEX($C$4:$C$15,MATCH(A580,$A$4:$A$15,0))</f>
        <v/>
      </c>
      <c r="F580" s="80">
        <f>15*(C580-12)</f>
        <v/>
      </c>
      <c r="G580" s="80">
        <f>-COS(RADIANS(E580))*SIN(RADIANS(F580))</f>
        <v/>
      </c>
      <c r="H580" s="80">
        <f>COS(RADIANS('11_발전량_모델'!$B$17))*SIN(RADIANS(E580))-SIN(RADIANS('11_발전량_모델'!$B$17))*COS(RADIANS(E580))*COS(RADIANS(F580))</f>
        <v/>
      </c>
      <c r="I580" s="80">
        <f>SIN(RADIANS('11_발전량_모델'!$B$17))*SIN(RADIANS(E580))+COS(RADIANS('11_발전량_모델'!$B$17))*COS(RADIANS(E580))*COS(RADIANS(F580))</f>
        <v/>
      </c>
      <c r="J580" s="80">
        <f>SIN(RADIANS('11_발전량_모델'!$B$7))*SIN(RADIANS('11_발전량_모델'!$B$8))</f>
        <v/>
      </c>
      <c r="K580" s="80">
        <f>SIN(RADIANS('11_발전량_모델'!$B$7))*COS(RADIANS('11_발전량_모델'!$B$8))</f>
        <v/>
      </c>
      <c r="L580" s="80">
        <f>COS(RADIANS('11_발전량_모델'!$B$7))</f>
        <v/>
      </c>
      <c r="M580" s="80">
        <f>G580*J580+H580*K580+I580*L580</f>
        <v/>
      </c>
      <c r="N580" s="80">
        <f>MAX(0,I580)</f>
        <v/>
      </c>
      <c r="O580" s="80">
        <f>IF(I580&gt;0,MAX(0,M580),0)</f>
        <v/>
      </c>
      <c r="P580" s="80">
        <f>IF($I580&gt;0,MAX(0,$G580*SIN(RADIANS('13_시나리오비교'!$B$5))*SIN(RADIANS('13_시나리오비교'!$C$5))+$H580*SIN(RADIANS('13_시나리오비교'!$B$5))*COS(RADIANS('13_시나리오비교'!$C$5))+$I580*COS(RADIANS('13_시나리오비교'!$B$5))),0)</f>
        <v/>
      </c>
      <c r="Q580" s="80">
        <f>IF($I580&gt;0,MAX(0,$G580*SIN(RADIANS('13_시나리오비교'!$B$6))*SIN(RADIANS('13_시나리오비교'!$C$6))+$H580*SIN(RADIANS('13_시나리오비교'!$B$6))*COS(RADIANS('13_시나리오비교'!$C$6))+$I580*COS(RADIANS('13_시나리오비교'!$B$6))),0)</f>
        <v/>
      </c>
      <c r="R580" s="80">
        <f>IF($I580&gt;0,MAX(0,$G580*SIN(RADIANS('13_시나리오비교'!$B$7))*SIN(RADIANS('13_시나리오비교'!$C$7))+$H580*SIN(RADIANS('13_시나리오비교'!$B$7))*COS(RADIANS('13_시나리오비교'!$C$7))+$I580*COS(RADIANS('13_시나리오비교'!$B$7))),0)</f>
        <v/>
      </c>
      <c r="S580" s="80">
        <f>IF($I580&gt;0,MAX(0,$G580*SIN(RADIANS('13_시나리오비교'!$B$8))*SIN(RADIANS('13_시나리오비교'!$C$8))+$H580*SIN(RADIANS('13_시나리오비교'!$B$8))*COS(RADIANS('13_시나리오비교'!$C$8))+$I580*COS(RADIANS('13_시나리오비교'!$B$8))),0)</f>
        <v/>
      </c>
      <c r="T580" s="80">
        <f>IF($I580&gt;0,MAX(0,$G580*SIN(RADIANS('13_시나리오비교'!$B$9))*SIN(RADIANS('13_시나리오비교'!$C$9))+$H580*SIN(RADIANS('13_시나리오비교'!$B$9))*COS(RADIANS('13_시나리오비교'!$C$9))+$I580*COS(RADIANS('13_시나리오비교'!$B$9))),0)</f>
        <v/>
      </c>
      <c r="U580" s="80">
        <f>IF($I580&gt;0,MAX(0,$G580*SIN(RADIANS('13_시나리오비교'!$B$10))*SIN(RADIANS('13_시나리오비교'!$C$10))+$H580*SIN(RADIANS('13_시나리오비교'!$B$10))*COS(RADIANS('13_시나리오비교'!$C$10))+$I580*COS(RADIANS('13_시나리오비교'!$B$10))),0)</f>
        <v/>
      </c>
      <c r="V580" s="80">
        <f>IF($I580&gt;0,MAX(0,$G580*SIN(RADIANS('13_시나리오비교'!$B$11))*SIN(RADIANS('13_시나리오비교'!$C$11))+$H580*SIN(RADIANS('13_시나리오비교'!$B$11))*COS(RADIANS('13_시나리오비교'!$C$11))+$I580*COS(RADIANS('13_시나리오비교'!$B$11))),0)</f>
        <v/>
      </c>
      <c r="W580" s="80">
        <f>IF($I580&gt;0,MAX(0,$G580*SIN(RADIANS('13_시나리오비교'!$B$12))*SIN(RADIANS('13_시나리오비교'!$C$12))+$H580*SIN(RADIANS('13_시나리오비교'!$B$12))*COS(RADIANS('13_시나리오비교'!$C$12))+$I580*COS(RADIANS('13_시나리오비교'!$B$12))),0)</f>
        <v/>
      </c>
      <c r="X580" s="80">
        <f>IF($I580&gt;0,MAX(0,$G580*SIN(RADIANS('13_시나리오비교'!$B$13))*SIN(RADIANS('13_시나리오비교'!$C$13))+$H580*SIN(RADIANS('13_시나리오비교'!$B$13))*COS(RADIANS('13_시나리오비교'!$C$13))+$I580*COS(RADIANS('13_시나리오비교'!$B$13))),0)</f>
        <v/>
      </c>
      <c r="Y580" s="80">
        <f>IF($I580&gt;0,MAX(0,$G580*SIN(RADIANS('13_시나리오비교'!$B$14))*SIN(RADIANS('13_시나리오비교'!$C$14))+$H580*SIN(RADIANS('13_시나리오비교'!$B$14))*COS(RADIANS('13_시나리오비교'!$C$14))+$I580*COS(RADIANS('13_시나리오비교'!$B$14))),0)</f>
        <v/>
      </c>
    </row>
    <row r="581" hidden="1" outlineLevel="1">
      <c r="A581" s="79" t="n">
        <v>6</v>
      </c>
      <c r="B581" s="79" t="n">
        <v>81</v>
      </c>
      <c r="C581" s="80">
        <f>(B581-0.5)*'14_지역·상수'!$H$6</f>
        <v/>
      </c>
      <c r="D581" s="79" t="n">
        <v>162</v>
      </c>
      <c r="E581" s="80">
        <f>INDEX($C$4:$C$15,MATCH(A581,$A$4:$A$15,0))</f>
        <v/>
      </c>
      <c r="F581" s="80">
        <f>15*(C581-12)</f>
        <v/>
      </c>
      <c r="G581" s="80">
        <f>-COS(RADIANS(E581))*SIN(RADIANS(F581))</f>
        <v/>
      </c>
      <c r="H581" s="80">
        <f>COS(RADIANS('11_발전량_모델'!$B$17))*SIN(RADIANS(E581))-SIN(RADIANS('11_발전량_모델'!$B$17))*COS(RADIANS(E581))*COS(RADIANS(F581))</f>
        <v/>
      </c>
      <c r="I581" s="80">
        <f>SIN(RADIANS('11_발전량_모델'!$B$17))*SIN(RADIANS(E581))+COS(RADIANS('11_발전량_모델'!$B$17))*COS(RADIANS(E581))*COS(RADIANS(F581))</f>
        <v/>
      </c>
      <c r="J581" s="80">
        <f>SIN(RADIANS('11_발전량_모델'!$B$7))*SIN(RADIANS('11_발전량_모델'!$B$8))</f>
        <v/>
      </c>
      <c r="K581" s="80">
        <f>SIN(RADIANS('11_발전량_모델'!$B$7))*COS(RADIANS('11_발전량_모델'!$B$8))</f>
        <v/>
      </c>
      <c r="L581" s="80">
        <f>COS(RADIANS('11_발전량_모델'!$B$7))</f>
        <v/>
      </c>
      <c r="M581" s="80">
        <f>G581*J581+H581*K581+I581*L581</f>
        <v/>
      </c>
      <c r="N581" s="80">
        <f>MAX(0,I581)</f>
        <v/>
      </c>
      <c r="O581" s="80">
        <f>IF(I581&gt;0,MAX(0,M581),0)</f>
        <v/>
      </c>
      <c r="P581" s="80">
        <f>IF($I581&gt;0,MAX(0,$G581*SIN(RADIANS('13_시나리오비교'!$B$5))*SIN(RADIANS('13_시나리오비교'!$C$5))+$H581*SIN(RADIANS('13_시나리오비교'!$B$5))*COS(RADIANS('13_시나리오비교'!$C$5))+$I581*COS(RADIANS('13_시나리오비교'!$B$5))),0)</f>
        <v/>
      </c>
      <c r="Q581" s="80">
        <f>IF($I581&gt;0,MAX(0,$G581*SIN(RADIANS('13_시나리오비교'!$B$6))*SIN(RADIANS('13_시나리오비교'!$C$6))+$H581*SIN(RADIANS('13_시나리오비교'!$B$6))*COS(RADIANS('13_시나리오비교'!$C$6))+$I581*COS(RADIANS('13_시나리오비교'!$B$6))),0)</f>
        <v/>
      </c>
      <c r="R581" s="80">
        <f>IF($I581&gt;0,MAX(0,$G581*SIN(RADIANS('13_시나리오비교'!$B$7))*SIN(RADIANS('13_시나리오비교'!$C$7))+$H581*SIN(RADIANS('13_시나리오비교'!$B$7))*COS(RADIANS('13_시나리오비교'!$C$7))+$I581*COS(RADIANS('13_시나리오비교'!$B$7))),0)</f>
        <v/>
      </c>
      <c r="S581" s="80">
        <f>IF($I581&gt;0,MAX(0,$G581*SIN(RADIANS('13_시나리오비교'!$B$8))*SIN(RADIANS('13_시나리오비교'!$C$8))+$H581*SIN(RADIANS('13_시나리오비교'!$B$8))*COS(RADIANS('13_시나리오비교'!$C$8))+$I581*COS(RADIANS('13_시나리오비교'!$B$8))),0)</f>
        <v/>
      </c>
      <c r="T581" s="80">
        <f>IF($I581&gt;0,MAX(0,$G581*SIN(RADIANS('13_시나리오비교'!$B$9))*SIN(RADIANS('13_시나리오비교'!$C$9))+$H581*SIN(RADIANS('13_시나리오비교'!$B$9))*COS(RADIANS('13_시나리오비교'!$C$9))+$I581*COS(RADIANS('13_시나리오비교'!$B$9))),0)</f>
        <v/>
      </c>
      <c r="U581" s="80">
        <f>IF($I581&gt;0,MAX(0,$G581*SIN(RADIANS('13_시나리오비교'!$B$10))*SIN(RADIANS('13_시나리오비교'!$C$10))+$H581*SIN(RADIANS('13_시나리오비교'!$B$10))*COS(RADIANS('13_시나리오비교'!$C$10))+$I581*COS(RADIANS('13_시나리오비교'!$B$10))),0)</f>
        <v/>
      </c>
      <c r="V581" s="80">
        <f>IF($I581&gt;0,MAX(0,$G581*SIN(RADIANS('13_시나리오비교'!$B$11))*SIN(RADIANS('13_시나리오비교'!$C$11))+$H581*SIN(RADIANS('13_시나리오비교'!$B$11))*COS(RADIANS('13_시나리오비교'!$C$11))+$I581*COS(RADIANS('13_시나리오비교'!$B$11))),0)</f>
        <v/>
      </c>
      <c r="W581" s="80">
        <f>IF($I581&gt;0,MAX(0,$G581*SIN(RADIANS('13_시나리오비교'!$B$12))*SIN(RADIANS('13_시나리오비교'!$C$12))+$H581*SIN(RADIANS('13_시나리오비교'!$B$12))*COS(RADIANS('13_시나리오비교'!$C$12))+$I581*COS(RADIANS('13_시나리오비교'!$B$12))),0)</f>
        <v/>
      </c>
      <c r="X581" s="80">
        <f>IF($I581&gt;0,MAX(0,$G581*SIN(RADIANS('13_시나리오비교'!$B$13))*SIN(RADIANS('13_시나리오비교'!$C$13))+$H581*SIN(RADIANS('13_시나리오비교'!$B$13))*COS(RADIANS('13_시나리오비교'!$C$13))+$I581*COS(RADIANS('13_시나리오비교'!$B$13))),0)</f>
        <v/>
      </c>
      <c r="Y581" s="80">
        <f>IF($I581&gt;0,MAX(0,$G581*SIN(RADIANS('13_시나리오비교'!$B$14))*SIN(RADIANS('13_시나리오비교'!$C$14))+$H581*SIN(RADIANS('13_시나리오비교'!$B$14))*COS(RADIANS('13_시나리오비교'!$C$14))+$I581*COS(RADIANS('13_시나리오비교'!$B$14))),0)</f>
        <v/>
      </c>
    </row>
    <row r="582" hidden="1" outlineLevel="1">
      <c r="A582" s="79" t="n">
        <v>6</v>
      </c>
      <c r="B582" s="79" t="n">
        <v>82</v>
      </c>
      <c r="C582" s="80">
        <f>(B582-0.5)*'14_지역·상수'!$H$6</f>
        <v/>
      </c>
      <c r="D582" s="79" t="n">
        <v>162</v>
      </c>
      <c r="E582" s="80">
        <f>INDEX($C$4:$C$15,MATCH(A582,$A$4:$A$15,0))</f>
        <v/>
      </c>
      <c r="F582" s="80">
        <f>15*(C582-12)</f>
        <v/>
      </c>
      <c r="G582" s="80">
        <f>-COS(RADIANS(E582))*SIN(RADIANS(F582))</f>
        <v/>
      </c>
      <c r="H582" s="80">
        <f>COS(RADIANS('11_발전량_모델'!$B$17))*SIN(RADIANS(E582))-SIN(RADIANS('11_발전량_모델'!$B$17))*COS(RADIANS(E582))*COS(RADIANS(F582))</f>
        <v/>
      </c>
      <c r="I582" s="80">
        <f>SIN(RADIANS('11_발전량_모델'!$B$17))*SIN(RADIANS(E582))+COS(RADIANS('11_발전량_모델'!$B$17))*COS(RADIANS(E582))*COS(RADIANS(F582))</f>
        <v/>
      </c>
      <c r="J582" s="80">
        <f>SIN(RADIANS('11_발전량_모델'!$B$7))*SIN(RADIANS('11_발전량_모델'!$B$8))</f>
        <v/>
      </c>
      <c r="K582" s="80">
        <f>SIN(RADIANS('11_발전량_모델'!$B$7))*COS(RADIANS('11_발전량_모델'!$B$8))</f>
        <v/>
      </c>
      <c r="L582" s="80">
        <f>COS(RADIANS('11_발전량_모델'!$B$7))</f>
        <v/>
      </c>
      <c r="M582" s="80">
        <f>G582*J582+H582*K582+I582*L582</f>
        <v/>
      </c>
      <c r="N582" s="80">
        <f>MAX(0,I582)</f>
        <v/>
      </c>
      <c r="O582" s="80">
        <f>IF(I582&gt;0,MAX(0,M582),0)</f>
        <v/>
      </c>
      <c r="P582" s="80">
        <f>IF($I582&gt;0,MAX(0,$G582*SIN(RADIANS('13_시나리오비교'!$B$5))*SIN(RADIANS('13_시나리오비교'!$C$5))+$H582*SIN(RADIANS('13_시나리오비교'!$B$5))*COS(RADIANS('13_시나리오비교'!$C$5))+$I582*COS(RADIANS('13_시나리오비교'!$B$5))),0)</f>
        <v/>
      </c>
      <c r="Q582" s="80">
        <f>IF($I582&gt;0,MAX(0,$G582*SIN(RADIANS('13_시나리오비교'!$B$6))*SIN(RADIANS('13_시나리오비교'!$C$6))+$H582*SIN(RADIANS('13_시나리오비교'!$B$6))*COS(RADIANS('13_시나리오비교'!$C$6))+$I582*COS(RADIANS('13_시나리오비교'!$B$6))),0)</f>
        <v/>
      </c>
      <c r="R582" s="80">
        <f>IF($I582&gt;0,MAX(0,$G582*SIN(RADIANS('13_시나리오비교'!$B$7))*SIN(RADIANS('13_시나리오비교'!$C$7))+$H582*SIN(RADIANS('13_시나리오비교'!$B$7))*COS(RADIANS('13_시나리오비교'!$C$7))+$I582*COS(RADIANS('13_시나리오비교'!$B$7))),0)</f>
        <v/>
      </c>
      <c r="S582" s="80">
        <f>IF($I582&gt;0,MAX(0,$G582*SIN(RADIANS('13_시나리오비교'!$B$8))*SIN(RADIANS('13_시나리오비교'!$C$8))+$H582*SIN(RADIANS('13_시나리오비교'!$B$8))*COS(RADIANS('13_시나리오비교'!$C$8))+$I582*COS(RADIANS('13_시나리오비교'!$B$8))),0)</f>
        <v/>
      </c>
      <c r="T582" s="80">
        <f>IF($I582&gt;0,MAX(0,$G582*SIN(RADIANS('13_시나리오비교'!$B$9))*SIN(RADIANS('13_시나리오비교'!$C$9))+$H582*SIN(RADIANS('13_시나리오비교'!$B$9))*COS(RADIANS('13_시나리오비교'!$C$9))+$I582*COS(RADIANS('13_시나리오비교'!$B$9))),0)</f>
        <v/>
      </c>
      <c r="U582" s="80">
        <f>IF($I582&gt;0,MAX(0,$G582*SIN(RADIANS('13_시나리오비교'!$B$10))*SIN(RADIANS('13_시나리오비교'!$C$10))+$H582*SIN(RADIANS('13_시나리오비교'!$B$10))*COS(RADIANS('13_시나리오비교'!$C$10))+$I582*COS(RADIANS('13_시나리오비교'!$B$10))),0)</f>
        <v/>
      </c>
      <c r="V582" s="80">
        <f>IF($I582&gt;0,MAX(0,$G582*SIN(RADIANS('13_시나리오비교'!$B$11))*SIN(RADIANS('13_시나리오비교'!$C$11))+$H582*SIN(RADIANS('13_시나리오비교'!$B$11))*COS(RADIANS('13_시나리오비교'!$C$11))+$I582*COS(RADIANS('13_시나리오비교'!$B$11))),0)</f>
        <v/>
      </c>
      <c r="W582" s="80">
        <f>IF($I582&gt;0,MAX(0,$G582*SIN(RADIANS('13_시나리오비교'!$B$12))*SIN(RADIANS('13_시나리오비교'!$C$12))+$H582*SIN(RADIANS('13_시나리오비교'!$B$12))*COS(RADIANS('13_시나리오비교'!$C$12))+$I582*COS(RADIANS('13_시나리오비교'!$B$12))),0)</f>
        <v/>
      </c>
      <c r="X582" s="80">
        <f>IF($I582&gt;0,MAX(0,$G582*SIN(RADIANS('13_시나리오비교'!$B$13))*SIN(RADIANS('13_시나리오비교'!$C$13))+$H582*SIN(RADIANS('13_시나리오비교'!$B$13))*COS(RADIANS('13_시나리오비교'!$C$13))+$I582*COS(RADIANS('13_시나리오비교'!$B$13))),0)</f>
        <v/>
      </c>
      <c r="Y582" s="80">
        <f>IF($I582&gt;0,MAX(0,$G582*SIN(RADIANS('13_시나리오비교'!$B$14))*SIN(RADIANS('13_시나리오비교'!$C$14))+$H582*SIN(RADIANS('13_시나리오비교'!$B$14))*COS(RADIANS('13_시나리오비교'!$C$14))+$I582*COS(RADIANS('13_시나리오비교'!$B$14))),0)</f>
        <v/>
      </c>
    </row>
    <row r="583" hidden="1" outlineLevel="1">
      <c r="A583" s="79" t="n">
        <v>6</v>
      </c>
      <c r="B583" s="79" t="n">
        <v>83</v>
      </c>
      <c r="C583" s="80">
        <f>(B583-0.5)*'14_지역·상수'!$H$6</f>
        <v/>
      </c>
      <c r="D583" s="79" t="n">
        <v>162</v>
      </c>
      <c r="E583" s="80">
        <f>INDEX($C$4:$C$15,MATCH(A583,$A$4:$A$15,0))</f>
        <v/>
      </c>
      <c r="F583" s="80">
        <f>15*(C583-12)</f>
        <v/>
      </c>
      <c r="G583" s="80">
        <f>-COS(RADIANS(E583))*SIN(RADIANS(F583))</f>
        <v/>
      </c>
      <c r="H583" s="80">
        <f>COS(RADIANS('11_발전량_모델'!$B$17))*SIN(RADIANS(E583))-SIN(RADIANS('11_발전량_모델'!$B$17))*COS(RADIANS(E583))*COS(RADIANS(F583))</f>
        <v/>
      </c>
      <c r="I583" s="80">
        <f>SIN(RADIANS('11_발전량_모델'!$B$17))*SIN(RADIANS(E583))+COS(RADIANS('11_발전량_모델'!$B$17))*COS(RADIANS(E583))*COS(RADIANS(F583))</f>
        <v/>
      </c>
      <c r="J583" s="80">
        <f>SIN(RADIANS('11_발전량_모델'!$B$7))*SIN(RADIANS('11_발전량_모델'!$B$8))</f>
        <v/>
      </c>
      <c r="K583" s="80">
        <f>SIN(RADIANS('11_발전량_모델'!$B$7))*COS(RADIANS('11_발전량_모델'!$B$8))</f>
        <v/>
      </c>
      <c r="L583" s="80">
        <f>COS(RADIANS('11_발전량_모델'!$B$7))</f>
        <v/>
      </c>
      <c r="M583" s="80">
        <f>G583*J583+H583*K583+I583*L583</f>
        <v/>
      </c>
      <c r="N583" s="80">
        <f>MAX(0,I583)</f>
        <v/>
      </c>
      <c r="O583" s="80">
        <f>IF(I583&gt;0,MAX(0,M583),0)</f>
        <v/>
      </c>
      <c r="P583" s="80">
        <f>IF($I583&gt;0,MAX(0,$G583*SIN(RADIANS('13_시나리오비교'!$B$5))*SIN(RADIANS('13_시나리오비교'!$C$5))+$H583*SIN(RADIANS('13_시나리오비교'!$B$5))*COS(RADIANS('13_시나리오비교'!$C$5))+$I583*COS(RADIANS('13_시나리오비교'!$B$5))),0)</f>
        <v/>
      </c>
      <c r="Q583" s="80">
        <f>IF($I583&gt;0,MAX(0,$G583*SIN(RADIANS('13_시나리오비교'!$B$6))*SIN(RADIANS('13_시나리오비교'!$C$6))+$H583*SIN(RADIANS('13_시나리오비교'!$B$6))*COS(RADIANS('13_시나리오비교'!$C$6))+$I583*COS(RADIANS('13_시나리오비교'!$B$6))),0)</f>
        <v/>
      </c>
      <c r="R583" s="80">
        <f>IF($I583&gt;0,MAX(0,$G583*SIN(RADIANS('13_시나리오비교'!$B$7))*SIN(RADIANS('13_시나리오비교'!$C$7))+$H583*SIN(RADIANS('13_시나리오비교'!$B$7))*COS(RADIANS('13_시나리오비교'!$C$7))+$I583*COS(RADIANS('13_시나리오비교'!$B$7))),0)</f>
        <v/>
      </c>
      <c r="S583" s="80">
        <f>IF($I583&gt;0,MAX(0,$G583*SIN(RADIANS('13_시나리오비교'!$B$8))*SIN(RADIANS('13_시나리오비교'!$C$8))+$H583*SIN(RADIANS('13_시나리오비교'!$B$8))*COS(RADIANS('13_시나리오비교'!$C$8))+$I583*COS(RADIANS('13_시나리오비교'!$B$8))),0)</f>
        <v/>
      </c>
      <c r="T583" s="80">
        <f>IF($I583&gt;0,MAX(0,$G583*SIN(RADIANS('13_시나리오비교'!$B$9))*SIN(RADIANS('13_시나리오비교'!$C$9))+$H583*SIN(RADIANS('13_시나리오비교'!$B$9))*COS(RADIANS('13_시나리오비교'!$C$9))+$I583*COS(RADIANS('13_시나리오비교'!$B$9))),0)</f>
        <v/>
      </c>
      <c r="U583" s="80">
        <f>IF($I583&gt;0,MAX(0,$G583*SIN(RADIANS('13_시나리오비교'!$B$10))*SIN(RADIANS('13_시나리오비교'!$C$10))+$H583*SIN(RADIANS('13_시나리오비교'!$B$10))*COS(RADIANS('13_시나리오비교'!$C$10))+$I583*COS(RADIANS('13_시나리오비교'!$B$10))),0)</f>
        <v/>
      </c>
      <c r="V583" s="80">
        <f>IF($I583&gt;0,MAX(0,$G583*SIN(RADIANS('13_시나리오비교'!$B$11))*SIN(RADIANS('13_시나리오비교'!$C$11))+$H583*SIN(RADIANS('13_시나리오비교'!$B$11))*COS(RADIANS('13_시나리오비교'!$C$11))+$I583*COS(RADIANS('13_시나리오비교'!$B$11))),0)</f>
        <v/>
      </c>
      <c r="W583" s="80">
        <f>IF($I583&gt;0,MAX(0,$G583*SIN(RADIANS('13_시나리오비교'!$B$12))*SIN(RADIANS('13_시나리오비교'!$C$12))+$H583*SIN(RADIANS('13_시나리오비교'!$B$12))*COS(RADIANS('13_시나리오비교'!$C$12))+$I583*COS(RADIANS('13_시나리오비교'!$B$12))),0)</f>
        <v/>
      </c>
      <c r="X583" s="80">
        <f>IF($I583&gt;0,MAX(0,$G583*SIN(RADIANS('13_시나리오비교'!$B$13))*SIN(RADIANS('13_시나리오비교'!$C$13))+$H583*SIN(RADIANS('13_시나리오비교'!$B$13))*COS(RADIANS('13_시나리오비교'!$C$13))+$I583*COS(RADIANS('13_시나리오비교'!$B$13))),0)</f>
        <v/>
      </c>
      <c r="Y583" s="80">
        <f>IF($I583&gt;0,MAX(0,$G583*SIN(RADIANS('13_시나리오비교'!$B$14))*SIN(RADIANS('13_시나리오비교'!$C$14))+$H583*SIN(RADIANS('13_시나리오비교'!$B$14))*COS(RADIANS('13_시나리오비교'!$C$14))+$I583*COS(RADIANS('13_시나리오비교'!$B$14))),0)</f>
        <v/>
      </c>
    </row>
    <row r="584" hidden="1" outlineLevel="1">
      <c r="A584" s="79" t="n">
        <v>6</v>
      </c>
      <c r="B584" s="79" t="n">
        <v>84</v>
      </c>
      <c r="C584" s="80">
        <f>(B584-0.5)*'14_지역·상수'!$H$6</f>
        <v/>
      </c>
      <c r="D584" s="79" t="n">
        <v>162</v>
      </c>
      <c r="E584" s="80">
        <f>INDEX($C$4:$C$15,MATCH(A584,$A$4:$A$15,0))</f>
        <v/>
      </c>
      <c r="F584" s="80">
        <f>15*(C584-12)</f>
        <v/>
      </c>
      <c r="G584" s="80">
        <f>-COS(RADIANS(E584))*SIN(RADIANS(F584))</f>
        <v/>
      </c>
      <c r="H584" s="80">
        <f>COS(RADIANS('11_발전량_모델'!$B$17))*SIN(RADIANS(E584))-SIN(RADIANS('11_발전량_모델'!$B$17))*COS(RADIANS(E584))*COS(RADIANS(F584))</f>
        <v/>
      </c>
      <c r="I584" s="80">
        <f>SIN(RADIANS('11_발전량_모델'!$B$17))*SIN(RADIANS(E584))+COS(RADIANS('11_발전량_모델'!$B$17))*COS(RADIANS(E584))*COS(RADIANS(F584))</f>
        <v/>
      </c>
      <c r="J584" s="80">
        <f>SIN(RADIANS('11_발전량_모델'!$B$7))*SIN(RADIANS('11_발전량_모델'!$B$8))</f>
        <v/>
      </c>
      <c r="K584" s="80">
        <f>SIN(RADIANS('11_발전량_모델'!$B$7))*COS(RADIANS('11_발전량_모델'!$B$8))</f>
        <v/>
      </c>
      <c r="L584" s="80">
        <f>COS(RADIANS('11_발전량_모델'!$B$7))</f>
        <v/>
      </c>
      <c r="M584" s="80">
        <f>G584*J584+H584*K584+I584*L584</f>
        <v/>
      </c>
      <c r="N584" s="80">
        <f>MAX(0,I584)</f>
        <v/>
      </c>
      <c r="O584" s="80">
        <f>IF(I584&gt;0,MAX(0,M584),0)</f>
        <v/>
      </c>
      <c r="P584" s="80">
        <f>IF($I584&gt;0,MAX(0,$G584*SIN(RADIANS('13_시나리오비교'!$B$5))*SIN(RADIANS('13_시나리오비교'!$C$5))+$H584*SIN(RADIANS('13_시나리오비교'!$B$5))*COS(RADIANS('13_시나리오비교'!$C$5))+$I584*COS(RADIANS('13_시나리오비교'!$B$5))),0)</f>
        <v/>
      </c>
      <c r="Q584" s="80">
        <f>IF($I584&gt;0,MAX(0,$G584*SIN(RADIANS('13_시나리오비교'!$B$6))*SIN(RADIANS('13_시나리오비교'!$C$6))+$H584*SIN(RADIANS('13_시나리오비교'!$B$6))*COS(RADIANS('13_시나리오비교'!$C$6))+$I584*COS(RADIANS('13_시나리오비교'!$B$6))),0)</f>
        <v/>
      </c>
      <c r="R584" s="80">
        <f>IF($I584&gt;0,MAX(0,$G584*SIN(RADIANS('13_시나리오비교'!$B$7))*SIN(RADIANS('13_시나리오비교'!$C$7))+$H584*SIN(RADIANS('13_시나리오비교'!$B$7))*COS(RADIANS('13_시나리오비교'!$C$7))+$I584*COS(RADIANS('13_시나리오비교'!$B$7))),0)</f>
        <v/>
      </c>
      <c r="S584" s="80">
        <f>IF($I584&gt;0,MAX(0,$G584*SIN(RADIANS('13_시나리오비교'!$B$8))*SIN(RADIANS('13_시나리오비교'!$C$8))+$H584*SIN(RADIANS('13_시나리오비교'!$B$8))*COS(RADIANS('13_시나리오비교'!$C$8))+$I584*COS(RADIANS('13_시나리오비교'!$B$8))),0)</f>
        <v/>
      </c>
      <c r="T584" s="80">
        <f>IF($I584&gt;0,MAX(0,$G584*SIN(RADIANS('13_시나리오비교'!$B$9))*SIN(RADIANS('13_시나리오비교'!$C$9))+$H584*SIN(RADIANS('13_시나리오비교'!$B$9))*COS(RADIANS('13_시나리오비교'!$C$9))+$I584*COS(RADIANS('13_시나리오비교'!$B$9))),0)</f>
        <v/>
      </c>
      <c r="U584" s="80">
        <f>IF($I584&gt;0,MAX(0,$G584*SIN(RADIANS('13_시나리오비교'!$B$10))*SIN(RADIANS('13_시나리오비교'!$C$10))+$H584*SIN(RADIANS('13_시나리오비교'!$B$10))*COS(RADIANS('13_시나리오비교'!$C$10))+$I584*COS(RADIANS('13_시나리오비교'!$B$10))),0)</f>
        <v/>
      </c>
      <c r="V584" s="80">
        <f>IF($I584&gt;0,MAX(0,$G584*SIN(RADIANS('13_시나리오비교'!$B$11))*SIN(RADIANS('13_시나리오비교'!$C$11))+$H584*SIN(RADIANS('13_시나리오비교'!$B$11))*COS(RADIANS('13_시나리오비교'!$C$11))+$I584*COS(RADIANS('13_시나리오비교'!$B$11))),0)</f>
        <v/>
      </c>
      <c r="W584" s="80">
        <f>IF($I584&gt;0,MAX(0,$G584*SIN(RADIANS('13_시나리오비교'!$B$12))*SIN(RADIANS('13_시나리오비교'!$C$12))+$H584*SIN(RADIANS('13_시나리오비교'!$B$12))*COS(RADIANS('13_시나리오비교'!$C$12))+$I584*COS(RADIANS('13_시나리오비교'!$B$12))),0)</f>
        <v/>
      </c>
      <c r="X584" s="80">
        <f>IF($I584&gt;0,MAX(0,$G584*SIN(RADIANS('13_시나리오비교'!$B$13))*SIN(RADIANS('13_시나리오비교'!$C$13))+$H584*SIN(RADIANS('13_시나리오비교'!$B$13))*COS(RADIANS('13_시나리오비교'!$C$13))+$I584*COS(RADIANS('13_시나리오비교'!$B$13))),0)</f>
        <v/>
      </c>
      <c r="Y584" s="80">
        <f>IF($I584&gt;0,MAX(0,$G584*SIN(RADIANS('13_시나리오비교'!$B$14))*SIN(RADIANS('13_시나리오비교'!$C$14))+$H584*SIN(RADIANS('13_시나리오비교'!$B$14))*COS(RADIANS('13_시나리오비교'!$C$14))+$I584*COS(RADIANS('13_시나리오비교'!$B$14))),0)</f>
        <v/>
      </c>
    </row>
    <row r="585" hidden="1" outlineLevel="1">
      <c r="A585" s="79" t="n">
        <v>6</v>
      </c>
      <c r="B585" s="79" t="n">
        <v>85</v>
      </c>
      <c r="C585" s="80">
        <f>(B585-0.5)*'14_지역·상수'!$H$6</f>
        <v/>
      </c>
      <c r="D585" s="79" t="n">
        <v>162</v>
      </c>
      <c r="E585" s="80">
        <f>INDEX($C$4:$C$15,MATCH(A585,$A$4:$A$15,0))</f>
        <v/>
      </c>
      <c r="F585" s="80">
        <f>15*(C585-12)</f>
        <v/>
      </c>
      <c r="G585" s="80">
        <f>-COS(RADIANS(E585))*SIN(RADIANS(F585))</f>
        <v/>
      </c>
      <c r="H585" s="80">
        <f>COS(RADIANS('11_발전량_모델'!$B$17))*SIN(RADIANS(E585))-SIN(RADIANS('11_발전량_모델'!$B$17))*COS(RADIANS(E585))*COS(RADIANS(F585))</f>
        <v/>
      </c>
      <c r="I585" s="80">
        <f>SIN(RADIANS('11_발전량_모델'!$B$17))*SIN(RADIANS(E585))+COS(RADIANS('11_발전량_모델'!$B$17))*COS(RADIANS(E585))*COS(RADIANS(F585))</f>
        <v/>
      </c>
      <c r="J585" s="80">
        <f>SIN(RADIANS('11_발전량_모델'!$B$7))*SIN(RADIANS('11_발전량_모델'!$B$8))</f>
        <v/>
      </c>
      <c r="K585" s="80">
        <f>SIN(RADIANS('11_발전량_모델'!$B$7))*COS(RADIANS('11_발전량_모델'!$B$8))</f>
        <v/>
      </c>
      <c r="L585" s="80">
        <f>COS(RADIANS('11_발전량_모델'!$B$7))</f>
        <v/>
      </c>
      <c r="M585" s="80">
        <f>G585*J585+H585*K585+I585*L585</f>
        <v/>
      </c>
      <c r="N585" s="80">
        <f>MAX(0,I585)</f>
        <v/>
      </c>
      <c r="O585" s="80">
        <f>IF(I585&gt;0,MAX(0,M585),0)</f>
        <v/>
      </c>
      <c r="P585" s="80">
        <f>IF($I585&gt;0,MAX(0,$G585*SIN(RADIANS('13_시나리오비교'!$B$5))*SIN(RADIANS('13_시나리오비교'!$C$5))+$H585*SIN(RADIANS('13_시나리오비교'!$B$5))*COS(RADIANS('13_시나리오비교'!$C$5))+$I585*COS(RADIANS('13_시나리오비교'!$B$5))),0)</f>
        <v/>
      </c>
      <c r="Q585" s="80">
        <f>IF($I585&gt;0,MAX(0,$G585*SIN(RADIANS('13_시나리오비교'!$B$6))*SIN(RADIANS('13_시나리오비교'!$C$6))+$H585*SIN(RADIANS('13_시나리오비교'!$B$6))*COS(RADIANS('13_시나리오비교'!$C$6))+$I585*COS(RADIANS('13_시나리오비교'!$B$6))),0)</f>
        <v/>
      </c>
      <c r="R585" s="80">
        <f>IF($I585&gt;0,MAX(0,$G585*SIN(RADIANS('13_시나리오비교'!$B$7))*SIN(RADIANS('13_시나리오비교'!$C$7))+$H585*SIN(RADIANS('13_시나리오비교'!$B$7))*COS(RADIANS('13_시나리오비교'!$C$7))+$I585*COS(RADIANS('13_시나리오비교'!$B$7))),0)</f>
        <v/>
      </c>
      <c r="S585" s="80">
        <f>IF($I585&gt;0,MAX(0,$G585*SIN(RADIANS('13_시나리오비교'!$B$8))*SIN(RADIANS('13_시나리오비교'!$C$8))+$H585*SIN(RADIANS('13_시나리오비교'!$B$8))*COS(RADIANS('13_시나리오비교'!$C$8))+$I585*COS(RADIANS('13_시나리오비교'!$B$8))),0)</f>
        <v/>
      </c>
      <c r="T585" s="80">
        <f>IF($I585&gt;0,MAX(0,$G585*SIN(RADIANS('13_시나리오비교'!$B$9))*SIN(RADIANS('13_시나리오비교'!$C$9))+$H585*SIN(RADIANS('13_시나리오비교'!$B$9))*COS(RADIANS('13_시나리오비교'!$C$9))+$I585*COS(RADIANS('13_시나리오비교'!$B$9))),0)</f>
        <v/>
      </c>
      <c r="U585" s="80">
        <f>IF($I585&gt;0,MAX(0,$G585*SIN(RADIANS('13_시나리오비교'!$B$10))*SIN(RADIANS('13_시나리오비교'!$C$10))+$H585*SIN(RADIANS('13_시나리오비교'!$B$10))*COS(RADIANS('13_시나리오비교'!$C$10))+$I585*COS(RADIANS('13_시나리오비교'!$B$10))),0)</f>
        <v/>
      </c>
      <c r="V585" s="80">
        <f>IF($I585&gt;0,MAX(0,$G585*SIN(RADIANS('13_시나리오비교'!$B$11))*SIN(RADIANS('13_시나리오비교'!$C$11))+$H585*SIN(RADIANS('13_시나리오비교'!$B$11))*COS(RADIANS('13_시나리오비교'!$C$11))+$I585*COS(RADIANS('13_시나리오비교'!$B$11))),0)</f>
        <v/>
      </c>
      <c r="W585" s="80">
        <f>IF($I585&gt;0,MAX(0,$G585*SIN(RADIANS('13_시나리오비교'!$B$12))*SIN(RADIANS('13_시나리오비교'!$C$12))+$H585*SIN(RADIANS('13_시나리오비교'!$B$12))*COS(RADIANS('13_시나리오비교'!$C$12))+$I585*COS(RADIANS('13_시나리오비교'!$B$12))),0)</f>
        <v/>
      </c>
      <c r="X585" s="80">
        <f>IF($I585&gt;0,MAX(0,$G585*SIN(RADIANS('13_시나리오비교'!$B$13))*SIN(RADIANS('13_시나리오비교'!$C$13))+$H585*SIN(RADIANS('13_시나리오비교'!$B$13))*COS(RADIANS('13_시나리오비교'!$C$13))+$I585*COS(RADIANS('13_시나리오비교'!$B$13))),0)</f>
        <v/>
      </c>
      <c r="Y585" s="80">
        <f>IF($I585&gt;0,MAX(0,$G585*SIN(RADIANS('13_시나리오비교'!$B$14))*SIN(RADIANS('13_시나리오비교'!$C$14))+$H585*SIN(RADIANS('13_시나리오비교'!$B$14))*COS(RADIANS('13_시나리오비교'!$C$14))+$I585*COS(RADIANS('13_시나리오비교'!$B$14))),0)</f>
        <v/>
      </c>
    </row>
    <row r="586" hidden="1" outlineLevel="1">
      <c r="A586" s="79" t="n">
        <v>6</v>
      </c>
      <c r="B586" s="79" t="n">
        <v>86</v>
      </c>
      <c r="C586" s="80">
        <f>(B586-0.5)*'14_지역·상수'!$H$6</f>
        <v/>
      </c>
      <c r="D586" s="79" t="n">
        <v>162</v>
      </c>
      <c r="E586" s="80">
        <f>INDEX($C$4:$C$15,MATCH(A586,$A$4:$A$15,0))</f>
        <v/>
      </c>
      <c r="F586" s="80">
        <f>15*(C586-12)</f>
        <v/>
      </c>
      <c r="G586" s="80">
        <f>-COS(RADIANS(E586))*SIN(RADIANS(F586))</f>
        <v/>
      </c>
      <c r="H586" s="80">
        <f>COS(RADIANS('11_발전량_모델'!$B$17))*SIN(RADIANS(E586))-SIN(RADIANS('11_발전량_모델'!$B$17))*COS(RADIANS(E586))*COS(RADIANS(F586))</f>
        <v/>
      </c>
      <c r="I586" s="80">
        <f>SIN(RADIANS('11_발전량_모델'!$B$17))*SIN(RADIANS(E586))+COS(RADIANS('11_발전량_모델'!$B$17))*COS(RADIANS(E586))*COS(RADIANS(F586))</f>
        <v/>
      </c>
      <c r="J586" s="80">
        <f>SIN(RADIANS('11_발전량_모델'!$B$7))*SIN(RADIANS('11_발전량_모델'!$B$8))</f>
        <v/>
      </c>
      <c r="K586" s="80">
        <f>SIN(RADIANS('11_발전량_모델'!$B$7))*COS(RADIANS('11_발전량_모델'!$B$8))</f>
        <v/>
      </c>
      <c r="L586" s="80">
        <f>COS(RADIANS('11_발전량_모델'!$B$7))</f>
        <v/>
      </c>
      <c r="M586" s="80">
        <f>G586*J586+H586*K586+I586*L586</f>
        <v/>
      </c>
      <c r="N586" s="80">
        <f>MAX(0,I586)</f>
        <v/>
      </c>
      <c r="O586" s="80">
        <f>IF(I586&gt;0,MAX(0,M586),0)</f>
        <v/>
      </c>
      <c r="P586" s="80">
        <f>IF($I586&gt;0,MAX(0,$G586*SIN(RADIANS('13_시나리오비교'!$B$5))*SIN(RADIANS('13_시나리오비교'!$C$5))+$H586*SIN(RADIANS('13_시나리오비교'!$B$5))*COS(RADIANS('13_시나리오비교'!$C$5))+$I586*COS(RADIANS('13_시나리오비교'!$B$5))),0)</f>
        <v/>
      </c>
      <c r="Q586" s="80">
        <f>IF($I586&gt;0,MAX(0,$G586*SIN(RADIANS('13_시나리오비교'!$B$6))*SIN(RADIANS('13_시나리오비교'!$C$6))+$H586*SIN(RADIANS('13_시나리오비교'!$B$6))*COS(RADIANS('13_시나리오비교'!$C$6))+$I586*COS(RADIANS('13_시나리오비교'!$B$6))),0)</f>
        <v/>
      </c>
      <c r="R586" s="80">
        <f>IF($I586&gt;0,MAX(0,$G586*SIN(RADIANS('13_시나리오비교'!$B$7))*SIN(RADIANS('13_시나리오비교'!$C$7))+$H586*SIN(RADIANS('13_시나리오비교'!$B$7))*COS(RADIANS('13_시나리오비교'!$C$7))+$I586*COS(RADIANS('13_시나리오비교'!$B$7))),0)</f>
        <v/>
      </c>
      <c r="S586" s="80">
        <f>IF($I586&gt;0,MAX(0,$G586*SIN(RADIANS('13_시나리오비교'!$B$8))*SIN(RADIANS('13_시나리오비교'!$C$8))+$H586*SIN(RADIANS('13_시나리오비교'!$B$8))*COS(RADIANS('13_시나리오비교'!$C$8))+$I586*COS(RADIANS('13_시나리오비교'!$B$8))),0)</f>
        <v/>
      </c>
      <c r="T586" s="80">
        <f>IF($I586&gt;0,MAX(0,$G586*SIN(RADIANS('13_시나리오비교'!$B$9))*SIN(RADIANS('13_시나리오비교'!$C$9))+$H586*SIN(RADIANS('13_시나리오비교'!$B$9))*COS(RADIANS('13_시나리오비교'!$C$9))+$I586*COS(RADIANS('13_시나리오비교'!$B$9))),0)</f>
        <v/>
      </c>
      <c r="U586" s="80">
        <f>IF($I586&gt;0,MAX(0,$G586*SIN(RADIANS('13_시나리오비교'!$B$10))*SIN(RADIANS('13_시나리오비교'!$C$10))+$H586*SIN(RADIANS('13_시나리오비교'!$B$10))*COS(RADIANS('13_시나리오비교'!$C$10))+$I586*COS(RADIANS('13_시나리오비교'!$B$10))),0)</f>
        <v/>
      </c>
      <c r="V586" s="80">
        <f>IF($I586&gt;0,MAX(0,$G586*SIN(RADIANS('13_시나리오비교'!$B$11))*SIN(RADIANS('13_시나리오비교'!$C$11))+$H586*SIN(RADIANS('13_시나리오비교'!$B$11))*COS(RADIANS('13_시나리오비교'!$C$11))+$I586*COS(RADIANS('13_시나리오비교'!$B$11))),0)</f>
        <v/>
      </c>
      <c r="W586" s="80">
        <f>IF($I586&gt;0,MAX(0,$G586*SIN(RADIANS('13_시나리오비교'!$B$12))*SIN(RADIANS('13_시나리오비교'!$C$12))+$H586*SIN(RADIANS('13_시나리오비교'!$B$12))*COS(RADIANS('13_시나리오비교'!$C$12))+$I586*COS(RADIANS('13_시나리오비교'!$B$12))),0)</f>
        <v/>
      </c>
      <c r="X586" s="80">
        <f>IF($I586&gt;0,MAX(0,$G586*SIN(RADIANS('13_시나리오비교'!$B$13))*SIN(RADIANS('13_시나리오비교'!$C$13))+$H586*SIN(RADIANS('13_시나리오비교'!$B$13))*COS(RADIANS('13_시나리오비교'!$C$13))+$I586*COS(RADIANS('13_시나리오비교'!$B$13))),0)</f>
        <v/>
      </c>
      <c r="Y586" s="80">
        <f>IF($I586&gt;0,MAX(0,$G586*SIN(RADIANS('13_시나리오비교'!$B$14))*SIN(RADIANS('13_시나리오비교'!$C$14))+$H586*SIN(RADIANS('13_시나리오비교'!$B$14))*COS(RADIANS('13_시나리오비교'!$C$14))+$I586*COS(RADIANS('13_시나리오비교'!$B$14))),0)</f>
        <v/>
      </c>
    </row>
    <row r="587" hidden="1" outlineLevel="1">
      <c r="A587" s="79" t="n">
        <v>6</v>
      </c>
      <c r="B587" s="79" t="n">
        <v>87</v>
      </c>
      <c r="C587" s="80">
        <f>(B587-0.5)*'14_지역·상수'!$H$6</f>
        <v/>
      </c>
      <c r="D587" s="79" t="n">
        <v>162</v>
      </c>
      <c r="E587" s="80">
        <f>INDEX($C$4:$C$15,MATCH(A587,$A$4:$A$15,0))</f>
        <v/>
      </c>
      <c r="F587" s="80">
        <f>15*(C587-12)</f>
        <v/>
      </c>
      <c r="G587" s="80">
        <f>-COS(RADIANS(E587))*SIN(RADIANS(F587))</f>
        <v/>
      </c>
      <c r="H587" s="80">
        <f>COS(RADIANS('11_발전량_모델'!$B$17))*SIN(RADIANS(E587))-SIN(RADIANS('11_발전량_모델'!$B$17))*COS(RADIANS(E587))*COS(RADIANS(F587))</f>
        <v/>
      </c>
      <c r="I587" s="80">
        <f>SIN(RADIANS('11_발전량_모델'!$B$17))*SIN(RADIANS(E587))+COS(RADIANS('11_발전량_모델'!$B$17))*COS(RADIANS(E587))*COS(RADIANS(F587))</f>
        <v/>
      </c>
      <c r="J587" s="80">
        <f>SIN(RADIANS('11_발전량_모델'!$B$7))*SIN(RADIANS('11_발전량_모델'!$B$8))</f>
        <v/>
      </c>
      <c r="K587" s="80">
        <f>SIN(RADIANS('11_발전량_모델'!$B$7))*COS(RADIANS('11_발전량_모델'!$B$8))</f>
        <v/>
      </c>
      <c r="L587" s="80">
        <f>COS(RADIANS('11_발전량_모델'!$B$7))</f>
        <v/>
      </c>
      <c r="M587" s="80">
        <f>G587*J587+H587*K587+I587*L587</f>
        <v/>
      </c>
      <c r="N587" s="80">
        <f>MAX(0,I587)</f>
        <v/>
      </c>
      <c r="O587" s="80">
        <f>IF(I587&gt;0,MAX(0,M587),0)</f>
        <v/>
      </c>
      <c r="P587" s="80">
        <f>IF($I587&gt;0,MAX(0,$G587*SIN(RADIANS('13_시나리오비교'!$B$5))*SIN(RADIANS('13_시나리오비교'!$C$5))+$H587*SIN(RADIANS('13_시나리오비교'!$B$5))*COS(RADIANS('13_시나리오비교'!$C$5))+$I587*COS(RADIANS('13_시나리오비교'!$B$5))),0)</f>
        <v/>
      </c>
      <c r="Q587" s="80">
        <f>IF($I587&gt;0,MAX(0,$G587*SIN(RADIANS('13_시나리오비교'!$B$6))*SIN(RADIANS('13_시나리오비교'!$C$6))+$H587*SIN(RADIANS('13_시나리오비교'!$B$6))*COS(RADIANS('13_시나리오비교'!$C$6))+$I587*COS(RADIANS('13_시나리오비교'!$B$6))),0)</f>
        <v/>
      </c>
      <c r="R587" s="80">
        <f>IF($I587&gt;0,MAX(0,$G587*SIN(RADIANS('13_시나리오비교'!$B$7))*SIN(RADIANS('13_시나리오비교'!$C$7))+$H587*SIN(RADIANS('13_시나리오비교'!$B$7))*COS(RADIANS('13_시나리오비교'!$C$7))+$I587*COS(RADIANS('13_시나리오비교'!$B$7))),0)</f>
        <v/>
      </c>
      <c r="S587" s="80">
        <f>IF($I587&gt;0,MAX(0,$G587*SIN(RADIANS('13_시나리오비교'!$B$8))*SIN(RADIANS('13_시나리오비교'!$C$8))+$H587*SIN(RADIANS('13_시나리오비교'!$B$8))*COS(RADIANS('13_시나리오비교'!$C$8))+$I587*COS(RADIANS('13_시나리오비교'!$B$8))),0)</f>
        <v/>
      </c>
      <c r="T587" s="80">
        <f>IF($I587&gt;0,MAX(0,$G587*SIN(RADIANS('13_시나리오비교'!$B$9))*SIN(RADIANS('13_시나리오비교'!$C$9))+$H587*SIN(RADIANS('13_시나리오비교'!$B$9))*COS(RADIANS('13_시나리오비교'!$C$9))+$I587*COS(RADIANS('13_시나리오비교'!$B$9))),0)</f>
        <v/>
      </c>
      <c r="U587" s="80">
        <f>IF($I587&gt;0,MAX(0,$G587*SIN(RADIANS('13_시나리오비교'!$B$10))*SIN(RADIANS('13_시나리오비교'!$C$10))+$H587*SIN(RADIANS('13_시나리오비교'!$B$10))*COS(RADIANS('13_시나리오비교'!$C$10))+$I587*COS(RADIANS('13_시나리오비교'!$B$10))),0)</f>
        <v/>
      </c>
      <c r="V587" s="80">
        <f>IF($I587&gt;0,MAX(0,$G587*SIN(RADIANS('13_시나리오비교'!$B$11))*SIN(RADIANS('13_시나리오비교'!$C$11))+$H587*SIN(RADIANS('13_시나리오비교'!$B$11))*COS(RADIANS('13_시나리오비교'!$C$11))+$I587*COS(RADIANS('13_시나리오비교'!$B$11))),0)</f>
        <v/>
      </c>
      <c r="W587" s="80">
        <f>IF($I587&gt;0,MAX(0,$G587*SIN(RADIANS('13_시나리오비교'!$B$12))*SIN(RADIANS('13_시나리오비교'!$C$12))+$H587*SIN(RADIANS('13_시나리오비교'!$B$12))*COS(RADIANS('13_시나리오비교'!$C$12))+$I587*COS(RADIANS('13_시나리오비교'!$B$12))),0)</f>
        <v/>
      </c>
      <c r="X587" s="80">
        <f>IF($I587&gt;0,MAX(0,$G587*SIN(RADIANS('13_시나리오비교'!$B$13))*SIN(RADIANS('13_시나리오비교'!$C$13))+$H587*SIN(RADIANS('13_시나리오비교'!$B$13))*COS(RADIANS('13_시나리오비교'!$C$13))+$I587*COS(RADIANS('13_시나리오비교'!$B$13))),0)</f>
        <v/>
      </c>
      <c r="Y587" s="80">
        <f>IF($I587&gt;0,MAX(0,$G587*SIN(RADIANS('13_시나리오비교'!$B$14))*SIN(RADIANS('13_시나리오비교'!$C$14))+$H587*SIN(RADIANS('13_시나리오비교'!$B$14))*COS(RADIANS('13_시나리오비교'!$C$14))+$I587*COS(RADIANS('13_시나리오비교'!$B$14))),0)</f>
        <v/>
      </c>
    </row>
    <row r="588" hidden="1" outlineLevel="1">
      <c r="A588" s="79" t="n">
        <v>6</v>
      </c>
      <c r="B588" s="79" t="n">
        <v>88</v>
      </c>
      <c r="C588" s="80">
        <f>(B588-0.5)*'14_지역·상수'!$H$6</f>
        <v/>
      </c>
      <c r="D588" s="79" t="n">
        <v>162</v>
      </c>
      <c r="E588" s="80">
        <f>INDEX($C$4:$C$15,MATCH(A588,$A$4:$A$15,0))</f>
        <v/>
      </c>
      <c r="F588" s="80">
        <f>15*(C588-12)</f>
        <v/>
      </c>
      <c r="G588" s="80">
        <f>-COS(RADIANS(E588))*SIN(RADIANS(F588))</f>
        <v/>
      </c>
      <c r="H588" s="80">
        <f>COS(RADIANS('11_발전량_모델'!$B$17))*SIN(RADIANS(E588))-SIN(RADIANS('11_발전량_모델'!$B$17))*COS(RADIANS(E588))*COS(RADIANS(F588))</f>
        <v/>
      </c>
      <c r="I588" s="80">
        <f>SIN(RADIANS('11_발전량_모델'!$B$17))*SIN(RADIANS(E588))+COS(RADIANS('11_발전량_모델'!$B$17))*COS(RADIANS(E588))*COS(RADIANS(F588))</f>
        <v/>
      </c>
      <c r="J588" s="80">
        <f>SIN(RADIANS('11_발전량_모델'!$B$7))*SIN(RADIANS('11_발전량_모델'!$B$8))</f>
        <v/>
      </c>
      <c r="K588" s="80">
        <f>SIN(RADIANS('11_발전량_모델'!$B$7))*COS(RADIANS('11_발전량_모델'!$B$8))</f>
        <v/>
      </c>
      <c r="L588" s="80">
        <f>COS(RADIANS('11_발전량_모델'!$B$7))</f>
        <v/>
      </c>
      <c r="M588" s="80">
        <f>G588*J588+H588*K588+I588*L588</f>
        <v/>
      </c>
      <c r="N588" s="80">
        <f>MAX(0,I588)</f>
        <v/>
      </c>
      <c r="O588" s="80">
        <f>IF(I588&gt;0,MAX(0,M588),0)</f>
        <v/>
      </c>
      <c r="P588" s="80">
        <f>IF($I588&gt;0,MAX(0,$G588*SIN(RADIANS('13_시나리오비교'!$B$5))*SIN(RADIANS('13_시나리오비교'!$C$5))+$H588*SIN(RADIANS('13_시나리오비교'!$B$5))*COS(RADIANS('13_시나리오비교'!$C$5))+$I588*COS(RADIANS('13_시나리오비교'!$B$5))),0)</f>
        <v/>
      </c>
      <c r="Q588" s="80">
        <f>IF($I588&gt;0,MAX(0,$G588*SIN(RADIANS('13_시나리오비교'!$B$6))*SIN(RADIANS('13_시나리오비교'!$C$6))+$H588*SIN(RADIANS('13_시나리오비교'!$B$6))*COS(RADIANS('13_시나리오비교'!$C$6))+$I588*COS(RADIANS('13_시나리오비교'!$B$6))),0)</f>
        <v/>
      </c>
      <c r="R588" s="80">
        <f>IF($I588&gt;0,MAX(0,$G588*SIN(RADIANS('13_시나리오비교'!$B$7))*SIN(RADIANS('13_시나리오비교'!$C$7))+$H588*SIN(RADIANS('13_시나리오비교'!$B$7))*COS(RADIANS('13_시나리오비교'!$C$7))+$I588*COS(RADIANS('13_시나리오비교'!$B$7))),0)</f>
        <v/>
      </c>
      <c r="S588" s="80">
        <f>IF($I588&gt;0,MAX(0,$G588*SIN(RADIANS('13_시나리오비교'!$B$8))*SIN(RADIANS('13_시나리오비교'!$C$8))+$H588*SIN(RADIANS('13_시나리오비교'!$B$8))*COS(RADIANS('13_시나리오비교'!$C$8))+$I588*COS(RADIANS('13_시나리오비교'!$B$8))),0)</f>
        <v/>
      </c>
      <c r="T588" s="80">
        <f>IF($I588&gt;0,MAX(0,$G588*SIN(RADIANS('13_시나리오비교'!$B$9))*SIN(RADIANS('13_시나리오비교'!$C$9))+$H588*SIN(RADIANS('13_시나리오비교'!$B$9))*COS(RADIANS('13_시나리오비교'!$C$9))+$I588*COS(RADIANS('13_시나리오비교'!$B$9))),0)</f>
        <v/>
      </c>
      <c r="U588" s="80">
        <f>IF($I588&gt;0,MAX(0,$G588*SIN(RADIANS('13_시나리오비교'!$B$10))*SIN(RADIANS('13_시나리오비교'!$C$10))+$H588*SIN(RADIANS('13_시나리오비교'!$B$10))*COS(RADIANS('13_시나리오비교'!$C$10))+$I588*COS(RADIANS('13_시나리오비교'!$B$10))),0)</f>
        <v/>
      </c>
      <c r="V588" s="80">
        <f>IF($I588&gt;0,MAX(0,$G588*SIN(RADIANS('13_시나리오비교'!$B$11))*SIN(RADIANS('13_시나리오비교'!$C$11))+$H588*SIN(RADIANS('13_시나리오비교'!$B$11))*COS(RADIANS('13_시나리오비교'!$C$11))+$I588*COS(RADIANS('13_시나리오비교'!$B$11))),0)</f>
        <v/>
      </c>
      <c r="W588" s="80">
        <f>IF($I588&gt;0,MAX(0,$G588*SIN(RADIANS('13_시나리오비교'!$B$12))*SIN(RADIANS('13_시나리오비교'!$C$12))+$H588*SIN(RADIANS('13_시나리오비교'!$B$12))*COS(RADIANS('13_시나리오비교'!$C$12))+$I588*COS(RADIANS('13_시나리오비교'!$B$12))),0)</f>
        <v/>
      </c>
      <c r="X588" s="80">
        <f>IF($I588&gt;0,MAX(0,$G588*SIN(RADIANS('13_시나리오비교'!$B$13))*SIN(RADIANS('13_시나리오비교'!$C$13))+$H588*SIN(RADIANS('13_시나리오비교'!$B$13))*COS(RADIANS('13_시나리오비교'!$C$13))+$I588*COS(RADIANS('13_시나리오비교'!$B$13))),0)</f>
        <v/>
      </c>
      <c r="Y588" s="80">
        <f>IF($I588&gt;0,MAX(0,$G588*SIN(RADIANS('13_시나리오비교'!$B$14))*SIN(RADIANS('13_시나리오비교'!$C$14))+$H588*SIN(RADIANS('13_시나리오비교'!$B$14))*COS(RADIANS('13_시나리오비교'!$C$14))+$I588*COS(RADIANS('13_시나리오비교'!$B$14))),0)</f>
        <v/>
      </c>
    </row>
    <row r="589" hidden="1" outlineLevel="1">
      <c r="A589" s="79" t="n">
        <v>6</v>
      </c>
      <c r="B589" s="79" t="n">
        <v>89</v>
      </c>
      <c r="C589" s="80">
        <f>(B589-0.5)*'14_지역·상수'!$H$6</f>
        <v/>
      </c>
      <c r="D589" s="79" t="n">
        <v>162</v>
      </c>
      <c r="E589" s="80">
        <f>INDEX($C$4:$C$15,MATCH(A589,$A$4:$A$15,0))</f>
        <v/>
      </c>
      <c r="F589" s="80">
        <f>15*(C589-12)</f>
        <v/>
      </c>
      <c r="G589" s="80">
        <f>-COS(RADIANS(E589))*SIN(RADIANS(F589))</f>
        <v/>
      </c>
      <c r="H589" s="80">
        <f>COS(RADIANS('11_발전량_모델'!$B$17))*SIN(RADIANS(E589))-SIN(RADIANS('11_발전량_모델'!$B$17))*COS(RADIANS(E589))*COS(RADIANS(F589))</f>
        <v/>
      </c>
      <c r="I589" s="80">
        <f>SIN(RADIANS('11_발전량_모델'!$B$17))*SIN(RADIANS(E589))+COS(RADIANS('11_발전량_모델'!$B$17))*COS(RADIANS(E589))*COS(RADIANS(F589))</f>
        <v/>
      </c>
      <c r="J589" s="80">
        <f>SIN(RADIANS('11_발전량_모델'!$B$7))*SIN(RADIANS('11_발전량_모델'!$B$8))</f>
        <v/>
      </c>
      <c r="K589" s="80">
        <f>SIN(RADIANS('11_발전량_모델'!$B$7))*COS(RADIANS('11_발전량_모델'!$B$8))</f>
        <v/>
      </c>
      <c r="L589" s="80">
        <f>COS(RADIANS('11_발전량_모델'!$B$7))</f>
        <v/>
      </c>
      <c r="M589" s="80">
        <f>G589*J589+H589*K589+I589*L589</f>
        <v/>
      </c>
      <c r="N589" s="80">
        <f>MAX(0,I589)</f>
        <v/>
      </c>
      <c r="O589" s="80">
        <f>IF(I589&gt;0,MAX(0,M589),0)</f>
        <v/>
      </c>
      <c r="P589" s="80">
        <f>IF($I589&gt;0,MAX(0,$G589*SIN(RADIANS('13_시나리오비교'!$B$5))*SIN(RADIANS('13_시나리오비교'!$C$5))+$H589*SIN(RADIANS('13_시나리오비교'!$B$5))*COS(RADIANS('13_시나리오비교'!$C$5))+$I589*COS(RADIANS('13_시나리오비교'!$B$5))),0)</f>
        <v/>
      </c>
      <c r="Q589" s="80">
        <f>IF($I589&gt;0,MAX(0,$G589*SIN(RADIANS('13_시나리오비교'!$B$6))*SIN(RADIANS('13_시나리오비교'!$C$6))+$H589*SIN(RADIANS('13_시나리오비교'!$B$6))*COS(RADIANS('13_시나리오비교'!$C$6))+$I589*COS(RADIANS('13_시나리오비교'!$B$6))),0)</f>
        <v/>
      </c>
      <c r="R589" s="80">
        <f>IF($I589&gt;0,MAX(0,$G589*SIN(RADIANS('13_시나리오비교'!$B$7))*SIN(RADIANS('13_시나리오비교'!$C$7))+$H589*SIN(RADIANS('13_시나리오비교'!$B$7))*COS(RADIANS('13_시나리오비교'!$C$7))+$I589*COS(RADIANS('13_시나리오비교'!$B$7))),0)</f>
        <v/>
      </c>
      <c r="S589" s="80">
        <f>IF($I589&gt;0,MAX(0,$G589*SIN(RADIANS('13_시나리오비교'!$B$8))*SIN(RADIANS('13_시나리오비교'!$C$8))+$H589*SIN(RADIANS('13_시나리오비교'!$B$8))*COS(RADIANS('13_시나리오비교'!$C$8))+$I589*COS(RADIANS('13_시나리오비교'!$B$8))),0)</f>
        <v/>
      </c>
      <c r="T589" s="80">
        <f>IF($I589&gt;0,MAX(0,$G589*SIN(RADIANS('13_시나리오비교'!$B$9))*SIN(RADIANS('13_시나리오비교'!$C$9))+$H589*SIN(RADIANS('13_시나리오비교'!$B$9))*COS(RADIANS('13_시나리오비교'!$C$9))+$I589*COS(RADIANS('13_시나리오비교'!$B$9))),0)</f>
        <v/>
      </c>
      <c r="U589" s="80">
        <f>IF($I589&gt;0,MAX(0,$G589*SIN(RADIANS('13_시나리오비교'!$B$10))*SIN(RADIANS('13_시나리오비교'!$C$10))+$H589*SIN(RADIANS('13_시나리오비교'!$B$10))*COS(RADIANS('13_시나리오비교'!$C$10))+$I589*COS(RADIANS('13_시나리오비교'!$B$10))),0)</f>
        <v/>
      </c>
      <c r="V589" s="80">
        <f>IF($I589&gt;0,MAX(0,$G589*SIN(RADIANS('13_시나리오비교'!$B$11))*SIN(RADIANS('13_시나리오비교'!$C$11))+$H589*SIN(RADIANS('13_시나리오비교'!$B$11))*COS(RADIANS('13_시나리오비교'!$C$11))+$I589*COS(RADIANS('13_시나리오비교'!$B$11))),0)</f>
        <v/>
      </c>
      <c r="W589" s="80">
        <f>IF($I589&gt;0,MAX(0,$G589*SIN(RADIANS('13_시나리오비교'!$B$12))*SIN(RADIANS('13_시나리오비교'!$C$12))+$H589*SIN(RADIANS('13_시나리오비교'!$B$12))*COS(RADIANS('13_시나리오비교'!$C$12))+$I589*COS(RADIANS('13_시나리오비교'!$B$12))),0)</f>
        <v/>
      </c>
      <c r="X589" s="80">
        <f>IF($I589&gt;0,MAX(0,$G589*SIN(RADIANS('13_시나리오비교'!$B$13))*SIN(RADIANS('13_시나리오비교'!$C$13))+$H589*SIN(RADIANS('13_시나리오비교'!$B$13))*COS(RADIANS('13_시나리오비교'!$C$13))+$I589*COS(RADIANS('13_시나리오비교'!$B$13))),0)</f>
        <v/>
      </c>
      <c r="Y589" s="80">
        <f>IF($I589&gt;0,MAX(0,$G589*SIN(RADIANS('13_시나리오비교'!$B$14))*SIN(RADIANS('13_시나리오비교'!$C$14))+$H589*SIN(RADIANS('13_시나리오비교'!$B$14))*COS(RADIANS('13_시나리오비교'!$C$14))+$I589*COS(RADIANS('13_시나리오비교'!$B$14))),0)</f>
        <v/>
      </c>
    </row>
    <row r="590" hidden="1" outlineLevel="1">
      <c r="A590" s="79" t="n">
        <v>6</v>
      </c>
      <c r="B590" s="79" t="n">
        <v>90</v>
      </c>
      <c r="C590" s="80">
        <f>(B590-0.5)*'14_지역·상수'!$H$6</f>
        <v/>
      </c>
      <c r="D590" s="79" t="n">
        <v>162</v>
      </c>
      <c r="E590" s="80">
        <f>INDEX($C$4:$C$15,MATCH(A590,$A$4:$A$15,0))</f>
        <v/>
      </c>
      <c r="F590" s="80">
        <f>15*(C590-12)</f>
        <v/>
      </c>
      <c r="G590" s="80">
        <f>-COS(RADIANS(E590))*SIN(RADIANS(F590))</f>
        <v/>
      </c>
      <c r="H590" s="80">
        <f>COS(RADIANS('11_발전량_모델'!$B$17))*SIN(RADIANS(E590))-SIN(RADIANS('11_발전량_모델'!$B$17))*COS(RADIANS(E590))*COS(RADIANS(F590))</f>
        <v/>
      </c>
      <c r="I590" s="80">
        <f>SIN(RADIANS('11_발전량_모델'!$B$17))*SIN(RADIANS(E590))+COS(RADIANS('11_발전량_모델'!$B$17))*COS(RADIANS(E590))*COS(RADIANS(F590))</f>
        <v/>
      </c>
      <c r="J590" s="80">
        <f>SIN(RADIANS('11_발전량_모델'!$B$7))*SIN(RADIANS('11_발전량_모델'!$B$8))</f>
        <v/>
      </c>
      <c r="K590" s="80">
        <f>SIN(RADIANS('11_발전량_모델'!$B$7))*COS(RADIANS('11_발전량_모델'!$B$8))</f>
        <v/>
      </c>
      <c r="L590" s="80">
        <f>COS(RADIANS('11_발전량_모델'!$B$7))</f>
        <v/>
      </c>
      <c r="M590" s="80">
        <f>G590*J590+H590*K590+I590*L590</f>
        <v/>
      </c>
      <c r="N590" s="80">
        <f>MAX(0,I590)</f>
        <v/>
      </c>
      <c r="O590" s="80">
        <f>IF(I590&gt;0,MAX(0,M590),0)</f>
        <v/>
      </c>
      <c r="P590" s="80">
        <f>IF($I590&gt;0,MAX(0,$G590*SIN(RADIANS('13_시나리오비교'!$B$5))*SIN(RADIANS('13_시나리오비교'!$C$5))+$H590*SIN(RADIANS('13_시나리오비교'!$B$5))*COS(RADIANS('13_시나리오비교'!$C$5))+$I590*COS(RADIANS('13_시나리오비교'!$B$5))),0)</f>
        <v/>
      </c>
      <c r="Q590" s="80">
        <f>IF($I590&gt;0,MAX(0,$G590*SIN(RADIANS('13_시나리오비교'!$B$6))*SIN(RADIANS('13_시나리오비교'!$C$6))+$H590*SIN(RADIANS('13_시나리오비교'!$B$6))*COS(RADIANS('13_시나리오비교'!$C$6))+$I590*COS(RADIANS('13_시나리오비교'!$B$6))),0)</f>
        <v/>
      </c>
      <c r="R590" s="80">
        <f>IF($I590&gt;0,MAX(0,$G590*SIN(RADIANS('13_시나리오비교'!$B$7))*SIN(RADIANS('13_시나리오비교'!$C$7))+$H590*SIN(RADIANS('13_시나리오비교'!$B$7))*COS(RADIANS('13_시나리오비교'!$C$7))+$I590*COS(RADIANS('13_시나리오비교'!$B$7))),0)</f>
        <v/>
      </c>
      <c r="S590" s="80">
        <f>IF($I590&gt;0,MAX(0,$G590*SIN(RADIANS('13_시나리오비교'!$B$8))*SIN(RADIANS('13_시나리오비교'!$C$8))+$H590*SIN(RADIANS('13_시나리오비교'!$B$8))*COS(RADIANS('13_시나리오비교'!$C$8))+$I590*COS(RADIANS('13_시나리오비교'!$B$8))),0)</f>
        <v/>
      </c>
      <c r="T590" s="80">
        <f>IF($I590&gt;0,MAX(0,$G590*SIN(RADIANS('13_시나리오비교'!$B$9))*SIN(RADIANS('13_시나리오비교'!$C$9))+$H590*SIN(RADIANS('13_시나리오비교'!$B$9))*COS(RADIANS('13_시나리오비교'!$C$9))+$I590*COS(RADIANS('13_시나리오비교'!$B$9))),0)</f>
        <v/>
      </c>
      <c r="U590" s="80">
        <f>IF($I590&gt;0,MAX(0,$G590*SIN(RADIANS('13_시나리오비교'!$B$10))*SIN(RADIANS('13_시나리오비교'!$C$10))+$H590*SIN(RADIANS('13_시나리오비교'!$B$10))*COS(RADIANS('13_시나리오비교'!$C$10))+$I590*COS(RADIANS('13_시나리오비교'!$B$10))),0)</f>
        <v/>
      </c>
      <c r="V590" s="80">
        <f>IF($I590&gt;0,MAX(0,$G590*SIN(RADIANS('13_시나리오비교'!$B$11))*SIN(RADIANS('13_시나리오비교'!$C$11))+$H590*SIN(RADIANS('13_시나리오비교'!$B$11))*COS(RADIANS('13_시나리오비교'!$C$11))+$I590*COS(RADIANS('13_시나리오비교'!$B$11))),0)</f>
        <v/>
      </c>
      <c r="W590" s="80">
        <f>IF($I590&gt;0,MAX(0,$G590*SIN(RADIANS('13_시나리오비교'!$B$12))*SIN(RADIANS('13_시나리오비교'!$C$12))+$H590*SIN(RADIANS('13_시나리오비교'!$B$12))*COS(RADIANS('13_시나리오비교'!$C$12))+$I590*COS(RADIANS('13_시나리오비교'!$B$12))),0)</f>
        <v/>
      </c>
      <c r="X590" s="80">
        <f>IF($I590&gt;0,MAX(0,$G590*SIN(RADIANS('13_시나리오비교'!$B$13))*SIN(RADIANS('13_시나리오비교'!$C$13))+$H590*SIN(RADIANS('13_시나리오비교'!$B$13))*COS(RADIANS('13_시나리오비교'!$C$13))+$I590*COS(RADIANS('13_시나리오비교'!$B$13))),0)</f>
        <v/>
      </c>
      <c r="Y590" s="80">
        <f>IF($I590&gt;0,MAX(0,$G590*SIN(RADIANS('13_시나리오비교'!$B$14))*SIN(RADIANS('13_시나리오비교'!$C$14))+$H590*SIN(RADIANS('13_시나리오비교'!$B$14))*COS(RADIANS('13_시나리오비교'!$C$14))+$I590*COS(RADIANS('13_시나리오비교'!$B$14))),0)</f>
        <v/>
      </c>
    </row>
    <row r="591" hidden="1" outlineLevel="1">
      <c r="A591" s="79" t="n">
        <v>6</v>
      </c>
      <c r="B591" s="79" t="n">
        <v>91</v>
      </c>
      <c r="C591" s="80">
        <f>(B591-0.5)*'14_지역·상수'!$H$6</f>
        <v/>
      </c>
      <c r="D591" s="79" t="n">
        <v>162</v>
      </c>
      <c r="E591" s="80">
        <f>INDEX($C$4:$C$15,MATCH(A591,$A$4:$A$15,0))</f>
        <v/>
      </c>
      <c r="F591" s="80">
        <f>15*(C591-12)</f>
        <v/>
      </c>
      <c r="G591" s="80">
        <f>-COS(RADIANS(E591))*SIN(RADIANS(F591))</f>
        <v/>
      </c>
      <c r="H591" s="80">
        <f>COS(RADIANS('11_발전량_모델'!$B$17))*SIN(RADIANS(E591))-SIN(RADIANS('11_발전량_모델'!$B$17))*COS(RADIANS(E591))*COS(RADIANS(F591))</f>
        <v/>
      </c>
      <c r="I591" s="80">
        <f>SIN(RADIANS('11_발전량_모델'!$B$17))*SIN(RADIANS(E591))+COS(RADIANS('11_발전량_모델'!$B$17))*COS(RADIANS(E591))*COS(RADIANS(F591))</f>
        <v/>
      </c>
      <c r="J591" s="80">
        <f>SIN(RADIANS('11_발전량_모델'!$B$7))*SIN(RADIANS('11_발전량_모델'!$B$8))</f>
        <v/>
      </c>
      <c r="K591" s="80">
        <f>SIN(RADIANS('11_발전량_모델'!$B$7))*COS(RADIANS('11_발전량_모델'!$B$8))</f>
        <v/>
      </c>
      <c r="L591" s="80">
        <f>COS(RADIANS('11_발전량_모델'!$B$7))</f>
        <v/>
      </c>
      <c r="M591" s="80">
        <f>G591*J591+H591*K591+I591*L591</f>
        <v/>
      </c>
      <c r="N591" s="80">
        <f>MAX(0,I591)</f>
        <v/>
      </c>
      <c r="O591" s="80">
        <f>IF(I591&gt;0,MAX(0,M591),0)</f>
        <v/>
      </c>
      <c r="P591" s="80">
        <f>IF($I591&gt;0,MAX(0,$G591*SIN(RADIANS('13_시나리오비교'!$B$5))*SIN(RADIANS('13_시나리오비교'!$C$5))+$H591*SIN(RADIANS('13_시나리오비교'!$B$5))*COS(RADIANS('13_시나리오비교'!$C$5))+$I591*COS(RADIANS('13_시나리오비교'!$B$5))),0)</f>
        <v/>
      </c>
      <c r="Q591" s="80">
        <f>IF($I591&gt;0,MAX(0,$G591*SIN(RADIANS('13_시나리오비교'!$B$6))*SIN(RADIANS('13_시나리오비교'!$C$6))+$H591*SIN(RADIANS('13_시나리오비교'!$B$6))*COS(RADIANS('13_시나리오비교'!$C$6))+$I591*COS(RADIANS('13_시나리오비교'!$B$6))),0)</f>
        <v/>
      </c>
      <c r="R591" s="80">
        <f>IF($I591&gt;0,MAX(0,$G591*SIN(RADIANS('13_시나리오비교'!$B$7))*SIN(RADIANS('13_시나리오비교'!$C$7))+$H591*SIN(RADIANS('13_시나리오비교'!$B$7))*COS(RADIANS('13_시나리오비교'!$C$7))+$I591*COS(RADIANS('13_시나리오비교'!$B$7))),0)</f>
        <v/>
      </c>
      <c r="S591" s="80">
        <f>IF($I591&gt;0,MAX(0,$G591*SIN(RADIANS('13_시나리오비교'!$B$8))*SIN(RADIANS('13_시나리오비교'!$C$8))+$H591*SIN(RADIANS('13_시나리오비교'!$B$8))*COS(RADIANS('13_시나리오비교'!$C$8))+$I591*COS(RADIANS('13_시나리오비교'!$B$8))),0)</f>
        <v/>
      </c>
      <c r="T591" s="80">
        <f>IF($I591&gt;0,MAX(0,$G591*SIN(RADIANS('13_시나리오비교'!$B$9))*SIN(RADIANS('13_시나리오비교'!$C$9))+$H591*SIN(RADIANS('13_시나리오비교'!$B$9))*COS(RADIANS('13_시나리오비교'!$C$9))+$I591*COS(RADIANS('13_시나리오비교'!$B$9))),0)</f>
        <v/>
      </c>
      <c r="U591" s="80">
        <f>IF($I591&gt;0,MAX(0,$G591*SIN(RADIANS('13_시나리오비교'!$B$10))*SIN(RADIANS('13_시나리오비교'!$C$10))+$H591*SIN(RADIANS('13_시나리오비교'!$B$10))*COS(RADIANS('13_시나리오비교'!$C$10))+$I591*COS(RADIANS('13_시나리오비교'!$B$10))),0)</f>
        <v/>
      </c>
      <c r="V591" s="80">
        <f>IF($I591&gt;0,MAX(0,$G591*SIN(RADIANS('13_시나리오비교'!$B$11))*SIN(RADIANS('13_시나리오비교'!$C$11))+$H591*SIN(RADIANS('13_시나리오비교'!$B$11))*COS(RADIANS('13_시나리오비교'!$C$11))+$I591*COS(RADIANS('13_시나리오비교'!$B$11))),0)</f>
        <v/>
      </c>
      <c r="W591" s="80">
        <f>IF($I591&gt;0,MAX(0,$G591*SIN(RADIANS('13_시나리오비교'!$B$12))*SIN(RADIANS('13_시나리오비교'!$C$12))+$H591*SIN(RADIANS('13_시나리오비교'!$B$12))*COS(RADIANS('13_시나리오비교'!$C$12))+$I591*COS(RADIANS('13_시나리오비교'!$B$12))),0)</f>
        <v/>
      </c>
      <c r="X591" s="80">
        <f>IF($I591&gt;0,MAX(0,$G591*SIN(RADIANS('13_시나리오비교'!$B$13))*SIN(RADIANS('13_시나리오비교'!$C$13))+$H591*SIN(RADIANS('13_시나리오비교'!$B$13))*COS(RADIANS('13_시나리오비교'!$C$13))+$I591*COS(RADIANS('13_시나리오비교'!$B$13))),0)</f>
        <v/>
      </c>
      <c r="Y591" s="80">
        <f>IF($I591&gt;0,MAX(0,$G591*SIN(RADIANS('13_시나리오비교'!$B$14))*SIN(RADIANS('13_시나리오비교'!$C$14))+$H591*SIN(RADIANS('13_시나리오비교'!$B$14))*COS(RADIANS('13_시나리오비교'!$C$14))+$I591*COS(RADIANS('13_시나리오비교'!$B$14))),0)</f>
        <v/>
      </c>
    </row>
    <row r="592" hidden="1" outlineLevel="1">
      <c r="A592" s="79" t="n">
        <v>6</v>
      </c>
      <c r="B592" s="79" t="n">
        <v>92</v>
      </c>
      <c r="C592" s="80">
        <f>(B592-0.5)*'14_지역·상수'!$H$6</f>
        <v/>
      </c>
      <c r="D592" s="79" t="n">
        <v>162</v>
      </c>
      <c r="E592" s="80">
        <f>INDEX($C$4:$C$15,MATCH(A592,$A$4:$A$15,0))</f>
        <v/>
      </c>
      <c r="F592" s="80">
        <f>15*(C592-12)</f>
        <v/>
      </c>
      <c r="G592" s="80">
        <f>-COS(RADIANS(E592))*SIN(RADIANS(F592))</f>
        <v/>
      </c>
      <c r="H592" s="80">
        <f>COS(RADIANS('11_발전량_모델'!$B$17))*SIN(RADIANS(E592))-SIN(RADIANS('11_발전량_모델'!$B$17))*COS(RADIANS(E592))*COS(RADIANS(F592))</f>
        <v/>
      </c>
      <c r="I592" s="80">
        <f>SIN(RADIANS('11_발전량_모델'!$B$17))*SIN(RADIANS(E592))+COS(RADIANS('11_발전량_모델'!$B$17))*COS(RADIANS(E592))*COS(RADIANS(F592))</f>
        <v/>
      </c>
      <c r="J592" s="80">
        <f>SIN(RADIANS('11_발전량_모델'!$B$7))*SIN(RADIANS('11_발전량_모델'!$B$8))</f>
        <v/>
      </c>
      <c r="K592" s="80">
        <f>SIN(RADIANS('11_발전량_모델'!$B$7))*COS(RADIANS('11_발전량_모델'!$B$8))</f>
        <v/>
      </c>
      <c r="L592" s="80">
        <f>COS(RADIANS('11_발전량_모델'!$B$7))</f>
        <v/>
      </c>
      <c r="M592" s="80">
        <f>G592*J592+H592*K592+I592*L592</f>
        <v/>
      </c>
      <c r="N592" s="80">
        <f>MAX(0,I592)</f>
        <v/>
      </c>
      <c r="O592" s="80">
        <f>IF(I592&gt;0,MAX(0,M592),0)</f>
        <v/>
      </c>
      <c r="P592" s="80">
        <f>IF($I592&gt;0,MAX(0,$G592*SIN(RADIANS('13_시나리오비교'!$B$5))*SIN(RADIANS('13_시나리오비교'!$C$5))+$H592*SIN(RADIANS('13_시나리오비교'!$B$5))*COS(RADIANS('13_시나리오비교'!$C$5))+$I592*COS(RADIANS('13_시나리오비교'!$B$5))),0)</f>
        <v/>
      </c>
      <c r="Q592" s="80">
        <f>IF($I592&gt;0,MAX(0,$G592*SIN(RADIANS('13_시나리오비교'!$B$6))*SIN(RADIANS('13_시나리오비교'!$C$6))+$H592*SIN(RADIANS('13_시나리오비교'!$B$6))*COS(RADIANS('13_시나리오비교'!$C$6))+$I592*COS(RADIANS('13_시나리오비교'!$B$6))),0)</f>
        <v/>
      </c>
      <c r="R592" s="80">
        <f>IF($I592&gt;0,MAX(0,$G592*SIN(RADIANS('13_시나리오비교'!$B$7))*SIN(RADIANS('13_시나리오비교'!$C$7))+$H592*SIN(RADIANS('13_시나리오비교'!$B$7))*COS(RADIANS('13_시나리오비교'!$C$7))+$I592*COS(RADIANS('13_시나리오비교'!$B$7))),0)</f>
        <v/>
      </c>
      <c r="S592" s="80">
        <f>IF($I592&gt;0,MAX(0,$G592*SIN(RADIANS('13_시나리오비교'!$B$8))*SIN(RADIANS('13_시나리오비교'!$C$8))+$H592*SIN(RADIANS('13_시나리오비교'!$B$8))*COS(RADIANS('13_시나리오비교'!$C$8))+$I592*COS(RADIANS('13_시나리오비교'!$B$8))),0)</f>
        <v/>
      </c>
      <c r="T592" s="80">
        <f>IF($I592&gt;0,MAX(0,$G592*SIN(RADIANS('13_시나리오비교'!$B$9))*SIN(RADIANS('13_시나리오비교'!$C$9))+$H592*SIN(RADIANS('13_시나리오비교'!$B$9))*COS(RADIANS('13_시나리오비교'!$C$9))+$I592*COS(RADIANS('13_시나리오비교'!$B$9))),0)</f>
        <v/>
      </c>
      <c r="U592" s="80">
        <f>IF($I592&gt;0,MAX(0,$G592*SIN(RADIANS('13_시나리오비교'!$B$10))*SIN(RADIANS('13_시나리오비교'!$C$10))+$H592*SIN(RADIANS('13_시나리오비교'!$B$10))*COS(RADIANS('13_시나리오비교'!$C$10))+$I592*COS(RADIANS('13_시나리오비교'!$B$10))),0)</f>
        <v/>
      </c>
      <c r="V592" s="80">
        <f>IF($I592&gt;0,MAX(0,$G592*SIN(RADIANS('13_시나리오비교'!$B$11))*SIN(RADIANS('13_시나리오비교'!$C$11))+$H592*SIN(RADIANS('13_시나리오비교'!$B$11))*COS(RADIANS('13_시나리오비교'!$C$11))+$I592*COS(RADIANS('13_시나리오비교'!$B$11))),0)</f>
        <v/>
      </c>
      <c r="W592" s="80">
        <f>IF($I592&gt;0,MAX(0,$G592*SIN(RADIANS('13_시나리오비교'!$B$12))*SIN(RADIANS('13_시나리오비교'!$C$12))+$H592*SIN(RADIANS('13_시나리오비교'!$B$12))*COS(RADIANS('13_시나리오비교'!$C$12))+$I592*COS(RADIANS('13_시나리오비교'!$B$12))),0)</f>
        <v/>
      </c>
      <c r="X592" s="80">
        <f>IF($I592&gt;0,MAX(0,$G592*SIN(RADIANS('13_시나리오비교'!$B$13))*SIN(RADIANS('13_시나리오비교'!$C$13))+$H592*SIN(RADIANS('13_시나리오비교'!$B$13))*COS(RADIANS('13_시나리오비교'!$C$13))+$I592*COS(RADIANS('13_시나리오비교'!$B$13))),0)</f>
        <v/>
      </c>
      <c r="Y592" s="80">
        <f>IF($I592&gt;0,MAX(0,$G592*SIN(RADIANS('13_시나리오비교'!$B$14))*SIN(RADIANS('13_시나리오비교'!$C$14))+$H592*SIN(RADIANS('13_시나리오비교'!$B$14))*COS(RADIANS('13_시나리오비교'!$C$14))+$I592*COS(RADIANS('13_시나리오비교'!$B$14))),0)</f>
        <v/>
      </c>
    </row>
    <row r="593" hidden="1" outlineLevel="1">
      <c r="A593" s="79" t="n">
        <v>6</v>
      </c>
      <c r="B593" s="79" t="n">
        <v>93</v>
      </c>
      <c r="C593" s="80">
        <f>(B593-0.5)*'14_지역·상수'!$H$6</f>
        <v/>
      </c>
      <c r="D593" s="79" t="n">
        <v>162</v>
      </c>
      <c r="E593" s="80">
        <f>INDEX($C$4:$C$15,MATCH(A593,$A$4:$A$15,0))</f>
        <v/>
      </c>
      <c r="F593" s="80">
        <f>15*(C593-12)</f>
        <v/>
      </c>
      <c r="G593" s="80">
        <f>-COS(RADIANS(E593))*SIN(RADIANS(F593))</f>
        <v/>
      </c>
      <c r="H593" s="80">
        <f>COS(RADIANS('11_발전량_모델'!$B$17))*SIN(RADIANS(E593))-SIN(RADIANS('11_발전량_모델'!$B$17))*COS(RADIANS(E593))*COS(RADIANS(F593))</f>
        <v/>
      </c>
      <c r="I593" s="80">
        <f>SIN(RADIANS('11_발전량_모델'!$B$17))*SIN(RADIANS(E593))+COS(RADIANS('11_발전량_모델'!$B$17))*COS(RADIANS(E593))*COS(RADIANS(F593))</f>
        <v/>
      </c>
      <c r="J593" s="80">
        <f>SIN(RADIANS('11_발전량_모델'!$B$7))*SIN(RADIANS('11_발전량_모델'!$B$8))</f>
        <v/>
      </c>
      <c r="K593" s="80">
        <f>SIN(RADIANS('11_발전량_모델'!$B$7))*COS(RADIANS('11_발전량_모델'!$B$8))</f>
        <v/>
      </c>
      <c r="L593" s="80">
        <f>COS(RADIANS('11_발전량_모델'!$B$7))</f>
        <v/>
      </c>
      <c r="M593" s="80">
        <f>G593*J593+H593*K593+I593*L593</f>
        <v/>
      </c>
      <c r="N593" s="80">
        <f>MAX(0,I593)</f>
        <v/>
      </c>
      <c r="O593" s="80">
        <f>IF(I593&gt;0,MAX(0,M593),0)</f>
        <v/>
      </c>
      <c r="P593" s="80">
        <f>IF($I593&gt;0,MAX(0,$G593*SIN(RADIANS('13_시나리오비교'!$B$5))*SIN(RADIANS('13_시나리오비교'!$C$5))+$H593*SIN(RADIANS('13_시나리오비교'!$B$5))*COS(RADIANS('13_시나리오비교'!$C$5))+$I593*COS(RADIANS('13_시나리오비교'!$B$5))),0)</f>
        <v/>
      </c>
      <c r="Q593" s="80">
        <f>IF($I593&gt;0,MAX(0,$G593*SIN(RADIANS('13_시나리오비교'!$B$6))*SIN(RADIANS('13_시나리오비교'!$C$6))+$H593*SIN(RADIANS('13_시나리오비교'!$B$6))*COS(RADIANS('13_시나리오비교'!$C$6))+$I593*COS(RADIANS('13_시나리오비교'!$B$6))),0)</f>
        <v/>
      </c>
      <c r="R593" s="80">
        <f>IF($I593&gt;0,MAX(0,$G593*SIN(RADIANS('13_시나리오비교'!$B$7))*SIN(RADIANS('13_시나리오비교'!$C$7))+$H593*SIN(RADIANS('13_시나리오비교'!$B$7))*COS(RADIANS('13_시나리오비교'!$C$7))+$I593*COS(RADIANS('13_시나리오비교'!$B$7))),0)</f>
        <v/>
      </c>
      <c r="S593" s="80">
        <f>IF($I593&gt;0,MAX(0,$G593*SIN(RADIANS('13_시나리오비교'!$B$8))*SIN(RADIANS('13_시나리오비교'!$C$8))+$H593*SIN(RADIANS('13_시나리오비교'!$B$8))*COS(RADIANS('13_시나리오비교'!$C$8))+$I593*COS(RADIANS('13_시나리오비교'!$B$8))),0)</f>
        <v/>
      </c>
      <c r="T593" s="80">
        <f>IF($I593&gt;0,MAX(0,$G593*SIN(RADIANS('13_시나리오비교'!$B$9))*SIN(RADIANS('13_시나리오비교'!$C$9))+$H593*SIN(RADIANS('13_시나리오비교'!$B$9))*COS(RADIANS('13_시나리오비교'!$C$9))+$I593*COS(RADIANS('13_시나리오비교'!$B$9))),0)</f>
        <v/>
      </c>
      <c r="U593" s="80">
        <f>IF($I593&gt;0,MAX(0,$G593*SIN(RADIANS('13_시나리오비교'!$B$10))*SIN(RADIANS('13_시나리오비교'!$C$10))+$H593*SIN(RADIANS('13_시나리오비교'!$B$10))*COS(RADIANS('13_시나리오비교'!$C$10))+$I593*COS(RADIANS('13_시나리오비교'!$B$10))),0)</f>
        <v/>
      </c>
      <c r="V593" s="80">
        <f>IF($I593&gt;0,MAX(0,$G593*SIN(RADIANS('13_시나리오비교'!$B$11))*SIN(RADIANS('13_시나리오비교'!$C$11))+$H593*SIN(RADIANS('13_시나리오비교'!$B$11))*COS(RADIANS('13_시나리오비교'!$C$11))+$I593*COS(RADIANS('13_시나리오비교'!$B$11))),0)</f>
        <v/>
      </c>
      <c r="W593" s="80">
        <f>IF($I593&gt;0,MAX(0,$G593*SIN(RADIANS('13_시나리오비교'!$B$12))*SIN(RADIANS('13_시나리오비교'!$C$12))+$H593*SIN(RADIANS('13_시나리오비교'!$B$12))*COS(RADIANS('13_시나리오비교'!$C$12))+$I593*COS(RADIANS('13_시나리오비교'!$B$12))),0)</f>
        <v/>
      </c>
      <c r="X593" s="80">
        <f>IF($I593&gt;0,MAX(0,$G593*SIN(RADIANS('13_시나리오비교'!$B$13))*SIN(RADIANS('13_시나리오비교'!$C$13))+$H593*SIN(RADIANS('13_시나리오비교'!$B$13))*COS(RADIANS('13_시나리오비교'!$C$13))+$I593*COS(RADIANS('13_시나리오비교'!$B$13))),0)</f>
        <v/>
      </c>
      <c r="Y593" s="80">
        <f>IF($I593&gt;0,MAX(0,$G593*SIN(RADIANS('13_시나리오비교'!$B$14))*SIN(RADIANS('13_시나리오비교'!$C$14))+$H593*SIN(RADIANS('13_시나리오비교'!$B$14))*COS(RADIANS('13_시나리오비교'!$C$14))+$I593*COS(RADIANS('13_시나리오비교'!$B$14))),0)</f>
        <v/>
      </c>
    </row>
    <row r="594" hidden="1" outlineLevel="1">
      <c r="A594" s="79" t="n">
        <v>6</v>
      </c>
      <c r="B594" s="79" t="n">
        <v>94</v>
      </c>
      <c r="C594" s="80">
        <f>(B594-0.5)*'14_지역·상수'!$H$6</f>
        <v/>
      </c>
      <c r="D594" s="79" t="n">
        <v>162</v>
      </c>
      <c r="E594" s="80">
        <f>INDEX($C$4:$C$15,MATCH(A594,$A$4:$A$15,0))</f>
        <v/>
      </c>
      <c r="F594" s="80">
        <f>15*(C594-12)</f>
        <v/>
      </c>
      <c r="G594" s="80">
        <f>-COS(RADIANS(E594))*SIN(RADIANS(F594))</f>
        <v/>
      </c>
      <c r="H594" s="80">
        <f>COS(RADIANS('11_발전량_모델'!$B$17))*SIN(RADIANS(E594))-SIN(RADIANS('11_발전량_모델'!$B$17))*COS(RADIANS(E594))*COS(RADIANS(F594))</f>
        <v/>
      </c>
      <c r="I594" s="80">
        <f>SIN(RADIANS('11_발전량_모델'!$B$17))*SIN(RADIANS(E594))+COS(RADIANS('11_발전량_모델'!$B$17))*COS(RADIANS(E594))*COS(RADIANS(F594))</f>
        <v/>
      </c>
      <c r="J594" s="80">
        <f>SIN(RADIANS('11_발전량_모델'!$B$7))*SIN(RADIANS('11_발전량_모델'!$B$8))</f>
        <v/>
      </c>
      <c r="K594" s="80">
        <f>SIN(RADIANS('11_발전량_모델'!$B$7))*COS(RADIANS('11_발전량_모델'!$B$8))</f>
        <v/>
      </c>
      <c r="L594" s="80">
        <f>COS(RADIANS('11_발전량_모델'!$B$7))</f>
        <v/>
      </c>
      <c r="M594" s="80">
        <f>G594*J594+H594*K594+I594*L594</f>
        <v/>
      </c>
      <c r="N594" s="80">
        <f>MAX(0,I594)</f>
        <v/>
      </c>
      <c r="O594" s="80">
        <f>IF(I594&gt;0,MAX(0,M594),0)</f>
        <v/>
      </c>
      <c r="P594" s="80">
        <f>IF($I594&gt;0,MAX(0,$G594*SIN(RADIANS('13_시나리오비교'!$B$5))*SIN(RADIANS('13_시나리오비교'!$C$5))+$H594*SIN(RADIANS('13_시나리오비교'!$B$5))*COS(RADIANS('13_시나리오비교'!$C$5))+$I594*COS(RADIANS('13_시나리오비교'!$B$5))),0)</f>
        <v/>
      </c>
      <c r="Q594" s="80">
        <f>IF($I594&gt;0,MAX(0,$G594*SIN(RADIANS('13_시나리오비교'!$B$6))*SIN(RADIANS('13_시나리오비교'!$C$6))+$H594*SIN(RADIANS('13_시나리오비교'!$B$6))*COS(RADIANS('13_시나리오비교'!$C$6))+$I594*COS(RADIANS('13_시나리오비교'!$B$6))),0)</f>
        <v/>
      </c>
      <c r="R594" s="80">
        <f>IF($I594&gt;0,MAX(0,$G594*SIN(RADIANS('13_시나리오비교'!$B$7))*SIN(RADIANS('13_시나리오비교'!$C$7))+$H594*SIN(RADIANS('13_시나리오비교'!$B$7))*COS(RADIANS('13_시나리오비교'!$C$7))+$I594*COS(RADIANS('13_시나리오비교'!$B$7))),0)</f>
        <v/>
      </c>
      <c r="S594" s="80">
        <f>IF($I594&gt;0,MAX(0,$G594*SIN(RADIANS('13_시나리오비교'!$B$8))*SIN(RADIANS('13_시나리오비교'!$C$8))+$H594*SIN(RADIANS('13_시나리오비교'!$B$8))*COS(RADIANS('13_시나리오비교'!$C$8))+$I594*COS(RADIANS('13_시나리오비교'!$B$8))),0)</f>
        <v/>
      </c>
      <c r="T594" s="80">
        <f>IF($I594&gt;0,MAX(0,$G594*SIN(RADIANS('13_시나리오비교'!$B$9))*SIN(RADIANS('13_시나리오비교'!$C$9))+$H594*SIN(RADIANS('13_시나리오비교'!$B$9))*COS(RADIANS('13_시나리오비교'!$C$9))+$I594*COS(RADIANS('13_시나리오비교'!$B$9))),0)</f>
        <v/>
      </c>
      <c r="U594" s="80">
        <f>IF($I594&gt;0,MAX(0,$G594*SIN(RADIANS('13_시나리오비교'!$B$10))*SIN(RADIANS('13_시나리오비교'!$C$10))+$H594*SIN(RADIANS('13_시나리오비교'!$B$10))*COS(RADIANS('13_시나리오비교'!$C$10))+$I594*COS(RADIANS('13_시나리오비교'!$B$10))),0)</f>
        <v/>
      </c>
      <c r="V594" s="80">
        <f>IF($I594&gt;0,MAX(0,$G594*SIN(RADIANS('13_시나리오비교'!$B$11))*SIN(RADIANS('13_시나리오비교'!$C$11))+$H594*SIN(RADIANS('13_시나리오비교'!$B$11))*COS(RADIANS('13_시나리오비교'!$C$11))+$I594*COS(RADIANS('13_시나리오비교'!$B$11))),0)</f>
        <v/>
      </c>
      <c r="W594" s="80">
        <f>IF($I594&gt;0,MAX(0,$G594*SIN(RADIANS('13_시나리오비교'!$B$12))*SIN(RADIANS('13_시나리오비교'!$C$12))+$H594*SIN(RADIANS('13_시나리오비교'!$B$12))*COS(RADIANS('13_시나리오비교'!$C$12))+$I594*COS(RADIANS('13_시나리오비교'!$B$12))),0)</f>
        <v/>
      </c>
      <c r="X594" s="80">
        <f>IF($I594&gt;0,MAX(0,$G594*SIN(RADIANS('13_시나리오비교'!$B$13))*SIN(RADIANS('13_시나리오비교'!$C$13))+$H594*SIN(RADIANS('13_시나리오비교'!$B$13))*COS(RADIANS('13_시나리오비교'!$C$13))+$I594*COS(RADIANS('13_시나리오비교'!$B$13))),0)</f>
        <v/>
      </c>
      <c r="Y594" s="80">
        <f>IF($I594&gt;0,MAX(0,$G594*SIN(RADIANS('13_시나리오비교'!$B$14))*SIN(RADIANS('13_시나리오비교'!$C$14))+$H594*SIN(RADIANS('13_시나리오비교'!$B$14))*COS(RADIANS('13_시나리오비교'!$C$14))+$I594*COS(RADIANS('13_시나리오비교'!$B$14))),0)</f>
        <v/>
      </c>
    </row>
    <row r="595" hidden="1" outlineLevel="1">
      <c r="A595" s="79" t="n">
        <v>6</v>
      </c>
      <c r="B595" s="79" t="n">
        <v>95</v>
      </c>
      <c r="C595" s="80">
        <f>(B595-0.5)*'14_지역·상수'!$H$6</f>
        <v/>
      </c>
      <c r="D595" s="79" t="n">
        <v>162</v>
      </c>
      <c r="E595" s="80">
        <f>INDEX($C$4:$C$15,MATCH(A595,$A$4:$A$15,0))</f>
        <v/>
      </c>
      <c r="F595" s="80">
        <f>15*(C595-12)</f>
        <v/>
      </c>
      <c r="G595" s="80">
        <f>-COS(RADIANS(E595))*SIN(RADIANS(F595))</f>
        <v/>
      </c>
      <c r="H595" s="80">
        <f>COS(RADIANS('11_발전량_모델'!$B$17))*SIN(RADIANS(E595))-SIN(RADIANS('11_발전량_모델'!$B$17))*COS(RADIANS(E595))*COS(RADIANS(F595))</f>
        <v/>
      </c>
      <c r="I595" s="80">
        <f>SIN(RADIANS('11_발전량_모델'!$B$17))*SIN(RADIANS(E595))+COS(RADIANS('11_발전량_모델'!$B$17))*COS(RADIANS(E595))*COS(RADIANS(F595))</f>
        <v/>
      </c>
      <c r="J595" s="80">
        <f>SIN(RADIANS('11_발전량_모델'!$B$7))*SIN(RADIANS('11_발전량_모델'!$B$8))</f>
        <v/>
      </c>
      <c r="K595" s="80">
        <f>SIN(RADIANS('11_발전량_모델'!$B$7))*COS(RADIANS('11_발전량_모델'!$B$8))</f>
        <v/>
      </c>
      <c r="L595" s="80">
        <f>COS(RADIANS('11_발전량_모델'!$B$7))</f>
        <v/>
      </c>
      <c r="M595" s="80">
        <f>G595*J595+H595*K595+I595*L595</f>
        <v/>
      </c>
      <c r="N595" s="80">
        <f>MAX(0,I595)</f>
        <v/>
      </c>
      <c r="O595" s="80">
        <f>IF(I595&gt;0,MAX(0,M595),0)</f>
        <v/>
      </c>
      <c r="P595" s="80">
        <f>IF($I595&gt;0,MAX(0,$G595*SIN(RADIANS('13_시나리오비교'!$B$5))*SIN(RADIANS('13_시나리오비교'!$C$5))+$H595*SIN(RADIANS('13_시나리오비교'!$B$5))*COS(RADIANS('13_시나리오비교'!$C$5))+$I595*COS(RADIANS('13_시나리오비교'!$B$5))),0)</f>
        <v/>
      </c>
      <c r="Q595" s="80">
        <f>IF($I595&gt;0,MAX(0,$G595*SIN(RADIANS('13_시나리오비교'!$B$6))*SIN(RADIANS('13_시나리오비교'!$C$6))+$H595*SIN(RADIANS('13_시나리오비교'!$B$6))*COS(RADIANS('13_시나리오비교'!$C$6))+$I595*COS(RADIANS('13_시나리오비교'!$B$6))),0)</f>
        <v/>
      </c>
      <c r="R595" s="80">
        <f>IF($I595&gt;0,MAX(0,$G595*SIN(RADIANS('13_시나리오비교'!$B$7))*SIN(RADIANS('13_시나리오비교'!$C$7))+$H595*SIN(RADIANS('13_시나리오비교'!$B$7))*COS(RADIANS('13_시나리오비교'!$C$7))+$I595*COS(RADIANS('13_시나리오비교'!$B$7))),0)</f>
        <v/>
      </c>
      <c r="S595" s="80">
        <f>IF($I595&gt;0,MAX(0,$G595*SIN(RADIANS('13_시나리오비교'!$B$8))*SIN(RADIANS('13_시나리오비교'!$C$8))+$H595*SIN(RADIANS('13_시나리오비교'!$B$8))*COS(RADIANS('13_시나리오비교'!$C$8))+$I595*COS(RADIANS('13_시나리오비교'!$B$8))),0)</f>
        <v/>
      </c>
      <c r="T595" s="80">
        <f>IF($I595&gt;0,MAX(0,$G595*SIN(RADIANS('13_시나리오비교'!$B$9))*SIN(RADIANS('13_시나리오비교'!$C$9))+$H595*SIN(RADIANS('13_시나리오비교'!$B$9))*COS(RADIANS('13_시나리오비교'!$C$9))+$I595*COS(RADIANS('13_시나리오비교'!$B$9))),0)</f>
        <v/>
      </c>
      <c r="U595" s="80">
        <f>IF($I595&gt;0,MAX(0,$G595*SIN(RADIANS('13_시나리오비교'!$B$10))*SIN(RADIANS('13_시나리오비교'!$C$10))+$H595*SIN(RADIANS('13_시나리오비교'!$B$10))*COS(RADIANS('13_시나리오비교'!$C$10))+$I595*COS(RADIANS('13_시나리오비교'!$B$10))),0)</f>
        <v/>
      </c>
      <c r="V595" s="80">
        <f>IF($I595&gt;0,MAX(0,$G595*SIN(RADIANS('13_시나리오비교'!$B$11))*SIN(RADIANS('13_시나리오비교'!$C$11))+$H595*SIN(RADIANS('13_시나리오비교'!$B$11))*COS(RADIANS('13_시나리오비교'!$C$11))+$I595*COS(RADIANS('13_시나리오비교'!$B$11))),0)</f>
        <v/>
      </c>
      <c r="W595" s="80">
        <f>IF($I595&gt;0,MAX(0,$G595*SIN(RADIANS('13_시나리오비교'!$B$12))*SIN(RADIANS('13_시나리오비교'!$C$12))+$H595*SIN(RADIANS('13_시나리오비교'!$B$12))*COS(RADIANS('13_시나리오비교'!$C$12))+$I595*COS(RADIANS('13_시나리오비교'!$B$12))),0)</f>
        <v/>
      </c>
      <c r="X595" s="80">
        <f>IF($I595&gt;0,MAX(0,$G595*SIN(RADIANS('13_시나리오비교'!$B$13))*SIN(RADIANS('13_시나리오비교'!$C$13))+$H595*SIN(RADIANS('13_시나리오비교'!$B$13))*COS(RADIANS('13_시나리오비교'!$C$13))+$I595*COS(RADIANS('13_시나리오비교'!$B$13))),0)</f>
        <v/>
      </c>
      <c r="Y595" s="80">
        <f>IF($I595&gt;0,MAX(0,$G595*SIN(RADIANS('13_시나리오비교'!$B$14))*SIN(RADIANS('13_시나리오비교'!$C$14))+$H595*SIN(RADIANS('13_시나리오비교'!$B$14))*COS(RADIANS('13_시나리오비교'!$C$14))+$I595*COS(RADIANS('13_시나리오비교'!$B$14))),0)</f>
        <v/>
      </c>
    </row>
    <row r="596" hidden="1" outlineLevel="1">
      <c r="A596" s="79" t="n">
        <v>6</v>
      </c>
      <c r="B596" s="79" t="n">
        <v>96</v>
      </c>
      <c r="C596" s="80">
        <f>(B596-0.5)*'14_지역·상수'!$H$6</f>
        <v/>
      </c>
      <c r="D596" s="79" t="n">
        <v>162</v>
      </c>
      <c r="E596" s="80">
        <f>INDEX($C$4:$C$15,MATCH(A596,$A$4:$A$15,0))</f>
        <v/>
      </c>
      <c r="F596" s="80">
        <f>15*(C596-12)</f>
        <v/>
      </c>
      <c r="G596" s="80">
        <f>-COS(RADIANS(E596))*SIN(RADIANS(F596))</f>
        <v/>
      </c>
      <c r="H596" s="80">
        <f>COS(RADIANS('11_발전량_모델'!$B$17))*SIN(RADIANS(E596))-SIN(RADIANS('11_발전량_모델'!$B$17))*COS(RADIANS(E596))*COS(RADIANS(F596))</f>
        <v/>
      </c>
      <c r="I596" s="80">
        <f>SIN(RADIANS('11_발전량_모델'!$B$17))*SIN(RADIANS(E596))+COS(RADIANS('11_발전량_모델'!$B$17))*COS(RADIANS(E596))*COS(RADIANS(F596))</f>
        <v/>
      </c>
      <c r="J596" s="80">
        <f>SIN(RADIANS('11_발전량_모델'!$B$7))*SIN(RADIANS('11_발전량_모델'!$B$8))</f>
        <v/>
      </c>
      <c r="K596" s="80">
        <f>SIN(RADIANS('11_발전량_모델'!$B$7))*COS(RADIANS('11_발전량_모델'!$B$8))</f>
        <v/>
      </c>
      <c r="L596" s="80">
        <f>COS(RADIANS('11_발전량_모델'!$B$7))</f>
        <v/>
      </c>
      <c r="M596" s="80">
        <f>G596*J596+H596*K596+I596*L596</f>
        <v/>
      </c>
      <c r="N596" s="80">
        <f>MAX(0,I596)</f>
        <v/>
      </c>
      <c r="O596" s="80">
        <f>IF(I596&gt;0,MAX(0,M596),0)</f>
        <v/>
      </c>
      <c r="P596" s="80">
        <f>IF($I596&gt;0,MAX(0,$G596*SIN(RADIANS('13_시나리오비교'!$B$5))*SIN(RADIANS('13_시나리오비교'!$C$5))+$H596*SIN(RADIANS('13_시나리오비교'!$B$5))*COS(RADIANS('13_시나리오비교'!$C$5))+$I596*COS(RADIANS('13_시나리오비교'!$B$5))),0)</f>
        <v/>
      </c>
      <c r="Q596" s="80">
        <f>IF($I596&gt;0,MAX(0,$G596*SIN(RADIANS('13_시나리오비교'!$B$6))*SIN(RADIANS('13_시나리오비교'!$C$6))+$H596*SIN(RADIANS('13_시나리오비교'!$B$6))*COS(RADIANS('13_시나리오비교'!$C$6))+$I596*COS(RADIANS('13_시나리오비교'!$B$6))),0)</f>
        <v/>
      </c>
      <c r="R596" s="80">
        <f>IF($I596&gt;0,MAX(0,$G596*SIN(RADIANS('13_시나리오비교'!$B$7))*SIN(RADIANS('13_시나리오비교'!$C$7))+$H596*SIN(RADIANS('13_시나리오비교'!$B$7))*COS(RADIANS('13_시나리오비교'!$C$7))+$I596*COS(RADIANS('13_시나리오비교'!$B$7))),0)</f>
        <v/>
      </c>
      <c r="S596" s="80">
        <f>IF($I596&gt;0,MAX(0,$G596*SIN(RADIANS('13_시나리오비교'!$B$8))*SIN(RADIANS('13_시나리오비교'!$C$8))+$H596*SIN(RADIANS('13_시나리오비교'!$B$8))*COS(RADIANS('13_시나리오비교'!$C$8))+$I596*COS(RADIANS('13_시나리오비교'!$B$8))),0)</f>
        <v/>
      </c>
      <c r="T596" s="80">
        <f>IF($I596&gt;0,MAX(0,$G596*SIN(RADIANS('13_시나리오비교'!$B$9))*SIN(RADIANS('13_시나리오비교'!$C$9))+$H596*SIN(RADIANS('13_시나리오비교'!$B$9))*COS(RADIANS('13_시나리오비교'!$C$9))+$I596*COS(RADIANS('13_시나리오비교'!$B$9))),0)</f>
        <v/>
      </c>
      <c r="U596" s="80">
        <f>IF($I596&gt;0,MAX(0,$G596*SIN(RADIANS('13_시나리오비교'!$B$10))*SIN(RADIANS('13_시나리오비교'!$C$10))+$H596*SIN(RADIANS('13_시나리오비교'!$B$10))*COS(RADIANS('13_시나리오비교'!$C$10))+$I596*COS(RADIANS('13_시나리오비교'!$B$10))),0)</f>
        <v/>
      </c>
      <c r="V596" s="80">
        <f>IF($I596&gt;0,MAX(0,$G596*SIN(RADIANS('13_시나리오비교'!$B$11))*SIN(RADIANS('13_시나리오비교'!$C$11))+$H596*SIN(RADIANS('13_시나리오비교'!$B$11))*COS(RADIANS('13_시나리오비교'!$C$11))+$I596*COS(RADIANS('13_시나리오비교'!$B$11))),0)</f>
        <v/>
      </c>
      <c r="W596" s="80">
        <f>IF($I596&gt;0,MAX(0,$G596*SIN(RADIANS('13_시나리오비교'!$B$12))*SIN(RADIANS('13_시나리오비교'!$C$12))+$H596*SIN(RADIANS('13_시나리오비교'!$B$12))*COS(RADIANS('13_시나리오비교'!$C$12))+$I596*COS(RADIANS('13_시나리오비교'!$B$12))),0)</f>
        <v/>
      </c>
      <c r="X596" s="80">
        <f>IF($I596&gt;0,MAX(0,$G596*SIN(RADIANS('13_시나리오비교'!$B$13))*SIN(RADIANS('13_시나리오비교'!$C$13))+$H596*SIN(RADIANS('13_시나리오비교'!$B$13))*COS(RADIANS('13_시나리오비교'!$C$13))+$I596*COS(RADIANS('13_시나리오비교'!$B$13))),0)</f>
        <v/>
      </c>
      <c r="Y596" s="80">
        <f>IF($I596&gt;0,MAX(0,$G596*SIN(RADIANS('13_시나리오비교'!$B$14))*SIN(RADIANS('13_시나리오비교'!$C$14))+$H596*SIN(RADIANS('13_시나리오비교'!$B$14))*COS(RADIANS('13_시나리오비교'!$C$14))+$I596*COS(RADIANS('13_시나리오비교'!$B$14))),0)</f>
        <v/>
      </c>
    </row>
    <row r="597" hidden="1" outlineLevel="1">
      <c r="A597" s="79" t="n">
        <v>7</v>
      </c>
      <c r="B597" s="79" t="n">
        <v>1</v>
      </c>
      <c r="C597" s="80">
        <f>(B597-0.5)*'14_지역·상수'!$H$6</f>
        <v/>
      </c>
      <c r="D597" s="79" t="n">
        <v>198</v>
      </c>
      <c r="E597" s="80">
        <f>INDEX($C$4:$C$15,MATCH(A597,$A$4:$A$15,0))</f>
        <v/>
      </c>
      <c r="F597" s="80">
        <f>15*(C597-12)</f>
        <v/>
      </c>
      <c r="G597" s="80">
        <f>-COS(RADIANS(E597))*SIN(RADIANS(F597))</f>
        <v/>
      </c>
      <c r="H597" s="80">
        <f>COS(RADIANS('11_발전량_모델'!$B$17))*SIN(RADIANS(E597))-SIN(RADIANS('11_발전량_모델'!$B$17))*COS(RADIANS(E597))*COS(RADIANS(F597))</f>
        <v/>
      </c>
      <c r="I597" s="80">
        <f>SIN(RADIANS('11_발전량_모델'!$B$17))*SIN(RADIANS(E597))+COS(RADIANS('11_발전량_모델'!$B$17))*COS(RADIANS(E597))*COS(RADIANS(F597))</f>
        <v/>
      </c>
      <c r="J597" s="80">
        <f>SIN(RADIANS('11_발전량_모델'!$B$7))*SIN(RADIANS('11_발전량_모델'!$B$8))</f>
        <v/>
      </c>
      <c r="K597" s="80">
        <f>SIN(RADIANS('11_발전량_모델'!$B$7))*COS(RADIANS('11_발전량_모델'!$B$8))</f>
        <v/>
      </c>
      <c r="L597" s="80">
        <f>COS(RADIANS('11_발전량_모델'!$B$7))</f>
        <v/>
      </c>
      <c r="M597" s="80">
        <f>G597*J597+H597*K597+I597*L597</f>
        <v/>
      </c>
      <c r="N597" s="80">
        <f>MAX(0,I597)</f>
        <v/>
      </c>
      <c r="O597" s="80">
        <f>IF(I597&gt;0,MAX(0,M597),0)</f>
        <v/>
      </c>
      <c r="P597" s="80">
        <f>IF($I597&gt;0,MAX(0,$G597*SIN(RADIANS('13_시나리오비교'!$B$5))*SIN(RADIANS('13_시나리오비교'!$C$5))+$H597*SIN(RADIANS('13_시나리오비교'!$B$5))*COS(RADIANS('13_시나리오비교'!$C$5))+$I597*COS(RADIANS('13_시나리오비교'!$B$5))),0)</f>
        <v/>
      </c>
      <c r="Q597" s="80">
        <f>IF($I597&gt;0,MAX(0,$G597*SIN(RADIANS('13_시나리오비교'!$B$6))*SIN(RADIANS('13_시나리오비교'!$C$6))+$H597*SIN(RADIANS('13_시나리오비교'!$B$6))*COS(RADIANS('13_시나리오비교'!$C$6))+$I597*COS(RADIANS('13_시나리오비교'!$B$6))),0)</f>
        <v/>
      </c>
      <c r="R597" s="80">
        <f>IF($I597&gt;0,MAX(0,$G597*SIN(RADIANS('13_시나리오비교'!$B$7))*SIN(RADIANS('13_시나리오비교'!$C$7))+$H597*SIN(RADIANS('13_시나리오비교'!$B$7))*COS(RADIANS('13_시나리오비교'!$C$7))+$I597*COS(RADIANS('13_시나리오비교'!$B$7))),0)</f>
        <v/>
      </c>
      <c r="S597" s="80">
        <f>IF($I597&gt;0,MAX(0,$G597*SIN(RADIANS('13_시나리오비교'!$B$8))*SIN(RADIANS('13_시나리오비교'!$C$8))+$H597*SIN(RADIANS('13_시나리오비교'!$B$8))*COS(RADIANS('13_시나리오비교'!$C$8))+$I597*COS(RADIANS('13_시나리오비교'!$B$8))),0)</f>
        <v/>
      </c>
      <c r="T597" s="80">
        <f>IF($I597&gt;0,MAX(0,$G597*SIN(RADIANS('13_시나리오비교'!$B$9))*SIN(RADIANS('13_시나리오비교'!$C$9))+$H597*SIN(RADIANS('13_시나리오비교'!$B$9))*COS(RADIANS('13_시나리오비교'!$C$9))+$I597*COS(RADIANS('13_시나리오비교'!$B$9))),0)</f>
        <v/>
      </c>
      <c r="U597" s="80">
        <f>IF($I597&gt;0,MAX(0,$G597*SIN(RADIANS('13_시나리오비교'!$B$10))*SIN(RADIANS('13_시나리오비교'!$C$10))+$H597*SIN(RADIANS('13_시나리오비교'!$B$10))*COS(RADIANS('13_시나리오비교'!$C$10))+$I597*COS(RADIANS('13_시나리오비교'!$B$10))),0)</f>
        <v/>
      </c>
      <c r="V597" s="80">
        <f>IF($I597&gt;0,MAX(0,$G597*SIN(RADIANS('13_시나리오비교'!$B$11))*SIN(RADIANS('13_시나리오비교'!$C$11))+$H597*SIN(RADIANS('13_시나리오비교'!$B$11))*COS(RADIANS('13_시나리오비교'!$C$11))+$I597*COS(RADIANS('13_시나리오비교'!$B$11))),0)</f>
        <v/>
      </c>
      <c r="W597" s="80">
        <f>IF($I597&gt;0,MAX(0,$G597*SIN(RADIANS('13_시나리오비교'!$B$12))*SIN(RADIANS('13_시나리오비교'!$C$12))+$H597*SIN(RADIANS('13_시나리오비교'!$B$12))*COS(RADIANS('13_시나리오비교'!$C$12))+$I597*COS(RADIANS('13_시나리오비교'!$B$12))),0)</f>
        <v/>
      </c>
      <c r="X597" s="80">
        <f>IF($I597&gt;0,MAX(0,$G597*SIN(RADIANS('13_시나리오비교'!$B$13))*SIN(RADIANS('13_시나리오비교'!$C$13))+$H597*SIN(RADIANS('13_시나리오비교'!$B$13))*COS(RADIANS('13_시나리오비교'!$C$13))+$I597*COS(RADIANS('13_시나리오비교'!$B$13))),0)</f>
        <v/>
      </c>
      <c r="Y597" s="80">
        <f>IF($I597&gt;0,MAX(0,$G597*SIN(RADIANS('13_시나리오비교'!$B$14))*SIN(RADIANS('13_시나리오비교'!$C$14))+$H597*SIN(RADIANS('13_시나리오비교'!$B$14))*COS(RADIANS('13_시나리오비교'!$C$14))+$I597*COS(RADIANS('13_시나리오비교'!$B$14))),0)</f>
        <v/>
      </c>
    </row>
    <row r="598" hidden="1" outlineLevel="1">
      <c r="A598" s="79" t="n">
        <v>7</v>
      </c>
      <c r="B598" s="79" t="n">
        <v>2</v>
      </c>
      <c r="C598" s="80">
        <f>(B598-0.5)*'14_지역·상수'!$H$6</f>
        <v/>
      </c>
      <c r="D598" s="79" t="n">
        <v>198</v>
      </c>
      <c r="E598" s="80">
        <f>INDEX($C$4:$C$15,MATCH(A598,$A$4:$A$15,0))</f>
        <v/>
      </c>
      <c r="F598" s="80">
        <f>15*(C598-12)</f>
        <v/>
      </c>
      <c r="G598" s="80">
        <f>-COS(RADIANS(E598))*SIN(RADIANS(F598))</f>
        <v/>
      </c>
      <c r="H598" s="80">
        <f>COS(RADIANS('11_발전량_모델'!$B$17))*SIN(RADIANS(E598))-SIN(RADIANS('11_발전량_모델'!$B$17))*COS(RADIANS(E598))*COS(RADIANS(F598))</f>
        <v/>
      </c>
      <c r="I598" s="80">
        <f>SIN(RADIANS('11_발전량_모델'!$B$17))*SIN(RADIANS(E598))+COS(RADIANS('11_발전량_모델'!$B$17))*COS(RADIANS(E598))*COS(RADIANS(F598))</f>
        <v/>
      </c>
      <c r="J598" s="80">
        <f>SIN(RADIANS('11_발전량_모델'!$B$7))*SIN(RADIANS('11_발전량_모델'!$B$8))</f>
        <v/>
      </c>
      <c r="K598" s="80">
        <f>SIN(RADIANS('11_발전량_모델'!$B$7))*COS(RADIANS('11_발전량_모델'!$B$8))</f>
        <v/>
      </c>
      <c r="L598" s="80">
        <f>COS(RADIANS('11_발전량_모델'!$B$7))</f>
        <v/>
      </c>
      <c r="M598" s="80">
        <f>G598*J598+H598*K598+I598*L598</f>
        <v/>
      </c>
      <c r="N598" s="80">
        <f>MAX(0,I598)</f>
        <v/>
      </c>
      <c r="O598" s="80">
        <f>IF(I598&gt;0,MAX(0,M598),0)</f>
        <v/>
      </c>
      <c r="P598" s="80">
        <f>IF($I598&gt;0,MAX(0,$G598*SIN(RADIANS('13_시나리오비교'!$B$5))*SIN(RADIANS('13_시나리오비교'!$C$5))+$H598*SIN(RADIANS('13_시나리오비교'!$B$5))*COS(RADIANS('13_시나리오비교'!$C$5))+$I598*COS(RADIANS('13_시나리오비교'!$B$5))),0)</f>
        <v/>
      </c>
      <c r="Q598" s="80">
        <f>IF($I598&gt;0,MAX(0,$G598*SIN(RADIANS('13_시나리오비교'!$B$6))*SIN(RADIANS('13_시나리오비교'!$C$6))+$H598*SIN(RADIANS('13_시나리오비교'!$B$6))*COS(RADIANS('13_시나리오비교'!$C$6))+$I598*COS(RADIANS('13_시나리오비교'!$B$6))),0)</f>
        <v/>
      </c>
      <c r="R598" s="80">
        <f>IF($I598&gt;0,MAX(0,$G598*SIN(RADIANS('13_시나리오비교'!$B$7))*SIN(RADIANS('13_시나리오비교'!$C$7))+$H598*SIN(RADIANS('13_시나리오비교'!$B$7))*COS(RADIANS('13_시나리오비교'!$C$7))+$I598*COS(RADIANS('13_시나리오비교'!$B$7))),0)</f>
        <v/>
      </c>
      <c r="S598" s="80">
        <f>IF($I598&gt;0,MAX(0,$G598*SIN(RADIANS('13_시나리오비교'!$B$8))*SIN(RADIANS('13_시나리오비교'!$C$8))+$H598*SIN(RADIANS('13_시나리오비교'!$B$8))*COS(RADIANS('13_시나리오비교'!$C$8))+$I598*COS(RADIANS('13_시나리오비교'!$B$8))),0)</f>
        <v/>
      </c>
      <c r="T598" s="80">
        <f>IF($I598&gt;0,MAX(0,$G598*SIN(RADIANS('13_시나리오비교'!$B$9))*SIN(RADIANS('13_시나리오비교'!$C$9))+$H598*SIN(RADIANS('13_시나리오비교'!$B$9))*COS(RADIANS('13_시나리오비교'!$C$9))+$I598*COS(RADIANS('13_시나리오비교'!$B$9))),0)</f>
        <v/>
      </c>
      <c r="U598" s="80">
        <f>IF($I598&gt;0,MAX(0,$G598*SIN(RADIANS('13_시나리오비교'!$B$10))*SIN(RADIANS('13_시나리오비교'!$C$10))+$H598*SIN(RADIANS('13_시나리오비교'!$B$10))*COS(RADIANS('13_시나리오비교'!$C$10))+$I598*COS(RADIANS('13_시나리오비교'!$B$10))),0)</f>
        <v/>
      </c>
      <c r="V598" s="80">
        <f>IF($I598&gt;0,MAX(0,$G598*SIN(RADIANS('13_시나리오비교'!$B$11))*SIN(RADIANS('13_시나리오비교'!$C$11))+$H598*SIN(RADIANS('13_시나리오비교'!$B$11))*COS(RADIANS('13_시나리오비교'!$C$11))+$I598*COS(RADIANS('13_시나리오비교'!$B$11))),0)</f>
        <v/>
      </c>
      <c r="W598" s="80">
        <f>IF($I598&gt;0,MAX(0,$G598*SIN(RADIANS('13_시나리오비교'!$B$12))*SIN(RADIANS('13_시나리오비교'!$C$12))+$H598*SIN(RADIANS('13_시나리오비교'!$B$12))*COS(RADIANS('13_시나리오비교'!$C$12))+$I598*COS(RADIANS('13_시나리오비교'!$B$12))),0)</f>
        <v/>
      </c>
      <c r="X598" s="80">
        <f>IF($I598&gt;0,MAX(0,$G598*SIN(RADIANS('13_시나리오비교'!$B$13))*SIN(RADIANS('13_시나리오비교'!$C$13))+$H598*SIN(RADIANS('13_시나리오비교'!$B$13))*COS(RADIANS('13_시나리오비교'!$C$13))+$I598*COS(RADIANS('13_시나리오비교'!$B$13))),0)</f>
        <v/>
      </c>
      <c r="Y598" s="80">
        <f>IF($I598&gt;0,MAX(0,$G598*SIN(RADIANS('13_시나리오비교'!$B$14))*SIN(RADIANS('13_시나리오비교'!$C$14))+$H598*SIN(RADIANS('13_시나리오비교'!$B$14))*COS(RADIANS('13_시나리오비교'!$C$14))+$I598*COS(RADIANS('13_시나리오비교'!$B$14))),0)</f>
        <v/>
      </c>
    </row>
    <row r="599" hidden="1" outlineLevel="1">
      <c r="A599" s="79" t="n">
        <v>7</v>
      </c>
      <c r="B599" s="79" t="n">
        <v>3</v>
      </c>
      <c r="C599" s="80">
        <f>(B599-0.5)*'14_지역·상수'!$H$6</f>
        <v/>
      </c>
      <c r="D599" s="79" t="n">
        <v>198</v>
      </c>
      <c r="E599" s="80">
        <f>INDEX($C$4:$C$15,MATCH(A599,$A$4:$A$15,0))</f>
        <v/>
      </c>
      <c r="F599" s="80">
        <f>15*(C599-12)</f>
        <v/>
      </c>
      <c r="G599" s="80">
        <f>-COS(RADIANS(E599))*SIN(RADIANS(F599))</f>
        <v/>
      </c>
      <c r="H599" s="80">
        <f>COS(RADIANS('11_발전량_모델'!$B$17))*SIN(RADIANS(E599))-SIN(RADIANS('11_발전량_모델'!$B$17))*COS(RADIANS(E599))*COS(RADIANS(F599))</f>
        <v/>
      </c>
      <c r="I599" s="80">
        <f>SIN(RADIANS('11_발전량_모델'!$B$17))*SIN(RADIANS(E599))+COS(RADIANS('11_발전량_모델'!$B$17))*COS(RADIANS(E599))*COS(RADIANS(F599))</f>
        <v/>
      </c>
      <c r="J599" s="80">
        <f>SIN(RADIANS('11_발전량_모델'!$B$7))*SIN(RADIANS('11_발전량_모델'!$B$8))</f>
        <v/>
      </c>
      <c r="K599" s="80">
        <f>SIN(RADIANS('11_발전량_모델'!$B$7))*COS(RADIANS('11_발전량_모델'!$B$8))</f>
        <v/>
      </c>
      <c r="L599" s="80">
        <f>COS(RADIANS('11_발전량_모델'!$B$7))</f>
        <v/>
      </c>
      <c r="M599" s="80">
        <f>G599*J599+H599*K599+I599*L599</f>
        <v/>
      </c>
      <c r="N599" s="80">
        <f>MAX(0,I599)</f>
        <v/>
      </c>
      <c r="O599" s="80">
        <f>IF(I599&gt;0,MAX(0,M599),0)</f>
        <v/>
      </c>
      <c r="P599" s="80">
        <f>IF($I599&gt;0,MAX(0,$G599*SIN(RADIANS('13_시나리오비교'!$B$5))*SIN(RADIANS('13_시나리오비교'!$C$5))+$H599*SIN(RADIANS('13_시나리오비교'!$B$5))*COS(RADIANS('13_시나리오비교'!$C$5))+$I599*COS(RADIANS('13_시나리오비교'!$B$5))),0)</f>
        <v/>
      </c>
      <c r="Q599" s="80">
        <f>IF($I599&gt;0,MAX(0,$G599*SIN(RADIANS('13_시나리오비교'!$B$6))*SIN(RADIANS('13_시나리오비교'!$C$6))+$H599*SIN(RADIANS('13_시나리오비교'!$B$6))*COS(RADIANS('13_시나리오비교'!$C$6))+$I599*COS(RADIANS('13_시나리오비교'!$B$6))),0)</f>
        <v/>
      </c>
      <c r="R599" s="80">
        <f>IF($I599&gt;0,MAX(0,$G599*SIN(RADIANS('13_시나리오비교'!$B$7))*SIN(RADIANS('13_시나리오비교'!$C$7))+$H599*SIN(RADIANS('13_시나리오비교'!$B$7))*COS(RADIANS('13_시나리오비교'!$C$7))+$I599*COS(RADIANS('13_시나리오비교'!$B$7))),0)</f>
        <v/>
      </c>
      <c r="S599" s="80">
        <f>IF($I599&gt;0,MAX(0,$G599*SIN(RADIANS('13_시나리오비교'!$B$8))*SIN(RADIANS('13_시나리오비교'!$C$8))+$H599*SIN(RADIANS('13_시나리오비교'!$B$8))*COS(RADIANS('13_시나리오비교'!$C$8))+$I599*COS(RADIANS('13_시나리오비교'!$B$8))),0)</f>
        <v/>
      </c>
      <c r="T599" s="80">
        <f>IF($I599&gt;0,MAX(0,$G599*SIN(RADIANS('13_시나리오비교'!$B$9))*SIN(RADIANS('13_시나리오비교'!$C$9))+$H599*SIN(RADIANS('13_시나리오비교'!$B$9))*COS(RADIANS('13_시나리오비교'!$C$9))+$I599*COS(RADIANS('13_시나리오비교'!$B$9))),0)</f>
        <v/>
      </c>
      <c r="U599" s="80">
        <f>IF($I599&gt;0,MAX(0,$G599*SIN(RADIANS('13_시나리오비교'!$B$10))*SIN(RADIANS('13_시나리오비교'!$C$10))+$H599*SIN(RADIANS('13_시나리오비교'!$B$10))*COS(RADIANS('13_시나리오비교'!$C$10))+$I599*COS(RADIANS('13_시나리오비교'!$B$10))),0)</f>
        <v/>
      </c>
      <c r="V599" s="80">
        <f>IF($I599&gt;0,MAX(0,$G599*SIN(RADIANS('13_시나리오비교'!$B$11))*SIN(RADIANS('13_시나리오비교'!$C$11))+$H599*SIN(RADIANS('13_시나리오비교'!$B$11))*COS(RADIANS('13_시나리오비교'!$C$11))+$I599*COS(RADIANS('13_시나리오비교'!$B$11))),0)</f>
        <v/>
      </c>
      <c r="W599" s="80">
        <f>IF($I599&gt;0,MAX(0,$G599*SIN(RADIANS('13_시나리오비교'!$B$12))*SIN(RADIANS('13_시나리오비교'!$C$12))+$H599*SIN(RADIANS('13_시나리오비교'!$B$12))*COS(RADIANS('13_시나리오비교'!$C$12))+$I599*COS(RADIANS('13_시나리오비교'!$B$12))),0)</f>
        <v/>
      </c>
      <c r="X599" s="80">
        <f>IF($I599&gt;0,MAX(0,$G599*SIN(RADIANS('13_시나리오비교'!$B$13))*SIN(RADIANS('13_시나리오비교'!$C$13))+$H599*SIN(RADIANS('13_시나리오비교'!$B$13))*COS(RADIANS('13_시나리오비교'!$C$13))+$I599*COS(RADIANS('13_시나리오비교'!$B$13))),0)</f>
        <v/>
      </c>
      <c r="Y599" s="80">
        <f>IF($I599&gt;0,MAX(0,$G599*SIN(RADIANS('13_시나리오비교'!$B$14))*SIN(RADIANS('13_시나리오비교'!$C$14))+$H599*SIN(RADIANS('13_시나리오비교'!$B$14))*COS(RADIANS('13_시나리오비교'!$C$14))+$I599*COS(RADIANS('13_시나리오비교'!$B$14))),0)</f>
        <v/>
      </c>
    </row>
    <row r="600" hidden="1" outlineLevel="1">
      <c r="A600" s="79" t="n">
        <v>7</v>
      </c>
      <c r="B600" s="79" t="n">
        <v>4</v>
      </c>
      <c r="C600" s="80">
        <f>(B600-0.5)*'14_지역·상수'!$H$6</f>
        <v/>
      </c>
      <c r="D600" s="79" t="n">
        <v>198</v>
      </c>
      <c r="E600" s="80">
        <f>INDEX($C$4:$C$15,MATCH(A600,$A$4:$A$15,0))</f>
        <v/>
      </c>
      <c r="F600" s="80">
        <f>15*(C600-12)</f>
        <v/>
      </c>
      <c r="G600" s="80">
        <f>-COS(RADIANS(E600))*SIN(RADIANS(F600))</f>
        <v/>
      </c>
      <c r="H600" s="80">
        <f>COS(RADIANS('11_발전량_모델'!$B$17))*SIN(RADIANS(E600))-SIN(RADIANS('11_발전량_모델'!$B$17))*COS(RADIANS(E600))*COS(RADIANS(F600))</f>
        <v/>
      </c>
      <c r="I600" s="80">
        <f>SIN(RADIANS('11_발전량_모델'!$B$17))*SIN(RADIANS(E600))+COS(RADIANS('11_발전량_모델'!$B$17))*COS(RADIANS(E600))*COS(RADIANS(F600))</f>
        <v/>
      </c>
      <c r="J600" s="80">
        <f>SIN(RADIANS('11_발전량_모델'!$B$7))*SIN(RADIANS('11_발전량_모델'!$B$8))</f>
        <v/>
      </c>
      <c r="K600" s="80">
        <f>SIN(RADIANS('11_발전량_모델'!$B$7))*COS(RADIANS('11_발전량_모델'!$B$8))</f>
        <v/>
      </c>
      <c r="L600" s="80">
        <f>COS(RADIANS('11_발전량_모델'!$B$7))</f>
        <v/>
      </c>
      <c r="M600" s="80">
        <f>G600*J600+H600*K600+I600*L600</f>
        <v/>
      </c>
      <c r="N600" s="80">
        <f>MAX(0,I600)</f>
        <v/>
      </c>
      <c r="O600" s="80">
        <f>IF(I600&gt;0,MAX(0,M600),0)</f>
        <v/>
      </c>
      <c r="P600" s="80">
        <f>IF($I600&gt;0,MAX(0,$G600*SIN(RADIANS('13_시나리오비교'!$B$5))*SIN(RADIANS('13_시나리오비교'!$C$5))+$H600*SIN(RADIANS('13_시나리오비교'!$B$5))*COS(RADIANS('13_시나리오비교'!$C$5))+$I600*COS(RADIANS('13_시나리오비교'!$B$5))),0)</f>
        <v/>
      </c>
      <c r="Q600" s="80">
        <f>IF($I600&gt;0,MAX(0,$G600*SIN(RADIANS('13_시나리오비교'!$B$6))*SIN(RADIANS('13_시나리오비교'!$C$6))+$H600*SIN(RADIANS('13_시나리오비교'!$B$6))*COS(RADIANS('13_시나리오비교'!$C$6))+$I600*COS(RADIANS('13_시나리오비교'!$B$6))),0)</f>
        <v/>
      </c>
      <c r="R600" s="80">
        <f>IF($I600&gt;0,MAX(0,$G600*SIN(RADIANS('13_시나리오비교'!$B$7))*SIN(RADIANS('13_시나리오비교'!$C$7))+$H600*SIN(RADIANS('13_시나리오비교'!$B$7))*COS(RADIANS('13_시나리오비교'!$C$7))+$I600*COS(RADIANS('13_시나리오비교'!$B$7))),0)</f>
        <v/>
      </c>
      <c r="S600" s="80">
        <f>IF($I600&gt;0,MAX(0,$G600*SIN(RADIANS('13_시나리오비교'!$B$8))*SIN(RADIANS('13_시나리오비교'!$C$8))+$H600*SIN(RADIANS('13_시나리오비교'!$B$8))*COS(RADIANS('13_시나리오비교'!$C$8))+$I600*COS(RADIANS('13_시나리오비교'!$B$8))),0)</f>
        <v/>
      </c>
      <c r="T600" s="80">
        <f>IF($I600&gt;0,MAX(0,$G600*SIN(RADIANS('13_시나리오비교'!$B$9))*SIN(RADIANS('13_시나리오비교'!$C$9))+$H600*SIN(RADIANS('13_시나리오비교'!$B$9))*COS(RADIANS('13_시나리오비교'!$C$9))+$I600*COS(RADIANS('13_시나리오비교'!$B$9))),0)</f>
        <v/>
      </c>
      <c r="U600" s="80">
        <f>IF($I600&gt;0,MAX(0,$G600*SIN(RADIANS('13_시나리오비교'!$B$10))*SIN(RADIANS('13_시나리오비교'!$C$10))+$H600*SIN(RADIANS('13_시나리오비교'!$B$10))*COS(RADIANS('13_시나리오비교'!$C$10))+$I600*COS(RADIANS('13_시나리오비교'!$B$10))),0)</f>
        <v/>
      </c>
      <c r="V600" s="80">
        <f>IF($I600&gt;0,MAX(0,$G600*SIN(RADIANS('13_시나리오비교'!$B$11))*SIN(RADIANS('13_시나리오비교'!$C$11))+$H600*SIN(RADIANS('13_시나리오비교'!$B$11))*COS(RADIANS('13_시나리오비교'!$C$11))+$I600*COS(RADIANS('13_시나리오비교'!$B$11))),0)</f>
        <v/>
      </c>
      <c r="W600" s="80">
        <f>IF($I600&gt;0,MAX(0,$G600*SIN(RADIANS('13_시나리오비교'!$B$12))*SIN(RADIANS('13_시나리오비교'!$C$12))+$H600*SIN(RADIANS('13_시나리오비교'!$B$12))*COS(RADIANS('13_시나리오비교'!$C$12))+$I600*COS(RADIANS('13_시나리오비교'!$B$12))),0)</f>
        <v/>
      </c>
      <c r="X600" s="80">
        <f>IF($I600&gt;0,MAX(0,$G600*SIN(RADIANS('13_시나리오비교'!$B$13))*SIN(RADIANS('13_시나리오비교'!$C$13))+$H600*SIN(RADIANS('13_시나리오비교'!$B$13))*COS(RADIANS('13_시나리오비교'!$C$13))+$I600*COS(RADIANS('13_시나리오비교'!$B$13))),0)</f>
        <v/>
      </c>
      <c r="Y600" s="80">
        <f>IF($I600&gt;0,MAX(0,$G600*SIN(RADIANS('13_시나리오비교'!$B$14))*SIN(RADIANS('13_시나리오비교'!$C$14))+$H600*SIN(RADIANS('13_시나리오비교'!$B$14))*COS(RADIANS('13_시나리오비교'!$C$14))+$I600*COS(RADIANS('13_시나리오비교'!$B$14))),0)</f>
        <v/>
      </c>
    </row>
    <row r="601" hidden="1" outlineLevel="1">
      <c r="A601" s="79" t="n">
        <v>7</v>
      </c>
      <c r="B601" s="79" t="n">
        <v>5</v>
      </c>
      <c r="C601" s="80">
        <f>(B601-0.5)*'14_지역·상수'!$H$6</f>
        <v/>
      </c>
      <c r="D601" s="79" t="n">
        <v>198</v>
      </c>
      <c r="E601" s="80">
        <f>INDEX($C$4:$C$15,MATCH(A601,$A$4:$A$15,0))</f>
        <v/>
      </c>
      <c r="F601" s="80">
        <f>15*(C601-12)</f>
        <v/>
      </c>
      <c r="G601" s="80">
        <f>-COS(RADIANS(E601))*SIN(RADIANS(F601))</f>
        <v/>
      </c>
      <c r="H601" s="80">
        <f>COS(RADIANS('11_발전량_모델'!$B$17))*SIN(RADIANS(E601))-SIN(RADIANS('11_발전량_모델'!$B$17))*COS(RADIANS(E601))*COS(RADIANS(F601))</f>
        <v/>
      </c>
      <c r="I601" s="80">
        <f>SIN(RADIANS('11_발전량_모델'!$B$17))*SIN(RADIANS(E601))+COS(RADIANS('11_발전량_모델'!$B$17))*COS(RADIANS(E601))*COS(RADIANS(F601))</f>
        <v/>
      </c>
      <c r="J601" s="80">
        <f>SIN(RADIANS('11_발전량_모델'!$B$7))*SIN(RADIANS('11_발전량_모델'!$B$8))</f>
        <v/>
      </c>
      <c r="K601" s="80">
        <f>SIN(RADIANS('11_발전량_모델'!$B$7))*COS(RADIANS('11_발전량_모델'!$B$8))</f>
        <v/>
      </c>
      <c r="L601" s="80">
        <f>COS(RADIANS('11_발전량_모델'!$B$7))</f>
        <v/>
      </c>
      <c r="M601" s="80">
        <f>G601*J601+H601*K601+I601*L601</f>
        <v/>
      </c>
      <c r="N601" s="80">
        <f>MAX(0,I601)</f>
        <v/>
      </c>
      <c r="O601" s="80">
        <f>IF(I601&gt;0,MAX(0,M601),0)</f>
        <v/>
      </c>
      <c r="P601" s="80">
        <f>IF($I601&gt;0,MAX(0,$G601*SIN(RADIANS('13_시나리오비교'!$B$5))*SIN(RADIANS('13_시나리오비교'!$C$5))+$H601*SIN(RADIANS('13_시나리오비교'!$B$5))*COS(RADIANS('13_시나리오비교'!$C$5))+$I601*COS(RADIANS('13_시나리오비교'!$B$5))),0)</f>
        <v/>
      </c>
      <c r="Q601" s="80">
        <f>IF($I601&gt;0,MAX(0,$G601*SIN(RADIANS('13_시나리오비교'!$B$6))*SIN(RADIANS('13_시나리오비교'!$C$6))+$H601*SIN(RADIANS('13_시나리오비교'!$B$6))*COS(RADIANS('13_시나리오비교'!$C$6))+$I601*COS(RADIANS('13_시나리오비교'!$B$6))),0)</f>
        <v/>
      </c>
      <c r="R601" s="80">
        <f>IF($I601&gt;0,MAX(0,$G601*SIN(RADIANS('13_시나리오비교'!$B$7))*SIN(RADIANS('13_시나리오비교'!$C$7))+$H601*SIN(RADIANS('13_시나리오비교'!$B$7))*COS(RADIANS('13_시나리오비교'!$C$7))+$I601*COS(RADIANS('13_시나리오비교'!$B$7))),0)</f>
        <v/>
      </c>
      <c r="S601" s="80">
        <f>IF($I601&gt;0,MAX(0,$G601*SIN(RADIANS('13_시나리오비교'!$B$8))*SIN(RADIANS('13_시나리오비교'!$C$8))+$H601*SIN(RADIANS('13_시나리오비교'!$B$8))*COS(RADIANS('13_시나리오비교'!$C$8))+$I601*COS(RADIANS('13_시나리오비교'!$B$8))),0)</f>
        <v/>
      </c>
      <c r="T601" s="80">
        <f>IF($I601&gt;0,MAX(0,$G601*SIN(RADIANS('13_시나리오비교'!$B$9))*SIN(RADIANS('13_시나리오비교'!$C$9))+$H601*SIN(RADIANS('13_시나리오비교'!$B$9))*COS(RADIANS('13_시나리오비교'!$C$9))+$I601*COS(RADIANS('13_시나리오비교'!$B$9))),0)</f>
        <v/>
      </c>
      <c r="U601" s="80">
        <f>IF($I601&gt;0,MAX(0,$G601*SIN(RADIANS('13_시나리오비교'!$B$10))*SIN(RADIANS('13_시나리오비교'!$C$10))+$H601*SIN(RADIANS('13_시나리오비교'!$B$10))*COS(RADIANS('13_시나리오비교'!$C$10))+$I601*COS(RADIANS('13_시나리오비교'!$B$10))),0)</f>
        <v/>
      </c>
      <c r="V601" s="80">
        <f>IF($I601&gt;0,MAX(0,$G601*SIN(RADIANS('13_시나리오비교'!$B$11))*SIN(RADIANS('13_시나리오비교'!$C$11))+$H601*SIN(RADIANS('13_시나리오비교'!$B$11))*COS(RADIANS('13_시나리오비교'!$C$11))+$I601*COS(RADIANS('13_시나리오비교'!$B$11))),0)</f>
        <v/>
      </c>
      <c r="W601" s="80">
        <f>IF($I601&gt;0,MAX(0,$G601*SIN(RADIANS('13_시나리오비교'!$B$12))*SIN(RADIANS('13_시나리오비교'!$C$12))+$H601*SIN(RADIANS('13_시나리오비교'!$B$12))*COS(RADIANS('13_시나리오비교'!$C$12))+$I601*COS(RADIANS('13_시나리오비교'!$B$12))),0)</f>
        <v/>
      </c>
      <c r="X601" s="80">
        <f>IF($I601&gt;0,MAX(0,$G601*SIN(RADIANS('13_시나리오비교'!$B$13))*SIN(RADIANS('13_시나리오비교'!$C$13))+$H601*SIN(RADIANS('13_시나리오비교'!$B$13))*COS(RADIANS('13_시나리오비교'!$C$13))+$I601*COS(RADIANS('13_시나리오비교'!$B$13))),0)</f>
        <v/>
      </c>
      <c r="Y601" s="80">
        <f>IF($I601&gt;0,MAX(0,$G601*SIN(RADIANS('13_시나리오비교'!$B$14))*SIN(RADIANS('13_시나리오비교'!$C$14))+$H601*SIN(RADIANS('13_시나리오비교'!$B$14))*COS(RADIANS('13_시나리오비교'!$C$14))+$I601*COS(RADIANS('13_시나리오비교'!$B$14))),0)</f>
        <v/>
      </c>
    </row>
    <row r="602" hidden="1" outlineLevel="1">
      <c r="A602" s="79" t="n">
        <v>7</v>
      </c>
      <c r="B602" s="79" t="n">
        <v>6</v>
      </c>
      <c r="C602" s="80">
        <f>(B602-0.5)*'14_지역·상수'!$H$6</f>
        <v/>
      </c>
      <c r="D602" s="79" t="n">
        <v>198</v>
      </c>
      <c r="E602" s="80">
        <f>INDEX($C$4:$C$15,MATCH(A602,$A$4:$A$15,0))</f>
        <v/>
      </c>
      <c r="F602" s="80">
        <f>15*(C602-12)</f>
        <v/>
      </c>
      <c r="G602" s="80">
        <f>-COS(RADIANS(E602))*SIN(RADIANS(F602))</f>
        <v/>
      </c>
      <c r="H602" s="80">
        <f>COS(RADIANS('11_발전량_모델'!$B$17))*SIN(RADIANS(E602))-SIN(RADIANS('11_발전량_모델'!$B$17))*COS(RADIANS(E602))*COS(RADIANS(F602))</f>
        <v/>
      </c>
      <c r="I602" s="80">
        <f>SIN(RADIANS('11_발전량_모델'!$B$17))*SIN(RADIANS(E602))+COS(RADIANS('11_발전량_모델'!$B$17))*COS(RADIANS(E602))*COS(RADIANS(F602))</f>
        <v/>
      </c>
      <c r="J602" s="80">
        <f>SIN(RADIANS('11_발전량_모델'!$B$7))*SIN(RADIANS('11_발전량_모델'!$B$8))</f>
        <v/>
      </c>
      <c r="K602" s="80">
        <f>SIN(RADIANS('11_발전량_모델'!$B$7))*COS(RADIANS('11_발전량_모델'!$B$8))</f>
        <v/>
      </c>
      <c r="L602" s="80">
        <f>COS(RADIANS('11_발전량_모델'!$B$7))</f>
        <v/>
      </c>
      <c r="M602" s="80">
        <f>G602*J602+H602*K602+I602*L602</f>
        <v/>
      </c>
      <c r="N602" s="80">
        <f>MAX(0,I602)</f>
        <v/>
      </c>
      <c r="O602" s="80">
        <f>IF(I602&gt;0,MAX(0,M602),0)</f>
        <v/>
      </c>
      <c r="P602" s="80">
        <f>IF($I602&gt;0,MAX(0,$G602*SIN(RADIANS('13_시나리오비교'!$B$5))*SIN(RADIANS('13_시나리오비교'!$C$5))+$H602*SIN(RADIANS('13_시나리오비교'!$B$5))*COS(RADIANS('13_시나리오비교'!$C$5))+$I602*COS(RADIANS('13_시나리오비교'!$B$5))),0)</f>
        <v/>
      </c>
      <c r="Q602" s="80">
        <f>IF($I602&gt;0,MAX(0,$G602*SIN(RADIANS('13_시나리오비교'!$B$6))*SIN(RADIANS('13_시나리오비교'!$C$6))+$H602*SIN(RADIANS('13_시나리오비교'!$B$6))*COS(RADIANS('13_시나리오비교'!$C$6))+$I602*COS(RADIANS('13_시나리오비교'!$B$6))),0)</f>
        <v/>
      </c>
      <c r="R602" s="80">
        <f>IF($I602&gt;0,MAX(0,$G602*SIN(RADIANS('13_시나리오비교'!$B$7))*SIN(RADIANS('13_시나리오비교'!$C$7))+$H602*SIN(RADIANS('13_시나리오비교'!$B$7))*COS(RADIANS('13_시나리오비교'!$C$7))+$I602*COS(RADIANS('13_시나리오비교'!$B$7))),0)</f>
        <v/>
      </c>
      <c r="S602" s="80">
        <f>IF($I602&gt;0,MAX(0,$G602*SIN(RADIANS('13_시나리오비교'!$B$8))*SIN(RADIANS('13_시나리오비교'!$C$8))+$H602*SIN(RADIANS('13_시나리오비교'!$B$8))*COS(RADIANS('13_시나리오비교'!$C$8))+$I602*COS(RADIANS('13_시나리오비교'!$B$8))),0)</f>
        <v/>
      </c>
      <c r="T602" s="80">
        <f>IF($I602&gt;0,MAX(0,$G602*SIN(RADIANS('13_시나리오비교'!$B$9))*SIN(RADIANS('13_시나리오비교'!$C$9))+$H602*SIN(RADIANS('13_시나리오비교'!$B$9))*COS(RADIANS('13_시나리오비교'!$C$9))+$I602*COS(RADIANS('13_시나리오비교'!$B$9))),0)</f>
        <v/>
      </c>
      <c r="U602" s="80">
        <f>IF($I602&gt;0,MAX(0,$G602*SIN(RADIANS('13_시나리오비교'!$B$10))*SIN(RADIANS('13_시나리오비교'!$C$10))+$H602*SIN(RADIANS('13_시나리오비교'!$B$10))*COS(RADIANS('13_시나리오비교'!$C$10))+$I602*COS(RADIANS('13_시나리오비교'!$B$10))),0)</f>
        <v/>
      </c>
      <c r="V602" s="80">
        <f>IF($I602&gt;0,MAX(0,$G602*SIN(RADIANS('13_시나리오비교'!$B$11))*SIN(RADIANS('13_시나리오비교'!$C$11))+$H602*SIN(RADIANS('13_시나리오비교'!$B$11))*COS(RADIANS('13_시나리오비교'!$C$11))+$I602*COS(RADIANS('13_시나리오비교'!$B$11))),0)</f>
        <v/>
      </c>
      <c r="W602" s="80">
        <f>IF($I602&gt;0,MAX(0,$G602*SIN(RADIANS('13_시나리오비교'!$B$12))*SIN(RADIANS('13_시나리오비교'!$C$12))+$H602*SIN(RADIANS('13_시나리오비교'!$B$12))*COS(RADIANS('13_시나리오비교'!$C$12))+$I602*COS(RADIANS('13_시나리오비교'!$B$12))),0)</f>
        <v/>
      </c>
      <c r="X602" s="80">
        <f>IF($I602&gt;0,MAX(0,$G602*SIN(RADIANS('13_시나리오비교'!$B$13))*SIN(RADIANS('13_시나리오비교'!$C$13))+$H602*SIN(RADIANS('13_시나리오비교'!$B$13))*COS(RADIANS('13_시나리오비교'!$C$13))+$I602*COS(RADIANS('13_시나리오비교'!$B$13))),0)</f>
        <v/>
      </c>
      <c r="Y602" s="80">
        <f>IF($I602&gt;0,MAX(0,$G602*SIN(RADIANS('13_시나리오비교'!$B$14))*SIN(RADIANS('13_시나리오비교'!$C$14))+$H602*SIN(RADIANS('13_시나리오비교'!$B$14))*COS(RADIANS('13_시나리오비교'!$C$14))+$I602*COS(RADIANS('13_시나리오비교'!$B$14))),0)</f>
        <v/>
      </c>
    </row>
    <row r="603" hidden="1" outlineLevel="1">
      <c r="A603" s="79" t="n">
        <v>7</v>
      </c>
      <c r="B603" s="79" t="n">
        <v>7</v>
      </c>
      <c r="C603" s="80">
        <f>(B603-0.5)*'14_지역·상수'!$H$6</f>
        <v/>
      </c>
      <c r="D603" s="79" t="n">
        <v>198</v>
      </c>
      <c r="E603" s="80">
        <f>INDEX($C$4:$C$15,MATCH(A603,$A$4:$A$15,0))</f>
        <v/>
      </c>
      <c r="F603" s="80">
        <f>15*(C603-12)</f>
        <v/>
      </c>
      <c r="G603" s="80">
        <f>-COS(RADIANS(E603))*SIN(RADIANS(F603))</f>
        <v/>
      </c>
      <c r="H603" s="80">
        <f>COS(RADIANS('11_발전량_모델'!$B$17))*SIN(RADIANS(E603))-SIN(RADIANS('11_발전량_모델'!$B$17))*COS(RADIANS(E603))*COS(RADIANS(F603))</f>
        <v/>
      </c>
      <c r="I603" s="80">
        <f>SIN(RADIANS('11_발전량_모델'!$B$17))*SIN(RADIANS(E603))+COS(RADIANS('11_발전량_모델'!$B$17))*COS(RADIANS(E603))*COS(RADIANS(F603))</f>
        <v/>
      </c>
      <c r="J603" s="80">
        <f>SIN(RADIANS('11_발전량_모델'!$B$7))*SIN(RADIANS('11_발전량_모델'!$B$8))</f>
        <v/>
      </c>
      <c r="K603" s="80">
        <f>SIN(RADIANS('11_발전량_모델'!$B$7))*COS(RADIANS('11_발전량_모델'!$B$8))</f>
        <v/>
      </c>
      <c r="L603" s="80">
        <f>COS(RADIANS('11_발전량_모델'!$B$7))</f>
        <v/>
      </c>
      <c r="M603" s="80">
        <f>G603*J603+H603*K603+I603*L603</f>
        <v/>
      </c>
      <c r="N603" s="80">
        <f>MAX(0,I603)</f>
        <v/>
      </c>
      <c r="O603" s="80">
        <f>IF(I603&gt;0,MAX(0,M603),0)</f>
        <v/>
      </c>
      <c r="P603" s="80">
        <f>IF($I603&gt;0,MAX(0,$G603*SIN(RADIANS('13_시나리오비교'!$B$5))*SIN(RADIANS('13_시나리오비교'!$C$5))+$H603*SIN(RADIANS('13_시나리오비교'!$B$5))*COS(RADIANS('13_시나리오비교'!$C$5))+$I603*COS(RADIANS('13_시나리오비교'!$B$5))),0)</f>
        <v/>
      </c>
      <c r="Q603" s="80">
        <f>IF($I603&gt;0,MAX(0,$G603*SIN(RADIANS('13_시나리오비교'!$B$6))*SIN(RADIANS('13_시나리오비교'!$C$6))+$H603*SIN(RADIANS('13_시나리오비교'!$B$6))*COS(RADIANS('13_시나리오비교'!$C$6))+$I603*COS(RADIANS('13_시나리오비교'!$B$6))),0)</f>
        <v/>
      </c>
      <c r="R603" s="80">
        <f>IF($I603&gt;0,MAX(0,$G603*SIN(RADIANS('13_시나리오비교'!$B$7))*SIN(RADIANS('13_시나리오비교'!$C$7))+$H603*SIN(RADIANS('13_시나리오비교'!$B$7))*COS(RADIANS('13_시나리오비교'!$C$7))+$I603*COS(RADIANS('13_시나리오비교'!$B$7))),0)</f>
        <v/>
      </c>
      <c r="S603" s="80">
        <f>IF($I603&gt;0,MAX(0,$G603*SIN(RADIANS('13_시나리오비교'!$B$8))*SIN(RADIANS('13_시나리오비교'!$C$8))+$H603*SIN(RADIANS('13_시나리오비교'!$B$8))*COS(RADIANS('13_시나리오비교'!$C$8))+$I603*COS(RADIANS('13_시나리오비교'!$B$8))),0)</f>
        <v/>
      </c>
      <c r="T603" s="80">
        <f>IF($I603&gt;0,MAX(0,$G603*SIN(RADIANS('13_시나리오비교'!$B$9))*SIN(RADIANS('13_시나리오비교'!$C$9))+$H603*SIN(RADIANS('13_시나리오비교'!$B$9))*COS(RADIANS('13_시나리오비교'!$C$9))+$I603*COS(RADIANS('13_시나리오비교'!$B$9))),0)</f>
        <v/>
      </c>
      <c r="U603" s="80">
        <f>IF($I603&gt;0,MAX(0,$G603*SIN(RADIANS('13_시나리오비교'!$B$10))*SIN(RADIANS('13_시나리오비교'!$C$10))+$H603*SIN(RADIANS('13_시나리오비교'!$B$10))*COS(RADIANS('13_시나리오비교'!$C$10))+$I603*COS(RADIANS('13_시나리오비교'!$B$10))),0)</f>
        <v/>
      </c>
      <c r="V603" s="80">
        <f>IF($I603&gt;0,MAX(0,$G603*SIN(RADIANS('13_시나리오비교'!$B$11))*SIN(RADIANS('13_시나리오비교'!$C$11))+$H603*SIN(RADIANS('13_시나리오비교'!$B$11))*COS(RADIANS('13_시나리오비교'!$C$11))+$I603*COS(RADIANS('13_시나리오비교'!$B$11))),0)</f>
        <v/>
      </c>
      <c r="W603" s="80">
        <f>IF($I603&gt;0,MAX(0,$G603*SIN(RADIANS('13_시나리오비교'!$B$12))*SIN(RADIANS('13_시나리오비교'!$C$12))+$H603*SIN(RADIANS('13_시나리오비교'!$B$12))*COS(RADIANS('13_시나리오비교'!$C$12))+$I603*COS(RADIANS('13_시나리오비교'!$B$12))),0)</f>
        <v/>
      </c>
      <c r="X603" s="80">
        <f>IF($I603&gt;0,MAX(0,$G603*SIN(RADIANS('13_시나리오비교'!$B$13))*SIN(RADIANS('13_시나리오비교'!$C$13))+$H603*SIN(RADIANS('13_시나리오비교'!$B$13))*COS(RADIANS('13_시나리오비교'!$C$13))+$I603*COS(RADIANS('13_시나리오비교'!$B$13))),0)</f>
        <v/>
      </c>
      <c r="Y603" s="80">
        <f>IF($I603&gt;0,MAX(0,$G603*SIN(RADIANS('13_시나리오비교'!$B$14))*SIN(RADIANS('13_시나리오비교'!$C$14))+$H603*SIN(RADIANS('13_시나리오비교'!$B$14))*COS(RADIANS('13_시나리오비교'!$C$14))+$I603*COS(RADIANS('13_시나리오비교'!$B$14))),0)</f>
        <v/>
      </c>
    </row>
    <row r="604" hidden="1" outlineLevel="1">
      <c r="A604" s="79" t="n">
        <v>7</v>
      </c>
      <c r="B604" s="79" t="n">
        <v>8</v>
      </c>
      <c r="C604" s="80">
        <f>(B604-0.5)*'14_지역·상수'!$H$6</f>
        <v/>
      </c>
      <c r="D604" s="79" t="n">
        <v>198</v>
      </c>
      <c r="E604" s="80">
        <f>INDEX($C$4:$C$15,MATCH(A604,$A$4:$A$15,0))</f>
        <v/>
      </c>
      <c r="F604" s="80">
        <f>15*(C604-12)</f>
        <v/>
      </c>
      <c r="G604" s="80">
        <f>-COS(RADIANS(E604))*SIN(RADIANS(F604))</f>
        <v/>
      </c>
      <c r="H604" s="80">
        <f>COS(RADIANS('11_발전량_모델'!$B$17))*SIN(RADIANS(E604))-SIN(RADIANS('11_발전량_모델'!$B$17))*COS(RADIANS(E604))*COS(RADIANS(F604))</f>
        <v/>
      </c>
      <c r="I604" s="80">
        <f>SIN(RADIANS('11_발전량_모델'!$B$17))*SIN(RADIANS(E604))+COS(RADIANS('11_발전량_모델'!$B$17))*COS(RADIANS(E604))*COS(RADIANS(F604))</f>
        <v/>
      </c>
      <c r="J604" s="80">
        <f>SIN(RADIANS('11_발전량_모델'!$B$7))*SIN(RADIANS('11_발전량_모델'!$B$8))</f>
        <v/>
      </c>
      <c r="K604" s="80">
        <f>SIN(RADIANS('11_발전량_모델'!$B$7))*COS(RADIANS('11_발전량_모델'!$B$8))</f>
        <v/>
      </c>
      <c r="L604" s="80">
        <f>COS(RADIANS('11_발전량_모델'!$B$7))</f>
        <v/>
      </c>
      <c r="M604" s="80">
        <f>G604*J604+H604*K604+I604*L604</f>
        <v/>
      </c>
      <c r="N604" s="80">
        <f>MAX(0,I604)</f>
        <v/>
      </c>
      <c r="O604" s="80">
        <f>IF(I604&gt;0,MAX(0,M604),0)</f>
        <v/>
      </c>
      <c r="P604" s="80">
        <f>IF($I604&gt;0,MAX(0,$G604*SIN(RADIANS('13_시나리오비교'!$B$5))*SIN(RADIANS('13_시나리오비교'!$C$5))+$H604*SIN(RADIANS('13_시나리오비교'!$B$5))*COS(RADIANS('13_시나리오비교'!$C$5))+$I604*COS(RADIANS('13_시나리오비교'!$B$5))),0)</f>
        <v/>
      </c>
      <c r="Q604" s="80">
        <f>IF($I604&gt;0,MAX(0,$G604*SIN(RADIANS('13_시나리오비교'!$B$6))*SIN(RADIANS('13_시나리오비교'!$C$6))+$H604*SIN(RADIANS('13_시나리오비교'!$B$6))*COS(RADIANS('13_시나리오비교'!$C$6))+$I604*COS(RADIANS('13_시나리오비교'!$B$6))),0)</f>
        <v/>
      </c>
      <c r="R604" s="80">
        <f>IF($I604&gt;0,MAX(0,$G604*SIN(RADIANS('13_시나리오비교'!$B$7))*SIN(RADIANS('13_시나리오비교'!$C$7))+$H604*SIN(RADIANS('13_시나리오비교'!$B$7))*COS(RADIANS('13_시나리오비교'!$C$7))+$I604*COS(RADIANS('13_시나리오비교'!$B$7))),0)</f>
        <v/>
      </c>
      <c r="S604" s="80">
        <f>IF($I604&gt;0,MAX(0,$G604*SIN(RADIANS('13_시나리오비교'!$B$8))*SIN(RADIANS('13_시나리오비교'!$C$8))+$H604*SIN(RADIANS('13_시나리오비교'!$B$8))*COS(RADIANS('13_시나리오비교'!$C$8))+$I604*COS(RADIANS('13_시나리오비교'!$B$8))),0)</f>
        <v/>
      </c>
      <c r="T604" s="80">
        <f>IF($I604&gt;0,MAX(0,$G604*SIN(RADIANS('13_시나리오비교'!$B$9))*SIN(RADIANS('13_시나리오비교'!$C$9))+$H604*SIN(RADIANS('13_시나리오비교'!$B$9))*COS(RADIANS('13_시나리오비교'!$C$9))+$I604*COS(RADIANS('13_시나리오비교'!$B$9))),0)</f>
        <v/>
      </c>
      <c r="U604" s="80">
        <f>IF($I604&gt;0,MAX(0,$G604*SIN(RADIANS('13_시나리오비교'!$B$10))*SIN(RADIANS('13_시나리오비교'!$C$10))+$H604*SIN(RADIANS('13_시나리오비교'!$B$10))*COS(RADIANS('13_시나리오비교'!$C$10))+$I604*COS(RADIANS('13_시나리오비교'!$B$10))),0)</f>
        <v/>
      </c>
      <c r="V604" s="80">
        <f>IF($I604&gt;0,MAX(0,$G604*SIN(RADIANS('13_시나리오비교'!$B$11))*SIN(RADIANS('13_시나리오비교'!$C$11))+$H604*SIN(RADIANS('13_시나리오비교'!$B$11))*COS(RADIANS('13_시나리오비교'!$C$11))+$I604*COS(RADIANS('13_시나리오비교'!$B$11))),0)</f>
        <v/>
      </c>
      <c r="W604" s="80">
        <f>IF($I604&gt;0,MAX(0,$G604*SIN(RADIANS('13_시나리오비교'!$B$12))*SIN(RADIANS('13_시나리오비교'!$C$12))+$H604*SIN(RADIANS('13_시나리오비교'!$B$12))*COS(RADIANS('13_시나리오비교'!$C$12))+$I604*COS(RADIANS('13_시나리오비교'!$B$12))),0)</f>
        <v/>
      </c>
      <c r="X604" s="80">
        <f>IF($I604&gt;0,MAX(0,$G604*SIN(RADIANS('13_시나리오비교'!$B$13))*SIN(RADIANS('13_시나리오비교'!$C$13))+$H604*SIN(RADIANS('13_시나리오비교'!$B$13))*COS(RADIANS('13_시나리오비교'!$C$13))+$I604*COS(RADIANS('13_시나리오비교'!$B$13))),0)</f>
        <v/>
      </c>
      <c r="Y604" s="80">
        <f>IF($I604&gt;0,MAX(0,$G604*SIN(RADIANS('13_시나리오비교'!$B$14))*SIN(RADIANS('13_시나리오비교'!$C$14))+$H604*SIN(RADIANS('13_시나리오비교'!$B$14))*COS(RADIANS('13_시나리오비교'!$C$14))+$I604*COS(RADIANS('13_시나리오비교'!$B$14))),0)</f>
        <v/>
      </c>
    </row>
    <row r="605" hidden="1" outlineLevel="1">
      <c r="A605" s="79" t="n">
        <v>7</v>
      </c>
      <c r="B605" s="79" t="n">
        <v>9</v>
      </c>
      <c r="C605" s="80">
        <f>(B605-0.5)*'14_지역·상수'!$H$6</f>
        <v/>
      </c>
      <c r="D605" s="79" t="n">
        <v>198</v>
      </c>
      <c r="E605" s="80">
        <f>INDEX($C$4:$C$15,MATCH(A605,$A$4:$A$15,0))</f>
        <v/>
      </c>
      <c r="F605" s="80">
        <f>15*(C605-12)</f>
        <v/>
      </c>
      <c r="G605" s="80">
        <f>-COS(RADIANS(E605))*SIN(RADIANS(F605))</f>
        <v/>
      </c>
      <c r="H605" s="80">
        <f>COS(RADIANS('11_발전량_모델'!$B$17))*SIN(RADIANS(E605))-SIN(RADIANS('11_발전량_모델'!$B$17))*COS(RADIANS(E605))*COS(RADIANS(F605))</f>
        <v/>
      </c>
      <c r="I605" s="80">
        <f>SIN(RADIANS('11_발전량_모델'!$B$17))*SIN(RADIANS(E605))+COS(RADIANS('11_발전량_모델'!$B$17))*COS(RADIANS(E605))*COS(RADIANS(F605))</f>
        <v/>
      </c>
      <c r="J605" s="80">
        <f>SIN(RADIANS('11_발전량_모델'!$B$7))*SIN(RADIANS('11_발전량_모델'!$B$8))</f>
        <v/>
      </c>
      <c r="K605" s="80">
        <f>SIN(RADIANS('11_발전량_모델'!$B$7))*COS(RADIANS('11_발전량_모델'!$B$8))</f>
        <v/>
      </c>
      <c r="L605" s="80">
        <f>COS(RADIANS('11_발전량_모델'!$B$7))</f>
        <v/>
      </c>
      <c r="M605" s="80">
        <f>G605*J605+H605*K605+I605*L605</f>
        <v/>
      </c>
      <c r="N605" s="80">
        <f>MAX(0,I605)</f>
        <v/>
      </c>
      <c r="O605" s="80">
        <f>IF(I605&gt;0,MAX(0,M605),0)</f>
        <v/>
      </c>
      <c r="P605" s="80">
        <f>IF($I605&gt;0,MAX(0,$G605*SIN(RADIANS('13_시나리오비교'!$B$5))*SIN(RADIANS('13_시나리오비교'!$C$5))+$H605*SIN(RADIANS('13_시나리오비교'!$B$5))*COS(RADIANS('13_시나리오비교'!$C$5))+$I605*COS(RADIANS('13_시나리오비교'!$B$5))),0)</f>
        <v/>
      </c>
      <c r="Q605" s="80">
        <f>IF($I605&gt;0,MAX(0,$G605*SIN(RADIANS('13_시나리오비교'!$B$6))*SIN(RADIANS('13_시나리오비교'!$C$6))+$H605*SIN(RADIANS('13_시나리오비교'!$B$6))*COS(RADIANS('13_시나리오비교'!$C$6))+$I605*COS(RADIANS('13_시나리오비교'!$B$6))),0)</f>
        <v/>
      </c>
      <c r="R605" s="80">
        <f>IF($I605&gt;0,MAX(0,$G605*SIN(RADIANS('13_시나리오비교'!$B$7))*SIN(RADIANS('13_시나리오비교'!$C$7))+$H605*SIN(RADIANS('13_시나리오비교'!$B$7))*COS(RADIANS('13_시나리오비교'!$C$7))+$I605*COS(RADIANS('13_시나리오비교'!$B$7))),0)</f>
        <v/>
      </c>
      <c r="S605" s="80">
        <f>IF($I605&gt;0,MAX(0,$G605*SIN(RADIANS('13_시나리오비교'!$B$8))*SIN(RADIANS('13_시나리오비교'!$C$8))+$H605*SIN(RADIANS('13_시나리오비교'!$B$8))*COS(RADIANS('13_시나리오비교'!$C$8))+$I605*COS(RADIANS('13_시나리오비교'!$B$8))),0)</f>
        <v/>
      </c>
      <c r="T605" s="80">
        <f>IF($I605&gt;0,MAX(0,$G605*SIN(RADIANS('13_시나리오비교'!$B$9))*SIN(RADIANS('13_시나리오비교'!$C$9))+$H605*SIN(RADIANS('13_시나리오비교'!$B$9))*COS(RADIANS('13_시나리오비교'!$C$9))+$I605*COS(RADIANS('13_시나리오비교'!$B$9))),0)</f>
        <v/>
      </c>
      <c r="U605" s="80">
        <f>IF($I605&gt;0,MAX(0,$G605*SIN(RADIANS('13_시나리오비교'!$B$10))*SIN(RADIANS('13_시나리오비교'!$C$10))+$H605*SIN(RADIANS('13_시나리오비교'!$B$10))*COS(RADIANS('13_시나리오비교'!$C$10))+$I605*COS(RADIANS('13_시나리오비교'!$B$10))),0)</f>
        <v/>
      </c>
      <c r="V605" s="80">
        <f>IF($I605&gt;0,MAX(0,$G605*SIN(RADIANS('13_시나리오비교'!$B$11))*SIN(RADIANS('13_시나리오비교'!$C$11))+$H605*SIN(RADIANS('13_시나리오비교'!$B$11))*COS(RADIANS('13_시나리오비교'!$C$11))+$I605*COS(RADIANS('13_시나리오비교'!$B$11))),0)</f>
        <v/>
      </c>
      <c r="W605" s="80">
        <f>IF($I605&gt;0,MAX(0,$G605*SIN(RADIANS('13_시나리오비교'!$B$12))*SIN(RADIANS('13_시나리오비교'!$C$12))+$H605*SIN(RADIANS('13_시나리오비교'!$B$12))*COS(RADIANS('13_시나리오비교'!$C$12))+$I605*COS(RADIANS('13_시나리오비교'!$B$12))),0)</f>
        <v/>
      </c>
      <c r="X605" s="80">
        <f>IF($I605&gt;0,MAX(0,$G605*SIN(RADIANS('13_시나리오비교'!$B$13))*SIN(RADIANS('13_시나리오비교'!$C$13))+$H605*SIN(RADIANS('13_시나리오비교'!$B$13))*COS(RADIANS('13_시나리오비교'!$C$13))+$I605*COS(RADIANS('13_시나리오비교'!$B$13))),0)</f>
        <v/>
      </c>
      <c r="Y605" s="80">
        <f>IF($I605&gt;0,MAX(0,$G605*SIN(RADIANS('13_시나리오비교'!$B$14))*SIN(RADIANS('13_시나리오비교'!$C$14))+$H605*SIN(RADIANS('13_시나리오비교'!$B$14))*COS(RADIANS('13_시나리오비교'!$C$14))+$I605*COS(RADIANS('13_시나리오비교'!$B$14))),0)</f>
        <v/>
      </c>
    </row>
    <row r="606" hidden="1" outlineLevel="1">
      <c r="A606" s="79" t="n">
        <v>7</v>
      </c>
      <c r="B606" s="79" t="n">
        <v>10</v>
      </c>
      <c r="C606" s="80">
        <f>(B606-0.5)*'14_지역·상수'!$H$6</f>
        <v/>
      </c>
      <c r="D606" s="79" t="n">
        <v>198</v>
      </c>
      <c r="E606" s="80">
        <f>INDEX($C$4:$C$15,MATCH(A606,$A$4:$A$15,0))</f>
        <v/>
      </c>
      <c r="F606" s="80">
        <f>15*(C606-12)</f>
        <v/>
      </c>
      <c r="G606" s="80">
        <f>-COS(RADIANS(E606))*SIN(RADIANS(F606))</f>
        <v/>
      </c>
      <c r="H606" s="80">
        <f>COS(RADIANS('11_발전량_모델'!$B$17))*SIN(RADIANS(E606))-SIN(RADIANS('11_발전량_모델'!$B$17))*COS(RADIANS(E606))*COS(RADIANS(F606))</f>
        <v/>
      </c>
      <c r="I606" s="80">
        <f>SIN(RADIANS('11_발전량_모델'!$B$17))*SIN(RADIANS(E606))+COS(RADIANS('11_발전량_모델'!$B$17))*COS(RADIANS(E606))*COS(RADIANS(F606))</f>
        <v/>
      </c>
      <c r="J606" s="80">
        <f>SIN(RADIANS('11_발전량_모델'!$B$7))*SIN(RADIANS('11_발전량_모델'!$B$8))</f>
        <v/>
      </c>
      <c r="K606" s="80">
        <f>SIN(RADIANS('11_발전량_모델'!$B$7))*COS(RADIANS('11_발전량_모델'!$B$8))</f>
        <v/>
      </c>
      <c r="L606" s="80">
        <f>COS(RADIANS('11_발전량_모델'!$B$7))</f>
        <v/>
      </c>
      <c r="M606" s="80">
        <f>G606*J606+H606*K606+I606*L606</f>
        <v/>
      </c>
      <c r="N606" s="80">
        <f>MAX(0,I606)</f>
        <v/>
      </c>
      <c r="O606" s="80">
        <f>IF(I606&gt;0,MAX(0,M606),0)</f>
        <v/>
      </c>
      <c r="P606" s="80">
        <f>IF($I606&gt;0,MAX(0,$G606*SIN(RADIANS('13_시나리오비교'!$B$5))*SIN(RADIANS('13_시나리오비교'!$C$5))+$H606*SIN(RADIANS('13_시나리오비교'!$B$5))*COS(RADIANS('13_시나리오비교'!$C$5))+$I606*COS(RADIANS('13_시나리오비교'!$B$5))),0)</f>
        <v/>
      </c>
      <c r="Q606" s="80">
        <f>IF($I606&gt;0,MAX(0,$G606*SIN(RADIANS('13_시나리오비교'!$B$6))*SIN(RADIANS('13_시나리오비교'!$C$6))+$H606*SIN(RADIANS('13_시나리오비교'!$B$6))*COS(RADIANS('13_시나리오비교'!$C$6))+$I606*COS(RADIANS('13_시나리오비교'!$B$6))),0)</f>
        <v/>
      </c>
      <c r="R606" s="80">
        <f>IF($I606&gt;0,MAX(0,$G606*SIN(RADIANS('13_시나리오비교'!$B$7))*SIN(RADIANS('13_시나리오비교'!$C$7))+$H606*SIN(RADIANS('13_시나리오비교'!$B$7))*COS(RADIANS('13_시나리오비교'!$C$7))+$I606*COS(RADIANS('13_시나리오비교'!$B$7))),0)</f>
        <v/>
      </c>
      <c r="S606" s="80">
        <f>IF($I606&gt;0,MAX(0,$G606*SIN(RADIANS('13_시나리오비교'!$B$8))*SIN(RADIANS('13_시나리오비교'!$C$8))+$H606*SIN(RADIANS('13_시나리오비교'!$B$8))*COS(RADIANS('13_시나리오비교'!$C$8))+$I606*COS(RADIANS('13_시나리오비교'!$B$8))),0)</f>
        <v/>
      </c>
      <c r="T606" s="80">
        <f>IF($I606&gt;0,MAX(0,$G606*SIN(RADIANS('13_시나리오비교'!$B$9))*SIN(RADIANS('13_시나리오비교'!$C$9))+$H606*SIN(RADIANS('13_시나리오비교'!$B$9))*COS(RADIANS('13_시나리오비교'!$C$9))+$I606*COS(RADIANS('13_시나리오비교'!$B$9))),0)</f>
        <v/>
      </c>
      <c r="U606" s="80">
        <f>IF($I606&gt;0,MAX(0,$G606*SIN(RADIANS('13_시나리오비교'!$B$10))*SIN(RADIANS('13_시나리오비교'!$C$10))+$H606*SIN(RADIANS('13_시나리오비교'!$B$10))*COS(RADIANS('13_시나리오비교'!$C$10))+$I606*COS(RADIANS('13_시나리오비교'!$B$10))),0)</f>
        <v/>
      </c>
      <c r="V606" s="80">
        <f>IF($I606&gt;0,MAX(0,$G606*SIN(RADIANS('13_시나리오비교'!$B$11))*SIN(RADIANS('13_시나리오비교'!$C$11))+$H606*SIN(RADIANS('13_시나리오비교'!$B$11))*COS(RADIANS('13_시나리오비교'!$C$11))+$I606*COS(RADIANS('13_시나리오비교'!$B$11))),0)</f>
        <v/>
      </c>
      <c r="W606" s="80">
        <f>IF($I606&gt;0,MAX(0,$G606*SIN(RADIANS('13_시나리오비교'!$B$12))*SIN(RADIANS('13_시나리오비교'!$C$12))+$H606*SIN(RADIANS('13_시나리오비교'!$B$12))*COS(RADIANS('13_시나리오비교'!$C$12))+$I606*COS(RADIANS('13_시나리오비교'!$B$12))),0)</f>
        <v/>
      </c>
      <c r="X606" s="80">
        <f>IF($I606&gt;0,MAX(0,$G606*SIN(RADIANS('13_시나리오비교'!$B$13))*SIN(RADIANS('13_시나리오비교'!$C$13))+$H606*SIN(RADIANS('13_시나리오비교'!$B$13))*COS(RADIANS('13_시나리오비교'!$C$13))+$I606*COS(RADIANS('13_시나리오비교'!$B$13))),0)</f>
        <v/>
      </c>
      <c r="Y606" s="80">
        <f>IF($I606&gt;0,MAX(0,$G606*SIN(RADIANS('13_시나리오비교'!$B$14))*SIN(RADIANS('13_시나리오비교'!$C$14))+$H606*SIN(RADIANS('13_시나리오비교'!$B$14))*COS(RADIANS('13_시나리오비교'!$C$14))+$I606*COS(RADIANS('13_시나리오비교'!$B$14))),0)</f>
        <v/>
      </c>
    </row>
    <row r="607" hidden="1" outlineLevel="1">
      <c r="A607" s="79" t="n">
        <v>7</v>
      </c>
      <c r="B607" s="79" t="n">
        <v>11</v>
      </c>
      <c r="C607" s="80">
        <f>(B607-0.5)*'14_지역·상수'!$H$6</f>
        <v/>
      </c>
      <c r="D607" s="79" t="n">
        <v>198</v>
      </c>
      <c r="E607" s="80">
        <f>INDEX($C$4:$C$15,MATCH(A607,$A$4:$A$15,0))</f>
        <v/>
      </c>
      <c r="F607" s="80">
        <f>15*(C607-12)</f>
        <v/>
      </c>
      <c r="G607" s="80">
        <f>-COS(RADIANS(E607))*SIN(RADIANS(F607))</f>
        <v/>
      </c>
      <c r="H607" s="80">
        <f>COS(RADIANS('11_발전량_모델'!$B$17))*SIN(RADIANS(E607))-SIN(RADIANS('11_발전량_모델'!$B$17))*COS(RADIANS(E607))*COS(RADIANS(F607))</f>
        <v/>
      </c>
      <c r="I607" s="80">
        <f>SIN(RADIANS('11_발전량_모델'!$B$17))*SIN(RADIANS(E607))+COS(RADIANS('11_발전량_모델'!$B$17))*COS(RADIANS(E607))*COS(RADIANS(F607))</f>
        <v/>
      </c>
      <c r="J607" s="80">
        <f>SIN(RADIANS('11_발전량_모델'!$B$7))*SIN(RADIANS('11_발전량_모델'!$B$8))</f>
        <v/>
      </c>
      <c r="K607" s="80">
        <f>SIN(RADIANS('11_발전량_모델'!$B$7))*COS(RADIANS('11_발전량_모델'!$B$8))</f>
        <v/>
      </c>
      <c r="L607" s="80">
        <f>COS(RADIANS('11_발전량_모델'!$B$7))</f>
        <v/>
      </c>
      <c r="M607" s="80">
        <f>G607*J607+H607*K607+I607*L607</f>
        <v/>
      </c>
      <c r="N607" s="80">
        <f>MAX(0,I607)</f>
        <v/>
      </c>
      <c r="O607" s="80">
        <f>IF(I607&gt;0,MAX(0,M607),0)</f>
        <v/>
      </c>
      <c r="P607" s="80">
        <f>IF($I607&gt;0,MAX(0,$G607*SIN(RADIANS('13_시나리오비교'!$B$5))*SIN(RADIANS('13_시나리오비교'!$C$5))+$H607*SIN(RADIANS('13_시나리오비교'!$B$5))*COS(RADIANS('13_시나리오비교'!$C$5))+$I607*COS(RADIANS('13_시나리오비교'!$B$5))),0)</f>
        <v/>
      </c>
      <c r="Q607" s="80">
        <f>IF($I607&gt;0,MAX(0,$G607*SIN(RADIANS('13_시나리오비교'!$B$6))*SIN(RADIANS('13_시나리오비교'!$C$6))+$H607*SIN(RADIANS('13_시나리오비교'!$B$6))*COS(RADIANS('13_시나리오비교'!$C$6))+$I607*COS(RADIANS('13_시나리오비교'!$B$6))),0)</f>
        <v/>
      </c>
      <c r="R607" s="80">
        <f>IF($I607&gt;0,MAX(0,$G607*SIN(RADIANS('13_시나리오비교'!$B$7))*SIN(RADIANS('13_시나리오비교'!$C$7))+$H607*SIN(RADIANS('13_시나리오비교'!$B$7))*COS(RADIANS('13_시나리오비교'!$C$7))+$I607*COS(RADIANS('13_시나리오비교'!$B$7))),0)</f>
        <v/>
      </c>
      <c r="S607" s="80">
        <f>IF($I607&gt;0,MAX(0,$G607*SIN(RADIANS('13_시나리오비교'!$B$8))*SIN(RADIANS('13_시나리오비교'!$C$8))+$H607*SIN(RADIANS('13_시나리오비교'!$B$8))*COS(RADIANS('13_시나리오비교'!$C$8))+$I607*COS(RADIANS('13_시나리오비교'!$B$8))),0)</f>
        <v/>
      </c>
      <c r="T607" s="80">
        <f>IF($I607&gt;0,MAX(0,$G607*SIN(RADIANS('13_시나리오비교'!$B$9))*SIN(RADIANS('13_시나리오비교'!$C$9))+$H607*SIN(RADIANS('13_시나리오비교'!$B$9))*COS(RADIANS('13_시나리오비교'!$C$9))+$I607*COS(RADIANS('13_시나리오비교'!$B$9))),0)</f>
        <v/>
      </c>
      <c r="U607" s="80">
        <f>IF($I607&gt;0,MAX(0,$G607*SIN(RADIANS('13_시나리오비교'!$B$10))*SIN(RADIANS('13_시나리오비교'!$C$10))+$H607*SIN(RADIANS('13_시나리오비교'!$B$10))*COS(RADIANS('13_시나리오비교'!$C$10))+$I607*COS(RADIANS('13_시나리오비교'!$B$10))),0)</f>
        <v/>
      </c>
      <c r="V607" s="80">
        <f>IF($I607&gt;0,MAX(0,$G607*SIN(RADIANS('13_시나리오비교'!$B$11))*SIN(RADIANS('13_시나리오비교'!$C$11))+$H607*SIN(RADIANS('13_시나리오비교'!$B$11))*COS(RADIANS('13_시나리오비교'!$C$11))+$I607*COS(RADIANS('13_시나리오비교'!$B$11))),0)</f>
        <v/>
      </c>
      <c r="W607" s="80">
        <f>IF($I607&gt;0,MAX(0,$G607*SIN(RADIANS('13_시나리오비교'!$B$12))*SIN(RADIANS('13_시나리오비교'!$C$12))+$H607*SIN(RADIANS('13_시나리오비교'!$B$12))*COS(RADIANS('13_시나리오비교'!$C$12))+$I607*COS(RADIANS('13_시나리오비교'!$B$12))),0)</f>
        <v/>
      </c>
      <c r="X607" s="80">
        <f>IF($I607&gt;0,MAX(0,$G607*SIN(RADIANS('13_시나리오비교'!$B$13))*SIN(RADIANS('13_시나리오비교'!$C$13))+$H607*SIN(RADIANS('13_시나리오비교'!$B$13))*COS(RADIANS('13_시나리오비교'!$C$13))+$I607*COS(RADIANS('13_시나리오비교'!$B$13))),0)</f>
        <v/>
      </c>
      <c r="Y607" s="80">
        <f>IF($I607&gt;0,MAX(0,$G607*SIN(RADIANS('13_시나리오비교'!$B$14))*SIN(RADIANS('13_시나리오비교'!$C$14))+$H607*SIN(RADIANS('13_시나리오비교'!$B$14))*COS(RADIANS('13_시나리오비교'!$C$14))+$I607*COS(RADIANS('13_시나리오비교'!$B$14))),0)</f>
        <v/>
      </c>
    </row>
    <row r="608" hidden="1" outlineLevel="1">
      <c r="A608" s="79" t="n">
        <v>7</v>
      </c>
      <c r="B608" s="79" t="n">
        <v>12</v>
      </c>
      <c r="C608" s="80">
        <f>(B608-0.5)*'14_지역·상수'!$H$6</f>
        <v/>
      </c>
      <c r="D608" s="79" t="n">
        <v>198</v>
      </c>
      <c r="E608" s="80">
        <f>INDEX($C$4:$C$15,MATCH(A608,$A$4:$A$15,0))</f>
        <v/>
      </c>
      <c r="F608" s="80">
        <f>15*(C608-12)</f>
        <v/>
      </c>
      <c r="G608" s="80">
        <f>-COS(RADIANS(E608))*SIN(RADIANS(F608))</f>
        <v/>
      </c>
      <c r="H608" s="80">
        <f>COS(RADIANS('11_발전량_모델'!$B$17))*SIN(RADIANS(E608))-SIN(RADIANS('11_발전량_모델'!$B$17))*COS(RADIANS(E608))*COS(RADIANS(F608))</f>
        <v/>
      </c>
      <c r="I608" s="80">
        <f>SIN(RADIANS('11_발전량_모델'!$B$17))*SIN(RADIANS(E608))+COS(RADIANS('11_발전량_모델'!$B$17))*COS(RADIANS(E608))*COS(RADIANS(F608))</f>
        <v/>
      </c>
      <c r="J608" s="80">
        <f>SIN(RADIANS('11_발전량_모델'!$B$7))*SIN(RADIANS('11_발전량_모델'!$B$8))</f>
        <v/>
      </c>
      <c r="K608" s="80">
        <f>SIN(RADIANS('11_발전량_모델'!$B$7))*COS(RADIANS('11_발전량_모델'!$B$8))</f>
        <v/>
      </c>
      <c r="L608" s="80">
        <f>COS(RADIANS('11_발전량_모델'!$B$7))</f>
        <v/>
      </c>
      <c r="M608" s="80">
        <f>G608*J608+H608*K608+I608*L608</f>
        <v/>
      </c>
      <c r="N608" s="80">
        <f>MAX(0,I608)</f>
        <v/>
      </c>
      <c r="O608" s="80">
        <f>IF(I608&gt;0,MAX(0,M608),0)</f>
        <v/>
      </c>
      <c r="P608" s="80">
        <f>IF($I608&gt;0,MAX(0,$G608*SIN(RADIANS('13_시나리오비교'!$B$5))*SIN(RADIANS('13_시나리오비교'!$C$5))+$H608*SIN(RADIANS('13_시나리오비교'!$B$5))*COS(RADIANS('13_시나리오비교'!$C$5))+$I608*COS(RADIANS('13_시나리오비교'!$B$5))),0)</f>
        <v/>
      </c>
      <c r="Q608" s="80">
        <f>IF($I608&gt;0,MAX(0,$G608*SIN(RADIANS('13_시나리오비교'!$B$6))*SIN(RADIANS('13_시나리오비교'!$C$6))+$H608*SIN(RADIANS('13_시나리오비교'!$B$6))*COS(RADIANS('13_시나리오비교'!$C$6))+$I608*COS(RADIANS('13_시나리오비교'!$B$6))),0)</f>
        <v/>
      </c>
      <c r="R608" s="80">
        <f>IF($I608&gt;0,MAX(0,$G608*SIN(RADIANS('13_시나리오비교'!$B$7))*SIN(RADIANS('13_시나리오비교'!$C$7))+$H608*SIN(RADIANS('13_시나리오비교'!$B$7))*COS(RADIANS('13_시나리오비교'!$C$7))+$I608*COS(RADIANS('13_시나리오비교'!$B$7))),0)</f>
        <v/>
      </c>
      <c r="S608" s="80">
        <f>IF($I608&gt;0,MAX(0,$G608*SIN(RADIANS('13_시나리오비교'!$B$8))*SIN(RADIANS('13_시나리오비교'!$C$8))+$H608*SIN(RADIANS('13_시나리오비교'!$B$8))*COS(RADIANS('13_시나리오비교'!$C$8))+$I608*COS(RADIANS('13_시나리오비교'!$B$8))),0)</f>
        <v/>
      </c>
      <c r="T608" s="80">
        <f>IF($I608&gt;0,MAX(0,$G608*SIN(RADIANS('13_시나리오비교'!$B$9))*SIN(RADIANS('13_시나리오비교'!$C$9))+$H608*SIN(RADIANS('13_시나리오비교'!$B$9))*COS(RADIANS('13_시나리오비교'!$C$9))+$I608*COS(RADIANS('13_시나리오비교'!$B$9))),0)</f>
        <v/>
      </c>
      <c r="U608" s="80">
        <f>IF($I608&gt;0,MAX(0,$G608*SIN(RADIANS('13_시나리오비교'!$B$10))*SIN(RADIANS('13_시나리오비교'!$C$10))+$H608*SIN(RADIANS('13_시나리오비교'!$B$10))*COS(RADIANS('13_시나리오비교'!$C$10))+$I608*COS(RADIANS('13_시나리오비교'!$B$10))),0)</f>
        <v/>
      </c>
      <c r="V608" s="80">
        <f>IF($I608&gt;0,MAX(0,$G608*SIN(RADIANS('13_시나리오비교'!$B$11))*SIN(RADIANS('13_시나리오비교'!$C$11))+$H608*SIN(RADIANS('13_시나리오비교'!$B$11))*COS(RADIANS('13_시나리오비교'!$C$11))+$I608*COS(RADIANS('13_시나리오비교'!$B$11))),0)</f>
        <v/>
      </c>
      <c r="W608" s="80">
        <f>IF($I608&gt;0,MAX(0,$G608*SIN(RADIANS('13_시나리오비교'!$B$12))*SIN(RADIANS('13_시나리오비교'!$C$12))+$H608*SIN(RADIANS('13_시나리오비교'!$B$12))*COS(RADIANS('13_시나리오비교'!$C$12))+$I608*COS(RADIANS('13_시나리오비교'!$B$12))),0)</f>
        <v/>
      </c>
      <c r="X608" s="80">
        <f>IF($I608&gt;0,MAX(0,$G608*SIN(RADIANS('13_시나리오비교'!$B$13))*SIN(RADIANS('13_시나리오비교'!$C$13))+$H608*SIN(RADIANS('13_시나리오비교'!$B$13))*COS(RADIANS('13_시나리오비교'!$C$13))+$I608*COS(RADIANS('13_시나리오비교'!$B$13))),0)</f>
        <v/>
      </c>
      <c r="Y608" s="80">
        <f>IF($I608&gt;0,MAX(0,$G608*SIN(RADIANS('13_시나리오비교'!$B$14))*SIN(RADIANS('13_시나리오비교'!$C$14))+$H608*SIN(RADIANS('13_시나리오비교'!$B$14))*COS(RADIANS('13_시나리오비교'!$C$14))+$I608*COS(RADIANS('13_시나리오비교'!$B$14))),0)</f>
        <v/>
      </c>
    </row>
    <row r="609" hidden="1" outlineLevel="1">
      <c r="A609" s="79" t="n">
        <v>7</v>
      </c>
      <c r="B609" s="79" t="n">
        <v>13</v>
      </c>
      <c r="C609" s="80">
        <f>(B609-0.5)*'14_지역·상수'!$H$6</f>
        <v/>
      </c>
      <c r="D609" s="79" t="n">
        <v>198</v>
      </c>
      <c r="E609" s="80">
        <f>INDEX($C$4:$C$15,MATCH(A609,$A$4:$A$15,0))</f>
        <v/>
      </c>
      <c r="F609" s="80">
        <f>15*(C609-12)</f>
        <v/>
      </c>
      <c r="G609" s="80">
        <f>-COS(RADIANS(E609))*SIN(RADIANS(F609))</f>
        <v/>
      </c>
      <c r="H609" s="80">
        <f>COS(RADIANS('11_발전량_모델'!$B$17))*SIN(RADIANS(E609))-SIN(RADIANS('11_발전량_모델'!$B$17))*COS(RADIANS(E609))*COS(RADIANS(F609))</f>
        <v/>
      </c>
      <c r="I609" s="80">
        <f>SIN(RADIANS('11_발전량_모델'!$B$17))*SIN(RADIANS(E609))+COS(RADIANS('11_발전량_모델'!$B$17))*COS(RADIANS(E609))*COS(RADIANS(F609))</f>
        <v/>
      </c>
      <c r="J609" s="80">
        <f>SIN(RADIANS('11_발전량_모델'!$B$7))*SIN(RADIANS('11_발전량_모델'!$B$8))</f>
        <v/>
      </c>
      <c r="K609" s="80">
        <f>SIN(RADIANS('11_발전량_모델'!$B$7))*COS(RADIANS('11_발전량_모델'!$B$8))</f>
        <v/>
      </c>
      <c r="L609" s="80">
        <f>COS(RADIANS('11_발전량_모델'!$B$7))</f>
        <v/>
      </c>
      <c r="M609" s="80">
        <f>G609*J609+H609*K609+I609*L609</f>
        <v/>
      </c>
      <c r="N609" s="80">
        <f>MAX(0,I609)</f>
        <v/>
      </c>
      <c r="O609" s="80">
        <f>IF(I609&gt;0,MAX(0,M609),0)</f>
        <v/>
      </c>
      <c r="P609" s="80">
        <f>IF($I609&gt;0,MAX(0,$G609*SIN(RADIANS('13_시나리오비교'!$B$5))*SIN(RADIANS('13_시나리오비교'!$C$5))+$H609*SIN(RADIANS('13_시나리오비교'!$B$5))*COS(RADIANS('13_시나리오비교'!$C$5))+$I609*COS(RADIANS('13_시나리오비교'!$B$5))),0)</f>
        <v/>
      </c>
      <c r="Q609" s="80">
        <f>IF($I609&gt;0,MAX(0,$G609*SIN(RADIANS('13_시나리오비교'!$B$6))*SIN(RADIANS('13_시나리오비교'!$C$6))+$H609*SIN(RADIANS('13_시나리오비교'!$B$6))*COS(RADIANS('13_시나리오비교'!$C$6))+$I609*COS(RADIANS('13_시나리오비교'!$B$6))),0)</f>
        <v/>
      </c>
      <c r="R609" s="80">
        <f>IF($I609&gt;0,MAX(0,$G609*SIN(RADIANS('13_시나리오비교'!$B$7))*SIN(RADIANS('13_시나리오비교'!$C$7))+$H609*SIN(RADIANS('13_시나리오비교'!$B$7))*COS(RADIANS('13_시나리오비교'!$C$7))+$I609*COS(RADIANS('13_시나리오비교'!$B$7))),0)</f>
        <v/>
      </c>
      <c r="S609" s="80">
        <f>IF($I609&gt;0,MAX(0,$G609*SIN(RADIANS('13_시나리오비교'!$B$8))*SIN(RADIANS('13_시나리오비교'!$C$8))+$H609*SIN(RADIANS('13_시나리오비교'!$B$8))*COS(RADIANS('13_시나리오비교'!$C$8))+$I609*COS(RADIANS('13_시나리오비교'!$B$8))),0)</f>
        <v/>
      </c>
      <c r="T609" s="80">
        <f>IF($I609&gt;0,MAX(0,$G609*SIN(RADIANS('13_시나리오비교'!$B$9))*SIN(RADIANS('13_시나리오비교'!$C$9))+$H609*SIN(RADIANS('13_시나리오비교'!$B$9))*COS(RADIANS('13_시나리오비교'!$C$9))+$I609*COS(RADIANS('13_시나리오비교'!$B$9))),0)</f>
        <v/>
      </c>
      <c r="U609" s="80">
        <f>IF($I609&gt;0,MAX(0,$G609*SIN(RADIANS('13_시나리오비교'!$B$10))*SIN(RADIANS('13_시나리오비교'!$C$10))+$H609*SIN(RADIANS('13_시나리오비교'!$B$10))*COS(RADIANS('13_시나리오비교'!$C$10))+$I609*COS(RADIANS('13_시나리오비교'!$B$10))),0)</f>
        <v/>
      </c>
      <c r="V609" s="80">
        <f>IF($I609&gt;0,MAX(0,$G609*SIN(RADIANS('13_시나리오비교'!$B$11))*SIN(RADIANS('13_시나리오비교'!$C$11))+$H609*SIN(RADIANS('13_시나리오비교'!$B$11))*COS(RADIANS('13_시나리오비교'!$C$11))+$I609*COS(RADIANS('13_시나리오비교'!$B$11))),0)</f>
        <v/>
      </c>
      <c r="W609" s="80">
        <f>IF($I609&gt;0,MAX(0,$G609*SIN(RADIANS('13_시나리오비교'!$B$12))*SIN(RADIANS('13_시나리오비교'!$C$12))+$H609*SIN(RADIANS('13_시나리오비교'!$B$12))*COS(RADIANS('13_시나리오비교'!$C$12))+$I609*COS(RADIANS('13_시나리오비교'!$B$12))),0)</f>
        <v/>
      </c>
      <c r="X609" s="80">
        <f>IF($I609&gt;0,MAX(0,$G609*SIN(RADIANS('13_시나리오비교'!$B$13))*SIN(RADIANS('13_시나리오비교'!$C$13))+$H609*SIN(RADIANS('13_시나리오비교'!$B$13))*COS(RADIANS('13_시나리오비교'!$C$13))+$I609*COS(RADIANS('13_시나리오비교'!$B$13))),0)</f>
        <v/>
      </c>
      <c r="Y609" s="80">
        <f>IF($I609&gt;0,MAX(0,$G609*SIN(RADIANS('13_시나리오비교'!$B$14))*SIN(RADIANS('13_시나리오비교'!$C$14))+$H609*SIN(RADIANS('13_시나리오비교'!$B$14))*COS(RADIANS('13_시나리오비교'!$C$14))+$I609*COS(RADIANS('13_시나리오비교'!$B$14))),0)</f>
        <v/>
      </c>
    </row>
    <row r="610" hidden="1" outlineLevel="1">
      <c r="A610" s="79" t="n">
        <v>7</v>
      </c>
      <c r="B610" s="79" t="n">
        <v>14</v>
      </c>
      <c r="C610" s="80">
        <f>(B610-0.5)*'14_지역·상수'!$H$6</f>
        <v/>
      </c>
      <c r="D610" s="79" t="n">
        <v>198</v>
      </c>
      <c r="E610" s="80">
        <f>INDEX($C$4:$C$15,MATCH(A610,$A$4:$A$15,0))</f>
        <v/>
      </c>
      <c r="F610" s="80">
        <f>15*(C610-12)</f>
        <v/>
      </c>
      <c r="G610" s="80">
        <f>-COS(RADIANS(E610))*SIN(RADIANS(F610))</f>
        <v/>
      </c>
      <c r="H610" s="80">
        <f>COS(RADIANS('11_발전량_모델'!$B$17))*SIN(RADIANS(E610))-SIN(RADIANS('11_발전량_모델'!$B$17))*COS(RADIANS(E610))*COS(RADIANS(F610))</f>
        <v/>
      </c>
      <c r="I610" s="80">
        <f>SIN(RADIANS('11_발전량_모델'!$B$17))*SIN(RADIANS(E610))+COS(RADIANS('11_발전량_모델'!$B$17))*COS(RADIANS(E610))*COS(RADIANS(F610))</f>
        <v/>
      </c>
      <c r="J610" s="80">
        <f>SIN(RADIANS('11_발전량_모델'!$B$7))*SIN(RADIANS('11_발전량_모델'!$B$8))</f>
        <v/>
      </c>
      <c r="K610" s="80">
        <f>SIN(RADIANS('11_발전량_모델'!$B$7))*COS(RADIANS('11_발전량_모델'!$B$8))</f>
        <v/>
      </c>
      <c r="L610" s="80">
        <f>COS(RADIANS('11_발전량_모델'!$B$7))</f>
        <v/>
      </c>
      <c r="M610" s="80">
        <f>G610*J610+H610*K610+I610*L610</f>
        <v/>
      </c>
      <c r="N610" s="80">
        <f>MAX(0,I610)</f>
        <v/>
      </c>
      <c r="O610" s="80">
        <f>IF(I610&gt;0,MAX(0,M610),0)</f>
        <v/>
      </c>
      <c r="P610" s="80">
        <f>IF($I610&gt;0,MAX(0,$G610*SIN(RADIANS('13_시나리오비교'!$B$5))*SIN(RADIANS('13_시나리오비교'!$C$5))+$H610*SIN(RADIANS('13_시나리오비교'!$B$5))*COS(RADIANS('13_시나리오비교'!$C$5))+$I610*COS(RADIANS('13_시나리오비교'!$B$5))),0)</f>
        <v/>
      </c>
      <c r="Q610" s="80">
        <f>IF($I610&gt;0,MAX(0,$G610*SIN(RADIANS('13_시나리오비교'!$B$6))*SIN(RADIANS('13_시나리오비교'!$C$6))+$H610*SIN(RADIANS('13_시나리오비교'!$B$6))*COS(RADIANS('13_시나리오비교'!$C$6))+$I610*COS(RADIANS('13_시나리오비교'!$B$6))),0)</f>
        <v/>
      </c>
      <c r="R610" s="80">
        <f>IF($I610&gt;0,MAX(0,$G610*SIN(RADIANS('13_시나리오비교'!$B$7))*SIN(RADIANS('13_시나리오비교'!$C$7))+$H610*SIN(RADIANS('13_시나리오비교'!$B$7))*COS(RADIANS('13_시나리오비교'!$C$7))+$I610*COS(RADIANS('13_시나리오비교'!$B$7))),0)</f>
        <v/>
      </c>
      <c r="S610" s="80">
        <f>IF($I610&gt;0,MAX(0,$G610*SIN(RADIANS('13_시나리오비교'!$B$8))*SIN(RADIANS('13_시나리오비교'!$C$8))+$H610*SIN(RADIANS('13_시나리오비교'!$B$8))*COS(RADIANS('13_시나리오비교'!$C$8))+$I610*COS(RADIANS('13_시나리오비교'!$B$8))),0)</f>
        <v/>
      </c>
      <c r="T610" s="80">
        <f>IF($I610&gt;0,MAX(0,$G610*SIN(RADIANS('13_시나리오비교'!$B$9))*SIN(RADIANS('13_시나리오비교'!$C$9))+$H610*SIN(RADIANS('13_시나리오비교'!$B$9))*COS(RADIANS('13_시나리오비교'!$C$9))+$I610*COS(RADIANS('13_시나리오비교'!$B$9))),0)</f>
        <v/>
      </c>
      <c r="U610" s="80">
        <f>IF($I610&gt;0,MAX(0,$G610*SIN(RADIANS('13_시나리오비교'!$B$10))*SIN(RADIANS('13_시나리오비교'!$C$10))+$H610*SIN(RADIANS('13_시나리오비교'!$B$10))*COS(RADIANS('13_시나리오비교'!$C$10))+$I610*COS(RADIANS('13_시나리오비교'!$B$10))),0)</f>
        <v/>
      </c>
      <c r="V610" s="80">
        <f>IF($I610&gt;0,MAX(0,$G610*SIN(RADIANS('13_시나리오비교'!$B$11))*SIN(RADIANS('13_시나리오비교'!$C$11))+$H610*SIN(RADIANS('13_시나리오비교'!$B$11))*COS(RADIANS('13_시나리오비교'!$C$11))+$I610*COS(RADIANS('13_시나리오비교'!$B$11))),0)</f>
        <v/>
      </c>
      <c r="W610" s="80">
        <f>IF($I610&gt;0,MAX(0,$G610*SIN(RADIANS('13_시나리오비교'!$B$12))*SIN(RADIANS('13_시나리오비교'!$C$12))+$H610*SIN(RADIANS('13_시나리오비교'!$B$12))*COS(RADIANS('13_시나리오비교'!$C$12))+$I610*COS(RADIANS('13_시나리오비교'!$B$12))),0)</f>
        <v/>
      </c>
      <c r="X610" s="80">
        <f>IF($I610&gt;0,MAX(0,$G610*SIN(RADIANS('13_시나리오비교'!$B$13))*SIN(RADIANS('13_시나리오비교'!$C$13))+$H610*SIN(RADIANS('13_시나리오비교'!$B$13))*COS(RADIANS('13_시나리오비교'!$C$13))+$I610*COS(RADIANS('13_시나리오비교'!$B$13))),0)</f>
        <v/>
      </c>
      <c r="Y610" s="80">
        <f>IF($I610&gt;0,MAX(0,$G610*SIN(RADIANS('13_시나리오비교'!$B$14))*SIN(RADIANS('13_시나리오비교'!$C$14))+$H610*SIN(RADIANS('13_시나리오비교'!$B$14))*COS(RADIANS('13_시나리오비교'!$C$14))+$I610*COS(RADIANS('13_시나리오비교'!$B$14))),0)</f>
        <v/>
      </c>
    </row>
    <row r="611" hidden="1" outlineLevel="1">
      <c r="A611" s="79" t="n">
        <v>7</v>
      </c>
      <c r="B611" s="79" t="n">
        <v>15</v>
      </c>
      <c r="C611" s="80">
        <f>(B611-0.5)*'14_지역·상수'!$H$6</f>
        <v/>
      </c>
      <c r="D611" s="79" t="n">
        <v>198</v>
      </c>
      <c r="E611" s="80">
        <f>INDEX($C$4:$C$15,MATCH(A611,$A$4:$A$15,0))</f>
        <v/>
      </c>
      <c r="F611" s="80">
        <f>15*(C611-12)</f>
        <v/>
      </c>
      <c r="G611" s="80">
        <f>-COS(RADIANS(E611))*SIN(RADIANS(F611))</f>
        <v/>
      </c>
      <c r="H611" s="80">
        <f>COS(RADIANS('11_발전량_모델'!$B$17))*SIN(RADIANS(E611))-SIN(RADIANS('11_발전량_모델'!$B$17))*COS(RADIANS(E611))*COS(RADIANS(F611))</f>
        <v/>
      </c>
      <c r="I611" s="80">
        <f>SIN(RADIANS('11_발전량_모델'!$B$17))*SIN(RADIANS(E611))+COS(RADIANS('11_발전량_모델'!$B$17))*COS(RADIANS(E611))*COS(RADIANS(F611))</f>
        <v/>
      </c>
      <c r="J611" s="80">
        <f>SIN(RADIANS('11_발전량_모델'!$B$7))*SIN(RADIANS('11_발전량_모델'!$B$8))</f>
        <v/>
      </c>
      <c r="K611" s="80">
        <f>SIN(RADIANS('11_발전량_모델'!$B$7))*COS(RADIANS('11_발전량_모델'!$B$8))</f>
        <v/>
      </c>
      <c r="L611" s="80">
        <f>COS(RADIANS('11_발전량_모델'!$B$7))</f>
        <v/>
      </c>
      <c r="M611" s="80">
        <f>G611*J611+H611*K611+I611*L611</f>
        <v/>
      </c>
      <c r="N611" s="80">
        <f>MAX(0,I611)</f>
        <v/>
      </c>
      <c r="O611" s="80">
        <f>IF(I611&gt;0,MAX(0,M611),0)</f>
        <v/>
      </c>
      <c r="P611" s="80">
        <f>IF($I611&gt;0,MAX(0,$G611*SIN(RADIANS('13_시나리오비교'!$B$5))*SIN(RADIANS('13_시나리오비교'!$C$5))+$H611*SIN(RADIANS('13_시나리오비교'!$B$5))*COS(RADIANS('13_시나리오비교'!$C$5))+$I611*COS(RADIANS('13_시나리오비교'!$B$5))),0)</f>
        <v/>
      </c>
      <c r="Q611" s="80">
        <f>IF($I611&gt;0,MAX(0,$G611*SIN(RADIANS('13_시나리오비교'!$B$6))*SIN(RADIANS('13_시나리오비교'!$C$6))+$H611*SIN(RADIANS('13_시나리오비교'!$B$6))*COS(RADIANS('13_시나리오비교'!$C$6))+$I611*COS(RADIANS('13_시나리오비교'!$B$6))),0)</f>
        <v/>
      </c>
      <c r="R611" s="80">
        <f>IF($I611&gt;0,MAX(0,$G611*SIN(RADIANS('13_시나리오비교'!$B$7))*SIN(RADIANS('13_시나리오비교'!$C$7))+$H611*SIN(RADIANS('13_시나리오비교'!$B$7))*COS(RADIANS('13_시나리오비교'!$C$7))+$I611*COS(RADIANS('13_시나리오비교'!$B$7))),0)</f>
        <v/>
      </c>
      <c r="S611" s="80">
        <f>IF($I611&gt;0,MAX(0,$G611*SIN(RADIANS('13_시나리오비교'!$B$8))*SIN(RADIANS('13_시나리오비교'!$C$8))+$H611*SIN(RADIANS('13_시나리오비교'!$B$8))*COS(RADIANS('13_시나리오비교'!$C$8))+$I611*COS(RADIANS('13_시나리오비교'!$B$8))),0)</f>
        <v/>
      </c>
      <c r="T611" s="80">
        <f>IF($I611&gt;0,MAX(0,$G611*SIN(RADIANS('13_시나리오비교'!$B$9))*SIN(RADIANS('13_시나리오비교'!$C$9))+$H611*SIN(RADIANS('13_시나리오비교'!$B$9))*COS(RADIANS('13_시나리오비교'!$C$9))+$I611*COS(RADIANS('13_시나리오비교'!$B$9))),0)</f>
        <v/>
      </c>
      <c r="U611" s="80">
        <f>IF($I611&gt;0,MAX(0,$G611*SIN(RADIANS('13_시나리오비교'!$B$10))*SIN(RADIANS('13_시나리오비교'!$C$10))+$H611*SIN(RADIANS('13_시나리오비교'!$B$10))*COS(RADIANS('13_시나리오비교'!$C$10))+$I611*COS(RADIANS('13_시나리오비교'!$B$10))),0)</f>
        <v/>
      </c>
      <c r="V611" s="80">
        <f>IF($I611&gt;0,MAX(0,$G611*SIN(RADIANS('13_시나리오비교'!$B$11))*SIN(RADIANS('13_시나리오비교'!$C$11))+$H611*SIN(RADIANS('13_시나리오비교'!$B$11))*COS(RADIANS('13_시나리오비교'!$C$11))+$I611*COS(RADIANS('13_시나리오비교'!$B$11))),0)</f>
        <v/>
      </c>
      <c r="W611" s="80">
        <f>IF($I611&gt;0,MAX(0,$G611*SIN(RADIANS('13_시나리오비교'!$B$12))*SIN(RADIANS('13_시나리오비교'!$C$12))+$H611*SIN(RADIANS('13_시나리오비교'!$B$12))*COS(RADIANS('13_시나리오비교'!$C$12))+$I611*COS(RADIANS('13_시나리오비교'!$B$12))),0)</f>
        <v/>
      </c>
      <c r="X611" s="80">
        <f>IF($I611&gt;0,MAX(0,$G611*SIN(RADIANS('13_시나리오비교'!$B$13))*SIN(RADIANS('13_시나리오비교'!$C$13))+$H611*SIN(RADIANS('13_시나리오비교'!$B$13))*COS(RADIANS('13_시나리오비교'!$C$13))+$I611*COS(RADIANS('13_시나리오비교'!$B$13))),0)</f>
        <v/>
      </c>
      <c r="Y611" s="80">
        <f>IF($I611&gt;0,MAX(0,$G611*SIN(RADIANS('13_시나리오비교'!$B$14))*SIN(RADIANS('13_시나리오비교'!$C$14))+$H611*SIN(RADIANS('13_시나리오비교'!$B$14))*COS(RADIANS('13_시나리오비교'!$C$14))+$I611*COS(RADIANS('13_시나리오비교'!$B$14))),0)</f>
        <v/>
      </c>
    </row>
    <row r="612" hidden="1" outlineLevel="1">
      <c r="A612" s="79" t="n">
        <v>7</v>
      </c>
      <c r="B612" s="79" t="n">
        <v>16</v>
      </c>
      <c r="C612" s="80">
        <f>(B612-0.5)*'14_지역·상수'!$H$6</f>
        <v/>
      </c>
      <c r="D612" s="79" t="n">
        <v>198</v>
      </c>
      <c r="E612" s="80">
        <f>INDEX($C$4:$C$15,MATCH(A612,$A$4:$A$15,0))</f>
        <v/>
      </c>
      <c r="F612" s="80">
        <f>15*(C612-12)</f>
        <v/>
      </c>
      <c r="G612" s="80">
        <f>-COS(RADIANS(E612))*SIN(RADIANS(F612))</f>
        <v/>
      </c>
      <c r="H612" s="80">
        <f>COS(RADIANS('11_발전량_모델'!$B$17))*SIN(RADIANS(E612))-SIN(RADIANS('11_발전량_모델'!$B$17))*COS(RADIANS(E612))*COS(RADIANS(F612))</f>
        <v/>
      </c>
      <c r="I612" s="80">
        <f>SIN(RADIANS('11_발전량_모델'!$B$17))*SIN(RADIANS(E612))+COS(RADIANS('11_발전량_모델'!$B$17))*COS(RADIANS(E612))*COS(RADIANS(F612))</f>
        <v/>
      </c>
      <c r="J612" s="80">
        <f>SIN(RADIANS('11_발전량_모델'!$B$7))*SIN(RADIANS('11_발전량_모델'!$B$8))</f>
        <v/>
      </c>
      <c r="K612" s="80">
        <f>SIN(RADIANS('11_발전량_모델'!$B$7))*COS(RADIANS('11_발전량_모델'!$B$8))</f>
        <v/>
      </c>
      <c r="L612" s="80">
        <f>COS(RADIANS('11_발전량_모델'!$B$7))</f>
        <v/>
      </c>
      <c r="M612" s="80">
        <f>G612*J612+H612*K612+I612*L612</f>
        <v/>
      </c>
      <c r="N612" s="80">
        <f>MAX(0,I612)</f>
        <v/>
      </c>
      <c r="O612" s="80">
        <f>IF(I612&gt;0,MAX(0,M612),0)</f>
        <v/>
      </c>
      <c r="P612" s="80">
        <f>IF($I612&gt;0,MAX(0,$G612*SIN(RADIANS('13_시나리오비교'!$B$5))*SIN(RADIANS('13_시나리오비교'!$C$5))+$H612*SIN(RADIANS('13_시나리오비교'!$B$5))*COS(RADIANS('13_시나리오비교'!$C$5))+$I612*COS(RADIANS('13_시나리오비교'!$B$5))),0)</f>
        <v/>
      </c>
      <c r="Q612" s="80">
        <f>IF($I612&gt;0,MAX(0,$G612*SIN(RADIANS('13_시나리오비교'!$B$6))*SIN(RADIANS('13_시나리오비교'!$C$6))+$H612*SIN(RADIANS('13_시나리오비교'!$B$6))*COS(RADIANS('13_시나리오비교'!$C$6))+$I612*COS(RADIANS('13_시나리오비교'!$B$6))),0)</f>
        <v/>
      </c>
      <c r="R612" s="80">
        <f>IF($I612&gt;0,MAX(0,$G612*SIN(RADIANS('13_시나리오비교'!$B$7))*SIN(RADIANS('13_시나리오비교'!$C$7))+$H612*SIN(RADIANS('13_시나리오비교'!$B$7))*COS(RADIANS('13_시나리오비교'!$C$7))+$I612*COS(RADIANS('13_시나리오비교'!$B$7))),0)</f>
        <v/>
      </c>
      <c r="S612" s="80">
        <f>IF($I612&gt;0,MAX(0,$G612*SIN(RADIANS('13_시나리오비교'!$B$8))*SIN(RADIANS('13_시나리오비교'!$C$8))+$H612*SIN(RADIANS('13_시나리오비교'!$B$8))*COS(RADIANS('13_시나리오비교'!$C$8))+$I612*COS(RADIANS('13_시나리오비교'!$B$8))),0)</f>
        <v/>
      </c>
      <c r="T612" s="80">
        <f>IF($I612&gt;0,MAX(0,$G612*SIN(RADIANS('13_시나리오비교'!$B$9))*SIN(RADIANS('13_시나리오비교'!$C$9))+$H612*SIN(RADIANS('13_시나리오비교'!$B$9))*COS(RADIANS('13_시나리오비교'!$C$9))+$I612*COS(RADIANS('13_시나리오비교'!$B$9))),0)</f>
        <v/>
      </c>
      <c r="U612" s="80">
        <f>IF($I612&gt;0,MAX(0,$G612*SIN(RADIANS('13_시나리오비교'!$B$10))*SIN(RADIANS('13_시나리오비교'!$C$10))+$H612*SIN(RADIANS('13_시나리오비교'!$B$10))*COS(RADIANS('13_시나리오비교'!$C$10))+$I612*COS(RADIANS('13_시나리오비교'!$B$10))),0)</f>
        <v/>
      </c>
      <c r="V612" s="80">
        <f>IF($I612&gt;0,MAX(0,$G612*SIN(RADIANS('13_시나리오비교'!$B$11))*SIN(RADIANS('13_시나리오비교'!$C$11))+$H612*SIN(RADIANS('13_시나리오비교'!$B$11))*COS(RADIANS('13_시나리오비교'!$C$11))+$I612*COS(RADIANS('13_시나리오비교'!$B$11))),0)</f>
        <v/>
      </c>
      <c r="W612" s="80">
        <f>IF($I612&gt;0,MAX(0,$G612*SIN(RADIANS('13_시나리오비교'!$B$12))*SIN(RADIANS('13_시나리오비교'!$C$12))+$H612*SIN(RADIANS('13_시나리오비교'!$B$12))*COS(RADIANS('13_시나리오비교'!$C$12))+$I612*COS(RADIANS('13_시나리오비교'!$B$12))),0)</f>
        <v/>
      </c>
      <c r="X612" s="80">
        <f>IF($I612&gt;0,MAX(0,$G612*SIN(RADIANS('13_시나리오비교'!$B$13))*SIN(RADIANS('13_시나리오비교'!$C$13))+$H612*SIN(RADIANS('13_시나리오비교'!$B$13))*COS(RADIANS('13_시나리오비교'!$C$13))+$I612*COS(RADIANS('13_시나리오비교'!$B$13))),0)</f>
        <v/>
      </c>
      <c r="Y612" s="80">
        <f>IF($I612&gt;0,MAX(0,$G612*SIN(RADIANS('13_시나리오비교'!$B$14))*SIN(RADIANS('13_시나리오비교'!$C$14))+$H612*SIN(RADIANS('13_시나리오비교'!$B$14))*COS(RADIANS('13_시나리오비교'!$C$14))+$I612*COS(RADIANS('13_시나리오비교'!$B$14))),0)</f>
        <v/>
      </c>
    </row>
    <row r="613" hidden="1" outlineLevel="1">
      <c r="A613" s="79" t="n">
        <v>7</v>
      </c>
      <c r="B613" s="79" t="n">
        <v>17</v>
      </c>
      <c r="C613" s="80">
        <f>(B613-0.5)*'14_지역·상수'!$H$6</f>
        <v/>
      </c>
      <c r="D613" s="79" t="n">
        <v>198</v>
      </c>
      <c r="E613" s="80">
        <f>INDEX($C$4:$C$15,MATCH(A613,$A$4:$A$15,0))</f>
        <v/>
      </c>
      <c r="F613" s="80">
        <f>15*(C613-12)</f>
        <v/>
      </c>
      <c r="G613" s="80">
        <f>-COS(RADIANS(E613))*SIN(RADIANS(F613))</f>
        <v/>
      </c>
      <c r="H613" s="80">
        <f>COS(RADIANS('11_발전량_모델'!$B$17))*SIN(RADIANS(E613))-SIN(RADIANS('11_발전량_모델'!$B$17))*COS(RADIANS(E613))*COS(RADIANS(F613))</f>
        <v/>
      </c>
      <c r="I613" s="80">
        <f>SIN(RADIANS('11_발전량_모델'!$B$17))*SIN(RADIANS(E613))+COS(RADIANS('11_발전량_모델'!$B$17))*COS(RADIANS(E613))*COS(RADIANS(F613))</f>
        <v/>
      </c>
      <c r="J613" s="80">
        <f>SIN(RADIANS('11_발전량_모델'!$B$7))*SIN(RADIANS('11_발전량_모델'!$B$8))</f>
        <v/>
      </c>
      <c r="K613" s="80">
        <f>SIN(RADIANS('11_발전량_모델'!$B$7))*COS(RADIANS('11_발전량_모델'!$B$8))</f>
        <v/>
      </c>
      <c r="L613" s="80">
        <f>COS(RADIANS('11_발전량_모델'!$B$7))</f>
        <v/>
      </c>
      <c r="M613" s="80">
        <f>G613*J613+H613*K613+I613*L613</f>
        <v/>
      </c>
      <c r="N613" s="80">
        <f>MAX(0,I613)</f>
        <v/>
      </c>
      <c r="O613" s="80">
        <f>IF(I613&gt;0,MAX(0,M613),0)</f>
        <v/>
      </c>
      <c r="P613" s="80">
        <f>IF($I613&gt;0,MAX(0,$G613*SIN(RADIANS('13_시나리오비교'!$B$5))*SIN(RADIANS('13_시나리오비교'!$C$5))+$H613*SIN(RADIANS('13_시나리오비교'!$B$5))*COS(RADIANS('13_시나리오비교'!$C$5))+$I613*COS(RADIANS('13_시나리오비교'!$B$5))),0)</f>
        <v/>
      </c>
      <c r="Q613" s="80">
        <f>IF($I613&gt;0,MAX(0,$G613*SIN(RADIANS('13_시나리오비교'!$B$6))*SIN(RADIANS('13_시나리오비교'!$C$6))+$H613*SIN(RADIANS('13_시나리오비교'!$B$6))*COS(RADIANS('13_시나리오비교'!$C$6))+$I613*COS(RADIANS('13_시나리오비교'!$B$6))),0)</f>
        <v/>
      </c>
      <c r="R613" s="80">
        <f>IF($I613&gt;0,MAX(0,$G613*SIN(RADIANS('13_시나리오비교'!$B$7))*SIN(RADIANS('13_시나리오비교'!$C$7))+$H613*SIN(RADIANS('13_시나리오비교'!$B$7))*COS(RADIANS('13_시나리오비교'!$C$7))+$I613*COS(RADIANS('13_시나리오비교'!$B$7))),0)</f>
        <v/>
      </c>
      <c r="S613" s="80">
        <f>IF($I613&gt;0,MAX(0,$G613*SIN(RADIANS('13_시나리오비교'!$B$8))*SIN(RADIANS('13_시나리오비교'!$C$8))+$H613*SIN(RADIANS('13_시나리오비교'!$B$8))*COS(RADIANS('13_시나리오비교'!$C$8))+$I613*COS(RADIANS('13_시나리오비교'!$B$8))),0)</f>
        <v/>
      </c>
      <c r="T613" s="80">
        <f>IF($I613&gt;0,MAX(0,$G613*SIN(RADIANS('13_시나리오비교'!$B$9))*SIN(RADIANS('13_시나리오비교'!$C$9))+$H613*SIN(RADIANS('13_시나리오비교'!$B$9))*COS(RADIANS('13_시나리오비교'!$C$9))+$I613*COS(RADIANS('13_시나리오비교'!$B$9))),0)</f>
        <v/>
      </c>
      <c r="U613" s="80">
        <f>IF($I613&gt;0,MAX(0,$G613*SIN(RADIANS('13_시나리오비교'!$B$10))*SIN(RADIANS('13_시나리오비교'!$C$10))+$H613*SIN(RADIANS('13_시나리오비교'!$B$10))*COS(RADIANS('13_시나리오비교'!$C$10))+$I613*COS(RADIANS('13_시나리오비교'!$B$10))),0)</f>
        <v/>
      </c>
      <c r="V613" s="80">
        <f>IF($I613&gt;0,MAX(0,$G613*SIN(RADIANS('13_시나리오비교'!$B$11))*SIN(RADIANS('13_시나리오비교'!$C$11))+$H613*SIN(RADIANS('13_시나리오비교'!$B$11))*COS(RADIANS('13_시나리오비교'!$C$11))+$I613*COS(RADIANS('13_시나리오비교'!$B$11))),0)</f>
        <v/>
      </c>
      <c r="W613" s="80">
        <f>IF($I613&gt;0,MAX(0,$G613*SIN(RADIANS('13_시나리오비교'!$B$12))*SIN(RADIANS('13_시나리오비교'!$C$12))+$H613*SIN(RADIANS('13_시나리오비교'!$B$12))*COS(RADIANS('13_시나리오비교'!$C$12))+$I613*COS(RADIANS('13_시나리오비교'!$B$12))),0)</f>
        <v/>
      </c>
      <c r="X613" s="80">
        <f>IF($I613&gt;0,MAX(0,$G613*SIN(RADIANS('13_시나리오비교'!$B$13))*SIN(RADIANS('13_시나리오비교'!$C$13))+$H613*SIN(RADIANS('13_시나리오비교'!$B$13))*COS(RADIANS('13_시나리오비교'!$C$13))+$I613*COS(RADIANS('13_시나리오비교'!$B$13))),0)</f>
        <v/>
      </c>
      <c r="Y613" s="80">
        <f>IF($I613&gt;0,MAX(0,$G613*SIN(RADIANS('13_시나리오비교'!$B$14))*SIN(RADIANS('13_시나리오비교'!$C$14))+$H613*SIN(RADIANS('13_시나리오비교'!$B$14))*COS(RADIANS('13_시나리오비교'!$C$14))+$I613*COS(RADIANS('13_시나리오비교'!$B$14))),0)</f>
        <v/>
      </c>
    </row>
    <row r="614" hidden="1" outlineLevel="1">
      <c r="A614" s="79" t="n">
        <v>7</v>
      </c>
      <c r="B614" s="79" t="n">
        <v>18</v>
      </c>
      <c r="C614" s="80">
        <f>(B614-0.5)*'14_지역·상수'!$H$6</f>
        <v/>
      </c>
      <c r="D614" s="79" t="n">
        <v>198</v>
      </c>
      <c r="E614" s="80">
        <f>INDEX($C$4:$C$15,MATCH(A614,$A$4:$A$15,0))</f>
        <v/>
      </c>
      <c r="F614" s="80">
        <f>15*(C614-12)</f>
        <v/>
      </c>
      <c r="G614" s="80">
        <f>-COS(RADIANS(E614))*SIN(RADIANS(F614))</f>
        <v/>
      </c>
      <c r="H614" s="80">
        <f>COS(RADIANS('11_발전량_모델'!$B$17))*SIN(RADIANS(E614))-SIN(RADIANS('11_발전량_모델'!$B$17))*COS(RADIANS(E614))*COS(RADIANS(F614))</f>
        <v/>
      </c>
      <c r="I614" s="80">
        <f>SIN(RADIANS('11_발전량_모델'!$B$17))*SIN(RADIANS(E614))+COS(RADIANS('11_발전량_모델'!$B$17))*COS(RADIANS(E614))*COS(RADIANS(F614))</f>
        <v/>
      </c>
      <c r="J614" s="80">
        <f>SIN(RADIANS('11_발전량_모델'!$B$7))*SIN(RADIANS('11_발전량_모델'!$B$8))</f>
        <v/>
      </c>
      <c r="K614" s="80">
        <f>SIN(RADIANS('11_발전량_모델'!$B$7))*COS(RADIANS('11_발전량_모델'!$B$8))</f>
        <v/>
      </c>
      <c r="L614" s="80">
        <f>COS(RADIANS('11_발전량_모델'!$B$7))</f>
        <v/>
      </c>
      <c r="M614" s="80">
        <f>G614*J614+H614*K614+I614*L614</f>
        <v/>
      </c>
      <c r="N614" s="80">
        <f>MAX(0,I614)</f>
        <v/>
      </c>
      <c r="O614" s="80">
        <f>IF(I614&gt;0,MAX(0,M614),0)</f>
        <v/>
      </c>
      <c r="P614" s="80">
        <f>IF($I614&gt;0,MAX(0,$G614*SIN(RADIANS('13_시나리오비교'!$B$5))*SIN(RADIANS('13_시나리오비교'!$C$5))+$H614*SIN(RADIANS('13_시나리오비교'!$B$5))*COS(RADIANS('13_시나리오비교'!$C$5))+$I614*COS(RADIANS('13_시나리오비교'!$B$5))),0)</f>
        <v/>
      </c>
      <c r="Q614" s="80">
        <f>IF($I614&gt;0,MAX(0,$G614*SIN(RADIANS('13_시나리오비교'!$B$6))*SIN(RADIANS('13_시나리오비교'!$C$6))+$H614*SIN(RADIANS('13_시나리오비교'!$B$6))*COS(RADIANS('13_시나리오비교'!$C$6))+$I614*COS(RADIANS('13_시나리오비교'!$B$6))),0)</f>
        <v/>
      </c>
      <c r="R614" s="80">
        <f>IF($I614&gt;0,MAX(0,$G614*SIN(RADIANS('13_시나리오비교'!$B$7))*SIN(RADIANS('13_시나리오비교'!$C$7))+$H614*SIN(RADIANS('13_시나리오비교'!$B$7))*COS(RADIANS('13_시나리오비교'!$C$7))+$I614*COS(RADIANS('13_시나리오비교'!$B$7))),0)</f>
        <v/>
      </c>
      <c r="S614" s="80">
        <f>IF($I614&gt;0,MAX(0,$G614*SIN(RADIANS('13_시나리오비교'!$B$8))*SIN(RADIANS('13_시나리오비교'!$C$8))+$H614*SIN(RADIANS('13_시나리오비교'!$B$8))*COS(RADIANS('13_시나리오비교'!$C$8))+$I614*COS(RADIANS('13_시나리오비교'!$B$8))),0)</f>
        <v/>
      </c>
      <c r="T614" s="80">
        <f>IF($I614&gt;0,MAX(0,$G614*SIN(RADIANS('13_시나리오비교'!$B$9))*SIN(RADIANS('13_시나리오비교'!$C$9))+$H614*SIN(RADIANS('13_시나리오비교'!$B$9))*COS(RADIANS('13_시나리오비교'!$C$9))+$I614*COS(RADIANS('13_시나리오비교'!$B$9))),0)</f>
        <v/>
      </c>
      <c r="U614" s="80">
        <f>IF($I614&gt;0,MAX(0,$G614*SIN(RADIANS('13_시나리오비교'!$B$10))*SIN(RADIANS('13_시나리오비교'!$C$10))+$H614*SIN(RADIANS('13_시나리오비교'!$B$10))*COS(RADIANS('13_시나리오비교'!$C$10))+$I614*COS(RADIANS('13_시나리오비교'!$B$10))),0)</f>
        <v/>
      </c>
      <c r="V614" s="80">
        <f>IF($I614&gt;0,MAX(0,$G614*SIN(RADIANS('13_시나리오비교'!$B$11))*SIN(RADIANS('13_시나리오비교'!$C$11))+$H614*SIN(RADIANS('13_시나리오비교'!$B$11))*COS(RADIANS('13_시나리오비교'!$C$11))+$I614*COS(RADIANS('13_시나리오비교'!$B$11))),0)</f>
        <v/>
      </c>
      <c r="W614" s="80">
        <f>IF($I614&gt;0,MAX(0,$G614*SIN(RADIANS('13_시나리오비교'!$B$12))*SIN(RADIANS('13_시나리오비교'!$C$12))+$H614*SIN(RADIANS('13_시나리오비교'!$B$12))*COS(RADIANS('13_시나리오비교'!$C$12))+$I614*COS(RADIANS('13_시나리오비교'!$B$12))),0)</f>
        <v/>
      </c>
      <c r="X614" s="80">
        <f>IF($I614&gt;0,MAX(0,$G614*SIN(RADIANS('13_시나리오비교'!$B$13))*SIN(RADIANS('13_시나리오비교'!$C$13))+$H614*SIN(RADIANS('13_시나리오비교'!$B$13))*COS(RADIANS('13_시나리오비교'!$C$13))+$I614*COS(RADIANS('13_시나리오비교'!$B$13))),0)</f>
        <v/>
      </c>
      <c r="Y614" s="80">
        <f>IF($I614&gt;0,MAX(0,$G614*SIN(RADIANS('13_시나리오비교'!$B$14))*SIN(RADIANS('13_시나리오비교'!$C$14))+$H614*SIN(RADIANS('13_시나리오비교'!$B$14))*COS(RADIANS('13_시나리오비교'!$C$14))+$I614*COS(RADIANS('13_시나리오비교'!$B$14))),0)</f>
        <v/>
      </c>
    </row>
    <row r="615" hidden="1" outlineLevel="1">
      <c r="A615" s="79" t="n">
        <v>7</v>
      </c>
      <c r="B615" s="79" t="n">
        <v>19</v>
      </c>
      <c r="C615" s="80">
        <f>(B615-0.5)*'14_지역·상수'!$H$6</f>
        <v/>
      </c>
      <c r="D615" s="79" t="n">
        <v>198</v>
      </c>
      <c r="E615" s="80">
        <f>INDEX($C$4:$C$15,MATCH(A615,$A$4:$A$15,0))</f>
        <v/>
      </c>
      <c r="F615" s="80">
        <f>15*(C615-12)</f>
        <v/>
      </c>
      <c r="G615" s="80">
        <f>-COS(RADIANS(E615))*SIN(RADIANS(F615))</f>
        <v/>
      </c>
      <c r="H615" s="80">
        <f>COS(RADIANS('11_발전량_모델'!$B$17))*SIN(RADIANS(E615))-SIN(RADIANS('11_발전량_모델'!$B$17))*COS(RADIANS(E615))*COS(RADIANS(F615))</f>
        <v/>
      </c>
      <c r="I615" s="80">
        <f>SIN(RADIANS('11_발전량_모델'!$B$17))*SIN(RADIANS(E615))+COS(RADIANS('11_발전량_모델'!$B$17))*COS(RADIANS(E615))*COS(RADIANS(F615))</f>
        <v/>
      </c>
      <c r="J615" s="80">
        <f>SIN(RADIANS('11_발전량_모델'!$B$7))*SIN(RADIANS('11_발전량_모델'!$B$8))</f>
        <v/>
      </c>
      <c r="K615" s="80">
        <f>SIN(RADIANS('11_발전량_모델'!$B$7))*COS(RADIANS('11_발전량_모델'!$B$8))</f>
        <v/>
      </c>
      <c r="L615" s="80">
        <f>COS(RADIANS('11_발전량_모델'!$B$7))</f>
        <v/>
      </c>
      <c r="M615" s="80">
        <f>G615*J615+H615*K615+I615*L615</f>
        <v/>
      </c>
      <c r="N615" s="80">
        <f>MAX(0,I615)</f>
        <v/>
      </c>
      <c r="O615" s="80">
        <f>IF(I615&gt;0,MAX(0,M615),0)</f>
        <v/>
      </c>
      <c r="P615" s="80">
        <f>IF($I615&gt;0,MAX(0,$G615*SIN(RADIANS('13_시나리오비교'!$B$5))*SIN(RADIANS('13_시나리오비교'!$C$5))+$H615*SIN(RADIANS('13_시나리오비교'!$B$5))*COS(RADIANS('13_시나리오비교'!$C$5))+$I615*COS(RADIANS('13_시나리오비교'!$B$5))),0)</f>
        <v/>
      </c>
      <c r="Q615" s="80">
        <f>IF($I615&gt;0,MAX(0,$G615*SIN(RADIANS('13_시나리오비교'!$B$6))*SIN(RADIANS('13_시나리오비교'!$C$6))+$H615*SIN(RADIANS('13_시나리오비교'!$B$6))*COS(RADIANS('13_시나리오비교'!$C$6))+$I615*COS(RADIANS('13_시나리오비교'!$B$6))),0)</f>
        <v/>
      </c>
      <c r="R615" s="80">
        <f>IF($I615&gt;0,MAX(0,$G615*SIN(RADIANS('13_시나리오비교'!$B$7))*SIN(RADIANS('13_시나리오비교'!$C$7))+$H615*SIN(RADIANS('13_시나리오비교'!$B$7))*COS(RADIANS('13_시나리오비교'!$C$7))+$I615*COS(RADIANS('13_시나리오비교'!$B$7))),0)</f>
        <v/>
      </c>
      <c r="S615" s="80">
        <f>IF($I615&gt;0,MAX(0,$G615*SIN(RADIANS('13_시나리오비교'!$B$8))*SIN(RADIANS('13_시나리오비교'!$C$8))+$H615*SIN(RADIANS('13_시나리오비교'!$B$8))*COS(RADIANS('13_시나리오비교'!$C$8))+$I615*COS(RADIANS('13_시나리오비교'!$B$8))),0)</f>
        <v/>
      </c>
      <c r="T615" s="80">
        <f>IF($I615&gt;0,MAX(0,$G615*SIN(RADIANS('13_시나리오비교'!$B$9))*SIN(RADIANS('13_시나리오비교'!$C$9))+$H615*SIN(RADIANS('13_시나리오비교'!$B$9))*COS(RADIANS('13_시나리오비교'!$C$9))+$I615*COS(RADIANS('13_시나리오비교'!$B$9))),0)</f>
        <v/>
      </c>
      <c r="U615" s="80">
        <f>IF($I615&gt;0,MAX(0,$G615*SIN(RADIANS('13_시나리오비교'!$B$10))*SIN(RADIANS('13_시나리오비교'!$C$10))+$H615*SIN(RADIANS('13_시나리오비교'!$B$10))*COS(RADIANS('13_시나리오비교'!$C$10))+$I615*COS(RADIANS('13_시나리오비교'!$B$10))),0)</f>
        <v/>
      </c>
      <c r="V615" s="80">
        <f>IF($I615&gt;0,MAX(0,$G615*SIN(RADIANS('13_시나리오비교'!$B$11))*SIN(RADIANS('13_시나리오비교'!$C$11))+$H615*SIN(RADIANS('13_시나리오비교'!$B$11))*COS(RADIANS('13_시나리오비교'!$C$11))+$I615*COS(RADIANS('13_시나리오비교'!$B$11))),0)</f>
        <v/>
      </c>
      <c r="W615" s="80">
        <f>IF($I615&gt;0,MAX(0,$G615*SIN(RADIANS('13_시나리오비교'!$B$12))*SIN(RADIANS('13_시나리오비교'!$C$12))+$H615*SIN(RADIANS('13_시나리오비교'!$B$12))*COS(RADIANS('13_시나리오비교'!$C$12))+$I615*COS(RADIANS('13_시나리오비교'!$B$12))),0)</f>
        <v/>
      </c>
      <c r="X615" s="80">
        <f>IF($I615&gt;0,MAX(0,$G615*SIN(RADIANS('13_시나리오비교'!$B$13))*SIN(RADIANS('13_시나리오비교'!$C$13))+$H615*SIN(RADIANS('13_시나리오비교'!$B$13))*COS(RADIANS('13_시나리오비교'!$C$13))+$I615*COS(RADIANS('13_시나리오비교'!$B$13))),0)</f>
        <v/>
      </c>
      <c r="Y615" s="80">
        <f>IF($I615&gt;0,MAX(0,$G615*SIN(RADIANS('13_시나리오비교'!$B$14))*SIN(RADIANS('13_시나리오비교'!$C$14))+$H615*SIN(RADIANS('13_시나리오비교'!$B$14))*COS(RADIANS('13_시나리오비교'!$C$14))+$I615*COS(RADIANS('13_시나리오비교'!$B$14))),0)</f>
        <v/>
      </c>
    </row>
    <row r="616" hidden="1" outlineLevel="1">
      <c r="A616" s="79" t="n">
        <v>7</v>
      </c>
      <c r="B616" s="79" t="n">
        <v>20</v>
      </c>
      <c r="C616" s="80">
        <f>(B616-0.5)*'14_지역·상수'!$H$6</f>
        <v/>
      </c>
      <c r="D616" s="79" t="n">
        <v>198</v>
      </c>
      <c r="E616" s="80">
        <f>INDEX($C$4:$C$15,MATCH(A616,$A$4:$A$15,0))</f>
        <v/>
      </c>
      <c r="F616" s="80">
        <f>15*(C616-12)</f>
        <v/>
      </c>
      <c r="G616" s="80">
        <f>-COS(RADIANS(E616))*SIN(RADIANS(F616))</f>
        <v/>
      </c>
      <c r="H616" s="80">
        <f>COS(RADIANS('11_발전량_모델'!$B$17))*SIN(RADIANS(E616))-SIN(RADIANS('11_발전량_모델'!$B$17))*COS(RADIANS(E616))*COS(RADIANS(F616))</f>
        <v/>
      </c>
      <c r="I616" s="80">
        <f>SIN(RADIANS('11_발전량_모델'!$B$17))*SIN(RADIANS(E616))+COS(RADIANS('11_발전량_모델'!$B$17))*COS(RADIANS(E616))*COS(RADIANS(F616))</f>
        <v/>
      </c>
      <c r="J616" s="80">
        <f>SIN(RADIANS('11_발전량_모델'!$B$7))*SIN(RADIANS('11_발전량_모델'!$B$8))</f>
        <v/>
      </c>
      <c r="K616" s="80">
        <f>SIN(RADIANS('11_발전량_모델'!$B$7))*COS(RADIANS('11_발전량_모델'!$B$8))</f>
        <v/>
      </c>
      <c r="L616" s="80">
        <f>COS(RADIANS('11_발전량_모델'!$B$7))</f>
        <v/>
      </c>
      <c r="M616" s="80">
        <f>G616*J616+H616*K616+I616*L616</f>
        <v/>
      </c>
      <c r="N616" s="80">
        <f>MAX(0,I616)</f>
        <v/>
      </c>
      <c r="O616" s="80">
        <f>IF(I616&gt;0,MAX(0,M616),0)</f>
        <v/>
      </c>
      <c r="P616" s="80">
        <f>IF($I616&gt;0,MAX(0,$G616*SIN(RADIANS('13_시나리오비교'!$B$5))*SIN(RADIANS('13_시나리오비교'!$C$5))+$H616*SIN(RADIANS('13_시나리오비교'!$B$5))*COS(RADIANS('13_시나리오비교'!$C$5))+$I616*COS(RADIANS('13_시나리오비교'!$B$5))),0)</f>
        <v/>
      </c>
      <c r="Q616" s="80">
        <f>IF($I616&gt;0,MAX(0,$G616*SIN(RADIANS('13_시나리오비교'!$B$6))*SIN(RADIANS('13_시나리오비교'!$C$6))+$H616*SIN(RADIANS('13_시나리오비교'!$B$6))*COS(RADIANS('13_시나리오비교'!$C$6))+$I616*COS(RADIANS('13_시나리오비교'!$B$6))),0)</f>
        <v/>
      </c>
      <c r="R616" s="80">
        <f>IF($I616&gt;0,MAX(0,$G616*SIN(RADIANS('13_시나리오비교'!$B$7))*SIN(RADIANS('13_시나리오비교'!$C$7))+$H616*SIN(RADIANS('13_시나리오비교'!$B$7))*COS(RADIANS('13_시나리오비교'!$C$7))+$I616*COS(RADIANS('13_시나리오비교'!$B$7))),0)</f>
        <v/>
      </c>
      <c r="S616" s="80">
        <f>IF($I616&gt;0,MAX(0,$G616*SIN(RADIANS('13_시나리오비교'!$B$8))*SIN(RADIANS('13_시나리오비교'!$C$8))+$H616*SIN(RADIANS('13_시나리오비교'!$B$8))*COS(RADIANS('13_시나리오비교'!$C$8))+$I616*COS(RADIANS('13_시나리오비교'!$B$8))),0)</f>
        <v/>
      </c>
      <c r="T616" s="80">
        <f>IF($I616&gt;0,MAX(0,$G616*SIN(RADIANS('13_시나리오비교'!$B$9))*SIN(RADIANS('13_시나리오비교'!$C$9))+$H616*SIN(RADIANS('13_시나리오비교'!$B$9))*COS(RADIANS('13_시나리오비교'!$C$9))+$I616*COS(RADIANS('13_시나리오비교'!$B$9))),0)</f>
        <v/>
      </c>
      <c r="U616" s="80">
        <f>IF($I616&gt;0,MAX(0,$G616*SIN(RADIANS('13_시나리오비교'!$B$10))*SIN(RADIANS('13_시나리오비교'!$C$10))+$H616*SIN(RADIANS('13_시나리오비교'!$B$10))*COS(RADIANS('13_시나리오비교'!$C$10))+$I616*COS(RADIANS('13_시나리오비교'!$B$10))),0)</f>
        <v/>
      </c>
      <c r="V616" s="80">
        <f>IF($I616&gt;0,MAX(0,$G616*SIN(RADIANS('13_시나리오비교'!$B$11))*SIN(RADIANS('13_시나리오비교'!$C$11))+$H616*SIN(RADIANS('13_시나리오비교'!$B$11))*COS(RADIANS('13_시나리오비교'!$C$11))+$I616*COS(RADIANS('13_시나리오비교'!$B$11))),0)</f>
        <v/>
      </c>
      <c r="W616" s="80">
        <f>IF($I616&gt;0,MAX(0,$G616*SIN(RADIANS('13_시나리오비교'!$B$12))*SIN(RADIANS('13_시나리오비교'!$C$12))+$H616*SIN(RADIANS('13_시나리오비교'!$B$12))*COS(RADIANS('13_시나리오비교'!$C$12))+$I616*COS(RADIANS('13_시나리오비교'!$B$12))),0)</f>
        <v/>
      </c>
      <c r="X616" s="80">
        <f>IF($I616&gt;0,MAX(0,$G616*SIN(RADIANS('13_시나리오비교'!$B$13))*SIN(RADIANS('13_시나리오비교'!$C$13))+$H616*SIN(RADIANS('13_시나리오비교'!$B$13))*COS(RADIANS('13_시나리오비교'!$C$13))+$I616*COS(RADIANS('13_시나리오비교'!$B$13))),0)</f>
        <v/>
      </c>
      <c r="Y616" s="80">
        <f>IF($I616&gt;0,MAX(0,$G616*SIN(RADIANS('13_시나리오비교'!$B$14))*SIN(RADIANS('13_시나리오비교'!$C$14))+$H616*SIN(RADIANS('13_시나리오비교'!$B$14))*COS(RADIANS('13_시나리오비교'!$C$14))+$I616*COS(RADIANS('13_시나리오비교'!$B$14))),0)</f>
        <v/>
      </c>
    </row>
    <row r="617" hidden="1" outlineLevel="1">
      <c r="A617" s="79" t="n">
        <v>7</v>
      </c>
      <c r="B617" s="79" t="n">
        <v>21</v>
      </c>
      <c r="C617" s="80">
        <f>(B617-0.5)*'14_지역·상수'!$H$6</f>
        <v/>
      </c>
      <c r="D617" s="79" t="n">
        <v>198</v>
      </c>
      <c r="E617" s="80">
        <f>INDEX($C$4:$C$15,MATCH(A617,$A$4:$A$15,0))</f>
        <v/>
      </c>
      <c r="F617" s="80">
        <f>15*(C617-12)</f>
        <v/>
      </c>
      <c r="G617" s="80">
        <f>-COS(RADIANS(E617))*SIN(RADIANS(F617))</f>
        <v/>
      </c>
      <c r="H617" s="80">
        <f>COS(RADIANS('11_발전량_모델'!$B$17))*SIN(RADIANS(E617))-SIN(RADIANS('11_발전량_모델'!$B$17))*COS(RADIANS(E617))*COS(RADIANS(F617))</f>
        <v/>
      </c>
      <c r="I617" s="80">
        <f>SIN(RADIANS('11_발전량_모델'!$B$17))*SIN(RADIANS(E617))+COS(RADIANS('11_발전량_모델'!$B$17))*COS(RADIANS(E617))*COS(RADIANS(F617))</f>
        <v/>
      </c>
      <c r="J617" s="80">
        <f>SIN(RADIANS('11_발전량_모델'!$B$7))*SIN(RADIANS('11_발전량_모델'!$B$8))</f>
        <v/>
      </c>
      <c r="K617" s="80">
        <f>SIN(RADIANS('11_발전량_모델'!$B$7))*COS(RADIANS('11_발전량_모델'!$B$8))</f>
        <v/>
      </c>
      <c r="L617" s="80">
        <f>COS(RADIANS('11_발전량_모델'!$B$7))</f>
        <v/>
      </c>
      <c r="M617" s="80">
        <f>G617*J617+H617*K617+I617*L617</f>
        <v/>
      </c>
      <c r="N617" s="80">
        <f>MAX(0,I617)</f>
        <v/>
      </c>
      <c r="O617" s="80">
        <f>IF(I617&gt;0,MAX(0,M617),0)</f>
        <v/>
      </c>
      <c r="P617" s="80">
        <f>IF($I617&gt;0,MAX(0,$G617*SIN(RADIANS('13_시나리오비교'!$B$5))*SIN(RADIANS('13_시나리오비교'!$C$5))+$H617*SIN(RADIANS('13_시나리오비교'!$B$5))*COS(RADIANS('13_시나리오비교'!$C$5))+$I617*COS(RADIANS('13_시나리오비교'!$B$5))),0)</f>
        <v/>
      </c>
      <c r="Q617" s="80">
        <f>IF($I617&gt;0,MAX(0,$G617*SIN(RADIANS('13_시나리오비교'!$B$6))*SIN(RADIANS('13_시나리오비교'!$C$6))+$H617*SIN(RADIANS('13_시나리오비교'!$B$6))*COS(RADIANS('13_시나리오비교'!$C$6))+$I617*COS(RADIANS('13_시나리오비교'!$B$6))),0)</f>
        <v/>
      </c>
      <c r="R617" s="80">
        <f>IF($I617&gt;0,MAX(0,$G617*SIN(RADIANS('13_시나리오비교'!$B$7))*SIN(RADIANS('13_시나리오비교'!$C$7))+$H617*SIN(RADIANS('13_시나리오비교'!$B$7))*COS(RADIANS('13_시나리오비교'!$C$7))+$I617*COS(RADIANS('13_시나리오비교'!$B$7))),0)</f>
        <v/>
      </c>
      <c r="S617" s="80">
        <f>IF($I617&gt;0,MAX(0,$G617*SIN(RADIANS('13_시나리오비교'!$B$8))*SIN(RADIANS('13_시나리오비교'!$C$8))+$H617*SIN(RADIANS('13_시나리오비교'!$B$8))*COS(RADIANS('13_시나리오비교'!$C$8))+$I617*COS(RADIANS('13_시나리오비교'!$B$8))),0)</f>
        <v/>
      </c>
      <c r="T617" s="80">
        <f>IF($I617&gt;0,MAX(0,$G617*SIN(RADIANS('13_시나리오비교'!$B$9))*SIN(RADIANS('13_시나리오비교'!$C$9))+$H617*SIN(RADIANS('13_시나리오비교'!$B$9))*COS(RADIANS('13_시나리오비교'!$C$9))+$I617*COS(RADIANS('13_시나리오비교'!$B$9))),0)</f>
        <v/>
      </c>
      <c r="U617" s="80">
        <f>IF($I617&gt;0,MAX(0,$G617*SIN(RADIANS('13_시나리오비교'!$B$10))*SIN(RADIANS('13_시나리오비교'!$C$10))+$H617*SIN(RADIANS('13_시나리오비교'!$B$10))*COS(RADIANS('13_시나리오비교'!$C$10))+$I617*COS(RADIANS('13_시나리오비교'!$B$10))),0)</f>
        <v/>
      </c>
      <c r="V617" s="80">
        <f>IF($I617&gt;0,MAX(0,$G617*SIN(RADIANS('13_시나리오비교'!$B$11))*SIN(RADIANS('13_시나리오비교'!$C$11))+$H617*SIN(RADIANS('13_시나리오비교'!$B$11))*COS(RADIANS('13_시나리오비교'!$C$11))+$I617*COS(RADIANS('13_시나리오비교'!$B$11))),0)</f>
        <v/>
      </c>
      <c r="W617" s="80">
        <f>IF($I617&gt;0,MAX(0,$G617*SIN(RADIANS('13_시나리오비교'!$B$12))*SIN(RADIANS('13_시나리오비교'!$C$12))+$H617*SIN(RADIANS('13_시나리오비교'!$B$12))*COS(RADIANS('13_시나리오비교'!$C$12))+$I617*COS(RADIANS('13_시나리오비교'!$B$12))),0)</f>
        <v/>
      </c>
      <c r="X617" s="80">
        <f>IF($I617&gt;0,MAX(0,$G617*SIN(RADIANS('13_시나리오비교'!$B$13))*SIN(RADIANS('13_시나리오비교'!$C$13))+$H617*SIN(RADIANS('13_시나리오비교'!$B$13))*COS(RADIANS('13_시나리오비교'!$C$13))+$I617*COS(RADIANS('13_시나리오비교'!$B$13))),0)</f>
        <v/>
      </c>
      <c r="Y617" s="80">
        <f>IF($I617&gt;0,MAX(0,$G617*SIN(RADIANS('13_시나리오비교'!$B$14))*SIN(RADIANS('13_시나리오비교'!$C$14))+$H617*SIN(RADIANS('13_시나리오비교'!$B$14))*COS(RADIANS('13_시나리오비교'!$C$14))+$I617*COS(RADIANS('13_시나리오비교'!$B$14))),0)</f>
        <v/>
      </c>
    </row>
    <row r="618" hidden="1" outlineLevel="1">
      <c r="A618" s="79" t="n">
        <v>7</v>
      </c>
      <c r="B618" s="79" t="n">
        <v>22</v>
      </c>
      <c r="C618" s="80">
        <f>(B618-0.5)*'14_지역·상수'!$H$6</f>
        <v/>
      </c>
      <c r="D618" s="79" t="n">
        <v>198</v>
      </c>
      <c r="E618" s="80">
        <f>INDEX($C$4:$C$15,MATCH(A618,$A$4:$A$15,0))</f>
        <v/>
      </c>
      <c r="F618" s="80">
        <f>15*(C618-12)</f>
        <v/>
      </c>
      <c r="G618" s="80">
        <f>-COS(RADIANS(E618))*SIN(RADIANS(F618))</f>
        <v/>
      </c>
      <c r="H618" s="80">
        <f>COS(RADIANS('11_발전량_모델'!$B$17))*SIN(RADIANS(E618))-SIN(RADIANS('11_발전량_모델'!$B$17))*COS(RADIANS(E618))*COS(RADIANS(F618))</f>
        <v/>
      </c>
      <c r="I618" s="80">
        <f>SIN(RADIANS('11_발전량_모델'!$B$17))*SIN(RADIANS(E618))+COS(RADIANS('11_발전량_모델'!$B$17))*COS(RADIANS(E618))*COS(RADIANS(F618))</f>
        <v/>
      </c>
      <c r="J618" s="80">
        <f>SIN(RADIANS('11_발전량_모델'!$B$7))*SIN(RADIANS('11_발전량_모델'!$B$8))</f>
        <v/>
      </c>
      <c r="K618" s="80">
        <f>SIN(RADIANS('11_발전량_모델'!$B$7))*COS(RADIANS('11_발전량_모델'!$B$8))</f>
        <v/>
      </c>
      <c r="L618" s="80">
        <f>COS(RADIANS('11_발전량_모델'!$B$7))</f>
        <v/>
      </c>
      <c r="M618" s="80">
        <f>G618*J618+H618*K618+I618*L618</f>
        <v/>
      </c>
      <c r="N618" s="80">
        <f>MAX(0,I618)</f>
        <v/>
      </c>
      <c r="O618" s="80">
        <f>IF(I618&gt;0,MAX(0,M618),0)</f>
        <v/>
      </c>
      <c r="P618" s="80">
        <f>IF($I618&gt;0,MAX(0,$G618*SIN(RADIANS('13_시나리오비교'!$B$5))*SIN(RADIANS('13_시나리오비교'!$C$5))+$H618*SIN(RADIANS('13_시나리오비교'!$B$5))*COS(RADIANS('13_시나리오비교'!$C$5))+$I618*COS(RADIANS('13_시나리오비교'!$B$5))),0)</f>
        <v/>
      </c>
      <c r="Q618" s="80">
        <f>IF($I618&gt;0,MAX(0,$G618*SIN(RADIANS('13_시나리오비교'!$B$6))*SIN(RADIANS('13_시나리오비교'!$C$6))+$H618*SIN(RADIANS('13_시나리오비교'!$B$6))*COS(RADIANS('13_시나리오비교'!$C$6))+$I618*COS(RADIANS('13_시나리오비교'!$B$6))),0)</f>
        <v/>
      </c>
      <c r="R618" s="80">
        <f>IF($I618&gt;0,MAX(0,$G618*SIN(RADIANS('13_시나리오비교'!$B$7))*SIN(RADIANS('13_시나리오비교'!$C$7))+$H618*SIN(RADIANS('13_시나리오비교'!$B$7))*COS(RADIANS('13_시나리오비교'!$C$7))+$I618*COS(RADIANS('13_시나리오비교'!$B$7))),0)</f>
        <v/>
      </c>
      <c r="S618" s="80">
        <f>IF($I618&gt;0,MAX(0,$G618*SIN(RADIANS('13_시나리오비교'!$B$8))*SIN(RADIANS('13_시나리오비교'!$C$8))+$H618*SIN(RADIANS('13_시나리오비교'!$B$8))*COS(RADIANS('13_시나리오비교'!$C$8))+$I618*COS(RADIANS('13_시나리오비교'!$B$8))),0)</f>
        <v/>
      </c>
      <c r="T618" s="80">
        <f>IF($I618&gt;0,MAX(0,$G618*SIN(RADIANS('13_시나리오비교'!$B$9))*SIN(RADIANS('13_시나리오비교'!$C$9))+$H618*SIN(RADIANS('13_시나리오비교'!$B$9))*COS(RADIANS('13_시나리오비교'!$C$9))+$I618*COS(RADIANS('13_시나리오비교'!$B$9))),0)</f>
        <v/>
      </c>
      <c r="U618" s="80">
        <f>IF($I618&gt;0,MAX(0,$G618*SIN(RADIANS('13_시나리오비교'!$B$10))*SIN(RADIANS('13_시나리오비교'!$C$10))+$H618*SIN(RADIANS('13_시나리오비교'!$B$10))*COS(RADIANS('13_시나리오비교'!$C$10))+$I618*COS(RADIANS('13_시나리오비교'!$B$10))),0)</f>
        <v/>
      </c>
      <c r="V618" s="80">
        <f>IF($I618&gt;0,MAX(0,$G618*SIN(RADIANS('13_시나리오비교'!$B$11))*SIN(RADIANS('13_시나리오비교'!$C$11))+$H618*SIN(RADIANS('13_시나리오비교'!$B$11))*COS(RADIANS('13_시나리오비교'!$C$11))+$I618*COS(RADIANS('13_시나리오비교'!$B$11))),0)</f>
        <v/>
      </c>
      <c r="W618" s="80">
        <f>IF($I618&gt;0,MAX(0,$G618*SIN(RADIANS('13_시나리오비교'!$B$12))*SIN(RADIANS('13_시나리오비교'!$C$12))+$H618*SIN(RADIANS('13_시나리오비교'!$B$12))*COS(RADIANS('13_시나리오비교'!$C$12))+$I618*COS(RADIANS('13_시나리오비교'!$B$12))),0)</f>
        <v/>
      </c>
      <c r="X618" s="80">
        <f>IF($I618&gt;0,MAX(0,$G618*SIN(RADIANS('13_시나리오비교'!$B$13))*SIN(RADIANS('13_시나리오비교'!$C$13))+$H618*SIN(RADIANS('13_시나리오비교'!$B$13))*COS(RADIANS('13_시나리오비교'!$C$13))+$I618*COS(RADIANS('13_시나리오비교'!$B$13))),0)</f>
        <v/>
      </c>
      <c r="Y618" s="80">
        <f>IF($I618&gt;0,MAX(0,$G618*SIN(RADIANS('13_시나리오비교'!$B$14))*SIN(RADIANS('13_시나리오비교'!$C$14))+$H618*SIN(RADIANS('13_시나리오비교'!$B$14))*COS(RADIANS('13_시나리오비교'!$C$14))+$I618*COS(RADIANS('13_시나리오비교'!$B$14))),0)</f>
        <v/>
      </c>
    </row>
    <row r="619" hidden="1" outlineLevel="1">
      <c r="A619" s="79" t="n">
        <v>7</v>
      </c>
      <c r="B619" s="79" t="n">
        <v>23</v>
      </c>
      <c r="C619" s="80">
        <f>(B619-0.5)*'14_지역·상수'!$H$6</f>
        <v/>
      </c>
      <c r="D619" s="79" t="n">
        <v>198</v>
      </c>
      <c r="E619" s="80">
        <f>INDEX($C$4:$C$15,MATCH(A619,$A$4:$A$15,0))</f>
        <v/>
      </c>
      <c r="F619" s="80">
        <f>15*(C619-12)</f>
        <v/>
      </c>
      <c r="G619" s="80">
        <f>-COS(RADIANS(E619))*SIN(RADIANS(F619))</f>
        <v/>
      </c>
      <c r="H619" s="80">
        <f>COS(RADIANS('11_발전량_모델'!$B$17))*SIN(RADIANS(E619))-SIN(RADIANS('11_발전량_모델'!$B$17))*COS(RADIANS(E619))*COS(RADIANS(F619))</f>
        <v/>
      </c>
      <c r="I619" s="80">
        <f>SIN(RADIANS('11_발전량_모델'!$B$17))*SIN(RADIANS(E619))+COS(RADIANS('11_발전량_모델'!$B$17))*COS(RADIANS(E619))*COS(RADIANS(F619))</f>
        <v/>
      </c>
      <c r="J619" s="80">
        <f>SIN(RADIANS('11_발전량_모델'!$B$7))*SIN(RADIANS('11_발전량_모델'!$B$8))</f>
        <v/>
      </c>
      <c r="K619" s="80">
        <f>SIN(RADIANS('11_발전량_모델'!$B$7))*COS(RADIANS('11_발전량_모델'!$B$8))</f>
        <v/>
      </c>
      <c r="L619" s="80">
        <f>COS(RADIANS('11_발전량_모델'!$B$7))</f>
        <v/>
      </c>
      <c r="M619" s="80">
        <f>G619*J619+H619*K619+I619*L619</f>
        <v/>
      </c>
      <c r="N619" s="80">
        <f>MAX(0,I619)</f>
        <v/>
      </c>
      <c r="O619" s="80">
        <f>IF(I619&gt;0,MAX(0,M619),0)</f>
        <v/>
      </c>
      <c r="P619" s="80">
        <f>IF($I619&gt;0,MAX(0,$G619*SIN(RADIANS('13_시나리오비교'!$B$5))*SIN(RADIANS('13_시나리오비교'!$C$5))+$H619*SIN(RADIANS('13_시나리오비교'!$B$5))*COS(RADIANS('13_시나리오비교'!$C$5))+$I619*COS(RADIANS('13_시나리오비교'!$B$5))),0)</f>
        <v/>
      </c>
      <c r="Q619" s="80">
        <f>IF($I619&gt;0,MAX(0,$G619*SIN(RADIANS('13_시나리오비교'!$B$6))*SIN(RADIANS('13_시나리오비교'!$C$6))+$H619*SIN(RADIANS('13_시나리오비교'!$B$6))*COS(RADIANS('13_시나리오비교'!$C$6))+$I619*COS(RADIANS('13_시나리오비교'!$B$6))),0)</f>
        <v/>
      </c>
      <c r="R619" s="80">
        <f>IF($I619&gt;0,MAX(0,$G619*SIN(RADIANS('13_시나리오비교'!$B$7))*SIN(RADIANS('13_시나리오비교'!$C$7))+$H619*SIN(RADIANS('13_시나리오비교'!$B$7))*COS(RADIANS('13_시나리오비교'!$C$7))+$I619*COS(RADIANS('13_시나리오비교'!$B$7))),0)</f>
        <v/>
      </c>
      <c r="S619" s="80">
        <f>IF($I619&gt;0,MAX(0,$G619*SIN(RADIANS('13_시나리오비교'!$B$8))*SIN(RADIANS('13_시나리오비교'!$C$8))+$H619*SIN(RADIANS('13_시나리오비교'!$B$8))*COS(RADIANS('13_시나리오비교'!$C$8))+$I619*COS(RADIANS('13_시나리오비교'!$B$8))),0)</f>
        <v/>
      </c>
      <c r="T619" s="80">
        <f>IF($I619&gt;0,MAX(0,$G619*SIN(RADIANS('13_시나리오비교'!$B$9))*SIN(RADIANS('13_시나리오비교'!$C$9))+$H619*SIN(RADIANS('13_시나리오비교'!$B$9))*COS(RADIANS('13_시나리오비교'!$C$9))+$I619*COS(RADIANS('13_시나리오비교'!$B$9))),0)</f>
        <v/>
      </c>
      <c r="U619" s="80">
        <f>IF($I619&gt;0,MAX(0,$G619*SIN(RADIANS('13_시나리오비교'!$B$10))*SIN(RADIANS('13_시나리오비교'!$C$10))+$H619*SIN(RADIANS('13_시나리오비교'!$B$10))*COS(RADIANS('13_시나리오비교'!$C$10))+$I619*COS(RADIANS('13_시나리오비교'!$B$10))),0)</f>
        <v/>
      </c>
      <c r="V619" s="80">
        <f>IF($I619&gt;0,MAX(0,$G619*SIN(RADIANS('13_시나리오비교'!$B$11))*SIN(RADIANS('13_시나리오비교'!$C$11))+$H619*SIN(RADIANS('13_시나리오비교'!$B$11))*COS(RADIANS('13_시나리오비교'!$C$11))+$I619*COS(RADIANS('13_시나리오비교'!$B$11))),0)</f>
        <v/>
      </c>
      <c r="W619" s="80">
        <f>IF($I619&gt;0,MAX(0,$G619*SIN(RADIANS('13_시나리오비교'!$B$12))*SIN(RADIANS('13_시나리오비교'!$C$12))+$H619*SIN(RADIANS('13_시나리오비교'!$B$12))*COS(RADIANS('13_시나리오비교'!$C$12))+$I619*COS(RADIANS('13_시나리오비교'!$B$12))),0)</f>
        <v/>
      </c>
      <c r="X619" s="80">
        <f>IF($I619&gt;0,MAX(0,$G619*SIN(RADIANS('13_시나리오비교'!$B$13))*SIN(RADIANS('13_시나리오비교'!$C$13))+$H619*SIN(RADIANS('13_시나리오비교'!$B$13))*COS(RADIANS('13_시나리오비교'!$C$13))+$I619*COS(RADIANS('13_시나리오비교'!$B$13))),0)</f>
        <v/>
      </c>
      <c r="Y619" s="80">
        <f>IF($I619&gt;0,MAX(0,$G619*SIN(RADIANS('13_시나리오비교'!$B$14))*SIN(RADIANS('13_시나리오비교'!$C$14))+$H619*SIN(RADIANS('13_시나리오비교'!$B$14))*COS(RADIANS('13_시나리오비교'!$C$14))+$I619*COS(RADIANS('13_시나리오비교'!$B$14))),0)</f>
        <v/>
      </c>
    </row>
    <row r="620" hidden="1" outlineLevel="1">
      <c r="A620" s="79" t="n">
        <v>7</v>
      </c>
      <c r="B620" s="79" t="n">
        <v>24</v>
      </c>
      <c r="C620" s="80">
        <f>(B620-0.5)*'14_지역·상수'!$H$6</f>
        <v/>
      </c>
      <c r="D620" s="79" t="n">
        <v>198</v>
      </c>
      <c r="E620" s="80">
        <f>INDEX($C$4:$C$15,MATCH(A620,$A$4:$A$15,0))</f>
        <v/>
      </c>
      <c r="F620" s="80">
        <f>15*(C620-12)</f>
        <v/>
      </c>
      <c r="G620" s="80">
        <f>-COS(RADIANS(E620))*SIN(RADIANS(F620))</f>
        <v/>
      </c>
      <c r="H620" s="80">
        <f>COS(RADIANS('11_발전량_모델'!$B$17))*SIN(RADIANS(E620))-SIN(RADIANS('11_발전량_모델'!$B$17))*COS(RADIANS(E620))*COS(RADIANS(F620))</f>
        <v/>
      </c>
      <c r="I620" s="80">
        <f>SIN(RADIANS('11_발전량_모델'!$B$17))*SIN(RADIANS(E620))+COS(RADIANS('11_발전량_모델'!$B$17))*COS(RADIANS(E620))*COS(RADIANS(F620))</f>
        <v/>
      </c>
      <c r="J620" s="80">
        <f>SIN(RADIANS('11_발전량_모델'!$B$7))*SIN(RADIANS('11_발전량_모델'!$B$8))</f>
        <v/>
      </c>
      <c r="K620" s="80">
        <f>SIN(RADIANS('11_발전량_모델'!$B$7))*COS(RADIANS('11_발전량_모델'!$B$8))</f>
        <v/>
      </c>
      <c r="L620" s="80">
        <f>COS(RADIANS('11_발전량_모델'!$B$7))</f>
        <v/>
      </c>
      <c r="M620" s="80">
        <f>G620*J620+H620*K620+I620*L620</f>
        <v/>
      </c>
      <c r="N620" s="80">
        <f>MAX(0,I620)</f>
        <v/>
      </c>
      <c r="O620" s="80">
        <f>IF(I620&gt;0,MAX(0,M620),0)</f>
        <v/>
      </c>
      <c r="P620" s="80">
        <f>IF($I620&gt;0,MAX(0,$G620*SIN(RADIANS('13_시나리오비교'!$B$5))*SIN(RADIANS('13_시나리오비교'!$C$5))+$H620*SIN(RADIANS('13_시나리오비교'!$B$5))*COS(RADIANS('13_시나리오비교'!$C$5))+$I620*COS(RADIANS('13_시나리오비교'!$B$5))),0)</f>
        <v/>
      </c>
      <c r="Q620" s="80">
        <f>IF($I620&gt;0,MAX(0,$G620*SIN(RADIANS('13_시나리오비교'!$B$6))*SIN(RADIANS('13_시나리오비교'!$C$6))+$H620*SIN(RADIANS('13_시나리오비교'!$B$6))*COS(RADIANS('13_시나리오비교'!$C$6))+$I620*COS(RADIANS('13_시나리오비교'!$B$6))),0)</f>
        <v/>
      </c>
      <c r="R620" s="80">
        <f>IF($I620&gt;0,MAX(0,$G620*SIN(RADIANS('13_시나리오비교'!$B$7))*SIN(RADIANS('13_시나리오비교'!$C$7))+$H620*SIN(RADIANS('13_시나리오비교'!$B$7))*COS(RADIANS('13_시나리오비교'!$C$7))+$I620*COS(RADIANS('13_시나리오비교'!$B$7))),0)</f>
        <v/>
      </c>
      <c r="S620" s="80">
        <f>IF($I620&gt;0,MAX(0,$G620*SIN(RADIANS('13_시나리오비교'!$B$8))*SIN(RADIANS('13_시나리오비교'!$C$8))+$H620*SIN(RADIANS('13_시나리오비교'!$B$8))*COS(RADIANS('13_시나리오비교'!$C$8))+$I620*COS(RADIANS('13_시나리오비교'!$B$8))),0)</f>
        <v/>
      </c>
      <c r="T620" s="80">
        <f>IF($I620&gt;0,MAX(0,$G620*SIN(RADIANS('13_시나리오비교'!$B$9))*SIN(RADIANS('13_시나리오비교'!$C$9))+$H620*SIN(RADIANS('13_시나리오비교'!$B$9))*COS(RADIANS('13_시나리오비교'!$C$9))+$I620*COS(RADIANS('13_시나리오비교'!$B$9))),0)</f>
        <v/>
      </c>
      <c r="U620" s="80">
        <f>IF($I620&gt;0,MAX(0,$G620*SIN(RADIANS('13_시나리오비교'!$B$10))*SIN(RADIANS('13_시나리오비교'!$C$10))+$H620*SIN(RADIANS('13_시나리오비교'!$B$10))*COS(RADIANS('13_시나리오비교'!$C$10))+$I620*COS(RADIANS('13_시나리오비교'!$B$10))),0)</f>
        <v/>
      </c>
      <c r="V620" s="80">
        <f>IF($I620&gt;0,MAX(0,$G620*SIN(RADIANS('13_시나리오비교'!$B$11))*SIN(RADIANS('13_시나리오비교'!$C$11))+$H620*SIN(RADIANS('13_시나리오비교'!$B$11))*COS(RADIANS('13_시나리오비교'!$C$11))+$I620*COS(RADIANS('13_시나리오비교'!$B$11))),0)</f>
        <v/>
      </c>
      <c r="W620" s="80">
        <f>IF($I620&gt;0,MAX(0,$G620*SIN(RADIANS('13_시나리오비교'!$B$12))*SIN(RADIANS('13_시나리오비교'!$C$12))+$H620*SIN(RADIANS('13_시나리오비교'!$B$12))*COS(RADIANS('13_시나리오비교'!$C$12))+$I620*COS(RADIANS('13_시나리오비교'!$B$12))),0)</f>
        <v/>
      </c>
      <c r="X620" s="80">
        <f>IF($I620&gt;0,MAX(0,$G620*SIN(RADIANS('13_시나리오비교'!$B$13))*SIN(RADIANS('13_시나리오비교'!$C$13))+$H620*SIN(RADIANS('13_시나리오비교'!$B$13))*COS(RADIANS('13_시나리오비교'!$C$13))+$I620*COS(RADIANS('13_시나리오비교'!$B$13))),0)</f>
        <v/>
      </c>
      <c r="Y620" s="80">
        <f>IF($I620&gt;0,MAX(0,$G620*SIN(RADIANS('13_시나리오비교'!$B$14))*SIN(RADIANS('13_시나리오비교'!$C$14))+$H620*SIN(RADIANS('13_시나리오비교'!$B$14))*COS(RADIANS('13_시나리오비교'!$C$14))+$I620*COS(RADIANS('13_시나리오비교'!$B$14))),0)</f>
        <v/>
      </c>
    </row>
    <row r="621" hidden="1" outlineLevel="1">
      <c r="A621" s="79" t="n">
        <v>7</v>
      </c>
      <c r="B621" s="79" t="n">
        <v>25</v>
      </c>
      <c r="C621" s="80">
        <f>(B621-0.5)*'14_지역·상수'!$H$6</f>
        <v/>
      </c>
      <c r="D621" s="79" t="n">
        <v>198</v>
      </c>
      <c r="E621" s="80">
        <f>INDEX($C$4:$C$15,MATCH(A621,$A$4:$A$15,0))</f>
        <v/>
      </c>
      <c r="F621" s="80">
        <f>15*(C621-12)</f>
        <v/>
      </c>
      <c r="G621" s="80">
        <f>-COS(RADIANS(E621))*SIN(RADIANS(F621))</f>
        <v/>
      </c>
      <c r="H621" s="80">
        <f>COS(RADIANS('11_발전량_모델'!$B$17))*SIN(RADIANS(E621))-SIN(RADIANS('11_발전량_모델'!$B$17))*COS(RADIANS(E621))*COS(RADIANS(F621))</f>
        <v/>
      </c>
      <c r="I621" s="80">
        <f>SIN(RADIANS('11_발전량_모델'!$B$17))*SIN(RADIANS(E621))+COS(RADIANS('11_발전량_모델'!$B$17))*COS(RADIANS(E621))*COS(RADIANS(F621))</f>
        <v/>
      </c>
      <c r="J621" s="80">
        <f>SIN(RADIANS('11_발전량_모델'!$B$7))*SIN(RADIANS('11_발전량_모델'!$B$8))</f>
        <v/>
      </c>
      <c r="K621" s="80">
        <f>SIN(RADIANS('11_발전량_모델'!$B$7))*COS(RADIANS('11_발전량_모델'!$B$8))</f>
        <v/>
      </c>
      <c r="L621" s="80">
        <f>COS(RADIANS('11_발전량_모델'!$B$7))</f>
        <v/>
      </c>
      <c r="M621" s="80">
        <f>G621*J621+H621*K621+I621*L621</f>
        <v/>
      </c>
      <c r="N621" s="80">
        <f>MAX(0,I621)</f>
        <v/>
      </c>
      <c r="O621" s="80">
        <f>IF(I621&gt;0,MAX(0,M621),0)</f>
        <v/>
      </c>
      <c r="P621" s="80">
        <f>IF($I621&gt;0,MAX(0,$G621*SIN(RADIANS('13_시나리오비교'!$B$5))*SIN(RADIANS('13_시나리오비교'!$C$5))+$H621*SIN(RADIANS('13_시나리오비교'!$B$5))*COS(RADIANS('13_시나리오비교'!$C$5))+$I621*COS(RADIANS('13_시나리오비교'!$B$5))),0)</f>
        <v/>
      </c>
      <c r="Q621" s="80">
        <f>IF($I621&gt;0,MAX(0,$G621*SIN(RADIANS('13_시나리오비교'!$B$6))*SIN(RADIANS('13_시나리오비교'!$C$6))+$H621*SIN(RADIANS('13_시나리오비교'!$B$6))*COS(RADIANS('13_시나리오비교'!$C$6))+$I621*COS(RADIANS('13_시나리오비교'!$B$6))),0)</f>
        <v/>
      </c>
      <c r="R621" s="80">
        <f>IF($I621&gt;0,MAX(0,$G621*SIN(RADIANS('13_시나리오비교'!$B$7))*SIN(RADIANS('13_시나리오비교'!$C$7))+$H621*SIN(RADIANS('13_시나리오비교'!$B$7))*COS(RADIANS('13_시나리오비교'!$C$7))+$I621*COS(RADIANS('13_시나리오비교'!$B$7))),0)</f>
        <v/>
      </c>
      <c r="S621" s="80">
        <f>IF($I621&gt;0,MAX(0,$G621*SIN(RADIANS('13_시나리오비교'!$B$8))*SIN(RADIANS('13_시나리오비교'!$C$8))+$H621*SIN(RADIANS('13_시나리오비교'!$B$8))*COS(RADIANS('13_시나리오비교'!$C$8))+$I621*COS(RADIANS('13_시나리오비교'!$B$8))),0)</f>
        <v/>
      </c>
      <c r="T621" s="80">
        <f>IF($I621&gt;0,MAX(0,$G621*SIN(RADIANS('13_시나리오비교'!$B$9))*SIN(RADIANS('13_시나리오비교'!$C$9))+$H621*SIN(RADIANS('13_시나리오비교'!$B$9))*COS(RADIANS('13_시나리오비교'!$C$9))+$I621*COS(RADIANS('13_시나리오비교'!$B$9))),0)</f>
        <v/>
      </c>
      <c r="U621" s="80">
        <f>IF($I621&gt;0,MAX(0,$G621*SIN(RADIANS('13_시나리오비교'!$B$10))*SIN(RADIANS('13_시나리오비교'!$C$10))+$H621*SIN(RADIANS('13_시나리오비교'!$B$10))*COS(RADIANS('13_시나리오비교'!$C$10))+$I621*COS(RADIANS('13_시나리오비교'!$B$10))),0)</f>
        <v/>
      </c>
      <c r="V621" s="80">
        <f>IF($I621&gt;0,MAX(0,$G621*SIN(RADIANS('13_시나리오비교'!$B$11))*SIN(RADIANS('13_시나리오비교'!$C$11))+$H621*SIN(RADIANS('13_시나리오비교'!$B$11))*COS(RADIANS('13_시나리오비교'!$C$11))+$I621*COS(RADIANS('13_시나리오비교'!$B$11))),0)</f>
        <v/>
      </c>
      <c r="W621" s="80">
        <f>IF($I621&gt;0,MAX(0,$G621*SIN(RADIANS('13_시나리오비교'!$B$12))*SIN(RADIANS('13_시나리오비교'!$C$12))+$H621*SIN(RADIANS('13_시나리오비교'!$B$12))*COS(RADIANS('13_시나리오비교'!$C$12))+$I621*COS(RADIANS('13_시나리오비교'!$B$12))),0)</f>
        <v/>
      </c>
      <c r="X621" s="80">
        <f>IF($I621&gt;0,MAX(0,$G621*SIN(RADIANS('13_시나리오비교'!$B$13))*SIN(RADIANS('13_시나리오비교'!$C$13))+$H621*SIN(RADIANS('13_시나리오비교'!$B$13))*COS(RADIANS('13_시나리오비교'!$C$13))+$I621*COS(RADIANS('13_시나리오비교'!$B$13))),0)</f>
        <v/>
      </c>
      <c r="Y621" s="80">
        <f>IF($I621&gt;0,MAX(0,$G621*SIN(RADIANS('13_시나리오비교'!$B$14))*SIN(RADIANS('13_시나리오비교'!$C$14))+$H621*SIN(RADIANS('13_시나리오비교'!$B$14))*COS(RADIANS('13_시나리오비교'!$C$14))+$I621*COS(RADIANS('13_시나리오비교'!$B$14))),0)</f>
        <v/>
      </c>
    </row>
    <row r="622" hidden="1" outlineLevel="1">
      <c r="A622" s="79" t="n">
        <v>7</v>
      </c>
      <c r="B622" s="79" t="n">
        <v>26</v>
      </c>
      <c r="C622" s="80">
        <f>(B622-0.5)*'14_지역·상수'!$H$6</f>
        <v/>
      </c>
      <c r="D622" s="79" t="n">
        <v>198</v>
      </c>
      <c r="E622" s="80">
        <f>INDEX($C$4:$C$15,MATCH(A622,$A$4:$A$15,0))</f>
        <v/>
      </c>
      <c r="F622" s="80">
        <f>15*(C622-12)</f>
        <v/>
      </c>
      <c r="G622" s="80">
        <f>-COS(RADIANS(E622))*SIN(RADIANS(F622))</f>
        <v/>
      </c>
      <c r="H622" s="80">
        <f>COS(RADIANS('11_발전량_모델'!$B$17))*SIN(RADIANS(E622))-SIN(RADIANS('11_발전량_모델'!$B$17))*COS(RADIANS(E622))*COS(RADIANS(F622))</f>
        <v/>
      </c>
      <c r="I622" s="80">
        <f>SIN(RADIANS('11_발전량_모델'!$B$17))*SIN(RADIANS(E622))+COS(RADIANS('11_발전량_모델'!$B$17))*COS(RADIANS(E622))*COS(RADIANS(F622))</f>
        <v/>
      </c>
      <c r="J622" s="80">
        <f>SIN(RADIANS('11_발전량_모델'!$B$7))*SIN(RADIANS('11_발전량_모델'!$B$8))</f>
        <v/>
      </c>
      <c r="K622" s="80">
        <f>SIN(RADIANS('11_발전량_모델'!$B$7))*COS(RADIANS('11_발전량_모델'!$B$8))</f>
        <v/>
      </c>
      <c r="L622" s="80">
        <f>COS(RADIANS('11_발전량_모델'!$B$7))</f>
        <v/>
      </c>
      <c r="M622" s="80">
        <f>G622*J622+H622*K622+I622*L622</f>
        <v/>
      </c>
      <c r="N622" s="80">
        <f>MAX(0,I622)</f>
        <v/>
      </c>
      <c r="O622" s="80">
        <f>IF(I622&gt;0,MAX(0,M622),0)</f>
        <v/>
      </c>
      <c r="P622" s="80">
        <f>IF($I622&gt;0,MAX(0,$G622*SIN(RADIANS('13_시나리오비교'!$B$5))*SIN(RADIANS('13_시나리오비교'!$C$5))+$H622*SIN(RADIANS('13_시나리오비교'!$B$5))*COS(RADIANS('13_시나리오비교'!$C$5))+$I622*COS(RADIANS('13_시나리오비교'!$B$5))),0)</f>
        <v/>
      </c>
      <c r="Q622" s="80">
        <f>IF($I622&gt;0,MAX(0,$G622*SIN(RADIANS('13_시나리오비교'!$B$6))*SIN(RADIANS('13_시나리오비교'!$C$6))+$H622*SIN(RADIANS('13_시나리오비교'!$B$6))*COS(RADIANS('13_시나리오비교'!$C$6))+$I622*COS(RADIANS('13_시나리오비교'!$B$6))),0)</f>
        <v/>
      </c>
      <c r="R622" s="80">
        <f>IF($I622&gt;0,MAX(0,$G622*SIN(RADIANS('13_시나리오비교'!$B$7))*SIN(RADIANS('13_시나리오비교'!$C$7))+$H622*SIN(RADIANS('13_시나리오비교'!$B$7))*COS(RADIANS('13_시나리오비교'!$C$7))+$I622*COS(RADIANS('13_시나리오비교'!$B$7))),0)</f>
        <v/>
      </c>
      <c r="S622" s="80">
        <f>IF($I622&gt;0,MAX(0,$G622*SIN(RADIANS('13_시나리오비교'!$B$8))*SIN(RADIANS('13_시나리오비교'!$C$8))+$H622*SIN(RADIANS('13_시나리오비교'!$B$8))*COS(RADIANS('13_시나리오비교'!$C$8))+$I622*COS(RADIANS('13_시나리오비교'!$B$8))),0)</f>
        <v/>
      </c>
      <c r="T622" s="80">
        <f>IF($I622&gt;0,MAX(0,$G622*SIN(RADIANS('13_시나리오비교'!$B$9))*SIN(RADIANS('13_시나리오비교'!$C$9))+$H622*SIN(RADIANS('13_시나리오비교'!$B$9))*COS(RADIANS('13_시나리오비교'!$C$9))+$I622*COS(RADIANS('13_시나리오비교'!$B$9))),0)</f>
        <v/>
      </c>
      <c r="U622" s="80">
        <f>IF($I622&gt;0,MAX(0,$G622*SIN(RADIANS('13_시나리오비교'!$B$10))*SIN(RADIANS('13_시나리오비교'!$C$10))+$H622*SIN(RADIANS('13_시나리오비교'!$B$10))*COS(RADIANS('13_시나리오비교'!$C$10))+$I622*COS(RADIANS('13_시나리오비교'!$B$10))),0)</f>
        <v/>
      </c>
      <c r="V622" s="80">
        <f>IF($I622&gt;0,MAX(0,$G622*SIN(RADIANS('13_시나리오비교'!$B$11))*SIN(RADIANS('13_시나리오비교'!$C$11))+$H622*SIN(RADIANS('13_시나리오비교'!$B$11))*COS(RADIANS('13_시나리오비교'!$C$11))+$I622*COS(RADIANS('13_시나리오비교'!$B$11))),0)</f>
        <v/>
      </c>
      <c r="W622" s="80">
        <f>IF($I622&gt;0,MAX(0,$G622*SIN(RADIANS('13_시나리오비교'!$B$12))*SIN(RADIANS('13_시나리오비교'!$C$12))+$H622*SIN(RADIANS('13_시나리오비교'!$B$12))*COS(RADIANS('13_시나리오비교'!$C$12))+$I622*COS(RADIANS('13_시나리오비교'!$B$12))),0)</f>
        <v/>
      </c>
      <c r="X622" s="80">
        <f>IF($I622&gt;0,MAX(0,$G622*SIN(RADIANS('13_시나리오비교'!$B$13))*SIN(RADIANS('13_시나리오비교'!$C$13))+$H622*SIN(RADIANS('13_시나리오비교'!$B$13))*COS(RADIANS('13_시나리오비교'!$C$13))+$I622*COS(RADIANS('13_시나리오비교'!$B$13))),0)</f>
        <v/>
      </c>
      <c r="Y622" s="80">
        <f>IF($I622&gt;0,MAX(0,$G622*SIN(RADIANS('13_시나리오비교'!$B$14))*SIN(RADIANS('13_시나리오비교'!$C$14))+$H622*SIN(RADIANS('13_시나리오비교'!$B$14))*COS(RADIANS('13_시나리오비교'!$C$14))+$I622*COS(RADIANS('13_시나리오비교'!$B$14))),0)</f>
        <v/>
      </c>
    </row>
    <row r="623" hidden="1" outlineLevel="1">
      <c r="A623" s="79" t="n">
        <v>7</v>
      </c>
      <c r="B623" s="79" t="n">
        <v>27</v>
      </c>
      <c r="C623" s="80">
        <f>(B623-0.5)*'14_지역·상수'!$H$6</f>
        <v/>
      </c>
      <c r="D623" s="79" t="n">
        <v>198</v>
      </c>
      <c r="E623" s="80">
        <f>INDEX($C$4:$C$15,MATCH(A623,$A$4:$A$15,0))</f>
        <v/>
      </c>
      <c r="F623" s="80">
        <f>15*(C623-12)</f>
        <v/>
      </c>
      <c r="G623" s="80">
        <f>-COS(RADIANS(E623))*SIN(RADIANS(F623))</f>
        <v/>
      </c>
      <c r="H623" s="80">
        <f>COS(RADIANS('11_발전량_모델'!$B$17))*SIN(RADIANS(E623))-SIN(RADIANS('11_발전량_모델'!$B$17))*COS(RADIANS(E623))*COS(RADIANS(F623))</f>
        <v/>
      </c>
      <c r="I623" s="80">
        <f>SIN(RADIANS('11_발전량_모델'!$B$17))*SIN(RADIANS(E623))+COS(RADIANS('11_발전량_모델'!$B$17))*COS(RADIANS(E623))*COS(RADIANS(F623))</f>
        <v/>
      </c>
      <c r="J623" s="80">
        <f>SIN(RADIANS('11_발전량_모델'!$B$7))*SIN(RADIANS('11_발전량_모델'!$B$8))</f>
        <v/>
      </c>
      <c r="K623" s="80">
        <f>SIN(RADIANS('11_발전량_모델'!$B$7))*COS(RADIANS('11_발전량_모델'!$B$8))</f>
        <v/>
      </c>
      <c r="L623" s="80">
        <f>COS(RADIANS('11_발전량_모델'!$B$7))</f>
        <v/>
      </c>
      <c r="M623" s="80">
        <f>G623*J623+H623*K623+I623*L623</f>
        <v/>
      </c>
      <c r="N623" s="80">
        <f>MAX(0,I623)</f>
        <v/>
      </c>
      <c r="O623" s="80">
        <f>IF(I623&gt;0,MAX(0,M623),0)</f>
        <v/>
      </c>
      <c r="P623" s="80">
        <f>IF($I623&gt;0,MAX(0,$G623*SIN(RADIANS('13_시나리오비교'!$B$5))*SIN(RADIANS('13_시나리오비교'!$C$5))+$H623*SIN(RADIANS('13_시나리오비교'!$B$5))*COS(RADIANS('13_시나리오비교'!$C$5))+$I623*COS(RADIANS('13_시나리오비교'!$B$5))),0)</f>
        <v/>
      </c>
      <c r="Q623" s="80">
        <f>IF($I623&gt;0,MAX(0,$G623*SIN(RADIANS('13_시나리오비교'!$B$6))*SIN(RADIANS('13_시나리오비교'!$C$6))+$H623*SIN(RADIANS('13_시나리오비교'!$B$6))*COS(RADIANS('13_시나리오비교'!$C$6))+$I623*COS(RADIANS('13_시나리오비교'!$B$6))),0)</f>
        <v/>
      </c>
      <c r="R623" s="80">
        <f>IF($I623&gt;0,MAX(0,$G623*SIN(RADIANS('13_시나리오비교'!$B$7))*SIN(RADIANS('13_시나리오비교'!$C$7))+$H623*SIN(RADIANS('13_시나리오비교'!$B$7))*COS(RADIANS('13_시나리오비교'!$C$7))+$I623*COS(RADIANS('13_시나리오비교'!$B$7))),0)</f>
        <v/>
      </c>
      <c r="S623" s="80">
        <f>IF($I623&gt;0,MAX(0,$G623*SIN(RADIANS('13_시나리오비교'!$B$8))*SIN(RADIANS('13_시나리오비교'!$C$8))+$H623*SIN(RADIANS('13_시나리오비교'!$B$8))*COS(RADIANS('13_시나리오비교'!$C$8))+$I623*COS(RADIANS('13_시나리오비교'!$B$8))),0)</f>
        <v/>
      </c>
      <c r="T623" s="80">
        <f>IF($I623&gt;0,MAX(0,$G623*SIN(RADIANS('13_시나리오비교'!$B$9))*SIN(RADIANS('13_시나리오비교'!$C$9))+$H623*SIN(RADIANS('13_시나리오비교'!$B$9))*COS(RADIANS('13_시나리오비교'!$C$9))+$I623*COS(RADIANS('13_시나리오비교'!$B$9))),0)</f>
        <v/>
      </c>
      <c r="U623" s="80">
        <f>IF($I623&gt;0,MAX(0,$G623*SIN(RADIANS('13_시나리오비교'!$B$10))*SIN(RADIANS('13_시나리오비교'!$C$10))+$H623*SIN(RADIANS('13_시나리오비교'!$B$10))*COS(RADIANS('13_시나리오비교'!$C$10))+$I623*COS(RADIANS('13_시나리오비교'!$B$10))),0)</f>
        <v/>
      </c>
      <c r="V623" s="80">
        <f>IF($I623&gt;0,MAX(0,$G623*SIN(RADIANS('13_시나리오비교'!$B$11))*SIN(RADIANS('13_시나리오비교'!$C$11))+$H623*SIN(RADIANS('13_시나리오비교'!$B$11))*COS(RADIANS('13_시나리오비교'!$C$11))+$I623*COS(RADIANS('13_시나리오비교'!$B$11))),0)</f>
        <v/>
      </c>
      <c r="W623" s="80">
        <f>IF($I623&gt;0,MAX(0,$G623*SIN(RADIANS('13_시나리오비교'!$B$12))*SIN(RADIANS('13_시나리오비교'!$C$12))+$H623*SIN(RADIANS('13_시나리오비교'!$B$12))*COS(RADIANS('13_시나리오비교'!$C$12))+$I623*COS(RADIANS('13_시나리오비교'!$B$12))),0)</f>
        <v/>
      </c>
      <c r="X623" s="80">
        <f>IF($I623&gt;0,MAX(0,$G623*SIN(RADIANS('13_시나리오비교'!$B$13))*SIN(RADIANS('13_시나리오비교'!$C$13))+$H623*SIN(RADIANS('13_시나리오비교'!$B$13))*COS(RADIANS('13_시나리오비교'!$C$13))+$I623*COS(RADIANS('13_시나리오비교'!$B$13))),0)</f>
        <v/>
      </c>
      <c r="Y623" s="80">
        <f>IF($I623&gt;0,MAX(0,$G623*SIN(RADIANS('13_시나리오비교'!$B$14))*SIN(RADIANS('13_시나리오비교'!$C$14))+$H623*SIN(RADIANS('13_시나리오비교'!$B$14))*COS(RADIANS('13_시나리오비교'!$C$14))+$I623*COS(RADIANS('13_시나리오비교'!$B$14))),0)</f>
        <v/>
      </c>
    </row>
    <row r="624" hidden="1" outlineLevel="1">
      <c r="A624" s="79" t="n">
        <v>7</v>
      </c>
      <c r="B624" s="79" t="n">
        <v>28</v>
      </c>
      <c r="C624" s="80">
        <f>(B624-0.5)*'14_지역·상수'!$H$6</f>
        <v/>
      </c>
      <c r="D624" s="79" t="n">
        <v>198</v>
      </c>
      <c r="E624" s="80">
        <f>INDEX($C$4:$C$15,MATCH(A624,$A$4:$A$15,0))</f>
        <v/>
      </c>
      <c r="F624" s="80">
        <f>15*(C624-12)</f>
        <v/>
      </c>
      <c r="G624" s="80">
        <f>-COS(RADIANS(E624))*SIN(RADIANS(F624))</f>
        <v/>
      </c>
      <c r="H624" s="80">
        <f>COS(RADIANS('11_발전량_모델'!$B$17))*SIN(RADIANS(E624))-SIN(RADIANS('11_발전량_모델'!$B$17))*COS(RADIANS(E624))*COS(RADIANS(F624))</f>
        <v/>
      </c>
      <c r="I624" s="80">
        <f>SIN(RADIANS('11_발전량_모델'!$B$17))*SIN(RADIANS(E624))+COS(RADIANS('11_발전량_모델'!$B$17))*COS(RADIANS(E624))*COS(RADIANS(F624))</f>
        <v/>
      </c>
      <c r="J624" s="80">
        <f>SIN(RADIANS('11_발전량_모델'!$B$7))*SIN(RADIANS('11_발전량_모델'!$B$8))</f>
        <v/>
      </c>
      <c r="K624" s="80">
        <f>SIN(RADIANS('11_발전량_모델'!$B$7))*COS(RADIANS('11_발전량_모델'!$B$8))</f>
        <v/>
      </c>
      <c r="L624" s="80">
        <f>COS(RADIANS('11_발전량_모델'!$B$7))</f>
        <v/>
      </c>
      <c r="M624" s="80">
        <f>G624*J624+H624*K624+I624*L624</f>
        <v/>
      </c>
      <c r="N624" s="80">
        <f>MAX(0,I624)</f>
        <v/>
      </c>
      <c r="O624" s="80">
        <f>IF(I624&gt;0,MAX(0,M624),0)</f>
        <v/>
      </c>
      <c r="P624" s="80">
        <f>IF($I624&gt;0,MAX(0,$G624*SIN(RADIANS('13_시나리오비교'!$B$5))*SIN(RADIANS('13_시나리오비교'!$C$5))+$H624*SIN(RADIANS('13_시나리오비교'!$B$5))*COS(RADIANS('13_시나리오비교'!$C$5))+$I624*COS(RADIANS('13_시나리오비교'!$B$5))),0)</f>
        <v/>
      </c>
      <c r="Q624" s="80">
        <f>IF($I624&gt;0,MAX(0,$G624*SIN(RADIANS('13_시나리오비교'!$B$6))*SIN(RADIANS('13_시나리오비교'!$C$6))+$H624*SIN(RADIANS('13_시나리오비교'!$B$6))*COS(RADIANS('13_시나리오비교'!$C$6))+$I624*COS(RADIANS('13_시나리오비교'!$B$6))),0)</f>
        <v/>
      </c>
      <c r="R624" s="80">
        <f>IF($I624&gt;0,MAX(0,$G624*SIN(RADIANS('13_시나리오비교'!$B$7))*SIN(RADIANS('13_시나리오비교'!$C$7))+$H624*SIN(RADIANS('13_시나리오비교'!$B$7))*COS(RADIANS('13_시나리오비교'!$C$7))+$I624*COS(RADIANS('13_시나리오비교'!$B$7))),0)</f>
        <v/>
      </c>
      <c r="S624" s="80">
        <f>IF($I624&gt;0,MAX(0,$G624*SIN(RADIANS('13_시나리오비교'!$B$8))*SIN(RADIANS('13_시나리오비교'!$C$8))+$H624*SIN(RADIANS('13_시나리오비교'!$B$8))*COS(RADIANS('13_시나리오비교'!$C$8))+$I624*COS(RADIANS('13_시나리오비교'!$B$8))),0)</f>
        <v/>
      </c>
      <c r="T624" s="80">
        <f>IF($I624&gt;0,MAX(0,$G624*SIN(RADIANS('13_시나리오비교'!$B$9))*SIN(RADIANS('13_시나리오비교'!$C$9))+$H624*SIN(RADIANS('13_시나리오비교'!$B$9))*COS(RADIANS('13_시나리오비교'!$C$9))+$I624*COS(RADIANS('13_시나리오비교'!$B$9))),0)</f>
        <v/>
      </c>
      <c r="U624" s="80">
        <f>IF($I624&gt;0,MAX(0,$G624*SIN(RADIANS('13_시나리오비교'!$B$10))*SIN(RADIANS('13_시나리오비교'!$C$10))+$H624*SIN(RADIANS('13_시나리오비교'!$B$10))*COS(RADIANS('13_시나리오비교'!$C$10))+$I624*COS(RADIANS('13_시나리오비교'!$B$10))),0)</f>
        <v/>
      </c>
      <c r="V624" s="80">
        <f>IF($I624&gt;0,MAX(0,$G624*SIN(RADIANS('13_시나리오비교'!$B$11))*SIN(RADIANS('13_시나리오비교'!$C$11))+$H624*SIN(RADIANS('13_시나리오비교'!$B$11))*COS(RADIANS('13_시나리오비교'!$C$11))+$I624*COS(RADIANS('13_시나리오비교'!$B$11))),0)</f>
        <v/>
      </c>
      <c r="W624" s="80">
        <f>IF($I624&gt;0,MAX(0,$G624*SIN(RADIANS('13_시나리오비교'!$B$12))*SIN(RADIANS('13_시나리오비교'!$C$12))+$H624*SIN(RADIANS('13_시나리오비교'!$B$12))*COS(RADIANS('13_시나리오비교'!$C$12))+$I624*COS(RADIANS('13_시나리오비교'!$B$12))),0)</f>
        <v/>
      </c>
      <c r="X624" s="80">
        <f>IF($I624&gt;0,MAX(0,$G624*SIN(RADIANS('13_시나리오비교'!$B$13))*SIN(RADIANS('13_시나리오비교'!$C$13))+$H624*SIN(RADIANS('13_시나리오비교'!$B$13))*COS(RADIANS('13_시나리오비교'!$C$13))+$I624*COS(RADIANS('13_시나리오비교'!$B$13))),0)</f>
        <v/>
      </c>
      <c r="Y624" s="80">
        <f>IF($I624&gt;0,MAX(0,$G624*SIN(RADIANS('13_시나리오비교'!$B$14))*SIN(RADIANS('13_시나리오비교'!$C$14))+$H624*SIN(RADIANS('13_시나리오비교'!$B$14))*COS(RADIANS('13_시나리오비교'!$C$14))+$I624*COS(RADIANS('13_시나리오비교'!$B$14))),0)</f>
        <v/>
      </c>
    </row>
    <row r="625" hidden="1" outlineLevel="1">
      <c r="A625" s="79" t="n">
        <v>7</v>
      </c>
      <c r="B625" s="79" t="n">
        <v>29</v>
      </c>
      <c r="C625" s="80">
        <f>(B625-0.5)*'14_지역·상수'!$H$6</f>
        <v/>
      </c>
      <c r="D625" s="79" t="n">
        <v>198</v>
      </c>
      <c r="E625" s="80">
        <f>INDEX($C$4:$C$15,MATCH(A625,$A$4:$A$15,0))</f>
        <v/>
      </c>
      <c r="F625" s="80">
        <f>15*(C625-12)</f>
        <v/>
      </c>
      <c r="G625" s="80">
        <f>-COS(RADIANS(E625))*SIN(RADIANS(F625))</f>
        <v/>
      </c>
      <c r="H625" s="80">
        <f>COS(RADIANS('11_발전량_모델'!$B$17))*SIN(RADIANS(E625))-SIN(RADIANS('11_발전량_모델'!$B$17))*COS(RADIANS(E625))*COS(RADIANS(F625))</f>
        <v/>
      </c>
      <c r="I625" s="80">
        <f>SIN(RADIANS('11_발전량_모델'!$B$17))*SIN(RADIANS(E625))+COS(RADIANS('11_발전량_모델'!$B$17))*COS(RADIANS(E625))*COS(RADIANS(F625))</f>
        <v/>
      </c>
      <c r="J625" s="80">
        <f>SIN(RADIANS('11_발전량_모델'!$B$7))*SIN(RADIANS('11_발전량_모델'!$B$8))</f>
        <v/>
      </c>
      <c r="K625" s="80">
        <f>SIN(RADIANS('11_발전량_모델'!$B$7))*COS(RADIANS('11_발전량_모델'!$B$8))</f>
        <v/>
      </c>
      <c r="L625" s="80">
        <f>COS(RADIANS('11_발전량_모델'!$B$7))</f>
        <v/>
      </c>
      <c r="M625" s="80">
        <f>G625*J625+H625*K625+I625*L625</f>
        <v/>
      </c>
      <c r="N625" s="80">
        <f>MAX(0,I625)</f>
        <v/>
      </c>
      <c r="O625" s="80">
        <f>IF(I625&gt;0,MAX(0,M625),0)</f>
        <v/>
      </c>
      <c r="P625" s="80">
        <f>IF($I625&gt;0,MAX(0,$G625*SIN(RADIANS('13_시나리오비교'!$B$5))*SIN(RADIANS('13_시나리오비교'!$C$5))+$H625*SIN(RADIANS('13_시나리오비교'!$B$5))*COS(RADIANS('13_시나리오비교'!$C$5))+$I625*COS(RADIANS('13_시나리오비교'!$B$5))),0)</f>
        <v/>
      </c>
      <c r="Q625" s="80">
        <f>IF($I625&gt;0,MAX(0,$G625*SIN(RADIANS('13_시나리오비교'!$B$6))*SIN(RADIANS('13_시나리오비교'!$C$6))+$H625*SIN(RADIANS('13_시나리오비교'!$B$6))*COS(RADIANS('13_시나리오비교'!$C$6))+$I625*COS(RADIANS('13_시나리오비교'!$B$6))),0)</f>
        <v/>
      </c>
      <c r="R625" s="80">
        <f>IF($I625&gt;0,MAX(0,$G625*SIN(RADIANS('13_시나리오비교'!$B$7))*SIN(RADIANS('13_시나리오비교'!$C$7))+$H625*SIN(RADIANS('13_시나리오비교'!$B$7))*COS(RADIANS('13_시나리오비교'!$C$7))+$I625*COS(RADIANS('13_시나리오비교'!$B$7))),0)</f>
        <v/>
      </c>
      <c r="S625" s="80">
        <f>IF($I625&gt;0,MAX(0,$G625*SIN(RADIANS('13_시나리오비교'!$B$8))*SIN(RADIANS('13_시나리오비교'!$C$8))+$H625*SIN(RADIANS('13_시나리오비교'!$B$8))*COS(RADIANS('13_시나리오비교'!$C$8))+$I625*COS(RADIANS('13_시나리오비교'!$B$8))),0)</f>
        <v/>
      </c>
      <c r="T625" s="80">
        <f>IF($I625&gt;0,MAX(0,$G625*SIN(RADIANS('13_시나리오비교'!$B$9))*SIN(RADIANS('13_시나리오비교'!$C$9))+$H625*SIN(RADIANS('13_시나리오비교'!$B$9))*COS(RADIANS('13_시나리오비교'!$C$9))+$I625*COS(RADIANS('13_시나리오비교'!$B$9))),0)</f>
        <v/>
      </c>
      <c r="U625" s="80">
        <f>IF($I625&gt;0,MAX(0,$G625*SIN(RADIANS('13_시나리오비교'!$B$10))*SIN(RADIANS('13_시나리오비교'!$C$10))+$H625*SIN(RADIANS('13_시나리오비교'!$B$10))*COS(RADIANS('13_시나리오비교'!$C$10))+$I625*COS(RADIANS('13_시나리오비교'!$B$10))),0)</f>
        <v/>
      </c>
      <c r="V625" s="80">
        <f>IF($I625&gt;0,MAX(0,$G625*SIN(RADIANS('13_시나리오비교'!$B$11))*SIN(RADIANS('13_시나리오비교'!$C$11))+$H625*SIN(RADIANS('13_시나리오비교'!$B$11))*COS(RADIANS('13_시나리오비교'!$C$11))+$I625*COS(RADIANS('13_시나리오비교'!$B$11))),0)</f>
        <v/>
      </c>
      <c r="W625" s="80">
        <f>IF($I625&gt;0,MAX(0,$G625*SIN(RADIANS('13_시나리오비교'!$B$12))*SIN(RADIANS('13_시나리오비교'!$C$12))+$H625*SIN(RADIANS('13_시나리오비교'!$B$12))*COS(RADIANS('13_시나리오비교'!$C$12))+$I625*COS(RADIANS('13_시나리오비교'!$B$12))),0)</f>
        <v/>
      </c>
      <c r="X625" s="80">
        <f>IF($I625&gt;0,MAX(0,$G625*SIN(RADIANS('13_시나리오비교'!$B$13))*SIN(RADIANS('13_시나리오비교'!$C$13))+$H625*SIN(RADIANS('13_시나리오비교'!$B$13))*COS(RADIANS('13_시나리오비교'!$C$13))+$I625*COS(RADIANS('13_시나리오비교'!$B$13))),0)</f>
        <v/>
      </c>
      <c r="Y625" s="80">
        <f>IF($I625&gt;0,MAX(0,$G625*SIN(RADIANS('13_시나리오비교'!$B$14))*SIN(RADIANS('13_시나리오비교'!$C$14))+$H625*SIN(RADIANS('13_시나리오비교'!$B$14))*COS(RADIANS('13_시나리오비교'!$C$14))+$I625*COS(RADIANS('13_시나리오비교'!$B$14))),0)</f>
        <v/>
      </c>
    </row>
    <row r="626" hidden="1" outlineLevel="1">
      <c r="A626" s="79" t="n">
        <v>7</v>
      </c>
      <c r="B626" s="79" t="n">
        <v>30</v>
      </c>
      <c r="C626" s="80">
        <f>(B626-0.5)*'14_지역·상수'!$H$6</f>
        <v/>
      </c>
      <c r="D626" s="79" t="n">
        <v>198</v>
      </c>
      <c r="E626" s="80">
        <f>INDEX($C$4:$C$15,MATCH(A626,$A$4:$A$15,0))</f>
        <v/>
      </c>
      <c r="F626" s="80">
        <f>15*(C626-12)</f>
        <v/>
      </c>
      <c r="G626" s="80">
        <f>-COS(RADIANS(E626))*SIN(RADIANS(F626))</f>
        <v/>
      </c>
      <c r="H626" s="80">
        <f>COS(RADIANS('11_발전량_모델'!$B$17))*SIN(RADIANS(E626))-SIN(RADIANS('11_발전량_모델'!$B$17))*COS(RADIANS(E626))*COS(RADIANS(F626))</f>
        <v/>
      </c>
      <c r="I626" s="80">
        <f>SIN(RADIANS('11_발전량_모델'!$B$17))*SIN(RADIANS(E626))+COS(RADIANS('11_발전량_모델'!$B$17))*COS(RADIANS(E626))*COS(RADIANS(F626))</f>
        <v/>
      </c>
      <c r="J626" s="80">
        <f>SIN(RADIANS('11_발전량_모델'!$B$7))*SIN(RADIANS('11_발전량_모델'!$B$8))</f>
        <v/>
      </c>
      <c r="K626" s="80">
        <f>SIN(RADIANS('11_발전량_모델'!$B$7))*COS(RADIANS('11_발전량_모델'!$B$8))</f>
        <v/>
      </c>
      <c r="L626" s="80">
        <f>COS(RADIANS('11_발전량_모델'!$B$7))</f>
        <v/>
      </c>
      <c r="M626" s="80">
        <f>G626*J626+H626*K626+I626*L626</f>
        <v/>
      </c>
      <c r="N626" s="80">
        <f>MAX(0,I626)</f>
        <v/>
      </c>
      <c r="O626" s="80">
        <f>IF(I626&gt;0,MAX(0,M626),0)</f>
        <v/>
      </c>
      <c r="P626" s="80">
        <f>IF($I626&gt;0,MAX(0,$G626*SIN(RADIANS('13_시나리오비교'!$B$5))*SIN(RADIANS('13_시나리오비교'!$C$5))+$H626*SIN(RADIANS('13_시나리오비교'!$B$5))*COS(RADIANS('13_시나리오비교'!$C$5))+$I626*COS(RADIANS('13_시나리오비교'!$B$5))),0)</f>
        <v/>
      </c>
      <c r="Q626" s="80">
        <f>IF($I626&gt;0,MAX(0,$G626*SIN(RADIANS('13_시나리오비교'!$B$6))*SIN(RADIANS('13_시나리오비교'!$C$6))+$H626*SIN(RADIANS('13_시나리오비교'!$B$6))*COS(RADIANS('13_시나리오비교'!$C$6))+$I626*COS(RADIANS('13_시나리오비교'!$B$6))),0)</f>
        <v/>
      </c>
      <c r="R626" s="80">
        <f>IF($I626&gt;0,MAX(0,$G626*SIN(RADIANS('13_시나리오비교'!$B$7))*SIN(RADIANS('13_시나리오비교'!$C$7))+$H626*SIN(RADIANS('13_시나리오비교'!$B$7))*COS(RADIANS('13_시나리오비교'!$C$7))+$I626*COS(RADIANS('13_시나리오비교'!$B$7))),0)</f>
        <v/>
      </c>
      <c r="S626" s="80">
        <f>IF($I626&gt;0,MAX(0,$G626*SIN(RADIANS('13_시나리오비교'!$B$8))*SIN(RADIANS('13_시나리오비교'!$C$8))+$H626*SIN(RADIANS('13_시나리오비교'!$B$8))*COS(RADIANS('13_시나리오비교'!$C$8))+$I626*COS(RADIANS('13_시나리오비교'!$B$8))),0)</f>
        <v/>
      </c>
      <c r="T626" s="80">
        <f>IF($I626&gt;0,MAX(0,$G626*SIN(RADIANS('13_시나리오비교'!$B$9))*SIN(RADIANS('13_시나리오비교'!$C$9))+$H626*SIN(RADIANS('13_시나리오비교'!$B$9))*COS(RADIANS('13_시나리오비교'!$C$9))+$I626*COS(RADIANS('13_시나리오비교'!$B$9))),0)</f>
        <v/>
      </c>
      <c r="U626" s="80">
        <f>IF($I626&gt;0,MAX(0,$G626*SIN(RADIANS('13_시나리오비교'!$B$10))*SIN(RADIANS('13_시나리오비교'!$C$10))+$H626*SIN(RADIANS('13_시나리오비교'!$B$10))*COS(RADIANS('13_시나리오비교'!$C$10))+$I626*COS(RADIANS('13_시나리오비교'!$B$10))),0)</f>
        <v/>
      </c>
      <c r="V626" s="80">
        <f>IF($I626&gt;0,MAX(0,$G626*SIN(RADIANS('13_시나리오비교'!$B$11))*SIN(RADIANS('13_시나리오비교'!$C$11))+$H626*SIN(RADIANS('13_시나리오비교'!$B$11))*COS(RADIANS('13_시나리오비교'!$C$11))+$I626*COS(RADIANS('13_시나리오비교'!$B$11))),0)</f>
        <v/>
      </c>
      <c r="W626" s="80">
        <f>IF($I626&gt;0,MAX(0,$G626*SIN(RADIANS('13_시나리오비교'!$B$12))*SIN(RADIANS('13_시나리오비교'!$C$12))+$H626*SIN(RADIANS('13_시나리오비교'!$B$12))*COS(RADIANS('13_시나리오비교'!$C$12))+$I626*COS(RADIANS('13_시나리오비교'!$B$12))),0)</f>
        <v/>
      </c>
      <c r="X626" s="80">
        <f>IF($I626&gt;0,MAX(0,$G626*SIN(RADIANS('13_시나리오비교'!$B$13))*SIN(RADIANS('13_시나리오비교'!$C$13))+$H626*SIN(RADIANS('13_시나리오비교'!$B$13))*COS(RADIANS('13_시나리오비교'!$C$13))+$I626*COS(RADIANS('13_시나리오비교'!$B$13))),0)</f>
        <v/>
      </c>
      <c r="Y626" s="80">
        <f>IF($I626&gt;0,MAX(0,$G626*SIN(RADIANS('13_시나리오비교'!$B$14))*SIN(RADIANS('13_시나리오비교'!$C$14))+$H626*SIN(RADIANS('13_시나리오비교'!$B$14))*COS(RADIANS('13_시나리오비교'!$C$14))+$I626*COS(RADIANS('13_시나리오비교'!$B$14))),0)</f>
        <v/>
      </c>
    </row>
    <row r="627" hidden="1" outlineLevel="1">
      <c r="A627" s="79" t="n">
        <v>7</v>
      </c>
      <c r="B627" s="79" t="n">
        <v>31</v>
      </c>
      <c r="C627" s="80">
        <f>(B627-0.5)*'14_지역·상수'!$H$6</f>
        <v/>
      </c>
      <c r="D627" s="79" t="n">
        <v>198</v>
      </c>
      <c r="E627" s="80">
        <f>INDEX($C$4:$C$15,MATCH(A627,$A$4:$A$15,0))</f>
        <v/>
      </c>
      <c r="F627" s="80">
        <f>15*(C627-12)</f>
        <v/>
      </c>
      <c r="G627" s="80">
        <f>-COS(RADIANS(E627))*SIN(RADIANS(F627))</f>
        <v/>
      </c>
      <c r="H627" s="80">
        <f>COS(RADIANS('11_발전량_모델'!$B$17))*SIN(RADIANS(E627))-SIN(RADIANS('11_발전량_모델'!$B$17))*COS(RADIANS(E627))*COS(RADIANS(F627))</f>
        <v/>
      </c>
      <c r="I627" s="80">
        <f>SIN(RADIANS('11_발전량_모델'!$B$17))*SIN(RADIANS(E627))+COS(RADIANS('11_발전량_모델'!$B$17))*COS(RADIANS(E627))*COS(RADIANS(F627))</f>
        <v/>
      </c>
      <c r="J627" s="80">
        <f>SIN(RADIANS('11_발전량_모델'!$B$7))*SIN(RADIANS('11_발전량_모델'!$B$8))</f>
        <v/>
      </c>
      <c r="K627" s="80">
        <f>SIN(RADIANS('11_발전량_모델'!$B$7))*COS(RADIANS('11_발전량_모델'!$B$8))</f>
        <v/>
      </c>
      <c r="L627" s="80">
        <f>COS(RADIANS('11_발전량_모델'!$B$7))</f>
        <v/>
      </c>
      <c r="M627" s="80">
        <f>G627*J627+H627*K627+I627*L627</f>
        <v/>
      </c>
      <c r="N627" s="80">
        <f>MAX(0,I627)</f>
        <v/>
      </c>
      <c r="O627" s="80">
        <f>IF(I627&gt;0,MAX(0,M627),0)</f>
        <v/>
      </c>
      <c r="P627" s="80">
        <f>IF($I627&gt;0,MAX(0,$G627*SIN(RADIANS('13_시나리오비교'!$B$5))*SIN(RADIANS('13_시나리오비교'!$C$5))+$H627*SIN(RADIANS('13_시나리오비교'!$B$5))*COS(RADIANS('13_시나리오비교'!$C$5))+$I627*COS(RADIANS('13_시나리오비교'!$B$5))),0)</f>
        <v/>
      </c>
      <c r="Q627" s="80">
        <f>IF($I627&gt;0,MAX(0,$G627*SIN(RADIANS('13_시나리오비교'!$B$6))*SIN(RADIANS('13_시나리오비교'!$C$6))+$H627*SIN(RADIANS('13_시나리오비교'!$B$6))*COS(RADIANS('13_시나리오비교'!$C$6))+$I627*COS(RADIANS('13_시나리오비교'!$B$6))),0)</f>
        <v/>
      </c>
      <c r="R627" s="80">
        <f>IF($I627&gt;0,MAX(0,$G627*SIN(RADIANS('13_시나리오비교'!$B$7))*SIN(RADIANS('13_시나리오비교'!$C$7))+$H627*SIN(RADIANS('13_시나리오비교'!$B$7))*COS(RADIANS('13_시나리오비교'!$C$7))+$I627*COS(RADIANS('13_시나리오비교'!$B$7))),0)</f>
        <v/>
      </c>
      <c r="S627" s="80">
        <f>IF($I627&gt;0,MAX(0,$G627*SIN(RADIANS('13_시나리오비교'!$B$8))*SIN(RADIANS('13_시나리오비교'!$C$8))+$H627*SIN(RADIANS('13_시나리오비교'!$B$8))*COS(RADIANS('13_시나리오비교'!$C$8))+$I627*COS(RADIANS('13_시나리오비교'!$B$8))),0)</f>
        <v/>
      </c>
      <c r="T627" s="80">
        <f>IF($I627&gt;0,MAX(0,$G627*SIN(RADIANS('13_시나리오비교'!$B$9))*SIN(RADIANS('13_시나리오비교'!$C$9))+$H627*SIN(RADIANS('13_시나리오비교'!$B$9))*COS(RADIANS('13_시나리오비교'!$C$9))+$I627*COS(RADIANS('13_시나리오비교'!$B$9))),0)</f>
        <v/>
      </c>
      <c r="U627" s="80">
        <f>IF($I627&gt;0,MAX(0,$G627*SIN(RADIANS('13_시나리오비교'!$B$10))*SIN(RADIANS('13_시나리오비교'!$C$10))+$H627*SIN(RADIANS('13_시나리오비교'!$B$10))*COS(RADIANS('13_시나리오비교'!$C$10))+$I627*COS(RADIANS('13_시나리오비교'!$B$10))),0)</f>
        <v/>
      </c>
      <c r="V627" s="80">
        <f>IF($I627&gt;0,MAX(0,$G627*SIN(RADIANS('13_시나리오비교'!$B$11))*SIN(RADIANS('13_시나리오비교'!$C$11))+$H627*SIN(RADIANS('13_시나리오비교'!$B$11))*COS(RADIANS('13_시나리오비교'!$C$11))+$I627*COS(RADIANS('13_시나리오비교'!$B$11))),0)</f>
        <v/>
      </c>
      <c r="W627" s="80">
        <f>IF($I627&gt;0,MAX(0,$G627*SIN(RADIANS('13_시나리오비교'!$B$12))*SIN(RADIANS('13_시나리오비교'!$C$12))+$H627*SIN(RADIANS('13_시나리오비교'!$B$12))*COS(RADIANS('13_시나리오비교'!$C$12))+$I627*COS(RADIANS('13_시나리오비교'!$B$12))),0)</f>
        <v/>
      </c>
      <c r="X627" s="80">
        <f>IF($I627&gt;0,MAX(0,$G627*SIN(RADIANS('13_시나리오비교'!$B$13))*SIN(RADIANS('13_시나리오비교'!$C$13))+$H627*SIN(RADIANS('13_시나리오비교'!$B$13))*COS(RADIANS('13_시나리오비교'!$C$13))+$I627*COS(RADIANS('13_시나리오비교'!$B$13))),0)</f>
        <v/>
      </c>
      <c r="Y627" s="80">
        <f>IF($I627&gt;0,MAX(0,$G627*SIN(RADIANS('13_시나리오비교'!$B$14))*SIN(RADIANS('13_시나리오비교'!$C$14))+$H627*SIN(RADIANS('13_시나리오비교'!$B$14))*COS(RADIANS('13_시나리오비교'!$C$14))+$I627*COS(RADIANS('13_시나리오비교'!$B$14))),0)</f>
        <v/>
      </c>
    </row>
    <row r="628" hidden="1" outlineLevel="1">
      <c r="A628" s="79" t="n">
        <v>7</v>
      </c>
      <c r="B628" s="79" t="n">
        <v>32</v>
      </c>
      <c r="C628" s="80">
        <f>(B628-0.5)*'14_지역·상수'!$H$6</f>
        <v/>
      </c>
      <c r="D628" s="79" t="n">
        <v>198</v>
      </c>
      <c r="E628" s="80">
        <f>INDEX($C$4:$C$15,MATCH(A628,$A$4:$A$15,0))</f>
        <v/>
      </c>
      <c r="F628" s="80">
        <f>15*(C628-12)</f>
        <v/>
      </c>
      <c r="G628" s="80">
        <f>-COS(RADIANS(E628))*SIN(RADIANS(F628))</f>
        <v/>
      </c>
      <c r="H628" s="80">
        <f>COS(RADIANS('11_발전량_모델'!$B$17))*SIN(RADIANS(E628))-SIN(RADIANS('11_발전량_모델'!$B$17))*COS(RADIANS(E628))*COS(RADIANS(F628))</f>
        <v/>
      </c>
      <c r="I628" s="80">
        <f>SIN(RADIANS('11_발전량_모델'!$B$17))*SIN(RADIANS(E628))+COS(RADIANS('11_발전량_모델'!$B$17))*COS(RADIANS(E628))*COS(RADIANS(F628))</f>
        <v/>
      </c>
      <c r="J628" s="80">
        <f>SIN(RADIANS('11_발전량_모델'!$B$7))*SIN(RADIANS('11_발전량_모델'!$B$8))</f>
        <v/>
      </c>
      <c r="K628" s="80">
        <f>SIN(RADIANS('11_발전량_모델'!$B$7))*COS(RADIANS('11_발전량_모델'!$B$8))</f>
        <v/>
      </c>
      <c r="L628" s="80">
        <f>COS(RADIANS('11_발전량_모델'!$B$7))</f>
        <v/>
      </c>
      <c r="M628" s="80">
        <f>G628*J628+H628*K628+I628*L628</f>
        <v/>
      </c>
      <c r="N628" s="80">
        <f>MAX(0,I628)</f>
        <v/>
      </c>
      <c r="O628" s="80">
        <f>IF(I628&gt;0,MAX(0,M628),0)</f>
        <v/>
      </c>
      <c r="P628" s="80">
        <f>IF($I628&gt;0,MAX(0,$G628*SIN(RADIANS('13_시나리오비교'!$B$5))*SIN(RADIANS('13_시나리오비교'!$C$5))+$H628*SIN(RADIANS('13_시나리오비교'!$B$5))*COS(RADIANS('13_시나리오비교'!$C$5))+$I628*COS(RADIANS('13_시나리오비교'!$B$5))),0)</f>
        <v/>
      </c>
      <c r="Q628" s="80">
        <f>IF($I628&gt;0,MAX(0,$G628*SIN(RADIANS('13_시나리오비교'!$B$6))*SIN(RADIANS('13_시나리오비교'!$C$6))+$H628*SIN(RADIANS('13_시나리오비교'!$B$6))*COS(RADIANS('13_시나리오비교'!$C$6))+$I628*COS(RADIANS('13_시나리오비교'!$B$6))),0)</f>
        <v/>
      </c>
      <c r="R628" s="80">
        <f>IF($I628&gt;0,MAX(0,$G628*SIN(RADIANS('13_시나리오비교'!$B$7))*SIN(RADIANS('13_시나리오비교'!$C$7))+$H628*SIN(RADIANS('13_시나리오비교'!$B$7))*COS(RADIANS('13_시나리오비교'!$C$7))+$I628*COS(RADIANS('13_시나리오비교'!$B$7))),0)</f>
        <v/>
      </c>
      <c r="S628" s="80">
        <f>IF($I628&gt;0,MAX(0,$G628*SIN(RADIANS('13_시나리오비교'!$B$8))*SIN(RADIANS('13_시나리오비교'!$C$8))+$H628*SIN(RADIANS('13_시나리오비교'!$B$8))*COS(RADIANS('13_시나리오비교'!$C$8))+$I628*COS(RADIANS('13_시나리오비교'!$B$8))),0)</f>
        <v/>
      </c>
      <c r="T628" s="80">
        <f>IF($I628&gt;0,MAX(0,$G628*SIN(RADIANS('13_시나리오비교'!$B$9))*SIN(RADIANS('13_시나리오비교'!$C$9))+$H628*SIN(RADIANS('13_시나리오비교'!$B$9))*COS(RADIANS('13_시나리오비교'!$C$9))+$I628*COS(RADIANS('13_시나리오비교'!$B$9))),0)</f>
        <v/>
      </c>
      <c r="U628" s="80">
        <f>IF($I628&gt;0,MAX(0,$G628*SIN(RADIANS('13_시나리오비교'!$B$10))*SIN(RADIANS('13_시나리오비교'!$C$10))+$H628*SIN(RADIANS('13_시나리오비교'!$B$10))*COS(RADIANS('13_시나리오비교'!$C$10))+$I628*COS(RADIANS('13_시나리오비교'!$B$10))),0)</f>
        <v/>
      </c>
      <c r="V628" s="80">
        <f>IF($I628&gt;0,MAX(0,$G628*SIN(RADIANS('13_시나리오비교'!$B$11))*SIN(RADIANS('13_시나리오비교'!$C$11))+$H628*SIN(RADIANS('13_시나리오비교'!$B$11))*COS(RADIANS('13_시나리오비교'!$C$11))+$I628*COS(RADIANS('13_시나리오비교'!$B$11))),0)</f>
        <v/>
      </c>
      <c r="W628" s="80">
        <f>IF($I628&gt;0,MAX(0,$G628*SIN(RADIANS('13_시나리오비교'!$B$12))*SIN(RADIANS('13_시나리오비교'!$C$12))+$H628*SIN(RADIANS('13_시나리오비교'!$B$12))*COS(RADIANS('13_시나리오비교'!$C$12))+$I628*COS(RADIANS('13_시나리오비교'!$B$12))),0)</f>
        <v/>
      </c>
      <c r="X628" s="80">
        <f>IF($I628&gt;0,MAX(0,$G628*SIN(RADIANS('13_시나리오비교'!$B$13))*SIN(RADIANS('13_시나리오비교'!$C$13))+$H628*SIN(RADIANS('13_시나리오비교'!$B$13))*COS(RADIANS('13_시나리오비교'!$C$13))+$I628*COS(RADIANS('13_시나리오비교'!$B$13))),0)</f>
        <v/>
      </c>
      <c r="Y628" s="80">
        <f>IF($I628&gt;0,MAX(0,$G628*SIN(RADIANS('13_시나리오비교'!$B$14))*SIN(RADIANS('13_시나리오비교'!$C$14))+$H628*SIN(RADIANS('13_시나리오비교'!$B$14))*COS(RADIANS('13_시나리오비교'!$C$14))+$I628*COS(RADIANS('13_시나리오비교'!$B$14))),0)</f>
        <v/>
      </c>
    </row>
    <row r="629" hidden="1" outlineLevel="1">
      <c r="A629" s="79" t="n">
        <v>7</v>
      </c>
      <c r="B629" s="79" t="n">
        <v>33</v>
      </c>
      <c r="C629" s="80">
        <f>(B629-0.5)*'14_지역·상수'!$H$6</f>
        <v/>
      </c>
      <c r="D629" s="79" t="n">
        <v>198</v>
      </c>
      <c r="E629" s="80">
        <f>INDEX($C$4:$C$15,MATCH(A629,$A$4:$A$15,0))</f>
        <v/>
      </c>
      <c r="F629" s="80">
        <f>15*(C629-12)</f>
        <v/>
      </c>
      <c r="G629" s="80">
        <f>-COS(RADIANS(E629))*SIN(RADIANS(F629))</f>
        <v/>
      </c>
      <c r="H629" s="80">
        <f>COS(RADIANS('11_발전량_모델'!$B$17))*SIN(RADIANS(E629))-SIN(RADIANS('11_발전량_모델'!$B$17))*COS(RADIANS(E629))*COS(RADIANS(F629))</f>
        <v/>
      </c>
      <c r="I629" s="80">
        <f>SIN(RADIANS('11_발전량_모델'!$B$17))*SIN(RADIANS(E629))+COS(RADIANS('11_발전량_모델'!$B$17))*COS(RADIANS(E629))*COS(RADIANS(F629))</f>
        <v/>
      </c>
      <c r="J629" s="80">
        <f>SIN(RADIANS('11_발전량_모델'!$B$7))*SIN(RADIANS('11_발전량_모델'!$B$8))</f>
        <v/>
      </c>
      <c r="K629" s="80">
        <f>SIN(RADIANS('11_발전량_모델'!$B$7))*COS(RADIANS('11_발전량_모델'!$B$8))</f>
        <v/>
      </c>
      <c r="L629" s="80">
        <f>COS(RADIANS('11_발전량_모델'!$B$7))</f>
        <v/>
      </c>
      <c r="M629" s="80">
        <f>G629*J629+H629*K629+I629*L629</f>
        <v/>
      </c>
      <c r="N629" s="80">
        <f>MAX(0,I629)</f>
        <v/>
      </c>
      <c r="O629" s="80">
        <f>IF(I629&gt;0,MAX(0,M629),0)</f>
        <v/>
      </c>
      <c r="P629" s="80">
        <f>IF($I629&gt;0,MAX(0,$G629*SIN(RADIANS('13_시나리오비교'!$B$5))*SIN(RADIANS('13_시나리오비교'!$C$5))+$H629*SIN(RADIANS('13_시나리오비교'!$B$5))*COS(RADIANS('13_시나리오비교'!$C$5))+$I629*COS(RADIANS('13_시나리오비교'!$B$5))),0)</f>
        <v/>
      </c>
      <c r="Q629" s="80">
        <f>IF($I629&gt;0,MAX(0,$G629*SIN(RADIANS('13_시나리오비교'!$B$6))*SIN(RADIANS('13_시나리오비교'!$C$6))+$H629*SIN(RADIANS('13_시나리오비교'!$B$6))*COS(RADIANS('13_시나리오비교'!$C$6))+$I629*COS(RADIANS('13_시나리오비교'!$B$6))),0)</f>
        <v/>
      </c>
      <c r="R629" s="80">
        <f>IF($I629&gt;0,MAX(0,$G629*SIN(RADIANS('13_시나리오비교'!$B$7))*SIN(RADIANS('13_시나리오비교'!$C$7))+$H629*SIN(RADIANS('13_시나리오비교'!$B$7))*COS(RADIANS('13_시나리오비교'!$C$7))+$I629*COS(RADIANS('13_시나리오비교'!$B$7))),0)</f>
        <v/>
      </c>
      <c r="S629" s="80">
        <f>IF($I629&gt;0,MAX(0,$G629*SIN(RADIANS('13_시나리오비교'!$B$8))*SIN(RADIANS('13_시나리오비교'!$C$8))+$H629*SIN(RADIANS('13_시나리오비교'!$B$8))*COS(RADIANS('13_시나리오비교'!$C$8))+$I629*COS(RADIANS('13_시나리오비교'!$B$8))),0)</f>
        <v/>
      </c>
      <c r="T629" s="80">
        <f>IF($I629&gt;0,MAX(0,$G629*SIN(RADIANS('13_시나리오비교'!$B$9))*SIN(RADIANS('13_시나리오비교'!$C$9))+$H629*SIN(RADIANS('13_시나리오비교'!$B$9))*COS(RADIANS('13_시나리오비교'!$C$9))+$I629*COS(RADIANS('13_시나리오비교'!$B$9))),0)</f>
        <v/>
      </c>
      <c r="U629" s="80">
        <f>IF($I629&gt;0,MAX(0,$G629*SIN(RADIANS('13_시나리오비교'!$B$10))*SIN(RADIANS('13_시나리오비교'!$C$10))+$H629*SIN(RADIANS('13_시나리오비교'!$B$10))*COS(RADIANS('13_시나리오비교'!$C$10))+$I629*COS(RADIANS('13_시나리오비교'!$B$10))),0)</f>
        <v/>
      </c>
      <c r="V629" s="80">
        <f>IF($I629&gt;0,MAX(0,$G629*SIN(RADIANS('13_시나리오비교'!$B$11))*SIN(RADIANS('13_시나리오비교'!$C$11))+$H629*SIN(RADIANS('13_시나리오비교'!$B$11))*COS(RADIANS('13_시나리오비교'!$C$11))+$I629*COS(RADIANS('13_시나리오비교'!$B$11))),0)</f>
        <v/>
      </c>
      <c r="W629" s="80">
        <f>IF($I629&gt;0,MAX(0,$G629*SIN(RADIANS('13_시나리오비교'!$B$12))*SIN(RADIANS('13_시나리오비교'!$C$12))+$H629*SIN(RADIANS('13_시나리오비교'!$B$12))*COS(RADIANS('13_시나리오비교'!$C$12))+$I629*COS(RADIANS('13_시나리오비교'!$B$12))),0)</f>
        <v/>
      </c>
      <c r="X629" s="80">
        <f>IF($I629&gt;0,MAX(0,$G629*SIN(RADIANS('13_시나리오비교'!$B$13))*SIN(RADIANS('13_시나리오비교'!$C$13))+$H629*SIN(RADIANS('13_시나리오비교'!$B$13))*COS(RADIANS('13_시나리오비교'!$C$13))+$I629*COS(RADIANS('13_시나리오비교'!$B$13))),0)</f>
        <v/>
      </c>
      <c r="Y629" s="80">
        <f>IF($I629&gt;0,MAX(0,$G629*SIN(RADIANS('13_시나리오비교'!$B$14))*SIN(RADIANS('13_시나리오비교'!$C$14))+$H629*SIN(RADIANS('13_시나리오비교'!$B$14))*COS(RADIANS('13_시나리오비교'!$C$14))+$I629*COS(RADIANS('13_시나리오비교'!$B$14))),0)</f>
        <v/>
      </c>
    </row>
    <row r="630" hidden="1" outlineLevel="1">
      <c r="A630" s="79" t="n">
        <v>7</v>
      </c>
      <c r="B630" s="79" t="n">
        <v>34</v>
      </c>
      <c r="C630" s="80">
        <f>(B630-0.5)*'14_지역·상수'!$H$6</f>
        <v/>
      </c>
      <c r="D630" s="79" t="n">
        <v>198</v>
      </c>
      <c r="E630" s="80">
        <f>INDEX($C$4:$C$15,MATCH(A630,$A$4:$A$15,0))</f>
        <v/>
      </c>
      <c r="F630" s="80">
        <f>15*(C630-12)</f>
        <v/>
      </c>
      <c r="G630" s="80">
        <f>-COS(RADIANS(E630))*SIN(RADIANS(F630))</f>
        <v/>
      </c>
      <c r="H630" s="80">
        <f>COS(RADIANS('11_발전량_모델'!$B$17))*SIN(RADIANS(E630))-SIN(RADIANS('11_발전량_모델'!$B$17))*COS(RADIANS(E630))*COS(RADIANS(F630))</f>
        <v/>
      </c>
      <c r="I630" s="80">
        <f>SIN(RADIANS('11_발전량_모델'!$B$17))*SIN(RADIANS(E630))+COS(RADIANS('11_발전량_모델'!$B$17))*COS(RADIANS(E630))*COS(RADIANS(F630))</f>
        <v/>
      </c>
      <c r="J630" s="80">
        <f>SIN(RADIANS('11_발전량_모델'!$B$7))*SIN(RADIANS('11_발전량_모델'!$B$8))</f>
        <v/>
      </c>
      <c r="K630" s="80">
        <f>SIN(RADIANS('11_발전량_모델'!$B$7))*COS(RADIANS('11_발전량_모델'!$B$8))</f>
        <v/>
      </c>
      <c r="L630" s="80">
        <f>COS(RADIANS('11_발전량_모델'!$B$7))</f>
        <v/>
      </c>
      <c r="M630" s="80">
        <f>G630*J630+H630*K630+I630*L630</f>
        <v/>
      </c>
      <c r="N630" s="80">
        <f>MAX(0,I630)</f>
        <v/>
      </c>
      <c r="O630" s="80">
        <f>IF(I630&gt;0,MAX(0,M630),0)</f>
        <v/>
      </c>
      <c r="P630" s="80">
        <f>IF($I630&gt;0,MAX(0,$G630*SIN(RADIANS('13_시나리오비교'!$B$5))*SIN(RADIANS('13_시나리오비교'!$C$5))+$H630*SIN(RADIANS('13_시나리오비교'!$B$5))*COS(RADIANS('13_시나리오비교'!$C$5))+$I630*COS(RADIANS('13_시나리오비교'!$B$5))),0)</f>
        <v/>
      </c>
      <c r="Q630" s="80">
        <f>IF($I630&gt;0,MAX(0,$G630*SIN(RADIANS('13_시나리오비교'!$B$6))*SIN(RADIANS('13_시나리오비교'!$C$6))+$H630*SIN(RADIANS('13_시나리오비교'!$B$6))*COS(RADIANS('13_시나리오비교'!$C$6))+$I630*COS(RADIANS('13_시나리오비교'!$B$6))),0)</f>
        <v/>
      </c>
      <c r="R630" s="80">
        <f>IF($I630&gt;0,MAX(0,$G630*SIN(RADIANS('13_시나리오비교'!$B$7))*SIN(RADIANS('13_시나리오비교'!$C$7))+$H630*SIN(RADIANS('13_시나리오비교'!$B$7))*COS(RADIANS('13_시나리오비교'!$C$7))+$I630*COS(RADIANS('13_시나리오비교'!$B$7))),0)</f>
        <v/>
      </c>
      <c r="S630" s="80">
        <f>IF($I630&gt;0,MAX(0,$G630*SIN(RADIANS('13_시나리오비교'!$B$8))*SIN(RADIANS('13_시나리오비교'!$C$8))+$H630*SIN(RADIANS('13_시나리오비교'!$B$8))*COS(RADIANS('13_시나리오비교'!$C$8))+$I630*COS(RADIANS('13_시나리오비교'!$B$8))),0)</f>
        <v/>
      </c>
      <c r="T630" s="80">
        <f>IF($I630&gt;0,MAX(0,$G630*SIN(RADIANS('13_시나리오비교'!$B$9))*SIN(RADIANS('13_시나리오비교'!$C$9))+$H630*SIN(RADIANS('13_시나리오비교'!$B$9))*COS(RADIANS('13_시나리오비교'!$C$9))+$I630*COS(RADIANS('13_시나리오비교'!$B$9))),0)</f>
        <v/>
      </c>
      <c r="U630" s="80">
        <f>IF($I630&gt;0,MAX(0,$G630*SIN(RADIANS('13_시나리오비교'!$B$10))*SIN(RADIANS('13_시나리오비교'!$C$10))+$H630*SIN(RADIANS('13_시나리오비교'!$B$10))*COS(RADIANS('13_시나리오비교'!$C$10))+$I630*COS(RADIANS('13_시나리오비교'!$B$10))),0)</f>
        <v/>
      </c>
      <c r="V630" s="80">
        <f>IF($I630&gt;0,MAX(0,$G630*SIN(RADIANS('13_시나리오비교'!$B$11))*SIN(RADIANS('13_시나리오비교'!$C$11))+$H630*SIN(RADIANS('13_시나리오비교'!$B$11))*COS(RADIANS('13_시나리오비교'!$C$11))+$I630*COS(RADIANS('13_시나리오비교'!$B$11))),0)</f>
        <v/>
      </c>
      <c r="W630" s="80">
        <f>IF($I630&gt;0,MAX(0,$G630*SIN(RADIANS('13_시나리오비교'!$B$12))*SIN(RADIANS('13_시나리오비교'!$C$12))+$H630*SIN(RADIANS('13_시나리오비교'!$B$12))*COS(RADIANS('13_시나리오비교'!$C$12))+$I630*COS(RADIANS('13_시나리오비교'!$B$12))),0)</f>
        <v/>
      </c>
      <c r="X630" s="80">
        <f>IF($I630&gt;0,MAX(0,$G630*SIN(RADIANS('13_시나리오비교'!$B$13))*SIN(RADIANS('13_시나리오비교'!$C$13))+$H630*SIN(RADIANS('13_시나리오비교'!$B$13))*COS(RADIANS('13_시나리오비교'!$C$13))+$I630*COS(RADIANS('13_시나리오비교'!$B$13))),0)</f>
        <v/>
      </c>
      <c r="Y630" s="80">
        <f>IF($I630&gt;0,MAX(0,$G630*SIN(RADIANS('13_시나리오비교'!$B$14))*SIN(RADIANS('13_시나리오비교'!$C$14))+$H630*SIN(RADIANS('13_시나리오비교'!$B$14))*COS(RADIANS('13_시나리오비교'!$C$14))+$I630*COS(RADIANS('13_시나리오비교'!$B$14))),0)</f>
        <v/>
      </c>
    </row>
    <row r="631" hidden="1" outlineLevel="1">
      <c r="A631" s="79" t="n">
        <v>7</v>
      </c>
      <c r="B631" s="79" t="n">
        <v>35</v>
      </c>
      <c r="C631" s="80">
        <f>(B631-0.5)*'14_지역·상수'!$H$6</f>
        <v/>
      </c>
      <c r="D631" s="79" t="n">
        <v>198</v>
      </c>
      <c r="E631" s="80">
        <f>INDEX($C$4:$C$15,MATCH(A631,$A$4:$A$15,0))</f>
        <v/>
      </c>
      <c r="F631" s="80">
        <f>15*(C631-12)</f>
        <v/>
      </c>
      <c r="G631" s="80">
        <f>-COS(RADIANS(E631))*SIN(RADIANS(F631))</f>
        <v/>
      </c>
      <c r="H631" s="80">
        <f>COS(RADIANS('11_발전량_모델'!$B$17))*SIN(RADIANS(E631))-SIN(RADIANS('11_발전량_모델'!$B$17))*COS(RADIANS(E631))*COS(RADIANS(F631))</f>
        <v/>
      </c>
      <c r="I631" s="80">
        <f>SIN(RADIANS('11_발전량_모델'!$B$17))*SIN(RADIANS(E631))+COS(RADIANS('11_발전량_모델'!$B$17))*COS(RADIANS(E631))*COS(RADIANS(F631))</f>
        <v/>
      </c>
      <c r="J631" s="80">
        <f>SIN(RADIANS('11_발전량_모델'!$B$7))*SIN(RADIANS('11_발전량_모델'!$B$8))</f>
        <v/>
      </c>
      <c r="K631" s="80">
        <f>SIN(RADIANS('11_발전량_모델'!$B$7))*COS(RADIANS('11_발전량_모델'!$B$8))</f>
        <v/>
      </c>
      <c r="L631" s="80">
        <f>COS(RADIANS('11_발전량_모델'!$B$7))</f>
        <v/>
      </c>
      <c r="M631" s="80">
        <f>G631*J631+H631*K631+I631*L631</f>
        <v/>
      </c>
      <c r="N631" s="80">
        <f>MAX(0,I631)</f>
        <v/>
      </c>
      <c r="O631" s="80">
        <f>IF(I631&gt;0,MAX(0,M631),0)</f>
        <v/>
      </c>
      <c r="P631" s="80">
        <f>IF($I631&gt;0,MAX(0,$G631*SIN(RADIANS('13_시나리오비교'!$B$5))*SIN(RADIANS('13_시나리오비교'!$C$5))+$H631*SIN(RADIANS('13_시나리오비교'!$B$5))*COS(RADIANS('13_시나리오비교'!$C$5))+$I631*COS(RADIANS('13_시나리오비교'!$B$5))),0)</f>
        <v/>
      </c>
      <c r="Q631" s="80">
        <f>IF($I631&gt;0,MAX(0,$G631*SIN(RADIANS('13_시나리오비교'!$B$6))*SIN(RADIANS('13_시나리오비교'!$C$6))+$H631*SIN(RADIANS('13_시나리오비교'!$B$6))*COS(RADIANS('13_시나리오비교'!$C$6))+$I631*COS(RADIANS('13_시나리오비교'!$B$6))),0)</f>
        <v/>
      </c>
      <c r="R631" s="80">
        <f>IF($I631&gt;0,MAX(0,$G631*SIN(RADIANS('13_시나리오비교'!$B$7))*SIN(RADIANS('13_시나리오비교'!$C$7))+$H631*SIN(RADIANS('13_시나리오비교'!$B$7))*COS(RADIANS('13_시나리오비교'!$C$7))+$I631*COS(RADIANS('13_시나리오비교'!$B$7))),0)</f>
        <v/>
      </c>
      <c r="S631" s="80">
        <f>IF($I631&gt;0,MAX(0,$G631*SIN(RADIANS('13_시나리오비교'!$B$8))*SIN(RADIANS('13_시나리오비교'!$C$8))+$H631*SIN(RADIANS('13_시나리오비교'!$B$8))*COS(RADIANS('13_시나리오비교'!$C$8))+$I631*COS(RADIANS('13_시나리오비교'!$B$8))),0)</f>
        <v/>
      </c>
      <c r="T631" s="80">
        <f>IF($I631&gt;0,MAX(0,$G631*SIN(RADIANS('13_시나리오비교'!$B$9))*SIN(RADIANS('13_시나리오비교'!$C$9))+$H631*SIN(RADIANS('13_시나리오비교'!$B$9))*COS(RADIANS('13_시나리오비교'!$C$9))+$I631*COS(RADIANS('13_시나리오비교'!$B$9))),0)</f>
        <v/>
      </c>
      <c r="U631" s="80">
        <f>IF($I631&gt;0,MAX(0,$G631*SIN(RADIANS('13_시나리오비교'!$B$10))*SIN(RADIANS('13_시나리오비교'!$C$10))+$H631*SIN(RADIANS('13_시나리오비교'!$B$10))*COS(RADIANS('13_시나리오비교'!$C$10))+$I631*COS(RADIANS('13_시나리오비교'!$B$10))),0)</f>
        <v/>
      </c>
      <c r="V631" s="80">
        <f>IF($I631&gt;0,MAX(0,$G631*SIN(RADIANS('13_시나리오비교'!$B$11))*SIN(RADIANS('13_시나리오비교'!$C$11))+$H631*SIN(RADIANS('13_시나리오비교'!$B$11))*COS(RADIANS('13_시나리오비교'!$C$11))+$I631*COS(RADIANS('13_시나리오비교'!$B$11))),0)</f>
        <v/>
      </c>
      <c r="W631" s="80">
        <f>IF($I631&gt;0,MAX(0,$G631*SIN(RADIANS('13_시나리오비교'!$B$12))*SIN(RADIANS('13_시나리오비교'!$C$12))+$H631*SIN(RADIANS('13_시나리오비교'!$B$12))*COS(RADIANS('13_시나리오비교'!$C$12))+$I631*COS(RADIANS('13_시나리오비교'!$B$12))),0)</f>
        <v/>
      </c>
      <c r="X631" s="80">
        <f>IF($I631&gt;0,MAX(0,$G631*SIN(RADIANS('13_시나리오비교'!$B$13))*SIN(RADIANS('13_시나리오비교'!$C$13))+$H631*SIN(RADIANS('13_시나리오비교'!$B$13))*COS(RADIANS('13_시나리오비교'!$C$13))+$I631*COS(RADIANS('13_시나리오비교'!$B$13))),0)</f>
        <v/>
      </c>
      <c r="Y631" s="80">
        <f>IF($I631&gt;0,MAX(0,$G631*SIN(RADIANS('13_시나리오비교'!$B$14))*SIN(RADIANS('13_시나리오비교'!$C$14))+$H631*SIN(RADIANS('13_시나리오비교'!$B$14))*COS(RADIANS('13_시나리오비교'!$C$14))+$I631*COS(RADIANS('13_시나리오비교'!$B$14))),0)</f>
        <v/>
      </c>
    </row>
    <row r="632" hidden="1" outlineLevel="1">
      <c r="A632" s="79" t="n">
        <v>7</v>
      </c>
      <c r="B632" s="79" t="n">
        <v>36</v>
      </c>
      <c r="C632" s="80">
        <f>(B632-0.5)*'14_지역·상수'!$H$6</f>
        <v/>
      </c>
      <c r="D632" s="79" t="n">
        <v>198</v>
      </c>
      <c r="E632" s="80">
        <f>INDEX($C$4:$C$15,MATCH(A632,$A$4:$A$15,0))</f>
        <v/>
      </c>
      <c r="F632" s="80">
        <f>15*(C632-12)</f>
        <v/>
      </c>
      <c r="G632" s="80">
        <f>-COS(RADIANS(E632))*SIN(RADIANS(F632))</f>
        <v/>
      </c>
      <c r="H632" s="80">
        <f>COS(RADIANS('11_발전량_모델'!$B$17))*SIN(RADIANS(E632))-SIN(RADIANS('11_발전량_모델'!$B$17))*COS(RADIANS(E632))*COS(RADIANS(F632))</f>
        <v/>
      </c>
      <c r="I632" s="80">
        <f>SIN(RADIANS('11_발전량_모델'!$B$17))*SIN(RADIANS(E632))+COS(RADIANS('11_발전량_모델'!$B$17))*COS(RADIANS(E632))*COS(RADIANS(F632))</f>
        <v/>
      </c>
      <c r="J632" s="80">
        <f>SIN(RADIANS('11_발전량_모델'!$B$7))*SIN(RADIANS('11_발전량_모델'!$B$8))</f>
        <v/>
      </c>
      <c r="K632" s="80">
        <f>SIN(RADIANS('11_발전량_모델'!$B$7))*COS(RADIANS('11_발전량_모델'!$B$8))</f>
        <v/>
      </c>
      <c r="L632" s="80">
        <f>COS(RADIANS('11_발전량_모델'!$B$7))</f>
        <v/>
      </c>
      <c r="M632" s="80">
        <f>G632*J632+H632*K632+I632*L632</f>
        <v/>
      </c>
      <c r="N632" s="80">
        <f>MAX(0,I632)</f>
        <v/>
      </c>
      <c r="O632" s="80">
        <f>IF(I632&gt;0,MAX(0,M632),0)</f>
        <v/>
      </c>
      <c r="P632" s="80">
        <f>IF($I632&gt;0,MAX(0,$G632*SIN(RADIANS('13_시나리오비교'!$B$5))*SIN(RADIANS('13_시나리오비교'!$C$5))+$H632*SIN(RADIANS('13_시나리오비교'!$B$5))*COS(RADIANS('13_시나리오비교'!$C$5))+$I632*COS(RADIANS('13_시나리오비교'!$B$5))),0)</f>
        <v/>
      </c>
      <c r="Q632" s="80">
        <f>IF($I632&gt;0,MAX(0,$G632*SIN(RADIANS('13_시나리오비교'!$B$6))*SIN(RADIANS('13_시나리오비교'!$C$6))+$H632*SIN(RADIANS('13_시나리오비교'!$B$6))*COS(RADIANS('13_시나리오비교'!$C$6))+$I632*COS(RADIANS('13_시나리오비교'!$B$6))),0)</f>
        <v/>
      </c>
      <c r="R632" s="80">
        <f>IF($I632&gt;0,MAX(0,$G632*SIN(RADIANS('13_시나리오비교'!$B$7))*SIN(RADIANS('13_시나리오비교'!$C$7))+$H632*SIN(RADIANS('13_시나리오비교'!$B$7))*COS(RADIANS('13_시나리오비교'!$C$7))+$I632*COS(RADIANS('13_시나리오비교'!$B$7))),0)</f>
        <v/>
      </c>
      <c r="S632" s="80">
        <f>IF($I632&gt;0,MAX(0,$G632*SIN(RADIANS('13_시나리오비교'!$B$8))*SIN(RADIANS('13_시나리오비교'!$C$8))+$H632*SIN(RADIANS('13_시나리오비교'!$B$8))*COS(RADIANS('13_시나리오비교'!$C$8))+$I632*COS(RADIANS('13_시나리오비교'!$B$8))),0)</f>
        <v/>
      </c>
      <c r="T632" s="80">
        <f>IF($I632&gt;0,MAX(0,$G632*SIN(RADIANS('13_시나리오비교'!$B$9))*SIN(RADIANS('13_시나리오비교'!$C$9))+$H632*SIN(RADIANS('13_시나리오비교'!$B$9))*COS(RADIANS('13_시나리오비교'!$C$9))+$I632*COS(RADIANS('13_시나리오비교'!$B$9))),0)</f>
        <v/>
      </c>
      <c r="U632" s="80">
        <f>IF($I632&gt;0,MAX(0,$G632*SIN(RADIANS('13_시나리오비교'!$B$10))*SIN(RADIANS('13_시나리오비교'!$C$10))+$H632*SIN(RADIANS('13_시나리오비교'!$B$10))*COS(RADIANS('13_시나리오비교'!$C$10))+$I632*COS(RADIANS('13_시나리오비교'!$B$10))),0)</f>
        <v/>
      </c>
      <c r="V632" s="80">
        <f>IF($I632&gt;0,MAX(0,$G632*SIN(RADIANS('13_시나리오비교'!$B$11))*SIN(RADIANS('13_시나리오비교'!$C$11))+$H632*SIN(RADIANS('13_시나리오비교'!$B$11))*COS(RADIANS('13_시나리오비교'!$C$11))+$I632*COS(RADIANS('13_시나리오비교'!$B$11))),0)</f>
        <v/>
      </c>
      <c r="W632" s="80">
        <f>IF($I632&gt;0,MAX(0,$G632*SIN(RADIANS('13_시나리오비교'!$B$12))*SIN(RADIANS('13_시나리오비교'!$C$12))+$H632*SIN(RADIANS('13_시나리오비교'!$B$12))*COS(RADIANS('13_시나리오비교'!$C$12))+$I632*COS(RADIANS('13_시나리오비교'!$B$12))),0)</f>
        <v/>
      </c>
      <c r="X632" s="80">
        <f>IF($I632&gt;0,MAX(0,$G632*SIN(RADIANS('13_시나리오비교'!$B$13))*SIN(RADIANS('13_시나리오비교'!$C$13))+$H632*SIN(RADIANS('13_시나리오비교'!$B$13))*COS(RADIANS('13_시나리오비교'!$C$13))+$I632*COS(RADIANS('13_시나리오비교'!$B$13))),0)</f>
        <v/>
      </c>
      <c r="Y632" s="80">
        <f>IF($I632&gt;0,MAX(0,$G632*SIN(RADIANS('13_시나리오비교'!$B$14))*SIN(RADIANS('13_시나리오비교'!$C$14))+$H632*SIN(RADIANS('13_시나리오비교'!$B$14))*COS(RADIANS('13_시나리오비교'!$C$14))+$I632*COS(RADIANS('13_시나리오비교'!$B$14))),0)</f>
        <v/>
      </c>
    </row>
    <row r="633" hidden="1" outlineLevel="1">
      <c r="A633" s="79" t="n">
        <v>7</v>
      </c>
      <c r="B633" s="79" t="n">
        <v>37</v>
      </c>
      <c r="C633" s="80">
        <f>(B633-0.5)*'14_지역·상수'!$H$6</f>
        <v/>
      </c>
      <c r="D633" s="79" t="n">
        <v>198</v>
      </c>
      <c r="E633" s="80">
        <f>INDEX($C$4:$C$15,MATCH(A633,$A$4:$A$15,0))</f>
        <v/>
      </c>
      <c r="F633" s="80">
        <f>15*(C633-12)</f>
        <v/>
      </c>
      <c r="G633" s="80">
        <f>-COS(RADIANS(E633))*SIN(RADIANS(F633))</f>
        <v/>
      </c>
      <c r="H633" s="80">
        <f>COS(RADIANS('11_발전량_모델'!$B$17))*SIN(RADIANS(E633))-SIN(RADIANS('11_발전량_모델'!$B$17))*COS(RADIANS(E633))*COS(RADIANS(F633))</f>
        <v/>
      </c>
      <c r="I633" s="80">
        <f>SIN(RADIANS('11_발전량_모델'!$B$17))*SIN(RADIANS(E633))+COS(RADIANS('11_발전량_모델'!$B$17))*COS(RADIANS(E633))*COS(RADIANS(F633))</f>
        <v/>
      </c>
      <c r="J633" s="80">
        <f>SIN(RADIANS('11_발전량_모델'!$B$7))*SIN(RADIANS('11_발전량_모델'!$B$8))</f>
        <v/>
      </c>
      <c r="K633" s="80">
        <f>SIN(RADIANS('11_발전량_모델'!$B$7))*COS(RADIANS('11_발전량_모델'!$B$8))</f>
        <v/>
      </c>
      <c r="L633" s="80">
        <f>COS(RADIANS('11_발전량_모델'!$B$7))</f>
        <v/>
      </c>
      <c r="M633" s="80">
        <f>G633*J633+H633*K633+I633*L633</f>
        <v/>
      </c>
      <c r="N633" s="80">
        <f>MAX(0,I633)</f>
        <v/>
      </c>
      <c r="O633" s="80">
        <f>IF(I633&gt;0,MAX(0,M633),0)</f>
        <v/>
      </c>
      <c r="P633" s="80">
        <f>IF($I633&gt;0,MAX(0,$G633*SIN(RADIANS('13_시나리오비교'!$B$5))*SIN(RADIANS('13_시나리오비교'!$C$5))+$H633*SIN(RADIANS('13_시나리오비교'!$B$5))*COS(RADIANS('13_시나리오비교'!$C$5))+$I633*COS(RADIANS('13_시나리오비교'!$B$5))),0)</f>
        <v/>
      </c>
      <c r="Q633" s="80">
        <f>IF($I633&gt;0,MAX(0,$G633*SIN(RADIANS('13_시나리오비교'!$B$6))*SIN(RADIANS('13_시나리오비교'!$C$6))+$H633*SIN(RADIANS('13_시나리오비교'!$B$6))*COS(RADIANS('13_시나리오비교'!$C$6))+$I633*COS(RADIANS('13_시나리오비교'!$B$6))),0)</f>
        <v/>
      </c>
      <c r="R633" s="80">
        <f>IF($I633&gt;0,MAX(0,$G633*SIN(RADIANS('13_시나리오비교'!$B$7))*SIN(RADIANS('13_시나리오비교'!$C$7))+$H633*SIN(RADIANS('13_시나리오비교'!$B$7))*COS(RADIANS('13_시나리오비교'!$C$7))+$I633*COS(RADIANS('13_시나리오비교'!$B$7))),0)</f>
        <v/>
      </c>
      <c r="S633" s="80">
        <f>IF($I633&gt;0,MAX(0,$G633*SIN(RADIANS('13_시나리오비교'!$B$8))*SIN(RADIANS('13_시나리오비교'!$C$8))+$H633*SIN(RADIANS('13_시나리오비교'!$B$8))*COS(RADIANS('13_시나리오비교'!$C$8))+$I633*COS(RADIANS('13_시나리오비교'!$B$8))),0)</f>
        <v/>
      </c>
      <c r="T633" s="80">
        <f>IF($I633&gt;0,MAX(0,$G633*SIN(RADIANS('13_시나리오비교'!$B$9))*SIN(RADIANS('13_시나리오비교'!$C$9))+$H633*SIN(RADIANS('13_시나리오비교'!$B$9))*COS(RADIANS('13_시나리오비교'!$C$9))+$I633*COS(RADIANS('13_시나리오비교'!$B$9))),0)</f>
        <v/>
      </c>
      <c r="U633" s="80">
        <f>IF($I633&gt;0,MAX(0,$G633*SIN(RADIANS('13_시나리오비교'!$B$10))*SIN(RADIANS('13_시나리오비교'!$C$10))+$H633*SIN(RADIANS('13_시나리오비교'!$B$10))*COS(RADIANS('13_시나리오비교'!$C$10))+$I633*COS(RADIANS('13_시나리오비교'!$B$10))),0)</f>
        <v/>
      </c>
      <c r="V633" s="80">
        <f>IF($I633&gt;0,MAX(0,$G633*SIN(RADIANS('13_시나리오비교'!$B$11))*SIN(RADIANS('13_시나리오비교'!$C$11))+$H633*SIN(RADIANS('13_시나리오비교'!$B$11))*COS(RADIANS('13_시나리오비교'!$C$11))+$I633*COS(RADIANS('13_시나리오비교'!$B$11))),0)</f>
        <v/>
      </c>
      <c r="W633" s="80">
        <f>IF($I633&gt;0,MAX(0,$G633*SIN(RADIANS('13_시나리오비교'!$B$12))*SIN(RADIANS('13_시나리오비교'!$C$12))+$H633*SIN(RADIANS('13_시나리오비교'!$B$12))*COS(RADIANS('13_시나리오비교'!$C$12))+$I633*COS(RADIANS('13_시나리오비교'!$B$12))),0)</f>
        <v/>
      </c>
      <c r="X633" s="80">
        <f>IF($I633&gt;0,MAX(0,$G633*SIN(RADIANS('13_시나리오비교'!$B$13))*SIN(RADIANS('13_시나리오비교'!$C$13))+$H633*SIN(RADIANS('13_시나리오비교'!$B$13))*COS(RADIANS('13_시나리오비교'!$C$13))+$I633*COS(RADIANS('13_시나리오비교'!$B$13))),0)</f>
        <v/>
      </c>
      <c r="Y633" s="80">
        <f>IF($I633&gt;0,MAX(0,$G633*SIN(RADIANS('13_시나리오비교'!$B$14))*SIN(RADIANS('13_시나리오비교'!$C$14))+$H633*SIN(RADIANS('13_시나리오비교'!$B$14))*COS(RADIANS('13_시나리오비교'!$C$14))+$I633*COS(RADIANS('13_시나리오비교'!$B$14))),0)</f>
        <v/>
      </c>
    </row>
    <row r="634" hidden="1" outlineLevel="1">
      <c r="A634" s="79" t="n">
        <v>7</v>
      </c>
      <c r="B634" s="79" t="n">
        <v>38</v>
      </c>
      <c r="C634" s="80">
        <f>(B634-0.5)*'14_지역·상수'!$H$6</f>
        <v/>
      </c>
      <c r="D634" s="79" t="n">
        <v>198</v>
      </c>
      <c r="E634" s="80">
        <f>INDEX($C$4:$C$15,MATCH(A634,$A$4:$A$15,0))</f>
        <v/>
      </c>
      <c r="F634" s="80">
        <f>15*(C634-12)</f>
        <v/>
      </c>
      <c r="G634" s="80">
        <f>-COS(RADIANS(E634))*SIN(RADIANS(F634))</f>
        <v/>
      </c>
      <c r="H634" s="80">
        <f>COS(RADIANS('11_발전량_모델'!$B$17))*SIN(RADIANS(E634))-SIN(RADIANS('11_발전량_모델'!$B$17))*COS(RADIANS(E634))*COS(RADIANS(F634))</f>
        <v/>
      </c>
      <c r="I634" s="80">
        <f>SIN(RADIANS('11_발전량_모델'!$B$17))*SIN(RADIANS(E634))+COS(RADIANS('11_발전량_모델'!$B$17))*COS(RADIANS(E634))*COS(RADIANS(F634))</f>
        <v/>
      </c>
      <c r="J634" s="80">
        <f>SIN(RADIANS('11_발전량_모델'!$B$7))*SIN(RADIANS('11_발전량_모델'!$B$8))</f>
        <v/>
      </c>
      <c r="K634" s="80">
        <f>SIN(RADIANS('11_발전량_모델'!$B$7))*COS(RADIANS('11_발전량_모델'!$B$8))</f>
        <v/>
      </c>
      <c r="L634" s="80">
        <f>COS(RADIANS('11_발전량_모델'!$B$7))</f>
        <v/>
      </c>
      <c r="M634" s="80">
        <f>G634*J634+H634*K634+I634*L634</f>
        <v/>
      </c>
      <c r="N634" s="80">
        <f>MAX(0,I634)</f>
        <v/>
      </c>
      <c r="O634" s="80">
        <f>IF(I634&gt;0,MAX(0,M634),0)</f>
        <v/>
      </c>
      <c r="P634" s="80">
        <f>IF($I634&gt;0,MAX(0,$G634*SIN(RADIANS('13_시나리오비교'!$B$5))*SIN(RADIANS('13_시나리오비교'!$C$5))+$H634*SIN(RADIANS('13_시나리오비교'!$B$5))*COS(RADIANS('13_시나리오비교'!$C$5))+$I634*COS(RADIANS('13_시나리오비교'!$B$5))),0)</f>
        <v/>
      </c>
      <c r="Q634" s="80">
        <f>IF($I634&gt;0,MAX(0,$G634*SIN(RADIANS('13_시나리오비교'!$B$6))*SIN(RADIANS('13_시나리오비교'!$C$6))+$H634*SIN(RADIANS('13_시나리오비교'!$B$6))*COS(RADIANS('13_시나리오비교'!$C$6))+$I634*COS(RADIANS('13_시나리오비교'!$B$6))),0)</f>
        <v/>
      </c>
      <c r="R634" s="80">
        <f>IF($I634&gt;0,MAX(0,$G634*SIN(RADIANS('13_시나리오비교'!$B$7))*SIN(RADIANS('13_시나리오비교'!$C$7))+$H634*SIN(RADIANS('13_시나리오비교'!$B$7))*COS(RADIANS('13_시나리오비교'!$C$7))+$I634*COS(RADIANS('13_시나리오비교'!$B$7))),0)</f>
        <v/>
      </c>
      <c r="S634" s="80">
        <f>IF($I634&gt;0,MAX(0,$G634*SIN(RADIANS('13_시나리오비교'!$B$8))*SIN(RADIANS('13_시나리오비교'!$C$8))+$H634*SIN(RADIANS('13_시나리오비교'!$B$8))*COS(RADIANS('13_시나리오비교'!$C$8))+$I634*COS(RADIANS('13_시나리오비교'!$B$8))),0)</f>
        <v/>
      </c>
      <c r="T634" s="80">
        <f>IF($I634&gt;0,MAX(0,$G634*SIN(RADIANS('13_시나리오비교'!$B$9))*SIN(RADIANS('13_시나리오비교'!$C$9))+$H634*SIN(RADIANS('13_시나리오비교'!$B$9))*COS(RADIANS('13_시나리오비교'!$C$9))+$I634*COS(RADIANS('13_시나리오비교'!$B$9))),0)</f>
        <v/>
      </c>
      <c r="U634" s="80">
        <f>IF($I634&gt;0,MAX(0,$G634*SIN(RADIANS('13_시나리오비교'!$B$10))*SIN(RADIANS('13_시나리오비교'!$C$10))+$H634*SIN(RADIANS('13_시나리오비교'!$B$10))*COS(RADIANS('13_시나리오비교'!$C$10))+$I634*COS(RADIANS('13_시나리오비교'!$B$10))),0)</f>
        <v/>
      </c>
      <c r="V634" s="80">
        <f>IF($I634&gt;0,MAX(0,$G634*SIN(RADIANS('13_시나리오비교'!$B$11))*SIN(RADIANS('13_시나리오비교'!$C$11))+$H634*SIN(RADIANS('13_시나리오비교'!$B$11))*COS(RADIANS('13_시나리오비교'!$C$11))+$I634*COS(RADIANS('13_시나리오비교'!$B$11))),0)</f>
        <v/>
      </c>
      <c r="W634" s="80">
        <f>IF($I634&gt;0,MAX(0,$G634*SIN(RADIANS('13_시나리오비교'!$B$12))*SIN(RADIANS('13_시나리오비교'!$C$12))+$H634*SIN(RADIANS('13_시나리오비교'!$B$12))*COS(RADIANS('13_시나리오비교'!$C$12))+$I634*COS(RADIANS('13_시나리오비교'!$B$12))),0)</f>
        <v/>
      </c>
      <c r="X634" s="80">
        <f>IF($I634&gt;0,MAX(0,$G634*SIN(RADIANS('13_시나리오비교'!$B$13))*SIN(RADIANS('13_시나리오비교'!$C$13))+$H634*SIN(RADIANS('13_시나리오비교'!$B$13))*COS(RADIANS('13_시나리오비교'!$C$13))+$I634*COS(RADIANS('13_시나리오비교'!$B$13))),0)</f>
        <v/>
      </c>
      <c r="Y634" s="80">
        <f>IF($I634&gt;0,MAX(0,$G634*SIN(RADIANS('13_시나리오비교'!$B$14))*SIN(RADIANS('13_시나리오비교'!$C$14))+$H634*SIN(RADIANS('13_시나리오비교'!$B$14))*COS(RADIANS('13_시나리오비교'!$C$14))+$I634*COS(RADIANS('13_시나리오비교'!$B$14))),0)</f>
        <v/>
      </c>
    </row>
    <row r="635" hidden="1" outlineLevel="1">
      <c r="A635" s="79" t="n">
        <v>7</v>
      </c>
      <c r="B635" s="79" t="n">
        <v>39</v>
      </c>
      <c r="C635" s="80">
        <f>(B635-0.5)*'14_지역·상수'!$H$6</f>
        <v/>
      </c>
      <c r="D635" s="79" t="n">
        <v>198</v>
      </c>
      <c r="E635" s="80">
        <f>INDEX($C$4:$C$15,MATCH(A635,$A$4:$A$15,0))</f>
        <v/>
      </c>
      <c r="F635" s="80">
        <f>15*(C635-12)</f>
        <v/>
      </c>
      <c r="G635" s="80">
        <f>-COS(RADIANS(E635))*SIN(RADIANS(F635))</f>
        <v/>
      </c>
      <c r="H635" s="80">
        <f>COS(RADIANS('11_발전량_모델'!$B$17))*SIN(RADIANS(E635))-SIN(RADIANS('11_발전량_모델'!$B$17))*COS(RADIANS(E635))*COS(RADIANS(F635))</f>
        <v/>
      </c>
      <c r="I635" s="80">
        <f>SIN(RADIANS('11_발전량_모델'!$B$17))*SIN(RADIANS(E635))+COS(RADIANS('11_발전량_모델'!$B$17))*COS(RADIANS(E635))*COS(RADIANS(F635))</f>
        <v/>
      </c>
      <c r="J635" s="80">
        <f>SIN(RADIANS('11_발전량_모델'!$B$7))*SIN(RADIANS('11_발전량_모델'!$B$8))</f>
        <v/>
      </c>
      <c r="K635" s="80">
        <f>SIN(RADIANS('11_발전량_모델'!$B$7))*COS(RADIANS('11_발전량_모델'!$B$8))</f>
        <v/>
      </c>
      <c r="L635" s="80">
        <f>COS(RADIANS('11_발전량_모델'!$B$7))</f>
        <v/>
      </c>
      <c r="M635" s="80">
        <f>G635*J635+H635*K635+I635*L635</f>
        <v/>
      </c>
      <c r="N635" s="80">
        <f>MAX(0,I635)</f>
        <v/>
      </c>
      <c r="O635" s="80">
        <f>IF(I635&gt;0,MAX(0,M635),0)</f>
        <v/>
      </c>
      <c r="P635" s="80">
        <f>IF($I635&gt;0,MAX(0,$G635*SIN(RADIANS('13_시나리오비교'!$B$5))*SIN(RADIANS('13_시나리오비교'!$C$5))+$H635*SIN(RADIANS('13_시나리오비교'!$B$5))*COS(RADIANS('13_시나리오비교'!$C$5))+$I635*COS(RADIANS('13_시나리오비교'!$B$5))),0)</f>
        <v/>
      </c>
      <c r="Q635" s="80">
        <f>IF($I635&gt;0,MAX(0,$G635*SIN(RADIANS('13_시나리오비교'!$B$6))*SIN(RADIANS('13_시나리오비교'!$C$6))+$H635*SIN(RADIANS('13_시나리오비교'!$B$6))*COS(RADIANS('13_시나리오비교'!$C$6))+$I635*COS(RADIANS('13_시나리오비교'!$B$6))),0)</f>
        <v/>
      </c>
      <c r="R635" s="80">
        <f>IF($I635&gt;0,MAX(0,$G635*SIN(RADIANS('13_시나리오비교'!$B$7))*SIN(RADIANS('13_시나리오비교'!$C$7))+$H635*SIN(RADIANS('13_시나리오비교'!$B$7))*COS(RADIANS('13_시나리오비교'!$C$7))+$I635*COS(RADIANS('13_시나리오비교'!$B$7))),0)</f>
        <v/>
      </c>
      <c r="S635" s="80">
        <f>IF($I635&gt;0,MAX(0,$G635*SIN(RADIANS('13_시나리오비교'!$B$8))*SIN(RADIANS('13_시나리오비교'!$C$8))+$H635*SIN(RADIANS('13_시나리오비교'!$B$8))*COS(RADIANS('13_시나리오비교'!$C$8))+$I635*COS(RADIANS('13_시나리오비교'!$B$8))),0)</f>
        <v/>
      </c>
      <c r="T635" s="80">
        <f>IF($I635&gt;0,MAX(0,$G635*SIN(RADIANS('13_시나리오비교'!$B$9))*SIN(RADIANS('13_시나리오비교'!$C$9))+$H635*SIN(RADIANS('13_시나리오비교'!$B$9))*COS(RADIANS('13_시나리오비교'!$C$9))+$I635*COS(RADIANS('13_시나리오비교'!$B$9))),0)</f>
        <v/>
      </c>
      <c r="U635" s="80">
        <f>IF($I635&gt;0,MAX(0,$G635*SIN(RADIANS('13_시나리오비교'!$B$10))*SIN(RADIANS('13_시나리오비교'!$C$10))+$H635*SIN(RADIANS('13_시나리오비교'!$B$10))*COS(RADIANS('13_시나리오비교'!$C$10))+$I635*COS(RADIANS('13_시나리오비교'!$B$10))),0)</f>
        <v/>
      </c>
      <c r="V635" s="80">
        <f>IF($I635&gt;0,MAX(0,$G635*SIN(RADIANS('13_시나리오비교'!$B$11))*SIN(RADIANS('13_시나리오비교'!$C$11))+$H635*SIN(RADIANS('13_시나리오비교'!$B$11))*COS(RADIANS('13_시나리오비교'!$C$11))+$I635*COS(RADIANS('13_시나리오비교'!$B$11))),0)</f>
        <v/>
      </c>
      <c r="W635" s="80">
        <f>IF($I635&gt;0,MAX(0,$G635*SIN(RADIANS('13_시나리오비교'!$B$12))*SIN(RADIANS('13_시나리오비교'!$C$12))+$H635*SIN(RADIANS('13_시나리오비교'!$B$12))*COS(RADIANS('13_시나리오비교'!$C$12))+$I635*COS(RADIANS('13_시나리오비교'!$B$12))),0)</f>
        <v/>
      </c>
      <c r="X635" s="80">
        <f>IF($I635&gt;0,MAX(0,$G635*SIN(RADIANS('13_시나리오비교'!$B$13))*SIN(RADIANS('13_시나리오비교'!$C$13))+$H635*SIN(RADIANS('13_시나리오비교'!$B$13))*COS(RADIANS('13_시나리오비교'!$C$13))+$I635*COS(RADIANS('13_시나리오비교'!$B$13))),0)</f>
        <v/>
      </c>
      <c r="Y635" s="80">
        <f>IF($I635&gt;0,MAX(0,$G635*SIN(RADIANS('13_시나리오비교'!$B$14))*SIN(RADIANS('13_시나리오비교'!$C$14))+$H635*SIN(RADIANS('13_시나리오비교'!$B$14))*COS(RADIANS('13_시나리오비교'!$C$14))+$I635*COS(RADIANS('13_시나리오비교'!$B$14))),0)</f>
        <v/>
      </c>
    </row>
    <row r="636" hidden="1" outlineLevel="1">
      <c r="A636" s="79" t="n">
        <v>7</v>
      </c>
      <c r="B636" s="79" t="n">
        <v>40</v>
      </c>
      <c r="C636" s="80">
        <f>(B636-0.5)*'14_지역·상수'!$H$6</f>
        <v/>
      </c>
      <c r="D636" s="79" t="n">
        <v>198</v>
      </c>
      <c r="E636" s="80">
        <f>INDEX($C$4:$C$15,MATCH(A636,$A$4:$A$15,0))</f>
        <v/>
      </c>
      <c r="F636" s="80">
        <f>15*(C636-12)</f>
        <v/>
      </c>
      <c r="G636" s="80">
        <f>-COS(RADIANS(E636))*SIN(RADIANS(F636))</f>
        <v/>
      </c>
      <c r="H636" s="80">
        <f>COS(RADIANS('11_발전량_모델'!$B$17))*SIN(RADIANS(E636))-SIN(RADIANS('11_발전량_모델'!$B$17))*COS(RADIANS(E636))*COS(RADIANS(F636))</f>
        <v/>
      </c>
      <c r="I636" s="80">
        <f>SIN(RADIANS('11_발전량_모델'!$B$17))*SIN(RADIANS(E636))+COS(RADIANS('11_발전량_모델'!$B$17))*COS(RADIANS(E636))*COS(RADIANS(F636))</f>
        <v/>
      </c>
      <c r="J636" s="80">
        <f>SIN(RADIANS('11_발전량_모델'!$B$7))*SIN(RADIANS('11_발전량_모델'!$B$8))</f>
        <v/>
      </c>
      <c r="K636" s="80">
        <f>SIN(RADIANS('11_발전량_모델'!$B$7))*COS(RADIANS('11_발전량_모델'!$B$8))</f>
        <v/>
      </c>
      <c r="L636" s="80">
        <f>COS(RADIANS('11_발전량_모델'!$B$7))</f>
        <v/>
      </c>
      <c r="M636" s="80">
        <f>G636*J636+H636*K636+I636*L636</f>
        <v/>
      </c>
      <c r="N636" s="80">
        <f>MAX(0,I636)</f>
        <v/>
      </c>
      <c r="O636" s="80">
        <f>IF(I636&gt;0,MAX(0,M636),0)</f>
        <v/>
      </c>
      <c r="P636" s="80">
        <f>IF($I636&gt;0,MAX(0,$G636*SIN(RADIANS('13_시나리오비교'!$B$5))*SIN(RADIANS('13_시나리오비교'!$C$5))+$H636*SIN(RADIANS('13_시나리오비교'!$B$5))*COS(RADIANS('13_시나리오비교'!$C$5))+$I636*COS(RADIANS('13_시나리오비교'!$B$5))),0)</f>
        <v/>
      </c>
      <c r="Q636" s="80">
        <f>IF($I636&gt;0,MAX(0,$G636*SIN(RADIANS('13_시나리오비교'!$B$6))*SIN(RADIANS('13_시나리오비교'!$C$6))+$H636*SIN(RADIANS('13_시나리오비교'!$B$6))*COS(RADIANS('13_시나리오비교'!$C$6))+$I636*COS(RADIANS('13_시나리오비교'!$B$6))),0)</f>
        <v/>
      </c>
      <c r="R636" s="80">
        <f>IF($I636&gt;0,MAX(0,$G636*SIN(RADIANS('13_시나리오비교'!$B$7))*SIN(RADIANS('13_시나리오비교'!$C$7))+$H636*SIN(RADIANS('13_시나리오비교'!$B$7))*COS(RADIANS('13_시나리오비교'!$C$7))+$I636*COS(RADIANS('13_시나리오비교'!$B$7))),0)</f>
        <v/>
      </c>
      <c r="S636" s="80">
        <f>IF($I636&gt;0,MAX(0,$G636*SIN(RADIANS('13_시나리오비교'!$B$8))*SIN(RADIANS('13_시나리오비교'!$C$8))+$H636*SIN(RADIANS('13_시나리오비교'!$B$8))*COS(RADIANS('13_시나리오비교'!$C$8))+$I636*COS(RADIANS('13_시나리오비교'!$B$8))),0)</f>
        <v/>
      </c>
      <c r="T636" s="80">
        <f>IF($I636&gt;0,MAX(0,$G636*SIN(RADIANS('13_시나리오비교'!$B$9))*SIN(RADIANS('13_시나리오비교'!$C$9))+$H636*SIN(RADIANS('13_시나리오비교'!$B$9))*COS(RADIANS('13_시나리오비교'!$C$9))+$I636*COS(RADIANS('13_시나리오비교'!$B$9))),0)</f>
        <v/>
      </c>
      <c r="U636" s="80">
        <f>IF($I636&gt;0,MAX(0,$G636*SIN(RADIANS('13_시나리오비교'!$B$10))*SIN(RADIANS('13_시나리오비교'!$C$10))+$H636*SIN(RADIANS('13_시나리오비교'!$B$10))*COS(RADIANS('13_시나리오비교'!$C$10))+$I636*COS(RADIANS('13_시나리오비교'!$B$10))),0)</f>
        <v/>
      </c>
      <c r="V636" s="80">
        <f>IF($I636&gt;0,MAX(0,$G636*SIN(RADIANS('13_시나리오비교'!$B$11))*SIN(RADIANS('13_시나리오비교'!$C$11))+$H636*SIN(RADIANS('13_시나리오비교'!$B$11))*COS(RADIANS('13_시나리오비교'!$C$11))+$I636*COS(RADIANS('13_시나리오비교'!$B$11))),0)</f>
        <v/>
      </c>
      <c r="W636" s="80">
        <f>IF($I636&gt;0,MAX(0,$G636*SIN(RADIANS('13_시나리오비교'!$B$12))*SIN(RADIANS('13_시나리오비교'!$C$12))+$H636*SIN(RADIANS('13_시나리오비교'!$B$12))*COS(RADIANS('13_시나리오비교'!$C$12))+$I636*COS(RADIANS('13_시나리오비교'!$B$12))),0)</f>
        <v/>
      </c>
      <c r="X636" s="80">
        <f>IF($I636&gt;0,MAX(0,$G636*SIN(RADIANS('13_시나리오비교'!$B$13))*SIN(RADIANS('13_시나리오비교'!$C$13))+$H636*SIN(RADIANS('13_시나리오비교'!$B$13))*COS(RADIANS('13_시나리오비교'!$C$13))+$I636*COS(RADIANS('13_시나리오비교'!$B$13))),0)</f>
        <v/>
      </c>
      <c r="Y636" s="80">
        <f>IF($I636&gt;0,MAX(0,$G636*SIN(RADIANS('13_시나리오비교'!$B$14))*SIN(RADIANS('13_시나리오비교'!$C$14))+$H636*SIN(RADIANS('13_시나리오비교'!$B$14))*COS(RADIANS('13_시나리오비교'!$C$14))+$I636*COS(RADIANS('13_시나리오비교'!$B$14))),0)</f>
        <v/>
      </c>
    </row>
    <row r="637" hidden="1" outlineLevel="1">
      <c r="A637" s="79" t="n">
        <v>7</v>
      </c>
      <c r="B637" s="79" t="n">
        <v>41</v>
      </c>
      <c r="C637" s="80">
        <f>(B637-0.5)*'14_지역·상수'!$H$6</f>
        <v/>
      </c>
      <c r="D637" s="79" t="n">
        <v>198</v>
      </c>
      <c r="E637" s="80">
        <f>INDEX($C$4:$C$15,MATCH(A637,$A$4:$A$15,0))</f>
        <v/>
      </c>
      <c r="F637" s="80">
        <f>15*(C637-12)</f>
        <v/>
      </c>
      <c r="G637" s="80">
        <f>-COS(RADIANS(E637))*SIN(RADIANS(F637))</f>
        <v/>
      </c>
      <c r="H637" s="80">
        <f>COS(RADIANS('11_발전량_모델'!$B$17))*SIN(RADIANS(E637))-SIN(RADIANS('11_발전량_모델'!$B$17))*COS(RADIANS(E637))*COS(RADIANS(F637))</f>
        <v/>
      </c>
      <c r="I637" s="80">
        <f>SIN(RADIANS('11_발전량_모델'!$B$17))*SIN(RADIANS(E637))+COS(RADIANS('11_발전량_모델'!$B$17))*COS(RADIANS(E637))*COS(RADIANS(F637))</f>
        <v/>
      </c>
      <c r="J637" s="80">
        <f>SIN(RADIANS('11_발전량_모델'!$B$7))*SIN(RADIANS('11_발전량_모델'!$B$8))</f>
        <v/>
      </c>
      <c r="K637" s="80">
        <f>SIN(RADIANS('11_발전량_모델'!$B$7))*COS(RADIANS('11_발전량_모델'!$B$8))</f>
        <v/>
      </c>
      <c r="L637" s="80">
        <f>COS(RADIANS('11_발전량_모델'!$B$7))</f>
        <v/>
      </c>
      <c r="M637" s="80">
        <f>G637*J637+H637*K637+I637*L637</f>
        <v/>
      </c>
      <c r="N637" s="80">
        <f>MAX(0,I637)</f>
        <v/>
      </c>
      <c r="O637" s="80">
        <f>IF(I637&gt;0,MAX(0,M637),0)</f>
        <v/>
      </c>
      <c r="P637" s="80">
        <f>IF($I637&gt;0,MAX(0,$G637*SIN(RADIANS('13_시나리오비교'!$B$5))*SIN(RADIANS('13_시나리오비교'!$C$5))+$H637*SIN(RADIANS('13_시나리오비교'!$B$5))*COS(RADIANS('13_시나리오비교'!$C$5))+$I637*COS(RADIANS('13_시나리오비교'!$B$5))),0)</f>
        <v/>
      </c>
      <c r="Q637" s="80">
        <f>IF($I637&gt;0,MAX(0,$G637*SIN(RADIANS('13_시나리오비교'!$B$6))*SIN(RADIANS('13_시나리오비교'!$C$6))+$H637*SIN(RADIANS('13_시나리오비교'!$B$6))*COS(RADIANS('13_시나리오비교'!$C$6))+$I637*COS(RADIANS('13_시나리오비교'!$B$6))),0)</f>
        <v/>
      </c>
      <c r="R637" s="80">
        <f>IF($I637&gt;0,MAX(0,$G637*SIN(RADIANS('13_시나리오비교'!$B$7))*SIN(RADIANS('13_시나리오비교'!$C$7))+$H637*SIN(RADIANS('13_시나리오비교'!$B$7))*COS(RADIANS('13_시나리오비교'!$C$7))+$I637*COS(RADIANS('13_시나리오비교'!$B$7))),0)</f>
        <v/>
      </c>
      <c r="S637" s="80">
        <f>IF($I637&gt;0,MAX(0,$G637*SIN(RADIANS('13_시나리오비교'!$B$8))*SIN(RADIANS('13_시나리오비교'!$C$8))+$H637*SIN(RADIANS('13_시나리오비교'!$B$8))*COS(RADIANS('13_시나리오비교'!$C$8))+$I637*COS(RADIANS('13_시나리오비교'!$B$8))),0)</f>
        <v/>
      </c>
      <c r="T637" s="80">
        <f>IF($I637&gt;0,MAX(0,$G637*SIN(RADIANS('13_시나리오비교'!$B$9))*SIN(RADIANS('13_시나리오비교'!$C$9))+$H637*SIN(RADIANS('13_시나리오비교'!$B$9))*COS(RADIANS('13_시나리오비교'!$C$9))+$I637*COS(RADIANS('13_시나리오비교'!$B$9))),0)</f>
        <v/>
      </c>
      <c r="U637" s="80">
        <f>IF($I637&gt;0,MAX(0,$G637*SIN(RADIANS('13_시나리오비교'!$B$10))*SIN(RADIANS('13_시나리오비교'!$C$10))+$H637*SIN(RADIANS('13_시나리오비교'!$B$10))*COS(RADIANS('13_시나리오비교'!$C$10))+$I637*COS(RADIANS('13_시나리오비교'!$B$10))),0)</f>
        <v/>
      </c>
      <c r="V637" s="80">
        <f>IF($I637&gt;0,MAX(0,$G637*SIN(RADIANS('13_시나리오비교'!$B$11))*SIN(RADIANS('13_시나리오비교'!$C$11))+$H637*SIN(RADIANS('13_시나리오비교'!$B$11))*COS(RADIANS('13_시나리오비교'!$C$11))+$I637*COS(RADIANS('13_시나리오비교'!$B$11))),0)</f>
        <v/>
      </c>
      <c r="W637" s="80">
        <f>IF($I637&gt;0,MAX(0,$G637*SIN(RADIANS('13_시나리오비교'!$B$12))*SIN(RADIANS('13_시나리오비교'!$C$12))+$H637*SIN(RADIANS('13_시나리오비교'!$B$12))*COS(RADIANS('13_시나리오비교'!$C$12))+$I637*COS(RADIANS('13_시나리오비교'!$B$12))),0)</f>
        <v/>
      </c>
      <c r="X637" s="80">
        <f>IF($I637&gt;0,MAX(0,$G637*SIN(RADIANS('13_시나리오비교'!$B$13))*SIN(RADIANS('13_시나리오비교'!$C$13))+$H637*SIN(RADIANS('13_시나리오비교'!$B$13))*COS(RADIANS('13_시나리오비교'!$C$13))+$I637*COS(RADIANS('13_시나리오비교'!$B$13))),0)</f>
        <v/>
      </c>
      <c r="Y637" s="80">
        <f>IF($I637&gt;0,MAX(0,$G637*SIN(RADIANS('13_시나리오비교'!$B$14))*SIN(RADIANS('13_시나리오비교'!$C$14))+$H637*SIN(RADIANS('13_시나리오비교'!$B$14))*COS(RADIANS('13_시나리오비교'!$C$14))+$I637*COS(RADIANS('13_시나리오비교'!$B$14))),0)</f>
        <v/>
      </c>
    </row>
    <row r="638" hidden="1" outlineLevel="1">
      <c r="A638" s="79" t="n">
        <v>7</v>
      </c>
      <c r="B638" s="79" t="n">
        <v>42</v>
      </c>
      <c r="C638" s="80">
        <f>(B638-0.5)*'14_지역·상수'!$H$6</f>
        <v/>
      </c>
      <c r="D638" s="79" t="n">
        <v>198</v>
      </c>
      <c r="E638" s="80">
        <f>INDEX($C$4:$C$15,MATCH(A638,$A$4:$A$15,0))</f>
        <v/>
      </c>
      <c r="F638" s="80">
        <f>15*(C638-12)</f>
        <v/>
      </c>
      <c r="G638" s="80">
        <f>-COS(RADIANS(E638))*SIN(RADIANS(F638))</f>
        <v/>
      </c>
      <c r="H638" s="80">
        <f>COS(RADIANS('11_발전량_모델'!$B$17))*SIN(RADIANS(E638))-SIN(RADIANS('11_발전량_모델'!$B$17))*COS(RADIANS(E638))*COS(RADIANS(F638))</f>
        <v/>
      </c>
      <c r="I638" s="80">
        <f>SIN(RADIANS('11_발전량_모델'!$B$17))*SIN(RADIANS(E638))+COS(RADIANS('11_발전량_모델'!$B$17))*COS(RADIANS(E638))*COS(RADIANS(F638))</f>
        <v/>
      </c>
      <c r="J638" s="80">
        <f>SIN(RADIANS('11_발전량_모델'!$B$7))*SIN(RADIANS('11_발전량_모델'!$B$8))</f>
        <v/>
      </c>
      <c r="K638" s="80">
        <f>SIN(RADIANS('11_발전량_모델'!$B$7))*COS(RADIANS('11_발전량_모델'!$B$8))</f>
        <v/>
      </c>
      <c r="L638" s="80">
        <f>COS(RADIANS('11_발전량_모델'!$B$7))</f>
        <v/>
      </c>
      <c r="M638" s="80">
        <f>G638*J638+H638*K638+I638*L638</f>
        <v/>
      </c>
      <c r="N638" s="80">
        <f>MAX(0,I638)</f>
        <v/>
      </c>
      <c r="O638" s="80">
        <f>IF(I638&gt;0,MAX(0,M638),0)</f>
        <v/>
      </c>
      <c r="P638" s="80">
        <f>IF($I638&gt;0,MAX(0,$G638*SIN(RADIANS('13_시나리오비교'!$B$5))*SIN(RADIANS('13_시나리오비교'!$C$5))+$H638*SIN(RADIANS('13_시나리오비교'!$B$5))*COS(RADIANS('13_시나리오비교'!$C$5))+$I638*COS(RADIANS('13_시나리오비교'!$B$5))),0)</f>
        <v/>
      </c>
      <c r="Q638" s="80">
        <f>IF($I638&gt;0,MAX(0,$G638*SIN(RADIANS('13_시나리오비교'!$B$6))*SIN(RADIANS('13_시나리오비교'!$C$6))+$H638*SIN(RADIANS('13_시나리오비교'!$B$6))*COS(RADIANS('13_시나리오비교'!$C$6))+$I638*COS(RADIANS('13_시나리오비교'!$B$6))),0)</f>
        <v/>
      </c>
      <c r="R638" s="80">
        <f>IF($I638&gt;0,MAX(0,$G638*SIN(RADIANS('13_시나리오비교'!$B$7))*SIN(RADIANS('13_시나리오비교'!$C$7))+$H638*SIN(RADIANS('13_시나리오비교'!$B$7))*COS(RADIANS('13_시나리오비교'!$C$7))+$I638*COS(RADIANS('13_시나리오비교'!$B$7))),0)</f>
        <v/>
      </c>
      <c r="S638" s="80">
        <f>IF($I638&gt;0,MAX(0,$G638*SIN(RADIANS('13_시나리오비교'!$B$8))*SIN(RADIANS('13_시나리오비교'!$C$8))+$H638*SIN(RADIANS('13_시나리오비교'!$B$8))*COS(RADIANS('13_시나리오비교'!$C$8))+$I638*COS(RADIANS('13_시나리오비교'!$B$8))),0)</f>
        <v/>
      </c>
      <c r="T638" s="80">
        <f>IF($I638&gt;0,MAX(0,$G638*SIN(RADIANS('13_시나리오비교'!$B$9))*SIN(RADIANS('13_시나리오비교'!$C$9))+$H638*SIN(RADIANS('13_시나리오비교'!$B$9))*COS(RADIANS('13_시나리오비교'!$C$9))+$I638*COS(RADIANS('13_시나리오비교'!$B$9))),0)</f>
        <v/>
      </c>
      <c r="U638" s="80">
        <f>IF($I638&gt;0,MAX(0,$G638*SIN(RADIANS('13_시나리오비교'!$B$10))*SIN(RADIANS('13_시나리오비교'!$C$10))+$H638*SIN(RADIANS('13_시나리오비교'!$B$10))*COS(RADIANS('13_시나리오비교'!$C$10))+$I638*COS(RADIANS('13_시나리오비교'!$B$10))),0)</f>
        <v/>
      </c>
      <c r="V638" s="80">
        <f>IF($I638&gt;0,MAX(0,$G638*SIN(RADIANS('13_시나리오비교'!$B$11))*SIN(RADIANS('13_시나리오비교'!$C$11))+$H638*SIN(RADIANS('13_시나리오비교'!$B$11))*COS(RADIANS('13_시나리오비교'!$C$11))+$I638*COS(RADIANS('13_시나리오비교'!$B$11))),0)</f>
        <v/>
      </c>
      <c r="W638" s="80">
        <f>IF($I638&gt;0,MAX(0,$G638*SIN(RADIANS('13_시나리오비교'!$B$12))*SIN(RADIANS('13_시나리오비교'!$C$12))+$H638*SIN(RADIANS('13_시나리오비교'!$B$12))*COS(RADIANS('13_시나리오비교'!$C$12))+$I638*COS(RADIANS('13_시나리오비교'!$B$12))),0)</f>
        <v/>
      </c>
      <c r="X638" s="80">
        <f>IF($I638&gt;0,MAX(0,$G638*SIN(RADIANS('13_시나리오비교'!$B$13))*SIN(RADIANS('13_시나리오비교'!$C$13))+$H638*SIN(RADIANS('13_시나리오비교'!$B$13))*COS(RADIANS('13_시나리오비교'!$C$13))+$I638*COS(RADIANS('13_시나리오비교'!$B$13))),0)</f>
        <v/>
      </c>
      <c r="Y638" s="80">
        <f>IF($I638&gt;0,MAX(0,$G638*SIN(RADIANS('13_시나리오비교'!$B$14))*SIN(RADIANS('13_시나리오비교'!$C$14))+$H638*SIN(RADIANS('13_시나리오비교'!$B$14))*COS(RADIANS('13_시나리오비교'!$C$14))+$I638*COS(RADIANS('13_시나리오비교'!$B$14))),0)</f>
        <v/>
      </c>
    </row>
    <row r="639" hidden="1" outlineLevel="1">
      <c r="A639" s="79" t="n">
        <v>7</v>
      </c>
      <c r="B639" s="79" t="n">
        <v>43</v>
      </c>
      <c r="C639" s="80">
        <f>(B639-0.5)*'14_지역·상수'!$H$6</f>
        <v/>
      </c>
      <c r="D639" s="79" t="n">
        <v>198</v>
      </c>
      <c r="E639" s="80">
        <f>INDEX($C$4:$C$15,MATCH(A639,$A$4:$A$15,0))</f>
        <v/>
      </c>
      <c r="F639" s="80">
        <f>15*(C639-12)</f>
        <v/>
      </c>
      <c r="G639" s="80">
        <f>-COS(RADIANS(E639))*SIN(RADIANS(F639))</f>
        <v/>
      </c>
      <c r="H639" s="80">
        <f>COS(RADIANS('11_발전량_모델'!$B$17))*SIN(RADIANS(E639))-SIN(RADIANS('11_발전량_모델'!$B$17))*COS(RADIANS(E639))*COS(RADIANS(F639))</f>
        <v/>
      </c>
      <c r="I639" s="80">
        <f>SIN(RADIANS('11_발전량_모델'!$B$17))*SIN(RADIANS(E639))+COS(RADIANS('11_발전량_모델'!$B$17))*COS(RADIANS(E639))*COS(RADIANS(F639))</f>
        <v/>
      </c>
      <c r="J639" s="80">
        <f>SIN(RADIANS('11_발전량_모델'!$B$7))*SIN(RADIANS('11_발전량_모델'!$B$8))</f>
        <v/>
      </c>
      <c r="K639" s="80">
        <f>SIN(RADIANS('11_발전량_모델'!$B$7))*COS(RADIANS('11_발전량_모델'!$B$8))</f>
        <v/>
      </c>
      <c r="L639" s="80">
        <f>COS(RADIANS('11_발전량_모델'!$B$7))</f>
        <v/>
      </c>
      <c r="M639" s="80">
        <f>G639*J639+H639*K639+I639*L639</f>
        <v/>
      </c>
      <c r="N639" s="80">
        <f>MAX(0,I639)</f>
        <v/>
      </c>
      <c r="O639" s="80">
        <f>IF(I639&gt;0,MAX(0,M639),0)</f>
        <v/>
      </c>
      <c r="P639" s="80">
        <f>IF($I639&gt;0,MAX(0,$G639*SIN(RADIANS('13_시나리오비교'!$B$5))*SIN(RADIANS('13_시나리오비교'!$C$5))+$H639*SIN(RADIANS('13_시나리오비교'!$B$5))*COS(RADIANS('13_시나리오비교'!$C$5))+$I639*COS(RADIANS('13_시나리오비교'!$B$5))),0)</f>
        <v/>
      </c>
      <c r="Q639" s="80">
        <f>IF($I639&gt;0,MAX(0,$G639*SIN(RADIANS('13_시나리오비교'!$B$6))*SIN(RADIANS('13_시나리오비교'!$C$6))+$H639*SIN(RADIANS('13_시나리오비교'!$B$6))*COS(RADIANS('13_시나리오비교'!$C$6))+$I639*COS(RADIANS('13_시나리오비교'!$B$6))),0)</f>
        <v/>
      </c>
      <c r="R639" s="80">
        <f>IF($I639&gt;0,MAX(0,$G639*SIN(RADIANS('13_시나리오비교'!$B$7))*SIN(RADIANS('13_시나리오비교'!$C$7))+$H639*SIN(RADIANS('13_시나리오비교'!$B$7))*COS(RADIANS('13_시나리오비교'!$C$7))+$I639*COS(RADIANS('13_시나리오비교'!$B$7))),0)</f>
        <v/>
      </c>
      <c r="S639" s="80">
        <f>IF($I639&gt;0,MAX(0,$G639*SIN(RADIANS('13_시나리오비교'!$B$8))*SIN(RADIANS('13_시나리오비교'!$C$8))+$H639*SIN(RADIANS('13_시나리오비교'!$B$8))*COS(RADIANS('13_시나리오비교'!$C$8))+$I639*COS(RADIANS('13_시나리오비교'!$B$8))),0)</f>
        <v/>
      </c>
      <c r="T639" s="80">
        <f>IF($I639&gt;0,MAX(0,$G639*SIN(RADIANS('13_시나리오비교'!$B$9))*SIN(RADIANS('13_시나리오비교'!$C$9))+$H639*SIN(RADIANS('13_시나리오비교'!$B$9))*COS(RADIANS('13_시나리오비교'!$C$9))+$I639*COS(RADIANS('13_시나리오비교'!$B$9))),0)</f>
        <v/>
      </c>
      <c r="U639" s="80">
        <f>IF($I639&gt;0,MAX(0,$G639*SIN(RADIANS('13_시나리오비교'!$B$10))*SIN(RADIANS('13_시나리오비교'!$C$10))+$H639*SIN(RADIANS('13_시나리오비교'!$B$10))*COS(RADIANS('13_시나리오비교'!$C$10))+$I639*COS(RADIANS('13_시나리오비교'!$B$10))),0)</f>
        <v/>
      </c>
      <c r="V639" s="80">
        <f>IF($I639&gt;0,MAX(0,$G639*SIN(RADIANS('13_시나리오비교'!$B$11))*SIN(RADIANS('13_시나리오비교'!$C$11))+$H639*SIN(RADIANS('13_시나리오비교'!$B$11))*COS(RADIANS('13_시나리오비교'!$C$11))+$I639*COS(RADIANS('13_시나리오비교'!$B$11))),0)</f>
        <v/>
      </c>
      <c r="W639" s="80">
        <f>IF($I639&gt;0,MAX(0,$G639*SIN(RADIANS('13_시나리오비교'!$B$12))*SIN(RADIANS('13_시나리오비교'!$C$12))+$H639*SIN(RADIANS('13_시나리오비교'!$B$12))*COS(RADIANS('13_시나리오비교'!$C$12))+$I639*COS(RADIANS('13_시나리오비교'!$B$12))),0)</f>
        <v/>
      </c>
      <c r="X639" s="80">
        <f>IF($I639&gt;0,MAX(0,$G639*SIN(RADIANS('13_시나리오비교'!$B$13))*SIN(RADIANS('13_시나리오비교'!$C$13))+$H639*SIN(RADIANS('13_시나리오비교'!$B$13))*COS(RADIANS('13_시나리오비교'!$C$13))+$I639*COS(RADIANS('13_시나리오비교'!$B$13))),0)</f>
        <v/>
      </c>
      <c r="Y639" s="80">
        <f>IF($I639&gt;0,MAX(0,$G639*SIN(RADIANS('13_시나리오비교'!$B$14))*SIN(RADIANS('13_시나리오비교'!$C$14))+$H639*SIN(RADIANS('13_시나리오비교'!$B$14))*COS(RADIANS('13_시나리오비교'!$C$14))+$I639*COS(RADIANS('13_시나리오비교'!$B$14))),0)</f>
        <v/>
      </c>
    </row>
    <row r="640" hidden="1" outlineLevel="1">
      <c r="A640" s="79" t="n">
        <v>7</v>
      </c>
      <c r="B640" s="79" t="n">
        <v>44</v>
      </c>
      <c r="C640" s="80">
        <f>(B640-0.5)*'14_지역·상수'!$H$6</f>
        <v/>
      </c>
      <c r="D640" s="79" t="n">
        <v>198</v>
      </c>
      <c r="E640" s="80">
        <f>INDEX($C$4:$C$15,MATCH(A640,$A$4:$A$15,0))</f>
        <v/>
      </c>
      <c r="F640" s="80">
        <f>15*(C640-12)</f>
        <v/>
      </c>
      <c r="G640" s="80">
        <f>-COS(RADIANS(E640))*SIN(RADIANS(F640))</f>
        <v/>
      </c>
      <c r="H640" s="80">
        <f>COS(RADIANS('11_발전량_모델'!$B$17))*SIN(RADIANS(E640))-SIN(RADIANS('11_발전량_모델'!$B$17))*COS(RADIANS(E640))*COS(RADIANS(F640))</f>
        <v/>
      </c>
      <c r="I640" s="80">
        <f>SIN(RADIANS('11_발전량_모델'!$B$17))*SIN(RADIANS(E640))+COS(RADIANS('11_발전량_모델'!$B$17))*COS(RADIANS(E640))*COS(RADIANS(F640))</f>
        <v/>
      </c>
      <c r="J640" s="80">
        <f>SIN(RADIANS('11_발전량_모델'!$B$7))*SIN(RADIANS('11_발전량_모델'!$B$8))</f>
        <v/>
      </c>
      <c r="K640" s="80">
        <f>SIN(RADIANS('11_발전량_모델'!$B$7))*COS(RADIANS('11_발전량_모델'!$B$8))</f>
        <v/>
      </c>
      <c r="L640" s="80">
        <f>COS(RADIANS('11_발전량_모델'!$B$7))</f>
        <v/>
      </c>
      <c r="M640" s="80">
        <f>G640*J640+H640*K640+I640*L640</f>
        <v/>
      </c>
      <c r="N640" s="80">
        <f>MAX(0,I640)</f>
        <v/>
      </c>
      <c r="O640" s="80">
        <f>IF(I640&gt;0,MAX(0,M640),0)</f>
        <v/>
      </c>
      <c r="P640" s="80">
        <f>IF($I640&gt;0,MAX(0,$G640*SIN(RADIANS('13_시나리오비교'!$B$5))*SIN(RADIANS('13_시나리오비교'!$C$5))+$H640*SIN(RADIANS('13_시나리오비교'!$B$5))*COS(RADIANS('13_시나리오비교'!$C$5))+$I640*COS(RADIANS('13_시나리오비교'!$B$5))),0)</f>
        <v/>
      </c>
      <c r="Q640" s="80">
        <f>IF($I640&gt;0,MAX(0,$G640*SIN(RADIANS('13_시나리오비교'!$B$6))*SIN(RADIANS('13_시나리오비교'!$C$6))+$H640*SIN(RADIANS('13_시나리오비교'!$B$6))*COS(RADIANS('13_시나리오비교'!$C$6))+$I640*COS(RADIANS('13_시나리오비교'!$B$6))),0)</f>
        <v/>
      </c>
      <c r="R640" s="80">
        <f>IF($I640&gt;0,MAX(0,$G640*SIN(RADIANS('13_시나리오비교'!$B$7))*SIN(RADIANS('13_시나리오비교'!$C$7))+$H640*SIN(RADIANS('13_시나리오비교'!$B$7))*COS(RADIANS('13_시나리오비교'!$C$7))+$I640*COS(RADIANS('13_시나리오비교'!$B$7))),0)</f>
        <v/>
      </c>
      <c r="S640" s="80">
        <f>IF($I640&gt;0,MAX(0,$G640*SIN(RADIANS('13_시나리오비교'!$B$8))*SIN(RADIANS('13_시나리오비교'!$C$8))+$H640*SIN(RADIANS('13_시나리오비교'!$B$8))*COS(RADIANS('13_시나리오비교'!$C$8))+$I640*COS(RADIANS('13_시나리오비교'!$B$8))),0)</f>
        <v/>
      </c>
      <c r="T640" s="80">
        <f>IF($I640&gt;0,MAX(0,$G640*SIN(RADIANS('13_시나리오비교'!$B$9))*SIN(RADIANS('13_시나리오비교'!$C$9))+$H640*SIN(RADIANS('13_시나리오비교'!$B$9))*COS(RADIANS('13_시나리오비교'!$C$9))+$I640*COS(RADIANS('13_시나리오비교'!$B$9))),0)</f>
        <v/>
      </c>
      <c r="U640" s="80">
        <f>IF($I640&gt;0,MAX(0,$G640*SIN(RADIANS('13_시나리오비교'!$B$10))*SIN(RADIANS('13_시나리오비교'!$C$10))+$H640*SIN(RADIANS('13_시나리오비교'!$B$10))*COS(RADIANS('13_시나리오비교'!$C$10))+$I640*COS(RADIANS('13_시나리오비교'!$B$10))),0)</f>
        <v/>
      </c>
      <c r="V640" s="80">
        <f>IF($I640&gt;0,MAX(0,$G640*SIN(RADIANS('13_시나리오비교'!$B$11))*SIN(RADIANS('13_시나리오비교'!$C$11))+$H640*SIN(RADIANS('13_시나리오비교'!$B$11))*COS(RADIANS('13_시나리오비교'!$C$11))+$I640*COS(RADIANS('13_시나리오비교'!$B$11))),0)</f>
        <v/>
      </c>
      <c r="W640" s="80">
        <f>IF($I640&gt;0,MAX(0,$G640*SIN(RADIANS('13_시나리오비교'!$B$12))*SIN(RADIANS('13_시나리오비교'!$C$12))+$H640*SIN(RADIANS('13_시나리오비교'!$B$12))*COS(RADIANS('13_시나리오비교'!$C$12))+$I640*COS(RADIANS('13_시나리오비교'!$B$12))),0)</f>
        <v/>
      </c>
      <c r="X640" s="80">
        <f>IF($I640&gt;0,MAX(0,$G640*SIN(RADIANS('13_시나리오비교'!$B$13))*SIN(RADIANS('13_시나리오비교'!$C$13))+$H640*SIN(RADIANS('13_시나리오비교'!$B$13))*COS(RADIANS('13_시나리오비교'!$C$13))+$I640*COS(RADIANS('13_시나리오비교'!$B$13))),0)</f>
        <v/>
      </c>
      <c r="Y640" s="80">
        <f>IF($I640&gt;0,MAX(0,$G640*SIN(RADIANS('13_시나리오비교'!$B$14))*SIN(RADIANS('13_시나리오비교'!$C$14))+$H640*SIN(RADIANS('13_시나리오비교'!$B$14))*COS(RADIANS('13_시나리오비교'!$C$14))+$I640*COS(RADIANS('13_시나리오비교'!$B$14))),0)</f>
        <v/>
      </c>
    </row>
    <row r="641" hidden="1" outlineLevel="1">
      <c r="A641" s="79" t="n">
        <v>7</v>
      </c>
      <c r="B641" s="79" t="n">
        <v>45</v>
      </c>
      <c r="C641" s="80">
        <f>(B641-0.5)*'14_지역·상수'!$H$6</f>
        <v/>
      </c>
      <c r="D641" s="79" t="n">
        <v>198</v>
      </c>
      <c r="E641" s="80">
        <f>INDEX($C$4:$C$15,MATCH(A641,$A$4:$A$15,0))</f>
        <v/>
      </c>
      <c r="F641" s="80">
        <f>15*(C641-12)</f>
        <v/>
      </c>
      <c r="G641" s="80">
        <f>-COS(RADIANS(E641))*SIN(RADIANS(F641))</f>
        <v/>
      </c>
      <c r="H641" s="80">
        <f>COS(RADIANS('11_발전량_모델'!$B$17))*SIN(RADIANS(E641))-SIN(RADIANS('11_발전량_모델'!$B$17))*COS(RADIANS(E641))*COS(RADIANS(F641))</f>
        <v/>
      </c>
      <c r="I641" s="80">
        <f>SIN(RADIANS('11_발전량_모델'!$B$17))*SIN(RADIANS(E641))+COS(RADIANS('11_발전량_모델'!$B$17))*COS(RADIANS(E641))*COS(RADIANS(F641))</f>
        <v/>
      </c>
      <c r="J641" s="80">
        <f>SIN(RADIANS('11_발전량_모델'!$B$7))*SIN(RADIANS('11_발전량_모델'!$B$8))</f>
        <v/>
      </c>
      <c r="K641" s="80">
        <f>SIN(RADIANS('11_발전량_모델'!$B$7))*COS(RADIANS('11_발전량_모델'!$B$8))</f>
        <v/>
      </c>
      <c r="L641" s="80">
        <f>COS(RADIANS('11_발전량_모델'!$B$7))</f>
        <v/>
      </c>
      <c r="M641" s="80">
        <f>G641*J641+H641*K641+I641*L641</f>
        <v/>
      </c>
      <c r="N641" s="80">
        <f>MAX(0,I641)</f>
        <v/>
      </c>
      <c r="O641" s="80">
        <f>IF(I641&gt;0,MAX(0,M641),0)</f>
        <v/>
      </c>
      <c r="P641" s="80">
        <f>IF($I641&gt;0,MAX(0,$G641*SIN(RADIANS('13_시나리오비교'!$B$5))*SIN(RADIANS('13_시나리오비교'!$C$5))+$H641*SIN(RADIANS('13_시나리오비교'!$B$5))*COS(RADIANS('13_시나리오비교'!$C$5))+$I641*COS(RADIANS('13_시나리오비교'!$B$5))),0)</f>
        <v/>
      </c>
      <c r="Q641" s="80">
        <f>IF($I641&gt;0,MAX(0,$G641*SIN(RADIANS('13_시나리오비교'!$B$6))*SIN(RADIANS('13_시나리오비교'!$C$6))+$H641*SIN(RADIANS('13_시나리오비교'!$B$6))*COS(RADIANS('13_시나리오비교'!$C$6))+$I641*COS(RADIANS('13_시나리오비교'!$B$6))),0)</f>
        <v/>
      </c>
      <c r="R641" s="80">
        <f>IF($I641&gt;0,MAX(0,$G641*SIN(RADIANS('13_시나리오비교'!$B$7))*SIN(RADIANS('13_시나리오비교'!$C$7))+$H641*SIN(RADIANS('13_시나리오비교'!$B$7))*COS(RADIANS('13_시나리오비교'!$C$7))+$I641*COS(RADIANS('13_시나리오비교'!$B$7))),0)</f>
        <v/>
      </c>
      <c r="S641" s="80">
        <f>IF($I641&gt;0,MAX(0,$G641*SIN(RADIANS('13_시나리오비교'!$B$8))*SIN(RADIANS('13_시나리오비교'!$C$8))+$H641*SIN(RADIANS('13_시나리오비교'!$B$8))*COS(RADIANS('13_시나리오비교'!$C$8))+$I641*COS(RADIANS('13_시나리오비교'!$B$8))),0)</f>
        <v/>
      </c>
      <c r="T641" s="80">
        <f>IF($I641&gt;0,MAX(0,$G641*SIN(RADIANS('13_시나리오비교'!$B$9))*SIN(RADIANS('13_시나리오비교'!$C$9))+$H641*SIN(RADIANS('13_시나리오비교'!$B$9))*COS(RADIANS('13_시나리오비교'!$C$9))+$I641*COS(RADIANS('13_시나리오비교'!$B$9))),0)</f>
        <v/>
      </c>
      <c r="U641" s="80">
        <f>IF($I641&gt;0,MAX(0,$G641*SIN(RADIANS('13_시나리오비교'!$B$10))*SIN(RADIANS('13_시나리오비교'!$C$10))+$H641*SIN(RADIANS('13_시나리오비교'!$B$10))*COS(RADIANS('13_시나리오비교'!$C$10))+$I641*COS(RADIANS('13_시나리오비교'!$B$10))),0)</f>
        <v/>
      </c>
      <c r="V641" s="80">
        <f>IF($I641&gt;0,MAX(0,$G641*SIN(RADIANS('13_시나리오비교'!$B$11))*SIN(RADIANS('13_시나리오비교'!$C$11))+$H641*SIN(RADIANS('13_시나리오비교'!$B$11))*COS(RADIANS('13_시나리오비교'!$C$11))+$I641*COS(RADIANS('13_시나리오비교'!$B$11))),0)</f>
        <v/>
      </c>
      <c r="W641" s="80">
        <f>IF($I641&gt;0,MAX(0,$G641*SIN(RADIANS('13_시나리오비교'!$B$12))*SIN(RADIANS('13_시나리오비교'!$C$12))+$H641*SIN(RADIANS('13_시나리오비교'!$B$12))*COS(RADIANS('13_시나리오비교'!$C$12))+$I641*COS(RADIANS('13_시나리오비교'!$B$12))),0)</f>
        <v/>
      </c>
      <c r="X641" s="80">
        <f>IF($I641&gt;0,MAX(0,$G641*SIN(RADIANS('13_시나리오비교'!$B$13))*SIN(RADIANS('13_시나리오비교'!$C$13))+$H641*SIN(RADIANS('13_시나리오비교'!$B$13))*COS(RADIANS('13_시나리오비교'!$C$13))+$I641*COS(RADIANS('13_시나리오비교'!$B$13))),0)</f>
        <v/>
      </c>
      <c r="Y641" s="80">
        <f>IF($I641&gt;0,MAX(0,$G641*SIN(RADIANS('13_시나리오비교'!$B$14))*SIN(RADIANS('13_시나리오비교'!$C$14))+$H641*SIN(RADIANS('13_시나리오비교'!$B$14))*COS(RADIANS('13_시나리오비교'!$C$14))+$I641*COS(RADIANS('13_시나리오비교'!$B$14))),0)</f>
        <v/>
      </c>
    </row>
    <row r="642" hidden="1" outlineLevel="1">
      <c r="A642" s="79" t="n">
        <v>7</v>
      </c>
      <c r="B642" s="79" t="n">
        <v>46</v>
      </c>
      <c r="C642" s="80">
        <f>(B642-0.5)*'14_지역·상수'!$H$6</f>
        <v/>
      </c>
      <c r="D642" s="79" t="n">
        <v>198</v>
      </c>
      <c r="E642" s="80">
        <f>INDEX($C$4:$C$15,MATCH(A642,$A$4:$A$15,0))</f>
        <v/>
      </c>
      <c r="F642" s="80">
        <f>15*(C642-12)</f>
        <v/>
      </c>
      <c r="G642" s="80">
        <f>-COS(RADIANS(E642))*SIN(RADIANS(F642))</f>
        <v/>
      </c>
      <c r="H642" s="80">
        <f>COS(RADIANS('11_발전량_모델'!$B$17))*SIN(RADIANS(E642))-SIN(RADIANS('11_발전량_모델'!$B$17))*COS(RADIANS(E642))*COS(RADIANS(F642))</f>
        <v/>
      </c>
      <c r="I642" s="80">
        <f>SIN(RADIANS('11_발전량_모델'!$B$17))*SIN(RADIANS(E642))+COS(RADIANS('11_발전량_모델'!$B$17))*COS(RADIANS(E642))*COS(RADIANS(F642))</f>
        <v/>
      </c>
      <c r="J642" s="80">
        <f>SIN(RADIANS('11_발전량_모델'!$B$7))*SIN(RADIANS('11_발전량_모델'!$B$8))</f>
        <v/>
      </c>
      <c r="K642" s="80">
        <f>SIN(RADIANS('11_발전량_모델'!$B$7))*COS(RADIANS('11_발전량_모델'!$B$8))</f>
        <v/>
      </c>
      <c r="L642" s="80">
        <f>COS(RADIANS('11_발전량_모델'!$B$7))</f>
        <v/>
      </c>
      <c r="M642" s="80">
        <f>G642*J642+H642*K642+I642*L642</f>
        <v/>
      </c>
      <c r="N642" s="80">
        <f>MAX(0,I642)</f>
        <v/>
      </c>
      <c r="O642" s="80">
        <f>IF(I642&gt;0,MAX(0,M642),0)</f>
        <v/>
      </c>
      <c r="P642" s="80">
        <f>IF($I642&gt;0,MAX(0,$G642*SIN(RADIANS('13_시나리오비교'!$B$5))*SIN(RADIANS('13_시나리오비교'!$C$5))+$H642*SIN(RADIANS('13_시나리오비교'!$B$5))*COS(RADIANS('13_시나리오비교'!$C$5))+$I642*COS(RADIANS('13_시나리오비교'!$B$5))),0)</f>
        <v/>
      </c>
      <c r="Q642" s="80">
        <f>IF($I642&gt;0,MAX(0,$G642*SIN(RADIANS('13_시나리오비교'!$B$6))*SIN(RADIANS('13_시나리오비교'!$C$6))+$H642*SIN(RADIANS('13_시나리오비교'!$B$6))*COS(RADIANS('13_시나리오비교'!$C$6))+$I642*COS(RADIANS('13_시나리오비교'!$B$6))),0)</f>
        <v/>
      </c>
      <c r="R642" s="80">
        <f>IF($I642&gt;0,MAX(0,$G642*SIN(RADIANS('13_시나리오비교'!$B$7))*SIN(RADIANS('13_시나리오비교'!$C$7))+$H642*SIN(RADIANS('13_시나리오비교'!$B$7))*COS(RADIANS('13_시나리오비교'!$C$7))+$I642*COS(RADIANS('13_시나리오비교'!$B$7))),0)</f>
        <v/>
      </c>
      <c r="S642" s="80">
        <f>IF($I642&gt;0,MAX(0,$G642*SIN(RADIANS('13_시나리오비교'!$B$8))*SIN(RADIANS('13_시나리오비교'!$C$8))+$H642*SIN(RADIANS('13_시나리오비교'!$B$8))*COS(RADIANS('13_시나리오비교'!$C$8))+$I642*COS(RADIANS('13_시나리오비교'!$B$8))),0)</f>
        <v/>
      </c>
      <c r="T642" s="80">
        <f>IF($I642&gt;0,MAX(0,$G642*SIN(RADIANS('13_시나리오비교'!$B$9))*SIN(RADIANS('13_시나리오비교'!$C$9))+$H642*SIN(RADIANS('13_시나리오비교'!$B$9))*COS(RADIANS('13_시나리오비교'!$C$9))+$I642*COS(RADIANS('13_시나리오비교'!$B$9))),0)</f>
        <v/>
      </c>
      <c r="U642" s="80">
        <f>IF($I642&gt;0,MAX(0,$G642*SIN(RADIANS('13_시나리오비교'!$B$10))*SIN(RADIANS('13_시나리오비교'!$C$10))+$H642*SIN(RADIANS('13_시나리오비교'!$B$10))*COS(RADIANS('13_시나리오비교'!$C$10))+$I642*COS(RADIANS('13_시나리오비교'!$B$10))),0)</f>
        <v/>
      </c>
      <c r="V642" s="80">
        <f>IF($I642&gt;0,MAX(0,$G642*SIN(RADIANS('13_시나리오비교'!$B$11))*SIN(RADIANS('13_시나리오비교'!$C$11))+$H642*SIN(RADIANS('13_시나리오비교'!$B$11))*COS(RADIANS('13_시나리오비교'!$C$11))+$I642*COS(RADIANS('13_시나리오비교'!$B$11))),0)</f>
        <v/>
      </c>
      <c r="W642" s="80">
        <f>IF($I642&gt;0,MAX(0,$G642*SIN(RADIANS('13_시나리오비교'!$B$12))*SIN(RADIANS('13_시나리오비교'!$C$12))+$H642*SIN(RADIANS('13_시나리오비교'!$B$12))*COS(RADIANS('13_시나리오비교'!$C$12))+$I642*COS(RADIANS('13_시나리오비교'!$B$12))),0)</f>
        <v/>
      </c>
      <c r="X642" s="80">
        <f>IF($I642&gt;0,MAX(0,$G642*SIN(RADIANS('13_시나리오비교'!$B$13))*SIN(RADIANS('13_시나리오비교'!$C$13))+$H642*SIN(RADIANS('13_시나리오비교'!$B$13))*COS(RADIANS('13_시나리오비교'!$C$13))+$I642*COS(RADIANS('13_시나리오비교'!$B$13))),0)</f>
        <v/>
      </c>
      <c r="Y642" s="80">
        <f>IF($I642&gt;0,MAX(0,$G642*SIN(RADIANS('13_시나리오비교'!$B$14))*SIN(RADIANS('13_시나리오비교'!$C$14))+$H642*SIN(RADIANS('13_시나리오비교'!$B$14))*COS(RADIANS('13_시나리오비교'!$C$14))+$I642*COS(RADIANS('13_시나리오비교'!$B$14))),0)</f>
        <v/>
      </c>
    </row>
    <row r="643" hidden="1" outlineLevel="1">
      <c r="A643" s="79" t="n">
        <v>7</v>
      </c>
      <c r="B643" s="79" t="n">
        <v>47</v>
      </c>
      <c r="C643" s="80">
        <f>(B643-0.5)*'14_지역·상수'!$H$6</f>
        <v/>
      </c>
      <c r="D643" s="79" t="n">
        <v>198</v>
      </c>
      <c r="E643" s="80">
        <f>INDEX($C$4:$C$15,MATCH(A643,$A$4:$A$15,0))</f>
        <v/>
      </c>
      <c r="F643" s="80">
        <f>15*(C643-12)</f>
        <v/>
      </c>
      <c r="G643" s="80">
        <f>-COS(RADIANS(E643))*SIN(RADIANS(F643))</f>
        <v/>
      </c>
      <c r="H643" s="80">
        <f>COS(RADIANS('11_발전량_모델'!$B$17))*SIN(RADIANS(E643))-SIN(RADIANS('11_발전량_모델'!$B$17))*COS(RADIANS(E643))*COS(RADIANS(F643))</f>
        <v/>
      </c>
      <c r="I643" s="80">
        <f>SIN(RADIANS('11_발전량_모델'!$B$17))*SIN(RADIANS(E643))+COS(RADIANS('11_발전량_모델'!$B$17))*COS(RADIANS(E643))*COS(RADIANS(F643))</f>
        <v/>
      </c>
      <c r="J643" s="80">
        <f>SIN(RADIANS('11_발전량_모델'!$B$7))*SIN(RADIANS('11_발전량_모델'!$B$8))</f>
        <v/>
      </c>
      <c r="K643" s="80">
        <f>SIN(RADIANS('11_발전량_모델'!$B$7))*COS(RADIANS('11_발전량_모델'!$B$8))</f>
        <v/>
      </c>
      <c r="L643" s="80">
        <f>COS(RADIANS('11_발전량_모델'!$B$7))</f>
        <v/>
      </c>
      <c r="M643" s="80">
        <f>G643*J643+H643*K643+I643*L643</f>
        <v/>
      </c>
      <c r="N643" s="80">
        <f>MAX(0,I643)</f>
        <v/>
      </c>
      <c r="O643" s="80">
        <f>IF(I643&gt;0,MAX(0,M643),0)</f>
        <v/>
      </c>
      <c r="P643" s="80">
        <f>IF($I643&gt;0,MAX(0,$G643*SIN(RADIANS('13_시나리오비교'!$B$5))*SIN(RADIANS('13_시나리오비교'!$C$5))+$H643*SIN(RADIANS('13_시나리오비교'!$B$5))*COS(RADIANS('13_시나리오비교'!$C$5))+$I643*COS(RADIANS('13_시나리오비교'!$B$5))),0)</f>
        <v/>
      </c>
      <c r="Q643" s="80">
        <f>IF($I643&gt;0,MAX(0,$G643*SIN(RADIANS('13_시나리오비교'!$B$6))*SIN(RADIANS('13_시나리오비교'!$C$6))+$H643*SIN(RADIANS('13_시나리오비교'!$B$6))*COS(RADIANS('13_시나리오비교'!$C$6))+$I643*COS(RADIANS('13_시나리오비교'!$B$6))),0)</f>
        <v/>
      </c>
      <c r="R643" s="80">
        <f>IF($I643&gt;0,MAX(0,$G643*SIN(RADIANS('13_시나리오비교'!$B$7))*SIN(RADIANS('13_시나리오비교'!$C$7))+$H643*SIN(RADIANS('13_시나리오비교'!$B$7))*COS(RADIANS('13_시나리오비교'!$C$7))+$I643*COS(RADIANS('13_시나리오비교'!$B$7))),0)</f>
        <v/>
      </c>
      <c r="S643" s="80">
        <f>IF($I643&gt;0,MAX(0,$G643*SIN(RADIANS('13_시나리오비교'!$B$8))*SIN(RADIANS('13_시나리오비교'!$C$8))+$H643*SIN(RADIANS('13_시나리오비교'!$B$8))*COS(RADIANS('13_시나리오비교'!$C$8))+$I643*COS(RADIANS('13_시나리오비교'!$B$8))),0)</f>
        <v/>
      </c>
      <c r="T643" s="80">
        <f>IF($I643&gt;0,MAX(0,$G643*SIN(RADIANS('13_시나리오비교'!$B$9))*SIN(RADIANS('13_시나리오비교'!$C$9))+$H643*SIN(RADIANS('13_시나리오비교'!$B$9))*COS(RADIANS('13_시나리오비교'!$C$9))+$I643*COS(RADIANS('13_시나리오비교'!$B$9))),0)</f>
        <v/>
      </c>
      <c r="U643" s="80">
        <f>IF($I643&gt;0,MAX(0,$G643*SIN(RADIANS('13_시나리오비교'!$B$10))*SIN(RADIANS('13_시나리오비교'!$C$10))+$H643*SIN(RADIANS('13_시나리오비교'!$B$10))*COS(RADIANS('13_시나리오비교'!$C$10))+$I643*COS(RADIANS('13_시나리오비교'!$B$10))),0)</f>
        <v/>
      </c>
      <c r="V643" s="80">
        <f>IF($I643&gt;0,MAX(0,$G643*SIN(RADIANS('13_시나리오비교'!$B$11))*SIN(RADIANS('13_시나리오비교'!$C$11))+$H643*SIN(RADIANS('13_시나리오비교'!$B$11))*COS(RADIANS('13_시나리오비교'!$C$11))+$I643*COS(RADIANS('13_시나리오비교'!$B$11))),0)</f>
        <v/>
      </c>
      <c r="W643" s="80">
        <f>IF($I643&gt;0,MAX(0,$G643*SIN(RADIANS('13_시나리오비교'!$B$12))*SIN(RADIANS('13_시나리오비교'!$C$12))+$H643*SIN(RADIANS('13_시나리오비교'!$B$12))*COS(RADIANS('13_시나리오비교'!$C$12))+$I643*COS(RADIANS('13_시나리오비교'!$B$12))),0)</f>
        <v/>
      </c>
      <c r="X643" s="80">
        <f>IF($I643&gt;0,MAX(0,$G643*SIN(RADIANS('13_시나리오비교'!$B$13))*SIN(RADIANS('13_시나리오비교'!$C$13))+$H643*SIN(RADIANS('13_시나리오비교'!$B$13))*COS(RADIANS('13_시나리오비교'!$C$13))+$I643*COS(RADIANS('13_시나리오비교'!$B$13))),0)</f>
        <v/>
      </c>
      <c r="Y643" s="80">
        <f>IF($I643&gt;0,MAX(0,$G643*SIN(RADIANS('13_시나리오비교'!$B$14))*SIN(RADIANS('13_시나리오비교'!$C$14))+$H643*SIN(RADIANS('13_시나리오비교'!$B$14))*COS(RADIANS('13_시나리오비교'!$C$14))+$I643*COS(RADIANS('13_시나리오비교'!$B$14))),0)</f>
        <v/>
      </c>
    </row>
    <row r="644" hidden="1" outlineLevel="1">
      <c r="A644" s="79" t="n">
        <v>7</v>
      </c>
      <c r="B644" s="79" t="n">
        <v>48</v>
      </c>
      <c r="C644" s="80">
        <f>(B644-0.5)*'14_지역·상수'!$H$6</f>
        <v/>
      </c>
      <c r="D644" s="79" t="n">
        <v>198</v>
      </c>
      <c r="E644" s="80">
        <f>INDEX($C$4:$C$15,MATCH(A644,$A$4:$A$15,0))</f>
        <v/>
      </c>
      <c r="F644" s="80">
        <f>15*(C644-12)</f>
        <v/>
      </c>
      <c r="G644" s="80">
        <f>-COS(RADIANS(E644))*SIN(RADIANS(F644))</f>
        <v/>
      </c>
      <c r="H644" s="80">
        <f>COS(RADIANS('11_발전량_모델'!$B$17))*SIN(RADIANS(E644))-SIN(RADIANS('11_발전량_모델'!$B$17))*COS(RADIANS(E644))*COS(RADIANS(F644))</f>
        <v/>
      </c>
      <c r="I644" s="80">
        <f>SIN(RADIANS('11_발전량_모델'!$B$17))*SIN(RADIANS(E644))+COS(RADIANS('11_발전량_모델'!$B$17))*COS(RADIANS(E644))*COS(RADIANS(F644))</f>
        <v/>
      </c>
      <c r="J644" s="80">
        <f>SIN(RADIANS('11_발전량_모델'!$B$7))*SIN(RADIANS('11_발전량_모델'!$B$8))</f>
        <v/>
      </c>
      <c r="K644" s="80">
        <f>SIN(RADIANS('11_발전량_모델'!$B$7))*COS(RADIANS('11_발전량_모델'!$B$8))</f>
        <v/>
      </c>
      <c r="L644" s="80">
        <f>COS(RADIANS('11_발전량_모델'!$B$7))</f>
        <v/>
      </c>
      <c r="M644" s="80">
        <f>G644*J644+H644*K644+I644*L644</f>
        <v/>
      </c>
      <c r="N644" s="80">
        <f>MAX(0,I644)</f>
        <v/>
      </c>
      <c r="O644" s="80">
        <f>IF(I644&gt;0,MAX(0,M644),0)</f>
        <v/>
      </c>
      <c r="P644" s="80">
        <f>IF($I644&gt;0,MAX(0,$G644*SIN(RADIANS('13_시나리오비교'!$B$5))*SIN(RADIANS('13_시나리오비교'!$C$5))+$H644*SIN(RADIANS('13_시나리오비교'!$B$5))*COS(RADIANS('13_시나리오비교'!$C$5))+$I644*COS(RADIANS('13_시나리오비교'!$B$5))),0)</f>
        <v/>
      </c>
      <c r="Q644" s="80">
        <f>IF($I644&gt;0,MAX(0,$G644*SIN(RADIANS('13_시나리오비교'!$B$6))*SIN(RADIANS('13_시나리오비교'!$C$6))+$H644*SIN(RADIANS('13_시나리오비교'!$B$6))*COS(RADIANS('13_시나리오비교'!$C$6))+$I644*COS(RADIANS('13_시나리오비교'!$B$6))),0)</f>
        <v/>
      </c>
      <c r="R644" s="80">
        <f>IF($I644&gt;0,MAX(0,$G644*SIN(RADIANS('13_시나리오비교'!$B$7))*SIN(RADIANS('13_시나리오비교'!$C$7))+$H644*SIN(RADIANS('13_시나리오비교'!$B$7))*COS(RADIANS('13_시나리오비교'!$C$7))+$I644*COS(RADIANS('13_시나리오비교'!$B$7))),0)</f>
        <v/>
      </c>
      <c r="S644" s="80">
        <f>IF($I644&gt;0,MAX(0,$G644*SIN(RADIANS('13_시나리오비교'!$B$8))*SIN(RADIANS('13_시나리오비교'!$C$8))+$H644*SIN(RADIANS('13_시나리오비교'!$B$8))*COS(RADIANS('13_시나리오비교'!$C$8))+$I644*COS(RADIANS('13_시나리오비교'!$B$8))),0)</f>
        <v/>
      </c>
      <c r="T644" s="80">
        <f>IF($I644&gt;0,MAX(0,$G644*SIN(RADIANS('13_시나리오비교'!$B$9))*SIN(RADIANS('13_시나리오비교'!$C$9))+$H644*SIN(RADIANS('13_시나리오비교'!$B$9))*COS(RADIANS('13_시나리오비교'!$C$9))+$I644*COS(RADIANS('13_시나리오비교'!$B$9))),0)</f>
        <v/>
      </c>
      <c r="U644" s="80">
        <f>IF($I644&gt;0,MAX(0,$G644*SIN(RADIANS('13_시나리오비교'!$B$10))*SIN(RADIANS('13_시나리오비교'!$C$10))+$H644*SIN(RADIANS('13_시나리오비교'!$B$10))*COS(RADIANS('13_시나리오비교'!$C$10))+$I644*COS(RADIANS('13_시나리오비교'!$B$10))),0)</f>
        <v/>
      </c>
      <c r="V644" s="80">
        <f>IF($I644&gt;0,MAX(0,$G644*SIN(RADIANS('13_시나리오비교'!$B$11))*SIN(RADIANS('13_시나리오비교'!$C$11))+$H644*SIN(RADIANS('13_시나리오비교'!$B$11))*COS(RADIANS('13_시나리오비교'!$C$11))+$I644*COS(RADIANS('13_시나리오비교'!$B$11))),0)</f>
        <v/>
      </c>
      <c r="W644" s="80">
        <f>IF($I644&gt;0,MAX(0,$G644*SIN(RADIANS('13_시나리오비교'!$B$12))*SIN(RADIANS('13_시나리오비교'!$C$12))+$H644*SIN(RADIANS('13_시나리오비교'!$B$12))*COS(RADIANS('13_시나리오비교'!$C$12))+$I644*COS(RADIANS('13_시나리오비교'!$B$12))),0)</f>
        <v/>
      </c>
      <c r="X644" s="80">
        <f>IF($I644&gt;0,MAX(0,$G644*SIN(RADIANS('13_시나리오비교'!$B$13))*SIN(RADIANS('13_시나리오비교'!$C$13))+$H644*SIN(RADIANS('13_시나리오비교'!$B$13))*COS(RADIANS('13_시나리오비교'!$C$13))+$I644*COS(RADIANS('13_시나리오비교'!$B$13))),0)</f>
        <v/>
      </c>
      <c r="Y644" s="80">
        <f>IF($I644&gt;0,MAX(0,$G644*SIN(RADIANS('13_시나리오비교'!$B$14))*SIN(RADIANS('13_시나리오비교'!$C$14))+$H644*SIN(RADIANS('13_시나리오비교'!$B$14))*COS(RADIANS('13_시나리오비교'!$C$14))+$I644*COS(RADIANS('13_시나리오비교'!$B$14))),0)</f>
        <v/>
      </c>
    </row>
    <row r="645" hidden="1" outlineLevel="1">
      <c r="A645" s="79" t="n">
        <v>7</v>
      </c>
      <c r="B645" s="79" t="n">
        <v>49</v>
      </c>
      <c r="C645" s="80">
        <f>(B645-0.5)*'14_지역·상수'!$H$6</f>
        <v/>
      </c>
      <c r="D645" s="79" t="n">
        <v>198</v>
      </c>
      <c r="E645" s="80">
        <f>INDEX($C$4:$C$15,MATCH(A645,$A$4:$A$15,0))</f>
        <v/>
      </c>
      <c r="F645" s="80">
        <f>15*(C645-12)</f>
        <v/>
      </c>
      <c r="G645" s="80">
        <f>-COS(RADIANS(E645))*SIN(RADIANS(F645))</f>
        <v/>
      </c>
      <c r="H645" s="80">
        <f>COS(RADIANS('11_발전량_모델'!$B$17))*SIN(RADIANS(E645))-SIN(RADIANS('11_발전량_모델'!$B$17))*COS(RADIANS(E645))*COS(RADIANS(F645))</f>
        <v/>
      </c>
      <c r="I645" s="80">
        <f>SIN(RADIANS('11_발전량_모델'!$B$17))*SIN(RADIANS(E645))+COS(RADIANS('11_발전량_모델'!$B$17))*COS(RADIANS(E645))*COS(RADIANS(F645))</f>
        <v/>
      </c>
      <c r="J645" s="80">
        <f>SIN(RADIANS('11_발전량_모델'!$B$7))*SIN(RADIANS('11_발전량_모델'!$B$8))</f>
        <v/>
      </c>
      <c r="K645" s="80">
        <f>SIN(RADIANS('11_발전량_모델'!$B$7))*COS(RADIANS('11_발전량_모델'!$B$8))</f>
        <v/>
      </c>
      <c r="L645" s="80">
        <f>COS(RADIANS('11_발전량_모델'!$B$7))</f>
        <v/>
      </c>
      <c r="M645" s="80">
        <f>G645*J645+H645*K645+I645*L645</f>
        <v/>
      </c>
      <c r="N645" s="80">
        <f>MAX(0,I645)</f>
        <v/>
      </c>
      <c r="O645" s="80">
        <f>IF(I645&gt;0,MAX(0,M645),0)</f>
        <v/>
      </c>
      <c r="P645" s="80">
        <f>IF($I645&gt;0,MAX(0,$G645*SIN(RADIANS('13_시나리오비교'!$B$5))*SIN(RADIANS('13_시나리오비교'!$C$5))+$H645*SIN(RADIANS('13_시나리오비교'!$B$5))*COS(RADIANS('13_시나리오비교'!$C$5))+$I645*COS(RADIANS('13_시나리오비교'!$B$5))),0)</f>
        <v/>
      </c>
      <c r="Q645" s="80">
        <f>IF($I645&gt;0,MAX(0,$G645*SIN(RADIANS('13_시나리오비교'!$B$6))*SIN(RADIANS('13_시나리오비교'!$C$6))+$H645*SIN(RADIANS('13_시나리오비교'!$B$6))*COS(RADIANS('13_시나리오비교'!$C$6))+$I645*COS(RADIANS('13_시나리오비교'!$B$6))),0)</f>
        <v/>
      </c>
      <c r="R645" s="80">
        <f>IF($I645&gt;0,MAX(0,$G645*SIN(RADIANS('13_시나리오비교'!$B$7))*SIN(RADIANS('13_시나리오비교'!$C$7))+$H645*SIN(RADIANS('13_시나리오비교'!$B$7))*COS(RADIANS('13_시나리오비교'!$C$7))+$I645*COS(RADIANS('13_시나리오비교'!$B$7))),0)</f>
        <v/>
      </c>
      <c r="S645" s="80">
        <f>IF($I645&gt;0,MAX(0,$G645*SIN(RADIANS('13_시나리오비교'!$B$8))*SIN(RADIANS('13_시나리오비교'!$C$8))+$H645*SIN(RADIANS('13_시나리오비교'!$B$8))*COS(RADIANS('13_시나리오비교'!$C$8))+$I645*COS(RADIANS('13_시나리오비교'!$B$8))),0)</f>
        <v/>
      </c>
      <c r="T645" s="80">
        <f>IF($I645&gt;0,MAX(0,$G645*SIN(RADIANS('13_시나리오비교'!$B$9))*SIN(RADIANS('13_시나리오비교'!$C$9))+$H645*SIN(RADIANS('13_시나리오비교'!$B$9))*COS(RADIANS('13_시나리오비교'!$C$9))+$I645*COS(RADIANS('13_시나리오비교'!$B$9))),0)</f>
        <v/>
      </c>
      <c r="U645" s="80">
        <f>IF($I645&gt;0,MAX(0,$G645*SIN(RADIANS('13_시나리오비교'!$B$10))*SIN(RADIANS('13_시나리오비교'!$C$10))+$H645*SIN(RADIANS('13_시나리오비교'!$B$10))*COS(RADIANS('13_시나리오비교'!$C$10))+$I645*COS(RADIANS('13_시나리오비교'!$B$10))),0)</f>
        <v/>
      </c>
      <c r="V645" s="80">
        <f>IF($I645&gt;0,MAX(0,$G645*SIN(RADIANS('13_시나리오비교'!$B$11))*SIN(RADIANS('13_시나리오비교'!$C$11))+$H645*SIN(RADIANS('13_시나리오비교'!$B$11))*COS(RADIANS('13_시나리오비교'!$C$11))+$I645*COS(RADIANS('13_시나리오비교'!$B$11))),0)</f>
        <v/>
      </c>
      <c r="W645" s="80">
        <f>IF($I645&gt;0,MAX(0,$G645*SIN(RADIANS('13_시나리오비교'!$B$12))*SIN(RADIANS('13_시나리오비교'!$C$12))+$H645*SIN(RADIANS('13_시나리오비교'!$B$12))*COS(RADIANS('13_시나리오비교'!$C$12))+$I645*COS(RADIANS('13_시나리오비교'!$B$12))),0)</f>
        <v/>
      </c>
      <c r="X645" s="80">
        <f>IF($I645&gt;0,MAX(0,$G645*SIN(RADIANS('13_시나리오비교'!$B$13))*SIN(RADIANS('13_시나리오비교'!$C$13))+$H645*SIN(RADIANS('13_시나리오비교'!$B$13))*COS(RADIANS('13_시나리오비교'!$C$13))+$I645*COS(RADIANS('13_시나리오비교'!$B$13))),0)</f>
        <v/>
      </c>
      <c r="Y645" s="80">
        <f>IF($I645&gt;0,MAX(0,$G645*SIN(RADIANS('13_시나리오비교'!$B$14))*SIN(RADIANS('13_시나리오비교'!$C$14))+$H645*SIN(RADIANS('13_시나리오비교'!$B$14))*COS(RADIANS('13_시나리오비교'!$C$14))+$I645*COS(RADIANS('13_시나리오비교'!$B$14))),0)</f>
        <v/>
      </c>
    </row>
    <row r="646" hidden="1" outlineLevel="1">
      <c r="A646" s="79" t="n">
        <v>7</v>
      </c>
      <c r="B646" s="79" t="n">
        <v>50</v>
      </c>
      <c r="C646" s="80">
        <f>(B646-0.5)*'14_지역·상수'!$H$6</f>
        <v/>
      </c>
      <c r="D646" s="79" t="n">
        <v>198</v>
      </c>
      <c r="E646" s="80">
        <f>INDEX($C$4:$C$15,MATCH(A646,$A$4:$A$15,0))</f>
        <v/>
      </c>
      <c r="F646" s="80">
        <f>15*(C646-12)</f>
        <v/>
      </c>
      <c r="G646" s="80">
        <f>-COS(RADIANS(E646))*SIN(RADIANS(F646))</f>
        <v/>
      </c>
      <c r="H646" s="80">
        <f>COS(RADIANS('11_발전량_모델'!$B$17))*SIN(RADIANS(E646))-SIN(RADIANS('11_발전량_모델'!$B$17))*COS(RADIANS(E646))*COS(RADIANS(F646))</f>
        <v/>
      </c>
      <c r="I646" s="80">
        <f>SIN(RADIANS('11_발전량_모델'!$B$17))*SIN(RADIANS(E646))+COS(RADIANS('11_발전량_모델'!$B$17))*COS(RADIANS(E646))*COS(RADIANS(F646))</f>
        <v/>
      </c>
      <c r="J646" s="80">
        <f>SIN(RADIANS('11_발전량_모델'!$B$7))*SIN(RADIANS('11_발전량_모델'!$B$8))</f>
        <v/>
      </c>
      <c r="K646" s="80">
        <f>SIN(RADIANS('11_발전량_모델'!$B$7))*COS(RADIANS('11_발전량_모델'!$B$8))</f>
        <v/>
      </c>
      <c r="L646" s="80">
        <f>COS(RADIANS('11_발전량_모델'!$B$7))</f>
        <v/>
      </c>
      <c r="M646" s="80">
        <f>G646*J646+H646*K646+I646*L646</f>
        <v/>
      </c>
      <c r="N646" s="80">
        <f>MAX(0,I646)</f>
        <v/>
      </c>
      <c r="O646" s="80">
        <f>IF(I646&gt;0,MAX(0,M646),0)</f>
        <v/>
      </c>
      <c r="P646" s="80">
        <f>IF($I646&gt;0,MAX(0,$G646*SIN(RADIANS('13_시나리오비교'!$B$5))*SIN(RADIANS('13_시나리오비교'!$C$5))+$H646*SIN(RADIANS('13_시나리오비교'!$B$5))*COS(RADIANS('13_시나리오비교'!$C$5))+$I646*COS(RADIANS('13_시나리오비교'!$B$5))),0)</f>
        <v/>
      </c>
      <c r="Q646" s="80">
        <f>IF($I646&gt;0,MAX(0,$G646*SIN(RADIANS('13_시나리오비교'!$B$6))*SIN(RADIANS('13_시나리오비교'!$C$6))+$H646*SIN(RADIANS('13_시나리오비교'!$B$6))*COS(RADIANS('13_시나리오비교'!$C$6))+$I646*COS(RADIANS('13_시나리오비교'!$B$6))),0)</f>
        <v/>
      </c>
      <c r="R646" s="80">
        <f>IF($I646&gt;0,MAX(0,$G646*SIN(RADIANS('13_시나리오비교'!$B$7))*SIN(RADIANS('13_시나리오비교'!$C$7))+$H646*SIN(RADIANS('13_시나리오비교'!$B$7))*COS(RADIANS('13_시나리오비교'!$C$7))+$I646*COS(RADIANS('13_시나리오비교'!$B$7))),0)</f>
        <v/>
      </c>
      <c r="S646" s="80">
        <f>IF($I646&gt;0,MAX(0,$G646*SIN(RADIANS('13_시나리오비교'!$B$8))*SIN(RADIANS('13_시나리오비교'!$C$8))+$H646*SIN(RADIANS('13_시나리오비교'!$B$8))*COS(RADIANS('13_시나리오비교'!$C$8))+$I646*COS(RADIANS('13_시나리오비교'!$B$8))),0)</f>
        <v/>
      </c>
      <c r="T646" s="80">
        <f>IF($I646&gt;0,MAX(0,$G646*SIN(RADIANS('13_시나리오비교'!$B$9))*SIN(RADIANS('13_시나리오비교'!$C$9))+$H646*SIN(RADIANS('13_시나리오비교'!$B$9))*COS(RADIANS('13_시나리오비교'!$C$9))+$I646*COS(RADIANS('13_시나리오비교'!$B$9))),0)</f>
        <v/>
      </c>
      <c r="U646" s="80">
        <f>IF($I646&gt;0,MAX(0,$G646*SIN(RADIANS('13_시나리오비교'!$B$10))*SIN(RADIANS('13_시나리오비교'!$C$10))+$H646*SIN(RADIANS('13_시나리오비교'!$B$10))*COS(RADIANS('13_시나리오비교'!$C$10))+$I646*COS(RADIANS('13_시나리오비교'!$B$10))),0)</f>
        <v/>
      </c>
      <c r="V646" s="80">
        <f>IF($I646&gt;0,MAX(0,$G646*SIN(RADIANS('13_시나리오비교'!$B$11))*SIN(RADIANS('13_시나리오비교'!$C$11))+$H646*SIN(RADIANS('13_시나리오비교'!$B$11))*COS(RADIANS('13_시나리오비교'!$C$11))+$I646*COS(RADIANS('13_시나리오비교'!$B$11))),0)</f>
        <v/>
      </c>
      <c r="W646" s="80">
        <f>IF($I646&gt;0,MAX(0,$G646*SIN(RADIANS('13_시나리오비교'!$B$12))*SIN(RADIANS('13_시나리오비교'!$C$12))+$H646*SIN(RADIANS('13_시나리오비교'!$B$12))*COS(RADIANS('13_시나리오비교'!$C$12))+$I646*COS(RADIANS('13_시나리오비교'!$B$12))),0)</f>
        <v/>
      </c>
      <c r="X646" s="80">
        <f>IF($I646&gt;0,MAX(0,$G646*SIN(RADIANS('13_시나리오비교'!$B$13))*SIN(RADIANS('13_시나리오비교'!$C$13))+$H646*SIN(RADIANS('13_시나리오비교'!$B$13))*COS(RADIANS('13_시나리오비교'!$C$13))+$I646*COS(RADIANS('13_시나리오비교'!$B$13))),0)</f>
        <v/>
      </c>
      <c r="Y646" s="80">
        <f>IF($I646&gt;0,MAX(0,$G646*SIN(RADIANS('13_시나리오비교'!$B$14))*SIN(RADIANS('13_시나리오비교'!$C$14))+$H646*SIN(RADIANS('13_시나리오비교'!$B$14))*COS(RADIANS('13_시나리오비교'!$C$14))+$I646*COS(RADIANS('13_시나리오비교'!$B$14))),0)</f>
        <v/>
      </c>
    </row>
    <row r="647" hidden="1" outlineLevel="1">
      <c r="A647" s="79" t="n">
        <v>7</v>
      </c>
      <c r="B647" s="79" t="n">
        <v>51</v>
      </c>
      <c r="C647" s="80">
        <f>(B647-0.5)*'14_지역·상수'!$H$6</f>
        <v/>
      </c>
      <c r="D647" s="79" t="n">
        <v>198</v>
      </c>
      <c r="E647" s="80">
        <f>INDEX($C$4:$C$15,MATCH(A647,$A$4:$A$15,0))</f>
        <v/>
      </c>
      <c r="F647" s="80">
        <f>15*(C647-12)</f>
        <v/>
      </c>
      <c r="G647" s="80">
        <f>-COS(RADIANS(E647))*SIN(RADIANS(F647))</f>
        <v/>
      </c>
      <c r="H647" s="80">
        <f>COS(RADIANS('11_발전량_모델'!$B$17))*SIN(RADIANS(E647))-SIN(RADIANS('11_발전량_모델'!$B$17))*COS(RADIANS(E647))*COS(RADIANS(F647))</f>
        <v/>
      </c>
      <c r="I647" s="80">
        <f>SIN(RADIANS('11_발전량_모델'!$B$17))*SIN(RADIANS(E647))+COS(RADIANS('11_발전량_모델'!$B$17))*COS(RADIANS(E647))*COS(RADIANS(F647))</f>
        <v/>
      </c>
      <c r="J647" s="80">
        <f>SIN(RADIANS('11_발전량_모델'!$B$7))*SIN(RADIANS('11_발전량_모델'!$B$8))</f>
        <v/>
      </c>
      <c r="K647" s="80">
        <f>SIN(RADIANS('11_발전량_모델'!$B$7))*COS(RADIANS('11_발전량_모델'!$B$8))</f>
        <v/>
      </c>
      <c r="L647" s="80">
        <f>COS(RADIANS('11_발전량_모델'!$B$7))</f>
        <v/>
      </c>
      <c r="M647" s="80">
        <f>G647*J647+H647*K647+I647*L647</f>
        <v/>
      </c>
      <c r="N647" s="80">
        <f>MAX(0,I647)</f>
        <v/>
      </c>
      <c r="O647" s="80">
        <f>IF(I647&gt;0,MAX(0,M647),0)</f>
        <v/>
      </c>
      <c r="P647" s="80">
        <f>IF($I647&gt;0,MAX(0,$G647*SIN(RADIANS('13_시나리오비교'!$B$5))*SIN(RADIANS('13_시나리오비교'!$C$5))+$H647*SIN(RADIANS('13_시나리오비교'!$B$5))*COS(RADIANS('13_시나리오비교'!$C$5))+$I647*COS(RADIANS('13_시나리오비교'!$B$5))),0)</f>
        <v/>
      </c>
      <c r="Q647" s="80">
        <f>IF($I647&gt;0,MAX(0,$G647*SIN(RADIANS('13_시나리오비교'!$B$6))*SIN(RADIANS('13_시나리오비교'!$C$6))+$H647*SIN(RADIANS('13_시나리오비교'!$B$6))*COS(RADIANS('13_시나리오비교'!$C$6))+$I647*COS(RADIANS('13_시나리오비교'!$B$6))),0)</f>
        <v/>
      </c>
      <c r="R647" s="80">
        <f>IF($I647&gt;0,MAX(0,$G647*SIN(RADIANS('13_시나리오비교'!$B$7))*SIN(RADIANS('13_시나리오비교'!$C$7))+$H647*SIN(RADIANS('13_시나리오비교'!$B$7))*COS(RADIANS('13_시나리오비교'!$C$7))+$I647*COS(RADIANS('13_시나리오비교'!$B$7))),0)</f>
        <v/>
      </c>
      <c r="S647" s="80">
        <f>IF($I647&gt;0,MAX(0,$G647*SIN(RADIANS('13_시나리오비교'!$B$8))*SIN(RADIANS('13_시나리오비교'!$C$8))+$H647*SIN(RADIANS('13_시나리오비교'!$B$8))*COS(RADIANS('13_시나리오비교'!$C$8))+$I647*COS(RADIANS('13_시나리오비교'!$B$8))),0)</f>
        <v/>
      </c>
      <c r="T647" s="80">
        <f>IF($I647&gt;0,MAX(0,$G647*SIN(RADIANS('13_시나리오비교'!$B$9))*SIN(RADIANS('13_시나리오비교'!$C$9))+$H647*SIN(RADIANS('13_시나리오비교'!$B$9))*COS(RADIANS('13_시나리오비교'!$C$9))+$I647*COS(RADIANS('13_시나리오비교'!$B$9))),0)</f>
        <v/>
      </c>
      <c r="U647" s="80">
        <f>IF($I647&gt;0,MAX(0,$G647*SIN(RADIANS('13_시나리오비교'!$B$10))*SIN(RADIANS('13_시나리오비교'!$C$10))+$H647*SIN(RADIANS('13_시나리오비교'!$B$10))*COS(RADIANS('13_시나리오비교'!$C$10))+$I647*COS(RADIANS('13_시나리오비교'!$B$10))),0)</f>
        <v/>
      </c>
      <c r="V647" s="80">
        <f>IF($I647&gt;0,MAX(0,$G647*SIN(RADIANS('13_시나리오비교'!$B$11))*SIN(RADIANS('13_시나리오비교'!$C$11))+$H647*SIN(RADIANS('13_시나리오비교'!$B$11))*COS(RADIANS('13_시나리오비교'!$C$11))+$I647*COS(RADIANS('13_시나리오비교'!$B$11))),0)</f>
        <v/>
      </c>
      <c r="W647" s="80">
        <f>IF($I647&gt;0,MAX(0,$G647*SIN(RADIANS('13_시나리오비교'!$B$12))*SIN(RADIANS('13_시나리오비교'!$C$12))+$H647*SIN(RADIANS('13_시나리오비교'!$B$12))*COS(RADIANS('13_시나리오비교'!$C$12))+$I647*COS(RADIANS('13_시나리오비교'!$B$12))),0)</f>
        <v/>
      </c>
      <c r="X647" s="80">
        <f>IF($I647&gt;0,MAX(0,$G647*SIN(RADIANS('13_시나리오비교'!$B$13))*SIN(RADIANS('13_시나리오비교'!$C$13))+$H647*SIN(RADIANS('13_시나리오비교'!$B$13))*COS(RADIANS('13_시나리오비교'!$C$13))+$I647*COS(RADIANS('13_시나리오비교'!$B$13))),0)</f>
        <v/>
      </c>
      <c r="Y647" s="80">
        <f>IF($I647&gt;0,MAX(0,$G647*SIN(RADIANS('13_시나리오비교'!$B$14))*SIN(RADIANS('13_시나리오비교'!$C$14))+$H647*SIN(RADIANS('13_시나리오비교'!$B$14))*COS(RADIANS('13_시나리오비교'!$C$14))+$I647*COS(RADIANS('13_시나리오비교'!$B$14))),0)</f>
        <v/>
      </c>
    </row>
    <row r="648" hidden="1" outlineLevel="1">
      <c r="A648" s="79" t="n">
        <v>7</v>
      </c>
      <c r="B648" s="79" t="n">
        <v>52</v>
      </c>
      <c r="C648" s="80">
        <f>(B648-0.5)*'14_지역·상수'!$H$6</f>
        <v/>
      </c>
      <c r="D648" s="79" t="n">
        <v>198</v>
      </c>
      <c r="E648" s="80">
        <f>INDEX($C$4:$C$15,MATCH(A648,$A$4:$A$15,0))</f>
        <v/>
      </c>
      <c r="F648" s="80">
        <f>15*(C648-12)</f>
        <v/>
      </c>
      <c r="G648" s="80">
        <f>-COS(RADIANS(E648))*SIN(RADIANS(F648))</f>
        <v/>
      </c>
      <c r="H648" s="80">
        <f>COS(RADIANS('11_발전량_모델'!$B$17))*SIN(RADIANS(E648))-SIN(RADIANS('11_발전량_모델'!$B$17))*COS(RADIANS(E648))*COS(RADIANS(F648))</f>
        <v/>
      </c>
      <c r="I648" s="80">
        <f>SIN(RADIANS('11_발전량_모델'!$B$17))*SIN(RADIANS(E648))+COS(RADIANS('11_발전량_모델'!$B$17))*COS(RADIANS(E648))*COS(RADIANS(F648))</f>
        <v/>
      </c>
      <c r="J648" s="80">
        <f>SIN(RADIANS('11_발전량_모델'!$B$7))*SIN(RADIANS('11_발전량_모델'!$B$8))</f>
        <v/>
      </c>
      <c r="K648" s="80">
        <f>SIN(RADIANS('11_발전량_모델'!$B$7))*COS(RADIANS('11_발전량_모델'!$B$8))</f>
        <v/>
      </c>
      <c r="L648" s="80">
        <f>COS(RADIANS('11_발전량_모델'!$B$7))</f>
        <v/>
      </c>
      <c r="M648" s="80">
        <f>G648*J648+H648*K648+I648*L648</f>
        <v/>
      </c>
      <c r="N648" s="80">
        <f>MAX(0,I648)</f>
        <v/>
      </c>
      <c r="O648" s="80">
        <f>IF(I648&gt;0,MAX(0,M648),0)</f>
        <v/>
      </c>
      <c r="P648" s="80">
        <f>IF($I648&gt;0,MAX(0,$G648*SIN(RADIANS('13_시나리오비교'!$B$5))*SIN(RADIANS('13_시나리오비교'!$C$5))+$H648*SIN(RADIANS('13_시나리오비교'!$B$5))*COS(RADIANS('13_시나리오비교'!$C$5))+$I648*COS(RADIANS('13_시나리오비교'!$B$5))),0)</f>
        <v/>
      </c>
      <c r="Q648" s="80">
        <f>IF($I648&gt;0,MAX(0,$G648*SIN(RADIANS('13_시나리오비교'!$B$6))*SIN(RADIANS('13_시나리오비교'!$C$6))+$H648*SIN(RADIANS('13_시나리오비교'!$B$6))*COS(RADIANS('13_시나리오비교'!$C$6))+$I648*COS(RADIANS('13_시나리오비교'!$B$6))),0)</f>
        <v/>
      </c>
      <c r="R648" s="80">
        <f>IF($I648&gt;0,MAX(0,$G648*SIN(RADIANS('13_시나리오비교'!$B$7))*SIN(RADIANS('13_시나리오비교'!$C$7))+$H648*SIN(RADIANS('13_시나리오비교'!$B$7))*COS(RADIANS('13_시나리오비교'!$C$7))+$I648*COS(RADIANS('13_시나리오비교'!$B$7))),0)</f>
        <v/>
      </c>
      <c r="S648" s="80">
        <f>IF($I648&gt;0,MAX(0,$G648*SIN(RADIANS('13_시나리오비교'!$B$8))*SIN(RADIANS('13_시나리오비교'!$C$8))+$H648*SIN(RADIANS('13_시나리오비교'!$B$8))*COS(RADIANS('13_시나리오비교'!$C$8))+$I648*COS(RADIANS('13_시나리오비교'!$B$8))),0)</f>
        <v/>
      </c>
      <c r="T648" s="80">
        <f>IF($I648&gt;0,MAX(0,$G648*SIN(RADIANS('13_시나리오비교'!$B$9))*SIN(RADIANS('13_시나리오비교'!$C$9))+$H648*SIN(RADIANS('13_시나리오비교'!$B$9))*COS(RADIANS('13_시나리오비교'!$C$9))+$I648*COS(RADIANS('13_시나리오비교'!$B$9))),0)</f>
        <v/>
      </c>
      <c r="U648" s="80">
        <f>IF($I648&gt;0,MAX(0,$G648*SIN(RADIANS('13_시나리오비교'!$B$10))*SIN(RADIANS('13_시나리오비교'!$C$10))+$H648*SIN(RADIANS('13_시나리오비교'!$B$10))*COS(RADIANS('13_시나리오비교'!$C$10))+$I648*COS(RADIANS('13_시나리오비교'!$B$10))),0)</f>
        <v/>
      </c>
      <c r="V648" s="80">
        <f>IF($I648&gt;0,MAX(0,$G648*SIN(RADIANS('13_시나리오비교'!$B$11))*SIN(RADIANS('13_시나리오비교'!$C$11))+$H648*SIN(RADIANS('13_시나리오비교'!$B$11))*COS(RADIANS('13_시나리오비교'!$C$11))+$I648*COS(RADIANS('13_시나리오비교'!$B$11))),0)</f>
        <v/>
      </c>
      <c r="W648" s="80">
        <f>IF($I648&gt;0,MAX(0,$G648*SIN(RADIANS('13_시나리오비교'!$B$12))*SIN(RADIANS('13_시나리오비교'!$C$12))+$H648*SIN(RADIANS('13_시나리오비교'!$B$12))*COS(RADIANS('13_시나리오비교'!$C$12))+$I648*COS(RADIANS('13_시나리오비교'!$B$12))),0)</f>
        <v/>
      </c>
      <c r="X648" s="80">
        <f>IF($I648&gt;0,MAX(0,$G648*SIN(RADIANS('13_시나리오비교'!$B$13))*SIN(RADIANS('13_시나리오비교'!$C$13))+$H648*SIN(RADIANS('13_시나리오비교'!$B$13))*COS(RADIANS('13_시나리오비교'!$C$13))+$I648*COS(RADIANS('13_시나리오비교'!$B$13))),0)</f>
        <v/>
      </c>
      <c r="Y648" s="80">
        <f>IF($I648&gt;0,MAX(0,$G648*SIN(RADIANS('13_시나리오비교'!$B$14))*SIN(RADIANS('13_시나리오비교'!$C$14))+$H648*SIN(RADIANS('13_시나리오비교'!$B$14))*COS(RADIANS('13_시나리오비교'!$C$14))+$I648*COS(RADIANS('13_시나리오비교'!$B$14))),0)</f>
        <v/>
      </c>
    </row>
    <row r="649" hidden="1" outlineLevel="1">
      <c r="A649" s="79" t="n">
        <v>7</v>
      </c>
      <c r="B649" s="79" t="n">
        <v>53</v>
      </c>
      <c r="C649" s="80">
        <f>(B649-0.5)*'14_지역·상수'!$H$6</f>
        <v/>
      </c>
      <c r="D649" s="79" t="n">
        <v>198</v>
      </c>
      <c r="E649" s="80">
        <f>INDEX($C$4:$C$15,MATCH(A649,$A$4:$A$15,0))</f>
        <v/>
      </c>
      <c r="F649" s="80">
        <f>15*(C649-12)</f>
        <v/>
      </c>
      <c r="G649" s="80">
        <f>-COS(RADIANS(E649))*SIN(RADIANS(F649))</f>
        <v/>
      </c>
      <c r="H649" s="80">
        <f>COS(RADIANS('11_발전량_모델'!$B$17))*SIN(RADIANS(E649))-SIN(RADIANS('11_발전량_모델'!$B$17))*COS(RADIANS(E649))*COS(RADIANS(F649))</f>
        <v/>
      </c>
      <c r="I649" s="80">
        <f>SIN(RADIANS('11_발전량_모델'!$B$17))*SIN(RADIANS(E649))+COS(RADIANS('11_발전량_모델'!$B$17))*COS(RADIANS(E649))*COS(RADIANS(F649))</f>
        <v/>
      </c>
      <c r="J649" s="80">
        <f>SIN(RADIANS('11_발전량_모델'!$B$7))*SIN(RADIANS('11_발전량_모델'!$B$8))</f>
        <v/>
      </c>
      <c r="K649" s="80">
        <f>SIN(RADIANS('11_발전량_모델'!$B$7))*COS(RADIANS('11_발전량_모델'!$B$8))</f>
        <v/>
      </c>
      <c r="L649" s="80">
        <f>COS(RADIANS('11_발전량_모델'!$B$7))</f>
        <v/>
      </c>
      <c r="M649" s="80">
        <f>G649*J649+H649*K649+I649*L649</f>
        <v/>
      </c>
      <c r="N649" s="80">
        <f>MAX(0,I649)</f>
        <v/>
      </c>
      <c r="O649" s="80">
        <f>IF(I649&gt;0,MAX(0,M649),0)</f>
        <v/>
      </c>
      <c r="P649" s="80">
        <f>IF($I649&gt;0,MAX(0,$G649*SIN(RADIANS('13_시나리오비교'!$B$5))*SIN(RADIANS('13_시나리오비교'!$C$5))+$H649*SIN(RADIANS('13_시나리오비교'!$B$5))*COS(RADIANS('13_시나리오비교'!$C$5))+$I649*COS(RADIANS('13_시나리오비교'!$B$5))),0)</f>
        <v/>
      </c>
      <c r="Q649" s="80">
        <f>IF($I649&gt;0,MAX(0,$G649*SIN(RADIANS('13_시나리오비교'!$B$6))*SIN(RADIANS('13_시나리오비교'!$C$6))+$H649*SIN(RADIANS('13_시나리오비교'!$B$6))*COS(RADIANS('13_시나리오비교'!$C$6))+$I649*COS(RADIANS('13_시나리오비교'!$B$6))),0)</f>
        <v/>
      </c>
      <c r="R649" s="80">
        <f>IF($I649&gt;0,MAX(0,$G649*SIN(RADIANS('13_시나리오비교'!$B$7))*SIN(RADIANS('13_시나리오비교'!$C$7))+$H649*SIN(RADIANS('13_시나리오비교'!$B$7))*COS(RADIANS('13_시나리오비교'!$C$7))+$I649*COS(RADIANS('13_시나리오비교'!$B$7))),0)</f>
        <v/>
      </c>
      <c r="S649" s="80">
        <f>IF($I649&gt;0,MAX(0,$G649*SIN(RADIANS('13_시나리오비교'!$B$8))*SIN(RADIANS('13_시나리오비교'!$C$8))+$H649*SIN(RADIANS('13_시나리오비교'!$B$8))*COS(RADIANS('13_시나리오비교'!$C$8))+$I649*COS(RADIANS('13_시나리오비교'!$B$8))),0)</f>
        <v/>
      </c>
      <c r="T649" s="80">
        <f>IF($I649&gt;0,MAX(0,$G649*SIN(RADIANS('13_시나리오비교'!$B$9))*SIN(RADIANS('13_시나리오비교'!$C$9))+$H649*SIN(RADIANS('13_시나리오비교'!$B$9))*COS(RADIANS('13_시나리오비교'!$C$9))+$I649*COS(RADIANS('13_시나리오비교'!$B$9))),0)</f>
        <v/>
      </c>
      <c r="U649" s="80">
        <f>IF($I649&gt;0,MAX(0,$G649*SIN(RADIANS('13_시나리오비교'!$B$10))*SIN(RADIANS('13_시나리오비교'!$C$10))+$H649*SIN(RADIANS('13_시나리오비교'!$B$10))*COS(RADIANS('13_시나리오비교'!$C$10))+$I649*COS(RADIANS('13_시나리오비교'!$B$10))),0)</f>
        <v/>
      </c>
      <c r="V649" s="80">
        <f>IF($I649&gt;0,MAX(0,$G649*SIN(RADIANS('13_시나리오비교'!$B$11))*SIN(RADIANS('13_시나리오비교'!$C$11))+$H649*SIN(RADIANS('13_시나리오비교'!$B$11))*COS(RADIANS('13_시나리오비교'!$C$11))+$I649*COS(RADIANS('13_시나리오비교'!$B$11))),0)</f>
        <v/>
      </c>
      <c r="W649" s="80">
        <f>IF($I649&gt;0,MAX(0,$G649*SIN(RADIANS('13_시나리오비교'!$B$12))*SIN(RADIANS('13_시나리오비교'!$C$12))+$H649*SIN(RADIANS('13_시나리오비교'!$B$12))*COS(RADIANS('13_시나리오비교'!$C$12))+$I649*COS(RADIANS('13_시나리오비교'!$B$12))),0)</f>
        <v/>
      </c>
      <c r="X649" s="80">
        <f>IF($I649&gt;0,MAX(0,$G649*SIN(RADIANS('13_시나리오비교'!$B$13))*SIN(RADIANS('13_시나리오비교'!$C$13))+$H649*SIN(RADIANS('13_시나리오비교'!$B$13))*COS(RADIANS('13_시나리오비교'!$C$13))+$I649*COS(RADIANS('13_시나리오비교'!$B$13))),0)</f>
        <v/>
      </c>
      <c r="Y649" s="80">
        <f>IF($I649&gt;0,MAX(0,$G649*SIN(RADIANS('13_시나리오비교'!$B$14))*SIN(RADIANS('13_시나리오비교'!$C$14))+$H649*SIN(RADIANS('13_시나리오비교'!$B$14))*COS(RADIANS('13_시나리오비교'!$C$14))+$I649*COS(RADIANS('13_시나리오비교'!$B$14))),0)</f>
        <v/>
      </c>
    </row>
    <row r="650" hidden="1" outlineLevel="1">
      <c r="A650" s="79" t="n">
        <v>7</v>
      </c>
      <c r="B650" s="79" t="n">
        <v>54</v>
      </c>
      <c r="C650" s="80">
        <f>(B650-0.5)*'14_지역·상수'!$H$6</f>
        <v/>
      </c>
      <c r="D650" s="79" t="n">
        <v>198</v>
      </c>
      <c r="E650" s="80">
        <f>INDEX($C$4:$C$15,MATCH(A650,$A$4:$A$15,0))</f>
        <v/>
      </c>
      <c r="F650" s="80">
        <f>15*(C650-12)</f>
        <v/>
      </c>
      <c r="G650" s="80">
        <f>-COS(RADIANS(E650))*SIN(RADIANS(F650))</f>
        <v/>
      </c>
      <c r="H650" s="80">
        <f>COS(RADIANS('11_발전량_모델'!$B$17))*SIN(RADIANS(E650))-SIN(RADIANS('11_발전량_모델'!$B$17))*COS(RADIANS(E650))*COS(RADIANS(F650))</f>
        <v/>
      </c>
      <c r="I650" s="80">
        <f>SIN(RADIANS('11_발전량_모델'!$B$17))*SIN(RADIANS(E650))+COS(RADIANS('11_발전량_모델'!$B$17))*COS(RADIANS(E650))*COS(RADIANS(F650))</f>
        <v/>
      </c>
      <c r="J650" s="80">
        <f>SIN(RADIANS('11_발전량_모델'!$B$7))*SIN(RADIANS('11_발전량_모델'!$B$8))</f>
        <v/>
      </c>
      <c r="K650" s="80">
        <f>SIN(RADIANS('11_발전량_모델'!$B$7))*COS(RADIANS('11_발전량_모델'!$B$8))</f>
        <v/>
      </c>
      <c r="L650" s="80">
        <f>COS(RADIANS('11_발전량_모델'!$B$7))</f>
        <v/>
      </c>
      <c r="M650" s="80">
        <f>G650*J650+H650*K650+I650*L650</f>
        <v/>
      </c>
      <c r="N650" s="80">
        <f>MAX(0,I650)</f>
        <v/>
      </c>
      <c r="O650" s="80">
        <f>IF(I650&gt;0,MAX(0,M650),0)</f>
        <v/>
      </c>
      <c r="P650" s="80">
        <f>IF($I650&gt;0,MAX(0,$G650*SIN(RADIANS('13_시나리오비교'!$B$5))*SIN(RADIANS('13_시나리오비교'!$C$5))+$H650*SIN(RADIANS('13_시나리오비교'!$B$5))*COS(RADIANS('13_시나리오비교'!$C$5))+$I650*COS(RADIANS('13_시나리오비교'!$B$5))),0)</f>
        <v/>
      </c>
      <c r="Q650" s="80">
        <f>IF($I650&gt;0,MAX(0,$G650*SIN(RADIANS('13_시나리오비교'!$B$6))*SIN(RADIANS('13_시나리오비교'!$C$6))+$H650*SIN(RADIANS('13_시나리오비교'!$B$6))*COS(RADIANS('13_시나리오비교'!$C$6))+$I650*COS(RADIANS('13_시나리오비교'!$B$6))),0)</f>
        <v/>
      </c>
      <c r="R650" s="80">
        <f>IF($I650&gt;0,MAX(0,$G650*SIN(RADIANS('13_시나리오비교'!$B$7))*SIN(RADIANS('13_시나리오비교'!$C$7))+$H650*SIN(RADIANS('13_시나리오비교'!$B$7))*COS(RADIANS('13_시나리오비교'!$C$7))+$I650*COS(RADIANS('13_시나리오비교'!$B$7))),0)</f>
        <v/>
      </c>
      <c r="S650" s="80">
        <f>IF($I650&gt;0,MAX(0,$G650*SIN(RADIANS('13_시나리오비교'!$B$8))*SIN(RADIANS('13_시나리오비교'!$C$8))+$H650*SIN(RADIANS('13_시나리오비교'!$B$8))*COS(RADIANS('13_시나리오비교'!$C$8))+$I650*COS(RADIANS('13_시나리오비교'!$B$8))),0)</f>
        <v/>
      </c>
      <c r="T650" s="80">
        <f>IF($I650&gt;0,MAX(0,$G650*SIN(RADIANS('13_시나리오비교'!$B$9))*SIN(RADIANS('13_시나리오비교'!$C$9))+$H650*SIN(RADIANS('13_시나리오비교'!$B$9))*COS(RADIANS('13_시나리오비교'!$C$9))+$I650*COS(RADIANS('13_시나리오비교'!$B$9))),0)</f>
        <v/>
      </c>
      <c r="U650" s="80">
        <f>IF($I650&gt;0,MAX(0,$G650*SIN(RADIANS('13_시나리오비교'!$B$10))*SIN(RADIANS('13_시나리오비교'!$C$10))+$H650*SIN(RADIANS('13_시나리오비교'!$B$10))*COS(RADIANS('13_시나리오비교'!$C$10))+$I650*COS(RADIANS('13_시나리오비교'!$B$10))),0)</f>
        <v/>
      </c>
      <c r="V650" s="80">
        <f>IF($I650&gt;0,MAX(0,$G650*SIN(RADIANS('13_시나리오비교'!$B$11))*SIN(RADIANS('13_시나리오비교'!$C$11))+$H650*SIN(RADIANS('13_시나리오비교'!$B$11))*COS(RADIANS('13_시나리오비교'!$C$11))+$I650*COS(RADIANS('13_시나리오비교'!$B$11))),0)</f>
        <v/>
      </c>
      <c r="W650" s="80">
        <f>IF($I650&gt;0,MAX(0,$G650*SIN(RADIANS('13_시나리오비교'!$B$12))*SIN(RADIANS('13_시나리오비교'!$C$12))+$H650*SIN(RADIANS('13_시나리오비교'!$B$12))*COS(RADIANS('13_시나리오비교'!$C$12))+$I650*COS(RADIANS('13_시나리오비교'!$B$12))),0)</f>
        <v/>
      </c>
      <c r="X650" s="80">
        <f>IF($I650&gt;0,MAX(0,$G650*SIN(RADIANS('13_시나리오비교'!$B$13))*SIN(RADIANS('13_시나리오비교'!$C$13))+$H650*SIN(RADIANS('13_시나리오비교'!$B$13))*COS(RADIANS('13_시나리오비교'!$C$13))+$I650*COS(RADIANS('13_시나리오비교'!$B$13))),0)</f>
        <v/>
      </c>
      <c r="Y650" s="80">
        <f>IF($I650&gt;0,MAX(0,$G650*SIN(RADIANS('13_시나리오비교'!$B$14))*SIN(RADIANS('13_시나리오비교'!$C$14))+$H650*SIN(RADIANS('13_시나리오비교'!$B$14))*COS(RADIANS('13_시나리오비교'!$C$14))+$I650*COS(RADIANS('13_시나리오비교'!$B$14))),0)</f>
        <v/>
      </c>
    </row>
    <row r="651" hidden="1" outlineLevel="1">
      <c r="A651" s="79" t="n">
        <v>7</v>
      </c>
      <c r="B651" s="79" t="n">
        <v>55</v>
      </c>
      <c r="C651" s="80">
        <f>(B651-0.5)*'14_지역·상수'!$H$6</f>
        <v/>
      </c>
      <c r="D651" s="79" t="n">
        <v>198</v>
      </c>
      <c r="E651" s="80">
        <f>INDEX($C$4:$C$15,MATCH(A651,$A$4:$A$15,0))</f>
        <v/>
      </c>
      <c r="F651" s="80">
        <f>15*(C651-12)</f>
        <v/>
      </c>
      <c r="G651" s="80">
        <f>-COS(RADIANS(E651))*SIN(RADIANS(F651))</f>
        <v/>
      </c>
      <c r="H651" s="80">
        <f>COS(RADIANS('11_발전량_모델'!$B$17))*SIN(RADIANS(E651))-SIN(RADIANS('11_발전량_모델'!$B$17))*COS(RADIANS(E651))*COS(RADIANS(F651))</f>
        <v/>
      </c>
      <c r="I651" s="80">
        <f>SIN(RADIANS('11_발전량_모델'!$B$17))*SIN(RADIANS(E651))+COS(RADIANS('11_발전량_모델'!$B$17))*COS(RADIANS(E651))*COS(RADIANS(F651))</f>
        <v/>
      </c>
      <c r="J651" s="80">
        <f>SIN(RADIANS('11_발전량_모델'!$B$7))*SIN(RADIANS('11_발전량_모델'!$B$8))</f>
        <v/>
      </c>
      <c r="K651" s="80">
        <f>SIN(RADIANS('11_발전량_모델'!$B$7))*COS(RADIANS('11_발전량_모델'!$B$8))</f>
        <v/>
      </c>
      <c r="L651" s="80">
        <f>COS(RADIANS('11_발전량_모델'!$B$7))</f>
        <v/>
      </c>
      <c r="M651" s="80">
        <f>G651*J651+H651*K651+I651*L651</f>
        <v/>
      </c>
      <c r="N651" s="80">
        <f>MAX(0,I651)</f>
        <v/>
      </c>
      <c r="O651" s="80">
        <f>IF(I651&gt;0,MAX(0,M651),0)</f>
        <v/>
      </c>
      <c r="P651" s="80">
        <f>IF($I651&gt;0,MAX(0,$G651*SIN(RADIANS('13_시나리오비교'!$B$5))*SIN(RADIANS('13_시나리오비교'!$C$5))+$H651*SIN(RADIANS('13_시나리오비교'!$B$5))*COS(RADIANS('13_시나리오비교'!$C$5))+$I651*COS(RADIANS('13_시나리오비교'!$B$5))),0)</f>
        <v/>
      </c>
      <c r="Q651" s="80">
        <f>IF($I651&gt;0,MAX(0,$G651*SIN(RADIANS('13_시나리오비교'!$B$6))*SIN(RADIANS('13_시나리오비교'!$C$6))+$H651*SIN(RADIANS('13_시나리오비교'!$B$6))*COS(RADIANS('13_시나리오비교'!$C$6))+$I651*COS(RADIANS('13_시나리오비교'!$B$6))),0)</f>
        <v/>
      </c>
      <c r="R651" s="80">
        <f>IF($I651&gt;0,MAX(0,$G651*SIN(RADIANS('13_시나리오비교'!$B$7))*SIN(RADIANS('13_시나리오비교'!$C$7))+$H651*SIN(RADIANS('13_시나리오비교'!$B$7))*COS(RADIANS('13_시나리오비교'!$C$7))+$I651*COS(RADIANS('13_시나리오비교'!$B$7))),0)</f>
        <v/>
      </c>
      <c r="S651" s="80">
        <f>IF($I651&gt;0,MAX(0,$G651*SIN(RADIANS('13_시나리오비교'!$B$8))*SIN(RADIANS('13_시나리오비교'!$C$8))+$H651*SIN(RADIANS('13_시나리오비교'!$B$8))*COS(RADIANS('13_시나리오비교'!$C$8))+$I651*COS(RADIANS('13_시나리오비교'!$B$8))),0)</f>
        <v/>
      </c>
      <c r="T651" s="80">
        <f>IF($I651&gt;0,MAX(0,$G651*SIN(RADIANS('13_시나리오비교'!$B$9))*SIN(RADIANS('13_시나리오비교'!$C$9))+$H651*SIN(RADIANS('13_시나리오비교'!$B$9))*COS(RADIANS('13_시나리오비교'!$C$9))+$I651*COS(RADIANS('13_시나리오비교'!$B$9))),0)</f>
        <v/>
      </c>
      <c r="U651" s="80">
        <f>IF($I651&gt;0,MAX(0,$G651*SIN(RADIANS('13_시나리오비교'!$B$10))*SIN(RADIANS('13_시나리오비교'!$C$10))+$H651*SIN(RADIANS('13_시나리오비교'!$B$10))*COS(RADIANS('13_시나리오비교'!$C$10))+$I651*COS(RADIANS('13_시나리오비교'!$B$10))),0)</f>
        <v/>
      </c>
      <c r="V651" s="80">
        <f>IF($I651&gt;0,MAX(0,$G651*SIN(RADIANS('13_시나리오비교'!$B$11))*SIN(RADIANS('13_시나리오비교'!$C$11))+$H651*SIN(RADIANS('13_시나리오비교'!$B$11))*COS(RADIANS('13_시나리오비교'!$C$11))+$I651*COS(RADIANS('13_시나리오비교'!$B$11))),0)</f>
        <v/>
      </c>
      <c r="W651" s="80">
        <f>IF($I651&gt;0,MAX(0,$G651*SIN(RADIANS('13_시나리오비교'!$B$12))*SIN(RADIANS('13_시나리오비교'!$C$12))+$H651*SIN(RADIANS('13_시나리오비교'!$B$12))*COS(RADIANS('13_시나리오비교'!$C$12))+$I651*COS(RADIANS('13_시나리오비교'!$B$12))),0)</f>
        <v/>
      </c>
      <c r="X651" s="80">
        <f>IF($I651&gt;0,MAX(0,$G651*SIN(RADIANS('13_시나리오비교'!$B$13))*SIN(RADIANS('13_시나리오비교'!$C$13))+$H651*SIN(RADIANS('13_시나리오비교'!$B$13))*COS(RADIANS('13_시나리오비교'!$C$13))+$I651*COS(RADIANS('13_시나리오비교'!$B$13))),0)</f>
        <v/>
      </c>
      <c r="Y651" s="80">
        <f>IF($I651&gt;0,MAX(0,$G651*SIN(RADIANS('13_시나리오비교'!$B$14))*SIN(RADIANS('13_시나리오비교'!$C$14))+$H651*SIN(RADIANS('13_시나리오비교'!$B$14))*COS(RADIANS('13_시나리오비교'!$C$14))+$I651*COS(RADIANS('13_시나리오비교'!$B$14))),0)</f>
        <v/>
      </c>
    </row>
    <row r="652" hidden="1" outlineLevel="1">
      <c r="A652" s="79" t="n">
        <v>7</v>
      </c>
      <c r="B652" s="79" t="n">
        <v>56</v>
      </c>
      <c r="C652" s="80">
        <f>(B652-0.5)*'14_지역·상수'!$H$6</f>
        <v/>
      </c>
      <c r="D652" s="79" t="n">
        <v>198</v>
      </c>
      <c r="E652" s="80">
        <f>INDEX($C$4:$C$15,MATCH(A652,$A$4:$A$15,0))</f>
        <v/>
      </c>
      <c r="F652" s="80">
        <f>15*(C652-12)</f>
        <v/>
      </c>
      <c r="G652" s="80">
        <f>-COS(RADIANS(E652))*SIN(RADIANS(F652))</f>
        <v/>
      </c>
      <c r="H652" s="80">
        <f>COS(RADIANS('11_발전량_모델'!$B$17))*SIN(RADIANS(E652))-SIN(RADIANS('11_발전량_모델'!$B$17))*COS(RADIANS(E652))*COS(RADIANS(F652))</f>
        <v/>
      </c>
      <c r="I652" s="80">
        <f>SIN(RADIANS('11_발전량_모델'!$B$17))*SIN(RADIANS(E652))+COS(RADIANS('11_발전량_모델'!$B$17))*COS(RADIANS(E652))*COS(RADIANS(F652))</f>
        <v/>
      </c>
      <c r="J652" s="80">
        <f>SIN(RADIANS('11_발전량_모델'!$B$7))*SIN(RADIANS('11_발전량_모델'!$B$8))</f>
        <v/>
      </c>
      <c r="K652" s="80">
        <f>SIN(RADIANS('11_발전량_모델'!$B$7))*COS(RADIANS('11_발전량_모델'!$B$8))</f>
        <v/>
      </c>
      <c r="L652" s="80">
        <f>COS(RADIANS('11_발전량_모델'!$B$7))</f>
        <v/>
      </c>
      <c r="M652" s="80">
        <f>G652*J652+H652*K652+I652*L652</f>
        <v/>
      </c>
      <c r="N652" s="80">
        <f>MAX(0,I652)</f>
        <v/>
      </c>
      <c r="O652" s="80">
        <f>IF(I652&gt;0,MAX(0,M652),0)</f>
        <v/>
      </c>
      <c r="P652" s="80">
        <f>IF($I652&gt;0,MAX(0,$G652*SIN(RADIANS('13_시나리오비교'!$B$5))*SIN(RADIANS('13_시나리오비교'!$C$5))+$H652*SIN(RADIANS('13_시나리오비교'!$B$5))*COS(RADIANS('13_시나리오비교'!$C$5))+$I652*COS(RADIANS('13_시나리오비교'!$B$5))),0)</f>
        <v/>
      </c>
      <c r="Q652" s="80">
        <f>IF($I652&gt;0,MAX(0,$G652*SIN(RADIANS('13_시나리오비교'!$B$6))*SIN(RADIANS('13_시나리오비교'!$C$6))+$H652*SIN(RADIANS('13_시나리오비교'!$B$6))*COS(RADIANS('13_시나리오비교'!$C$6))+$I652*COS(RADIANS('13_시나리오비교'!$B$6))),0)</f>
        <v/>
      </c>
      <c r="R652" s="80">
        <f>IF($I652&gt;0,MAX(0,$G652*SIN(RADIANS('13_시나리오비교'!$B$7))*SIN(RADIANS('13_시나리오비교'!$C$7))+$H652*SIN(RADIANS('13_시나리오비교'!$B$7))*COS(RADIANS('13_시나리오비교'!$C$7))+$I652*COS(RADIANS('13_시나리오비교'!$B$7))),0)</f>
        <v/>
      </c>
      <c r="S652" s="80">
        <f>IF($I652&gt;0,MAX(0,$G652*SIN(RADIANS('13_시나리오비교'!$B$8))*SIN(RADIANS('13_시나리오비교'!$C$8))+$H652*SIN(RADIANS('13_시나리오비교'!$B$8))*COS(RADIANS('13_시나리오비교'!$C$8))+$I652*COS(RADIANS('13_시나리오비교'!$B$8))),0)</f>
        <v/>
      </c>
      <c r="T652" s="80">
        <f>IF($I652&gt;0,MAX(0,$G652*SIN(RADIANS('13_시나리오비교'!$B$9))*SIN(RADIANS('13_시나리오비교'!$C$9))+$H652*SIN(RADIANS('13_시나리오비교'!$B$9))*COS(RADIANS('13_시나리오비교'!$C$9))+$I652*COS(RADIANS('13_시나리오비교'!$B$9))),0)</f>
        <v/>
      </c>
      <c r="U652" s="80">
        <f>IF($I652&gt;0,MAX(0,$G652*SIN(RADIANS('13_시나리오비교'!$B$10))*SIN(RADIANS('13_시나리오비교'!$C$10))+$H652*SIN(RADIANS('13_시나리오비교'!$B$10))*COS(RADIANS('13_시나리오비교'!$C$10))+$I652*COS(RADIANS('13_시나리오비교'!$B$10))),0)</f>
        <v/>
      </c>
      <c r="V652" s="80">
        <f>IF($I652&gt;0,MAX(0,$G652*SIN(RADIANS('13_시나리오비교'!$B$11))*SIN(RADIANS('13_시나리오비교'!$C$11))+$H652*SIN(RADIANS('13_시나리오비교'!$B$11))*COS(RADIANS('13_시나리오비교'!$C$11))+$I652*COS(RADIANS('13_시나리오비교'!$B$11))),0)</f>
        <v/>
      </c>
      <c r="W652" s="80">
        <f>IF($I652&gt;0,MAX(0,$G652*SIN(RADIANS('13_시나리오비교'!$B$12))*SIN(RADIANS('13_시나리오비교'!$C$12))+$H652*SIN(RADIANS('13_시나리오비교'!$B$12))*COS(RADIANS('13_시나리오비교'!$C$12))+$I652*COS(RADIANS('13_시나리오비교'!$B$12))),0)</f>
        <v/>
      </c>
      <c r="X652" s="80">
        <f>IF($I652&gt;0,MAX(0,$G652*SIN(RADIANS('13_시나리오비교'!$B$13))*SIN(RADIANS('13_시나리오비교'!$C$13))+$H652*SIN(RADIANS('13_시나리오비교'!$B$13))*COS(RADIANS('13_시나리오비교'!$C$13))+$I652*COS(RADIANS('13_시나리오비교'!$B$13))),0)</f>
        <v/>
      </c>
      <c r="Y652" s="80">
        <f>IF($I652&gt;0,MAX(0,$G652*SIN(RADIANS('13_시나리오비교'!$B$14))*SIN(RADIANS('13_시나리오비교'!$C$14))+$H652*SIN(RADIANS('13_시나리오비교'!$B$14))*COS(RADIANS('13_시나리오비교'!$C$14))+$I652*COS(RADIANS('13_시나리오비교'!$B$14))),0)</f>
        <v/>
      </c>
    </row>
    <row r="653" hidden="1" outlineLevel="1">
      <c r="A653" s="79" t="n">
        <v>7</v>
      </c>
      <c r="B653" s="79" t="n">
        <v>57</v>
      </c>
      <c r="C653" s="80">
        <f>(B653-0.5)*'14_지역·상수'!$H$6</f>
        <v/>
      </c>
      <c r="D653" s="79" t="n">
        <v>198</v>
      </c>
      <c r="E653" s="80">
        <f>INDEX($C$4:$C$15,MATCH(A653,$A$4:$A$15,0))</f>
        <v/>
      </c>
      <c r="F653" s="80">
        <f>15*(C653-12)</f>
        <v/>
      </c>
      <c r="G653" s="80">
        <f>-COS(RADIANS(E653))*SIN(RADIANS(F653))</f>
        <v/>
      </c>
      <c r="H653" s="80">
        <f>COS(RADIANS('11_발전량_모델'!$B$17))*SIN(RADIANS(E653))-SIN(RADIANS('11_발전량_모델'!$B$17))*COS(RADIANS(E653))*COS(RADIANS(F653))</f>
        <v/>
      </c>
      <c r="I653" s="80">
        <f>SIN(RADIANS('11_발전량_모델'!$B$17))*SIN(RADIANS(E653))+COS(RADIANS('11_발전량_모델'!$B$17))*COS(RADIANS(E653))*COS(RADIANS(F653))</f>
        <v/>
      </c>
      <c r="J653" s="80">
        <f>SIN(RADIANS('11_발전량_모델'!$B$7))*SIN(RADIANS('11_발전량_모델'!$B$8))</f>
        <v/>
      </c>
      <c r="K653" s="80">
        <f>SIN(RADIANS('11_발전량_모델'!$B$7))*COS(RADIANS('11_발전량_모델'!$B$8))</f>
        <v/>
      </c>
      <c r="L653" s="80">
        <f>COS(RADIANS('11_발전량_모델'!$B$7))</f>
        <v/>
      </c>
      <c r="M653" s="80">
        <f>G653*J653+H653*K653+I653*L653</f>
        <v/>
      </c>
      <c r="N653" s="80">
        <f>MAX(0,I653)</f>
        <v/>
      </c>
      <c r="O653" s="80">
        <f>IF(I653&gt;0,MAX(0,M653),0)</f>
        <v/>
      </c>
      <c r="P653" s="80">
        <f>IF($I653&gt;0,MAX(0,$G653*SIN(RADIANS('13_시나리오비교'!$B$5))*SIN(RADIANS('13_시나리오비교'!$C$5))+$H653*SIN(RADIANS('13_시나리오비교'!$B$5))*COS(RADIANS('13_시나리오비교'!$C$5))+$I653*COS(RADIANS('13_시나리오비교'!$B$5))),0)</f>
        <v/>
      </c>
      <c r="Q653" s="80">
        <f>IF($I653&gt;0,MAX(0,$G653*SIN(RADIANS('13_시나리오비교'!$B$6))*SIN(RADIANS('13_시나리오비교'!$C$6))+$H653*SIN(RADIANS('13_시나리오비교'!$B$6))*COS(RADIANS('13_시나리오비교'!$C$6))+$I653*COS(RADIANS('13_시나리오비교'!$B$6))),0)</f>
        <v/>
      </c>
      <c r="R653" s="80">
        <f>IF($I653&gt;0,MAX(0,$G653*SIN(RADIANS('13_시나리오비교'!$B$7))*SIN(RADIANS('13_시나리오비교'!$C$7))+$H653*SIN(RADIANS('13_시나리오비교'!$B$7))*COS(RADIANS('13_시나리오비교'!$C$7))+$I653*COS(RADIANS('13_시나리오비교'!$B$7))),0)</f>
        <v/>
      </c>
      <c r="S653" s="80">
        <f>IF($I653&gt;0,MAX(0,$G653*SIN(RADIANS('13_시나리오비교'!$B$8))*SIN(RADIANS('13_시나리오비교'!$C$8))+$H653*SIN(RADIANS('13_시나리오비교'!$B$8))*COS(RADIANS('13_시나리오비교'!$C$8))+$I653*COS(RADIANS('13_시나리오비교'!$B$8))),0)</f>
        <v/>
      </c>
      <c r="T653" s="80">
        <f>IF($I653&gt;0,MAX(0,$G653*SIN(RADIANS('13_시나리오비교'!$B$9))*SIN(RADIANS('13_시나리오비교'!$C$9))+$H653*SIN(RADIANS('13_시나리오비교'!$B$9))*COS(RADIANS('13_시나리오비교'!$C$9))+$I653*COS(RADIANS('13_시나리오비교'!$B$9))),0)</f>
        <v/>
      </c>
      <c r="U653" s="80">
        <f>IF($I653&gt;0,MAX(0,$G653*SIN(RADIANS('13_시나리오비교'!$B$10))*SIN(RADIANS('13_시나리오비교'!$C$10))+$H653*SIN(RADIANS('13_시나리오비교'!$B$10))*COS(RADIANS('13_시나리오비교'!$C$10))+$I653*COS(RADIANS('13_시나리오비교'!$B$10))),0)</f>
        <v/>
      </c>
      <c r="V653" s="80">
        <f>IF($I653&gt;0,MAX(0,$G653*SIN(RADIANS('13_시나리오비교'!$B$11))*SIN(RADIANS('13_시나리오비교'!$C$11))+$H653*SIN(RADIANS('13_시나리오비교'!$B$11))*COS(RADIANS('13_시나리오비교'!$C$11))+$I653*COS(RADIANS('13_시나리오비교'!$B$11))),0)</f>
        <v/>
      </c>
      <c r="W653" s="80">
        <f>IF($I653&gt;0,MAX(0,$G653*SIN(RADIANS('13_시나리오비교'!$B$12))*SIN(RADIANS('13_시나리오비교'!$C$12))+$H653*SIN(RADIANS('13_시나리오비교'!$B$12))*COS(RADIANS('13_시나리오비교'!$C$12))+$I653*COS(RADIANS('13_시나리오비교'!$B$12))),0)</f>
        <v/>
      </c>
      <c r="X653" s="80">
        <f>IF($I653&gt;0,MAX(0,$G653*SIN(RADIANS('13_시나리오비교'!$B$13))*SIN(RADIANS('13_시나리오비교'!$C$13))+$H653*SIN(RADIANS('13_시나리오비교'!$B$13))*COS(RADIANS('13_시나리오비교'!$C$13))+$I653*COS(RADIANS('13_시나리오비교'!$B$13))),0)</f>
        <v/>
      </c>
      <c r="Y653" s="80">
        <f>IF($I653&gt;0,MAX(0,$G653*SIN(RADIANS('13_시나리오비교'!$B$14))*SIN(RADIANS('13_시나리오비교'!$C$14))+$H653*SIN(RADIANS('13_시나리오비교'!$B$14))*COS(RADIANS('13_시나리오비교'!$C$14))+$I653*COS(RADIANS('13_시나리오비교'!$B$14))),0)</f>
        <v/>
      </c>
    </row>
    <row r="654" hidden="1" outlineLevel="1">
      <c r="A654" s="79" t="n">
        <v>7</v>
      </c>
      <c r="B654" s="79" t="n">
        <v>58</v>
      </c>
      <c r="C654" s="80">
        <f>(B654-0.5)*'14_지역·상수'!$H$6</f>
        <v/>
      </c>
      <c r="D654" s="79" t="n">
        <v>198</v>
      </c>
      <c r="E654" s="80">
        <f>INDEX($C$4:$C$15,MATCH(A654,$A$4:$A$15,0))</f>
        <v/>
      </c>
      <c r="F654" s="80">
        <f>15*(C654-12)</f>
        <v/>
      </c>
      <c r="G654" s="80">
        <f>-COS(RADIANS(E654))*SIN(RADIANS(F654))</f>
        <v/>
      </c>
      <c r="H654" s="80">
        <f>COS(RADIANS('11_발전량_모델'!$B$17))*SIN(RADIANS(E654))-SIN(RADIANS('11_발전량_모델'!$B$17))*COS(RADIANS(E654))*COS(RADIANS(F654))</f>
        <v/>
      </c>
      <c r="I654" s="80">
        <f>SIN(RADIANS('11_발전량_모델'!$B$17))*SIN(RADIANS(E654))+COS(RADIANS('11_발전량_모델'!$B$17))*COS(RADIANS(E654))*COS(RADIANS(F654))</f>
        <v/>
      </c>
      <c r="J654" s="80">
        <f>SIN(RADIANS('11_발전량_모델'!$B$7))*SIN(RADIANS('11_발전량_모델'!$B$8))</f>
        <v/>
      </c>
      <c r="K654" s="80">
        <f>SIN(RADIANS('11_발전량_모델'!$B$7))*COS(RADIANS('11_발전량_모델'!$B$8))</f>
        <v/>
      </c>
      <c r="L654" s="80">
        <f>COS(RADIANS('11_발전량_모델'!$B$7))</f>
        <v/>
      </c>
      <c r="M654" s="80">
        <f>G654*J654+H654*K654+I654*L654</f>
        <v/>
      </c>
      <c r="N654" s="80">
        <f>MAX(0,I654)</f>
        <v/>
      </c>
      <c r="O654" s="80">
        <f>IF(I654&gt;0,MAX(0,M654),0)</f>
        <v/>
      </c>
      <c r="P654" s="80">
        <f>IF($I654&gt;0,MAX(0,$G654*SIN(RADIANS('13_시나리오비교'!$B$5))*SIN(RADIANS('13_시나리오비교'!$C$5))+$H654*SIN(RADIANS('13_시나리오비교'!$B$5))*COS(RADIANS('13_시나리오비교'!$C$5))+$I654*COS(RADIANS('13_시나리오비교'!$B$5))),0)</f>
        <v/>
      </c>
      <c r="Q654" s="80">
        <f>IF($I654&gt;0,MAX(0,$G654*SIN(RADIANS('13_시나리오비교'!$B$6))*SIN(RADIANS('13_시나리오비교'!$C$6))+$H654*SIN(RADIANS('13_시나리오비교'!$B$6))*COS(RADIANS('13_시나리오비교'!$C$6))+$I654*COS(RADIANS('13_시나리오비교'!$B$6))),0)</f>
        <v/>
      </c>
      <c r="R654" s="80">
        <f>IF($I654&gt;0,MAX(0,$G654*SIN(RADIANS('13_시나리오비교'!$B$7))*SIN(RADIANS('13_시나리오비교'!$C$7))+$H654*SIN(RADIANS('13_시나리오비교'!$B$7))*COS(RADIANS('13_시나리오비교'!$C$7))+$I654*COS(RADIANS('13_시나리오비교'!$B$7))),0)</f>
        <v/>
      </c>
      <c r="S654" s="80">
        <f>IF($I654&gt;0,MAX(0,$G654*SIN(RADIANS('13_시나리오비교'!$B$8))*SIN(RADIANS('13_시나리오비교'!$C$8))+$H654*SIN(RADIANS('13_시나리오비교'!$B$8))*COS(RADIANS('13_시나리오비교'!$C$8))+$I654*COS(RADIANS('13_시나리오비교'!$B$8))),0)</f>
        <v/>
      </c>
      <c r="T654" s="80">
        <f>IF($I654&gt;0,MAX(0,$G654*SIN(RADIANS('13_시나리오비교'!$B$9))*SIN(RADIANS('13_시나리오비교'!$C$9))+$H654*SIN(RADIANS('13_시나리오비교'!$B$9))*COS(RADIANS('13_시나리오비교'!$C$9))+$I654*COS(RADIANS('13_시나리오비교'!$B$9))),0)</f>
        <v/>
      </c>
      <c r="U654" s="80">
        <f>IF($I654&gt;0,MAX(0,$G654*SIN(RADIANS('13_시나리오비교'!$B$10))*SIN(RADIANS('13_시나리오비교'!$C$10))+$H654*SIN(RADIANS('13_시나리오비교'!$B$10))*COS(RADIANS('13_시나리오비교'!$C$10))+$I654*COS(RADIANS('13_시나리오비교'!$B$10))),0)</f>
        <v/>
      </c>
      <c r="V654" s="80">
        <f>IF($I654&gt;0,MAX(0,$G654*SIN(RADIANS('13_시나리오비교'!$B$11))*SIN(RADIANS('13_시나리오비교'!$C$11))+$H654*SIN(RADIANS('13_시나리오비교'!$B$11))*COS(RADIANS('13_시나리오비교'!$C$11))+$I654*COS(RADIANS('13_시나리오비교'!$B$11))),0)</f>
        <v/>
      </c>
      <c r="W654" s="80">
        <f>IF($I654&gt;0,MAX(0,$G654*SIN(RADIANS('13_시나리오비교'!$B$12))*SIN(RADIANS('13_시나리오비교'!$C$12))+$H654*SIN(RADIANS('13_시나리오비교'!$B$12))*COS(RADIANS('13_시나리오비교'!$C$12))+$I654*COS(RADIANS('13_시나리오비교'!$B$12))),0)</f>
        <v/>
      </c>
      <c r="X654" s="80">
        <f>IF($I654&gt;0,MAX(0,$G654*SIN(RADIANS('13_시나리오비교'!$B$13))*SIN(RADIANS('13_시나리오비교'!$C$13))+$H654*SIN(RADIANS('13_시나리오비교'!$B$13))*COS(RADIANS('13_시나리오비교'!$C$13))+$I654*COS(RADIANS('13_시나리오비교'!$B$13))),0)</f>
        <v/>
      </c>
      <c r="Y654" s="80">
        <f>IF($I654&gt;0,MAX(0,$G654*SIN(RADIANS('13_시나리오비교'!$B$14))*SIN(RADIANS('13_시나리오비교'!$C$14))+$H654*SIN(RADIANS('13_시나리오비교'!$B$14))*COS(RADIANS('13_시나리오비교'!$C$14))+$I654*COS(RADIANS('13_시나리오비교'!$B$14))),0)</f>
        <v/>
      </c>
    </row>
    <row r="655" hidden="1" outlineLevel="1">
      <c r="A655" s="79" t="n">
        <v>7</v>
      </c>
      <c r="B655" s="79" t="n">
        <v>59</v>
      </c>
      <c r="C655" s="80">
        <f>(B655-0.5)*'14_지역·상수'!$H$6</f>
        <v/>
      </c>
      <c r="D655" s="79" t="n">
        <v>198</v>
      </c>
      <c r="E655" s="80">
        <f>INDEX($C$4:$C$15,MATCH(A655,$A$4:$A$15,0))</f>
        <v/>
      </c>
      <c r="F655" s="80">
        <f>15*(C655-12)</f>
        <v/>
      </c>
      <c r="G655" s="80">
        <f>-COS(RADIANS(E655))*SIN(RADIANS(F655))</f>
        <v/>
      </c>
      <c r="H655" s="80">
        <f>COS(RADIANS('11_발전량_모델'!$B$17))*SIN(RADIANS(E655))-SIN(RADIANS('11_발전량_모델'!$B$17))*COS(RADIANS(E655))*COS(RADIANS(F655))</f>
        <v/>
      </c>
      <c r="I655" s="80">
        <f>SIN(RADIANS('11_발전량_모델'!$B$17))*SIN(RADIANS(E655))+COS(RADIANS('11_발전량_모델'!$B$17))*COS(RADIANS(E655))*COS(RADIANS(F655))</f>
        <v/>
      </c>
      <c r="J655" s="80">
        <f>SIN(RADIANS('11_발전량_모델'!$B$7))*SIN(RADIANS('11_발전량_모델'!$B$8))</f>
        <v/>
      </c>
      <c r="K655" s="80">
        <f>SIN(RADIANS('11_발전량_모델'!$B$7))*COS(RADIANS('11_발전량_모델'!$B$8))</f>
        <v/>
      </c>
      <c r="L655" s="80">
        <f>COS(RADIANS('11_발전량_모델'!$B$7))</f>
        <v/>
      </c>
      <c r="M655" s="80">
        <f>G655*J655+H655*K655+I655*L655</f>
        <v/>
      </c>
      <c r="N655" s="80">
        <f>MAX(0,I655)</f>
        <v/>
      </c>
      <c r="O655" s="80">
        <f>IF(I655&gt;0,MAX(0,M655),0)</f>
        <v/>
      </c>
      <c r="P655" s="80">
        <f>IF($I655&gt;0,MAX(0,$G655*SIN(RADIANS('13_시나리오비교'!$B$5))*SIN(RADIANS('13_시나리오비교'!$C$5))+$H655*SIN(RADIANS('13_시나리오비교'!$B$5))*COS(RADIANS('13_시나리오비교'!$C$5))+$I655*COS(RADIANS('13_시나리오비교'!$B$5))),0)</f>
        <v/>
      </c>
      <c r="Q655" s="80">
        <f>IF($I655&gt;0,MAX(0,$G655*SIN(RADIANS('13_시나리오비교'!$B$6))*SIN(RADIANS('13_시나리오비교'!$C$6))+$H655*SIN(RADIANS('13_시나리오비교'!$B$6))*COS(RADIANS('13_시나리오비교'!$C$6))+$I655*COS(RADIANS('13_시나리오비교'!$B$6))),0)</f>
        <v/>
      </c>
      <c r="R655" s="80">
        <f>IF($I655&gt;0,MAX(0,$G655*SIN(RADIANS('13_시나리오비교'!$B$7))*SIN(RADIANS('13_시나리오비교'!$C$7))+$H655*SIN(RADIANS('13_시나리오비교'!$B$7))*COS(RADIANS('13_시나리오비교'!$C$7))+$I655*COS(RADIANS('13_시나리오비교'!$B$7))),0)</f>
        <v/>
      </c>
      <c r="S655" s="80">
        <f>IF($I655&gt;0,MAX(0,$G655*SIN(RADIANS('13_시나리오비교'!$B$8))*SIN(RADIANS('13_시나리오비교'!$C$8))+$H655*SIN(RADIANS('13_시나리오비교'!$B$8))*COS(RADIANS('13_시나리오비교'!$C$8))+$I655*COS(RADIANS('13_시나리오비교'!$B$8))),0)</f>
        <v/>
      </c>
      <c r="T655" s="80">
        <f>IF($I655&gt;0,MAX(0,$G655*SIN(RADIANS('13_시나리오비교'!$B$9))*SIN(RADIANS('13_시나리오비교'!$C$9))+$H655*SIN(RADIANS('13_시나리오비교'!$B$9))*COS(RADIANS('13_시나리오비교'!$C$9))+$I655*COS(RADIANS('13_시나리오비교'!$B$9))),0)</f>
        <v/>
      </c>
      <c r="U655" s="80">
        <f>IF($I655&gt;0,MAX(0,$G655*SIN(RADIANS('13_시나리오비교'!$B$10))*SIN(RADIANS('13_시나리오비교'!$C$10))+$H655*SIN(RADIANS('13_시나리오비교'!$B$10))*COS(RADIANS('13_시나리오비교'!$C$10))+$I655*COS(RADIANS('13_시나리오비교'!$B$10))),0)</f>
        <v/>
      </c>
      <c r="V655" s="80">
        <f>IF($I655&gt;0,MAX(0,$G655*SIN(RADIANS('13_시나리오비교'!$B$11))*SIN(RADIANS('13_시나리오비교'!$C$11))+$H655*SIN(RADIANS('13_시나리오비교'!$B$11))*COS(RADIANS('13_시나리오비교'!$C$11))+$I655*COS(RADIANS('13_시나리오비교'!$B$11))),0)</f>
        <v/>
      </c>
      <c r="W655" s="80">
        <f>IF($I655&gt;0,MAX(0,$G655*SIN(RADIANS('13_시나리오비교'!$B$12))*SIN(RADIANS('13_시나리오비교'!$C$12))+$H655*SIN(RADIANS('13_시나리오비교'!$B$12))*COS(RADIANS('13_시나리오비교'!$C$12))+$I655*COS(RADIANS('13_시나리오비교'!$B$12))),0)</f>
        <v/>
      </c>
      <c r="X655" s="80">
        <f>IF($I655&gt;0,MAX(0,$G655*SIN(RADIANS('13_시나리오비교'!$B$13))*SIN(RADIANS('13_시나리오비교'!$C$13))+$H655*SIN(RADIANS('13_시나리오비교'!$B$13))*COS(RADIANS('13_시나리오비교'!$C$13))+$I655*COS(RADIANS('13_시나리오비교'!$B$13))),0)</f>
        <v/>
      </c>
      <c r="Y655" s="80">
        <f>IF($I655&gt;0,MAX(0,$G655*SIN(RADIANS('13_시나리오비교'!$B$14))*SIN(RADIANS('13_시나리오비교'!$C$14))+$H655*SIN(RADIANS('13_시나리오비교'!$B$14))*COS(RADIANS('13_시나리오비교'!$C$14))+$I655*COS(RADIANS('13_시나리오비교'!$B$14))),0)</f>
        <v/>
      </c>
    </row>
    <row r="656" hidden="1" outlineLevel="1">
      <c r="A656" s="79" t="n">
        <v>7</v>
      </c>
      <c r="B656" s="79" t="n">
        <v>60</v>
      </c>
      <c r="C656" s="80">
        <f>(B656-0.5)*'14_지역·상수'!$H$6</f>
        <v/>
      </c>
      <c r="D656" s="79" t="n">
        <v>198</v>
      </c>
      <c r="E656" s="80">
        <f>INDEX($C$4:$C$15,MATCH(A656,$A$4:$A$15,0))</f>
        <v/>
      </c>
      <c r="F656" s="80">
        <f>15*(C656-12)</f>
        <v/>
      </c>
      <c r="G656" s="80">
        <f>-COS(RADIANS(E656))*SIN(RADIANS(F656))</f>
        <v/>
      </c>
      <c r="H656" s="80">
        <f>COS(RADIANS('11_발전량_모델'!$B$17))*SIN(RADIANS(E656))-SIN(RADIANS('11_발전량_모델'!$B$17))*COS(RADIANS(E656))*COS(RADIANS(F656))</f>
        <v/>
      </c>
      <c r="I656" s="80">
        <f>SIN(RADIANS('11_발전량_모델'!$B$17))*SIN(RADIANS(E656))+COS(RADIANS('11_발전량_모델'!$B$17))*COS(RADIANS(E656))*COS(RADIANS(F656))</f>
        <v/>
      </c>
      <c r="J656" s="80">
        <f>SIN(RADIANS('11_발전량_모델'!$B$7))*SIN(RADIANS('11_발전량_모델'!$B$8))</f>
        <v/>
      </c>
      <c r="K656" s="80">
        <f>SIN(RADIANS('11_발전량_모델'!$B$7))*COS(RADIANS('11_발전량_모델'!$B$8))</f>
        <v/>
      </c>
      <c r="L656" s="80">
        <f>COS(RADIANS('11_발전량_모델'!$B$7))</f>
        <v/>
      </c>
      <c r="M656" s="80">
        <f>G656*J656+H656*K656+I656*L656</f>
        <v/>
      </c>
      <c r="N656" s="80">
        <f>MAX(0,I656)</f>
        <v/>
      </c>
      <c r="O656" s="80">
        <f>IF(I656&gt;0,MAX(0,M656),0)</f>
        <v/>
      </c>
      <c r="P656" s="80">
        <f>IF($I656&gt;0,MAX(0,$G656*SIN(RADIANS('13_시나리오비교'!$B$5))*SIN(RADIANS('13_시나리오비교'!$C$5))+$H656*SIN(RADIANS('13_시나리오비교'!$B$5))*COS(RADIANS('13_시나리오비교'!$C$5))+$I656*COS(RADIANS('13_시나리오비교'!$B$5))),0)</f>
        <v/>
      </c>
      <c r="Q656" s="80">
        <f>IF($I656&gt;0,MAX(0,$G656*SIN(RADIANS('13_시나리오비교'!$B$6))*SIN(RADIANS('13_시나리오비교'!$C$6))+$H656*SIN(RADIANS('13_시나리오비교'!$B$6))*COS(RADIANS('13_시나리오비교'!$C$6))+$I656*COS(RADIANS('13_시나리오비교'!$B$6))),0)</f>
        <v/>
      </c>
      <c r="R656" s="80">
        <f>IF($I656&gt;0,MAX(0,$G656*SIN(RADIANS('13_시나리오비교'!$B$7))*SIN(RADIANS('13_시나리오비교'!$C$7))+$H656*SIN(RADIANS('13_시나리오비교'!$B$7))*COS(RADIANS('13_시나리오비교'!$C$7))+$I656*COS(RADIANS('13_시나리오비교'!$B$7))),0)</f>
        <v/>
      </c>
      <c r="S656" s="80">
        <f>IF($I656&gt;0,MAX(0,$G656*SIN(RADIANS('13_시나리오비교'!$B$8))*SIN(RADIANS('13_시나리오비교'!$C$8))+$H656*SIN(RADIANS('13_시나리오비교'!$B$8))*COS(RADIANS('13_시나리오비교'!$C$8))+$I656*COS(RADIANS('13_시나리오비교'!$B$8))),0)</f>
        <v/>
      </c>
      <c r="T656" s="80">
        <f>IF($I656&gt;0,MAX(0,$G656*SIN(RADIANS('13_시나리오비교'!$B$9))*SIN(RADIANS('13_시나리오비교'!$C$9))+$H656*SIN(RADIANS('13_시나리오비교'!$B$9))*COS(RADIANS('13_시나리오비교'!$C$9))+$I656*COS(RADIANS('13_시나리오비교'!$B$9))),0)</f>
        <v/>
      </c>
      <c r="U656" s="80">
        <f>IF($I656&gt;0,MAX(0,$G656*SIN(RADIANS('13_시나리오비교'!$B$10))*SIN(RADIANS('13_시나리오비교'!$C$10))+$H656*SIN(RADIANS('13_시나리오비교'!$B$10))*COS(RADIANS('13_시나리오비교'!$C$10))+$I656*COS(RADIANS('13_시나리오비교'!$B$10))),0)</f>
        <v/>
      </c>
      <c r="V656" s="80">
        <f>IF($I656&gt;0,MAX(0,$G656*SIN(RADIANS('13_시나리오비교'!$B$11))*SIN(RADIANS('13_시나리오비교'!$C$11))+$H656*SIN(RADIANS('13_시나리오비교'!$B$11))*COS(RADIANS('13_시나리오비교'!$C$11))+$I656*COS(RADIANS('13_시나리오비교'!$B$11))),0)</f>
        <v/>
      </c>
      <c r="W656" s="80">
        <f>IF($I656&gt;0,MAX(0,$G656*SIN(RADIANS('13_시나리오비교'!$B$12))*SIN(RADIANS('13_시나리오비교'!$C$12))+$H656*SIN(RADIANS('13_시나리오비교'!$B$12))*COS(RADIANS('13_시나리오비교'!$C$12))+$I656*COS(RADIANS('13_시나리오비교'!$B$12))),0)</f>
        <v/>
      </c>
      <c r="X656" s="80">
        <f>IF($I656&gt;0,MAX(0,$G656*SIN(RADIANS('13_시나리오비교'!$B$13))*SIN(RADIANS('13_시나리오비교'!$C$13))+$H656*SIN(RADIANS('13_시나리오비교'!$B$13))*COS(RADIANS('13_시나리오비교'!$C$13))+$I656*COS(RADIANS('13_시나리오비교'!$B$13))),0)</f>
        <v/>
      </c>
      <c r="Y656" s="80">
        <f>IF($I656&gt;0,MAX(0,$G656*SIN(RADIANS('13_시나리오비교'!$B$14))*SIN(RADIANS('13_시나리오비교'!$C$14))+$H656*SIN(RADIANS('13_시나리오비교'!$B$14))*COS(RADIANS('13_시나리오비교'!$C$14))+$I656*COS(RADIANS('13_시나리오비교'!$B$14))),0)</f>
        <v/>
      </c>
    </row>
    <row r="657" hidden="1" outlineLevel="1">
      <c r="A657" s="79" t="n">
        <v>7</v>
      </c>
      <c r="B657" s="79" t="n">
        <v>61</v>
      </c>
      <c r="C657" s="80">
        <f>(B657-0.5)*'14_지역·상수'!$H$6</f>
        <v/>
      </c>
      <c r="D657" s="79" t="n">
        <v>198</v>
      </c>
      <c r="E657" s="80">
        <f>INDEX($C$4:$C$15,MATCH(A657,$A$4:$A$15,0))</f>
        <v/>
      </c>
      <c r="F657" s="80">
        <f>15*(C657-12)</f>
        <v/>
      </c>
      <c r="G657" s="80">
        <f>-COS(RADIANS(E657))*SIN(RADIANS(F657))</f>
        <v/>
      </c>
      <c r="H657" s="80">
        <f>COS(RADIANS('11_발전량_모델'!$B$17))*SIN(RADIANS(E657))-SIN(RADIANS('11_발전량_모델'!$B$17))*COS(RADIANS(E657))*COS(RADIANS(F657))</f>
        <v/>
      </c>
      <c r="I657" s="80">
        <f>SIN(RADIANS('11_발전량_모델'!$B$17))*SIN(RADIANS(E657))+COS(RADIANS('11_발전량_모델'!$B$17))*COS(RADIANS(E657))*COS(RADIANS(F657))</f>
        <v/>
      </c>
      <c r="J657" s="80">
        <f>SIN(RADIANS('11_발전량_모델'!$B$7))*SIN(RADIANS('11_발전량_모델'!$B$8))</f>
        <v/>
      </c>
      <c r="K657" s="80">
        <f>SIN(RADIANS('11_발전량_모델'!$B$7))*COS(RADIANS('11_발전량_모델'!$B$8))</f>
        <v/>
      </c>
      <c r="L657" s="80">
        <f>COS(RADIANS('11_발전량_모델'!$B$7))</f>
        <v/>
      </c>
      <c r="M657" s="80">
        <f>G657*J657+H657*K657+I657*L657</f>
        <v/>
      </c>
      <c r="N657" s="80">
        <f>MAX(0,I657)</f>
        <v/>
      </c>
      <c r="O657" s="80">
        <f>IF(I657&gt;0,MAX(0,M657),0)</f>
        <v/>
      </c>
      <c r="P657" s="80">
        <f>IF($I657&gt;0,MAX(0,$G657*SIN(RADIANS('13_시나리오비교'!$B$5))*SIN(RADIANS('13_시나리오비교'!$C$5))+$H657*SIN(RADIANS('13_시나리오비교'!$B$5))*COS(RADIANS('13_시나리오비교'!$C$5))+$I657*COS(RADIANS('13_시나리오비교'!$B$5))),0)</f>
        <v/>
      </c>
      <c r="Q657" s="80">
        <f>IF($I657&gt;0,MAX(0,$G657*SIN(RADIANS('13_시나리오비교'!$B$6))*SIN(RADIANS('13_시나리오비교'!$C$6))+$H657*SIN(RADIANS('13_시나리오비교'!$B$6))*COS(RADIANS('13_시나리오비교'!$C$6))+$I657*COS(RADIANS('13_시나리오비교'!$B$6))),0)</f>
        <v/>
      </c>
      <c r="R657" s="80">
        <f>IF($I657&gt;0,MAX(0,$G657*SIN(RADIANS('13_시나리오비교'!$B$7))*SIN(RADIANS('13_시나리오비교'!$C$7))+$H657*SIN(RADIANS('13_시나리오비교'!$B$7))*COS(RADIANS('13_시나리오비교'!$C$7))+$I657*COS(RADIANS('13_시나리오비교'!$B$7))),0)</f>
        <v/>
      </c>
      <c r="S657" s="80">
        <f>IF($I657&gt;0,MAX(0,$G657*SIN(RADIANS('13_시나리오비교'!$B$8))*SIN(RADIANS('13_시나리오비교'!$C$8))+$H657*SIN(RADIANS('13_시나리오비교'!$B$8))*COS(RADIANS('13_시나리오비교'!$C$8))+$I657*COS(RADIANS('13_시나리오비교'!$B$8))),0)</f>
        <v/>
      </c>
      <c r="T657" s="80">
        <f>IF($I657&gt;0,MAX(0,$G657*SIN(RADIANS('13_시나리오비교'!$B$9))*SIN(RADIANS('13_시나리오비교'!$C$9))+$H657*SIN(RADIANS('13_시나리오비교'!$B$9))*COS(RADIANS('13_시나리오비교'!$C$9))+$I657*COS(RADIANS('13_시나리오비교'!$B$9))),0)</f>
        <v/>
      </c>
      <c r="U657" s="80">
        <f>IF($I657&gt;0,MAX(0,$G657*SIN(RADIANS('13_시나리오비교'!$B$10))*SIN(RADIANS('13_시나리오비교'!$C$10))+$H657*SIN(RADIANS('13_시나리오비교'!$B$10))*COS(RADIANS('13_시나리오비교'!$C$10))+$I657*COS(RADIANS('13_시나리오비교'!$B$10))),0)</f>
        <v/>
      </c>
      <c r="V657" s="80">
        <f>IF($I657&gt;0,MAX(0,$G657*SIN(RADIANS('13_시나리오비교'!$B$11))*SIN(RADIANS('13_시나리오비교'!$C$11))+$H657*SIN(RADIANS('13_시나리오비교'!$B$11))*COS(RADIANS('13_시나리오비교'!$C$11))+$I657*COS(RADIANS('13_시나리오비교'!$B$11))),0)</f>
        <v/>
      </c>
      <c r="W657" s="80">
        <f>IF($I657&gt;0,MAX(0,$G657*SIN(RADIANS('13_시나리오비교'!$B$12))*SIN(RADIANS('13_시나리오비교'!$C$12))+$H657*SIN(RADIANS('13_시나리오비교'!$B$12))*COS(RADIANS('13_시나리오비교'!$C$12))+$I657*COS(RADIANS('13_시나리오비교'!$B$12))),0)</f>
        <v/>
      </c>
      <c r="X657" s="80">
        <f>IF($I657&gt;0,MAX(0,$G657*SIN(RADIANS('13_시나리오비교'!$B$13))*SIN(RADIANS('13_시나리오비교'!$C$13))+$H657*SIN(RADIANS('13_시나리오비교'!$B$13))*COS(RADIANS('13_시나리오비교'!$C$13))+$I657*COS(RADIANS('13_시나리오비교'!$B$13))),0)</f>
        <v/>
      </c>
      <c r="Y657" s="80">
        <f>IF($I657&gt;0,MAX(0,$G657*SIN(RADIANS('13_시나리오비교'!$B$14))*SIN(RADIANS('13_시나리오비교'!$C$14))+$H657*SIN(RADIANS('13_시나리오비교'!$B$14))*COS(RADIANS('13_시나리오비교'!$C$14))+$I657*COS(RADIANS('13_시나리오비교'!$B$14))),0)</f>
        <v/>
      </c>
    </row>
    <row r="658" hidden="1" outlineLevel="1">
      <c r="A658" s="79" t="n">
        <v>7</v>
      </c>
      <c r="B658" s="79" t="n">
        <v>62</v>
      </c>
      <c r="C658" s="80">
        <f>(B658-0.5)*'14_지역·상수'!$H$6</f>
        <v/>
      </c>
      <c r="D658" s="79" t="n">
        <v>198</v>
      </c>
      <c r="E658" s="80">
        <f>INDEX($C$4:$C$15,MATCH(A658,$A$4:$A$15,0))</f>
        <v/>
      </c>
      <c r="F658" s="80">
        <f>15*(C658-12)</f>
        <v/>
      </c>
      <c r="G658" s="80">
        <f>-COS(RADIANS(E658))*SIN(RADIANS(F658))</f>
        <v/>
      </c>
      <c r="H658" s="80">
        <f>COS(RADIANS('11_발전량_모델'!$B$17))*SIN(RADIANS(E658))-SIN(RADIANS('11_발전량_모델'!$B$17))*COS(RADIANS(E658))*COS(RADIANS(F658))</f>
        <v/>
      </c>
      <c r="I658" s="80">
        <f>SIN(RADIANS('11_발전량_모델'!$B$17))*SIN(RADIANS(E658))+COS(RADIANS('11_발전량_모델'!$B$17))*COS(RADIANS(E658))*COS(RADIANS(F658))</f>
        <v/>
      </c>
      <c r="J658" s="80">
        <f>SIN(RADIANS('11_발전량_모델'!$B$7))*SIN(RADIANS('11_발전량_모델'!$B$8))</f>
        <v/>
      </c>
      <c r="K658" s="80">
        <f>SIN(RADIANS('11_발전량_모델'!$B$7))*COS(RADIANS('11_발전량_모델'!$B$8))</f>
        <v/>
      </c>
      <c r="L658" s="80">
        <f>COS(RADIANS('11_발전량_모델'!$B$7))</f>
        <v/>
      </c>
      <c r="M658" s="80">
        <f>G658*J658+H658*K658+I658*L658</f>
        <v/>
      </c>
      <c r="N658" s="80">
        <f>MAX(0,I658)</f>
        <v/>
      </c>
      <c r="O658" s="80">
        <f>IF(I658&gt;0,MAX(0,M658),0)</f>
        <v/>
      </c>
      <c r="P658" s="80">
        <f>IF($I658&gt;0,MAX(0,$G658*SIN(RADIANS('13_시나리오비교'!$B$5))*SIN(RADIANS('13_시나리오비교'!$C$5))+$H658*SIN(RADIANS('13_시나리오비교'!$B$5))*COS(RADIANS('13_시나리오비교'!$C$5))+$I658*COS(RADIANS('13_시나리오비교'!$B$5))),0)</f>
        <v/>
      </c>
      <c r="Q658" s="80">
        <f>IF($I658&gt;0,MAX(0,$G658*SIN(RADIANS('13_시나리오비교'!$B$6))*SIN(RADIANS('13_시나리오비교'!$C$6))+$H658*SIN(RADIANS('13_시나리오비교'!$B$6))*COS(RADIANS('13_시나리오비교'!$C$6))+$I658*COS(RADIANS('13_시나리오비교'!$B$6))),0)</f>
        <v/>
      </c>
      <c r="R658" s="80">
        <f>IF($I658&gt;0,MAX(0,$G658*SIN(RADIANS('13_시나리오비교'!$B$7))*SIN(RADIANS('13_시나리오비교'!$C$7))+$H658*SIN(RADIANS('13_시나리오비교'!$B$7))*COS(RADIANS('13_시나리오비교'!$C$7))+$I658*COS(RADIANS('13_시나리오비교'!$B$7))),0)</f>
        <v/>
      </c>
      <c r="S658" s="80">
        <f>IF($I658&gt;0,MAX(0,$G658*SIN(RADIANS('13_시나리오비교'!$B$8))*SIN(RADIANS('13_시나리오비교'!$C$8))+$H658*SIN(RADIANS('13_시나리오비교'!$B$8))*COS(RADIANS('13_시나리오비교'!$C$8))+$I658*COS(RADIANS('13_시나리오비교'!$B$8))),0)</f>
        <v/>
      </c>
      <c r="T658" s="80">
        <f>IF($I658&gt;0,MAX(0,$G658*SIN(RADIANS('13_시나리오비교'!$B$9))*SIN(RADIANS('13_시나리오비교'!$C$9))+$H658*SIN(RADIANS('13_시나리오비교'!$B$9))*COS(RADIANS('13_시나리오비교'!$C$9))+$I658*COS(RADIANS('13_시나리오비교'!$B$9))),0)</f>
        <v/>
      </c>
      <c r="U658" s="80">
        <f>IF($I658&gt;0,MAX(0,$G658*SIN(RADIANS('13_시나리오비교'!$B$10))*SIN(RADIANS('13_시나리오비교'!$C$10))+$H658*SIN(RADIANS('13_시나리오비교'!$B$10))*COS(RADIANS('13_시나리오비교'!$C$10))+$I658*COS(RADIANS('13_시나리오비교'!$B$10))),0)</f>
        <v/>
      </c>
      <c r="V658" s="80">
        <f>IF($I658&gt;0,MAX(0,$G658*SIN(RADIANS('13_시나리오비교'!$B$11))*SIN(RADIANS('13_시나리오비교'!$C$11))+$H658*SIN(RADIANS('13_시나리오비교'!$B$11))*COS(RADIANS('13_시나리오비교'!$C$11))+$I658*COS(RADIANS('13_시나리오비교'!$B$11))),0)</f>
        <v/>
      </c>
      <c r="W658" s="80">
        <f>IF($I658&gt;0,MAX(0,$G658*SIN(RADIANS('13_시나리오비교'!$B$12))*SIN(RADIANS('13_시나리오비교'!$C$12))+$H658*SIN(RADIANS('13_시나리오비교'!$B$12))*COS(RADIANS('13_시나리오비교'!$C$12))+$I658*COS(RADIANS('13_시나리오비교'!$B$12))),0)</f>
        <v/>
      </c>
      <c r="X658" s="80">
        <f>IF($I658&gt;0,MAX(0,$G658*SIN(RADIANS('13_시나리오비교'!$B$13))*SIN(RADIANS('13_시나리오비교'!$C$13))+$H658*SIN(RADIANS('13_시나리오비교'!$B$13))*COS(RADIANS('13_시나리오비교'!$C$13))+$I658*COS(RADIANS('13_시나리오비교'!$B$13))),0)</f>
        <v/>
      </c>
      <c r="Y658" s="80">
        <f>IF($I658&gt;0,MAX(0,$G658*SIN(RADIANS('13_시나리오비교'!$B$14))*SIN(RADIANS('13_시나리오비교'!$C$14))+$H658*SIN(RADIANS('13_시나리오비교'!$B$14))*COS(RADIANS('13_시나리오비교'!$C$14))+$I658*COS(RADIANS('13_시나리오비교'!$B$14))),0)</f>
        <v/>
      </c>
    </row>
    <row r="659" hidden="1" outlineLevel="1">
      <c r="A659" s="79" t="n">
        <v>7</v>
      </c>
      <c r="B659" s="79" t="n">
        <v>63</v>
      </c>
      <c r="C659" s="80">
        <f>(B659-0.5)*'14_지역·상수'!$H$6</f>
        <v/>
      </c>
      <c r="D659" s="79" t="n">
        <v>198</v>
      </c>
      <c r="E659" s="80">
        <f>INDEX($C$4:$C$15,MATCH(A659,$A$4:$A$15,0))</f>
        <v/>
      </c>
      <c r="F659" s="80">
        <f>15*(C659-12)</f>
        <v/>
      </c>
      <c r="G659" s="80">
        <f>-COS(RADIANS(E659))*SIN(RADIANS(F659))</f>
        <v/>
      </c>
      <c r="H659" s="80">
        <f>COS(RADIANS('11_발전량_모델'!$B$17))*SIN(RADIANS(E659))-SIN(RADIANS('11_발전량_모델'!$B$17))*COS(RADIANS(E659))*COS(RADIANS(F659))</f>
        <v/>
      </c>
      <c r="I659" s="80">
        <f>SIN(RADIANS('11_발전량_모델'!$B$17))*SIN(RADIANS(E659))+COS(RADIANS('11_발전량_모델'!$B$17))*COS(RADIANS(E659))*COS(RADIANS(F659))</f>
        <v/>
      </c>
      <c r="J659" s="80">
        <f>SIN(RADIANS('11_발전량_모델'!$B$7))*SIN(RADIANS('11_발전량_모델'!$B$8))</f>
        <v/>
      </c>
      <c r="K659" s="80">
        <f>SIN(RADIANS('11_발전량_모델'!$B$7))*COS(RADIANS('11_발전량_모델'!$B$8))</f>
        <v/>
      </c>
      <c r="L659" s="80">
        <f>COS(RADIANS('11_발전량_모델'!$B$7))</f>
        <v/>
      </c>
      <c r="M659" s="80">
        <f>G659*J659+H659*K659+I659*L659</f>
        <v/>
      </c>
      <c r="N659" s="80">
        <f>MAX(0,I659)</f>
        <v/>
      </c>
      <c r="O659" s="80">
        <f>IF(I659&gt;0,MAX(0,M659),0)</f>
        <v/>
      </c>
      <c r="P659" s="80">
        <f>IF($I659&gt;0,MAX(0,$G659*SIN(RADIANS('13_시나리오비교'!$B$5))*SIN(RADIANS('13_시나리오비교'!$C$5))+$H659*SIN(RADIANS('13_시나리오비교'!$B$5))*COS(RADIANS('13_시나리오비교'!$C$5))+$I659*COS(RADIANS('13_시나리오비교'!$B$5))),0)</f>
        <v/>
      </c>
      <c r="Q659" s="80">
        <f>IF($I659&gt;0,MAX(0,$G659*SIN(RADIANS('13_시나리오비교'!$B$6))*SIN(RADIANS('13_시나리오비교'!$C$6))+$H659*SIN(RADIANS('13_시나리오비교'!$B$6))*COS(RADIANS('13_시나리오비교'!$C$6))+$I659*COS(RADIANS('13_시나리오비교'!$B$6))),0)</f>
        <v/>
      </c>
      <c r="R659" s="80">
        <f>IF($I659&gt;0,MAX(0,$G659*SIN(RADIANS('13_시나리오비교'!$B$7))*SIN(RADIANS('13_시나리오비교'!$C$7))+$H659*SIN(RADIANS('13_시나리오비교'!$B$7))*COS(RADIANS('13_시나리오비교'!$C$7))+$I659*COS(RADIANS('13_시나리오비교'!$B$7))),0)</f>
        <v/>
      </c>
      <c r="S659" s="80">
        <f>IF($I659&gt;0,MAX(0,$G659*SIN(RADIANS('13_시나리오비교'!$B$8))*SIN(RADIANS('13_시나리오비교'!$C$8))+$H659*SIN(RADIANS('13_시나리오비교'!$B$8))*COS(RADIANS('13_시나리오비교'!$C$8))+$I659*COS(RADIANS('13_시나리오비교'!$B$8))),0)</f>
        <v/>
      </c>
      <c r="T659" s="80">
        <f>IF($I659&gt;0,MAX(0,$G659*SIN(RADIANS('13_시나리오비교'!$B$9))*SIN(RADIANS('13_시나리오비교'!$C$9))+$H659*SIN(RADIANS('13_시나리오비교'!$B$9))*COS(RADIANS('13_시나리오비교'!$C$9))+$I659*COS(RADIANS('13_시나리오비교'!$B$9))),0)</f>
        <v/>
      </c>
      <c r="U659" s="80">
        <f>IF($I659&gt;0,MAX(0,$G659*SIN(RADIANS('13_시나리오비교'!$B$10))*SIN(RADIANS('13_시나리오비교'!$C$10))+$H659*SIN(RADIANS('13_시나리오비교'!$B$10))*COS(RADIANS('13_시나리오비교'!$C$10))+$I659*COS(RADIANS('13_시나리오비교'!$B$10))),0)</f>
        <v/>
      </c>
      <c r="V659" s="80">
        <f>IF($I659&gt;0,MAX(0,$G659*SIN(RADIANS('13_시나리오비교'!$B$11))*SIN(RADIANS('13_시나리오비교'!$C$11))+$H659*SIN(RADIANS('13_시나리오비교'!$B$11))*COS(RADIANS('13_시나리오비교'!$C$11))+$I659*COS(RADIANS('13_시나리오비교'!$B$11))),0)</f>
        <v/>
      </c>
      <c r="W659" s="80">
        <f>IF($I659&gt;0,MAX(0,$G659*SIN(RADIANS('13_시나리오비교'!$B$12))*SIN(RADIANS('13_시나리오비교'!$C$12))+$H659*SIN(RADIANS('13_시나리오비교'!$B$12))*COS(RADIANS('13_시나리오비교'!$C$12))+$I659*COS(RADIANS('13_시나리오비교'!$B$12))),0)</f>
        <v/>
      </c>
      <c r="X659" s="80">
        <f>IF($I659&gt;0,MAX(0,$G659*SIN(RADIANS('13_시나리오비교'!$B$13))*SIN(RADIANS('13_시나리오비교'!$C$13))+$H659*SIN(RADIANS('13_시나리오비교'!$B$13))*COS(RADIANS('13_시나리오비교'!$C$13))+$I659*COS(RADIANS('13_시나리오비교'!$B$13))),0)</f>
        <v/>
      </c>
      <c r="Y659" s="80">
        <f>IF($I659&gt;0,MAX(0,$G659*SIN(RADIANS('13_시나리오비교'!$B$14))*SIN(RADIANS('13_시나리오비교'!$C$14))+$H659*SIN(RADIANS('13_시나리오비교'!$B$14))*COS(RADIANS('13_시나리오비교'!$C$14))+$I659*COS(RADIANS('13_시나리오비교'!$B$14))),0)</f>
        <v/>
      </c>
    </row>
    <row r="660" hidden="1" outlineLevel="1">
      <c r="A660" s="79" t="n">
        <v>7</v>
      </c>
      <c r="B660" s="79" t="n">
        <v>64</v>
      </c>
      <c r="C660" s="80">
        <f>(B660-0.5)*'14_지역·상수'!$H$6</f>
        <v/>
      </c>
      <c r="D660" s="79" t="n">
        <v>198</v>
      </c>
      <c r="E660" s="80">
        <f>INDEX($C$4:$C$15,MATCH(A660,$A$4:$A$15,0))</f>
        <v/>
      </c>
      <c r="F660" s="80">
        <f>15*(C660-12)</f>
        <v/>
      </c>
      <c r="G660" s="80">
        <f>-COS(RADIANS(E660))*SIN(RADIANS(F660))</f>
        <v/>
      </c>
      <c r="H660" s="80">
        <f>COS(RADIANS('11_발전량_모델'!$B$17))*SIN(RADIANS(E660))-SIN(RADIANS('11_발전량_모델'!$B$17))*COS(RADIANS(E660))*COS(RADIANS(F660))</f>
        <v/>
      </c>
      <c r="I660" s="80">
        <f>SIN(RADIANS('11_발전량_모델'!$B$17))*SIN(RADIANS(E660))+COS(RADIANS('11_발전량_모델'!$B$17))*COS(RADIANS(E660))*COS(RADIANS(F660))</f>
        <v/>
      </c>
      <c r="J660" s="80">
        <f>SIN(RADIANS('11_발전량_모델'!$B$7))*SIN(RADIANS('11_발전량_모델'!$B$8))</f>
        <v/>
      </c>
      <c r="K660" s="80">
        <f>SIN(RADIANS('11_발전량_모델'!$B$7))*COS(RADIANS('11_발전량_모델'!$B$8))</f>
        <v/>
      </c>
      <c r="L660" s="80">
        <f>COS(RADIANS('11_발전량_모델'!$B$7))</f>
        <v/>
      </c>
      <c r="M660" s="80">
        <f>G660*J660+H660*K660+I660*L660</f>
        <v/>
      </c>
      <c r="N660" s="80">
        <f>MAX(0,I660)</f>
        <v/>
      </c>
      <c r="O660" s="80">
        <f>IF(I660&gt;0,MAX(0,M660),0)</f>
        <v/>
      </c>
      <c r="P660" s="80">
        <f>IF($I660&gt;0,MAX(0,$G660*SIN(RADIANS('13_시나리오비교'!$B$5))*SIN(RADIANS('13_시나리오비교'!$C$5))+$H660*SIN(RADIANS('13_시나리오비교'!$B$5))*COS(RADIANS('13_시나리오비교'!$C$5))+$I660*COS(RADIANS('13_시나리오비교'!$B$5))),0)</f>
        <v/>
      </c>
      <c r="Q660" s="80">
        <f>IF($I660&gt;0,MAX(0,$G660*SIN(RADIANS('13_시나리오비교'!$B$6))*SIN(RADIANS('13_시나리오비교'!$C$6))+$H660*SIN(RADIANS('13_시나리오비교'!$B$6))*COS(RADIANS('13_시나리오비교'!$C$6))+$I660*COS(RADIANS('13_시나리오비교'!$B$6))),0)</f>
        <v/>
      </c>
      <c r="R660" s="80">
        <f>IF($I660&gt;0,MAX(0,$G660*SIN(RADIANS('13_시나리오비교'!$B$7))*SIN(RADIANS('13_시나리오비교'!$C$7))+$H660*SIN(RADIANS('13_시나리오비교'!$B$7))*COS(RADIANS('13_시나리오비교'!$C$7))+$I660*COS(RADIANS('13_시나리오비교'!$B$7))),0)</f>
        <v/>
      </c>
      <c r="S660" s="80">
        <f>IF($I660&gt;0,MAX(0,$G660*SIN(RADIANS('13_시나리오비교'!$B$8))*SIN(RADIANS('13_시나리오비교'!$C$8))+$H660*SIN(RADIANS('13_시나리오비교'!$B$8))*COS(RADIANS('13_시나리오비교'!$C$8))+$I660*COS(RADIANS('13_시나리오비교'!$B$8))),0)</f>
        <v/>
      </c>
      <c r="T660" s="80">
        <f>IF($I660&gt;0,MAX(0,$G660*SIN(RADIANS('13_시나리오비교'!$B$9))*SIN(RADIANS('13_시나리오비교'!$C$9))+$H660*SIN(RADIANS('13_시나리오비교'!$B$9))*COS(RADIANS('13_시나리오비교'!$C$9))+$I660*COS(RADIANS('13_시나리오비교'!$B$9))),0)</f>
        <v/>
      </c>
      <c r="U660" s="80">
        <f>IF($I660&gt;0,MAX(0,$G660*SIN(RADIANS('13_시나리오비교'!$B$10))*SIN(RADIANS('13_시나리오비교'!$C$10))+$H660*SIN(RADIANS('13_시나리오비교'!$B$10))*COS(RADIANS('13_시나리오비교'!$C$10))+$I660*COS(RADIANS('13_시나리오비교'!$B$10))),0)</f>
        <v/>
      </c>
      <c r="V660" s="80">
        <f>IF($I660&gt;0,MAX(0,$G660*SIN(RADIANS('13_시나리오비교'!$B$11))*SIN(RADIANS('13_시나리오비교'!$C$11))+$H660*SIN(RADIANS('13_시나리오비교'!$B$11))*COS(RADIANS('13_시나리오비교'!$C$11))+$I660*COS(RADIANS('13_시나리오비교'!$B$11))),0)</f>
        <v/>
      </c>
      <c r="W660" s="80">
        <f>IF($I660&gt;0,MAX(0,$G660*SIN(RADIANS('13_시나리오비교'!$B$12))*SIN(RADIANS('13_시나리오비교'!$C$12))+$H660*SIN(RADIANS('13_시나리오비교'!$B$12))*COS(RADIANS('13_시나리오비교'!$C$12))+$I660*COS(RADIANS('13_시나리오비교'!$B$12))),0)</f>
        <v/>
      </c>
      <c r="X660" s="80">
        <f>IF($I660&gt;0,MAX(0,$G660*SIN(RADIANS('13_시나리오비교'!$B$13))*SIN(RADIANS('13_시나리오비교'!$C$13))+$H660*SIN(RADIANS('13_시나리오비교'!$B$13))*COS(RADIANS('13_시나리오비교'!$C$13))+$I660*COS(RADIANS('13_시나리오비교'!$B$13))),0)</f>
        <v/>
      </c>
      <c r="Y660" s="80">
        <f>IF($I660&gt;0,MAX(0,$G660*SIN(RADIANS('13_시나리오비교'!$B$14))*SIN(RADIANS('13_시나리오비교'!$C$14))+$H660*SIN(RADIANS('13_시나리오비교'!$B$14))*COS(RADIANS('13_시나리오비교'!$C$14))+$I660*COS(RADIANS('13_시나리오비교'!$B$14))),0)</f>
        <v/>
      </c>
    </row>
    <row r="661" hidden="1" outlineLevel="1">
      <c r="A661" s="79" t="n">
        <v>7</v>
      </c>
      <c r="B661" s="79" t="n">
        <v>65</v>
      </c>
      <c r="C661" s="80">
        <f>(B661-0.5)*'14_지역·상수'!$H$6</f>
        <v/>
      </c>
      <c r="D661" s="79" t="n">
        <v>198</v>
      </c>
      <c r="E661" s="80">
        <f>INDEX($C$4:$C$15,MATCH(A661,$A$4:$A$15,0))</f>
        <v/>
      </c>
      <c r="F661" s="80">
        <f>15*(C661-12)</f>
        <v/>
      </c>
      <c r="G661" s="80">
        <f>-COS(RADIANS(E661))*SIN(RADIANS(F661))</f>
        <v/>
      </c>
      <c r="H661" s="80">
        <f>COS(RADIANS('11_발전량_모델'!$B$17))*SIN(RADIANS(E661))-SIN(RADIANS('11_발전량_모델'!$B$17))*COS(RADIANS(E661))*COS(RADIANS(F661))</f>
        <v/>
      </c>
      <c r="I661" s="80">
        <f>SIN(RADIANS('11_발전량_모델'!$B$17))*SIN(RADIANS(E661))+COS(RADIANS('11_발전량_모델'!$B$17))*COS(RADIANS(E661))*COS(RADIANS(F661))</f>
        <v/>
      </c>
      <c r="J661" s="80">
        <f>SIN(RADIANS('11_발전량_모델'!$B$7))*SIN(RADIANS('11_발전량_모델'!$B$8))</f>
        <v/>
      </c>
      <c r="K661" s="80">
        <f>SIN(RADIANS('11_발전량_모델'!$B$7))*COS(RADIANS('11_발전량_모델'!$B$8))</f>
        <v/>
      </c>
      <c r="L661" s="80">
        <f>COS(RADIANS('11_발전량_모델'!$B$7))</f>
        <v/>
      </c>
      <c r="M661" s="80">
        <f>G661*J661+H661*K661+I661*L661</f>
        <v/>
      </c>
      <c r="N661" s="80">
        <f>MAX(0,I661)</f>
        <v/>
      </c>
      <c r="O661" s="80">
        <f>IF(I661&gt;0,MAX(0,M661),0)</f>
        <v/>
      </c>
      <c r="P661" s="80">
        <f>IF($I661&gt;0,MAX(0,$G661*SIN(RADIANS('13_시나리오비교'!$B$5))*SIN(RADIANS('13_시나리오비교'!$C$5))+$H661*SIN(RADIANS('13_시나리오비교'!$B$5))*COS(RADIANS('13_시나리오비교'!$C$5))+$I661*COS(RADIANS('13_시나리오비교'!$B$5))),0)</f>
        <v/>
      </c>
      <c r="Q661" s="80">
        <f>IF($I661&gt;0,MAX(0,$G661*SIN(RADIANS('13_시나리오비교'!$B$6))*SIN(RADIANS('13_시나리오비교'!$C$6))+$H661*SIN(RADIANS('13_시나리오비교'!$B$6))*COS(RADIANS('13_시나리오비교'!$C$6))+$I661*COS(RADIANS('13_시나리오비교'!$B$6))),0)</f>
        <v/>
      </c>
      <c r="R661" s="80">
        <f>IF($I661&gt;0,MAX(0,$G661*SIN(RADIANS('13_시나리오비교'!$B$7))*SIN(RADIANS('13_시나리오비교'!$C$7))+$H661*SIN(RADIANS('13_시나리오비교'!$B$7))*COS(RADIANS('13_시나리오비교'!$C$7))+$I661*COS(RADIANS('13_시나리오비교'!$B$7))),0)</f>
        <v/>
      </c>
      <c r="S661" s="80">
        <f>IF($I661&gt;0,MAX(0,$G661*SIN(RADIANS('13_시나리오비교'!$B$8))*SIN(RADIANS('13_시나리오비교'!$C$8))+$H661*SIN(RADIANS('13_시나리오비교'!$B$8))*COS(RADIANS('13_시나리오비교'!$C$8))+$I661*COS(RADIANS('13_시나리오비교'!$B$8))),0)</f>
        <v/>
      </c>
      <c r="T661" s="80">
        <f>IF($I661&gt;0,MAX(0,$G661*SIN(RADIANS('13_시나리오비교'!$B$9))*SIN(RADIANS('13_시나리오비교'!$C$9))+$H661*SIN(RADIANS('13_시나리오비교'!$B$9))*COS(RADIANS('13_시나리오비교'!$C$9))+$I661*COS(RADIANS('13_시나리오비교'!$B$9))),0)</f>
        <v/>
      </c>
      <c r="U661" s="80">
        <f>IF($I661&gt;0,MAX(0,$G661*SIN(RADIANS('13_시나리오비교'!$B$10))*SIN(RADIANS('13_시나리오비교'!$C$10))+$H661*SIN(RADIANS('13_시나리오비교'!$B$10))*COS(RADIANS('13_시나리오비교'!$C$10))+$I661*COS(RADIANS('13_시나리오비교'!$B$10))),0)</f>
        <v/>
      </c>
      <c r="V661" s="80">
        <f>IF($I661&gt;0,MAX(0,$G661*SIN(RADIANS('13_시나리오비교'!$B$11))*SIN(RADIANS('13_시나리오비교'!$C$11))+$H661*SIN(RADIANS('13_시나리오비교'!$B$11))*COS(RADIANS('13_시나리오비교'!$C$11))+$I661*COS(RADIANS('13_시나리오비교'!$B$11))),0)</f>
        <v/>
      </c>
      <c r="W661" s="80">
        <f>IF($I661&gt;0,MAX(0,$G661*SIN(RADIANS('13_시나리오비교'!$B$12))*SIN(RADIANS('13_시나리오비교'!$C$12))+$H661*SIN(RADIANS('13_시나리오비교'!$B$12))*COS(RADIANS('13_시나리오비교'!$C$12))+$I661*COS(RADIANS('13_시나리오비교'!$B$12))),0)</f>
        <v/>
      </c>
      <c r="X661" s="80">
        <f>IF($I661&gt;0,MAX(0,$G661*SIN(RADIANS('13_시나리오비교'!$B$13))*SIN(RADIANS('13_시나리오비교'!$C$13))+$H661*SIN(RADIANS('13_시나리오비교'!$B$13))*COS(RADIANS('13_시나리오비교'!$C$13))+$I661*COS(RADIANS('13_시나리오비교'!$B$13))),0)</f>
        <v/>
      </c>
      <c r="Y661" s="80">
        <f>IF($I661&gt;0,MAX(0,$G661*SIN(RADIANS('13_시나리오비교'!$B$14))*SIN(RADIANS('13_시나리오비교'!$C$14))+$H661*SIN(RADIANS('13_시나리오비교'!$B$14))*COS(RADIANS('13_시나리오비교'!$C$14))+$I661*COS(RADIANS('13_시나리오비교'!$B$14))),0)</f>
        <v/>
      </c>
    </row>
    <row r="662" hidden="1" outlineLevel="1">
      <c r="A662" s="79" t="n">
        <v>7</v>
      </c>
      <c r="B662" s="79" t="n">
        <v>66</v>
      </c>
      <c r="C662" s="80">
        <f>(B662-0.5)*'14_지역·상수'!$H$6</f>
        <v/>
      </c>
      <c r="D662" s="79" t="n">
        <v>198</v>
      </c>
      <c r="E662" s="80">
        <f>INDEX($C$4:$C$15,MATCH(A662,$A$4:$A$15,0))</f>
        <v/>
      </c>
      <c r="F662" s="80">
        <f>15*(C662-12)</f>
        <v/>
      </c>
      <c r="G662" s="80">
        <f>-COS(RADIANS(E662))*SIN(RADIANS(F662))</f>
        <v/>
      </c>
      <c r="H662" s="80">
        <f>COS(RADIANS('11_발전량_모델'!$B$17))*SIN(RADIANS(E662))-SIN(RADIANS('11_발전량_모델'!$B$17))*COS(RADIANS(E662))*COS(RADIANS(F662))</f>
        <v/>
      </c>
      <c r="I662" s="80">
        <f>SIN(RADIANS('11_발전량_모델'!$B$17))*SIN(RADIANS(E662))+COS(RADIANS('11_발전량_모델'!$B$17))*COS(RADIANS(E662))*COS(RADIANS(F662))</f>
        <v/>
      </c>
      <c r="J662" s="80">
        <f>SIN(RADIANS('11_발전량_모델'!$B$7))*SIN(RADIANS('11_발전량_모델'!$B$8))</f>
        <v/>
      </c>
      <c r="K662" s="80">
        <f>SIN(RADIANS('11_발전량_모델'!$B$7))*COS(RADIANS('11_발전량_모델'!$B$8))</f>
        <v/>
      </c>
      <c r="L662" s="80">
        <f>COS(RADIANS('11_발전량_모델'!$B$7))</f>
        <v/>
      </c>
      <c r="M662" s="80">
        <f>G662*J662+H662*K662+I662*L662</f>
        <v/>
      </c>
      <c r="N662" s="80">
        <f>MAX(0,I662)</f>
        <v/>
      </c>
      <c r="O662" s="80">
        <f>IF(I662&gt;0,MAX(0,M662),0)</f>
        <v/>
      </c>
      <c r="P662" s="80">
        <f>IF($I662&gt;0,MAX(0,$G662*SIN(RADIANS('13_시나리오비교'!$B$5))*SIN(RADIANS('13_시나리오비교'!$C$5))+$H662*SIN(RADIANS('13_시나리오비교'!$B$5))*COS(RADIANS('13_시나리오비교'!$C$5))+$I662*COS(RADIANS('13_시나리오비교'!$B$5))),0)</f>
        <v/>
      </c>
      <c r="Q662" s="80">
        <f>IF($I662&gt;0,MAX(0,$G662*SIN(RADIANS('13_시나리오비교'!$B$6))*SIN(RADIANS('13_시나리오비교'!$C$6))+$H662*SIN(RADIANS('13_시나리오비교'!$B$6))*COS(RADIANS('13_시나리오비교'!$C$6))+$I662*COS(RADIANS('13_시나리오비교'!$B$6))),0)</f>
        <v/>
      </c>
      <c r="R662" s="80">
        <f>IF($I662&gt;0,MAX(0,$G662*SIN(RADIANS('13_시나리오비교'!$B$7))*SIN(RADIANS('13_시나리오비교'!$C$7))+$H662*SIN(RADIANS('13_시나리오비교'!$B$7))*COS(RADIANS('13_시나리오비교'!$C$7))+$I662*COS(RADIANS('13_시나리오비교'!$B$7))),0)</f>
        <v/>
      </c>
      <c r="S662" s="80">
        <f>IF($I662&gt;0,MAX(0,$G662*SIN(RADIANS('13_시나리오비교'!$B$8))*SIN(RADIANS('13_시나리오비교'!$C$8))+$H662*SIN(RADIANS('13_시나리오비교'!$B$8))*COS(RADIANS('13_시나리오비교'!$C$8))+$I662*COS(RADIANS('13_시나리오비교'!$B$8))),0)</f>
        <v/>
      </c>
      <c r="T662" s="80">
        <f>IF($I662&gt;0,MAX(0,$G662*SIN(RADIANS('13_시나리오비교'!$B$9))*SIN(RADIANS('13_시나리오비교'!$C$9))+$H662*SIN(RADIANS('13_시나리오비교'!$B$9))*COS(RADIANS('13_시나리오비교'!$C$9))+$I662*COS(RADIANS('13_시나리오비교'!$B$9))),0)</f>
        <v/>
      </c>
      <c r="U662" s="80">
        <f>IF($I662&gt;0,MAX(0,$G662*SIN(RADIANS('13_시나리오비교'!$B$10))*SIN(RADIANS('13_시나리오비교'!$C$10))+$H662*SIN(RADIANS('13_시나리오비교'!$B$10))*COS(RADIANS('13_시나리오비교'!$C$10))+$I662*COS(RADIANS('13_시나리오비교'!$B$10))),0)</f>
        <v/>
      </c>
      <c r="V662" s="80">
        <f>IF($I662&gt;0,MAX(0,$G662*SIN(RADIANS('13_시나리오비교'!$B$11))*SIN(RADIANS('13_시나리오비교'!$C$11))+$H662*SIN(RADIANS('13_시나리오비교'!$B$11))*COS(RADIANS('13_시나리오비교'!$C$11))+$I662*COS(RADIANS('13_시나리오비교'!$B$11))),0)</f>
        <v/>
      </c>
      <c r="W662" s="80">
        <f>IF($I662&gt;0,MAX(0,$G662*SIN(RADIANS('13_시나리오비교'!$B$12))*SIN(RADIANS('13_시나리오비교'!$C$12))+$H662*SIN(RADIANS('13_시나리오비교'!$B$12))*COS(RADIANS('13_시나리오비교'!$C$12))+$I662*COS(RADIANS('13_시나리오비교'!$B$12))),0)</f>
        <v/>
      </c>
      <c r="X662" s="80">
        <f>IF($I662&gt;0,MAX(0,$G662*SIN(RADIANS('13_시나리오비교'!$B$13))*SIN(RADIANS('13_시나리오비교'!$C$13))+$H662*SIN(RADIANS('13_시나리오비교'!$B$13))*COS(RADIANS('13_시나리오비교'!$C$13))+$I662*COS(RADIANS('13_시나리오비교'!$B$13))),0)</f>
        <v/>
      </c>
      <c r="Y662" s="80">
        <f>IF($I662&gt;0,MAX(0,$G662*SIN(RADIANS('13_시나리오비교'!$B$14))*SIN(RADIANS('13_시나리오비교'!$C$14))+$H662*SIN(RADIANS('13_시나리오비교'!$B$14))*COS(RADIANS('13_시나리오비교'!$C$14))+$I662*COS(RADIANS('13_시나리오비교'!$B$14))),0)</f>
        <v/>
      </c>
    </row>
    <row r="663" hidden="1" outlineLevel="1">
      <c r="A663" s="79" t="n">
        <v>7</v>
      </c>
      <c r="B663" s="79" t="n">
        <v>67</v>
      </c>
      <c r="C663" s="80">
        <f>(B663-0.5)*'14_지역·상수'!$H$6</f>
        <v/>
      </c>
      <c r="D663" s="79" t="n">
        <v>198</v>
      </c>
      <c r="E663" s="80">
        <f>INDEX($C$4:$C$15,MATCH(A663,$A$4:$A$15,0))</f>
        <v/>
      </c>
      <c r="F663" s="80">
        <f>15*(C663-12)</f>
        <v/>
      </c>
      <c r="G663" s="80">
        <f>-COS(RADIANS(E663))*SIN(RADIANS(F663))</f>
        <v/>
      </c>
      <c r="H663" s="80">
        <f>COS(RADIANS('11_발전량_모델'!$B$17))*SIN(RADIANS(E663))-SIN(RADIANS('11_발전량_모델'!$B$17))*COS(RADIANS(E663))*COS(RADIANS(F663))</f>
        <v/>
      </c>
      <c r="I663" s="80">
        <f>SIN(RADIANS('11_발전량_모델'!$B$17))*SIN(RADIANS(E663))+COS(RADIANS('11_발전량_모델'!$B$17))*COS(RADIANS(E663))*COS(RADIANS(F663))</f>
        <v/>
      </c>
      <c r="J663" s="80">
        <f>SIN(RADIANS('11_발전량_모델'!$B$7))*SIN(RADIANS('11_발전량_모델'!$B$8))</f>
        <v/>
      </c>
      <c r="K663" s="80">
        <f>SIN(RADIANS('11_발전량_모델'!$B$7))*COS(RADIANS('11_발전량_모델'!$B$8))</f>
        <v/>
      </c>
      <c r="L663" s="80">
        <f>COS(RADIANS('11_발전량_모델'!$B$7))</f>
        <v/>
      </c>
      <c r="M663" s="80">
        <f>G663*J663+H663*K663+I663*L663</f>
        <v/>
      </c>
      <c r="N663" s="80">
        <f>MAX(0,I663)</f>
        <v/>
      </c>
      <c r="O663" s="80">
        <f>IF(I663&gt;0,MAX(0,M663),0)</f>
        <v/>
      </c>
      <c r="P663" s="80">
        <f>IF($I663&gt;0,MAX(0,$G663*SIN(RADIANS('13_시나리오비교'!$B$5))*SIN(RADIANS('13_시나리오비교'!$C$5))+$H663*SIN(RADIANS('13_시나리오비교'!$B$5))*COS(RADIANS('13_시나리오비교'!$C$5))+$I663*COS(RADIANS('13_시나리오비교'!$B$5))),0)</f>
        <v/>
      </c>
      <c r="Q663" s="80">
        <f>IF($I663&gt;0,MAX(0,$G663*SIN(RADIANS('13_시나리오비교'!$B$6))*SIN(RADIANS('13_시나리오비교'!$C$6))+$H663*SIN(RADIANS('13_시나리오비교'!$B$6))*COS(RADIANS('13_시나리오비교'!$C$6))+$I663*COS(RADIANS('13_시나리오비교'!$B$6))),0)</f>
        <v/>
      </c>
      <c r="R663" s="80">
        <f>IF($I663&gt;0,MAX(0,$G663*SIN(RADIANS('13_시나리오비교'!$B$7))*SIN(RADIANS('13_시나리오비교'!$C$7))+$H663*SIN(RADIANS('13_시나리오비교'!$B$7))*COS(RADIANS('13_시나리오비교'!$C$7))+$I663*COS(RADIANS('13_시나리오비교'!$B$7))),0)</f>
        <v/>
      </c>
      <c r="S663" s="80">
        <f>IF($I663&gt;0,MAX(0,$G663*SIN(RADIANS('13_시나리오비교'!$B$8))*SIN(RADIANS('13_시나리오비교'!$C$8))+$H663*SIN(RADIANS('13_시나리오비교'!$B$8))*COS(RADIANS('13_시나리오비교'!$C$8))+$I663*COS(RADIANS('13_시나리오비교'!$B$8))),0)</f>
        <v/>
      </c>
      <c r="T663" s="80">
        <f>IF($I663&gt;0,MAX(0,$G663*SIN(RADIANS('13_시나리오비교'!$B$9))*SIN(RADIANS('13_시나리오비교'!$C$9))+$H663*SIN(RADIANS('13_시나리오비교'!$B$9))*COS(RADIANS('13_시나리오비교'!$C$9))+$I663*COS(RADIANS('13_시나리오비교'!$B$9))),0)</f>
        <v/>
      </c>
      <c r="U663" s="80">
        <f>IF($I663&gt;0,MAX(0,$G663*SIN(RADIANS('13_시나리오비교'!$B$10))*SIN(RADIANS('13_시나리오비교'!$C$10))+$H663*SIN(RADIANS('13_시나리오비교'!$B$10))*COS(RADIANS('13_시나리오비교'!$C$10))+$I663*COS(RADIANS('13_시나리오비교'!$B$10))),0)</f>
        <v/>
      </c>
      <c r="V663" s="80">
        <f>IF($I663&gt;0,MAX(0,$G663*SIN(RADIANS('13_시나리오비교'!$B$11))*SIN(RADIANS('13_시나리오비교'!$C$11))+$H663*SIN(RADIANS('13_시나리오비교'!$B$11))*COS(RADIANS('13_시나리오비교'!$C$11))+$I663*COS(RADIANS('13_시나리오비교'!$B$11))),0)</f>
        <v/>
      </c>
      <c r="W663" s="80">
        <f>IF($I663&gt;0,MAX(0,$G663*SIN(RADIANS('13_시나리오비교'!$B$12))*SIN(RADIANS('13_시나리오비교'!$C$12))+$H663*SIN(RADIANS('13_시나리오비교'!$B$12))*COS(RADIANS('13_시나리오비교'!$C$12))+$I663*COS(RADIANS('13_시나리오비교'!$B$12))),0)</f>
        <v/>
      </c>
      <c r="X663" s="80">
        <f>IF($I663&gt;0,MAX(0,$G663*SIN(RADIANS('13_시나리오비교'!$B$13))*SIN(RADIANS('13_시나리오비교'!$C$13))+$H663*SIN(RADIANS('13_시나리오비교'!$B$13))*COS(RADIANS('13_시나리오비교'!$C$13))+$I663*COS(RADIANS('13_시나리오비교'!$B$13))),0)</f>
        <v/>
      </c>
      <c r="Y663" s="80">
        <f>IF($I663&gt;0,MAX(0,$G663*SIN(RADIANS('13_시나리오비교'!$B$14))*SIN(RADIANS('13_시나리오비교'!$C$14))+$H663*SIN(RADIANS('13_시나리오비교'!$B$14))*COS(RADIANS('13_시나리오비교'!$C$14))+$I663*COS(RADIANS('13_시나리오비교'!$B$14))),0)</f>
        <v/>
      </c>
    </row>
    <row r="664" hidden="1" outlineLevel="1">
      <c r="A664" s="79" t="n">
        <v>7</v>
      </c>
      <c r="B664" s="79" t="n">
        <v>68</v>
      </c>
      <c r="C664" s="80">
        <f>(B664-0.5)*'14_지역·상수'!$H$6</f>
        <v/>
      </c>
      <c r="D664" s="79" t="n">
        <v>198</v>
      </c>
      <c r="E664" s="80">
        <f>INDEX($C$4:$C$15,MATCH(A664,$A$4:$A$15,0))</f>
        <v/>
      </c>
      <c r="F664" s="80">
        <f>15*(C664-12)</f>
        <v/>
      </c>
      <c r="G664" s="80">
        <f>-COS(RADIANS(E664))*SIN(RADIANS(F664))</f>
        <v/>
      </c>
      <c r="H664" s="80">
        <f>COS(RADIANS('11_발전량_모델'!$B$17))*SIN(RADIANS(E664))-SIN(RADIANS('11_발전량_모델'!$B$17))*COS(RADIANS(E664))*COS(RADIANS(F664))</f>
        <v/>
      </c>
      <c r="I664" s="80">
        <f>SIN(RADIANS('11_발전량_모델'!$B$17))*SIN(RADIANS(E664))+COS(RADIANS('11_발전량_모델'!$B$17))*COS(RADIANS(E664))*COS(RADIANS(F664))</f>
        <v/>
      </c>
      <c r="J664" s="80">
        <f>SIN(RADIANS('11_발전량_모델'!$B$7))*SIN(RADIANS('11_발전량_모델'!$B$8))</f>
        <v/>
      </c>
      <c r="K664" s="80">
        <f>SIN(RADIANS('11_발전량_모델'!$B$7))*COS(RADIANS('11_발전량_모델'!$B$8))</f>
        <v/>
      </c>
      <c r="L664" s="80">
        <f>COS(RADIANS('11_발전량_모델'!$B$7))</f>
        <v/>
      </c>
      <c r="M664" s="80">
        <f>G664*J664+H664*K664+I664*L664</f>
        <v/>
      </c>
      <c r="N664" s="80">
        <f>MAX(0,I664)</f>
        <v/>
      </c>
      <c r="O664" s="80">
        <f>IF(I664&gt;0,MAX(0,M664),0)</f>
        <v/>
      </c>
      <c r="P664" s="80">
        <f>IF($I664&gt;0,MAX(0,$G664*SIN(RADIANS('13_시나리오비교'!$B$5))*SIN(RADIANS('13_시나리오비교'!$C$5))+$H664*SIN(RADIANS('13_시나리오비교'!$B$5))*COS(RADIANS('13_시나리오비교'!$C$5))+$I664*COS(RADIANS('13_시나리오비교'!$B$5))),0)</f>
        <v/>
      </c>
      <c r="Q664" s="80">
        <f>IF($I664&gt;0,MAX(0,$G664*SIN(RADIANS('13_시나리오비교'!$B$6))*SIN(RADIANS('13_시나리오비교'!$C$6))+$H664*SIN(RADIANS('13_시나리오비교'!$B$6))*COS(RADIANS('13_시나리오비교'!$C$6))+$I664*COS(RADIANS('13_시나리오비교'!$B$6))),0)</f>
        <v/>
      </c>
      <c r="R664" s="80">
        <f>IF($I664&gt;0,MAX(0,$G664*SIN(RADIANS('13_시나리오비교'!$B$7))*SIN(RADIANS('13_시나리오비교'!$C$7))+$H664*SIN(RADIANS('13_시나리오비교'!$B$7))*COS(RADIANS('13_시나리오비교'!$C$7))+$I664*COS(RADIANS('13_시나리오비교'!$B$7))),0)</f>
        <v/>
      </c>
      <c r="S664" s="80">
        <f>IF($I664&gt;0,MAX(0,$G664*SIN(RADIANS('13_시나리오비교'!$B$8))*SIN(RADIANS('13_시나리오비교'!$C$8))+$H664*SIN(RADIANS('13_시나리오비교'!$B$8))*COS(RADIANS('13_시나리오비교'!$C$8))+$I664*COS(RADIANS('13_시나리오비교'!$B$8))),0)</f>
        <v/>
      </c>
      <c r="T664" s="80">
        <f>IF($I664&gt;0,MAX(0,$G664*SIN(RADIANS('13_시나리오비교'!$B$9))*SIN(RADIANS('13_시나리오비교'!$C$9))+$H664*SIN(RADIANS('13_시나리오비교'!$B$9))*COS(RADIANS('13_시나리오비교'!$C$9))+$I664*COS(RADIANS('13_시나리오비교'!$B$9))),0)</f>
        <v/>
      </c>
      <c r="U664" s="80">
        <f>IF($I664&gt;0,MAX(0,$G664*SIN(RADIANS('13_시나리오비교'!$B$10))*SIN(RADIANS('13_시나리오비교'!$C$10))+$H664*SIN(RADIANS('13_시나리오비교'!$B$10))*COS(RADIANS('13_시나리오비교'!$C$10))+$I664*COS(RADIANS('13_시나리오비교'!$B$10))),0)</f>
        <v/>
      </c>
      <c r="V664" s="80">
        <f>IF($I664&gt;0,MAX(0,$G664*SIN(RADIANS('13_시나리오비교'!$B$11))*SIN(RADIANS('13_시나리오비교'!$C$11))+$H664*SIN(RADIANS('13_시나리오비교'!$B$11))*COS(RADIANS('13_시나리오비교'!$C$11))+$I664*COS(RADIANS('13_시나리오비교'!$B$11))),0)</f>
        <v/>
      </c>
      <c r="W664" s="80">
        <f>IF($I664&gt;0,MAX(0,$G664*SIN(RADIANS('13_시나리오비교'!$B$12))*SIN(RADIANS('13_시나리오비교'!$C$12))+$H664*SIN(RADIANS('13_시나리오비교'!$B$12))*COS(RADIANS('13_시나리오비교'!$C$12))+$I664*COS(RADIANS('13_시나리오비교'!$B$12))),0)</f>
        <v/>
      </c>
      <c r="X664" s="80">
        <f>IF($I664&gt;0,MAX(0,$G664*SIN(RADIANS('13_시나리오비교'!$B$13))*SIN(RADIANS('13_시나리오비교'!$C$13))+$H664*SIN(RADIANS('13_시나리오비교'!$B$13))*COS(RADIANS('13_시나리오비교'!$C$13))+$I664*COS(RADIANS('13_시나리오비교'!$B$13))),0)</f>
        <v/>
      </c>
      <c r="Y664" s="80">
        <f>IF($I664&gt;0,MAX(0,$G664*SIN(RADIANS('13_시나리오비교'!$B$14))*SIN(RADIANS('13_시나리오비교'!$C$14))+$H664*SIN(RADIANS('13_시나리오비교'!$B$14))*COS(RADIANS('13_시나리오비교'!$C$14))+$I664*COS(RADIANS('13_시나리오비교'!$B$14))),0)</f>
        <v/>
      </c>
    </row>
    <row r="665" hidden="1" outlineLevel="1">
      <c r="A665" s="79" t="n">
        <v>7</v>
      </c>
      <c r="B665" s="79" t="n">
        <v>69</v>
      </c>
      <c r="C665" s="80">
        <f>(B665-0.5)*'14_지역·상수'!$H$6</f>
        <v/>
      </c>
      <c r="D665" s="79" t="n">
        <v>198</v>
      </c>
      <c r="E665" s="80">
        <f>INDEX($C$4:$C$15,MATCH(A665,$A$4:$A$15,0))</f>
        <v/>
      </c>
      <c r="F665" s="80">
        <f>15*(C665-12)</f>
        <v/>
      </c>
      <c r="G665" s="80">
        <f>-COS(RADIANS(E665))*SIN(RADIANS(F665))</f>
        <v/>
      </c>
      <c r="H665" s="80">
        <f>COS(RADIANS('11_발전량_모델'!$B$17))*SIN(RADIANS(E665))-SIN(RADIANS('11_발전량_모델'!$B$17))*COS(RADIANS(E665))*COS(RADIANS(F665))</f>
        <v/>
      </c>
      <c r="I665" s="80">
        <f>SIN(RADIANS('11_발전량_모델'!$B$17))*SIN(RADIANS(E665))+COS(RADIANS('11_발전량_모델'!$B$17))*COS(RADIANS(E665))*COS(RADIANS(F665))</f>
        <v/>
      </c>
      <c r="J665" s="80">
        <f>SIN(RADIANS('11_발전량_모델'!$B$7))*SIN(RADIANS('11_발전량_모델'!$B$8))</f>
        <v/>
      </c>
      <c r="K665" s="80">
        <f>SIN(RADIANS('11_발전량_모델'!$B$7))*COS(RADIANS('11_발전량_모델'!$B$8))</f>
        <v/>
      </c>
      <c r="L665" s="80">
        <f>COS(RADIANS('11_발전량_모델'!$B$7))</f>
        <v/>
      </c>
      <c r="M665" s="80">
        <f>G665*J665+H665*K665+I665*L665</f>
        <v/>
      </c>
      <c r="N665" s="80">
        <f>MAX(0,I665)</f>
        <v/>
      </c>
      <c r="O665" s="80">
        <f>IF(I665&gt;0,MAX(0,M665),0)</f>
        <v/>
      </c>
      <c r="P665" s="80">
        <f>IF($I665&gt;0,MAX(0,$G665*SIN(RADIANS('13_시나리오비교'!$B$5))*SIN(RADIANS('13_시나리오비교'!$C$5))+$H665*SIN(RADIANS('13_시나리오비교'!$B$5))*COS(RADIANS('13_시나리오비교'!$C$5))+$I665*COS(RADIANS('13_시나리오비교'!$B$5))),0)</f>
        <v/>
      </c>
      <c r="Q665" s="80">
        <f>IF($I665&gt;0,MAX(0,$G665*SIN(RADIANS('13_시나리오비교'!$B$6))*SIN(RADIANS('13_시나리오비교'!$C$6))+$H665*SIN(RADIANS('13_시나리오비교'!$B$6))*COS(RADIANS('13_시나리오비교'!$C$6))+$I665*COS(RADIANS('13_시나리오비교'!$B$6))),0)</f>
        <v/>
      </c>
      <c r="R665" s="80">
        <f>IF($I665&gt;0,MAX(0,$G665*SIN(RADIANS('13_시나리오비교'!$B$7))*SIN(RADIANS('13_시나리오비교'!$C$7))+$H665*SIN(RADIANS('13_시나리오비교'!$B$7))*COS(RADIANS('13_시나리오비교'!$C$7))+$I665*COS(RADIANS('13_시나리오비교'!$B$7))),0)</f>
        <v/>
      </c>
      <c r="S665" s="80">
        <f>IF($I665&gt;0,MAX(0,$G665*SIN(RADIANS('13_시나리오비교'!$B$8))*SIN(RADIANS('13_시나리오비교'!$C$8))+$H665*SIN(RADIANS('13_시나리오비교'!$B$8))*COS(RADIANS('13_시나리오비교'!$C$8))+$I665*COS(RADIANS('13_시나리오비교'!$B$8))),0)</f>
        <v/>
      </c>
      <c r="T665" s="80">
        <f>IF($I665&gt;0,MAX(0,$G665*SIN(RADIANS('13_시나리오비교'!$B$9))*SIN(RADIANS('13_시나리오비교'!$C$9))+$H665*SIN(RADIANS('13_시나리오비교'!$B$9))*COS(RADIANS('13_시나리오비교'!$C$9))+$I665*COS(RADIANS('13_시나리오비교'!$B$9))),0)</f>
        <v/>
      </c>
      <c r="U665" s="80">
        <f>IF($I665&gt;0,MAX(0,$G665*SIN(RADIANS('13_시나리오비교'!$B$10))*SIN(RADIANS('13_시나리오비교'!$C$10))+$H665*SIN(RADIANS('13_시나리오비교'!$B$10))*COS(RADIANS('13_시나리오비교'!$C$10))+$I665*COS(RADIANS('13_시나리오비교'!$B$10))),0)</f>
        <v/>
      </c>
      <c r="V665" s="80">
        <f>IF($I665&gt;0,MAX(0,$G665*SIN(RADIANS('13_시나리오비교'!$B$11))*SIN(RADIANS('13_시나리오비교'!$C$11))+$H665*SIN(RADIANS('13_시나리오비교'!$B$11))*COS(RADIANS('13_시나리오비교'!$C$11))+$I665*COS(RADIANS('13_시나리오비교'!$B$11))),0)</f>
        <v/>
      </c>
      <c r="W665" s="80">
        <f>IF($I665&gt;0,MAX(0,$G665*SIN(RADIANS('13_시나리오비교'!$B$12))*SIN(RADIANS('13_시나리오비교'!$C$12))+$H665*SIN(RADIANS('13_시나리오비교'!$B$12))*COS(RADIANS('13_시나리오비교'!$C$12))+$I665*COS(RADIANS('13_시나리오비교'!$B$12))),0)</f>
        <v/>
      </c>
      <c r="X665" s="80">
        <f>IF($I665&gt;0,MAX(0,$G665*SIN(RADIANS('13_시나리오비교'!$B$13))*SIN(RADIANS('13_시나리오비교'!$C$13))+$H665*SIN(RADIANS('13_시나리오비교'!$B$13))*COS(RADIANS('13_시나리오비교'!$C$13))+$I665*COS(RADIANS('13_시나리오비교'!$B$13))),0)</f>
        <v/>
      </c>
      <c r="Y665" s="80">
        <f>IF($I665&gt;0,MAX(0,$G665*SIN(RADIANS('13_시나리오비교'!$B$14))*SIN(RADIANS('13_시나리오비교'!$C$14))+$H665*SIN(RADIANS('13_시나리오비교'!$B$14))*COS(RADIANS('13_시나리오비교'!$C$14))+$I665*COS(RADIANS('13_시나리오비교'!$B$14))),0)</f>
        <v/>
      </c>
    </row>
    <row r="666" hidden="1" outlineLevel="1">
      <c r="A666" s="79" t="n">
        <v>7</v>
      </c>
      <c r="B666" s="79" t="n">
        <v>70</v>
      </c>
      <c r="C666" s="80">
        <f>(B666-0.5)*'14_지역·상수'!$H$6</f>
        <v/>
      </c>
      <c r="D666" s="79" t="n">
        <v>198</v>
      </c>
      <c r="E666" s="80">
        <f>INDEX($C$4:$C$15,MATCH(A666,$A$4:$A$15,0))</f>
        <v/>
      </c>
      <c r="F666" s="80">
        <f>15*(C666-12)</f>
        <v/>
      </c>
      <c r="G666" s="80">
        <f>-COS(RADIANS(E666))*SIN(RADIANS(F666))</f>
        <v/>
      </c>
      <c r="H666" s="80">
        <f>COS(RADIANS('11_발전량_모델'!$B$17))*SIN(RADIANS(E666))-SIN(RADIANS('11_발전량_모델'!$B$17))*COS(RADIANS(E666))*COS(RADIANS(F666))</f>
        <v/>
      </c>
      <c r="I666" s="80">
        <f>SIN(RADIANS('11_발전량_모델'!$B$17))*SIN(RADIANS(E666))+COS(RADIANS('11_발전량_모델'!$B$17))*COS(RADIANS(E666))*COS(RADIANS(F666))</f>
        <v/>
      </c>
      <c r="J666" s="80">
        <f>SIN(RADIANS('11_발전량_모델'!$B$7))*SIN(RADIANS('11_발전량_모델'!$B$8))</f>
        <v/>
      </c>
      <c r="K666" s="80">
        <f>SIN(RADIANS('11_발전량_모델'!$B$7))*COS(RADIANS('11_발전량_모델'!$B$8))</f>
        <v/>
      </c>
      <c r="L666" s="80">
        <f>COS(RADIANS('11_발전량_모델'!$B$7))</f>
        <v/>
      </c>
      <c r="M666" s="80">
        <f>G666*J666+H666*K666+I666*L666</f>
        <v/>
      </c>
      <c r="N666" s="80">
        <f>MAX(0,I666)</f>
        <v/>
      </c>
      <c r="O666" s="80">
        <f>IF(I666&gt;0,MAX(0,M666),0)</f>
        <v/>
      </c>
      <c r="P666" s="80">
        <f>IF($I666&gt;0,MAX(0,$G666*SIN(RADIANS('13_시나리오비교'!$B$5))*SIN(RADIANS('13_시나리오비교'!$C$5))+$H666*SIN(RADIANS('13_시나리오비교'!$B$5))*COS(RADIANS('13_시나리오비교'!$C$5))+$I666*COS(RADIANS('13_시나리오비교'!$B$5))),0)</f>
        <v/>
      </c>
      <c r="Q666" s="80">
        <f>IF($I666&gt;0,MAX(0,$G666*SIN(RADIANS('13_시나리오비교'!$B$6))*SIN(RADIANS('13_시나리오비교'!$C$6))+$H666*SIN(RADIANS('13_시나리오비교'!$B$6))*COS(RADIANS('13_시나리오비교'!$C$6))+$I666*COS(RADIANS('13_시나리오비교'!$B$6))),0)</f>
        <v/>
      </c>
      <c r="R666" s="80">
        <f>IF($I666&gt;0,MAX(0,$G666*SIN(RADIANS('13_시나리오비교'!$B$7))*SIN(RADIANS('13_시나리오비교'!$C$7))+$H666*SIN(RADIANS('13_시나리오비교'!$B$7))*COS(RADIANS('13_시나리오비교'!$C$7))+$I666*COS(RADIANS('13_시나리오비교'!$B$7))),0)</f>
        <v/>
      </c>
      <c r="S666" s="80">
        <f>IF($I666&gt;0,MAX(0,$G666*SIN(RADIANS('13_시나리오비교'!$B$8))*SIN(RADIANS('13_시나리오비교'!$C$8))+$H666*SIN(RADIANS('13_시나리오비교'!$B$8))*COS(RADIANS('13_시나리오비교'!$C$8))+$I666*COS(RADIANS('13_시나리오비교'!$B$8))),0)</f>
        <v/>
      </c>
      <c r="T666" s="80">
        <f>IF($I666&gt;0,MAX(0,$G666*SIN(RADIANS('13_시나리오비교'!$B$9))*SIN(RADIANS('13_시나리오비교'!$C$9))+$H666*SIN(RADIANS('13_시나리오비교'!$B$9))*COS(RADIANS('13_시나리오비교'!$C$9))+$I666*COS(RADIANS('13_시나리오비교'!$B$9))),0)</f>
        <v/>
      </c>
      <c r="U666" s="80">
        <f>IF($I666&gt;0,MAX(0,$G666*SIN(RADIANS('13_시나리오비교'!$B$10))*SIN(RADIANS('13_시나리오비교'!$C$10))+$H666*SIN(RADIANS('13_시나리오비교'!$B$10))*COS(RADIANS('13_시나리오비교'!$C$10))+$I666*COS(RADIANS('13_시나리오비교'!$B$10))),0)</f>
        <v/>
      </c>
      <c r="V666" s="80">
        <f>IF($I666&gt;0,MAX(0,$G666*SIN(RADIANS('13_시나리오비교'!$B$11))*SIN(RADIANS('13_시나리오비교'!$C$11))+$H666*SIN(RADIANS('13_시나리오비교'!$B$11))*COS(RADIANS('13_시나리오비교'!$C$11))+$I666*COS(RADIANS('13_시나리오비교'!$B$11))),0)</f>
        <v/>
      </c>
      <c r="W666" s="80">
        <f>IF($I666&gt;0,MAX(0,$G666*SIN(RADIANS('13_시나리오비교'!$B$12))*SIN(RADIANS('13_시나리오비교'!$C$12))+$H666*SIN(RADIANS('13_시나리오비교'!$B$12))*COS(RADIANS('13_시나리오비교'!$C$12))+$I666*COS(RADIANS('13_시나리오비교'!$B$12))),0)</f>
        <v/>
      </c>
      <c r="X666" s="80">
        <f>IF($I666&gt;0,MAX(0,$G666*SIN(RADIANS('13_시나리오비교'!$B$13))*SIN(RADIANS('13_시나리오비교'!$C$13))+$H666*SIN(RADIANS('13_시나리오비교'!$B$13))*COS(RADIANS('13_시나리오비교'!$C$13))+$I666*COS(RADIANS('13_시나리오비교'!$B$13))),0)</f>
        <v/>
      </c>
      <c r="Y666" s="80">
        <f>IF($I666&gt;0,MAX(0,$G666*SIN(RADIANS('13_시나리오비교'!$B$14))*SIN(RADIANS('13_시나리오비교'!$C$14))+$H666*SIN(RADIANS('13_시나리오비교'!$B$14))*COS(RADIANS('13_시나리오비교'!$C$14))+$I666*COS(RADIANS('13_시나리오비교'!$B$14))),0)</f>
        <v/>
      </c>
    </row>
    <row r="667" hidden="1" outlineLevel="1">
      <c r="A667" s="79" t="n">
        <v>7</v>
      </c>
      <c r="B667" s="79" t="n">
        <v>71</v>
      </c>
      <c r="C667" s="80">
        <f>(B667-0.5)*'14_지역·상수'!$H$6</f>
        <v/>
      </c>
      <c r="D667" s="79" t="n">
        <v>198</v>
      </c>
      <c r="E667" s="80">
        <f>INDEX($C$4:$C$15,MATCH(A667,$A$4:$A$15,0))</f>
        <v/>
      </c>
      <c r="F667" s="80">
        <f>15*(C667-12)</f>
        <v/>
      </c>
      <c r="G667" s="80">
        <f>-COS(RADIANS(E667))*SIN(RADIANS(F667))</f>
        <v/>
      </c>
      <c r="H667" s="80">
        <f>COS(RADIANS('11_발전량_모델'!$B$17))*SIN(RADIANS(E667))-SIN(RADIANS('11_발전량_모델'!$B$17))*COS(RADIANS(E667))*COS(RADIANS(F667))</f>
        <v/>
      </c>
      <c r="I667" s="80">
        <f>SIN(RADIANS('11_발전량_모델'!$B$17))*SIN(RADIANS(E667))+COS(RADIANS('11_발전량_모델'!$B$17))*COS(RADIANS(E667))*COS(RADIANS(F667))</f>
        <v/>
      </c>
      <c r="J667" s="80">
        <f>SIN(RADIANS('11_발전량_모델'!$B$7))*SIN(RADIANS('11_발전량_모델'!$B$8))</f>
        <v/>
      </c>
      <c r="K667" s="80">
        <f>SIN(RADIANS('11_발전량_모델'!$B$7))*COS(RADIANS('11_발전량_모델'!$B$8))</f>
        <v/>
      </c>
      <c r="L667" s="80">
        <f>COS(RADIANS('11_발전량_모델'!$B$7))</f>
        <v/>
      </c>
      <c r="M667" s="80">
        <f>G667*J667+H667*K667+I667*L667</f>
        <v/>
      </c>
      <c r="N667" s="80">
        <f>MAX(0,I667)</f>
        <v/>
      </c>
      <c r="O667" s="80">
        <f>IF(I667&gt;0,MAX(0,M667),0)</f>
        <v/>
      </c>
      <c r="P667" s="80">
        <f>IF($I667&gt;0,MAX(0,$G667*SIN(RADIANS('13_시나리오비교'!$B$5))*SIN(RADIANS('13_시나리오비교'!$C$5))+$H667*SIN(RADIANS('13_시나리오비교'!$B$5))*COS(RADIANS('13_시나리오비교'!$C$5))+$I667*COS(RADIANS('13_시나리오비교'!$B$5))),0)</f>
        <v/>
      </c>
      <c r="Q667" s="80">
        <f>IF($I667&gt;0,MAX(0,$G667*SIN(RADIANS('13_시나리오비교'!$B$6))*SIN(RADIANS('13_시나리오비교'!$C$6))+$H667*SIN(RADIANS('13_시나리오비교'!$B$6))*COS(RADIANS('13_시나리오비교'!$C$6))+$I667*COS(RADIANS('13_시나리오비교'!$B$6))),0)</f>
        <v/>
      </c>
      <c r="R667" s="80">
        <f>IF($I667&gt;0,MAX(0,$G667*SIN(RADIANS('13_시나리오비교'!$B$7))*SIN(RADIANS('13_시나리오비교'!$C$7))+$H667*SIN(RADIANS('13_시나리오비교'!$B$7))*COS(RADIANS('13_시나리오비교'!$C$7))+$I667*COS(RADIANS('13_시나리오비교'!$B$7))),0)</f>
        <v/>
      </c>
      <c r="S667" s="80">
        <f>IF($I667&gt;0,MAX(0,$G667*SIN(RADIANS('13_시나리오비교'!$B$8))*SIN(RADIANS('13_시나리오비교'!$C$8))+$H667*SIN(RADIANS('13_시나리오비교'!$B$8))*COS(RADIANS('13_시나리오비교'!$C$8))+$I667*COS(RADIANS('13_시나리오비교'!$B$8))),0)</f>
        <v/>
      </c>
      <c r="T667" s="80">
        <f>IF($I667&gt;0,MAX(0,$G667*SIN(RADIANS('13_시나리오비교'!$B$9))*SIN(RADIANS('13_시나리오비교'!$C$9))+$H667*SIN(RADIANS('13_시나리오비교'!$B$9))*COS(RADIANS('13_시나리오비교'!$C$9))+$I667*COS(RADIANS('13_시나리오비교'!$B$9))),0)</f>
        <v/>
      </c>
      <c r="U667" s="80">
        <f>IF($I667&gt;0,MAX(0,$G667*SIN(RADIANS('13_시나리오비교'!$B$10))*SIN(RADIANS('13_시나리오비교'!$C$10))+$H667*SIN(RADIANS('13_시나리오비교'!$B$10))*COS(RADIANS('13_시나리오비교'!$C$10))+$I667*COS(RADIANS('13_시나리오비교'!$B$10))),0)</f>
        <v/>
      </c>
      <c r="V667" s="80">
        <f>IF($I667&gt;0,MAX(0,$G667*SIN(RADIANS('13_시나리오비교'!$B$11))*SIN(RADIANS('13_시나리오비교'!$C$11))+$H667*SIN(RADIANS('13_시나리오비교'!$B$11))*COS(RADIANS('13_시나리오비교'!$C$11))+$I667*COS(RADIANS('13_시나리오비교'!$B$11))),0)</f>
        <v/>
      </c>
      <c r="W667" s="80">
        <f>IF($I667&gt;0,MAX(0,$G667*SIN(RADIANS('13_시나리오비교'!$B$12))*SIN(RADIANS('13_시나리오비교'!$C$12))+$H667*SIN(RADIANS('13_시나리오비교'!$B$12))*COS(RADIANS('13_시나리오비교'!$C$12))+$I667*COS(RADIANS('13_시나리오비교'!$B$12))),0)</f>
        <v/>
      </c>
      <c r="X667" s="80">
        <f>IF($I667&gt;0,MAX(0,$G667*SIN(RADIANS('13_시나리오비교'!$B$13))*SIN(RADIANS('13_시나리오비교'!$C$13))+$H667*SIN(RADIANS('13_시나리오비교'!$B$13))*COS(RADIANS('13_시나리오비교'!$C$13))+$I667*COS(RADIANS('13_시나리오비교'!$B$13))),0)</f>
        <v/>
      </c>
      <c r="Y667" s="80">
        <f>IF($I667&gt;0,MAX(0,$G667*SIN(RADIANS('13_시나리오비교'!$B$14))*SIN(RADIANS('13_시나리오비교'!$C$14))+$H667*SIN(RADIANS('13_시나리오비교'!$B$14))*COS(RADIANS('13_시나리오비교'!$C$14))+$I667*COS(RADIANS('13_시나리오비교'!$B$14))),0)</f>
        <v/>
      </c>
    </row>
    <row r="668" hidden="1" outlineLevel="1">
      <c r="A668" s="79" t="n">
        <v>7</v>
      </c>
      <c r="B668" s="79" t="n">
        <v>72</v>
      </c>
      <c r="C668" s="80">
        <f>(B668-0.5)*'14_지역·상수'!$H$6</f>
        <v/>
      </c>
      <c r="D668" s="79" t="n">
        <v>198</v>
      </c>
      <c r="E668" s="80">
        <f>INDEX($C$4:$C$15,MATCH(A668,$A$4:$A$15,0))</f>
        <v/>
      </c>
      <c r="F668" s="80">
        <f>15*(C668-12)</f>
        <v/>
      </c>
      <c r="G668" s="80">
        <f>-COS(RADIANS(E668))*SIN(RADIANS(F668))</f>
        <v/>
      </c>
      <c r="H668" s="80">
        <f>COS(RADIANS('11_발전량_모델'!$B$17))*SIN(RADIANS(E668))-SIN(RADIANS('11_발전량_모델'!$B$17))*COS(RADIANS(E668))*COS(RADIANS(F668))</f>
        <v/>
      </c>
      <c r="I668" s="80">
        <f>SIN(RADIANS('11_발전량_모델'!$B$17))*SIN(RADIANS(E668))+COS(RADIANS('11_발전량_모델'!$B$17))*COS(RADIANS(E668))*COS(RADIANS(F668))</f>
        <v/>
      </c>
      <c r="J668" s="80">
        <f>SIN(RADIANS('11_발전량_모델'!$B$7))*SIN(RADIANS('11_발전량_모델'!$B$8))</f>
        <v/>
      </c>
      <c r="K668" s="80">
        <f>SIN(RADIANS('11_발전량_모델'!$B$7))*COS(RADIANS('11_발전량_모델'!$B$8))</f>
        <v/>
      </c>
      <c r="L668" s="80">
        <f>COS(RADIANS('11_발전량_모델'!$B$7))</f>
        <v/>
      </c>
      <c r="M668" s="80">
        <f>G668*J668+H668*K668+I668*L668</f>
        <v/>
      </c>
      <c r="N668" s="80">
        <f>MAX(0,I668)</f>
        <v/>
      </c>
      <c r="O668" s="80">
        <f>IF(I668&gt;0,MAX(0,M668),0)</f>
        <v/>
      </c>
      <c r="P668" s="80">
        <f>IF($I668&gt;0,MAX(0,$G668*SIN(RADIANS('13_시나리오비교'!$B$5))*SIN(RADIANS('13_시나리오비교'!$C$5))+$H668*SIN(RADIANS('13_시나리오비교'!$B$5))*COS(RADIANS('13_시나리오비교'!$C$5))+$I668*COS(RADIANS('13_시나리오비교'!$B$5))),0)</f>
        <v/>
      </c>
      <c r="Q668" s="80">
        <f>IF($I668&gt;0,MAX(0,$G668*SIN(RADIANS('13_시나리오비교'!$B$6))*SIN(RADIANS('13_시나리오비교'!$C$6))+$H668*SIN(RADIANS('13_시나리오비교'!$B$6))*COS(RADIANS('13_시나리오비교'!$C$6))+$I668*COS(RADIANS('13_시나리오비교'!$B$6))),0)</f>
        <v/>
      </c>
      <c r="R668" s="80">
        <f>IF($I668&gt;0,MAX(0,$G668*SIN(RADIANS('13_시나리오비교'!$B$7))*SIN(RADIANS('13_시나리오비교'!$C$7))+$H668*SIN(RADIANS('13_시나리오비교'!$B$7))*COS(RADIANS('13_시나리오비교'!$C$7))+$I668*COS(RADIANS('13_시나리오비교'!$B$7))),0)</f>
        <v/>
      </c>
      <c r="S668" s="80">
        <f>IF($I668&gt;0,MAX(0,$G668*SIN(RADIANS('13_시나리오비교'!$B$8))*SIN(RADIANS('13_시나리오비교'!$C$8))+$H668*SIN(RADIANS('13_시나리오비교'!$B$8))*COS(RADIANS('13_시나리오비교'!$C$8))+$I668*COS(RADIANS('13_시나리오비교'!$B$8))),0)</f>
        <v/>
      </c>
      <c r="T668" s="80">
        <f>IF($I668&gt;0,MAX(0,$G668*SIN(RADIANS('13_시나리오비교'!$B$9))*SIN(RADIANS('13_시나리오비교'!$C$9))+$H668*SIN(RADIANS('13_시나리오비교'!$B$9))*COS(RADIANS('13_시나리오비교'!$C$9))+$I668*COS(RADIANS('13_시나리오비교'!$B$9))),0)</f>
        <v/>
      </c>
      <c r="U668" s="80">
        <f>IF($I668&gt;0,MAX(0,$G668*SIN(RADIANS('13_시나리오비교'!$B$10))*SIN(RADIANS('13_시나리오비교'!$C$10))+$H668*SIN(RADIANS('13_시나리오비교'!$B$10))*COS(RADIANS('13_시나리오비교'!$C$10))+$I668*COS(RADIANS('13_시나리오비교'!$B$10))),0)</f>
        <v/>
      </c>
      <c r="V668" s="80">
        <f>IF($I668&gt;0,MAX(0,$G668*SIN(RADIANS('13_시나리오비교'!$B$11))*SIN(RADIANS('13_시나리오비교'!$C$11))+$H668*SIN(RADIANS('13_시나리오비교'!$B$11))*COS(RADIANS('13_시나리오비교'!$C$11))+$I668*COS(RADIANS('13_시나리오비교'!$B$11))),0)</f>
        <v/>
      </c>
      <c r="W668" s="80">
        <f>IF($I668&gt;0,MAX(0,$G668*SIN(RADIANS('13_시나리오비교'!$B$12))*SIN(RADIANS('13_시나리오비교'!$C$12))+$H668*SIN(RADIANS('13_시나리오비교'!$B$12))*COS(RADIANS('13_시나리오비교'!$C$12))+$I668*COS(RADIANS('13_시나리오비교'!$B$12))),0)</f>
        <v/>
      </c>
      <c r="X668" s="80">
        <f>IF($I668&gt;0,MAX(0,$G668*SIN(RADIANS('13_시나리오비교'!$B$13))*SIN(RADIANS('13_시나리오비교'!$C$13))+$H668*SIN(RADIANS('13_시나리오비교'!$B$13))*COS(RADIANS('13_시나리오비교'!$C$13))+$I668*COS(RADIANS('13_시나리오비교'!$B$13))),0)</f>
        <v/>
      </c>
      <c r="Y668" s="80">
        <f>IF($I668&gt;0,MAX(0,$G668*SIN(RADIANS('13_시나리오비교'!$B$14))*SIN(RADIANS('13_시나리오비교'!$C$14))+$H668*SIN(RADIANS('13_시나리오비교'!$B$14))*COS(RADIANS('13_시나리오비교'!$C$14))+$I668*COS(RADIANS('13_시나리오비교'!$B$14))),0)</f>
        <v/>
      </c>
    </row>
    <row r="669" hidden="1" outlineLevel="1">
      <c r="A669" s="79" t="n">
        <v>7</v>
      </c>
      <c r="B669" s="79" t="n">
        <v>73</v>
      </c>
      <c r="C669" s="80">
        <f>(B669-0.5)*'14_지역·상수'!$H$6</f>
        <v/>
      </c>
      <c r="D669" s="79" t="n">
        <v>198</v>
      </c>
      <c r="E669" s="80">
        <f>INDEX($C$4:$C$15,MATCH(A669,$A$4:$A$15,0))</f>
        <v/>
      </c>
      <c r="F669" s="80">
        <f>15*(C669-12)</f>
        <v/>
      </c>
      <c r="G669" s="80">
        <f>-COS(RADIANS(E669))*SIN(RADIANS(F669))</f>
        <v/>
      </c>
      <c r="H669" s="80">
        <f>COS(RADIANS('11_발전량_모델'!$B$17))*SIN(RADIANS(E669))-SIN(RADIANS('11_발전량_모델'!$B$17))*COS(RADIANS(E669))*COS(RADIANS(F669))</f>
        <v/>
      </c>
      <c r="I669" s="80">
        <f>SIN(RADIANS('11_발전량_모델'!$B$17))*SIN(RADIANS(E669))+COS(RADIANS('11_발전량_모델'!$B$17))*COS(RADIANS(E669))*COS(RADIANS(F669))</f>
        <v/>
      </c>
      <c r="J669" s="80">
        <f>SIN(RADIANS('11_발전량_모델'!$B$7))*SIN(RADIANS('11_발전량_모델'!$B$8))</f>
        <v/>
      </c>
      <c r="K669" s="80">
        <f>SIN(RADIANS('11_발전량_모델'!$B$7))*COS(RADIANS('11_발전량_모델'!$B$8))</f>
        <v/>
      </c>
      <c r="L669" s="80">
        <f>COS(RADIANS('11_발전량_모델'!$B$7))</f>
        <v/>
      </c>
      <c r="M669" s="80">
        <f>G669*J669+H669*K669+I669*L669</f>
        <v/>
      </c>
      <c r="N669" s="80">
        <f>MAX(0,I669)</f>
        <v/>
      </c>
      <c r="O669" s="80">
        <f>IF(I669&gt;0,MAX(0,M669),0)</f>
        <v/>
      </c>
      <c r="P669" s="80">
        <f>IF($I669&gt;0,MAX(0,$G669*SIN(RADIANS('13_시나리오비교'!$B$5))*SIN(RADIANS('13_시나리오비교'!$C$5))+$H669*SIN(RADIANS('13_시나리오비교'!$B$5))*COS(RADIANS('13_시나리오비교'!$C$5))+$I669*COS(RADIANS('13_시나리오비교'!$B$5))),0)</f>
        <v/>
      </c>
      <c r="Q669" s="80">
        <f>IF($I669&gt;0,MAX(0,$G669*SIN(RADIANS('13_시나리오비교'!$B$6))*SIN(RADIANS('13_시나리오비교'!$C$6))+$H669*SIN(RADIANS('13_시나리오비교'!$B$6))*COS(RADIANS('13_시나리오비교'!$C$6))+$I669*COS(RADIANS('13_시나리오비교'!$B$6))),0)</f>
        <v/>
      </c>
      <c r="R669" s="80">
        <f>IF($I669&gt;0,MAX(0,$G669*SIN(RADIANS('13_시나리오비교'!$B$7))*SIN(RADIANS('13_시나리오비교'!$C$7))+$H669*SIN(RADIANS('13_시나리오비교'!$B$7))*COS(RADIANS('13_시나리오비교'!$C$7))+$I669*COS(RADIANS('13_시나리오비교'!$B$7))),0)</f>
        <v/>
      </c>
      <c r="S669" s="80">
        <f>IF($I669&gt;0,MAX(0,$G669*SIN(RADIANS('13_시나리오비교'!$B$8))*SIN(RADIANS('13_시나리오비교'!$C$8))+$H669*SIN(RADIANS('13_시나리오비교'!$B$8))*COS(RADIANS('13_시나리오비교'!$C$8))+$I669*COS(RADIANS('13_시나리오비교'!$B$8))),0)</f>
        <v/>
      </c>
      <c r="T669" s="80">
        <f>IF($I669&gt;0,MAX(0,$G669*SIN(RADIANS('13_시나리오비교'!$B$9))*SIN(RADIANS('13_시나리오비교'!$C$9))+$H669*SIN(RADIANS('13_시나리오비교'!$B$9))*COS(RADIANS('13_시나리오비교'!$C$9))+$I669*COS(RADIANS('13_시나리오비교'!$B$9))),0)</f>
        <v/>
      </c>
      <c r="U669" s="80">
        <f>IF($I669&gt;0,MAX(0,$G669*SIN(RADIANS('13_시나리오비교'!$B$10))*SIN(RADIANS('13_시나리오비교'!$C$10))+$H669*SIN(RADIANS('13_시나리오비교'!$B$10))*COS(RADIANS('13_시나리오비교'!$C$10))+$I669*COS(RADIANS('13_시나리오비교'!$B$10))),0)</f>
        <v/>
      </c>
      <c r="V669" s="80">
        <f>IF($I669&gt;0,MAX(0,$G669*SIN(RADIANS('13_시나리오비교'!$B$11))*SIN(RADIANS('13_시나리오비교'!$C$11))+$H669*SIN(RADIANS('13_시나리오비교'!$B$11))*COS(RADIANS('13_시나리오비교'!$C$11))+$I669*COS(RADIANS('13_시나리오비교'!$B$11))),0)</f>
        <v/>
      </c>
      <c r="W669" s="80">
        <f>IF($I669&gt;0,MAX(0,$G669*SIN(RADIANS('13_시나리오비교'!$B$12))*SIN(RADIANS('13_시나리오비교'!$C$12))+$H669*SIN(RADIANS('13_시나리오비교'!$B$12))*COS(RADIANS('13_시나리오비교'!$C$12))+$I669*COS(RADIANS('13_시나리오비교'!$B$12))),0)</f>
        <v/>
      </c>
      <c r="X669" s="80">
        <f>IF($I669&gt;0,MAX(0,$G669*SIN(RADIANS('13_시나리오비교'!$B$13))*SIN(RADIANS('13_시나리오비교'!$C$13))+$H669*SIN(RADIANS('13_시나리오비교'!$B$13))*COS(RADIANS('13_시나리오비교'!$C$13))+$I669*COS(RADIANS('13_시나리오비교'!$B$13))),0)</f>
        <v/>
      </c>
      <c r="Y669" s="80">
        <f>IF($I669&gt;0,MAX(0,$G669*SIN(RADIANS('13_시나리오비교'!$B$14))*SIN(RADIANS('13_시나리오비교'!$C$14))+$H669*SIN(RADIANS('13_시나리오비교'!$B$14))*COS(RADIANS('13_시나리오비교'!$C$14))+$I669*COS(RADIANS('13_시나리오비교'!$B$14))),0)</f>
        <v/>
      </c>
    </row>
    <row r="670" hidden="1" outlineLevel="1">
      <c r="A670" s="79" t="n">
        <v>7</v>
      </c>
      <c r="B670" s="79" t="n">
        <v>74</v>
      </c>
      <c r="C670" s="80">
        <f>(B670-0.5)*'14_지역·상수'!$H$6</f>
        <v/>
      </c>
      <c r="D670" s="79" t="n">
        <v>198</v>
      </c>
      <c r="E670" s="80">
        <f>INDEX($C$4:$C$15,MATCH(A670,$A$4:$A$15,0))</f>
        <v/>
      </c>
      <c r="F670" s="80">
        <f>15*(C670-12)</f>
        <v/>
      </c>
      <c r="G670" s="80">
        <f>-COS(RADIANS(E670))*SIN(RADIANS(F670))</f>
        <v/>
      </c>
      <c r="H670" s="80">
        <f>COS(RADIANS('11_발전량_모델'!$B$17))*SIN(RADIANS(E670))-SIN(RADIANS('11_발전량_모델'!$B$17))*COS(RADIANS(E670))*COS(RADIANS(F670))</f>
        <v/>
      </c>
      <c r="I670" s="80">
        <f>SIN(RADIANS('11_발전량_모델'!$B$17))*SIN(RADIANS(E670))+COS(RADIANS('11_발전량_모델'!$B$17))*COS(RADIANS(E670))*COS(RADIANS(F670))</f>
        <v/>
      </c>
      <c r="J670" s="80">
        <f>SIN(RADIANS('11_발전량_모델'!$B$7))*SIN(RADIANS('11_발전량_모델'!$B$8))</f>
        <v/>
      </c>
      <c r="K670" s="80">
        <f>SIN(RADIANS('11_발전량_모델'!$B$7))*COS(RADIANS('11_발전량_모델'!$B$8))</f>
        <v/>
      </c>
      <c r="L670" s="80">
        <f>COS(RADIANS('11_발전량_모델'!$B$7))</f>
        <v/>
      </c>
      <c r="M670" s="80">
        <f>G670*J670+H670*K670+I670*L670</f>
        <v/>
      </c>
      <c r="N670" s="80">
        <f>MAX(0,I670)</f>
        <v/>
      </c>
      <c r="O670" s="80">
        <f>IF(I670&gt;0,MAX(0,M670),0)</f>
        <v/>
      </c>
      <c r="P670" s="80">
        <f>IF($I670&gt;0,MAX(0,$G670*SIN(RADIANS('13_시나리오비교'!$B$5))*SIN(RADIANS('13_시나리오비교'!$C$5))+$H670*SIN(RADIANS('13_시나리오비교'!$B$5))*COS(RADIANS('13_시나리오비교'!$C$5))+$I670*COS(RADIANS('13_시나리오비교'!$B$5))),0)</f>
        <v/>
      </c>
      <c r="Q670" s="80">
        <f>IF($I670&gt;0,MAX(0,$G670*SIN(RADIANS('13_시나리오비교'!$B$6))*SIN(RADIANS('13_시나리오비교'!$C$6))+$H670*SIN(RADIANS('13_시나리오비교'!$B$6))*COS(RADIANS('13_시나리오비교'!$C$6))+$I670*COS(RADIANS('13_시나리오비교'!$B$6))),0)</f>
        <v/>
      </c>
      <c r="R670" s="80">
        <f>IF($I670&gt;0,MAX(0,$G670*SIN(RADIANS('13_시나리오비교'!$B$7))*SIN(RADIANS('13_시나리오비교'!$C$7))+$H670*SIN(RADIANS('13_시나리오비교'!$B$7))*COS(RADIANS('13_시나리오비교'!$C$7))+$I670*COS(RADIANS('13_시나리오비교'!$B$7))),0)</f>
        <v/>
      </c>
      <c r="S670" s="80">
        <f>IF($I670&gt;0,MAX(0,$G670*SIN(RADIANS('13_시나리오비교'!$B$8))*SIN(RADIANS('13_시나리오비교'!$C$8))+$H670*SIN(RADIANS('13_시나리오비교'!$B$8))*COS(RADIANS('13_시나리오비교'!$C$8))+$I670*COS(RADIANS('13_시나리오비교'!$B$8))),0)</f>
        <v/>
      </c>
      <c r="T670" s="80">
        <f>IF($I670&gt;0,MAX(0,$G670*SIN(RADIANS('13_시나리오비교'!$B$9))*SIN(RADIANS('13_시나리오비교'!$C$9))+$H670*SIN(RADIANS('13_시나리오비교'!$B$9))*COS(RADIANS('13_시나리오비교'!$C$9))+$I670*COS(RADIANS('13_시나리오비교'!$B$9))),0)</f>
        <v/>
      </c>
      <c r="U670" s="80">
        <f>IF($I670&gt;0,MAX(0,$G670*SIN(RADIANS('13_시나리오비교'!$B$10))*SIN(RADIANS('13_시나리오비교'!$C$10))+$H670*SIN(RADIANS('13_시나리오비교'!$B$10))*COS(RADIANS('13_시나리오비교'!$C$10))+$I670*COS(RADIANS('13_시나리오비교'!$B$10))),0)</f>
        <v/>
      </c>
      <c r="V670" s="80">
        <f>IF($I670&gt;0,MAX(0,$G670*SIN(RADIANS('13_시나리오비교'!$B$11))*SIN(RADIANS('13_시나리오비교'!$C$11))+$H670*SIN(RADIANS('13_시나리오비교'!$B$11))*COS(RADIANS('13_시나리오비교'!$C$11))+$I670*COS(RADIANS('13_시나리오비교'!$B$11))),0)</f>
        <v/>
      </c>
      <c r="W670" s="80">
        <f>IF($I670&gt;0,MAX(0,$G670*SIN(RADIANS('13_시나리오비교'!$B$12))*SIN(RADIANS('13_시나리오비교'!$C$12))+$H670*SIN(RADIANS('13_시나리오비교'!$B$12))*COS(RADIANS('13_시나리오비교'!$C$12))+$I670*COS(RADIANS('13_시나리오비교'!$B$12))),0)</f>
        <v/>
      </c>
      <c r="X670" s="80">
        <f>IF($I670&gt;0,MAX(0,$G670*SIN(RADIANS('13_시나리오비교'!$B$13))*SIN(RADIANS('13_시나리오비교'!$C$13))+$H670*SIN(RADIANS('13_시나리오비교'!$B$13))*COS(RADIANS('13_시나리오비교'!$C$13))+$I670*COS(RADIANS('13_시나리오비교'!$B$13))),0)</f>
        <v/>
      </c>
      <c r="Y670" s="80">
        <f>IF($I670&gt;0,MAX(0,$G670*SIN(RADIANS('13_시나리오비교'!$B$14))*SIN(RADIANS('13_시나리오비교'!$C$14))+$H670*SIN(RADIANS('13_시나리오비교'!$B$14))*COS(RADIANS('13_시나리오비교'!$C$14))+$I670*COS(RADIANS('13_시나리오비교'!$B$14))),0)</f>
        <v/>
      </c>
    </row>
    <row r="671" hidden="1" outlineLevel="1">
      <c r="A671" s="79" t="n">
        <v>7</v>
      </c>
      <c r="B671" s="79" t="n">
        <v>75</v>
      </c>
      <c r="C671" s="80">
        <f>(B671-0.5)*'14_지역·상수'!$H$6</f>
        <v/>
      </c>
      <c r="D671" s="79" t="n">
        <v>198</v>
      </c>
      <c r="E671" s="80">
        <f>INDEX($C$4:$C$15,MATCH(A671,$A$4:$A$15,0))</f>
        <v/>
      </c>
      <c r="F671" s="80">
        <f>15*(C671-12)</f>
        <v/>
      </c>
      <c r="G671" s="80">
        <f>-COS(RADIANS(E671))*SIN(RADIANS(F671))</f>
        <v/>
      </c>
      <c r="H671" s="80">
        <f>COS(RADIANS('11_발전량_모델'!$B$17))*SIN(RADIANS(E671))-SIN(RADIANS('11_발전량_모델'!$B$17))*COS(RADIANS(E671))*COS(RADIANS(F671))</f>
        <v/>
      </c>
      <c r="I671" s="80">
        <f>SIN(RADIANS('11_발전량_모델'!$B$17))*SIN(RADIANS(E671))+COS(RADIANS('11_발전량_모델'!$B$17))*COS(RADIANS(E671))*COS(RADIANS(F671))</f>
        <v/>
      </c>
      <c r="J671" s="80">
        <f>SIN(RADIANS('11_발전량_모델'!$B$7))*SIN(RADIANS('11_발전량_모델'!$B$8))</f>
        <v/>
      </c>
      <c r="K671" s="80">
        <f>SIN(RADIANS('11_발전량_모델'!$B$7))*COS(RADIANS('11_발전량_모델'!$B$8))</f>
        <v/>
      </c>
      <c r="L671" s="80">
        <f>COS(RADIANS('11_발전량_모델'!$B$7))</f>
        <v/>
      </c>
      <c r="M671" s="80">
        <f>G671*J671+H671*K671+I671*L671</f>
        <v/>
      </c>
      <c r="N671" s="80">
        <f>MAX(0,I671)</f>
        <v/>
      </c>
      <c r="O671" s="80">
        <f>IF(I671&gt;0,MAX(0,M671),0)</f>
        <v/>
      </c>
      <c r="P671" s="80">
        <f>IF($I671&gt;0,MAX(0,$G671*SIN(RADIANS('13_시나리오비교'!$B$5))*SIN(RADIANS('13_시나리오비교'!$C$5))+$H671*SIN(RADIANS('13_시나리오비교'!$B$5))*COS(RADIANS('13_시나리오비교'!$C$5))+$I671*COS(RADIANS('13_시나리오비교'!$B$5))),0)</f>
        <v/>
      </c>
      <c r="Q671" s="80">
        <f>IF($I671&gt;0,MAX(0,$G671*SIN(RADIANS('13_시나리오비교'!$B$6))*SIN(RADIANS('13_시나리오비교'!$C$6))+$H671*SIN(RADIANS('13_시나리오비교'!$B$6))*COS(RADIANS('13_시나리오비교'!$C$6))+$I671*COS(RADIANS('13_시나리오비교'!$B$6))),0)</f>
        <v/>
      </c>
      <c r="R671" s="80">
        <f>IF($I671&gt;0,MAX(0,$G671*SIN(RADIANS('13_시나리오비교'!$B$7))*SIN(RADIANS('13_시나리오비교'!$C$7))+$H671*SIN(RADIANS('13_시나리오비교'!$B$7))*COS(RADIANS('13_시나리오비교'!$C$7))+$I671*COS(RADIANS('13_시나리오비교'!$B$7))),0)</f>
        <v/>
      </c>
      <c r="S671" s="80">
        <f>IF($I671&gt;0,MAX(0,$G671*SIN(RADIANS('13_시나리오비교'!$B$8))*SIN(RADIANS('13_시나리오비교'!$C$8))+$H671*SIN(RADIANS('13_시나리오비교'!$B$8))*COS(RADIANS('13_시나리오비교'!$C$8))+$I671*COS(RADIANS('13_시나리오비교'!$B$8))),0)</f>
        <v/>
      </c>
      <c r="T671" s="80">
        <f>IF($I671&gt;0,MAX(0,$G671*SIN(RADIANS('13_시나리오비교'!$B$9))*SIN(RADIANS('13_시나리오비교'!$C$9))+$H671*SIN(RADIANS('13_시나리오비교'!$B$9))*COS(RADIANS('13_시나리오비교'!$C$9))+$I671*COS(RADIANS('13_시나리오비교'!$B$9))),0)</f>
        <v/>
      </c>
      <c r="U671" s="80">
        <f>IF($I671&gt;0,MAX(0,$G671*SIN(RADIANS('13_시나리오비교'!$B$10))*SIN(RADIANS('13_시나리오비교'!$C$10))+$H671*SIN(RADIANS('13_시나리오비교'!$B$10))*COS(RADIANS('13_시나리오비교'!$C$10))+$I671*COS(RADIANS('13_시나리오비교'!$B$10))),0)</f>
        <v/>
      </c>
      <c r="V671" s="80">
        <f>IF($I671&gt;0,MAX(0,$G671*SIN(RADIANS('13_시나리오비교'!$B$11))*SIN(RADIANS('13_시나리오비교'!$C$11))+$H671*SIN(RADIANS('13_시나리오비교'!$B$11))*COS(RADIANS('13_시나리오비교'!$C$11))+$I671*COS(RADIANS('13_시나리오비교'!$B$11))),0)</f>
        <v/>
      </c>
      <c r="W671" s="80">
        <f>IF($I671&gt;0,MAX(0,$G671*SIN(RADIANS('13_시나리오비교'!$B$12))*SIN(RADIANS('13_시나리오비교'!$C$12))+$H671*SIN(RADIANS('13_시나리오비교'!$B$12))*COS(RADIANS('13_시나리오비교'!$C$12))+$I671*COS(RADIANS('13_시나리오비교'!$B$12))),0)</f>
        <v/>
      </c>
      <c r="X671" s="80">
        <f>IF($I671&gt;0,MAX(0,$G671*SIN(RADIANS('13_시나리오비교'!$B$13))*SIN(RADIANS('13_시나리오비교'!$C$13))+$H671*SIN(RADIANS('13_시나리오비교'!$B$13))*COS(RADIANS('13_시나리오비교'!$C$13))+$I671*COS(RADIANS('13_시나리오비교'!$B$13))),0)</f>
        <v/>
      </c>
      <c r="Y671" s="80">
        <f>IF($I671&gt;0,MAX(0,$G671*SIN(RADIANS('13_시나리오비교'!$B$14))*SIN(RADIANS('13_시나리오비교'!$C$14))+$H671*SIN(RADIANS('13_시나리오비교'!$B$14))*COS(RADIANS('13_시나리오비교'!$C$14))+$I671*COS(RADIANS('13_시나리오비교'!$B$14))),0)</f>
        <v/>
      </c>
    </row>
    <row r="672" hidden="1" outlineLevel="1">
      <c r="A672" s="79" t="n">
        <v>7</v>
      </c>
      <c r="B672" s="79" t="n">
        <v>76</v>
      </c>
      <c r="C672" s="80">
        <f>(B672-0.5)*'14_지역·상수'!$H$6</f>
        <v/>
      </c>
      <c r="D672" s="79" t="n">
        <v>198</v>
      </c>
      <c r="E672" s="80">
        <f>INDEX($C$4:$C$15,MATCH(A672,$A$4:$A$15,0))</f>
        <v/>
      </c>
      <c r="F672" s="80">
        <f>15*(C672-12)</f>
        <v/>
      </c>
      <c r="G672" s="80">
        <f>-COS(RADIANS(E672))*SIN(RADIANS(F672))</f>
        <v/>
      </c>
      <c r="H672" s="80">
        <f>COS(RADIANS('11_발전량_모델'!$B$17))*SIN(RADIANS(E672))-SIN(RADIANS('11_발전량_모델'!$B$17))*COS(RADIANS(E672))*COS(RADIANS(F672))</f>
        <v/>
      </c>
      <c r="I672" s="80">
        <f>SIN(RADIANS('11_발전량_모델'!$B$17))*SIN(RADIANS(E672))+COS(RADIANS('11_발전량_모델'!$B$17))*COS(RADIANS(E672))*COS(RADIANS(F672))</f>
        <v/>
      </c>
      <c r="J672" s="80">
        <f>SIN(RADIANS('11_발전량_모델'!$B$7))*SIN(RADIANS('11_발전량_모델'!$B$8))</f>
        <v/>
      </c>
      <c r="K672" s="80">
        <f>SIN(RADIANS('11_발전량_모델'!$B$7))*COS(RADIANS('11_발전량_모델'!$B$8))</f>
        <v/>
      </c>
      <c r="L672" s="80">
        <f>COS(RADIANS('11_발전량_모델'!$B$7))</f>
        <v/>
      </c>
      <c r="M672" s="80">
        <f>G672*J672+H672*K672+I672*L672</f>
        <v/>
      </c>
      <c r="N672" s="80">
        <f>MAX(0,I672)</f>
        <v/>
      </c>
      <c r="O672" s="80">
        <f>IF(I672&gt;0,MAX(0,M672),0)</f>
        <v/>
      </c>
      <c r="P672" s="80">
        <f>IF($I672&gt;0,MAX(0,$G672*SIN(RADIANS('13_시나리오비교'!$B$5))*SIN(RADIANS('13_시나리오비교'!$C$5))+$H672*SIN(RADIANS('13_시나리오비교'!$B$5))*COS(RADIANS('13_시나리오비교'!$C$5))+$I672*COS(RADIANS('13_시나리오비교'!$B$5))),0)</f>
        <v/>
      </c>
      <c r="Q672" s="80">
        <f>IF($I672&gt;0,MAX(0,$G672*SIN(RADIANS('13_시나리오비교'!$B$6))*SIN(RADIANS('13_시나리오비교'!$C$6))+$H672*SIN(RADIANS('13_시나리오비교'!$B$6))*COS(RADIANS('13_시나리오비교'!$C$6))+$I672*COS(RADIANS('13_시나리오비교'!$B$6))),0)</f>
        <v/>
      </c>
      <c r="R672" s="80">
        <f>IF($I672&gt;0,MAX(0,$G672*SIN(RADIANS('13_시나리오비교'!$B$7))*SIN(RADIANS('13_시나리오비교'!$C$7))+$H672*SIN(RADIANS('13_시나리오비교'!$B$7))*COS(RADIANS('13_시나리오비교'!$C$7))+$I672*COS(RADIANS('13_시나리오비교'!$B$7))),0)</f>
        <v/>
      </c>
      <c r="S672" s="80">
        <f>IF($I672&gt;0,MAX(0,$G672*SIN(RADIANS('13_시나리오비교'!$B$8))*SIN(RADIANS('13_시나리오비교'!$C$8))+$H672*SIN(RADIANS('13_시나리오비교'!$B$8))*COS(RADIANS('13_시나리오비교'!$C$8))+$I672*COS(RADIANS('13_시나리오비교'!$B$8))),0)</f>
        <v/>
      </c>
      <c r="T672" s="80">
        <f>IF($I672&gt;0,MAX(0,$G672*SIN(RADIANS('13_시나리오비교'!$B$9))*SIN(RADIANS('13_시나리오비교'!$C$9))+$H672*SIN(RADIANS('13_시나리오비교'!$B$9))*COS(RADIANS('13_시나리오비교'!$C$9))+$I672*COS(RADIANS('13_시나리오비교'!$B$9))),0)</f>
        <v/>
      </c>
      <c r="U672" s="80">
        <f>IF($I672&gt;0,MAX(0,$G672*SIN(RADIANS('13_시나리오비교'!$B$10))*SIN(RADIANS('13_시나리오비교'!$C$10))+$H672*SIN(RADIANS('13_시나리오비교'!$B$10))*COS(RADIANS('13_시나리오비교'!$C$10))+$I672*COS(RADIANS('13_시나리오비교'!$B$10))),0)</f>
        <v/>
      </c>
      <c r="V672" s="80">
        <f>IF($I672&gt;0,MAX(0,$G672*SIN(RADIANS('13_시나리오비교'!$B$11))*SIN(RADIANS('13_시나리오비교'!$C$11))+$H672*SIN(RADIANS('13_시나리오비교'!$B$11))*COS(RADIANS('13_시나리오비교'!$C$11))+$I672*COS(RADIANS('13_시나리오비교'!$B$11))),0)</f>
        <v/>
      </c>
      <c r="W672" s="80">
        <f>IF($I672&gt;0,MAX(0,$G672*SIN(RADIANS('13_시나리오비교'!$B$12))*SIN(RADIANS('13_시나리오비교'!$C$12))+$H672*SIN(RADIANS('13_시나리오비교'!$B$12))*COS(RADIANS('13_시나리오비교'!$C$12))+$I672*COS(RADIANS('13_시나리오비교'!$B$12))),0)</f>
        <v/>
      </c>
      <c r="X672" s="80">
        <f>IF($I672&gt;0,MAX(0,$G672*SIN(RADIANS('13_시나리오비교'!$B$13))*SIN(RADIANS('13_시나리오비교'!$C$13))+$H672*SIN(RADIANS('13_시나리오비교'!$B$13))*COS(RADIANS('13_시나리오비교'!$C$13))+$I672*COS(RADIANS('13_시나리오비교'!$B$13))),0)</f>
        <v/>
      </c>
      <c r="Y672" s="80">
        <f>IF($I672&gt;0,MAX(0,$G672*SIN(RADIANS('13_시나리오비교'!$B$14))*SIN(RADIANS('13_시나리오비교'!$C$14))+$H672*SIN(RADIANS('13_시나리오비교'!$B$14))*COS(RADIANS('13_시나리오비교'!$C$14))+$I672*COS(RADIANS('13_시나리오비교'!$B$14))),0)</f>
        <v/>
      </c>
    </row>
    <row r="673" hidden="1" outlineLevel="1">
      <c r="A673" s="79" t="n">
        <v>7</v>
      </c>
      <c r="B673" s="79" t="n">
        <v>77</v>
      </c>
      <c r="C673" s="80">
        <f>(B673-0.5)*'14_지역·상수'!$H$6</f>
        <v/>
      </c>
      <c r="D673" s="79" t="n">
        <v>198</v>
      </c>
      <c r="E673" s="80">
        <f>INDEX($C$4:$C$15,MATCH(A673,$A$4:$A$15,0))</f>
        <v/>
      </c>
      <c r="F673" s="80">
        <f>15*(C673-12)</f>
        <v/>
      </c>
      <c r="G673" s="80">
        <f>-COS(RADIANS(E673))*SIN(RADIANS(F673))</f>
        <v/>
      </c>
      <c r="H673" s="80">
        <f>COS(RADIANS('11_발전량_모델'!$B$17))*SIN(RADIANS(E673))-SIN(RADIANS('11_발전량_모델'!$B$17))*COS(RADIANS(E673))*COS(RADIANS(F673))</f>
        <v/>
      </c>
      <c r="I673" s="80">
        <f>SIN(RADIANS('11_발전량_모델'!$B$17))*SIN(RADIANS(E673))+COS(RADIANS('11_발전량_모델'!$B$17))*COS(RADIANS(E673))*COS(RADIANS(F673))</f>
        <v/>
      </c>
      <c r="J673" s="80">
        <f>SIN(RADIANS('11_발전량_모델'!$B$7))*SIN(RADIANS('11_발전량_모델'!$B$8))</f>
        <v/>
      </c>
      <c r="K673" s="80">
        <f>SIN(RADIANS('11_발전량_모델'!$B$7))*COS(RADIANS('11_발전량_모델'!$B$8))</f>
        <v/>
      </c>
      <c r="L673" s="80">
        <f>COS(RADIANS('11_발전량_모델'!$B$7))</f>
        <v/>
      </c>
      <c r="M673" s="80">
        <f>G673*J673+H673*K673+I673*L673</f>
        <v/>
      </c>
      <c r="N673" s="80">
        <f>MAX(0,I673)</f>
        <v/>
      </c>
      <c r="O673" s="80">
        <f>IF(I673&gt;0,MAX(0,M673),0)</f>
        <v/>
      </c>
      <c r="P673" s="80">
        <f>IF($I673&gt;0,MAX(0,$G673*SIN(RADIANS('13_시나리오비교'!$B$5))*SIN(RADIANS('13_시나리오비교'!$C$5))+$H673*SIN(RADIANS('13_시나리오비교'!$B$5))*COS(RADIANS('13_시나리오비교'!$C$5))+$I673*COS(RADIANS('13_시나리오비교'!$B$5))),0)</f>
        <v/>
      </c>
      <c r="Q673" s="80">
        <f>IF($I673&gt;0,MAX(0,$G673*SIN(RADIANS('13_시나리오비교'!$B$6))*SIN(RADIANS('13_시나리오비교'!$C$6))+$H673*SIN(RADIANS('13_시나리오비교'!$B$6))*COS(RADIANS('13_시나리오비교'!$C$6))+$I673*COS(RADIANS('13_시나리오비교'!$B$6))),0)</f>
        <v/>
      </c>
      <c r="R673" s="80">
        <f>IF($I673&gt;0,MAX(0,$G673*SIN(RADIANS('13_시나리오비교'!$B$7))*SIN(RADIANS('13_시나리오비교'!$C$7))+$H673*SIN(RADIANS('13_시나리오비교'!$B$7))*COS(RADIANS('13_시나리오비교'!$C$7))+$I673*COS(RADIANS('13_시나리오비교'!$B$7))),0)</f>
        <v/>
      </c>
      <c r="S673" s="80">
        <f>IF($I673&gt;0,MAX(0,$G673*SIN(RADIANS('13_시나리오비교'!$B$8))*SIN(RADIANS('13_시나리오비교'!$C$8))+$H673*SIN(RADIANS('13_시나리오비교'!$B$8))*COS(RADIANS('13_시나리오비교'!$C$8))+$I673*COS(RADIANS('13_시나리오비교'!$B$8))),0)</f>
        <v/>
      </c>
      <c r="T673" s="80">
        <f>IF($I673&gt;0,MAX(0,$G673*SIN(RADIANS('13_시나리오비교'!$B$9))*SIN(RADIANS('13_시나리오비교'!$C$9))+$H673*SIN(RADIANS('13_시나리오비교'!$B$9))*COS(RADIANS('13_시나리오비교'!$C$9))+$I673*COS(RADIANS('13_시나리오비교'!$B$9))),0)</f>
        <v/>
      </c>
      <c r="U673" s="80">
        <f>IF($I673&gt;0,MAX(0,$G673*SIN(RADIANS('13_시나리오비교'!$B$10))*SIN(RADIANS('13_시나리오비교'!$C$10))+$H673*SIN(RADIANS('13_시나리오비교'!$B$10))*COS(RADIANS('13_시나리오비교'!$C$10))+$I673*COS(RADIANS('13_시나리오비교'!$B$10))),0)</f>
        <v/>
      </c>
      <c r="V673" s="80">
        <f>IF($I673&gt;0,MAX(0,$G673*SIN(RADIANS('13_시나리오비교'!$B$11))*SIN(RADIANS('13_시나리오비교'!$C$11))+$H673*SIN(RADIANS('13_시나리오비교'!$B$11))*COS(RADIANS('13_시나리오비교'!$C$11))+$I673*COS(RADIANS('13_시나리오비교'!$B$11))),0)</f>
        <v/>
      </c>
      <c r="W673" s="80">
        <f>IF($I673&gt;0,MAX(0,$G673*SIN(RADIANS('13_시나리오비교'!$B$12))*SIN(RADIANS('13_시나리오비교'!$C$12))+$H673*SIN(RADIANS('13_시나리오비교'!$B$12))*COS(RADIANS('13_시나리오비교'!$C$12))+$I673*COS(RADIANS('13_시나리오비교'!$B$12))),0)</f>
        <v/>
      </c>
      <c r="X673" s="80">
        <f>IF($I673&gt;0,MAX(0,$G673*SIN(RADIANS('13_시나리오비교'!$B$13))*SIN(RADIANS('13_시나리오비교'!$C$13))+$H673*SIN(RADIANS('13_시나리오비교'!$B$13))*COS(RADIANS('13_시나리오비교'!$C$13))+$I673*COS(RADIANS('13_시나리오비교'!$B$13))),0)</f>
        <v/>
      </c>
      <c r="Y673" s="80">
        <f>IF($I673&gt;0,MAX(0,$G673*SIN(RADIANS('13_시나리오비교'!$B$14))*SIN(RADIANS('13_시나리오비교'!$C$14))+$H673*SIN(RADIANS('13_시나리오비교'!$B$14))*COS(RADIANS('13_시나리오비교'!$C$14))+$I673*COS(RADIANS('13_시나리오비교'!$B$14))),0)</f>
        <v/>
      </c>
    </row>
    <row r="674" hidden="1" outlineLevel="1">
      <c r="A674" s="79" t="n">
        <v>7</v>
      </c>
      <c r="B674" s="79" t="n">
        <v>78</v>
      </c>
      <c r="C674" s="80">
        <f>(B674-0.5)*'14_지역·상수'!$H$6</f>
        <v/>
      </c>
      <c r="D674" s="79" t="n">
        <v>198</v>
      </c>
      <c r="E674" s="80">
        <f>INDEX($C$4:$C$15,MATCH(A674,$A$4:$A$15,0))</f>
        <v/>
      </c>
      <c r="F674" s="80">
        <f>15*(C674-12)</f>
        <v/>
      </c>
      <c r="G674" s="80">
        <f>-COS(RADIANS(E674))*SIN(RADIANS(F674))</f>
        <v/>
      </c>
      <c r="H674" s="80">
        <f>COS(RADIANS('11_발전량_모델'!$B$17))*SIN(RADIANS(E674))-SIN(RADIANS('11_발전량_모델'!$B$17))*COS(RADIANS(E674))*COS(RADIANS(F674))</f>
        <v/>
      </c>
      <c r="I674" s="80">
        <f>SIN(RADIANS('11_발전량_모델'!$B$17))*SIN(RADIANS(E674))+COS(RADIANS('11_발전량_모델'!$B$17))*COS(RADIANS(E674))*COS(RADIANS(F674))</f>
        <v/>
      </c>
      <c r="J674" s="80">
        <f>SIN(RADIANS('11_발전량_모델'!$B$7))*SIN(RADIANS('11_발전량_모델'!$B$8))</f>
        <v/>
      </c>
      <c r="K674" s="80">
        <f>SIN(RADIANS('11_발전량_모델'!$B$7))*COS(RADIANS('11_발전량_모델'!$B$8))</f>
        <v/>
      </c>
      <c r="L674" s="80">
        <f>COS(RADIANS('11_발전량_모델'!$B$7))</f>
        <v/>
      </c>
      <c r="M674" s="80">
        <f>G674*J674+H674*K674+I674*L674</f>
        <v/>
      </c>
      <c r="N674" s="80">
        <f>MAX(0,I674)</f>
        <v/>
      </c>
      <c r="O674" s="80">
        <f>IF(I674&gt;0,MAX(0,M674),0)</f>
        <v/>
      </c>
      <c r="P674" s="80">
        <f>IF($I674&gt;0,MAX(0,$G674*SIN(RADIANS('13_시나리오비교'!$B$5))*SIN(RADIANS('13_시나리오비교'!$C$5))+$H674*SIN(RADIANS('13_시나리오비교'!$B$5))*COS(RADIANS('13_시나리오비교'!$C$5))+$I674*COS(RADIANS('13_시나리오비교'!$B$5))),0)</f>
        <v/>
      </c>
      <c r="Q674" s="80">
        <f>IF($I674&gt;0,MAX(0,$G674*SIN(RADIANS('13_시나리오비교'!$B$6))*SIN(RADIANS('13_시나리오비교'!$C$6))+$H674*SIN(RADIANS('13_시나리오비교'!$B$6))*COS(RADIANS('13_시나리오비교'!$C$6))+$I674*COS(RADIANS('13_시나리오비교'!$B$6))),0)</f>
        <v/>
      </c>
      <c r="R674" s="80">
        <f>IF($I674&gt;0,MAX(0,$G674*SIN(RADIANS('13_시나리오비교'!$B$7))*SIN(RADIANS('13_시나리오비교'!$C$7))+$H674*SIN(RADIANS('13_시나리오비교'!$B$7))*COS(RADIANS('13_시나리오비교'!$C$7))+$I674*COS(RADIANS('13_시나리오비교'!$B$7))),0)</f>
        <v/>
      </c>
      <c r="S674" s="80">
        <f>IF($I674&gt;0,MAX(0,$G674*SIN(RADIANS('13_시나리오비교'!$B$8))*SIN(RADIANS('13_시나리오비교'!$C$8))+$H674*SIN(RADIANS('13_시나리오비교'!$B$8))*COS(RADIANS('13_시나리오비교'!$C$8))+$I674*COS(RADIANS('13_시나리오비교'!$B$8))),0)</f>
        <v/>
      </c>
      <c r="T674" s="80">
        <f>IF($I674&gt;0,MAX(0,$G674*SIN(RADIANS('13_시나리오비교'!$B$9))*SIN(RADIANS('13_시나리오비교'!$C$9))+$H674*SIN(RADIANS('13_시나리오비교'!$B$9))*COS(RADIANS('13_시나리오비교'!$C$9))+$I674*COS(RADIANS('13_시나리오비교'!$B$9))),0)</f>
        <v/>
      </c>
      <c r="U674" s="80">
        <f>IF($I674&gt;0,MAX(0,$G674*SIN(RADIANS('13_시나리오비교'!$B$10))*SIN(RADIANS('13_시나리오비교'!$C$10))+$H674*SIN(RADIANS('13_시나리오비교'!$B$10))*COS(RADIANS('13_시나리오비교'!$C$10))+$I674*COS(RADIANS('13_시나리오비교'!$B$10))),0)</f>
        <v/>
      </c>
      <c r="V674" s="80">
        <f>IF($I674&gt;0,MAX(0,$G674*SIN(RADIANS('13_시나리오비교'!$B$11))*SIN(RADIANS('13_시나리오비교'!$C$11))+$H674*SIN(RADIANS('13_시나리오비교'!$B$11))*COS(RADIANS('13_시나리오비교'!$C$11))+$I674*COS(RADIANS('13_시나리오비교'!$B$11))),0)</f>
        <v/>
      </c>
      <c r="W674" s="80">
        <f>IF($I674&gt;0,MAX(0,$G674*SIN(RADIANS('13_시나리오비교'!$B$12))*SIN(RADIANS('13_시나리오비교'!$C$12))+$H674*SIN(RADIANS('13_시나리오비교'!$B$12))*COS(RADIANS('13_시나리오비교'!$C$12))+$I674*COS(RADIANS('13_시나리오비교'!$B$12))),0)</f>
        <v/>
      </c>
      <c r="X674" s="80">
        <f>IF($I674&gt;0,MAX(0,$G674*SIN(RADIANS('13_시나리오비교'!$B$13))*SIN(RADIANS('13_시나리오비교'!$C$13))+$H674*SIN(RADIANS('13_시나리오비교'!$B$13))*COS(RADIANS('13_시나리오비교'!$C$13))+$I674*COS(RADIANS('13_시나리오비교'!$B$13))),0)</f>
        <v/>
      </c>
      <c r="Y674" s="80">
        <f>IF($I674&gt;0,MAX(0,$G674*SIN(RADIANS('13_시나리오비교'!$B$14))*SIN(RADIANS('13_시나리오비교'!$C$14))+$H674*SIN(RADIANS('13_시나리오비교'!$B$14))*COS(RADIANS('13_시나리오비교'!$C$14))+$I674*COS(RADIANS('13_시나리오비교'!$B$14))),0)</f>
        <v/>
      </c>
    </row>
    <row r="675" hidden="1" outlineLevel="1">
      <c r="A675" s="79" t="n">
        <v>7</v>
      </c>
      <c r="B675" s="79" t="n">
        <v>79</v>
      </c>
      <c r="C675" s="80">
        <f>(B675-0.5)*'14_지역·상수'!$H$6</f>
        <v/>
      </c>
      <c r="D675" s="79" t="n">
        <v>198</v>
      </c>
      <c r="E675" s="80">
        <f>INDEX($C$4:$C$15,MATCH(A675,$A$4:$A$15,0))</f>
        <v/>
      </c>
      <c r="F675" s="80">
        <f>15*(C675-12)</f>
        <v/>
      </c>
      <c r="G675" s="80">
        <f>-COS(RADIANS(E675))*SIN(RADIANS(F675))</f>
        <v/>
      </c>
      <c r="H675" s="80">
        <f>COS(RADIANS('11_발전량_모델'!$B$17))*SIN(RADIANS(E675))-SIN(RADIANS('11_발전량_모델'!$B$17))*COS(RADIANS(E675))*COS(RADIANS(F675))</f>
        <v/>
      </c>
      <c r="I675" s="80">
        <f>SIN(RADIANS('11_발전량_모델'!$B$17))*SIN(RADIANS(E675))+COS(RADIANS('11_발전량_모델'!$B$17))*COS(RADIANS(E675))*COS(RADIANS(F675))</f>
        <v/>
      </c>
      <c r="J675" s="80">
        <f>SIN(RADIANS('11_발전량_모델'!$B$7))*SIN(RADIANS('11_발전량_모델'!$B$8))</f>
        <v/>
      </c>
      <c r="K675" s="80">
        <f>SIN(RADIANS('11_발전량_모델'!$B$7))*COS(RADIANS('11_발전량_모델'!$B$8))</f>
        <v/>
      </c>
      <c r="L675" s="80">
        <f>COS(RADIANS('11_발전량_모델'!$B$7))</f>
        <v/>
      </c>
      <c r="M675" s="80">
        <f>G675*J675+H675*K675+I675*L675</f>
        <v/>
      </c>
      <c r="N675" s="80">
        <f>MAX(0,I675)</f>
        <v/>
      </c>
      <c r="O675" s="80">
        <f>IF(I675&gt;0,MAX(0,M675),0)</f>
        <v/>
      </c>
      <c r="P675" s="80">
        <f>IF($I675&gt;0,MAX(0,$G675*SIN(RADIANS('13_시나리오비교'!$B$5))*SIN(RADIANS('13_시나리오비교'!$C$5))+$H675*SIN(RADIANS('13_시나리오비교'!$B$5))*COS(RADIANS('13_시나리오비교'!$C$5))+$I675*COS(RADIANS('13_시나리오비교'!$B$5))),0)</f>
        <v/>
      </c>
      <c r="Q675" s="80">
        <f>IF($I675&gt;0,MAX(0,$G675*SIN(RADIANS('13_시나리오비교'!$B$6))*SIN(RADIANS('13_시나리오비교'!$C$6))+$H675*SIN(RADIANS('13_시나리오비교'!$B$6))*COS(RADIANS('13_시나리오비교'!$C$6))+$I675*COS(RADIANS('13_시나리오비교'!$B$6))),0)</f>
        <v/>
      </c>
      <c r="R675" s="80">
        <f>IF($I675&gt;0,MAX(0,$G675*SIN(RADIANS('13_시나리오비교'!$B$7))*SIN(RADIANS('13_시나리오비교'!$C$7))+$H675*SIN(RADIANS('13_시나리오비교'!$B$7))*COS(RADIANS('13_시나리오비교'!$C$7))+$I675*COS(RADIANS('13_시나리오비교'!$B$7))),0)</f>
        <v/>
      </c>
      <c r="S675" s="80">
        <f>IF($I675&gt;0,MAX(0,$G675*SIN(RADIANS('13_시나리오비교'!$B$8))*SIN(RADIANS('13_시나리오비교'!$C$8))+$H675*SIN(RADIANS('13_시나리오비교'!$B$8))*COS(RADIANS('13_시나리오비교'!$C$8))+$I675*COS(RADIANS('13_시나리오비교'!$B$8))),0)</f>
        <v/>
      </c>
      <c r="T675" s="80">
        <f>IF($I675&gt;0,MAX(0,$G675*SIN(RADIANS('13_시나리오비교'!$B$9))*SIN(RADIANS('13_시나리오비교'!$C$9))+$H675*SIN(RADIANS('13_시나리오비교'!$B$9))*COS(RADIANS('13_시나리오비교'!$C$9))+$I675*COS(RADIANS('13_시나리오비교'!$B$9))),0)</f>
        <v/>
      </c>
      <c r="U675" s="80">
        <f>IF($I675&gt;0,MAX(0,$G675*SIN(RADIANS('13_시나리오비교'!$B$10))*SIN(RADIANS('13_시나리오비교'!$C$10))+$H675*SIN(RADIANS('13_시나리오비교'!$B$10))*COS(RADIANS('13_시나리오비교'!$C$10))+$I675*COS(RADIANS('13_시나리오비교'!$B$10))),0)</f>
        <v/>
      </c>
      <c r="V675" s="80">
        <f>IF($I675&gt;0,MAX(0,$G675*SIN(RADIANS('13_시나리오비교'!$B$11))*SIN(RADIANS('13_시나리오비교'!$C$11))+$H675*SIN(RADIANS('13_시나리오비교'!$B$11))*COS(RADIANS('13_시나리오비교'!$C$11))+$I675*COS(RADIANS('13_시나리오비교'!$B$11))),0)</f>
        <v/>
      </c>
      <c r="W675" s="80">
        <f>IF($I675&gt;0,MAX(0,$G675*SIN(RADIANS('13_시나리오비교'!$B$12))*SIN(RADIANS('13_시나리오비교'!$C$12))+$H675*SIN(RADIANS('13_시나리오비교'!$B$12))*COS(RADIANS('13_시나리오비교'!$C$12))+$I675*COS(RADIANS('13_시나리오비교'!$B$12))),0)</f>
        <v/>
      </c>
      <c r="X675" s="80">
        <f>IF($I675&gt;0,MAX(0,$G675*SIN(RADIANS('13_시나리오비교'!$B$13))*SIN(RADIANS('13_시나리오비교'!$C$13))+$H675*SIN(RADIANS('13_시나리오비교'!$B$13))*COS(RADIANS('13_시나리오비교'!$C$13))+$I675*COS(RADIANS('13_시나리오비교'!$B$13))),0)</f>
        <v/>
      </c>
      <c r="Y675" s="80">
        <f>IF($I675&gt;0,MAX(0,$G675*SIN(RADIANS('13_시나리오비교'!$B$14))*SIN(RADIANS('13_시나리오비교'!$C$14))+$H675*SIN(RADIANS('13_시나리오비교'!$B$14))*COS(RADIANS('13_시나리오비교'!$C$14))+$I675*COS(RADIANS('13_시나리오비교'!$B$14))),0)</f>
        <v/>
      </c>
    </row>
    <row r="676" hidden="1" outlineLevel="1">
      <c r="A676" s="79" t="n">
        <v>7</v>
      </c>
      <c r="B676" s="79" t="n">
        <v>80</v>
      </c>
      <c r="C676" s="80">
        <f>(B676-0.5)*'14_지역·상수'!$H$6</f>
        <v/>
      </c>
      <c r="D676" s="79" t="n">
        <v>198</v>
      </c>
      <c r="E676" s="80">
        <f>INDEX($C$4:$C$15,MATCH(A676,$A$4:$A$15,0))</f>
        <v/>
      </c>
      <c r="F676" s="80">
        <f>15*(C676-12)</f>
        <v/>
      </c>
      <c r="G676" s="80">
        <f>-COS(RADIANS(E676))*SIN(RADIANS(F676))</f>
        <v/>
      </c>
      <c r="H676" s="80">
        <f>COS(RADIANS('11_발전량_모델'!$B$17))*SIN(RADIANS(E676))-SIN(RADIANS('11_발전량_모델'!$B$17))*COS(RADIANS(E676))*COS(RADIANS(F676))</f>
        <v/>
      </c>
      <c r="I676" s="80">
        <f>SIN(RADIANS('11_발전량_모델'!$B$17))*SIN(RADIANS(E676))+COS(RADIANS('11_발전량_모델'!$B$17))*COS(RADIANS(E676))*COS(RADIANS(F676))</f>
        <v/>
      </c>
      <c r="J676" s="80">
        <f>SIN(RADIANS('11_발전량_모델'!$B$7))*SIN(RADIANS('11_발전량_모델'!$B$8))</f>
        <v/>
      </c>
      <c r="K676" s="80">
        <f>SIN(RADIANS('11_발전량_모델'!$B$7))*COS(RADIANS('11_발전량_모델'!$B$8))</f>
        <v/>
      </c>
      <c r="L676" s="80">
        <f>COS(RADIANS('11_발전량_모델'!$B$7))</f>
        <v/>
      </c>
      <c r="M676" s="80">
        <f>G676*J676+H676*K676+I676*L676</f>
        <v/>
      </c>
      <c r="N676" s="80">
        <f>MAX(0,I676)</f>
        <v/>
      </c>
      <c r="O676" s="80">
        <f>IF(I676&gt;0,MAX(0,M676),0)</f>
        <v/>
      </c>
      <c r="P676" s="80">
        <f>IF($I676&gt;0,MAX(0,$G676*SIN(RADIANS('13_시나리오비교'!$B$5))*SIN(RADIANS('13_시나리오비교'!$C$5))+$H676*SIN(RADIANS('13_시나리오비교'!$B$5))*COS(RADIANS('13_시나리오비교'!$C$5))+$I676*COS(RADIANS('13_시나리오비교'!$B$5))),0)</f>
        <v/>
      </c>
      <c r="Q676" s="80">
        <f>IF($I676&gt;0,MAX(0,$G676*SIN(RADIANS('13_시나리오비교'!$B$6))*SIN(RADIANS('13_시나리오비교'!$C$6))+$H676*SIN(RADIANS('13_시나리오비교'!$B$6))*COS(RADIANS('13_시나리오비교'!$C$6))+$I676*COS(RADIANS('13_시나리오비교'!$B$6))),0)</f>
        <v/>
      </c>
      <c r="R676" s="80">
        <f>IF($I676&gt;0,MAX(0,$G676*SIN(RADIANS('13_시나리오비교'!$B$7))*SIN(RADIANS('13_시나리오비교'!$C$7))+$H676*SIN(RADIANS('13_시나리오비교'!$B$7))*COS(RADIANS('13_시나리오비교'!$C$7))+$I676*COS(RADIANS('13_시나리오비교'!$B$7))),0)</f>
        <v/>
      </c>
      <c r="S676" s="80">
        <f>IF($I676&gt;0,MAX(0,$G676*SIN(RADIANS('13_시나리오비교'!$B$8))*SIN(RADIANS('13_시나리오비교'!$C$8))+$H676*SIN(RADIANS('13_시나리오비교'!$B$8))*COS(RADIANS('13_시나리오비교'!$C$8))+$I676*COS(RADIANS('13_시나리오비교'!$B$8))),0)</f>
        <v/>
      </c>
      <c r="T676" s="80">
        <f>IF($I676&gt;0,MAX(0,$G676*SIN(RADIANS('13_시나리오비교'!$B$9))*SIN(RADIANS('13_시나리오비교'!$C$9))+$H676*SIN(RADIANS('13_시나리오비교'!$B$9))*COS(RADIANS('13_시나리오비교'!$C$9))+$I676*COS(RADIANS('13_시나리오비교'!$B$9))),0)</f>
        <v/>
      </c>
      <c r="U676" s="80">
        <f>IF($I676&gt;0,MAX(0,$G676*SIN(RADIANS('13_시나리오비교'!$B$10))*SIN(RADIANS('13_시나리오비교'!$C$10))+$H676*SIN(RADIANS('13_시나리오비교'!$B$10))*COS(RADIANS('13_시나리오비교'!$C$10))+$I676*COS(RADIANS('13_시나리오비교'!$B$10))),0)</f>
        <v/>
      </c>
      <c r="V676" s="80">
        <f>IF($I676&gt;0,MAX(0,$G676*SIN(RADIANS('13_시나리오비교'!$B$11))*SIN(RADIANS('13_시나리오비교'!$C$11))+$H676*SIN(RADIANS('13_시나리오비교'!$B$11))*COS(RADIANS('13_시나리오비교'!$C$11))+$I676*COS(RADIANS('13_시나리오비교'!$B$11))),0)</f>
        <v/>
      </c>
      <c r="W676" s="80">
        <f>IF($I676&gt;0,MAX(0,$G676*SIN(RADIANS('13_시나리오비교'!$B$12))*SIN(RADIANS('13_시나리오비교'!$C$12))+$H676*SIN(RADIANS('13_시나리오비교'!$B$12))*COS(RADIANS('13_시나리오비교'!$C$12))+$I676*COS(RADIANS('13_시나리오비교'!$B$12))),0)</f>
        <v/>
      </c>
      <c r="X676" s="80">
        <f>IF($I676&gt;0,MAX(0,$G676*SIN(RADIANS('13_시나리오비교'!$B$13))*SIN(RADIANS('13_시나리오비교'!$C$13))+$H676*SIN(RADIANS('13_시나리오비교'!$B$13))*COS(RADIANS('13_시나리오비교'!$C$13))+$I676*COS(RADIANS('13_시나리오비교'!$B$13))),0)</f>
        <v/>
      </c>
      <c r="Y676" s="80">
        <f>IF($I676&gt;0,MAX(0,$G676*SIN(RADIANS('13_시나리오비교'!$B$14))*SIN(RADIANS('13_시나리오비교'!$C$14))+$H676*SIN(RADIANS('13_시나리오비교'!$B$14))*COS(RADIANS('13_시나리오비교'!$C$14))+$I676*COS(RADIANS('13_시나리오비교'!$B$14))),0)</f>
        <v/>
      </c>
    </row>
    <row r="677" hidden="1" outlineLevel="1">
      <c r="A677" s="79" t="n">
        <v>7</v>
      </c>
      <c r="B677" s="79" t="n">
        <v>81</v>
      </c>
      <c r="C677" s="80">
        <f>(B677-0.5)*'14_지역·상수'!$H$6</f>
        <v/>
      </c>
      <c r="D677" s="79" t="n">
        <v>198</v>
      </c>
      <c r="E677" s="80">
        <f>INDEX($C$4:$C$15,MATCH(A677,$A$4:$A$15,0))</f>
        <v/>
      </c>
      <c r="F677" s="80">
        <f>15*(C677-12)</f>
        <v/>
      </c>
      <c r="G677" s="80">
        <f>-COS(RADIANS(E677))*SIN(RADIANS(F677))</f>
        <v/>
      </c>
      <c r="H677" s="80">
        <f>COS(RADIANS('11_발전량_모델'!$B$17))*SIN(RADIANS(E677))-SIN(RADIANS('11_발전량_모델'!$B$17))*COS(RADIANS(E677))*COS(RADIANS(F677))</f>
        <v/>
      </c>
      <c r="I677" s="80">
        <f>SIN(RADIANS('11_발전량_모델'!$B$17))*SIN(RADIANS(E677))+COS(RADIANS('11_발전량_모델'!$B$17))*COS(RADIANS(E677))*COS(RADIANS(F677))</f>
        <v/>
      </c>
      <c r="J677" s="80">
        <f>SIN(RADIANS('11_발전량_모델'!$B$7))*SIN(RADIANS('11_발전량_모델'!$B$8))</f>
        <v/>
      </c>
      <c r="K677" s="80">
        <f>SIN(RADIANS('11_발전량_모델'!$B$7))*COS(RADIANS('11_발전량_모델'!$B$8))</f>
        <v/>
      </c>
      <c r="L677" s="80">
        <f>COS(RADIANS('11_발전량_모델'!$B$7))</f>
        <v/>
      </c>
      <c r="M677" s="80">
        <f>G677*J677+H677*K677+I677*L677</f>
        <v/>
      </c>
      <c r="N677" s="80">
        <f>MAX(0,I677)</f>
        <v/>
      </c>
      <c r="O677" s="80">
        <f>IF(I677&gt;0,MAX(0,M677),0)</f>
        <v/>
      </c>
      <c r="P677" s="80">
        <f>IF($I677&gt;0,MAX(0,$G677*SIN(RADIANS('13_시나리오비교'!$B$5))*SIN(RADIANS('13_시나리오비교'!$C$5))+$H677*SIN(RADIANS('13_시나리오비교'!$B$5))*COS(RADIANS('13_시나리오비교'!$C$5))+$I677*COS(RADIANS('13_시나리오비교'!$B$5))),0)</f>
        <v/>
      </c>
      <c r="Q677" s="80">
        <f>IF($I677&gt;0,MAX(0,$G677*SIN(RADIANS('13_시나리오비교'!$B$6))*SIN(RADIANS('13_시나리오비교'!$C$6))+$H677*SIN(RADIANS('13_시나리오비교'!$B$6))*COS(RADIANS('13_시나리오비교'!$C$6))+$I677*COS(RADIANS('13_시나리오비교'!$B$6))),0)</f>
        <v/>
      </c>
      <c r="R677" s="80">
        <f>IF($I677&gt;0,MAX(0,$G677*SIN(RADIANS('13_시나리오비교'!$B$7))*SIN(RADIANS('13_시나리오비교'!$C$7))+$H677*SIN(RADIANS('13_시나리오비교'!$B$7))*COS(RADIANS('13_시나리오비교'!$C$7))+$I677*COS(RADIANS('13_시나리오비교'!$B$7))),0)</f>
        <v/>
      </c>
      <c r="S677" s="80">
        <f>IF($I677&gt;0,MAX(0,$G677*SIN(RADIANS('13_시나리오비교'!$B$8))*SIN(RADIANS('13_시나리오비교'!$C$8))+$H677*SIN(RADIANS('13_시나리오비교'!$B$8))*COS(RADIANS('13_시나리오비교'!$C$8))+$I677*COS(RADIANS('13_시나리오비교'!$B$8))),0)</f>
        <v/>
      </c>
      <c r="T677" s="80">
        <f>IF($I677&gt;0,MAX(0,$G677*SIN(RADIANS('13_시나리오비교'!$B$9))*SIN(RADIANS('13_시나리오비교'!$C$9))+$H677*SIN(RADIANS('13_시나리오비교'!$B$9))*COS(RADIANS('13_시나리오비교'!$C$9))+$I677*COS(RADIANS('13_시나리오비교'!$B$9))),0)</f>
        <v/>
      </c>
      <c r="U677" s="80">
        <f>IF($I677&gt;0,MAX(0,$G677*SIN(RADIANS('13_시나리오비교'!$B$10))*SIN(RADIANS('13_시나리오비교'!$C$10))+$H677*SIN(RADIANS('13_시나리오비교'!$B$10))*COS(RADIANS('13_시나리오비교'!$C$10))+$I677*COS(RADIANS('13_시나리오비교'!$B$10))),0)</f>
        <v/>
      </c>
      <c r="V677" s="80">
        <f>IF($I677&gt;0,MAX(0,$G677*SIN(RADIANS('13_시나리오비교'!$B$11))*SIN(RADIANS('13_시나리오비교'!$C$11))+$H677*SIN(RADIANS('13_시나리오비교'!$B$11))*COS(RADIANS('13_시나리오비교'!$C$11))+$I677*COS(RADIANS('13_시나리오비교'!$B$11))),0)</f>
        <v/>
      </c>
      <c r="W677" s="80">
        <f>IF($I677&gt;0,MAX(0,$G677*SIN(RADIANS('13_시나리오비교'!$B$12))*SIN(RADIANS('13_시나리오비교'!$C$12))+$H677*SIN(RADIANS('13_시나리오비교'!$B$12))*COS(RADIANS('13_시나리오비교'!$C$12))+$I677*COS(RADIANS('13_시나리오비교'!$B$12))),0)</f>
        <v/>
      </c>
      <c r="X677" s="80">
        <f>IF($I677&gt;0,MAX(0,$G677*SIN(RADIANS('13_시나리오비교'!$B$13))*SIN(RADIANS('13_시나리오비교'!$C$13))+$H677*SIN(RADIANS('13_시나리오비교'!$B$13))*COS(RADIANS('13_시나리오비교'!$C$13))+$I677*COS(RADIANS('13_시나리오비교'!$B$13))),0)</f>
        <v/>
      </c>
      <c r="Y677" s="80">
        <f>IF($I677&gt;0,MAX(0,$G677*SIN(RADIANS('13_시나리오비교'!$B$14))*SIN(RADIANS('13_시나리오비교'!$C$14))+$H677*SIN(RADIANS('13_시나리오비교'!$B$14))*COS(RADIANS('13_시나리오비교'!$C$14))+$I677*COS(RADIANS('13_시나리오비교'!$B$14))),0)</f>
        <v/>
      </c>
    </row>
    <row r="678" hidden="1" outlineLevel="1">
      <c r="A678" s="79" t="n">
        <v>7</v>
      </c>
      <c r="B678" s="79" t="n">
        <v>82</v>
      </c>
      <c r="C678" s="80">
        <f>(B678-0.5)*'14_지역·상수'!$H$6</f>
        <v/>
      </c>
      <c r="D678" s="79" t="n">
        <v>198</v>
      </c>
      <c r="E678" s="80">
        <f>INDEX($C$4:$C$15,MATCH(A678,$A$4:$A$15,0))</f>
        <v/>
      </c>
      <c r="F678" s="80">
        <f>15*(C678-12)</f>
        <v/>
      </c>
      <c r="G678" s="80">
        <f>-COS(RADIANS(E678))*SIN(RADIANS(F678))</f>
        <v/>
      </c>
      <c r="H678" s="80">
        <f>COS(RADIANS('11_발전량_모델'!$B$17))*SIN(RADIANS(E678))-SIN(RADIANS('11_발전량_모델'!$B$17))*COS(RADIANS(E678))*COS(RADIANS(F678))</f>
        <v/>
      </c>
      <c r="I678" s="80">
        <f>SIN(RADIANS('11_발전량_모델'!$B$17))*SIN(RADIANS(E678))+COS(RADIANS('11_발전량_모델'!$B$17))*COS(RADIANS(E678))*COS(RADIANS(F678))</f>
        <v/>
      </c>
      <c r="J678" s="80">
        <f>SIN(RADIANS('11_발전량_모델'!$B$7))*SIN(RADIANS('11_발전량_모델'!$B$8))</f>
        <v/>
      </c>
      <c r="K678" s="80">
        <f>SIN(RADIANS('11_발전량_모델'!$B$7))*COS(RADIANS('11_발전량_모델'!$B$8))</f>
        <v/>
      </c>
      <c r="L678" s="80">
        <f>COS(RADIANS('11_발전량_모델'!$B$7))</f>
        <v/>
      </c>
      <c r="M678" s="80">
        <f>G678*J678+H678*K678+I678*L678</f>
        <v/>
      </c>
      <c r="N678" s="80">
        <f>MAX(0,I678)</f>
        <v/>
      </c>
      <c r="O678" s="80">
        <f>IF(I678&gt;0,MAX(0,M678),0)</f>
        <v/>
      </c>
      <c r="P678" s="80">
        <f>IF($I678&gt;0,MAX(0,$G678*SIN(RADIANS('13_시나리오비교'!$B$5))*SIN(RADIANS('13_시나리오비교'!$C$5))+$H678*SIN(RADIANS('13_시나리오비교'!$B$5))*COS(RADIANS('13_시나리오비교'!$C$5))+$I678*COS(RADIANS('13_시나리오비교'!$B$5))),0)</f>
        <v/>
      </c>
      <c r="Q678" s="80">
        <f>IF($I678&gt;0,MAX(0,$G678*SIN(RADIANS('13_시나리오비교'!$B$6))*SIN(RADIANS('13_시나리오비교'!$C$6))+$H678*SIN(RADIANS('13_시나리오비교'!$B$6))*COS(RADIANS('13_시나리오비교'!$C$6))+$I678*COS(RADIANS('13_시나리오비교'!$B$6))),0)</f>
        <v/>
      </c>
      <c r="R678" s="80">
        <f>IF($I678&gt;0,MAX(0,$G678*SIN(RADIANS('13_시나리오비교'!$B$7))*SIN(RADIANS('13_시나리오비교'!$C$7))+$H678*SIN(RADIANS('13_시나리오비교'!$B$7))*COS(RADIANS('13_시나리오비교'!$C$7))+$I678*COS(RADIANS('13_시나리오비교'!$B$7))),0)</f>
        <v/>
      </c>
      <c r="S678" s="80">
        <f>IF($I678&gt;0,MAX(0,$G678*SIN(RADIANS('13_시나리오비교'!$B$8))*SIN(RADIANS('13_시나리오비교'!$C$8))+$H678*SIN(RADIANS('13_시나리오비교'!$B$8))*COS(RADIANS('13_시나리오비교'!$C$8))+$I678*COS(RADIANS('13_시나리오비교'!$B$8))),0)</f>
        <v/>
      </c>
      <c r="T678" s="80">
        <f>IF($I678&gt;0,MAX(0,$G678*SIN(RADIANS('13_시나리오비교'!$B$9))*SIN(RADIANS('13_시나리오비교'!$C$9))+$H678*SIN(RADIANS('13_시나리오비교'!$B$9))*COS(RADIANS('13_시나리오비교'!$C$9))+$I678*COS(RADIANS('13_시나리오비교'!$B$9))),0)</f>
        <v/>
      </c>
      <c r="U678" s="80">
        <f>IF($I678&gt;0,MAX(0,$G678*SIN(RADIANS('13_시나리오비교'!$B$10))*SIN(RADIANS('13_시나리오비교'!$C$10))+$H678*SIN(RADIANS('13_시나리오비교'!$B$10))*COS(RADIANS('13_시나리오비교'!$C$10))+$I678*COS(RADIANS('13_시나리오비교'!$B$10))),0)</f>
        <v/>
      </c>
      <c r="V678" s="80">
        <f>IF($I678&gt;0,MAX(0,$G678*SIN(RADIANS('13_시나리오비교'!$B$11))*SIN(RADIANS('13_시나리오비교'!$C$11))+$H678*SIN(RADIANS('13_시나리오비교'!$B$11))*COS(RADIANS('13_시나리오비교'!$C$11))+$I678*COS(RADIANS('13_시나리오비교'!$B$11))),0)</f>
        <v/>
      </c>
      <c r="W678" s="80">
        <f>IF($I678&gt;0,MAX(0,$G678*SIN(RADIANS('13_시나리오비교'!$B$12))*SIN(RADIANS('13_시나리오비교'!$C$12))+$H678*SIN(RADIANS('13_시나리오비교'!$B$12))*COS(RADIANS('13_시나리오비교'!$C$12))+$I678*COS(RADIANS('13_시나리오비교'!$B$12))),0)</f>
        <v/>
      </c>
      <c r="X678" s="80">
        <f>IF($I678&gt;0,MAX(0,$G678*SIN(RADIANS('13_시나리오비교'!$B$13))*SIN(RADIANS('13_시나리오비교'!$C$13))+$H678*SIN(RADIANS('13_시나리오비교'!$B$13))*COS(RADIANS('13_시나리오비교'!$C$13))+$I678*COS(RADIANS('13_시나리오비교'!$B$13))),0)</f>
        <v/>
      </c>
      <c r="Y678" s="80">
        <f>IF($I678&gt;0,MAX(0,$G678*SIN(RADIANS('13_시나리오비교'!$B$14))*SIN(RADIANS('13_시나리오비교'!$C$14))+$H678*SIN(RADIANS('13_시나리오비교'!$B$14))*COS(RADIANS('13_시나리오비교'!$C$14))+$I678*COS(RADIANS('13_시나리오비교'!$B$14))),0)</f>
        <v/>
      </c>
    </row>
    <row r="679" hidden="1" outlineLevel="1">
      <c r="A679" s="79" t="n">
        <v>7</v>
      </c>
      <c r="B679" s="79" t="n">
        <v>83</v>
      </c>
      <c r="C679" s="80">
        <f>(B679-0.5)*'14_지역·상수'!$H$6</f>
        <v/>
      </c>
      <c r="D679" s="79" t="n">
        <v>198</v>
      </c>
      <c r="E679" s="80">
        <f>INDEX($C$4:$C$15,MATCH(A679,$A$4:$A$15,0))</f>
        <v/>
      </c>
      <c r="F679" s="80">
        <f>15*(C679-12)</f>
        <v/>
      </c>
      <c r="G679" s="80">
        <f>-COS(RADIANS(E679))*SIN(RADIANS(F679))</f>
        <v/>
      </c>
      <c r="H679" s="80">
        <f>COS(RADIANS('11_발전량_모델'!$B$17))*SIN(RADIANS(E679))-SIN(RADIANS('11_발전량_모델'!$B$17))*COS(RADIANS(E679))*COS(RADIANS(F679))</f>
        <v/>
      </c>
      <c r="I679" s="80">
        <f>SIN(RADIANS('11_발전량_모델'!$B$17))*SIN(RADIANS(E679))+COS(RADIANS('11_발전량_모델'!$B$17))*COS(RADIANS(E679))*COS(RADIANS(F679))</f>
        <v/>
      </c>
      <c r="J679" s="80">
        <f>SIN(RADIANS('11_발전량_모델'!$B$7))*SIN(RADIANS('11_발전량_모델'!$B$8))</f>
        <v/>
      </c>
      <c r="K679" s="80">
        <f>SIN(RADIANS('11_발전량_모델'!$B$7))*COS(RADIANS('11_발전량_모델'!$B$8))</f>
        <v/>
      </c>
      <c r="L679" s="80">
        <f>COS(RADIANS('11_발전량_모델'!$B$7))</f>
        <v/>
      </c>
      <c r="M679" s="80">
        <f>G679*J679+H679*K679+I679*L679</f>
        <v/>
      </c>
      <c r="N679" s="80">
        <f>MAX(0,I679)</f>
        <v/>
      </c>
      <c r="O679" s="80">
        <f>IF(I679&gt;0,MAX(0,M679),0)</f>
        <v/>
      </c>
      <c r="P679" s="80">
        <f>IF($I679&gt;0,MAX(0,$G679*SIN(RADIANS('13_시나리오비교'!$B$5))*SIN(RADIANS('13_시나리오비교'!$C$5))+$H679*SIN(RADIANS('13_시나리오비교'!$B$5))*COS(RADIANS('13_시나리오비교'!$C$5))+$I679*COS(RADIANS('13_시나리오비교'!$B$5))),0)</f>
        <v/>
      </c>
      <c r="Q679" s="80">
        <f>IF($I679&gt;0,MAX(0,$G679*SIN(RADIANS('13_시나리오비교'!$B$6))*SIN(RADIANS('13_시나리오비교'!$C$6))+$H679*SIN(RADIANS('13_시나리오비교'!$B$6))*COS(RADIANS('13_시나리오비교'!$C$6))+$I679*COS(RADIANS('13_시나리오비교'!$B$6))),0)</f>
        <v/>
      </c>
      <c r="R679" s="80">
        <f>IF($I679&gt;0,MAX(0,$G679*SIN(RADIANS('13_시나리오비교'!$B$7))*SIN(RADIANS('13_시나리오비교'!$C$7))+$H679*SIN(RADIANS('13_시나리오비교'!$B$7))*COS(RADIANS('13_시나리오비교'!$C$7))+$I679*COS(RADIANS('13_시나리오비교'!$B$7))),0)</f>
        <v/>
      </c>
      <c r="S679" s="80">
        <f>IF($I679&gt;0,MAX(0,$G679*SIN(RADIANS('13_시나리오비교'!$B$8))*SIN(RADIANS('13_시나리오비교'!$C$8))+$H679*SIN(RADIANS('13_시나리오비교'!$B$8))*COS(RADIANS('13_시나리오비교'!$C$8))+$I679*COS(RADIANS('13_시나리오비교'!$B$8))),0)</f>
        <v/>
      </c>
      <c r="T679" s="80">
        <f>IF($I679&gt;0,MAX(0,$G679*SIN(RADIANS('13_시나리오비교'!$B$9))*SIN(RADIANS('13_시나리오비교'!$C$9))+$H679*SIN(RADIANS('13_시나리오비교'!$B$9))*COS(RADIANS('13_시나리오비교'!$C$9))+$I679*COS(RADIANS('13_시나리오비교'!$B$9))),0)</f>
        <v/>
      </c>
      <c r="U679" s="80">
        <f>IF($I679&gt;0,MAX(0,$G679*SIN(RADIANS('13_시나리오비교'!$B$10))*SIN(RADIANS('13_시나리오비교'!$C$10))+$H679*SIN(RADIANS('13_시나리오비교'!$B$10))*COS(RADIANS('13_시나리오비교'!$C$10))+$I679*COS(RADIANS('13_시나리오비교'!$B$10))),0)</f>
        <v/>
      </c>
      <c r="V679" s="80">
        <f>IF($I679&gt;0,MAX(0,$G679*SIN(RADIANS('13_시나리오비교'!$B$11))*SIN(RADIANS('13_시나리오비교'!$C$11))+$H679*SIN(RADIANS('13_시나리오비교'!$B$11))*COS(RADIANS('13_시나리오비교'!$C$11))+$I679*COS(RADIANS('13_시나리오비교'!$B$11))),0)</f>
        <v/>
      </c>
      <c r="W679" s="80">
        <f>IF($I679&gt;0,MAX(0,$G679*SIN(RADIANS('13_시나리오비교'!$B$12))*SIN(RADIANS('13_시나리오비교'!$C$12))+$H679*SIN(RADIANS('13_시나리오비교'!$B$12))*COS(RADIANS('13_시나리오비교'!$C$12))+$I679*COS(RADIANS('13_시나리오비교'!$B$12))),0)</f>
        <v/>
      </c>
      <c r="X679" s="80">
        <f>IF($I679&gt;0,MAX(0,$G679*SIN(RADIANS('13_시나리오비교'!$B$13))*SIN(RADIANS('13_시나리오비교'!$C$13))+$H679*SIN(RADIANS('13_시나리오비교'!$B$13))*COS(RADIANS('13_시나리오비교'!$C$13))+$I679*COS(RADIANS('13_시나리오비교'!$B$13))),0)</f>
        <v/>
      </c>
      <c r="Y679" s="80">
        <f>IF($I679&gt;0,MAX(0,$G679*SIN(RADIANS('13_시나리오비교'!$B$14))*SIN(RADIANS('13_시나리오비교'!$C$14))+$H679*SIN(RADIANS('13_시나리오비교'!$B$14))*COS(RADIANS('13_시나리오비교'!$C$14))+$I679*COS(RADIANS('13_시나리오비교'!$B$14))),0)</f>
        <v/>
      </c>
    </row>
    <row r="680" hidden="1" outlineLevel="1">
      <c r="A680" s="79" t="n">
        <v>7</v>
      </c>
      <c r="B680" s="79" t="n">
        <v>84</v>
      </c>
      <c r="C680" s="80">
        <f>(B680-0.5)*'14_지역·상수'!$H$6</f>
        <v/>
      </c>
      <c r="D680" s="79" t="n">
        <v>198</v>
      </c>
      <c r="E680" s="80">
        <f>INDEX($C$4:$C$15,MATCH(A680,$A$4:$A$15,0))</f>
        <v/>
      </c>
      <c r="F680" s="80">
        <f>15*(C680-12)</f>
        <v/>
      </c>
      <c r="G680" s="80">
        <f>-COS(RADIANS(E680))*SIN(RADIANS(F680))</f>
        <v/>
      </c>
      <c r="H680" s="80">
        <f>COS(RADIANS('11_발전량_모델'!$B$17))*SIN(RADIANS(E680))-SIN(RADIANS('11_발전량_모델'!$B$17))*COS(RADIANS(E680))*COS(RADIANS(F680))</f>
        <v/>
      </c>
      <c r="I680" s="80">
        <f>SIN(RADIANS('11_발전량_모델'!$B$17))*SIN(RADIANS(E680))+COS(RADIANS('11_발전량_모델'!$B$17))*COS(RADIANS(E680))*COS(RADIANS(F680))</f>
        <v/>
      </c>
      <c r="J680" s="80">
        <f>SIN(RADIANS('11_발전량_모델'!$B$7))*SIN(RADIANS('11_발전량_모델'!$B$8))</f>
        <v/>
      </c>
      <c r="K680" s="80">
        <f>SIN(RADIANS('11_발전량_모델'!$B$7))*COS(RADIANS('11_발전량_모델'!$B$8))</f>
        <v/>
      </c>
      <c r="L680" s="80">
        <f>COS(RADIANS('11_발전량_모델'!$B$7))</f>
        <v/>
      </c>
      <c r="M680" s="80">
        <f>G680*J680+H680*K680+I680*L680</f>
        <v/>
      </c>
      <c r="N680" s="80">
        <f>MAX(0,I680)</f>
        <v/>
      </c>
      <c r="O680" s="80">
        <f>IF(I680&gt;0,MAX(0,M680),0)</f>
        <v/>
      </c>
      <c r="P680" s="80">
        <f>IF($I680&gt;0,MAX(0,$G680*SIN(RADIANS('13_시나리오비교'!$B$5))*SIN(RADIANS('13_시나리오비교'!$C$5))+$H680*SIN(RADIANS('13_시나리오비교'!$B$5))*COS(RADIANS('13_시나리오비교'!$C$5))+$I680*COS(RADIANS('13_시나리오비교'!$B$5))),0)</f>
        <v/>
      </c>
      <c r="Q680" s="80">
        <f>IF($I680&gt;0,MAX(0,$G680*SIN(RADIANS('13_시나리오비교'!$B$6))*SIN(RADIANS('13_시나리오비교'!$C$6))+$H680*SIN(RADIANS('13_시나리오비교'!$B$6))*COS(RADIANS('13_시나리오비교'!$C$6))+$I680*COS(RADIANS('13_시나리오비교'!$B$6))),0)</f>
        <v/>
      </c>
      <c r="R680" s="80">
        <f>IF($I680&gt;0,MAX(0,$G680*SIN(RADIANS('13_시나리오비교'!$B$7))*SIN(RADIANS('13_시나리오비교'!$C$7))+$H680*SIN(RADIANS('13_시나리오비교'!$B$7))*COS(RADIANS('13_시나리오비교'!$C$7))+$I680*COS(RADIANS('13_시나리오비교'!$B$7))),0)</f>
        <v/>
      </c>
      <c r="S680" s="80">
        <f>IF($I680&gt;0,MAX(0,$G680*SIN(RADIANS('13_시나리오비교'!$B$8))*SIN(RADIANS('13_시나리오비교'!$C$8))+$H680*SIN(RADIANS('13_시나리오비교'!$B$8))*COS(RADIANS('13_시나리오비교'!$C$8))+$I680*COS(RADIANS('13_시나리오비교'!$B$8))),0)</f>
        <v/>
      </c>
      <c r="T680" s="80">
        <f>IF($I680&gt;0,MAX(0,$G680*SIN(RADIANS('13_시나리오비교'!$B$9))*SIN(RADIANS('13_시나리오비교'!$C$9))+$H680*SIN(RADIANS('13_시나리오비교'!$B$9))*COS(RADIANS('13_시나리오비교'!$C$9))+$I680*COS(RADIANS('13_시나리오비교'!$B$9))),0)</f>
        <v/>
      </c>
      <c r="U680" s="80">
        <f>IF($I680&gt;0,MAX(0,$G680*SIN(RADIANS('13_시나리오비교'!$B$10))*SIN(RADIANS('13_시나리오비교'!$C$10))+$H680*SIN(RADIANS('13_시나리오비교'!$B$10))*COS(RADIANS('13_시나리오비교'!$C$10))+$I680*COS(RADIANS('13_시나리오비교'!$B$10))),0)</f>
        <v/>
      </c>
      <c r="V680" s="80">
        <f>IF($I680&gt;0,MAX(0,$G680*SIN(RADIANS('13_시나리오비교'!$B$11))*SIN(RADIANS('13_시나리오비교'!$C$11))+$H680*SIN(RADIANS('13_시나리오비교'!$B$11))*COS(RADIANS('13_시나리오비교'!$C$11))+$I680*COS(RADIANS('13_시나리오비교'!$B$11))),0)</f>
        <v/>
      </c>
      <c r="W680" s="80">
        <f>IF($I680&gt;0,MAX(0,$G680*SIN(RADIANS('13_시나리오비교'!$B$12))*SIN(RADIANS('13_시나리오비교'!$C$12))+$H680*SIN(RADIANS('13_시나리오비교'!$B$12))*COS(RADIANS('13_시나리오비교'!$C$12))+$I680*COS(RADIANS('13_시나리오비교'!$B$12))),0)</f>
        <v/>
      </c>
      <c r="X680" s="80">
        <f>IF($I680&gt;0,MAX(0,$G680*SIN(RADIANS('13_시나리오비교'!$B$13))*SIN(RADIANS('13_시나리오비교'!$C$13))+$H680*SIN(RADIANS('13_시나리오비교'!$B$13))*COS(RADIANS('13_시나리오비교'!$C$13))+$I680*COS(RADIANS('13_시나리오비교'!$B$13))),0)</f>
        <v/>
      </c>
      <c r="Y680" s="80">
        <f>IF($I680&gt;0,MAX(0,$G680*SIN(RADIANS('13_시나리오비교'!$B$14))*SIN(RADIANS('13_시나리오비교'!$C$14))+$H680*SIN(RADIANS('13_시나리오비교'!$B$14))*COS(RADIANS('13_시나리오비교'!$C$14))+$I680*COS(RADIANS('13_시나리오비교'!$B$14))),0)</f>
        <v/>
      </c>
    </row>
    <row r="681" hidden="1" outlineLevel="1">
      <c r="A681" s="79" t="n">
        <v>7</v>
      </c>
      <c r="B681" s="79" t="n">
        <v>85</v>
      </c>
      <c r="C681" s="80">
        <f>(B681-0.5)*'14_지역·상수'!$H$6</f>
        <v/>
      </c>
      <c r="D681" s="79" t="n">
        <v>198</v>
      </c>
      <c r="E681" s="80">
        <f>INDEX($C$4:$C$15,MATCH(A681,$A$4:$A$15,0))</f>
        <v/>
      </c>
      <c r="F681" s="80">
        <f>15*(C681-12)</f>
        <v/>
      </c>
      <c r="G681" s="80">
        <f>-COS(RADIANS(E681))*SIN(RADIANS(F681))</f>
        <v/>
      </c>
      <c r="H681" s="80">
        <f>COS(RADIANS('11_발전량_모델'!$B$17))*SIN(RADIANS(E681))-SIN(RADIANS('11_발전량_모델'!$B$17))*COS(RADIANS(E681))*COS(RADIANS(F681))</f>
        <v/>
      </c>
      <c r="I681" s="80">
        <f>SIN(RADIANS('11_발전량_모델'!$B$17))*SIN(RADIANS(E681))+COS(RADIANS('11_발전량_모델'!$B$17))*COS(RADIANS(E681))*COS(RADIANS(F681))</f>
        <v/>
      </c>
      <c r="J681" s="80">
        <f>SIN(RADIANS('11_발전량_모델'!$B$7))*SIN(RADIANS('11_발전량_모델'!$B$8))</f>
        <v/>
      </c>
      <c r="K681" s="80">
        <f>SIN(RADIANS('11_발전량_모델'!$B$7))*COS(RADIANS('11_발전량_모델'!$B$8))</f>
        <v/>
      </c>
      <c r="L681" s="80">
        <f>COS(RADIANS('11_발전량_모델'!$B$7))</f>
        <v/>
      </c>
      <c r="M681" s="80">
        <f>G681*J681+H681*K681+I681*L681</f>
        <v/>
      </c>
      <c r="N681" s="80">
        <f>MAX(0,I681)</f>
        <v/>
      </c>
      <c r="O681" s="80">
        <f>IF(I681&gt;0,MAX(0,M681),0)</f>
        <v/>
      </c>
      <c r="P681" s="80">
        <f>IF($I681&gt;0,MAX(0,$G681*SIN(RADIANS('13_시나리오비교'!$B$5))*SIN(RADIANS('13_시나리오비교'!$C$5))+$H681*SIN(RADIANS('13_시나리오비교'!$B$5))*COS(RADIANS('13_시나리오비교'!$C$5))+$I681*COS(RADIANS('13_시나리오비교'!$B$5))),0)</f>
        <v/>
      </c>
      <c r="Q681" s="80">
        <f>IF($I681&gt;0,MAX(0,$G681*SIN(RADIANS('13_시나리오비교'!$B$6))*SIN(RADIANS('13_시나리오비교'!$C$6))+$H681*SIN(RADIANS('13_시나리오비교'!$B$6))*COS(RADIANS('13_시나리오비교'!$C$6))+$I681*COS(RADIANS('13_시나리오비교'!$B$6))),0)</f>
        <v/>
      </c>
      <c r="R681" s="80">
        <f>IF($I681&gt;0,MAX(0,$G681*SIN(RADIANS('13_시나리오비교'!$B$7))*SIN(RADIANS('13_시나리오비교'!$C$7))+$H681*SIN(RADIANS('13_시나리오비교'!$B$7))*COS(RADIANS('13_시나리오비교'!$C$7))+$I681*COS(RADIANS('13_시나리오비교'!$B$7))),0)</f>
        <v/>
      </c>
      <c r="S681" s="80">
        <f>IF($I681&gt;0,MAX(0,$G681*SIN(RADIANS('13_시나리오비교'!$B$8))*SIN(RADIANS('13_시나리오비교'!$C$8))+$H681*SIN(RADIANS('13_시나리오비교'!$B$8))*COS(RADIANS('13_시나리오비교'!$C$8))+$I681*COS(RADIANS('13_시나리오비교'!$B$8))),0)</f>
        <v/>
      </c>
      <c r="T681" s="80">
        <f>IF($I681&gt;0,MAX(0,$G681*SIN(RADIANS('13_시나리오비교'!$B$9))*SIN(RADIANS('13_시나리오비교'!$C$9))+$H681*SIN(RADIANS('13_시나리오비교'!$B$9))*COS(RADIANS('13_시나리오비교'!$C$9))+$I681*COS(RADIANS('13_시나리오비교'!$B$9))),0)</f>
        <v/>
      </c>
      <c r="U681" s="80">
        <f>IF($I681&gt;0,MAX(0,$G681*SIN(RADIANS('13_시나리오비교'!$B$10))*SIN(RADIANS('13_시나리오비교'!$C$10))+$H681*SIN(RADIANS('13_시나리오비교'!$B$10))*COS(RADIANS('13_시나리오비교'!$C$10))+$I681*COS(RADIANS('13_시나리오비교'!$B$10))),0)</f>
        <v/>
      </c>
      <c r="V681" s="80">
        <f>IF($I681&gt;0,MAX(0,$G681*SIN(RADIANS('13_시나리오비교'!$B$11))*SIN(RADIANS('13_시나리오비교'!$C$11))+$H681*SIN(RADIANS('13_시나리오비교'!$B$11))*COS(RADIANS('13_시나리오비교'!$C$11))+$I681*COS(RADIANS('13_시나리오비교'!$B$11))),0)</f>
        <v/>
      </c>
      <c r="W681" s="80">
        <f>IF($I681&gt;0,MAX(0,$G681*SIN(RADIANS('13_시나리오비교'!$B$12))*SIN(RADIANS('13_시나리오비교'!$C$12))+$H681*SIN(RADIANS('13_시나리오비교'!$B$12))*COS(RADIANS('13_시나리오비교'!$C$12))+$I681*COS(RADIANS('13_시나리오비교'!$B$12))),0)</f>
        <v/>
      </c>
      <c r="X681" s="80">
        <f>IF($I681&gt;0,MAX(0,$G681*SIN(RADIANS('13_시나리오비교'!$B$13))*SIN(RADIANS('13_시나리오비교'!$C$13))+$H681*SIN(RADIANS('13_시나리오비교'!$B$13))*COS(RADIANS('13_시나리오비교'!$C$13))+$I681*COS(RADIANS('13_시나리오비교'!$B$13))),0)</f>
        <v/>
      </c>
      <c r="Y681" s="80">
        <f>IF($I681&gt;0,MAX(0,$G681*SIN(RADIANS('13_시나리오비교'!$B$14))*SIN(RADIANS('13_시나리오비교'!$C$14))+$H681*SIN(RADIANS('13_시나리오비교'!$B$14))*COS(RADIANS('13_시나리오비교'!$C$14))+$I681*COS(RADIANS('13_시나리오비교'!$B$14))),0)</f>
        <v/>
      </c>
    </row>
    <row r="682" hidden="1" outlineLevel="1">
      <c r="A682" s="79" t="n">
        <v>7</v>
      </c>
      <c r="B682" s="79" t="n">
        <v>86</v>
      </c>
      <c r="C682" s="80">
        <f>(B682-0.5)*'14_지역·상수'!$H$6</f>
        <v/>
      </c>
      <c r="D682" s="79" t="n">
        <v>198</v>
      </c>
      <c r="E682" s="80">
        <f>INDEX($C$4:$C$15,MATCH(A682,$A$4:$A$15,0))</f>
        <v/>
      </c>
      <c r="F682" s="80">
        <f>15*(C682-12)</f>
        <v/>
      </c>
      <c r="G682" s="80">
        <f>-COS(RADIANS(E682))*SIN(RADIANS(F682))</f>
        <v/>
      </c>
      <c r="H682" s="80">
        <f>COS(RADIANS('11_발전량_모델'!$B$17))*SIN(RADIANS(E682))-SIN(RADIANS('11_발전량_모델'!$B$17))*COS(RADIANS(E682))*COS(RADIANS(F682))</f>
        <v/>
      </c>
      <c r="I682" s="80">
        <f>SIN(RADIANS('11_발전량_모델'!$B$17))*SIN(RADIANS(E682))+COS(RADIANS('11_발전량_모델'!$B$17))*COS(RADIANS(E682))*COS(RADIANS(F682))</f>
        <v/>
      </c>
      <c r="J682" s="80">
        <f>SIN(RADIANS('11_발전량_모델'!$B$7))*SIN(RADIANS('11_발전량_모델'!$B$8))</f>
        <v/>
      </c>
      <c r="K682" s="80">
        <f>SIN(RADIANS('11_발전량_모델'!$B$7))*COS(RADIANS('11_발전량_모델'!$B$8))</f>
        <v/>
      </c>
      <c r="L682" s="80">
        <f>COS(RADIANS('11_발전량_모델'!$B$7))</f>
        <v/>
      </c>
      <c r="M682" s="80">
        <f>G682*J682+H682*K682+I682*L682</f>
        <v/>
      </c>
      <c r="N682" s="80">
        <f>MAX(0,I682)</f>
        <v/>
      </c>
      <c r="O682" s="80">
        <f>IF(I682&gt;0,MAX(0,M682),0)</f>
        <v/>
      </c>
      <c r="P682" s="80">
        <f>IF($I682&gt;0,MAX(0,$G682*SIN(RADIANS('13_시나리오비교'!$B$5))*SIN(RADIANS('13_시나리오비교'!$C$5))+$H682*SIN(RADIANS('13_시나리오비교'!$B$5))*COS(RADIANS('13_시나리오비교'!$C$5))+$I682*COS(RADIANS('13_시나리오비교'!$B$5))),0)</f>
        <v/>
      </c>
      <c r="Q682" s="80">
        <f>IF($I682&gt;0,MAX(0,$G682*SIN(RADIANS('13_시나리오비교'!$B$6))*SIN(RADIANS('13_시나리오비교'!$C$6))+$H682*SIN(RADIANS('13_시나리오비교'!$B$6))*COS(RADIANS('13_시나리오비교'!$C$6))+$I682*COS(RADIANS('13_시나리오비교'!$B$6))),0)</f>
        <v/>
      </c>
      <c r="R682" s="80">
        <f>IF($I682&gt;0,MAX(0,$G682*SIN(RADIANS('13_시나리오비교'!$B$7))*SIN(RADIANS('13_시나리오비교'!$C$7))+$H682*SIN(RADIANS('13_시나리오비교'!$B$7))*COS(RADIANS('13_시나리오비교'!$C$7))+$I682*COS(RADIANS('13_시나리오비교'!$B$7))),0)</f>
        <v/>
      </c>
      <c r="S682" s="80">
        <f>IF($I682&gt;0,MAX(0,$G682*SIN(RADIANS('13_시나리오비교'!$B$8))*SIN(RADIANS('13_시나리오비교'!$C$8))+$H682*SIN(RADIANS('13_시나리오비교'!$B$8))*COS(RADIANS('13_시나리오비교'!$C$8))+$I682*COS(RADIANS('13_시나리오비교'!$B$8))),0)</f>
        <v/>
      </c>
      <c r="T682" s="80">
        <f>IF($I682&gt;0,MAX(0,$G682*SIN(RADIANS('13_시나리오비교'!$B$9))*SIN(RADIANS('13_시나리오비교'!$C$9))+$H682*SIN(RADIANS('13_시나리오비교'!$B$9))*COS(RADIANS('13_시나리오비교'!$C$9))+$I682*COS(RADIANS('13_시나리오비교'!$B$9))),0)</f>
        <v/>
      </c>
      <c r="U682" s="80">
        <f>IF($I682&gt;0,MAX(0,$G682*SIN(RADIANS('13_시나리오비교'!$B$10))*SIN(RADIANS('13_시나리오비교'!$C$10))+$H682*SIN(RADIANS('13_시나리오비교'!$B$10))*COS(RADIANS('13_시나리오비교'!$C$10))+$I682*COS(RADIANS('13_시나리오비교'!$B$10))),0)</f>
        <v/>
      </c>
      <c r="V682" s="80">
        <f>IF($I682&gt;0,MAX(0,$G682*SIN(RADIANS('13_시나리오비교'!$B$11))*SIN(RADIANS('13_시나리오비교'!$C$11))+$H682*SIN(RADIANS('13_시나리오비교'!$B$11))*COS(RADIANS('13_시나리오비교'!$C$11))+$I682*COS(RADIANS('13_시나리오비교'!$B$11))),0)</f>
        <v/>
      </c>
      <c r="W682" s="80">
        <f>IF($I682&gt;0,MAX(0,$G682*SIN(RADIANS('13_시나리오비교'!$B$12))*SIN(RADIANS('13_시나리오비교'!$C$12))+$H682*SIN(RADIANS('13_시나리오비교'!$B$12))*COS(RADIANS('13_시나리오비교'!$C$12))+$I682*COS(RADIANS('13_시나리오비교'!$B$12))),0)</f>
        <v/>
      </c>
      <c r="X682" s="80">
        <f>IF($I682&gt;0,MAX(0,$G682*SIN(RADIANS('13_시나리오비교'!$B$13))*SIN(RADIANS('13_시나리오비교'!$C$13))+$H682*SIN(RADIANS('13_시나리오비교'!$B$13))*COS(RADIANS('13_시나리오비교'!$C$13))+$I682*COS(RADIANS('13_시나리오비교'!$B$13))),0)</f>
        <v/>
      </c>
      <c r="Y682" s="80">
        <f>IF($I682&gt;0,MAX(0,$G682*SIN(RADIANS('13_시나리오비교'!$B$14))*SIN(RADIANS('13_시나리오비교'!$C$14))+$H682*SIN(RADIANS('13_시나리오비교'!$B$14))*COS(RADIANS('13_시나리오비교'!$C$14))+$I682*COS(RADIANS('13_시나리오비교'!$B$14))),0)</f>
        <v/>
      </c>
    </row>
    <row r="683" hidden="1" outlineLevel="1">
      <c r="A683" s="79" t="n">
        <v>7</v>
      </c>
      <c r="B683" s="79" t="n">
        <v>87</v>
      </c>
      <c r="C683" s="80">
        <f>(B683-0.5)*'14_지역·상수'!$H$6</f>
        <v/>
      </c>
      <c r="D683" s="79" t="n">
        <v>198</v>
      </c>
      <c r="E683" s="80">
        <f>INDEX($C$4:$C$15,MATCH(A683,$A$4:$A$15,0))</f>
        <v/>
      </c>
      <c r="F683" s="80">
        <f>15*(C683-12)</f>
        <v/>
      </c>
      <c r="G683" s="80">
        <f>-COS(RADIANS(E683))*SIN(RADIANS(F683))</f>
        <v/>
      </c>
      <c r="H683" s="80">
        <f>COS(RADIANS('11_발전량_모델'!$B$17))*SIN(RADIANS(E683))-SIN(RADIANS('11_발전량_모델'!$B$17))*COS(RADIANS(E683))*COS(RADIANS(F683))</f>
        <v/>
      </c>
      <c r="I683" s="80">
        <f>SIN(RADIANS('11_발전량_모델'!$B$17))*SIN(RADIANS(E683))+COS(RADIANS('11_발전량_모델'!$B$17))*COS(RADIANS(E683))*COS(RADIANS(F683))</f>
        <v/>
      </c>
      <c r="J683" s="80">
        <f>SIN(RADIANS('11_발전량_모델'!$B$7))*SIN(RADIANS('11_발전량_모델'!$B$8))</f>
        <v/>
      </c>
      <c r="K683" s="80">
        <f>SIN(RADIANS('11_발전량_모델'!$B$7))*COS(RADIANS('11_발전량_모델'!$B$8))</f>
        <v/>
      </c>
      <c r="L683" s="80">
        <f>COS(RADIANS('11_발전량_모델'!$B$7))</f>
        <v/>
      </c>
      <c r="M683" s="80">
        <f>G683*J683+H683*K683+I683*L683</f>
        <v/>
      </c>
      <c r="N683" s="80">
        <f>MAX(0,I683)</f>
        <v/>
      </c>
      <c r="O683" s="80">
        <f>IF(I683&gt;0,MAX(0,M683),0)</f>
        <v/>
      </c>
      <c r="P683" s="80">
        <f>IF($I683&gt;0,MAX(0,$G683*SIN(RADIANS('13_시나리오비교'!$B$5))*SIN(RADIANS('13_시나리오비교'!$C$5))+$H683*SIN(RADIANS('13_시나리오비교'!$B$5))*COS(RADIANS('13_시나리오비교'!$C$5))+$I683*COS(RADIANS('13_시나리오비교'!$B$5))),0)</f>
        <v/>
      </c>
      <c r="Q683" s="80">
        <f>IF($I683&gt;0,MAX(0,$G683*SIN(RADIANS('13_시나리오비교'!$B$6))*SIN(RADIANS('13_시나리오비교'!$C$6))+$H683*SIN(RADIANS('13_시나리오비교'!$B$6))*COS(RADIANS('13_시나리오비교'!$C$6))+$I683*COS(RADIANS('13_시나리오비교'!$B$6))),0)</f>
        <v/>
      </c>
      <c r="R683" s="80">
        <f>IF($I683&gt;0,MAX(0,$G683*SIN(RADIANS('13_시나리오비교'!$B$7))*SIN(RADIANS('13_시나리오비교'!$C$7))+$H683*SIN(RADIANS('13_시나리오비교'!$B$7))*COS(RADIANS('13_시나리오비교'!$C$7))+$I683*COS(RADIANS('13_시나리오비교'!$B$7))),0)</f>
        <v/>
      </c>
      <c r="S683" s="80">
        <f>IF($I683&gt;0,MAX(0,$G683*SIN(RADIANS('13_시나리오비교'!$B$8))*SIN(RADIANS('13_시나리오비교'!$C$8))+$H683*SIN(RADIANS('13_시나리오비교'!$B$8))*COS(RADIANS('13_시나리오비교'!$C$8))+$I683*COS(RADIANS('13_시나리오비교'!$B$8))),0)</f>
        <v/>
      </c>
      <c r="T683" s="80">
        <f>IF($I683&gt;0,MAX(0,$G683*SIN(RADIANS('13_시나리오비교'!$B$9))*SIN(RADIANS('13_시나리오비교'!$C$9))+$H683*SIN(RADIANS('13_시나리오비교'!$B$9))*COS(RADIANS('13_시나리오비교'!$C$9))+$I683*COS(RADIANS('13_시나리오비교'!$B$9))),0)</f>
        <v/>
      </c>
      <c r="U683" s="80">
        <f>IF($I683&gt;0,MAX(0,$G683*SIN(RADIANS('13_시나리오비교'!$B$10))*SIN(RADIANS('13_시나리오비교'!$C$10))+$H683*SIN(RADIANS('13_시나리오비교'!$B$10))*COS(RADIANS('13_시나리오비교'!$C$10))+$I683*COS(RADIANS('13_시나리오비교'!$B$10))),0)</f>
        <v/>
      </c>
      <c r="V683" s="80">
        <f>IF($I683&gt;0,MAX(0,$G683*SIN(RADIANS('13_시나리오비교'!$B$11))*SIN(RADIANS('13_시나리오비교'!$C$11))+$H683*SIN(RADIANS('13_시나리오비교'!$B$11))*COS(RADIANS('13_시나리오비교'!$C$11))+$I683*COS(RADIANS('13_시나리오비교'!$B$11))),0)</f>
        <v/>
      </c>
      <c r="W683" s="80">
        <f>IF($I683&gt;0,MAX(0,$G683*SIN(RADIANS('13_시나리오비교'!$B$12))*SIN(RADIANS('13_시나리오비교'!$C$12))+$H683*SIN(RADIANS('13_시나리오비교'!$B$12))*COS(RADIANS('13_시나리오비교'!$C$12))+$I683*COS(RADIANS('13_시나리오비교'!$B$12))),0)</f>
        <v/>
      </c>
      <c r="X683" s="80">
        <f>IF($I683&gt;0,MAX(0,$G683*SIN(RADIANS('13_시나리오비교'!$B$13))*SIN(RADIANS('13_시나리오비교'!$C$13))+$H683*SIN(RADIANS('13_시나리오비교'!$B$13))*COS(RADIANS('13_시나리오비교'!$C$13))+$I683*COS(RADIANS('13_시나리오비교'!$B$13))),0)</f>
        <v/>
      </c>
      <c r="Y683" s="80">
        <f>IF($I683&gt;0,MAX(0,$G683*SIN(RADIANS('13_시나리오비교'!$B$14))*SIN(RADIANS('13_시나리오비교'!$C$14))+$H683*SIN(RADIANS('13_시나리오비교'!$B$14))*COS(RADIANS('13_시나리오비교'!$C$14))+$I683*COS(RADIANS('13_시나리오비교'!$B$14))),0)</f>
        <v/>
      </c>
    </row>
    <row r="684" hidden="1" outlineLevel="1">
      <c r="A684" s="79" t="n">
        <v>7</v>
      </c>
      <c r="B684" s="79" t="n">
        <v>88</v>
      </c>
      <c r="C684" s="80">
        <f>(B684-0.5)*'14_지역·상수'!$H$6</f>
        <v/>
      </c>
      <c r="D684" s="79" t="n">
        <v>198</v>
      </c>
      <c r="E684" s="80">
        <f>INDEX($C$4:$C$15,MATCH(A684,$A$4:$A$15,0))</f>
        <v/>
      </c>
      <c r="F684" s="80">
        <f>15*(C684-12)</f>
        <v/>
      </c>
      <c r="G684" s="80">
        <f>-COS(RADIANS(E684))*SIN(RADIANS(F684))</f>
        <v/>
      </c>
      <c r="H684" s="80">
        <f>COS(RADIANS('11_발전량_모델'!$B$17))*SIN(RADIANS(E684))-SIN(RADIANS('11_발전량_모델'!$B$17))*COS(RADIANS(E684))*COS(RADIANS(F684))</f>
        <v/>
      </c>
      <c r="I684" s="80">
        <f>SIN(RADIANS('11_발전량_모델'!$B$17))*SIN(RADIANS(E684))+COS(RADIANS('11_발전량_모델'!$B$17))*COS(RADIANS(E684))*COS(RADIANS(F684))</f>
        <v/>
      </c>
      <c r="J684" s="80">
        <f>SIN(RADIANS('11_발전량_모델'!$B$7))*SIN(RADIANS('11_발전량_모델'!$B$8))</f>
        <v/>
      </c>
      <c r="K684" s="80">
        <f>SIN(RADIANS('11_발전량_모델'!$B$7))*COS(RADIANS('11_발전량_모델'!$B$8))</f>
        <v/>
      </c>
      <c r="L684" s="80">
        <f>COS(RADIANS('11_발전량_모델'!$B$7))</f>
        <v/>
      </c>
      <c r="M684" s="80">
        <f>G684*J684+H684*K684+I684*L684</f>
        <v/>
      </c>
      <c r="N684" s="80">
        <f>MAX(0,I684)</f>
        <v/>
      </c>
      <c r="O684" s="80">
        <f>IF(I684&gt;0,MAX(0,M684),0)</f>
        <v/>
      </c>
      <c r="P684" s="80">
        <f>IF($I684&gt;0,MAX(0,$G684*SIN(RADIANS('13_시나리오비교'!$B$5))*SIN(RADIANS('13_시나리오비교'!$C$5))+$H684*SIN(RADIANS('13_시나리오비교'!$B$5))*COS(RADIANS('13_시나리오비교'!$C$5))+$I684*COS(RADIANS('13_시나리오비교'!$B$5))),0)</f>
        <v/>
      </c>
      <c r="Q684" s="80">
        <f>IF($I684&gt;0,MAX(0,$G684*SIN(RADIANS('13_시나리오비교'!$B$6))*SIN(RADIANS('13_시나리오비교'!$C$6))+$H684*SIN(RADIANS('13_시나리오비교'!$B$6))*COS(RADIANS('13_시나리오비교'!$C$6))+$I684*COS(RADIANS('13_시나리오비교'!$B$6))),0)</f>
        <v/>
      </c>
      <c r="R684" s="80">
        <f>IF($I684&gt;0,MAX(0,$G684*SIN(RADIANS('13_시나리오비교'!$B$7))*SIN(RADIANS('13_시나리오비교'!$C$7))+$H684*SIN(RADIANS('13_시나리오비교'!$B$7))*COS(RADIANS('13_시나리오비교'!$C$7))+$I684*COS(RADIANS('13_시나리오비교'!$B$7))),0)</f>
        <v/>
      </c>
      <c r="S684" s="80">
        <f>IF($I684&gt;0,MAX(0,$G684*SIN(RADIANS('13_시나리오비교'!$B$8))*SIN(RADIANS('13_시나리오비교'!$C$8))+$H684*SIN(RADIANS('13_시나리오비교'!$B$8))*COS(RADIANS('13_시나리오비교'!$C$8))+$I684*COS(RADIANS('13_시나리오비교'!$B$8))),0)</f>
        <v/>
      </c>
      <c r="T684" s="80">
        <f>IF($I684&gt;0,MAX(0,$G684*SIN(RADIANS('13_시나리오비교'!$B$9))*SIN(RADIANS('13_시나리오비교'!$C$9))+$H684*SIN(RADIANS('13_시나리오비교'!$B$9))*COS(RADIANS('13_시나리오비교'!$C$9))+$I684*COS(RADIANS('13_시나리오비교'!$B$9))),0)</f>
        <v/>
      </c>
      <c r="U684" s="80">
        <f>IF($I684&gt;0,MAX(0,$G684*SIN(RADIANS('13_시나리오비교'!$B$10))*SIN(RADIANS('13_시나리오비교'!$C$10))+$H684*SIN(RADIANS('13_시나리오비교'!$B$10))*COS(RADIANS('13_시나리오비교'!$C$10))+$I684*COS(RADIANS('13_시나리오비교'!$B$10))),0)</f>
        <v/>
      </c>
      <c r="V684" s="80">
        <f>IF($I684&gt;0,MAX(0,$G684*SIN(RADIANS('13_시나리오비교'!$B$11))*SIN(RADIANS('13_시나리오비교'!$C$11))+$H684*SIN(RADIANS('13_시나리오비교'!$B$11))*COS(RADIANS('13_시나리오비교'!$C$11))+$I684*COS(RADIANS('13_시나리오비교'!$B$11))),0)</f>
        <v/>
      </c>
      <c r="W684" s="80">
        <f>IF($I684&gt;0,MAX(0,$G684*SIN(RADIANS('13_시나리오비교'!$B$12))*SIN(RADIANS('13_시나리오비교'!$C$12))+$H684*SIN(RADIANS('13_시나리오비교'!$B$12))*COS(RADIANS('13_시나리오비교'!$C$12))+$I684*COS(RADIANS('13_시나리오비교'!$B$12))),0)</f>
        <v/>
      </c>
      <c r="X684" s="80">
        <f>IF($I684&gt;0,MAX(0,$G684*SIN(RADIANS('13_시나리오비교'!$B$13))*SIN(RADIANS('13_시나리오비교'!$C$13))+$H684*SIN(RADIANS('13_시나리오비교'!$B$13))*COS(RADIANS('13_시나리오비교'!$C$13))+$I684*COS(RADIANS('13_시나리오비교'!$B$13))),0)</f>
        <v/>
      </c>
      <c r="Y684" s="80">
        <f>IF($I684&gt;0,MAX(0,$G684*SIN(RADIANS('13_시나리오비교'!$B$14))*SIN(RADIANS('13_시나리오비교'!$C$14))+$H684*SIN(RADIANS('13_시나리오비교'!$B$14))*COS(RADIANS('13_시나리오비교'!$C$14))+$I684*COS(RADIANS('13_시나리오비교'!$B$14))),0)</f>
        <v/>
      </c>
    </row>
    <row r="685" hidden="1" outlineLevel="1">
      <c r="A685" s="79" t="n">
        <v>7</v>
      </c>
      <c r="B685" s="79" t="n">
        <v>89</v>
      </c>
      <c r="C685" s="80">
        <f>(B685-0.5)*'14_지역·상수'!$H$6</f>
        <v/>
      </c>
      <c r="D685" s="79" t="n">
        <v>198</v>
      </c>
      <c r="E685" s="80">
        <f>INDEX($C$4:$C$15,MATCH(A685,$A$4:$A$15,0))</f>
        <v/>
      </c>
      <c r="F685" s="80">
        <f>15*(C685-12)</f>
        <v/>
      </c>
      <c r="G685" s="80">
        <f>-COS(RADIANS(E685))*SIN(RADIANS(F685))</f>
        <v/>
      </c>
      <c r="H685" s="80">
        <f>COS(RADIANS('11_발전량_모델'!$B$17))*SIN(RADIANS(E685))-SIN(RADIANS('11_발전량_모델'!$B$17))*COS(RADIANS(E685))*COS(RADIANS(F685))</f>
        <v/>
      </c>
      <c r="I685" s="80">
        <f>SIN(RADIANS('11_발전량_모델'!$B$17))*SIN(RADIANS(E685))+COS(RADIANS('11_발전량_모델'!$B$17))*COS(RADIANS(E685))*COS(RADIANS(F685))</f>
        <v/>
      </c>
      <c r="J685" s="80">
        <f>SIN(RADIANS('11_발전량_모델'!$B$7))*SIN(RADIANS('11_발전량_모델'!$B$8))</f>
        <v/>
      </c>
      <c r="K685" s="80">
        <f>SIN(RADIANS('11_발전량_모델'!$B$7))*COS(RADIANS('11_발전량_모델'!$B$8))</f>
        <v/>
      </c>
      <c r="L685" s="80">
        <f>COS(RADIANS('11_발전량_모델'!$B$7))</f>
        <v/>
      </c>
      <c r="M685" s="80">
        <f>G685*J685+H685*K685+I685*L685</f>
        <v/>
      </c>
      <c r="N685" s="80">
        <f>MAX(0,I685)</f>
        <v/>
      </c>
      <c r="O685" s="80">
        <f>IF(I685&gt;0,MAX(0,M685),0)</f>
        <v/>
      </c>
      <c r="P685" s="80">
        <f>IF($I685&gt;0,MAX(0,$G685*SIN(RADIANS('13_시나리오비교'!$B$5))*SIN(RADIANS('13_시나리오비교'!$C$5))+$H685*SIN(RADIANS('13_시나리오비교'!$B$5))*COS(RADIANS('13_시나리오비교'!$C$5))+$I685*COS(RADIANS('13_시나리오비교'!$B$5))),0)</f>
        <v/>
      </c>
      <c r="Q685" s="80">
        <f>IF($I685&gt;0,MAX(0,$G685*SIN(RADIANS('13_시나리오비교'!$B$6))*SIN(RADIANS('13_시나리오비교'!$C$6))+$H685*SIN(RADIANS('13_시나리오비교'!$B$6))*COS(RADIANS('13_시나리오비교'!$C$6))+$I685*COS(RADIANS('13_시나리오비교'!$B$6))),0)</f>
        <v/>
      </c>
      <c r="R685" s="80">
        <f>IF($I685&gt;0,MAX(0,$G685*SIN(RADIANS('13_시나리오비교'!$B$7))*SIN(RADIANS('13_시나리오비교'!$C$7))+$H685*SIN(RADIANS('13_시나리오비교'!$B$7))*COS(RADIANS('13_시나리오비교'!$C$7))+$I685*COS(RADIANS('13_시나리오비교'!$B$7))),0)</f>
        <v/>
      </c>
      <c r="S685" s="80">
        <f>IF($I685&gt;0,MAX(0,$G685*SIN(RADIANS('13_시나리오비교'!$B$8))*SIN(RADIANS('13_시나리오비교'!$C$8))+$H685*SIN(RADIANS('13_시나리오비교'!$B$8))*COS(RADIANS('13_시나리오비교'!$C$8))+$I685*COS(RADIANS('13_시나리오비교'!$B$8))),0)</f>
        <v/>
      </c>
      <c r="T685" s="80">
        <f>IF($I685&gt;0,MAX(0,$G685*SIN(RADIANS('13_시나리오비교'!$B$9))*SIN(RADIANS('13_시나리오비교'!$C$9))+$H685*SIN(RADIANS('13_시나리오비교'!$B$9))*COS(RADIANS('13_시나리오비교'!$C$9))+$I685*COS(RADIANS('13_시나리오비교'!$B$9))),0)</f>
        <v/>
      </c>
      <c r="U685" s="80">
        <f>IF($I685&gt;0,MAX(0,$G685*SIN(RADIANS('13_시나리오비교'!$B$10))*SIN(RADIANS('13_시나리오비교'!$C$10))+$H685*SIN(RADIANS('13_시나리오비교'!$B$10))*COS(RADIANS('13_시나리오비교'!$C$10))+$I685*COS(RADIANS('13_시나리오비교'!$B$10))),0)</f>
        <v/>
      </c>
      <c r="V685" s="80">
        <f>IF($I685&gt;0,MAX(0,$G685*SIN(RADIANS('13_시나리오비교'!$B$11))*SIN(RADIANS('13_시나리오비교'!$C$11))+$H685*SIN(RADIANS('13_시나리오비교'!$B$11))*COS(RADIANS('13_시나리오비교'!$C$11))+$I685*COS(RADIANS('13_시나리오비교'!$B$11))),0)</f>
        <v/>
      </c>
      <c r="W685" s="80">
        <f>IF($I685&gt;0,MAX(0,$G685*SIN(RADIANS('13_시나리오비교'!$B$12))*SIN(RADIANS('13_시나리오비교'!$C$12))+$H685*SIN(RADIANS('13_시나리오비교'!$B$12))*COS(RADIANS('13_시나리오비교'!$C$12))+$I685*COS(RADIANS('13_시나리오비교'!$B$12))),0)</f>
        <v/>
      </c>
      <c r="X685" s="80">
        <f>IF($I685&gt;0,MAX(0,$G685*SIN(RADIANS('13_시나리오비교'!$B$13))*SIN(RADIANS('13_시나리오비교'!$C$13))+$H685*SIN(RADIANS('13_시나리오비교'!$B$13))*COS(RADIANS('13_시나리오비교'!$C$13))+$I685*COS(RADIANS('13_시나리오비교'!$B$13))),0)</f>
        <v/>
      </c>
      <c r="Y685" s="80">
        <f>IF($I685&gt;0,MAX(0,$G685*SIN(RADIANS('13_시나리오비교'!$B$14))*SIN(RADIANS('13_시나리오비교'!$C$14))+$H685*SIN(RADIANS('13_시나리오비교'!$B$14))*COS(RADIANS('13_시나리오비교'!$C$14))+$I685*COS(RADIANS('13_시나리오비교'!$B$14))),0)</f>
        <v/>
      </c>
    </row>
    <row r="686" hidden="1" outlineLevel="1">
      <c r="A686" s="79" t="n">
        <v>7</v>
      </c>
      <c r="B686" s="79" t="n">
        <v>90</v>
      </c>
      <c r="C686" s="80">
        <f>(B686-0.5)*'14_지역·상수'!$H$6</f>
        <v/>
      </c>
      <c r="D686" s="79" t="n">
        <v>198</v>
      </c>
      <c r="E686" s="80">
        <f>INDEX($C$4:$C$15,MATCH(A686,$A$4:$A$15,0))</f>
        <v/>
      </c>
      <c r="F686" s="80">
        <f>15*(C686-12)</f>
        <v/>
      </c>
      <c r="G686" s="80">
        <f>-COS(RADIANS(E686))*SIN(RADIANS(F686))</f>
        <v/>
      </c>
      <c r="H686" s="80">
        <f>COS(RADIANS('11_발전량_모델'!$B$17))*SIN(RADIANS(E686))-SIN(RADIANS('11_발전량_모델'!$B$17))*COS(RADIANS(E686))*COS(RADIANS(F686))</f>
        <v/>
      </c>
      <c r="I686" s="80">
        <f>SIN(RADIANS('11_발전량_모델'!$B$17))*SIN(RADIANS(E686))+COS(RADIANS('11_발전량_모델'!$B$17))*COS(RADIANS(E686))*COS(RADIANS(F686))</f>
        <v/>
      </c>
      <c r="J686" s="80">
        <f>SIN(RADIANS('11_발전량_모델'!$B$7))*SIN(RADIANS('11_발전량_모델'!$B$8))</f>
        <v/>
      </c>
      <c r="K686" s="80">
        <f>SIN(RADIANS('11_발전량_모델'!$B$7))*COS(RADIANS('11_발전량_모델'!$B$8))</f>
        <v/>
      </c>
      <c r="L686" s="80">
        <f>COS(RADIANS('11_발전량_모델'!$B$7))</f>
        <v/>
      </c>
      <c r="M686" s="80">
        <f>G686*J686+H686*K686+I686*L686</f>
        <v/>
      </c>
      <c r="N686" s="80">
        <f>MAX(0,I686)</f>
        <v/>
      </c>
      <c r="O686" s="80">
        <f>IF(I686&gt;0,MAX(0,M686),0)</f>
        <v/>
      </c>
      <c r="P686" s="80">
        <f>IF($I686&gt;0,MAX(0,$G686*SIN(RADIANS('13_시나리오비교'!$B$5))*SIN(RADIANS('13_시나리오비교'!$C$5))+$H686*SIN(RADIANS('13_시나리오비교'!$B$5))*COS(RADIANS('13_시나리오비교'!$C$5))+$I686*COS(RADIANS('13_시나리오비교'!$B$5))),0)</f>
        <v/>
      </c>
      <c r="Q686" s="80">
        <f>IF($I686&gt;0,MAX(0,$G686*SIN(RADIANS('13_시나리오비교'!$B$6))*SIN(RADIANS('13_시나리오비교'!$C$6))+$H686*SIN(RADIANS('13_시나리오비교'!$B$6))*COS(RADIANS('13_시나리오비교'!$C$6))+$I686*COS(RADIANS('13_시나리오비교'!$B$6))),0)</f>
        <v/>
      </c>
      <c r="R686" s="80">
        <f>IF($I686&gt;0,MAX(0,$G686*SIN(RADIANS('13_시나리오비교'!$B$7))*SIN(RADIANS('13_시나리오비교'!$C$7))+$H686*SIN(RADIANS('13_시나리오비교'!$B$7))*COS(RADIANS('13_시나리오비교'!$C$7))+$I686*COS(RADIANS('13_시나리오비교'!$B$7))),0)</f>
        <v/>
      </c>
      <c r="S686" s="80">
        <f>IF($I686&gt;0,MAX(0,$G686*SIN(RADIANS('13_시나리오비교'!$B$8))*SIN(RADIANS('13_시나리오비교'!$C$8))+$H686*SIN(RADIANS('13_시나리오비교'!$B$8))*COS(RADIANS('13_시나리오비교'!$C$8))+$I686*COS(RADIANS('13_시나리오비교'!$B$8))),0)</f>
        <v/>
      </c>
      <c r="T686" s="80">
        <f>IF($I686&gt;0,MAX(0,$G686*SIN(RADIANS('13_시나리오비교'!$B$9))*SIN(RADIANS('13_시나리오비교'!$C$9))+$H686*SIN(RADIANS('13_시나리오비교'!$B$9))*COS(RADIANS('13_시나리오비교'!$C$9))+$I686*COS(RADIANS('13_시나리오비교'!$B$9))),0)</f>
        <v/>
      </c>
      <c r="U686" s="80">
        <f>IF($I686&gt;0,MAX(0,$G686*SIN(RADIANS('13_시나리오비교'!$B$10))*SIN(RADIANS('13_시나리오비교'!$C$10))+$H686*SIN(RADIANS('13_시나리오비교'!$B$10))*COS(RADIANS('13_시나리오비교'!$C$10))+$I686*COS(RADIANS('13_시나리오비교'!$B$10))),0)</f>
        <v/>
      </c>
      <c r="V686" s="80">
        <f>IF($I686&gt;0,MAX(0,$G686*SIN(RADIANS('13_시나리오비교'!$B$11))*SIN(RADIANS('13_시나리오비교'!$C$11))+$H686*SIN(RADIANS('13_시나리오비교'!$B$11))*COS(RADIANS('13_시나리오비교'!$C$11))+$I686*COS(RADIANS('13_시나리오비교'!$B$11))),0)</f>
        <v/>
      </c>
      <c r="W686" s="80">
        <f>IF($I686&gt;0,MAX(0,$G686*SIN(RADIANS('13_시나리오비교'!$B$12))*SIN(RADIANS('13_시나리오비교'!$C$12))+$H686*SIN(RADIANS('13_시나리오비교'!$B$12))*COS(RADIANS('13_시나리오비교'!$C$12))+$I686*COS(RADIANS('13_시나리오비교'!$B$12))),0)</f>
        <v/>
      </c>
      <c r="X686" s="80">
        <f>IF($I686&gt;0,MAX(0,$G686*SIN(RADIANS('13_시나리오비교'!$B$13))*SIN(RADIANS('13_시나리오비교'!$C$13))+$H686*SIN(RADIANS('13_시나리오비교'!$B$13))*COS(RADIANS('13_시나리오비교'!$C$13))+$I686*COS(RADIANS('13_시나리오비교'!$B$13))),0)</f>
        <v/>
      </c>
      <c r="Y686" s="80">
        <f>IF($I686&gt;0,MAX(0,$G686*SIN(RADIANS('13_시나리오비교'!$B$14))*SIN(RADIANS('13_시나리오비교'!$C$14))+$H686*SIN(RADIANS('13_시나리오비교'!$B$14))*COS(RADIANS('13_시나리오비교'!$C$14))+$I686*COS(RADIANS('13_시나리오비교'!$B$14))),0)</f>
        <v/>
      </c>
    </row>
    <row r="687" hidden="1" outlineLevel="1">
      <c r="A687" s="79" t="n">
        <v>7</v>
      </c>
      <c r="B687" s="79" t="n">
        <v>91</v>
      </c>
      <c r="C687" s="80">
        <f>(B687-0.5)*'14_지역·상수'!$H$6</f>
        <v/>
      </c>
      <c r="D687" s="79" t="n">
        <v>198</v>
      </c>
      <c r="E687" s="80">
        <f>INDEX($C$4:$C$15,MATCH(A687,$A$4:$A$15,0))</f>
        <v/>
      </c>
      <c r="F687" s="80">
        <f>15*(C687-12)</f>
        <v/>
      </c>
      <c r="G687" s="80">
        <f>-COS(RADIANS(E687))*SIN(RADIANS(F687))</f>
        <v/>
      </c>
      <c r="H687" s="80">
        <f>COS(RADIANS('11_발전량_모델'!$B$17))*SIN(RADIANS(E687))-SIN(RADIANS('11_발전량_모델'!$B$17))*COS(RADIANS(E687))*COS(RADIANS(F687))</f>
        <v/>
      </c>
      <c r="I687" s="80">
        <f>SIN(RADIANS('11_발전량_모델'!$B$17))*SIN(RADIANS(E687))+COS(RADIANS('11_발전량_모델'!$B$17))*COS(RADIANS(E687))*COS(RADIANS(F687))</f>
        <v/>
      </c>
      <c r="J687" s="80">
        <f>SIN(RADIANS('11_발전량_모델'!$B$7))*SIN(RADIANS('11_발전량_모델'!$B$8))</f>
        <v/>
      </c>
      <c r="K687" s="80">
        <f>SIN(RADIANS('11_발전량_모델'!$B$7))*COS(RADIANS('11_발전량_모델'!$B$8))</f>
        <v/>
      </c>
      <c r="L687" s="80">
        <f>COS(RADIANS('11_발전량_모델'!$B$7))</f>
        <v/>
      </c>
      <c r="M687" s="80">
        <f>G687*J687+H687*K687+I687*L687</f>
        <v/>
      </c>
      <c r="N687" s="80">
        <f>MAX(0,I687)</f>
        <v/>
      </c>
      <c r="O687" s="80">
        <f>IF(I687&gt;0,MAX(0,M687),0)</f>
        <v/>
      </c>
      <c r="P687" s="80">
        <f>IF($I687&gt;0,MAX(0,$G687*SIN(RADIANS('13_시나리오비교'!$B$5))*SIN(RADIANS('13_시나리오비교'!$C$5))+$H687*SIN(RADIANS('13_시나리오비교'!$B$5))*COS(RADIANS('13_시나리오비교'!$C$5))+$I687*COS(RADIANS('13_시나리오비교'!$B$5))),0)</f>
        <v/>
      </c>
      <c r="Q687" s="80">
        <f>IF($I687&gt;0,MAX(0,$G687*SIN(RADIANS('13_시나리오비교'!$B$6))*SIN(RADIANS('13_시나리오비교'!$C$6))+$H687*SIN(RADIANS('13_시나리오비교'!$B$6))*COS(RADIANS('13_시나리오비교'!$C$6))+$I687*COS(RADIANS('13_시나리오비교'!$B$6))),0)</f>
        <v/>
      </c>
      <c r="R687" s="80">
        <f>IF($I687&gt;0,MAX(0,$G687*SIN(RADIANS('13_시나리오비교'!$B$7))*SIN(RADIANS('13_시나리오비교'!$C$7))+$H687*SIN(RADIANS('13_시나리오비교'!$B$7))*COS(RADIANS('13_시나리오비교'!$C$7))+$I687*COS(RADIANS('13_시나리오비교'!$B$7))),0)</f>
        <v/>
      </c>
      <c r="S687" s="80">
        <f>IF($I687&gt;0,MAX(0,$G687*SIN(RADIANS('13_시나리오비교'!$B$8))*SIN(RADIANS('13_시나리오비교'!$C$8))+$H687*SIN(RADIANS('13_시나리오비교'!$B$8))*COS(RADIANS('13_시나리오비교'!$C$8))+$I687*COS(RADIANS('13_시나리오비교'!$B$8))),0)</f>
        <v/>
      </c>
      <c r="T687" s="80">
        <f>IF($I687&gt;0,MAX(0,$G687*SIN(RADIANS('13_시나리오비교'!$B$9))*SIN(RADIANS('13_시나리오비교'!$C$9))+$H687*SIN(RADIANS('13_시나리오비교'!$B$9))*COS(RADIANS('13_시나리오비교'!$C$9))+$I687*COS(RADIANS('13_시나리오비교'!$B$9))),0)</f>
        <v/>
      </c>
      <c r="U687" s="80">
        <f>IF($I687&gt;0,MAX(0,$G687*SIN(RADIANS('13_시나리오비교'!$B$10))*SIN(RADIANS('13_시나리오비교'!$C$10))+$H687*SIN(RADIANS('13_시나리오비교'!$B$10))*COS(RADIANS('13_시나리오비교'!$C$10))+$I687*COS(RADIANS('13_시나리오비교'!$B$10))),0)</f>
        <v/>
      </c>
      <c r="V687" s="80">
        <f>IF($I687&gt;0,MAX(0,$G687*SIN(RADIANS('13_시나리오비교'!$B$11))*SIN(RADIANS('13_시나리오비교'!$C$11))+$H687*SIN(RADIANS('13_시나리오비교'!$B$11))*COS(RADIANS('13_시나리오비교'!$C$11))+$I687*COS(RADIANS('13_시나리오비교'!$B$11))),0)</f>
        <v/>
      </c>
      <c r="W687" s="80">
        <f>IF($I687&gt;0,MAX(0,$G687*SIN(RADIANS('13_시나리오비교'!$B$12))*SIN(RADIANS('13_시나리오비교'!$C$12))+$H687*SIN(RADIANS('13_시나리오비교'!$B$12))*COS(RADIANS('13_시나리오비교'!$C$12))+$I687*COS(RADIANS('13_시나리오비교'!$B$12))),0)</f>
        <v/>
      </c>
      <c r="X687" s="80">
        <f>IF($I687&gt;0,MAX(0,$G687*SIN(RADIANS('13_시나리오비교'!$B$13))*SIN(RADIANS('13_시나리오비교'!$C$13))+$H687*SIN(RADIANS('13_시나리오비교'!$B$13))*COS(RADIANS('13_시나리오비교'!$C$13))+$I687*COS(RADIANS('13_시나리오비교'!$B$13))),0)</f>
        <v/>
      </c>
      <c r="Y687" s="80">
        <f>IF($I687&gt;0,MAX(0,$G687*SIN(RADIANS('13_시나리오비교'!$B$14))*SIN(RADIANS('13_시나리오비교'!$C$14))+$H687*SIN(RADIANS('13_시나리오비교'!$B$14))*COS(RADIANS('13_시나리오비교'!$C$14))+$I687*COS(RADIANS('13_시나리오비교'!$B$14))),0)</f>
        <v/>
      </c>
    </row>
    <row r="688" hidden="1" outlineLevel="1">
      <c r="A688" s="79" t="n">
        <v>7</v>
      </c>
      <c r="B688" s="79" t="n">
        <v>92</v>
      </c>
      <c r="C688" s="80">
        <f>(B688-0.5)*'14_지역·상수'!$H$6</f>
        <v/>
      </c>
      <c r="D688" s="79" t="n">
        <v>198</v>
      </c>
      <c r="E688" s="80">
        <f>INDEX($C$4:$C$15,MATCH(A688,$A$4:$A$15,0))</f>
        <v/>
      </c>
      <c r="F688" s="80">
        <f>15*(C688-12)</f>
        <v/>
      </c>
      <c r="G688" s="80">
        <f>-COS(RADIANS(E688))*SIN(RADIANS(F688))</f>
        <v/>
      </c>
      <c r="H688" s="80">
        <f>COS(RADIANS('11_발전량_모델'!$B$17))*SIN(RADIANS(E688))-SIN(RADIANS('11_발전량_모델'!$B$17))*COS(RADIANS(E688))*COS(RADIANS(F688))</f>
        <v/>
      </c>
      <c r="I688" s="80">
        <f>SIN(RADIANS('11_발전량_모델'!$B$17))*SIN(RADIANS(E688))+COS(RADIANS('11_발전량_모델'!$B$17))*COS(RADIANS(E688))*COS(RADIANS(F688))</f>
        <v/>
      </c>
      <c r="J688" s="80">
        <f>SIN(RADIANS('11_발전량_모델'!$B$7))*SIN(RADIANS('11_발전량_모델'!$B$8))</f>
        <v/>
      </c>
      <c r="K688" s="80">
        <f>SIN(RADIANS('11_발전량_모델'!$B$7))*COS(RADIANS('11_발전량_모델'!$B$8))</f>
        <v/>
      </c>
      <c r="L688" s="80">
        <f>COS(RADIANS('11_발전량_모델'!$B$7))</f>
        <v/>
      </c>
      <c r="M688" s="80">
        <f>G688*J688+H688*K688+I688*L688</f>
        <v/>
      </c>
      <c r="N688" s="80">
        <f>MAX(0,I688)</f>
        <v/>
      </c>
      <c r="O688" s="80">
        <f>IF(I688&gt;0,MAX(0,M688),0)</f>
        <v/>
      </c>
      <c r="P688" s="80">
        <f>IF($I688&gt;0,MAX(0,$G688*SIN(RADIANS('13_시나리오비교'!$B$5))*SIN(RADIANS('13_시나리오비교'!$C$5))+$H688*SIN(RADIANS('13_시나리오비교'!$B$5))*COS(RADIANS('13_시나리오비교'!$C$5))+$I688*COS(RADIANS('13_시나리오비교'!$B$5))),0)</f>
        <v/>
      </c>
      <c r="Q688" s="80">
        <f>IF($I688&gt;0,MAX(0,$G688*SIN(RADIANS('13_시나리오비교'!$B$6))*SIN(RADIANS('13_시나리오비교'!$C$6))+$H688*SIN(RADIANS('13_시나리오비교'!$B$6))*COS(RADIANS('13_시나리오비교'!$C$6))+$I688*COS(RADIANS('13_시나리오비교'!$B$6))),0)</f>
        <v/>
      </c>
      <c r="R688" s="80">
        <f>IF($I688&gt;0,MAX(0,$G688*SIN(RADIANS('13_시나리오비교'!$B$7))*SIN(RADIANS('13_시나리오비교'!$C$7))+$H688*SIN(RADIANS('13_시나리오비교'!$B$7))*COS(RADIANS('13_시나리오비교'!$C$7))+$I688*COS(RADIANS('13_시나리오비교'!$B$7))),0)</f>
        <v/>
      </c>
      <c r="S688" s="80">
        <f>IF($I688&gt;0,MAX(0,$G688*SIN(RADIANS('13_시나리오비교'!$B$8))*SIN(RADIANS('13_시나리오비교'!$C$8))+$H688*SIN(RADIANS('13_시나리오비교'!$B$8))*COS(RADIANS('13_시나리오비교'!$C$8))+$I688*COS(RADIANS('13_시나리오비교'!$B$8))),0)</f>
        <v/>
      </c>
      <c r="T688" s="80">
        <f>IF($I688&gt;0,MAX(0,$G688*SIN(RADIANS('13_시나리오비교'!$B$9))*SIN(RADIANS('13_시나리오비교'!$C$9))+$H688*SIN(RADIANS('13_시나리오비교'!$B$9))*COS(RADIANS('13_시나리오비교'!$C$9))+$I688*COS(RADIANS('13_시나리오비교'!$B$9))),0)</f>
        <v/>
      </c>
      <c r="U688" s="80">
        <f>IF($I688&gt;0,MAX(0,$G688*SIN(RADIANS('13_시나리오비교'!$B$10))*SIN(RADIANS('13_시나리오비교'!$C$10))+$H688*SIN(RADIANS('13_시나리오비교'!$B$10))*COS(RADIANS('13_시나리오비교'!$C$10))+$I688*COS(RADIANS('13_시나리오비교'!$B$10))),0)</f>
        <v/>
      </c>
      <c r="V688" s="80">
        <f>IF($I688&gt;0,MAX(0,$G688*SIN(RADIANS('13_시나리오비교'!$B$11))*SIN(RADIANS('13_시나리오비교'!$C$11))+$H688*SIN(RADIANS('13_시나리오비교'!$B$11))*COS(RADIANS('13_시나리오비교'!$C$11))+$I688*COS(RADIANS('13_시나리오비교'!$B$11))),0)</f>
        <v/>
      </c>
      <c r="W688" s="80">
        <f>IF($I688&gt;0,MAX(0,$G688*SIN(RADIANS('13_시나리오비교'!$B$12))*SIN(RADIANS('13_시나리오비교'!$C$12))+$H688*SIN(RADIANS('13_시나리오비교'!$B$12))*COS(RADIANS('13_시나리오비교'!$C$12))+$I688*COS(RADIANS('13_시나리오비교'!$B$12))),0)</f>
        <v/>
      </c>
      <c r="X688" s="80">
        <f>IF($I688&gt;0,MAX(0,$G688*SIN(RADIANS('13_시나리오비교'!$B$13))*SIN(RADIANS('13_시나리오비교'!$C$13))+$H688*SIN(RADIANS('13_시나리오비교'!$B$13))*COS(RADIANS('13_시나리오비교'!$C$13))+$I688*COS(RADIANS('13_시나리오비교'!$B$13))),0)</f>
        <v/>
      </c>
      <c r="Y688" s="80">
        <f>IF($I688&gt;0,MAX(0,$G688*SIN(RADIANS('13_시나리오비교'!$B$14))*SIN(RADIANS('13_시나리오비교'!$C$14))+$H688*SIN(RADIANS('13_시나리오비교'!$B$14))*COS(RADIANS('13_시나리오비교'!$C$14))+$I688*COS(RADIANS('13_시나리오비교'!$B$14))),0)</f>
        <v/>
      </c>
    </row>
    <row r="689" hidden="1" outlineLevel="1">
      <c r="A689" s="79" t="n">
        <v>7</v>
      </c>
      <c r="B689" s="79" t="n">
        <v>93</v>
      </c>
      <c r="C689" s="80">
        <f>(B689-0.5)*'14_지역·상수'!$H$6</f>
        <v/>
      </c>
      <c r="D689" s="79" t="n">
        <v>198</v>
      </c>
      <c r="E689" s="80">
        <f>INDEX($C$4:$C$15,MATCH(A689,$A$4:$A$15,0))</f>
        <v/>
      </c>
      <c r="F689" s="80">
        <f>15*(C689-12)</f>
        <v/>
      </c>
      <c r="G689" s="80">
        <f>-COS(RADIANS(E689))*SIN(RADIANS(F689))</f>
        <v/>
      </c>
      <c r="H689" s="80">
        <f>COS(RADIANS('11_발전량_모델'!$B$17))*SIN(RADIANS(E689))-SIN(RADIANS('11_발전량_모델'!$B$17))*COS(RADIANS(E689))*COS(RADIANS(F689))</f>
        <v/>
      </c>
      <c r="I689" s="80">
        <f>SIN(RADIANS('11_발전량_모델'!$B$17))*SIN(RADIANS(E689))+COS(RADIANS('11_발전량_모델'!$B$17))*COS(RADIANS(E689))*COS(RADIANS(F689))</f>
        <v/>
      </c>
      <c r="J689" s="80">
        <f>SIN(RADIANS('11_발전량_모델'!$B$7))*SIN(RADIANS('11_발전량_모델'!$B$8))</f>
        <v/>
      </c>
      <c r="K689" s="80">
        <f>SIN(RADIANS('11_발전량_모델'!$B$7))*COS(RADIANS('11_발전량_모델'!$B$8))</f>
        <v/>
      </c>
      <c r="L689" s="80">
        <f>COS(RADIANS('11_발전량_모델'!$B$7))</f>
        <v/>
      </c>
      <c r="M689" s="80">
        <f>G689*J689+H689*K689+I689*L689</f>
        <v/>
      </c>
      <c r="N689" s="80">
        <f>MAX(0,I689)</f>
        <v/>
      </c>
      <c r="O689" s="80">
        <f>IF(I689&gt;0,MAX(0,M689),0)</f>
        <v/>
      </c>
      <c r="P689" s="80">
        <f>IF($I689&gt;0,MAX(0,$G689*SIN(RADIANS('13_시나리오비교'!$B$5))*SIN(RADIANS('13_시나리오비교'!$C$5))+$H689*SIN(RADIANS('13_시나리오비교'!$B$5))*COS(RADIANS('13_시나리오비교'!$C$5))+$I689*COS(RADIANS('13_시나리오비교'!$B$5))),0)</f>
        <v/>
      </c>
      <c r="Q689" s="80">
        <f>IF($I689&gt;0,MAX(0,$G689*SIN(RADIANS('13_시나리오비교'!$B$6))*SIN(RADIANS('13_시나리오비교'!$C$6))+$H689*SIN(RADIANS('13_시나리오비교'!$B$6))*COS(RADIANS('13_시나리오비교'!$C$6))+$I689*COS(RADIANS('13_시나리오비교'!$B$6))),0)</f>
        <v/>
      </c>
      <c r="R689" s="80">
        <f>IF($I689&gt;0,MAX(0,$G689*SIN(RADIANS('13_시나리오비교'!$B$7))*SIN(RADIANS('13_시나리오비교'!$C$7))+$H689*SIN(RADIANS('13_시나리오비교'!$B$7))*COS(RADIANS('13_시나리오비교'!$C$7))+$I689*COS(RADIANS('13_시나리오비교'!$B$7))),0)</f>
        <v/>
      </c>
      <c r="S689" s="80">
        <f>IF($I689&gt;0,MAX(0,$G689*SIN(RADIANS('13_시나리오비교'!$B$8))*SIN(RADIANS('13_시나리오비교'!$C$8))+$H689*SIN(RADIANS('13_시나리오비교'!$B$8))*COS(RADIANS('13_시나리오비교'!$C$8))+$I689*COS(RADIANS('13_시나리오비교'!$B$8))),0)</f>
        <v/>
      </c>
      <c r="T689" s="80">
        <f>IF($I689&gt;0,MAX(0,$G689*SIN(RADIANS('13_시나리오비교'!$B$9))*SIN(RADIANS('13_시나리오비교'!$C$9))+$H689*SIN(RADIANS('13_시나리오비교'!$B$9))*COS(RADIANS('13_시나리오비교'!$C$9))+$I689*COS(RADIANS('13_시나리오비교'!$B$9))),0)</f>
        <v/>
      </c>
      <c r="U689" s="80">
        <f>IF($I689&gt;0,MAX(0,$G689*SIN(RADIANS('13_시나리오비교'!$B$10))*SIN(RADIANS('13_시나리오비교'!$C$10))+$H689*SIN(RADIANS('13_시나리오비교'!$B$10))*COS(RADIANS('13_시나리오비교'!$C$10))+$I689*COS(RADIANS('13_시나리오비교'!$B$10))),0)</f>
        <v/>
      </c>
      <c r="V689" s="80">
        <f>IF($I689&gt;0,MAX(0,$G689*SIN(RADIANS('13_시나리오비교'!$B$11))*SIN(RADIANS('13_시나리오비교'!$C$11))+$H689*SIN(RADIANS('13_시나리오비교'!$B$11))*COS(RADIANS('13_시나리오비교'!$C$11))+$I689*COS(RADIANS('13_시나리오비교'!$B$11))),0)</f>
        <v/>
      </c>
      <c r="W689" s="80">
        <f>IF($I689&gt;0,MAX(0,$G689*SIN(RADIANS('13_시나리오비교'!$B$12))*SIN(RADIANS('13_시나리오비교'!$C$12))+$H689*SIN(RADIANS('13_시나리오비교'!$B$12))*COS(RADIANS('13_시나리오비교'!$C$12))+$I689*COS(RADIANS('13_시나리오비교'!$B$12))),0)</f>
        <v/>
      </c>
      <c r="X689" s="80">
        <f>IF($I689&gt;0,MAX(0,$G689*SIN(RADIANS('13_시나리오비교'!$B$13))*SIN(RADIANS('13_시나리오비교'!$C$13))+$H689*SIN(RADIANS('13_시나리오비교'!$B$13))*COS(RADIANS('13_시나리오비교'!$C$13))+$I689*COS(RADIANS('13_시나리오비교'!$B$13))),0)</f>
        <v/>
      </c>
      <c r="Y689" s="80">
        <f>IF($I689&gt;0,MAX(0,$G689*SIN(RADIANS('13_시나리오비교'!$B$14))*SIN(RADIANS('13_시나리오비교'!$C$14))+$H689*SIN(RADIANS('13_시나리오비교'!$B$14))*COS(RADIANS('13_시나리오비교'!$C$14))+$I689*COS(RADIANS('13_시나리오비교'!$B$14))),0)</f>
        <v/>
      </c>
    </row>
    <row r="690" hidden="1" outlineLevel="1">
      <c r="A690" s="79" t="n">
        <v>7</v>
      </c>
      <c r="B690" s="79" t="n">
        <v>94</v>
      </c>
      <c r="C690" s="80">
        <f>(B690-0.5)*'14_지역·상수'!$H$6</f>
        <v/>
      </c>
      <c r="D690" s="79" t="n">
        <v>198</v>
      </c>
      <c r="E690" s="80">
        <f>INDEX($C$4:$C$15,MATCH(A690,$A$4:$A$15,0))</f>
        <v/>
      </c>
      <c r="F690" s="80">
        <f>15*(C690-12)</f>
        <v/>
      </c>
      <c r="G690" s="80">
        <f>-COS(RADIANS(E690))*SIN(RADIANS(F690))</f>
        <v/>
      </c>
      <c r="H690" s="80">
        <f>COS(RADIANS('11_발전량_모델'!$B$17))*SIN(RADIANS(E690))-SIN(RADIANS('11_발전량_모델'!$B$17))*COS(RADIANS(E690))*COS(RADIANS(F690))</f>
        <v/>
      </c>
      <c r="I690" s="80">
        <f>SIN(RADIANS('11_발전량_모델'!$B$17))*SIN(RADIANS(E690))+COS(RADIANS('11_발전량_모델'!$B$17))*COS(RADIANS(E690))*COS(RADIANS(F690))</f>
        <v/>
      </c>
      <c r="J690" s="80">
        <f>SIN(RADIANS('11_발전량_모델'!$B$7))*SIN(RADIANS('11_발전량_모델'!$B$8))</f>
        <v/>
      </c>
      <c r="K690" s="80">
        <f>SIN(RADIANS('11_발전량_모델'!$B$7))*COS(RADIANS('11_발전량_모델'!$B$8))</f>
        <v/>
      </c>
      <c r="L690" s="80">
        <f>COS(RADIANS('11_발전량_모델'!$B$7))</f>
        <v/>
      </c>
      <c r="M690" s="80">
        <f>G690*J690+H690*K690+I690*L690</f>
        <v/>
      </c>
      <c r="N690" s="80">
        <f>MAX(0,I690)</f>
        <v/>
      </c>
      <c r="O690" s="80">
        <f>IF(I690&gt;0,MAX(0,M690),0)</f>
        <v/>
      </c>
      <c r="P690" s="80">
        <f>IF($I690&gt;0,MAX(0,$G690*SIN(RADIANS('13_시나리오비교'!$B$5))*SIN(RADIANS('13_시나리오비교'!$C$5))+$H690*SIN(RADIANS('13_시나리오비교'!$B$5))*COS(RADIANS('13_시나리오비교'!$C$5))+$I690*COS(RADIANS('13_시나리오비교'!$B$5))),0)</f>
        <v/>
      </c>
      <c r="Q690" s="80">
        <f>IF($I690&gt;0,MAX(0,$G690*SIN(RADIANS('13_시나리오비교'!$B$6))*SIN(RADIANS('13_시나리오비교'!$C$6))+$H690*SIN(RADIANS('13_시나리오비교'!$B$6))*COS(RADIANS('13_시나리오비교'!$C$6))+$I690*COS(RADIANS('13_시나리오비교'!$B$6))),0)</f>
        <v/>
      </c>
      <c r="R690" s="80">
        <f>IF($I690&gt;0,MAX(0,$G690*SIN(RADIANS('13_시나리오비교'!$B$7))*SIN(RADIANS('13_시나리오비교'!$C$7))+$H690*SIN(RADIANS('13_시나리오비교'!$B$7))*COS(RADIANS('13_시나리오비교'!$C$7))+$I690*COS(RADIANS('13_시나리오비교'!$B$7))),0)</f>
        <v/>
      </c>
      <c r="S690" s="80">
        <f>IF($I690&gt;0,MAX(0,$G690*SIN(RADIANS('13_시나리오비교'!$B$8))*SIN(RADIANS('13_시나리오비교'!$C$8))+$H690*SIN(RADIANS('13_시나리오비교'!$B$8))*COS(RADIANS('13_시나리오비교'!$C$8))+$I690*COS(RADIANS('13_시나리오비교'!$B$8))),0)</f>
        <v/>
      </c>
      <c r="T690" s="80">
        <f>IF($I690&gt;0,MAX(0,$G690*SIN(RADIANS('13_시나리오비교'!$B$9))*SIN(RADIANS('13_시나리오비교'!$C$9))+$H690*SIN(RADIANS('13_시나리오비교'!$B$9))*COS(RADIANS('13_시나리오비교'!$C$9))+$I690*COS(RADIANS('13_시나리오비교'!$B$9))),0)</f>
        <v/>
      </c>
      <c r="U690" s="80">
        <f>IF($I690&gt;0,MAX(0,$G690*SIN(RADIANS('13_시나리오비교'!$B$10))*SIN(RADIANS('13_시나리오비교'!$C$10))+$H690*SIN(RADIANS('13_시나리오비교'!$B$10))*COS(RADIANS('13_시나리오비교'!$C$10))+$I690*COS(RADIANS('13_시나리오비교'!$B$10))),0)</f>
        <v/>
      </c>
      <c r="V690" s="80">
        <f>IF($I690&gt;0,MAX(0,$G690*SIN(RADIANS('13_시나리오비교'!$B$11))*SIN(RADIANS('13_시나리오비교'!$C$11))+$H690*SIN(RADIANS('13_시나리오비교'!$B$11))*COS(RADIANS('13_시나리오비교'!$C$11))+$I690*COS(RADIANS('13_시나리오비교'!$B$11))),0)</f>
        <v/>
      </c>
      <c r="W690" s="80">
        <f>IF($I690&gt;0,MAX(0,$G690*SIN(RADIANS('13_시나리오비교'!$B$12))*SIN(RADIANS('13_시나리오비교'!$C$12))+$H690*SIN(RADIANS('13_시나리오비교'!$B$12))*COS(RADIANS('13_시나리오비교'!$C$12))+$I690*COS(RADIANS('13_시나리오비교'!$B$12))),0)</f>
        <v/>
      </c>
      <c r="X690" s="80">
        <f>IF($I690&gt;0,MAX(0,$G690*SIN(RADIANS('13_시나리오비교'!$B$13))*SIN(RADIANS('13_시나리오비교'!$C$13))+$H690*SIN(RADIANS('13_시나리오비교'!$B$13))*COS(RADIANS('13_시나리오비교'!$C$13))+$I690*COS(RADIANS('13_시나리오비교'!$B$13))),0)</f>
        <v/>
      </c>
      <c r="Y690" s="80">
        <f>IF($I690&gt;0,MAX(0,$G690*SIN(RADIANS('13_시나리오비교'!$B$14))*SIN(RADIANS('13_시나리오비교'!$C$14))+$H690*SIN(RADIANS('13_시나리오비교'!$B$14))*COS(RADIANS('13_시나리오비교'!$C$14))+$I690*COS(RADIANS('13_시나리오비교'!$B$14))),0)</f>
        <v/>
      </c>
    </row>
    <row r="691" hidden="1" outlineLevel="1">
      <c r="A691" s="79" t="n">
        <v>7</v>
      </c>
      <c r="B691" s="79" t="n">
        <v>95</v>
      </c>
      <c r="C691" s="80">
        <f>(B691-0.5)*'14_지역·상수'!$H$6</f>
        <v/>
      </c>
      <c r="D691" s="79" t="n">
        <v>198</v>
      </c>
      <c r="E691" s="80">
        <f>INDEX($C$4:$C$15,MATCH(A691,$A$4:$A$15,0))</f>
        <v/>
      </c>
      <c r="F691" s="80">
        <f>15*(C691-12)</f>
        <v/>
      </c>
      <c r="G691" s="80">
        <f>-COS(RADIANS(E691))*SIN(RADIANS(F691))</f>
        <v/>
      </c>
      <c r="H691" s="80">
        <f>COS(RADIANS('11_발전량_모델'!$B$17))*SIN(RADIANS(E691))-SIN(RADIANS('11_발전량_모델'!$B$17))*COS(RADIANS(E691))*COS(RADIANS(F691))</f>
        <v/>
      </c>
      <c r="I691" s="80">
        <f>SIN(RADIANS('11_발전량_모델'!$B$17))*SIN(RADIANS(E691))+COS(RADIANS('11_발전량_모델'!$B$17))*COS(RADIANS(E691))*COS(RADIANS(F691))</f>
        <v/>
      </c>
      <c r="J691" s="80">
        <f>SIN(RADIANS('11_발전량_모델'!$B$7))*SIN(RADIANS('11_발전량_모델'!$B$8))</f>
        <v/>
      </c>
      <c r="K691" s="80">
        <f>SIN(RADIANS('11_발전량_모델'!$B$7))*COS(RADIANS('11_발전량_모델'!$B$8))</f>
        <v/>
      </c>
      <c r="L691" s="80">
        <f>COS(RADIANS('11_발전량_모델'!$B$7))</f>
        <v/>
      </c>
      <c r="M691" s="80">
        <f>G691*J691+H691*K691+I691*L691</f>
        <v/>
      </c>
      <c r="N691" s="80">
        <f>MAX(0,I691)</f>
        <v/>
      </c>
      <c r="O691" s="80">
        <f>IF(I691&gt;0,MAX(0,M691),0)</f>
        <v/>
      </c>
      <c r="P691" s="80">
        <f>IF($I691&gt;0,MAX(0,$G691*SIN(RADIANS('13_시나리오비교'!$B$5))*SIN(RADIANS('13_시나리오비교'!$C$5))+$H691*SIN(RADIANS('13_시나리오비교'!$B$5))*COS(RADIANS('13_시나리오비교'!$C$5))+$I691*COS(RADIANS('13_시나리오비교'!$B$5))),0)</f>
        <v/>
      </c>
      <c r="Q691" s="80">
        <f>IF($I691&gt;0,MAX(0,$G691*SIN(RADIANS('13_시나리오비교'!$B$6))*SIN(RADIANS('13_시나리오비교'!$C$6))+$H691*SIN(RADIANS('13_시나리오비교'!$B$6))*COS(RADIANS('13_시나리오비교'!$C$6))+$I691*COS(RADIANS('13_시나리오비교'!$B$6))),0)</f>
        <v/>
      </c>
      <c r="R691" s="80">
        <f>IF($I691&gt;0,MAX(0,$G691*SIN(RADIANS('13_시나리오비교'!$B$7))*SIN(RADIANS('13_시나리오비교'!$C$7))+$H691*SIN(RADIANS('13_시나리오비교'!$B$7))*COS(RADIANS('13_시나리오비교'!$C$7))+$I691*COS(RADIANS('13_시나리오비교'!$B$7))),0)</f>
        <v/>
      </c>
      <c r="S691" s="80">
        <f>IF($I691&gt;0,MAX(0,$G691*SIN(RADIANS('13_시나리오비교'!$B$8))*SIN(RADIANS('13_시나리오비교'!$C$8))+$H691*SIN(RADIANS('13_시나리오비교'!$B$8))*COS(RADIANS('13_시나리오비교'!$C$8))+$I691*COS(RADIANS('13_시나리오비교'!$B$8))),0)</f>
        <v/>
      </c>
      <c r="T691" s="80">
        <f>IF($I691&gt;0,MAX(0,$G691*SIN(RADIANS('13_시나리오비교'!$B$9))*SIN(RADIANS('13_시나리오비교'!$C$9))+$H691*SIN(RADIANS('13_시나리오비교'!$B$9))*COS(RADIANS('13_시나리오비교'!$C$9))+$I691*COS(RADIANS('13_시나리오비교'!$B$9))),0)</f>
        <v/>
      </c>
      <c r="U691" s="80">
        <f>IF($I691&gt;0,MAX(0,$G691*SIN(RADIANS('13_시나리오비교'!$B$10))*SIN(RADIANS('13_시나리오비교'!$C$10))+$H691*SIN(RADIANS('13_시나리오비교'!$B$10))*COS(RADIANS('13_시나리오비교'!$C$10))+$I691*COS(RADIANS('13_시나리오비교'!$B$10))),0)</f>
        <v/>
      </c>
      <c r="V691" s="80">
        <f>IF($I691&gt;0,MAX(0,$G691*SIN(RADIANS('13_시나리오비교'!$B$11))*SIN(RADIANS('13_시나리오비교'!$C$11))+$H691*SIN(RADIANS('13_시나리오비교'!$B$11))*COS(RADIANS('13_시나리오비교'!$C$11))+$I691*COS(RADIANS('13_시나리오비교'!$B$11))),0)</f>
        <v/>
      </c>
      <c r="W691" s="80">
        <f>IF($I691&gt;0,MAX(0,$G691*SIN(RADIANS('13_시나리오비교'!$B$12))*SIN(RADIANS('13_시나리오비교'!$C$12))+$H691*SIN(RADIANS('13_시나리오비교'!$B$12))*COS(RADIANS('13_시나리오비교'!$C$12))+$I691*COS(RADIANS('13_시나리오비교'!$B$12))),0)</f>
        <v/>
      </c>
      <c r="X691" s="80">
        <f>IF($I691&gt;0,MAX(0,$G691*SIN(RADIANS('13_시나리오비교'!$B$13))*SIN(RADIANS('13_시나리오비교'!$C$13))+$H691*SIN(RADIANS('13_시나리오비교'!$B$13))*COS(RADIANS('13_시나리오비교'!$C$13))+$I691*COS(RADIANS('13_시나리오비교'!$B$13))),0)</f>
        <v/>
      </c>
      <c r="Y691" s="80">
        <f>IF($I691&gt;0,MAX(0,$G691*SIN(RADIANS('13_시나리오비교'!$B$14))*SIN(RADIANS('13_시나리오비교'!$C$14))+$H691*SIN(RADIANS('13_시나리오비교'!$B$14))*COS(RADIANS('13_시나리오비교'!$C$14))+$I691*COS(RADIANS('13_시나리오비교'!$B$14))),0)</f>
        <v/>
      </c>
    </row>
    <row r="692" hidden="1" outlineLevel="1">
      <c r="A692" s="79" t="n">
        <v>7</v>
      </c>
      <c r="B692" s="79" t="n">
        <v>96</v>
      </c>
      <c r="C692" s="80">
        <f>(B692-0.5)*'14_지역·상수'!$H$6</f>
        <v/>
      </c>
      <c r="D692" s="79" t="n">
        <v>198</v>
      </c>
      <c r="E692" s="80">
        <f>INDEX($C$4:$C$15,MATCH(A692,$A$4:$A$15,0))</f>
        <v/>
      </c>
      <c r="F692" s="80">
        <f>15*(C692-12)</f>
        <v/>
      </c>
      <c r="G692" s="80">
        <f>-COS(RADIANS(E692))*SIN(RADIANS(F692))</f>
        <v/>
      </c>
      <c r="H692" s="80">
        <f>COS(RADIANS('11_발전량_모델'!$B$17))*SIN(RADIANS(E692))-SIN(RADIANS('11_발전량_모델'!$B$17))*COS(RADIANS(E692))*COS(RADIANS(F692))</f>
        <v/>
      </c>
      <c r="I692" s="80">
        <f>SIN(RADIANS('11_발전량_모델'!$B$17))*SIN(RADIANS(E692))+COS(RADIANS('11_발전량_모델'!$B$17))*COS(RADIANS(E692))*COS(RADIANS(F692))</f>
        <v/>
      </c>
      <c r="J692" s="80">
        <f>SIN(RADIANS('11_발전량_모델'!$B$7))*SIN(RADIANS('11_발전량_모델'!$B$8))</f>
        <v/>
      </c>
      <c r="K692" s="80">
        <f>SIN(RADIANS('11_발전량_모델'!$B$7))*COS(RADIANS('11_발전량_모델'!$B$8))</f>
        <v/>
      </c>
      <c r="L692" s="80">
        <f>COS(RADIANS('11_발전량_모델'!$B$7))</f>
        <v/>
      </c>
      <c r="M692" s="80">
        <f>G692*J692+H692*K692+I692*L692</f>
        <v/>
      </c>
      <c r="N692" s="80">
        <f>MAX(0,I692)</f>
        <v/>
      </c>
      <c r="O692" s="80">
        <f>IF(I692&gt;0,MAX(0,M692),0)</f>
        <v/>
      </c>
      <c r="P692" s="80">
        <f>IF($I692&gt;0,MAX(0,$G692*SIN(RADIANS('13_시나리오비교'!$B$5))*SIN(RADIANS('13_시나리오비교'!$C$5))+$H692*SIN(RADIANS('13_시나리오비교'!$B$5))*COS(RADIANS('13_시나리오비교'!$C$5))+$I692*COS(RADIANS('13_시나리오비교'!$B$5))),0)</f>
        <v/>
      </c>
      <c r="Q692" s="80">
        <f>IF($I692&gt;0,MAX(0,$G692*SIN(RADIANS('13_시나리오비교'!$B$6))*SIN(RADIANS('13_시나리오비교'!$C$6))+$H692*SIN(RADIANS('13_시나리오비교'!$B$6))*COS(RADIANS('13_시나리오비교'!$C$6))+$I692*COS(RADIANS('13_시나리오비교'!$B$6))),0)</f>
        <v/>
      </c>
      <c r="R692" s="80">
        <f>IF($I692&gt;0,MAX(0,$G692*SIN(RADIANS('13_시나리오비교'!$B$7))*SIN(RADIANS('13_시나리오비교'!$C$7))+$H692*SIN(RADIANS('13_시나리오비교'!$B$7))*COS(RADIANS('13_시나리오비교'!$C$7))+$I692*COS(RADIANS('13_시나리오비교'!$B$7))),0)</f>
        <v/>
      </c>
      <c r="S692" s="80">
        <f>IF($I692&gt;0,MAX(0,$G692*SIN(RADIANS('13_시나리오비교'!$B$8))*SIN(RADIANS('13_시나리오비교'!$C$8))+$H692*SIN(RADIANS('13_시나리오비교'!$B$8))*COS(RADIANS('13_시나리오비교'!$C$8))+$I692*COS(RADIANS('13_시나리오비교'!$B$8))),0)</f>
        <v/>
      </c>
      <c r="T692" s="80">
        <f>IF($I692&gt;0,MAX(0,$G692*SIN(RADIANS('13_시나리오비교'!$B$9))*SIN(RADIANS('13_시나리오비교'!$C$9))+$H692*SIN(RADIANS('13_시나리오비교'!$B$9))*COS(RADIANS('13_시나리오비교'!$C$9))+$I692*COS(RADIANS('13_시나리오비교'!$B$9))),0)</f>
        <v/>
      </c>
      <c r="U692" s="80">
        <f>IF($I692&gt;0,MAX(0,$G692*SIN(RADIANS('13_시나리오비교'!$B$10))*SIN(RADIANS('13_시나리오비교'!$C$10))+$H692*SIN(RADIANS('13_시나리오비교'!$B$10))*COS(RADIANS('13_시나리오비교'!$C$10))+$I692*COS(RADIANS('13_시나리오비교'!$B$10))),0)</f>
        <v/>
      </c>
      <c r="V692" s="80">
        <f>IF($I692&gt;0,MAX(0,$G692*SIN(RADIANS('13_시나리오비교'!$B$11))*SIN(RADIANS('13_시나리오비교'!$C$11))+$H692*SIN(RADIANS('13_시나리오비교'!$B$11))*COS(RADIANS('13_시나리오비교'!$C$11))+$I692*COS(RADIANS('13_시나리오비교'!$B$11))),0)</f>
        <v/>
      </c>
      <c r="W692" s="80">
        <f>IF($I692&gt;0,MAX(0,$G692*SIN(RADIANS('13_시나리오비교'!$B$12))*SIN(RADIANS('13_시나리오비교'!$C$12))+$H692*SIN(RADIANS('13_시나리오비교'!$B$12))*COS(RADIANS('13_시나리오비교'!$C$12))+$I692*COS(RADIANS('13_시나리오비교'!$B$12))),0)</f>
        <v/>
      </c>
      <c r="X692" s="80">
        <f>IF($I692&gt;0,MAX(0,$G692*SIN(RADIANS('13_시나리오비교'!$B$13))*SIN(RADIANS('13_시나리오비교'!$C$13))+$H692*SIN(RADIANS('13_시나리오비교'!$B$13))*COS(RADIANS('13_시나리오비교'!$C$13))+$I692*COS(RADIANS('13_시나리오비교'!$B$13))),0)</f>
        <v/>
      </c>
      <c r="Y692" s="80">
        <f>IF($I692&gt;0,MAX(0,$G692*SIN(RADIANS('13_시나리오비교'!$B$14))*SIN(RADIANS('13_시나리오비교'!$C$14))+$H692*SIN(RADIANS('13_시나리오비교'!$B$14))*COS(RADIANS('13_시나리오비교'!$C$14))+$I692*COS(RADIANS('13_시나리오비교'!$B$14))),0)</f>
        <v/>
      </c>
    </row>
    <row r="693" hidden="1" outlineLevel="1">
      <c r="A693" s="79" t="n">
        <v>8</v>
      </c>
      <c r="B693" s="79" t="n">
        <v>1</v>
      </c>
      <c r="C693" s="80">
        <f>(B693-0.5)*'14_지역·상수'!$H$6</f>
        <v/>
      </c>
      <c r="D693" s="79" t="n">
        <v>228</v>
      </c>
      <c r="E693" s="80">
        <f>INDEX($C$4:$C$15,MATCH(A693,$A$4:$A$15,0))</f>
        <v/>
      </c>
      <c r="F693" s="80">
        <f>15*(C693-12)</f>
        <v/>
      </c>
      <c r="G693" s="80">
        <f>-COS(RADIANS(E693))*SIN(RADIANS(F693))</f>
        <v/>
      </c>
      <c r="H693" s="80">
        <f>COS(RADIANS('11_발전량_모델'!$B$17))*SIN(RADIANS(E693))-SIN(RADIANS('11_발전량_모델'!$B$17))*COS(RADIANS(E693))*COS(RADIANS(F693))</f>
        <v/>
      </c>
      <c r="I693" s="80">
        <f>SIN(RADIANS('11_발전량_모델'!$B$17))*SIN(RADIANS(E693))+COS(RADIANS('11_발전량_모델'!$B$17))*COS(RADIANS(E693))*COS(RADIANS(F693))</f>
        <v/>
      </c>
      <c r="J693" s="80">
        <f>SIN(RADIANS('11_발전량_모델'!$B$7))*SIN(RADIANS('11_발전량_모델'!$B$8))</f>
        <v/>
      </c>
      <c r="K693" s="80">
        <f>SIN(RADIANS('11_발전량_모델'!$B$7))*COS(RADIANS('11_발전량_모델'!$B$8))</f>
        <v/>
      </c>
      <c r="L693" s="80">
        <f>COS(RADIANS('11_발전량_모델'!$B$7))</f>
        <v/>
      </c>
      <c r="M693" s="80">
        <f>G693*J693+H693*K693+I693*L693</f>
        <v/>
      </c>
      <c r="N693" s="80">
        <f>MAX(0,I693)</f>
        <v/>
      </c>
      <c r="O693" s="80">
        <f>IF(I693&gt;0,MAX(0,M693),0)</f>
        <v/>
      </c>
      <c r="P693" s="80">
        <f>IF($I693&gt;0,MAX(0,$G693*SIN(RADIANS('13_시나리오비교'!$B$5))*SIN(RADIANS('13_시나리오비교'!$C$5))+$H693*SIN(RADIANS('13_시나리오비교'!$B$5))*COS(RADIANS('13_시나리오비교'!$C$5))+$I693*COS(RADIANS('13_시나리오비교'!$B$5))),0)</f>
        <v/>
      </c>
      <c r="Q693" s="80">
        <f>IF($I693&gt;0,MAX(0,$G693*SIN(RADIANS('13_시나리오비교'!$B$6))*SIN(RADIANS('13_시나리오비교'!$C$6))+$H693*SIN(RADIANS('13_시나리오비교'!$B$6))*COS(RADIANS('13_시나리오비교'!$C$6))+$I693*COS(RADIANS('13_시나리오비교'!$B$6))),0)</f>
        <v/>
      </c>
      <c r="R693" s="80">
        <f>IF($I693&gt;0,MAX(0,$G693*SIN(RADIANS('13_시나리오비교'!$B$7))*SIN(RADIANS('13_시나리오비교'!$C$7))+$H693*SIN(RADIANS('13_시나리오비교'!$B$7))*COS(RADIANS('13_시나리오비교'!$C$7))+$I693*COS(RADIANS('13_시나리오비교'!$B$7))),0)</f>
        <v/>
      </c>
      <c r="S693" s="80">
        <f>IF($I693&gt;0,MAX(0,$G693*SIN(RADIANS('13_시나리오비교'!$B$8))*SIN(RADIANS('13_시나리오비교'!$C$8))+$H693*SIN(RADIANS('13_시나리오비교'!$B$8))*COS(RADIANS('13_시나리오비교'!$C$8))+$I693*COS(RADIANS('13_시나리오비교'!$B$8))),0)</f>
        <v/>
      </c>
      <c r="T693" s="80">
        <f>IF($I693&gt;0,MAX(0,$G693*SIN(RADIANS('13_시나리오비교'!$B$9))*SIN(RADIANS('13_시나리오비교'!$C$9))+$H693*SIN(RADIANS('13_시나리오비교'!$B$9))*COS(RADIANS('13_시나리오비교'!$C$9))+$I693*COS(RADIANS('13_시나리오비교'!$B$9))),0)</f>
        <v/>
      </c>
      <c r="U693" s="80">
        <f>IF($I693&gt;0,MAX(0,$G693*SIN(RADIANS('13_시나리오비교'!$B$10))*SIN(RADIANS('13_시나리오비교'!$C$10))+$H693*SIN(RADIANS('13_시나리오비교'!$B$10))*COS(RADIANS('13_시나리오비교'!$C$10))+$I693*COS(RADIANS('13_시나리오비교'!$B$10))),0)</f>
        <v/>
      </c>
      <c r="V693" s="80">
        <f>IF($I693&gt;0,MAX(0,$G693*SIN(RADIANS('13_시나리오비교'!$B$11))*SIN(RADIANS('13_시나리오비교'!$C$11))+$H693*SIN(RADIANS('13_시나리오비교'!$B$11))*COS(RADIANS('13_시나리오비교'!$C$11))+$I693*COS(RADIANS('13_시나리오비교'!$B$11))),0)</f>
        <v/>
      </c>
      <c r="W693" s="80">
        <f>IF($I693&gt;0,MAX(0,$G693*SIN(RADIANS('13_시나리오비교'!$B$12))*SIN(RADIANS('13_시나리오비교'!$C$12))+$H693*SIN(RADIANS('13_시나리오비교'!$B$12))*COS(RADIANS('13_시나리오비교'!$C$12))+$I693*COS(RADIANS('13_시나리오비교'!$B$12))),0)</f>
        <v/>
      </c>
      <c r="X693" s="80">
        <f>IF($I693&gt;0,MAX(0,$G693*SIN(RADIANS('13_시나리오비교'!$B$13))*SIN(RADIANS('13_시나리오비교'!$C$13))+$H693*SIN(RADIANS('13_시나리오비교'!$B$13))*COS(RADIANS('13_시나리오비교'!$C$13))+$I693*COS(RADIANS('13_시나리오비교'!$B$13))),0)</f>
        <v/>
      </c>
      <c r="Y693" s="80">
        <f>IF($I693&gt;0,MAX(0,$G693*SIN(RADIANS('13_시나리오비교'!$B$14))*SIN(RADIANS('13_시나리오비교'!$C$14))+$H693*SIN(RADIANS('13_시나리오비교'!$B$14))*COS(RADIANS('13_시나리오비교'!$C$14))+$I693*COS(RADIANS('13_시나리오비교'!$B$14))),0)</f>
        <v/>
      </c>
    </row>
    <row r="694" hidden="1" outlineLevel="1">
      <c r="A694" s="79" t="n">
        <v>8</v>
      </c>
      <c r="B694" s="79" t="n">
        <v>2</v>
      </c>
      <c r="C694" s="80">
        <f>(B694-0.5)*'14_지역·상수'!$H$6</f>
        <v/>
      </c>
      <c r="D694" s="79" t="n">
        <v>228</v>
      </c>
      <c r="E694" s="80">
        <f>INDEX($C$4:$C$15,MATCH(A694,$A$4:$A$15,0))</f>
        <v/>
      </c>
      <c r="F694" s="80">
        <f>15*(C694-12)</f>
        <v/>
      </c>
      <c r="G694" s="80">
        <f>-COS(RADIANS(E694))*SIN(RADIANS(F694))</f>
        <v/>
      </c>
      <c r="H694" s="80">
        <f>COS(RADIANS('11_발전량_모델'!$B$17))*SIN(RADIANS(E694))-SIN(RADIANS('11_발전량_모델'!$B$17))*COS(RADIANS(E694))*COS(RADIANS(F694))</f>
        <v/>
      </c>
      <c r="I694" s="80">
        <f>SIN(RADIANS('11_발전량_모델'!$B$17))*SIN(RADIANS(E694))+COS(RADIANS('11_발전량_모델'!$B$17))*COS(RADIANS(E694))*COS(RADIANS(F694))</f>
        <v/>
      </c>
      <c r="J694" s="80">
        <f>SIN(RADIANS('11_발전량_모델'!$B$7))*SIN(RADIANS('11_발전량_모델'!$B$8))</f>
        <v/>
      </c>
      <c r="K694" s="80">
        <f>SIN(RADIANS('11_발전량_모델'!$B$7))*COS(RADIANS('11_발전량_모델'!$B$8))</f>
        <v/>
      </c>
      <c r="L694" s="80">
        <f>COS(RADIANS('11_발전량_모델'!$B$7))</f>
        <v/>
      </c>
      <c r="M694" s="80">
        <f>G694*J694+H694*K694+I694*L694</f>
        <v/>
      </c>
      <c r="N694" s="80">
        <f>MAX(0,I694)</f>
        <v/>
      </c>
      <c r="O694" s="80">
        <f>IF(I694&gt;0,MAX(0,M694),0)</f>
        <v/>
      </c>
      <c r="P694" s="80">
        <f>IF($I694&gt;0,MAX(0,$G694*SIN(RADIANS('13_시나리오비교'!$B$5))*SIN(RADIANS('13_시나리오비교'!$C$5))+$H694*SIN(RADIANS('13_시나리오비교'!$B$5))*COS(RADIANS('13_시나리오비교'!$C$5))+$I694*COS(RADIANS('13_시나리오비교'!$B$5))),0)</f>
        <v/>
      </c>
      <c r="Q694" s="80">
        <f>IF($I694&gt;0,MAX(0,$G694*SIN(RADIANS('13_시나리오비교'!$B$6))*SIN(RADIANS('13_시나리오비교'!$C$6))+$H694*SIN(RADIANS('13_시나리오비교'!$B$6))*COS(RADIANS('13_시나리오비교'!$C$6))+$I694*COS(RADIANS('13_시나리오비교'!$B$6))),0)</f>
        <v/>
      </c>
      <c r="R694" s="80">
        <f>IF($I694&gt;0,MAX(0,$G694*SIN(RADIANS('13_시나리오비교'!$B$7))*SIN(RADIANS('13_시나리오비교'!$C$7))+$H694*SIN(RADIANS('13_시나리오비교'!$B$7))*COS(RADIANS('13_시나리오비교'!$C$7))+$I694*COS(RADIANS('13_시나리오비교'!$B$7))),0)</f>
        <v/>
      </c>
      <c r="S694" s="80">
        <f>IF($I694&gt;0,MAX(0,$G694*SIN(RADIANS('13_시나리오비교'!$B$8))*SIN(RADIANS('13_시나리오비교'!$C$8))+$H694*SIN(RADIANS('13_시나리오비교'!$B$8))*COS(RADIANS('13_시나리오비교'!$C$8))+$I694*COS(RADIANS('13_시나리오비교'!$B$8))),0)</f>
        <v/>
      </c>
      <c r="T694" s="80">
        <f>IF($I694&gt;0,MAX(0,$G694*SIN(RADIANS('13_시나리오비교'!$B$9))*SIN(RADIANS('13_시나리오비교'!$C$9))+$H694*SIN(RADIANS('13_시나리오비교'!$B$9))*COS(RADIANS('13_시나리오비교'!$C$9))+$I694*COS(RADIANS('13_시나리오비교'!$B$9))),0)</f>
        <v/>
      </c>
      <c r="U694" s="80">
        <f>IF($I694&gt;0,MAX(0,$G694*SIN(RADIANS('13_시나리오비교'!$B$10))*SIN(RADIANS('13_시나리오비교'!$C$10))+$H694*SIN(RADIANS('13_시나리오비교'!$B$10))*COS(RADIANS('13_시나리오비교'!$C$10))+$I694*COS(RADIANS('13_시나리오비교'!$B$10))),0)</f>
        <v/>
      </c>
      <c r="V694" s="80">
        <f>IF($I694&gt;0,MAX(0,$G694*SIN(RADIANS('13_시나리오비교'!$B$11))*SIN(RADIANS('13_시나리오비교'!$C$11))+$H694*SIN(RADIANS('13_시나리오비교'!$B$11))*COS(RADIANS('13_시나리오비교'!$C$11))+$I694*COS(RADIANS('13_시나리오비교'!$B$11))),0)</f>
        <v/>
      </c>
      <c r="W694" s="80">
        <f>IF($I694&gt;0,MAX(0,$G694*SIN(RADIANS('13_시나리오비교'!$B$12))*SIN(RADIANS('13_시나리오비교'!$C$12))+$H694*SIN(RADIANS('13_시나리오비교'!$B$12))*COS(RADIANS('13_시나리오비교'!$C$12))+$I694*COS(RADIANS('13_시나리오비교'!$B$12))),0)</f>
        <v/>
      </c>
      <c r="X694" s="80">
        <f>IF($I694&gt;0,MAX(0,$G694*SIN(RADIANS('13_시나리오비교'!$B$13))*SIN(RADIANS('13_시나리오비교'!$C$13))+$H694*SIN(RADIANS('13_시나리오비교'!$B$13))*COS(RADIANS('13_시나리오비교'!$C$13))+$I694*COS(RADIANS('13_시나리오비교'!$B$13))),0)</f>
        <v/>
      </c>
      <c r="Y694" s="80">
        <f>IF($I694&gt;0,MAX(0,$G694*SIN(RADIANS('13_시나리오비교'!$B$14))*SIN(RADIANS('13_시나리오비교'!$C$14))+$H694*SIN(RADIANS('13_시나리오비교'!$B$14))*COS(RADIANS('13_시나리오비교'!$C$14))+$I694*COS(RADIANS('13_시나리오비교'!$B$14))),0)</f>
        <v/>
      </c>
    </row>
    <row r="695" hidden="1" outlineLevel="1">
      <c r="A695" s="79" t="n">
        <v>8</v>
      </c>
      <c r="B695" s="79" t="n">
        <v>3</v>
      </c>
      <c r="C695" s="80">
        <f>(B695-0.5)*'14_지역·상수'!$H$6</f>
        <v/>
      </c>
      <c r="D695" s="79" t="n">
        <v>228</v>
      </c>
      <c r="E695" s="80">
        <f>INDEX($C$4:$C$15,MATCH(A695,$A$4:$A$15,0))</f>
        <v/>
      </c>
      <c r="F695" s="80">
        <f>15*(C695-12)</f>
        <v/>
      </c>
      <c r="G695" s="80">
        <f>-COS(RADIANS(E695))*SIN(RADIANS(F695))</f>
        <v/>
      </c>
      <c r="H695" s="80">
        <f>COS(RADIANS('11_발전량_모델'!$B$17))*SIN(RADIANS(E695))-SIN(RADIANS('11_발전량_모델'!$B$17))*COS(RADIANS(E695))*COS(RADIANS(F695))</f>
        <v/>
      </c>
      <c r="I695" s="80">
        <f>SIN(RADIANS('11_발전량_모델'!$B$17))*SIN(RADIANS(E695))+COS(RADIANS('11_발전량_모델'!$B$17))*COS(RADIANS(E695))*COS(RADIANS(F695))</f>
        <v/>
      </c>
      <c r="J695" s="80">
        <f>SIN(RADIANS('11_발전량_모델'!$B$7))*SIN(RADIANS('11_발전량_모델'!$B$8))</f>
        <v/>
      </c>
      <c r="K695" s="80">
        <f>SIN(RADIANS('11_발전량_모델'!$B$7))*COS(RADIANS('11_발전량_모델'!$B$8))</f>
        <v/>
      </c>
      <c r="L695" s="80">
        <f>COS(RADIANS('11_발전량_모델'!$B$7))</f>
        <v/>
      </c>
      <c r="M695" s="80">
        <f>G695*J695+H695*K695+I695*L695</f>
        <v/>
      </c>
      <c r="N695" s="80">
        <f>MAX(0,I695)</f>
        <v/>
      </c>
      <c r="O695" s="80">
        <f>IF(I695&gt;0,MAX(0,M695),0)</f>
        <v/>
      </c>
      <c r="P695" s="80">
        <f>IF($I695&gt;0,MAX(0,$G695*SIN(RADIANS('13_시나리오비교'!$B$5))*SIN(RADIANS('13_시나리오비교'!$C$5))+$H695*SIN(RADIANS('13_시나리오비교'!$B$5))*COS(RADIANS('13_시나리오비교'!$C$5))+$I695*COS(RADIANS('13_시나리오비교'!$B$5))),0)</f>
        <v/>
      </c>
      <c r="Q695" s="80">
        <f>IF($I695&gt;0,MAX(0,$G695*SIN(RADIANS('13_시나리오비교'!$B$6))*SIN(RADIANS('13_시나리오비교'!$C$6))+$H695*SIN(RADIANS('13_시나리오비교'!$B$6))*COS(RADIANS('13_시나리오비교'!$C$6))+$I695*COS(RADIANS('13_시나리오비교'!$B$6))),0)</f>
        <v/>
      </c>
      <c r="R695" s="80">
        <f>IF($I695&gt;0,MAX(0,$G695*SIN(RADIANS('13_시나리오비교'!$B$7))*SIN(RADIANS('13_시나리오비교'!$C$7))+$H695*SIN(RADIANS('13_시나리오비교'!$B$7))*COS(RADIANS('13_시나리오비교'!$C$7))+$I695*COS(RADIANS('13_시나리오비교'!$B$7))),0)</f>
        <v/>
      </c>
      <c r="S695" s="80">
        <f>IF($I695&gt;0,MAX(0,$G695*SIN(RADIANS('13_시나리오비교'!$B$8))*SIN(RADIANS('13_시나리오비교'!$C$8))+$H695*SIN(RADIANS('13_시나리오비교'!$B$8))*COS(RADIANS('13_시나리오비교'!$C$8))+$I695*COS(RADIANS('13_시나리오비교'!$B$8))),0)</f>
        <v/>
      </c>
      <c r="T695" s="80">
        <f>IF($I695&gt;0,MAX(0,$G695*SIN(RADIANS('13_시나리오비교'!$B$9))*SIN(RADIANS('13_시나리오비교'!$C$9))+$H695*SIN(RADIANS('13_시나리오비교'!$B$9))*COS(RADIANS('13_시나리오비교'!$C$9))+$I695*COS(RADIANS('13_시나리오비교'!$B$9))),0)</f>
        <v/>
      </c>
      <c r="U695" s="80">
        <f>IF($I695&gt;0,MAX(0,$G695*SIN(RADIANS('13_시나리오비교'!$B$10))*SIN(RADIANS('13_시나리오비교'!$C$10))+$H695*SIN(RADIANS('13_시나리오비교'!$B$10))*COS(RADIANS('13_시나리오비교'!$C$10))+$I695*COS(RADIANS('13_시나리오비교'!$B$10))),0)</f>
        <v/>
      </c>
      <c r="V695" s="80">
        <f>IF($I695&gt;0,MAX(0,$G695*SIN(RADIANS('13_시나리오비교'!$B$11))*SIN(RADIANS('13_시나리오비교'!$C$11))+$H695*SIN(RADIANS('13_시나리오비교'!$B$11))*COS(RADIANS('13_시나리오비교'!$C$11))+$I695*COS(RADIANS('13_시나리오비교'!$B$11))),0)</f>
        <v/>
      </c>
      <c r="W695" s="80">
        <f>IF($I695&gt;0,MAX(0,$G695*SIN(RADIANS('13_시나리오비교'!$B$12))*SIN(RADIANS('13_시나리오비교'!$C$12))+$H695*SIN(RADIANS('13_시나리오비교'!$B$12))*COS(RADIANS('13_시나리오비교'!$C$12))+$I695*COS(RADIANS('13_시나리오비교'!$B$12))),0)</f>
        <v/>
      </c>
      <c r="X695" s="80">
        <f>IF($I695&gt;0,MAX(0,$G695*SIN(RADIANS('13_시나리오비교'!$B$13))*SIN(RADIANS('13_시나리오비교'!$C$13))+$H695*SIN(RADIANS('13_시나리오비교'!$B$13))*COS(RADIANS('13_시나리오비교'!$C$13))+$I695*COS(RADIANS('13_시나리오비교'!$B$13))),0)</f>
        <v/>
      </c>
      <c r="Y695" s="80">
        <f>IF($I695&gt;0,MAX(0,$G695*SIN(RADIANS('13_시나리오비교'!$B$14))*SIN(RADIANS('13_시나리오비교'!$C$14))+$H695*SIN(RADIANS('13_시나리오비교'!$B$14))*COS(RADIANS('13_시나리오비교'!$C$14))+$I695*COS(RADIANS('13_시나리오비교'!$B$14))),0)</f>
        <v/>
      </c>
    </row>
    <row r="696" hidden="1" outlineLevel="1">
      <c r="A696" s="79" t="n">
        <v>8</v>
      </c>
      <c r="B696" s="79" t="n">
        <v>4</v>
      </c>
      <c r="C696" s="80">
        <f>(B696-0.5)*'14_지역·상수'!$H$6</f>
        <v/>
      </c>
      <c r="D696" s="79" t="n">
        <v>228</v>
      </c>
      <c r="E696" s="80">
        <f>INDEX($C$4:$C$15,MATCH(A696,$A$4:$A$15,0))</f>
        <v/>
      </c>
      <c r="F696" s="80">
        <f>15*(C696-12)</f>
        <v/>
      </c>
      <c r="G696" s="80">
        <f>-COS(RADIANS(E696))*SIN(RADIANS(F696))</f>
        <v/>
      </c>
      <c r="H696" s="80">
        <f>COS(RADIANS('11_발전량_모델'!$B$17))*SIN(RADIANS(E696))-SIN(RADIANS('11_발전량_모델'!$B$17))*COS(RADIANS(E696))*COS(RADIANS(F696))</f>
        <v/>
      </c>
      <c r="I696" s="80">
        <f>SIN(RADIANS('11_발전량_모델'!$B$17))*SIN(RADIANS(E696))+COS(RADIANS('11_발전량_모델'!$B$17))*COS(RADIANS(E696))*COS(RADIANS(F696))</f>
        <v/>
      </c>
      <c r="J696" s="80">
        <f>SIN(RADIANS('11_발전량_모델'!$B$7))*SIN(RADIANS('11_발전량_모델'!$B$8))</f>
        <v/>
      </c>
      <c r="K696" s="80">
        <f>SIN(RADIANS('11_발전량_모델'!$B$7))*COS(RADIANS('11_발전량_모델'!$B$8))</f>
        <v/>
      </c>
      <c r="L696" s="80">
        <f>COS(RADIANS('11_발전량_모델'!$B$7))</f>
        <v/>
      </c>
      <c r="M696" s="80">
        <f>G696*J696+H696*K696+I696*L696</f>
        <v/>
      </c>
      <c r="N696" s="80">
        <f>MAX(0,I696)</f>
        <v/>
      </c>
      <c r="O696" s="80">
        <f>IF(I696&gt;0,MAX(0,M696),0)</f>
        <v/>
      </c>
      <c r="P696" s="80">
        <f>IF($I696&gt;0,MAX(0,$G696*SIN(RADIANS('13_시나리오비교'!$B$5))*SIN(RADIANS('13_시나리오비교'!$C$5))+$H696*SIN(RADIANS('13_시나리오비교'!$B$5))*COS(RADIANS('13_시나리오비교'!$C$5))+$I696*COS(RADIANS('13_시나리오비교'!$B$5))),0)</f>
        <v/>
      </c>
      <c r="Q696" s="80">
        <f>IF($I696&gt;0,MAX(0,$G696*SIN(RADIANS('13_시나리오비교'!$B$6))*SIN(RADIANS('13_시나리오비교'!$C$6))+$H696*SIN(RADIANS('13_시나리오비교'!$B$6))*COS(RADIANS('13_시나리오비교'!$C$6))+$I696*COS(RADIANS('13_시나리오비교'!$B$6))),0)</f>
        <v/>
      </c>
      <c r="R696" s="80">
        <f>IF($I696&gt;0,MAX(0,$G696*SIN(RADIANS('13_시나리오비교'!$B$7))*SIN(RADIANS('13_시나리오비교'!$C$7))+$H696*SIN(RADIANS('13_시나리오비교'!$B$7))*COS(RADIANS('13_시나리오비교'!$C$7))+$I696*COS(RADIANS('13_시나리오비교'!$B$7))),0)</f>
        <v/>
      </c>
      <c r="S696" s="80">
        <f>IF($I696&gt;0,MAX(0,$G696*SIN(RADIANS('13_시나리오비교'!$B$8))*SIN(RADIANS('13_시나리오비교'!$C$8))+$H696*SIN(RADIANS('13_시나리오비교'!$B$8))*COS(RADIANS('13_시나리오비교'!$C$8))+$I696*COS(RADIANS('13_시나리오비교'!$B$8))),0)</f>
        <v/>
      </c>
      <c r="T696" s="80">
        <f>IF($I696&gt;0,MAX(0,$G696*SIN(RADIANS('13_시나리오비교'!$B$9))*SIN(RADIANS('13_시나리오비교'!$C$9))+$H696*SIN(RADIANS('13_시나리오비교'!$B$9))*COS(RADIANS('13_시나리오비교'!$C$9))+$I696*COS(RADIANS('13_시나리오비교'!$B$9))),0)</f>
        <v/>
      </c>
      <c r="U696" s="80">
        <f>IF($I696&gt;0,MAX(0,$G696*SIN(RADIANS('13_시나리오비교'!$B$10))*SIN(RADIANS('13_시나리오비교'!$C$10))+$H696*SIN(RADIANS('13_시나리오비교'!$B$10))*COS(RADIANS('13_시나리오비교'!$C$10))+$I696*COS(RADIANS('13_시나리오비교'!$B$10))),0)</f>
        <v/>
      </c>
      <c r="V696" s="80">
        <f>IF($I696&gt;0,MAX(0,$G696*SIN(RADIANS('13_시나리오비교'!$B$11))*SIN(RADIANS('13_시나리오비교'!$C$11))+$H696*SIN(RADIANS('13_시나리오비교'!$B$11))*COS(RADIANS('13_시나리오비교'!$C$11))+$I696*COS(RADIANS('13_시나리오비교'!$B$11))),0)</f>
        <v/>
      </c>
      <c r="W696" s="80">
        <f>IF($I696&gt;0,MAX(0,$G696*SIN(RADIANS('13_시나리오비교'!$B$12))*SIN(RADIANS('13_시나리오비교'!$C$12))+$H696*SIN(RADIANS('13_시나리오비교'!$B$12))*COS(RADIANS('13_시나리오비교'!$C$12))+$I696*COS(RADIANS('13_시나리오비교'!$B$12))),0)</f>
        <v/>
      </c>
      <c r="X696" s="80">
        <f>IF($I696&gt;0,MAX(0,$G696*SIN(RADIANS('13_시나리오비교'!$B$13))*SIN(RADIANS('13_시나리오비교'!$C$13))+$H696*SIN(RADIANS('13_시나리오비교'!$B$13))*COS(RADIANS('13_시나리오비교'!$C$13))+$I696*COS(RADIANS('13_시나리오비교'!$B$13))),0)</f>
        <v/>
      </c>
      <c r="Y696" s="80">
        <f>IF($I696&gt;0,MAX(0,$G696*SIN(RADIANS('13_시나리오비교'!$B$14))*SIN(RADIANS('13_시나리오비교'!$C$14))+$H696*SIN(RADIANS('13_시나리오비교'!$B$14))*COS(RADIANS('13_시나리오비교'!$C$14))+$I696*COS(RADIANS('13_시나리오비교'!$B$14))),0)</f>
        <v/>
      </c>
    </row>
    <row r="697" hidden="1" outlineLevel="1">
      <c r="A697" s="79" t="n">
        <v>8</v>
      </c>
      <c r="B697" s="79" t="n">
        <v>5</v>
      </c>
      <c r="C697" s="80">
        <f>(B697-0.5)*'14_지역·상수'!$H$6</f>
        <v/>
      </c>
      <c r="D697" s="79" t="n">
        <v>228</v>
      </c>
      <c r="E697" s="80">
        <f>INDEX($C$4:$C$15,MATCH(A697,$A$4:$A$15,0))</f>
        <v/>
      </c>
      <c r="F697" s="80">
        <f>15*(C697-12)</f>
        <v/>
      </c>
      <c r="G697" s="80">
        <f>-COS(RADIANS(E697))*SIN(RADIANS(F697))</f>
        <v/>
      </c>
      <c r="H697" s="80">
        <f>COS(RADIANS('11_발전량_모델'!$B$17))*SIN(RADIANS(E697))-SIN(RADIANS('11_발전량_모델'!$B$17))*COS(RADIANS(E697))*COS(RADIANS(F697))</f>
        <v/>
      </c>
      <c r="I697" s="80">
        <f>SIN(RADIANS('11_발전량_모델'!$B$17))*SIN(RADIANS(E697))+COS(RADIANS('11_발전량_모델'!$B$17))*COS(RADIANS(E697))*COS(RADIANS(F697))</f>
        <v/>
      </c>
      <c r="J697" s="80">
        <f>SIN(RADIANS('11_발전량_모델'!$B$7))*SIN(RADIANS('11_발전량_모델'!$B$8))</f>
        <v/>
      </c>
      <c r="K697" s="80">
        <f>SIN(RADIANS('11_발전량_모델'!$B$7))*COS(RADIANS('11_발전량_모델'!$B$8))</f>
        <v/>
      </c>
      <c r="L697" s="80">
        <f>COS(RADIANS('11_발전량_모델'!$B$7))</f>
        <v/>
      </c>
      <c r="M697" s="80">
        <f>G697*J697+H697*K697+I697*L697</f>
        <v/>
      </c>
      <c r="N697" s="80">
        <f>MAX(0,I697)</f>
        <v/>
      </c>
      <c r="O697" s="80">
        <f>IF(I697&gt;0,MAX(0,M697),0)</f>
        <v/>
      </c>
      <c r="P697" s="80">
        <f>IF($I697&gt;0,MAX(0,$G697*SIN(RADIANS('13_시나리오비교'!$B$5))*SIN(RADIANS('13_시나리오비교'!$C$5))+$H697*SIN(RADIANS('13_시나리오비교'!$B$5))*COS(RADIANS('13_시나리오비교'!$C$5))+$I697*COS(RADIANS('13_시나리오비교'!$B$5))),0)</f>
        <v/>
      </c>
      <c r="Q697" s="80">
        <f>IF($I697&gt;0,MAX(0,$G697*SIN(RADIANS('13_시나리오비교'!$B$6))*SIN(RADIANS('13_시나리오비교'!$C$6))+$H697*SIN(RADIANS('13_시나리오비교'!$B$6))*COS(RADIANS('13_시나리오비교'!$C$6))+$I697*COS(RADIANS('13_시나리오비교'!$B$6))),0)</f>
        <v/>
      </c>
      <c r="R697" s="80">
        <f>IF($I697&gt;0,MAX(0,$G697*SIN(RADIANS('13_시나리오비교'!$B$7))*SIN(RADIANS('13_시나리오비교'!$C$7))+$H697*SIN(RADIANS('13_시나리오비교'!$B$7))*COS(RADIANS('13_시나리오비교'!$C$7))+$I697*COS(RADIANS('13_시나리오비교'!$B$7))),0)</f>
        <v/>
      </c>
      <c r="S697" s="80">
        <f>IF($I697&gt;0,MAX(0,$G697*SIN(RADIANS('13_시나리오비교'!$B$8))*SIN(RADIANS('13_시나리오비교'!$C$8))+$H697*SIN(RADIANS('13_시나리오비교'!$B$8))*COS(RADIANS('13_시나리오비교'!$C$8))+$I697*COS(RADIANS('13_시나리오비교'!$B$8))),0)</f>
        <v/>
      </c>
      <c r="T697" s="80">
        <f>IF($I697&gt;0,MAX(0,$G697*SIN(RADIANS('13_시나리오비교'!$B$9))*SIN(RADIANS('13_시나리오비교'!$C$9))+$H697*SIN(RADIANS('13_시나리오비교'!$B$9))*COS(RADIANS('13_시나리오비교'!$C$9))+$I697*COS(RADIANS('13_시나리오비교'!$B$9))),0)</f>
        <v/>
      </c>
      <c r="U697" s="80">
        <f>IF($I697&gt;0,MAX(0,$G697*SIN(RADIANS('13_시나리오비교'!$B$10))*SIN(RADIANS('13_시나리오비교'!$C$10))+$H697*SIN(RADIANS('13_시나리오비교'!$B$10))*COS(RADIANS('13_시나리오비교'!$C$10))+$I697*COS(RADIANS('13_시나리오비교'!$B$10))),0)</f>
        <v/>
      </c>
      <c r="V697" s="80">
        <f>IF($I697&gt;0,MAX(0,$G697*SIN(RADIANS('13_시나리오비교'!$B$11))*SIN(RADIANS('13_시나리오비교'!$C$11))+$H697*SIN(RADIANS('13_시나리오비교'!$B$11))*COS(RADIANS('13_시나리오비교'!$C$11))+$I697*COS(RADIANS('13_시나리오비교'!$B$11))),0)</f>
        <v/>
      </c>
      <c r="W697" s="80">
        <f>IF($I697&gt;0,MAX(0,$G697*SIN(RADIANS('13_시나리오비교'!$B$12))*SIN(RADIANS('13_시나리오비교'!$C$12))+$H697*SIN(RADIANS('13_시나리오비교'!$B$12))*COS(RADIANS('13_시나리오비교'!$C$12))+$I697*COS(RADIANS('13_시나리오비교'!$B$12))),0)</f>
        <v/>
      </c>
      <c r="X697" s="80">
        <f>IF($I697&gt;0,MAX(0,$G697*SIN(RADIANS('13_시나리오비교'!$B$13))*SIN(RADIANS('13_시나리오비교'!$C$13))+$H697*SIN(RADIANS('13_시나리오비교'!$B$13))*COS(RADIANS('13_시나리오비교'!$C$13))+$I697*COS(RADIANS('13_시나리오비교'!$B$13))),0)</f>
        <v/>
      </c>
      <c r="Y697" s="80">
        <f>IF($I697&gt;0,MAX(0,$G697*SIN(RADIANS('13_시나리오비교'!$B$14))*SIN(RADIANS('13_시나리오비교'!$C$14))+$H697*SIN(RADIANS('13_시나리오비교'!$B$14))*COS(RADIANS('13_시나리오비교'!$C$14))+$I697*COS(RADIANS('13_시나리오비교'!$B$14))),0)</f>
        <v/>
      </c>
    </row>
    <row r="698" hidden="1" outlineLevel="1">
      <c r="A698" s="79" t="n">
        <v>8</v>
      </c>
      <c r="B698" s="79" t="n">
        <v>6</v>
      </c>
      <c r="C698" s="80">
        <f>(B698-0.5)*'14_지역·상수'!$H$6</f>
        <v/>
      </c>
      <c r="D698" s="79" t="n">
        <v>228</v>
      </c>
      <c r="E698" s="80">
        <f>INDEX($C$4:$C$15,MATCH(A698,$A$4:$A$15,0))</f>
        <v/>
      </c>
      <c r="F698" s="80">
        <f>15*(C698-12)</f>
        <v/>
      </c>
      <c r="G698" s="80">
        <f>-COS(RADIANS(E698))*SIN(RADIANS(F698))</f>
        <v/>
      </c>
      <c r="H698" s="80">
        <f>COS(RADIANS('11_발전량_모델'!$B$17))*SIN(RADIANS(E698))-SIN(RADIANS('11_발전량_모델'!$B$17))*COS(RADIANS(E698))*COS(RADIANS(F698))</f>
        <v/>
      </c>
      <c r="I698" s="80">
        <f>SIN(RADIANS('11_발전량_모델'!$B$17))*SIN(RADIANS(E698))+COS(RADIANS('11_발전량_모델'!$B$17))*COS(RADIANS(E698))*COS(RADIANS(F698))</f>
        <v/>
      </c>
      <c r="J698" s="80">
        <f>SIN(RADIANS('11_발전량_모델'!$B$7))*SIN(RADIANS('11_발전량_모델'!$B$8))</f>
        <v/>
      </c>
      <c r="K698" s="80">
        <f>SIN(RADIANS('11_발전량_모델'!$B$7))*COS(RADIANS('11_발전량_모델'!$B$8))</f>
        <v/>
      </c>
      <c r="L698" s="80">
        <f>COS(RADIANS('11_발전량_모델'!$B$7))</f>
        <v/>
      </c>
      <c r="M698" s="80">
        <f>G698*J698+H698*K698+I698*L698</f>
        <v/>
      </c>
      <c r="N698" s="80">
        <f>MAX(0,I698)</f>
        <v/>
      </c>
      <c r="O698" s="80">
        <f>IF(I698&gt;0,MAX(0,M698),0)</f>
        <v/>
      </c>
      <c r="P698" s="80">
        <f>IF($I698&gt;0,MAX(0,$G698*SIN(RADIANS('13_시나리오비교'!$B$5))*SIN(RADIANS('13_시나리오비교'!$C$5))+$H698*SIN(RADIANS('13_시나리오비교'!$B$5))*COS(RADIANS('13_시나리오비교'!$C$5))+$I698*COS(RADIANS('13_시나리오비교'!$B$5))),0)</f>
        <v/>
      </c>
      <c r="Q698" s="80">
        <f>IF($I698&gt;0,MAX(0,$G698*SIN(RADIANS('13_시나리오비교'!$B$6))*SIN(RADIANS('13_시나리오비교'!$C$6))+$H698*SIN(RADIANS('13_시나리오비교'!$B$6))*COS(RADIANS('13_시나리오비교'!$C$6))+$I698*COS(RADIANS('13_시나리오비교'!$B$6))),0)</f>
        <v/>
      </c>
      <c r="R698" s="80">
        <f>IF($I698&gt;0,MAX(0,$G698*SIN(RADIANS('13_시나리오비교'!$B$7))*SIN(RADIANS('13_시나리오비교'!$C$7))+$H698*SIN(RADIANS('13_시나리오비교'!$B$7))*COS(RADIANS('13_시나리오비교'!$C$7))+$I698*COS(RADIANS('13_시나리오비교'!$B$7))),0)</f>
        <v/>
      </c>
      <c r="S698" s="80">
        <f>IF($I698&gt;0,MAX(0,$G698*SIN(RADIANS('13_시나리오비교'!$B$8))*SIN(RADIANS('13_시나리오비교'!$C$8))+$H698*SIN(RADIANS('13_시나리오비교'!$B$8))*COS(RADIANS('13_시나리오비교'!$C$8))+$I698*COS(RADIANS('13_시나리오비교'!$B$8))),0)</f>
        <v/>
      </c>
      <c r="T698" s="80">
        <f>IF($I698&gt;0,MAX(0,$G698*SIN(RADIANS('13_시나리오비교'!$B$9))*SIN(RADIANS('13_시나리오비교'!$C$9))+$H698*SIN(RADIANS('13_시나리오비교'!$B$9))*COS(RADIANS('13_시나리오비교'!$C$9))+$I698*COS(RADIANS('13_시나리오비교'!$B$9))),0)</f>
        <v/>
      </c>
      <c r="U698" s="80">
        <f>IF($I698&gt;0,MAX(0,$G698*SIN(RADIANS('13_시나리오비교'!$B$10))*SIN(RADIANS('13_시나리오비교'!$C$10))+$H698*SIN(RADIANS('13_시나리오비교'!$B$10))*COS(RADIANS('13_시나리오비교'!$C$10))+$I698*COS(RADIANS('13_시나리오비교'!$B$10))),0)</f>
        <v/>
      </c>
      <c r="V698" s="80">
        <f>IF($I698&gt;0,MAX(0,$G698*SIN(RADIANS('13_시나리오비교'!$B$11))*SIN(RADIANS('13_시나리오비교'!$C$11))+$H698*SIN(RADIANS('13_시나리오비교'!$B$11))*COS(RADIANS('13_시나리오비교'!$C$11))+$I698*COS(RADIANS('13_시나리오비교'!$B$11))),0)</f>
        <v/>
      </c>
      <c r="W698" s="80">
        <f>IF($I698&gt;0,MAX(0,$G698*SIN(RADIANS('13_시나리오비교'!$B$12))*SIN(RADIANS('13_시나리오비교'!$C$12))+$H698*SIN(RADIANS('13_시나리오비교'!$B$12))*COS(RADIANS('13_시나리오비교'!$C$12))+$I698*COS(RADIANS('13_시나리오비교'!$B$12))),0)</f>
        <v/>
      </c>
      <c r="X698" s="80">
        <f>IF($I698&gt;0,MAX(0,$G698*SIN(RADIANS('13_시나리오비교'!$B$13))*SIN(RADIANS('13_시나리오비교'!$C$13))+$H698*SIN(RADIANS('13_시나리오비교'!$B$13))*COS(RADIANS('13_시나리오비교'!$C$13))+$I698*COS(RADIANS('13_시나리오비교'!$B$13))),0)</f>
        <v/>
      </c>
      <c r="Y698" s="80">
        <f>IF($I698&gt;0,MAX(0,$G698*SIN(RADIANS('13_시나리오비교'!$B$14))*SIN(RADIANS('13_시나리오비교'!$C$14))+$H698*SIN(RADIANS('13_시나리오비교'!$B$14))*COS(RADIANS('13_시나리오비교'!$C$14))+$I698*COS(RADIANS('13_시나리오비교'!$B$14))),0)</f>
        <v/>
      </c>
    </row>
    <row r="699" hidden="1" outlineLevel="1">
      <c r="A699" s="79" t="n">
        <v>8</v>
      </c>
      <c r="B699" s="79" t="n">
        <v>7</v>
      </c>
      <c r="C699" s="80">
        <f>(B699-0.5)*'14_지역·상수'!$H$6</f>
        <v/>
      </c>
      <c r="D699" s="79" t="n">
        <v>228</v>
      </c>
      <c r="E699" s="80">
        <f>INDEX($C$4:$C$15,MATCH(A699,$A$4:$A$15,0))</f>
        <v/>
      </c>
      <c r="F699" s="80">
        <f>15*(C699-12)</f>
        <v/>
      </c>
      <c r="G699" s="80">
        <f>-COS(RADIANS(E699))*SIN(RADIANS(F699))</f>
        <v/>
      </c>
      <c r="H699" s="80">
        <f>COS(RADIANS('11_발전량_모델'!$B$17))*SIN(RADIANS(E699))-SIN(RADIANS('11_발전량_모델'!$B$17))*COS(RADIANS(E699))*COS(RADIANS(F699))</f>
        <v/>
      </c>
      <c r="I699" s="80">
        <f>SIN(RADIANS('11_발전량_모델'!$B$17))*SIN(RADIANS(E699))+COS(RADIANS('11_발전량_모델'!$B$17))*COS(RADIANS(E699))*COS(RADIANS(F699))</f>
        <v/>
      </c>
      <c r="J699" s="80">
        <f>SIN(RADIANS('11_발전량_모델'!$B$7))*SIN(RADIANS('11_발전량_모델'!$B$8))</f>
        <v/>
      </c>
      <c r="K699" s="80">
        <f>SIN(RADIANS('11_발전량_모델'!$B$7))*COS(RADIANS('11_발전량_모델'!$B$8))</f>
        <v/>
      </c>
      <c r="L699" s="80">
        <f>COS(RADIANS('11_발전량_모델'!$B$7))</f>
        <v/>
      </c>
      <c r="M699" s="80">
        <f>G699*J699+H699*K699+I699*L699</f>
        <v/>
      </c>
      <c r="N699" s="80">
        <f>MAX(0,I699)</f>
        <v/>
      </c>
      <c r="O699" s="80">
        <f>IF(I699&gt;0,MAX(0,M699),0)</f>
        <v/>
      </c>
      <c r="P699" s="80">
        <f>IF($I699&gt;0,MAX(0,$G699*SIN(RADIANS('13_시나리오비교'!$B$5))*SIN(RADIANS('13_시나리오비교'!$C$5))+$H699*SIN(RADIANS('13_시나리오비교'!$B$5))*COS(RADIANS('13_시나리오비교'!$C$5))+$I699*COS(RADIANS('13_시나리오비교'!$B$5))),0)</f>
        <v/>
      </c>
      <c r="Q699" s="80">
        <f>IF($I699&gt;0,MAX(0,$G699*SIN(RADIANS('13_시나리오비교'!$B$6))*SIN(RADIANS('13_시나리오비교'!$C$6))+$H699*SIN(RADIANS('13_시나리오비교'!$B$6))*COS(RADIANS('13_시나리오비교'!$C$6))+$I699*COS(RADIANS('13_시나리오비교'!$B$6))),0)</f>
        <v/>
      </c>
      <c r="R699" s="80">
        <f>IF($I699&gt;0,MAX(0,$G699*SIN(RADIANS('13_시나리오비교'!$B$7))*SIN(RADIANS('13_시나리오비교'!$C$7))+$H699*SIN(RADIANS('13_시나리오비교'!$B$7))*COS(RADIANS('13_시나리오비교'!$C$7))+$I699*COS(RADIANS('13_시나리오비교'!$B$7))),0)</f>
        <v/>
      </c>
      <c r="S699" s="80">
        <f>IF($I699&gt;0,MAX(0,$G699*SIN(RADIANS('13_시나리오비교'!$B$8))*SIN(RADIANS('13_시나리오비교'!$C$8))+$H699*SIN(RADIANS('13_시나리오비교'!$B$8))*COS(RADIANS('13_시나리오비교'!$C$8))+$I699*COS(RADIANS('13_시나리오비교'!$B$8))),0)</f>
        <v/>
      </c>
      <c r="T699" s="80">
        <f>IF($I699&gt;0,MAX(0,$G699*SIN(RADIANS('13_시나리오비교'!$B$9))*SIN(RADIANS('13_시나리오비교'!$C$9))+$H699*SIN(RADIANS('13_시나리오비교'!$B$9))*COS(RADIANS('13_시나리오비교'!$C$9))+$I699*COS(RADIANS('13_시나리오비교'!$B$9))),0)</f>
        <v/>
      </c>
      <c r="U699" s="80">
        <f>IF($I699&gt;0,MAX(0,$G699*SIN(RADIANS('13_시나리오비교'!$B$10))*SIN(RADIANS('13_시나리오비교'!$C$10))+$H699*SIN(RADIANS('13_시나리오비교'!$B$10))*COS(RADIANS('13_시나리오비교'!$C$10))+$I699*COS(RADIANS('13_시나리오비교'!$B$10))),0)</f>
        <v/>
      </c>
      <c r="V699" s="80">
        <f>IF($I699&gt;0,MAX(0,$G699*SIN(RADIANS('13_시나리오비교'!$B$11))*SIN(RADIANS('13_시나리오비교'!$C$11))+$H699*SIN(RADIANS('13_시나리오비교'!$B$11))*COS(RADIANS('13_시나리오비교'!$C$11))+$I699*COS(RADIANS('13_시나리오비교'!$B$11))),0)</f>
        <v/>
      </c>
      <c r="W699" s="80">
        <f>IF($I699&gt;0,MAX(0,$G699*SIN(RADIANS('13_시나리오비교'!$B$12))*SIN(RADIANS('13_시나리오비교'!$C$12))+$H699*SIN(RADIANS('13_시나리오비교'!$B$12))*COS(RADIANS('13_시나리오비교'!$C$12))+$I699*COS(RADIANS('13_시나리오비교'!$B$12))),0)</f>
        <v/>
      </c>
      <c r="X699" s="80">
        <f>IF($I699&gt;0,MAX(0,$G699*SIN(RADIANS('13_시나리오비교'!$B$13))*SIN(RADIANS('13_시나리오비교'!$C$13))+$H699*SIN(RADIANS('13_시나리오비교'!$B$13))*COS(RADIANS('13_시나리오비교'!$C$13))+$I699*COS(RADIANS('13_시나리오비교'!$B$13))),0)</f>
        <v/>
      </c>
      <c r="Y699" s="80">
        <f>IF($I699&gt;0,MAX(0,$G699*SIN(RADIANS('13_시나리오비교'!$B$14))*SIN(RADIANS('13_시나리오비교'!$C$14))+$H699*SIN(RADIANS('13_시나리오비교'!$B$14))*COS(RADIANS('13_시나리오비교'!$C$14))+$I699*COS(RADIANS('13_시나리오비교'!$B$14))),0)</f>
        <v/>
      </c>
    </row>
    <row r="700" hidden="1" outlineLevel="1">
      <c r="A700" s="79" t="n">
        <v>8</v>
      </c>
      <c r="B700" s="79" t="n">
        <v>8</v>
      </c>
      <c r="C700" s="80">
        <f>(B700-0.5)*'14_지역·상수'!$H$6</f>
        <v/>
      </c>
      <c r="D700" s="79" t="n">
        <v>228</v>
      </c>
      <c r="E700" s="80">
        <f>INDEX($C$4:$C$15,MATCH(A700,$A$4:$A$15,0))</f>
        <v/>
      </c>
      <c r="F700" s="80">
        <f>15*(C700-12)</f>
        <v/>
      </c>
      <c r="G700" s="80">
        <f>-COS(RADIANS(E700))*SIN(RADIANS(F700))</f>
        <v/>
      </c>
      <c r="H700" s="80">
        <f>COS(RADIANS('11_발전량_모델'!$B$17))*SIN(RADIANS(E700))-SIN(RADIANS('11_발전량_모델'!$B$17))*COS(RADIANS(E700))*COS(RADIANS(F700))</f>
        <v/>
      </c>
      <c r="I700" s="80">
        <f>SIN(RADIANS('11_발전량_모델'!$B$17))*SIN(RADIANS(E700))+COS(RADIANS('11_발전량_모델'!$B$17))*COS(RADIANS(E700))*COS(RADIANS(F700))</f>
        <v/>
      </c>
      <c r="J700" s="80">
        <f>SIN(RADIANS('11_발전량_모델'!$B$7))*SIN(RADIANS('11_발전량_모델'!$B$8))</f>
        <v/>
      </c>
      <c r="K700" s="80">
        <f>SIN(RADIANS('11_발전량_모델'!$B$7))*COS(RADIANS('11_발전량_모델'!$B$8))</f>
        <v/>
      </c>
      <c r="L700" s="80">
        <f>COS(RADIANS('11_발전량_모델'!$B$7))</f>
        <v/>
      </c>
      <c r="M700" s="80">
        <f>G700*J700+H700*K700+I700*L700</f>
        <v/>
      </c>
      <c r="N700" s="80">
        <f>MAX(0,I700)</f>
        <v/>
      </c>
      <c r="O700" s="80">
        <f>IF(I700&gt;0,MAX(0,M700),0)</f>
        <v/>
      </c>
      <c r="P700" s="80">
        <f>IF($I700&gt;0,MAX(0,$G700*SIN(RADIANS('13_시나리오비교'!$B$5))*SIN(RADIANS('13_시나리오비교'!$C$5))+$H700*SIN(RADIANS('13_시나리오비교'!$B$5))*COS(RADIANS('13_시나리오비교'!$C$5))+$I700*COS(RADIANS('13_시나리오비교'!$B$5))),0)</f>
        <v/>
      </c>
      <c r="Q700" s="80">
        <f>IF($I700&gt;0,MAX(0,$G700*SIN(RADIANS('13_시나리오비교'!$B$6))*SIN(RADIANS('13_시나리오비교'!$C$6))+$H700*SIN(RADIANS('13_시나리오비교'!$B$6))*COS(RADIANS('13_시나리오비교'!$C$6))+$I700*COS(RADIANS('13_시나리오비교'!$B$6))),0)</f>
        <v/>
      </c>
      <c r="R700" s="80">
        <f>IF($I700&gt;0,MAX(0,$G700*SIN(RADIANS('13_시나리오비교'!$B$7))*SIN(RADIANS('13_시나리오비교'!$C$7))+$H700*SIN(RADIANS('13_시나리오비교'!$B$7))*COS(RADIANS('13_시나리오비교'!$C$7))+$I700*COS(RADIANS('13_시나리오비교'!$B$7))),0)</f>
        <v/>
      </c>
      <c r="S700" s="80">
        <f>IF($I700&gt;0,MAX(0,$G700*SIN(RADIANS('13_시나리오비교'!$B$8))*SIN(RADIANS('13_시나리오비교'!$C$8))+$H700*SIN(RADIANS('13_시나리오비교'!$B$8))*COS(RADIANS('13_시나리오비교'!$C$8))+$I700*COS(RADIANS('13_시나리오비교'!$B$8))),0)</f>
        <v/>
      </c>
      <c r="T700" s="80">
        <f>IF($I700&gt;0,MAX(0,$G700*SIN(RADIANS('13_시나리오비교'!$B$9))*SIN(RADIANS('13_시나리오비교'!$C$9))+$H700*SIN(RADIANS('13_시나리오비교'!$B$9))*COS(RADIANS('13_시나리오비교'!$C$9))+$I700*COS(RADIANS('13_시나리오비교'!$B$9))),0)</f>
        <v/>
      </c>
      <c r="U700" s="80">
        <f>IF($I700&gt;0,MAX(0,$G700*SIN(RADIANS('13_시나리오비교'!$B$10))*SIN(RADIANS('13_시나리오비교'!$C$10))+$H700*SIN(RADIANS('13_시나리오비교'!$B$10))*COS(RADIANS('13_시나리오비교'!$C$10))+$I700*COS(RADIANS('13_시나리오비교'!$B$10))),0)</f>
        <v/>
      </c>
      <c r="V700" s="80">
        <f>IF($I700&gt;0,MAX(0,$G700*SIN(RADIANS('13_시나리오비교'!$B$11))*SIN(RADIANS('13_시나리오비교'!$C$11))+$H700*SIN(RADIANS('13_시나리오비교'!$B$11))*COS(RADIANS('13_시나리오비교'!$C$11))+$I700*COS(RADIANS('13_시나리오비교'!$B$11))),0)</f>
        <v/>
      </c>
      <c r="W700" s="80">
        <f>IF($I700&gt;0,MAX(0,$G700*SIN(RADIANS('13_시나리오비교'!$B$12))*SIN(RADIANS('13_시나리오비교'!$C$12))+$H700*SIN(RADIANS('13_시나리오비교'!$B$12))*COS(RADIANS('13_시나리오비교'!$C$12))+$I700*COS(RADIANS('13_시나리오비교'!$B$12))),0)</f>
        <v/>
      </c>
      <c r="X700" s="80">
        <f>IF($I700&gt;0,MAX(0,$G700*SIN(RADIANS('13_시나리오비교'!$B$13))*SIN(RADIANS('13_시나리오비교'!$C$13))+$H700*SIN(RADIANS('13_시나리오비교'!$B$13))*COS(RADIANS('13_시나리오비교'!$C$13))+$I700*COS(RADIANS('13_시나리오비교'!$B$13))),0)</f>
        <v/>
      </c>
      <c r="Y700" s="80">
        <f>IF($I700&gt;0,MAX(0,$G700*SIN(RADIANS('13_시나리오비교'!$B$14))*SIN(RADIANS('13_시나리오비교'!$C$14))+$H700*SIN(RADIANS('13_시나리오비교'!$B$14))*COS(RADIANS('13_시나리오비교'!$C$14))+$I700*COS(RADIANS('13_시나리오비교'!$B$14))),0)</f>
        <v/>
      </c>
    </row>
    <row r="701" hidden="1" outlineLevel="1">
      <c r="A701" s="79" t="n">
        <v>8</v>
      </c>
      <c r="B701" s="79" t="n">
        <v>9</v>
      </c>
      <c r="C701" s="80">
        <f>(B701-0.5)*'14_지역·상수'!$H$6</f>
        <v/>
      </c>
      <c r="D701" s="79" t="n">
        <v>228</v>
      </c>
      <c r="E701" s="80">
        <f>INDEX($C$4:$C$15,MATCH(A701,$A$4:$A$15,0))</f>
        <v/>
      </c>
      <c r="F701" s="80">
        <f>15*(C701-12)</f>
        <v/>
      </c>
      <c r="G701" s="80">
        <f>-COS(RADIANS(E701))*SIN(RADIANS(F701))</f>
        <v/>
      </c>
      <c r="H701" s="80">
        <f>COS(RADIANS('11_발전량_모델'!$B$17))*SIN(RADIANS(E701))-SIN(RADIANS('11_발전량_모델'!$B$17))*COS(RADIANS(E701))*COS(RADIANS(F701))</f>
        <v/>
      </c>
      <c r="I701" s="80">
        <f>SIN(RADIANS('11_발전량_모델'!$B$17))*SIN(RADIANS(E701))+COS(RADIANS('11_발전량_모델'!$B$17))*COS(RADIANS(E701))*COS(RADIANS(F701))</f>
        <v/>
      </c>
      <c r="J701" s="80">
        <f>SIN(RADIANS('11_발전량_모델'!$B$7))*SIN(RADIANS('11_발전량_모델'!$B$8))</f>
        <v/>
      </c>
      <c r="K701" s="80">
        <f>SIN(RADIANS('11_발전량_모델'!$B$7))*COS(RADIANS('11_발전량_모델'!$B$8))</f>
        <v/>
      </c>
      <c r="L701" s="80">
        <f>COS(RADIANS('11_발전량_모델'!$B$7))</f>
        <v/>
      </c>
      <c r="M701" s="80">
        <f>G701*J701+H701*K701+I701*L701</f>
        <v/>
      </c>
      <c r="N701" s="80">
        <f>MAX(0,I701)</f>
        <v/>
      </c>
      <c r="O701" s="80">
        <f>IF(I701&gt;0,MAX(0,M701),0)</f>
        <v/>
      </c>
      <c r="P701" s="80">
        <f>IF($I701&gt;0,MAX(0,$G701*SIN(RADIANS('13_시나리오비교'!$B$5))*SIN(RADIANS('13_시나리오비교'!$C$5))+$H701*SIN(RADIANS('13_시나리오비교'!$B$5))*COS(RADIANS('13_시나리오비교'!$C$5))+$I701*COS(RADIANS('13_시나리오비교'!$B$5))),0)</f>
        <v/>
      </c>
      <c r="Q701" s="80">
        <f>IF($I701&gt;0,MAX(0,$G701*SIN(RADIANS('13_시나리오비교'!$B$6))*SIN(RADIANS('13_시나리오비교'!$C$6))+$H701*SIN(RADIANS('13_시나리오비교'!$B$6))*COS(RADIANS('13_시나리오비교'!$C$6))+$I701*COS(RADIANS('13_시나리오비교'!$B$6))),0)</f>
        <v/>
      </c>
      <c r="R701" s="80">
        <f>IF($I701&gt;0,MAX(0,$G701*SIN(RADIANS('13_시나리오비교'!$B$7))*SIN(RADIANS('13_시나리오비교'!$C$7))+$H701*SIN(RADIANS('13_시나리오비교'!$B$7))*COS(RADIANS('13_시나리오비교'!$C$7))+$I701*COS(RADIANS('13_시나리오비교'!$B$7))),0)</f>
        <v/>
      </c>
      <c r="S701" s="80">
        <f>IF($I701&gt;0,MAX(0,$G701*SIN(RADIANS('13_시나리오비교'!$B$8))*SIN(RADIANS('13_시나리오비교'!$C$8))+$H701*SIN(RADIANS('13_시나리오비교'!$B$8))*COS(RADIANS('13_시나리오비교'!$C$8))+$I701*COS(RADIANS('13_시나리오비교'!$B$8))),0)</f>
        <v/>
      </c>
      <c r="T701" s="80">
        <f>IF($I701&gt;0,MAX(0,$G701*SIN(RADIANS('13_시나리오비교'!$B$9))*SIN(RADIANS('13_시나리오비교'!$C$9))+$H701*SIN(RADIANS('13_시나리오비교'!$B$9))*COS(RADIANS('13_시나리오비교'!$C$9))+$I701*COS(RADIANS('13_시나리오비교'!$B$9))),0)</f>
        <v/>
      </c>
      <c r="U701" s="80">
        <f>IF($I701&gt;0,MAX(0,$G701*SIN(RADIANS('13_시나리오비교'!$B$10))*SIN(RADIANS('13_시나리오비교'!$C$10))+$H701*SIN(RADIANS('13_시나리오비교'!$B$10))*COS(RADIANS('13_시나리오비교'!$C$10))+$I701*COS(RADIANS('13_시나리오비교'!$B$10))),0)</f>
        <v/>
      </c>
      <c r="V701" s="80">
        <f>IF($I701&gt;0,MAX(0,$G701*SIN(RADIANS('13_시나리오비교'!$B$11))*SIN(RADIANS('13_시나리오비교'!$C$11))+$H701*SIN(RADIANS('13_시나리오비교'!$B$11))*COS(RADIANS('13_시나리오비교'!$C$11))+$I701*COS(RADIANS('13_시나리오비교'!$B$11))),0)</f>
        <v/>
      </c>
      <c r="W701" s="80">
        <f>IF($I701&gt;0,MAX(0,$G701*SIN(RADIANS('13_시나리오비교'!$B$12))*SIN(RADIANS('13_시나리오비교'!$C$12))+$H701*SIN(RADIANS('13_시나리오비교'!$B$12))*COS(RADIANS('13_시나리오비교'!$C$12))+$I701*COS(RADIANS('13_시나리오비교'!$B$12))),0)</f>
        <v/>
      </c>
      <c r="X701" s="80">
        <f>IF($I701&gt;0,MAX(0,$G701*SIN(RADIANS('13_시나리오비교'!$B$13))*SIN(RADIANS('13_시나리오비교'!$C$13))+$H701*SIN(RADIANS('13_시나리오비교'!$B$13))*COS(RADIANS('13_시나리오비교'!$C$13))+$I701*COS(RADIANS('13_시나리오비교'!$B$13))),0)</f>
        <v/>
      </c>
      <c r="Y701" s="80">
        <f>IF($I701&gt;0,MAX(0,$G701*SIN(RADIANS('13_시나리오비교'!$B$14))*SIN(RADIANS('13_시나리오비교'!$C$14))+$H701*SIN(RADIANS('13_시나리오비교'!$B$14))*COS(RADIANS('13_시나리오비교'!$C$14))+$I701*COS(RADIANS('13_시나리오비교'!$B$14))),0)</f>
        <v/>
      </c>
    </row>
    <row r="702" hidden="1" outlineLevel="1">
      <c r="A702" s="79" t="n">
        <v>8</v>
      </c>
      <c r="B702" s="79" t="n">
        <v>10</v>
      </c>
      <c r="C702" s="80">
        <f>(B702-0.5)*'14_지역·상수'!$H$6</f>
        <v/>
      </c>
      <c r="D702" s="79" t="n">
        <v>228</v>
      </c>
      <c r="E702" s="80">
        <f>INDEX($C$4:$C$15,MATCH(A702,$A$4:$A$15,0))</f>
        <v/>
      </c>
      <c r="F702" s="80">
        <f>15*(C702-12)</f>
        <v/>
      </c>
      <c r="G702" s="80">
        <f>-COS(RADIANS(E702))*SIN(RADIANS(F702))</f>
        <v/>
      </c>
      <c r="H702" s="80">
        <f>COS(RADIANS('11_발전량_모델'!$B$17))*SIN(RADIANS(E702))-SIN(RADIANS('11_발전량_모델'!$B$17))*COS(RADIANS(E702))*COS(RADIANS(F702))</f>
        <v/>
      </c>
      <c r="I702" s="80">
        <f>SIN(RADIANS('11_발전량_모델'!$B$17))*SIN(RADIANS(E702))+COS(RADIANS('11_발전량_모델'!$B$17))*COS(RADIANS(E702))*COS(RADIANS(F702))</f>
        <v/>
      </c>
      <c r="J702" s="80">
        <f>SIN(RADIANS('11_발전량_모델'!$B$7))*SIN(RADIANS('11_발전량_모델'!$B$8))</f>
        <v/>
      </c>
      <c r="K702" s="80">
        <f>SIN(RADIANS('11_발전량_모델'!$B$7))*COS(RADIANS('11_발전량_모델'!$B$8))</f>
        <v/>
      </c>
      <c r="L702" s="80">
        <f>COS(RADIANS('11_발전량_모델'!$B$7))</f>
        <v/>
      </c>
      <c r="M702" s="80">
        <f>G702*J702+H702*K702+I702*L702</f>
        <v/>
      </c>
      <c r="N702" s="80">
        <f>MAX(0,I702)</f>
        <v/>
      </c>
      <c r="O702" s="80">
        <f>IF(I702&gt;0,MAX(0,M702),0)</f>
        <v/>
      </c>
      <c r="P702" s="80">
        <f>IF($I702&gt;0,MAX(0,$G702*SIN(RADIANS('13_시나리오비교'!$B$5))*SIN(RADIANS('13_시나리오비교'!$C$5))+$H702*SIN(RADIANS('13_시나리오비교'!$B$5))*COS(RADIANS('13_시나리오비교'!$C$5))+$I702*COS(RADIANS('13_시나리오비교'!$B$5))),0)</f>
        <v/>
      </c>
      <c r="Q702" s="80">
        <f>IF($I702&gt;0,MAX(0,$G702*SIN(RADIANS('13_시나리오비교'!$B$6))*SIN(RADIANS('13_시나리오비교'!$C$6))+$H702*SIN(RADIANS('13_시나리오비교'!$B$6))*COS(RADIANS('13_시나리오비교'!$C$6))+$I702*COS(RADIANS('13_시나리오비교'!$B$6))),0)</f>
        <v/>
      </c>
      <c r="R702" s="80">
        <f>IF($I702&gt;0,MAX(0,$G702*SIN(RADIANS('13_시나리오비교'!$B$7))*SIN(RADIANS('13_시나리오비교'!$C$7))+$H702*SIN(RADIANS('13_시나리오비교'!$B$7))*COS(RADIANS('13_시나리오비교'!$C$7))+$I702*COS(RADIANS('13_시나리오비교'!$B$7))),0)</f>
        <v/>
      </c>
      <c r="S702" s="80">
        <f>IF($I702&gt;0,MAX(0,$G702*SIN(RADIANS('13_시나리오비교'!$B$8))*SIN(RADIANS('13_시나리오비교'!$C$8))+$H702*SIN(RADIANS('13_시나리오비교'!$B$8))*COS(RADIANS('13_시나리오비교'!$C$8))+$I702*COS(RADIANS('13_시나리오비교'!$B$8))),0)</f>
        <v/>
      </c>
      <c r="T702" s="80">
        <f>IF($I702&gt;0,MAX(0,$G702*SIN(RADIANS('13_시나리오비교'!$B$9))*SIN(RADIANS('13_시나리오비교'!$C$9))+$H702*SIN(RADIANS('13_시나리오비교'!$B$9))*COS(RADIANS('13_시나리오비교'!$C$9))+$I702*COS(RADIANS('13_시나리오비교'!$B$9))),0)</f>
        <v/>
      </c>
      <c r="U702" s="80">
        <f>IF($I702&gt;0,MAX(0,$G702*SIN(RADIANS('13_시나리오비교'!$B$10))*SIN(RADIANS('13_시나리오비교'!$C$10))+$H702*SIN(RADIANS('13_시나리오비교'!$B$10))*COS(RADIANS('13_시나리오비교'!$C$10))+$I702*COS(RADIANS('13_시나리오비교'!$B$10))),0)</f>
        <v/>
      </c>
      <c r="V702" s="80">
        <f>IF($I702&gt;0,MAX(0,$G702*SIN(RADIANS('13_시나리오비교'!$B$11))*SIN(RADIANS('13_시나리오비교'!$C$11))+$H702*SIN(RADIANS('13_시나리오비교'!$B$11))*COS(RADIANS('13_시나리오비교'!$C$11))+$I702*COS(RADIANS('13_시나리오비교'!$B$11))),0)</f>
        <v/>
      </c>
      <c r="W702" s="80">
        <f>IF($I702&gt;0,MAX(0,$G702*SIN(RADIANS('13_시나리오비교'!$B$12))*SIN(RADIANS('13_시나리오비교'!$C$12))+$H702*SIN(RADIANS('13_시나리오비교'!$B$12))*COS(RADIANS('13_시나리오비교'!$C$12))+$I702*COS(RADIANS('13_시나리오비교'!$B$12))),0)</f>
        <v/>
      </c>
      <c r="X702" s="80">
        <f>IF($I702&gt;0,MAX(0,$G702*SIN(RADIANS('13_시나리오비교'!$B$13))*SIN(RADIANS('13_시나리오비교'!$C$13))+$H702*SIN(RADIANS('13_시나리오비교'!$B$13))*COS(RADIANS('13_시나리오비교'!$C$13))+$I702*COS(RADIANS('13_시나리오비교'!$B$13))),0)</f>
        <v/>
      </c>
      <c r="Y702" s="80">
        <f>IF($I702&gt;0,MAX(0,$G702*SIN(RADIANS('13_시나리오비교'!$B$14))*SIN(RADIANS('13_시나리오비교'!$C$14))+$H702*SIN(RADIANS('13_시나리오비교'!$B$14))*COS(RADIANS('13_시나리오비교'!$C$14))+$I702*COS(RADIANS('13_시나리오비교'!$B$14))),0)</f>
        <v/>
      </c>
    </row>
    <row r="703" hidden="1" outlineLevel="1">
      <c r="A703" s="79" t="n">
        <v>8</v>
      </c>
      <c r="B703" s="79" t="n">
        <v>11</v>
      </c>
      <c r="C703" s="80">
        <f>(B703-0.5)*'14_지역·상수'!$H$6</f>
        <v/>
      </c>
      <c r="D703" s="79" t="n">
        <v>228</v>
      </c>
      <c r="E703" s="80">
        <f>INDEX($C$4:$C$15,MATCH(A703,$A$4:$A$15,0))</f>
        <v/>
      </c>
      <c r="F703" s="80">
        <f>15*(C703-12)</f>
        <v/>
      </c>
      <c r="G703" s="80">
        <f>-COS(RADIANS(E703))*SIN(RADIANS(F703))</f>
        <v/>
      </c>
      <c r="H703" s="80">
        <f>COS(RADIANS('11_발전량_모델'!$B$17))*SIN(RADIANS(E703))-SIN(RADIANS('11_발전량_모델'!$B$17))*COS(RADIANS(E703))*COS(RADIANS(F703))</f>
        <v/>
      </c>
      <c r="I703" s="80">
        <f>SIN(RADIANS('11_발전량_모델'!$B$17))*SIN(RADIANS(E703))+COS(RADIANS('11_발전량_모델'!$B$17))*COS(RADIANS(E703))*COS(RADIANS(F703))</f>
        <v/>
      </c>
      <c r="J703" s="80">
        <f>SIN(RADIANS('11_발전량_모델'!$B$7))*SIN(RADIANS('11_발전량_모델'!$B$8))</f>
        <v/>
      </c>
      <c r="K703" s="80">
        <f>SIN(RADIANS('11_발전량_모델'!$B$7))*COS(RADIANS('11_발전량_모델'!$B$8))</f>
        <v/>
      </c>
      <c r="L703" s="80">
        <f>COS(RADIANS('11_발전량_모델'!$B$7))</f>
        <v/>
      </c>
      <c r="M703" s="80">
        <f>G703*J703+H703*K703+I703*L703</f>
        <v/>
      </c>
      <c r="N703" s="80">
        <f>MAX(0,I703)</f>
        <v/>
      </c>
      <c r="O703" s="80">
        <f>IF(I703&gt;0,MAX(0,M703),0)</f>
        <v/>
      </c>
      <c r="P703" s="80">
        <f>IF($I703&gt;0,MAX(0,$G703*SIN(RADIANS('13_시나리오비교'!$B$5))*SIN(RADIANS('13_시나리오비교'!$C$5))+$H703*SIN(RADIANS('13_시나리오비교'!$B$5))*COS(RADIANS('13_시나리오비교'!$C$5))+$I703*COS(RADIANS('13_시나리오비교'!$B$5))),0)</f>
        <v/>
      </c>
      <c r="Q703" s="80">
        <f>IF($I703&gt;0,MAX(0,$G703*SIN(RADIANS('13_시나리오비교'!$B$6))*SIN(RADIANS('13_시나리오비교'!$C$6))+$H703*SIN(RADIANS('13_시나리오비교'!$B$6))*COS(RADIANS('13_시나리오비교'!$C$6))+$I703*COS(RADIANS('13_시나리오비교'!$B$6))),0)</f>
        <v/>
      </c>
      <c r="R703" s="80">
        <f>IF($I703&gt;0,MAX(0,$G703*SIN(RADIANS('13_시나리오비교'!$B$7))*SIN(RADIANS('13_시나리오비교'!$C$7))+$H703*SIN(RADIANS('13_시나리오비교'!$B$7))*COS(RADIANS('13_시나리오비교'!$C$7))+$I703*COS(RADIANS('13_시나리오비교'!$B$7))),0)</f>
        <v/>
      </c>
      <c r="S703" s="80">
        <f>IF($I703&gt;0,MAX(0,$G703*SIN(RADIANS('13_시나리오비교'!$B$8))*SIN(RADIANS('13_시나리오비교'!$C$8))+$H703*SIN(RADIANS('13_시나리오비교'!$B$8))*COS(RADIANS('13_시나리오비교'!$C$8))+$I703*COS(RADIANS('13_시나리오비교'!$B$8))),0)</f>
        <v/>
      </c>
      <c r="T703" s="80">
        <f>IF($I703&gt;0,MAX(0,$G703*SIN(RADIANS('13_시나리오비교'!$B$9))*SIN(RADIANS('13_시나리오비교'!$C$9))+$H703*SIN(RADIANS('13_시나리오비교'!$B$9))*COS(RADIANS('13_시나리오비교'!$C$9))+$I703*COS(RADIANS('13_시나리오비교'!$B$9))),0)</f>
        <v/>
      </c>
      <c r="U703" s="80">
        <f>IF($I703&gt;0,MAX(0,$G703*SIN(RADIANS('13_시나리오비교'!$B$10))*SIN(RADIANS('13_시나리오비교'!$C$10))+$H703*SIN(RADIANS('13_시나리오비교'!$B$10))*COS(RADIANS('13_시나리오비교'!$C$10))+$I703*COS(RADIANS('13_시나리오비교'!$B$10))),0)</f>
        <v/>
      </c>
      <c r="V703" s="80">
        <f>IF($I703&gt;0,MAX(0,$G703*SIN(RADIANS('13_시나리오비교'!$B$11))*SIN(RADIANS('13_시나리오비교'!$C$11))+$H703*SIN(RADIANS('13_시나리오비교'!$B$11))*COS(RADIANS('13_시나리오비교'!$C$11))+$I703*COS(RADIANS('13_시나리오비교'!$B$11))),0)</f>
        <v/>
      </c>
      <c r="W703" s="80">
        <f>IF($I703&gt;0,MAX(0,$G703*SIN(RADIANS('13_시나리오비교'!$B$12))*SIN(RADIANS('13_시나리오비교'!$C$12))+$H703*SIN(RADIANS('13_시나리오비교'!$B$12))*COS(RADIANS('13_시나리오비교'!$C$12))+$I703*COS(RADIANS('13_시나리오비교'!$B$12))),0)</f>
        <v/>
      </c>
      <c r="X703" s="80">
        <f>IF($I703&gt;0,MAX(0,$G703*SIN(RADIANS('13_시나리오비교'!$B$13))*SIN(RADIANS('13_시나리오비교'!$C$13))+$H703*SIN(RADIANS('13_시나리오비교'!$B$13))*COS(RADIANS('13_시나리오비교'!$C$13))+$I703*COS(RADIANS('13_시나리오비교'!$B$13))),0)</f>
        <v/>
      </c>
      <c r="Y703" s="80">
        <f>IF($I703&gt;0,MAX(0,$G703*SIN(RADIANS('13_시나리오비교'!$B$14))*SIN(RADIANS('13_시나리오비교'!$C$14))+$H703*SIN(RADIANS('13_시나리오비교'!$B$14))*COS(RADIANS('13_시나리오비교'!$C$14))+$I703*COS(RADIANS('13_시나리오비교'!$B$14))),0)</f>
        <v/>
      </c>
    </row>
    <row r="704" hidden="1" outlineLevel="1">
      <c r="A704" s="79" t="n">
        <v>8</v>
      </c>
      <c r="B704" s="79" t="n">
        <v>12</v>
      </c>
      <c r="C704" s="80">
        <f>(B704-0.5)*'14_지역·상수'!$H$6</f>
        <v/>
      </c>
      <c r="D704" s="79" t="n">
        <v>228</v>
      </c>
      <c r="E704" s="80">
        <f>INDEX($C$4:$C$15,MATCH(A704,$A$4:$A$15,0))</f>
        <v/>
      </c>
      <c r="F704" s="80">
        <f>15*(C704-12)</f>
        <v/>
      </c>
      <c r="G704" s="80">
        <f>-COS(RADIANS(E704))*SIN(RADIANS(F704))</f>
        <v/>
      </c>
      <c r="H704" s="80">
        <f>COS(RADIANS('11_발전량_모델'!$B$17))*SIN(RADIANS(E704))-SIN(RADIANS('11_발전량_모델'!$B$17))*COS(RADIANS(E704))*COS(RADIANS(F704))</f>
        <v/>
      </c>
      <c r="I704" s="80">
        <f>SIN(RADIANS('11_발전량_모델'!$B$17))*SIN(RADIANS(E704))+COS(RADIANS('11_발전량_모델'!$B$17))*COS(RADIANS(E704))*COS(RADIANS(F704))</f>
        <v/>
      </c>
      <c r="J704" s="80">
        <f>SIN(RADIANS('11_발전량_모델'!$B$7))*SIN(RADIANS('11_발전량_모델'!$B$8))</f>
        <v/>
      </c>
      <c r="K704" s="80">
        <f>SIN(RADIANS('11_발전량_모델'!$B$7))*COS(RADIANS('11_발전량_모델'!$B$8))</f>
        <v/>
      </c>
      <c r="L704" s="80">
        <f>COS(RADIANS('11_발전량_모델'!$B$7))</f>
        <v/>
      </c>
      <c r="M704" s="80">
        <f>G704*J704+H704*K704+I704*L704</f>
        <v/>
      </c>
      <c r="N704" s="80">
        <f>MAX(0,I704)</f>
        <v/>
      </c>
      <c r="O704" s="80">
        <f>IF(I704&gt;0,MAX(0,M704),0)</f>
        <v/>
      </c>
      <c r="P704" s="80">
        <f>IF($I704&gt;0,MAX(0,$G704*SIN(RADIANS('13_시나리오비교'!$B$5))*SIN(RADIANS('13_시나리오비교'!$C$5))+$H704*SIN(RADIANS('13_시나리오비교'!$B$5))*COS(RADIANS('13_시나리오비교'!$C$5))+$I704*COS(RADIANS('13_시나리오비교'!$B$5))),0)</f>
        <v/>
      </c>
      <c r="Q704" s="80">
        <f>IF($I704&gt;0,MAX(0,$G704*SIN(RADIANS('13_시나리오비교'!$B$6))*SIN(RADIANS('13_시나리오비교'!$C$6))+$H704*SIN(RADIANS('13_시나리오비교'!$B$6))*COS(RADIANS('13_시나리오비교'!$C$6))+$I704*COS(RADIANS('13_시나리오비교'!$B$6))),0)</f>
        <v/>
      </c>
      <c r="R704" s="80">
        <f>IF($I704&gt;0,MAX(0,$G704*SIN(RADIANS('13_시나리오비교'!$B$7))*SIN(RADIANS('13_시나리오비교'!$C$7))+$H704*SIN(RADIANS('13_시나리오비교'!$B$7))*COS(RADIANS('13_시나리오비교'!$C$7))+$I704*COS(RADIANS('13_시나리오비교'!$B$7))),0)</f>
        <v/>
      </c>
      <c r="S704" s="80">
        <f>IF($I704&gt;0,MAX(0,$G704*SIN(RADIANS('13_시나리오비교'!$B$8))*SIN(RADIANS('13_시나리오비교'!$C$8))+$H704*SIN(RADIANS('13_시나리오비교'!$B$8))*COS(RADIANS('13_시나리오비교'!$C$8))+$I704*COS(RADIANS('13_시나리오비교'!$B$8))),0)</f>
        <v/>
      </c>
      <c r="T704" s="80">
        <f>IF($I704&gt;0,MAX(0,$G704*SIN(RADIANS('13_시나리오비교'!$B$9))*SIN(RADIANS('13_시나리오비교'!$C$9))+$H704*SIN(RADIANS('13_시나리오비교'!$B$9))*COS(RADIANS('13_시나리오비교'!$C$9))+$I704*COS(RADIANS('13_시나리오비교'!$B$9))),0)</f>
        <v/>
      </c>
      <c r="U704" s="80">
        <f>IF($I704&gt;0,MAX(0,$G704*SIN(RADIANS('13_시나리오비교'!$B$10))*SIN(RADIANS('13_시나리오비교'!$C$10))+$H704*SIN(RADIANS('13_시나리오비교'!$B$10))*COS(RADIANS('13_시나리오비교'!$C$10))+$I704*COS(RADIANS('13_시나리오비교'!$B$10))),0)</f>
        <v/>
      </c>
      <c r="V704" s="80">
        <f>IF($I704&gt;0,MAX(0,$G704*SIN(RADIANS('13_시나리오비교'!$B$11))*SIN(RADIANS('13_시나리오비교'!$C$11))+$H704*SIN(RADIANS('13_시나리오비교'!$B$11))*COS(RADIANS('13_시나리오비교'!$C$11))+$I704*COS(RADIANS('13_시나리오비교'!$B$11))),0)</f>
        <v/>
      </c>
      <c r="W704" s="80">
        <f>IF($I704&gt;0,MAX(0,$G704*SIN(RADIANS('13_시나리오비교'!$B$12))*SIN(RADIANS('13_시나리오비교'!$C$12))+$H704*SIN(RADIANS('13_시나리오비교'!$B$12))*COS(RADIANS('13_시나리오비교'!$C$12))+$I704*COS(RADIANS('13_시나리오비교'!$B$12))),0)</f>
        <v/>
      </c>
      <c r="X704" s="80">
        <f>IF($I704&gt;0,MAX(0,$G704*SIN(RADIANS('13_시나리오비교'!$B$13))*SIN(RADIANS('13_시나리오비교'!$C$13))+$H704*SIN(RADIANS('13_시나리오비교'!$B$13))*COS(RADIANS('13_시나리오비교'!$C$13))+$I704*COS(RADIANS('13_시나리오비교'!$B$13))),0)</f>
        <v/>
      </c>
      <c r="Y704" s="80">
        <f>IF($I704&gt;0,MAX(0,$G704*SIN(RADIANS('13_시나리오비교'!$B$14))*SIN(RADIANS('13_시나리오비교'!$C$14))+$H704*SIN(RADIANS('13_시나리오비교'!$B$14))*COS(RADIANS('13_시나리오비교'!$C$14))+$I704*COS(RADIANS('13_시나리오비교'!$B$14))),0)</f>
        <v/>
      </c>
    </row>
    <row r="705" hidden="1" outlineLevel="1">
      <c r="A705" s="79" t="n">
        <v>8</v>
      </c>
      <c r="B705" s="79" t="n">
        <v>13</v>
      </c>
      <c r="C705" s="80">
        <f>(B705-0.5)*'14_지역·상수'!$H$6</f>
        <v/>
      </c>
      <c r="D705" s="79" t="n">
        <v>228</v>
      </c>
      <c r="E705" s="80">
        <f>INDEX($C$4:$C$15,MATCH(A705,$A$4:$A$15,0))</f>
        <v/>
      </c>
      <c r="F705" s="80">
        <f>15*(C705-12)</f>
        <v/>
      </c>
      <c r="G705" s="80">
        <f>-COS(RADIANS(E705))*SIN(RADIANS(F705))</f>
        <v/>
      </c>
      <c r="H705" s="80">
        <f>COS(RADIANS('11_발전량_모델'!$B$17))*SIN(RADIANS(E705))-SIN(RADIANS('11_발전량_모델'!$B$17))*COS(RADIANS(E705))*COS(RADIANS(F705))</f>
        <v/>
      </c>
      <c r="I705" s="80">
        <f>SIN(RADIANS('11_발전량_모델'!$B$17))*SIN(RADIANS(E705))+COS(RADIANS('11_발전량_모델'!$B$17))*COS(RADIANS(E705))*COS(RADIANS(F705))</f>
        <v/>
      </c>
      <c r="J705" s="80">
        <f>SIN(RADIANS('11_발전량_모델'!$B$7))*SIN(RADIANS('11_발전량_모델'!$B$8))</f>
        <v/>
      </c>
      <c r="K705" s="80">
        <f>SIN(RADIANS('11_발전량_모델'!$B$7))*COS(RADIANS('11_발전량_모델'!$B$8))</f>
        <v/>
      </c>
      <c r="L705" s="80">
        <f>COS(RADIANS('11_발전량_모델'!$B$7))</f>
        <v/>
      </c>
      <c r="M705" s="80">
        <f>G705*J705+H705*K705+I705*L705</f>
        <v/>
      </c>
      <c r="N705" s="80">
        <f>MAX(0,I705)</f>
        <v/>
      </c>
      <c r="O705" s="80">
        <f>IF(I705&gt;0,MAX(0,M705),0)</f>
        <v/>
      </c>
      <c r="P705" s="80">
        <f>IF($I705&gt;0,MAX(0,$G705*SIN(RADIANS('13_시나리오비교'!$B$5))*SIN(RADIANS('13_시나리오비교'!$C$5))+$H705*SIN(RADIANS('13_시나리오비교'!$B$5))*COS(RADIANS('13_시나리오비교'!$C$5))+$I705*COS(RADIANS('13_시나리오비교'!$B$5))),0)</f>
        <v/>
      </c>
      <c r="Q705" s="80">
        <f>IF($I705&gt;0,MAX(0,$G705*SIN(RADIANS('13_시나리오비교'!$B$6))*SIN(RADIANS('13_시나리오비교'!$C$6))+$H705*SIN(RADIANS('13_시나리오비교'!$B$6))*COS(RADIANS('13_시나리오비교'!$C$6))+$I705*COS(RADIANS('13_시나리오비교'!$B$6))),0)</f>
        <v/>
      </c>
      <c r="R705" s="80">
        <f>IF($I705&gt;0,MAX(0,$G705*SIN(RADIANS('13_시나리오비교'!$B$7))*SIN(RADIANS('13_시나리오비교'!$C$7))+$H705*SIN(RADIANS('13_시나리오비교'!$B$7))*COS(RADIANS('13_시나리오비교'!$C$7))+$I705*COS(RADIANS('13_시나리오비교'!$B$7))),0)</f>
        <v/>
      </c>
      <c r="S705" s="80">
        <f>IF($I705&gt;0,MAX(0,$G705*SIN(RADIANS('13_시나리오비교'!$B$8))*SIN(RADIANS('13_시나리오비교'!$C$8))+$H705*SIN(RADIANS('13_시나리오비교'!$B$8))*COS(RADIANS('13_시나리오비교'!$C$8))+$I705*COS(RADIANS('13_시나리오비교'!$B$8))),0)</f>
        <v/>
      </c>
      <c r="T705" s="80">
        <f>IF($I705&gt;0,MAX(0,$G705*SIN(RADIANS('13_시나리오비교'!$B$9))*SIN(RADIANS('13_시나리오비교'!$C$9))+$H705*SIN(RADIANS('13_시나리오비교'!$B$9))*COS(RADIANS('13_시나리오비교'!$C$9))+$I705*COS(RADIANS('13_시나리오비교'!$B$9))),0)</f>
        <v/>
      </c>
      <c r="U705" s="80">
        <f>IF($I705&gt;0,MAX(0,$G705*SIN(RADIANS('13_시나리오비교'!$B$10))*SIN(RADIANS('13_시나리오비교'!$C$10))+$H705*SIN(RADIANS('13_시나리오비교'!$B$10))*COS(RADIANS('13_시나리오비교'!$C$10))+$I705*COS(RADIANS('13_시나리오비교'!$B$10))),0)</f>
        <v/>
      </c>
      <c r="V705" s="80">
        <f>IF($I705&gt;0,MAX(0,$G705*SIN(RADIANS('13_시나리오비교'!$B$11))*SIN(RADIANS('13_시나리오비교'!$C$11))+$H705*SIN(RADIANS('13_시나리오비교'!$B$11))*COS(RADIANS('13_시나리오비교'!$C$11))+$I705*COS(RADIANS('13_시나리오비교'!$B$11))),0)</f>
        <v/>
      </c>
      <c r="W705" s="80">
        <f>IF($I705&gt;0,MAX(0,$G705*SIN(RADIANS('13_시나리오비교'!$B$12))*SIN(RADIANS('13_시나리오비교'!$C$12))+$H705*SIN(RADIANS('13_시나리오비교'!$B$12))*COS(RADIANS('13_시나리오비교'!$C$12))+$I705*COS(RADIANS('13_시나리오비교'!$B$12))),0)</f>
        <v/>
      </c>
      <c r="X705" s="80">
        <f>IF($I705&gt;0,MAX(0,$G705*SIN(RADIANS('13_시나리오비교'!$B$13))*SIN(RADIANS('13_시나리오비교'!$C$13))+$H705*SIN(RADIANS('13_시나리오비교'!$B$13))*COS(RADIANS('13_시나리오비교'!$C$13))+$I705*COS(RADIANS('13_시나리오비교'!$B$13))),0)</f>
        <v/>
      </c>
      <c r="Y705" s="80">
        <f>IF($I705&gt;0,MAX(0,$G705*SIN(RADIANS('13_시나리오비교'!$B$14))*SIN(RADIANS('13_시나리오비교'!$C$14))+$H705*SIN(RADIANS('13_시나리오비교'!$B$14))*COS(RADIANS('13_시나리오비교'!$C$14))+$I705*COS(RADIANS('13_시나리오비교'!$B$14))),0)</f>
        <v/>
      </c>
    </row>
    <row r="706" hidden="1" outlineLevel="1">
      <c r="A706" s="79" t="n">
        <v>8</v>
      </c>
      <c r="B706" s="79" t="n">
        <v>14</v>
      </c>
      <c r="C706" s="80">
        <f>(B706-0.5)*'14_지역·상수'!$H$6</f>
        <v/>
      </c>
      <c r="D706" s="79" t="n">
        <v>228</v>
      </c>
      <c r="E706" s="80">
        <f>INDEX($C$4:$C$15,MATCH(A706,$A$4:$A$15,0))</f>
        <v/>
      </c>
      <c r="F706" s="80">
        <f>15*(C706-12)</f>
        <v/>
      </c>
      <c r="G706" s="80">
        <f>-COS(RADIANS(E706))*SIN(RADIANS(F706))</f>
        <v/>
      </c>
      <c r="H706" s="80">
        <f>COS(RADIANS('11_발전량_모델'!$B$17))*SIN(RADIANS(E706))-SIN(RADIANS('11_발전량_모델'!$B$17))*COS(RADIANS(E706))*COS(RADIANS(F706))</f>
        <v/>
      </c>
      <c r="I706" s="80">
        <f>SIN(RADIANS('11_발전량_모델'!$B$17))*SIN(RADIANS(E706))+COS(RADIANS('11_발전량_모델'!$B$17))*COS(RADIANS(E706))*COS(RADIANS(F706))</f>
        <v/>
      </c>
      <c r="J706" s="80">
        <f>SIN(RADIANS('11_발전량_모델'!$B$7))*SIN(RADIANS('11_발전량_모델'!$B$8))</f>
        <v/>
      </c>
      <c r="K706" s="80">
        <f>SIN(RADIANS('11_발전량_모델'!$B$7))*COS(RADIANS('11_발전량_모델'!$B$8))</f>
        <v/>
      </c>
      <c r="L706" s="80">
        <f>COS(RADIANS('11_발전량_모델'!$B$7))</f>
        <v/>
      </c>
      <c r="M706" s="80">
        <f>G706*J706+H706*K706+I706*L706</f>
        <v/>
      </c>
      <c r="N706" s="80">
        <f>MAX(0,I706)</f>
        <v/>
      </c>
      <c r="O706" s="80">
        <f>IF(I706&gt;0,MAX(0,M706),0)</f>
        <v/>
      </c>
      <c r="P706" s="80">
        <f>IF($I706&gt;0,MAX(0,$G706*SIN(RADIANS('13_시나리오비교'!$B$5))*SIN(RADIANS('13_시나리오비교'!$C$5))+$H706*SIN(RADIANS('13_시나리오비교'!$B$5))*COS(RADIANS('13_시나리오비교'!$C$5))+$I706*COS(RADIANS('13_시나리오비교'!$B$5))),0)</f>
        <v/>
      </c>
      <c r="Q706" s="80">
        <f>IF($I706&gt;0,MAX(0,$G706*SIN(RADIANS('13_시나리오비교'!$B$6))*SIN(RADIANS('13_시나리오비교'!$C$6))+$H706*SIN(RADIANS('13_시나리오비교'!$B$6))*COS(RADIANS('13_시나리오비교'!$C$6))+$I706*COS(RADIANS('13_시나리오비교'!$B$6))),0)</f>
        <v/>
      </c>
      <c r="R706" s="80">
        <f>IF($I706&gt;0,MAX(0,$G706*SIN(RADIANS('13_시나리오비교'!$B$7))*SIN(RADIANS('13_시나리오비교'!$C$7))+$H706*SIN(RADIANS('13_시나리오비교'!$B$7))*COS(RADIANS('13_시나리오비교'!$C$7))+$I706*COS(RADIANS('13_시나리오비교'!$B$7))),0)</f>
        <v/>
      </c>
      <c r="S706" s="80">
        <f>IF($I706&gt;0,MAX(0,$G706*SIN(RADIANS('13_시나리오비교'!$B$8))*SIN(RADIANS('13_시나리오비교'!$C$8))+$H706*SIN(RADIANS('13_시나리오비교'!$B$8))*COS(RADIANS('13_시나리오비교'!$C$8))+$I706*COS(RADIANS('13_시나리오비교'!$B$8))),0)</f>
        <v/>
      </c>
      <c r="T706" s="80">
        <f>IF($I706&gt;0,MAX(0,$G706*SIN(RADIANS('13_시나리오비교'!$B$9))*SIN(RADIANS('13_시나리오비교'!$C$9))+$H706*SIN(RADIANS('13_시나리오비교'!$B$9))*COS(RADIANS('13_시나리오비교'!$C$9))+$I706*COS(RADIANS('13_시나리오비교'!$B$9))),0)</f>
        <v/>
      </c>
      <c r="U706" s="80">
        <f>IF($I706&gt;0,MAX(0,$G706*SIN(RADIANS('13_시나리오비교'!$B$10))*SIN(RADIANS('13_시나리오비교'!$C$10))+$H706*SIN(RADIANS('13_시나리오비교'!$B$10))*COS(RADIANS('13_시나리오비교'!$C$10))+$I706*COS(RADIANS('13_시나리오비교'!$B$10))),0)</f>
        <v/>
      </c>
      <c r="V706" s="80">
        <f>IF($I706&gt;0,MAX(0,$G706*SIN(RADIANS('13_시나리오비교'!$B$11))*SIN(RADIANS('13_시나리오비교'!$C$11))+$H706*SIN(RADIANS('13_시나리오비교'!$B$11))*COS(RADIANS('13_시나리오비교'!$C$11))+$I706*COS(RADIANS('13_시나리오비교'!$B$11))),0)</f>
        <v/>
      </c>
      <c r="W706" s="80">
        <f>IF($I706&gt;0,MAX(0,$G706*SIN(RADIANS('13_시나리오비교'!$B$12))*SIN(RADIANS('13_시나리오비교'!$C$12))+$H706*SIN(RADIANS('13_시나리오비교'!$B$12))*COS(RADIANS('13_시나리오비교'!$C$12))+$I706*COS(RADIANS('13_시나리오비교'!$B$12))),0)</f>
        <v/>
      </c>
      <c r="X706" s="80">
        <f>IF($I706&gt;0,MAX(0,$G706*SIN(RADIANS('13_시나리오비교'!$B$13))*SIN(RADIANS('13_시나리오비교'!$C$13))+$H706*SIN(RADIANS('13_시나리오비교'!$B$13))*COS(RADIANS('13_시나리오비교'!$C$13))+$I706*COS(RADIANS('13_시나리오비교'!$B$13))),0)</f>
        <v/>
      </c>
      <c r="Y706" s="80">
        <f>IF($I706&gt;0,MAX(0,$G706*SIN(RADIANS('13_시나리오비교'!$B$14))*SIN(RADIANS('13_시나리오비교'!$C$14))+$H706*SIN(RADIANS('13_시나리오비교'!$B$14))*COS(RADIANS('13_시나리오비교'!$C$14))+$I706*COS(RADIANS('13_시나리오비교'!$B$14))),0)</f>
        <v/>
      </c>
    </row>
    <row r="707" hidden="1" outlineLevel="1">
      <c r="A707" s="79" t="n">
        <v>8</v>
      </c>
      <c r="B707" s="79" t="n">
        <v>15</v>
      </c>
      <c r="C707" s="80">
        <f>(B707-0.5)*'14_지역·상수'!$H$6</f>
        <v/>
      </c>
      <c r="D707" s="79" t="n">
        <v>228</v>
      </c>
      <c r="E707" s="80">
        <f>INDEX($C$4:$C$15,MATCH(A707,$A$4:$A$15,0))</f>
        <v/>
      </c>
      <c r="F707" s="80">
        <f>15*(C707-12)</f>
        <v/>
      </c>
      <c r="G707" s="80">
        <f>-COS(RADIANS(E707))*SIN(RADIANS(F707))</f>
        <v/>
      </c>
      <c r="H707" s="80">
        <f>COS(RADIANS('11_발전량_모델'!$B$17))*SIN(RADIANS(E707))-SIN(RADIANS('11_발전량_모델'!$B$17))*COS(RADIANS(E707))*COS(RADIANS(F707))</f>
        <v/>
      </c>
      <c r="I707" s="80">
        <f>SIN(RADIANS('11_발전량_모델'!$B$17))*SIN(RADIANS(E707))+COS(RADIANS('11_발전량_모델'!$B$17))*COS(RADIANS(E707))*COS(RADIANS(F707))</f>
        <v/>
      </c>
      <c r="J707" s="80">
        <f>SIN(RADIANS('11_발전량_모델'!$B$7))*SIN(RADIANS('11_발전량_모델'!$B$8))</f>
        <v/>
      </c>
      <c r="K707" s="80">
        <f>SIN(RADIANS('11_발전량_모델'!$B$7))*COS(RADIANS('11_발전량_모델'!$B$8))</f>
        <v/>
      </c>
      <c r="L707" s="80">
        <f>COS(RADIANS('11_발전량_모델'!$B$7))</f>
        <v/>
      </c>
      <c r="M707" s="80">
        <f>G707*J707+H707*K707+I707*L707</f>
        <v/>
      </c>
      <c r="N707" s="80">
        <f>MAX(0,I707)</f>
        <v/>
      </c>
      <c r="O707" s="80">
        <f>IF(I707&gt;0,MAX(0,M707),0)</f>
        <v/>
      </c>
      <c r="P707" s="80">
        <f>IF($I707&gt;0,MAX(0,$G707*SIN(RADIANS('13_시나리오비교'!$B$5))*SIN(RADIANS('13_시나리오비교'!$C$5))+$H707*SIN(RADIANS('13_시나리오비교'!$B$5))*COS(RADIANS('13_시나리오비교'!$C$5))+$I707*COS(RADIANS('13_시나리오비교'!$B$5))),0)</f>
        <v/>
      </c>
      <c r="Q707" s="80">
        <f>IF($I707&gt;0,MAX(0,$G707*SIN(RADIANS('13_시나리오비교'!$B$6))*SIN(RADIANS('13_시나리오비교'!$C$6))+$H707*SIN(RADIANS('13_시나리오비교'!$B$6))*COS(RADIANS('13_시나리오비교'!$C$6))+$I707*COS(RADIANS('13_시나리오비교'!$B$6))),0)</f>
        <v/>
      </c>
      <c r="R707" s="80">
        <f>IF($I707&gt;0,MAX(0,$G707*SIN(RADIANS('13_시나리오비교'!$B$7))*SIN(RADIANS('13_시나리오비교'!$C$7))+$H707*SIN(RADIANS('13_시나리오비교'!$B$7))*COS(RADIANS('13_시나리오비교'!$C$7))+$I707*COS(RADIANS('13_시나리오비교'!$B$7))),0)</f>
        <v/>
      </c>
      <c r="S707" s="80">
        <f>IF($I707&gt;0,MAX(0,$G707*SIN(RADIANS('13_시나리오비교'!$B$8))*SIN(RADIANS('13_시나리오비교'!$C$8))+$H707*SIN(RADIANS('13_시나리오비교'!$B$8))*COS(RADIANS('13_시나리오비교'!$C$8))+$I707*COS(RADIANS('13_시나리오비교'!$B$8))),0)</f>
        <v/>
      </c>
      <c r="T707" s="80">
        <f>IF($I707&gt;0,MAX(0,$G707*SIN(RADIANS('13_시나리오비교'!$B$9))*SIN(RADIANS('13_시나리오비교'!$C$9))+$H707*SIN(RADIANS('13_시나리오비교'!$B$9))*COS(RADIANS('13_시나리오비교'!$C$9))+$I707*COS(RADIANS('13_시나리오비교'!$B$9))),0)</f>
        <v/>
      </c>
      <c r="U707" s="80">
        <f>IF($I707&gt;0,MAX(0,$G707*SIN(RADIANS('13_시나리오비교'!$B$10))*SIN(RADIANS('13_시나리오비교'!$C$10))+$H707*SIN(RADIANS('13_시나리오비교'!$B$10))*COS(RADIANS('13_시나리오비교'!$C$10))+$I707*COS(RADIANS('13_시나리오비교'!$B$10))),0)</f>
        <v/>
      </c>
      <c r="V707" s="80">
        <f>IF($I707&gt;0,MAX(0,$G707*SIN(RADIANS('13_시나리오비교'!$B$11))*SIN(RADIANS('13_시나리오비교'!$C$11))+$H707*SIN(RADIANS('13_시나리오비교'!$B$11))*COS(RADIANS('13_시나리오비교'!$C$11))+$I707*COS(RADIANS('13_시나리오비교'!$B$11))),0)</f>
        <v/>
      </c>
      <c r="W707" s="80">
        <f>IF($I707&gt;0,MAX(0,$G707*SIN(RADIANS('13_시나리오비교'!$B$12))*SIN(RADIANS('13_시나리오비교'!$C$12))+$H707*SIN(RADIANS('13_시나리오비교'!$B$12))*COS(RADIANS('13_시나리오비교'!$C$12))+$I707*COS(RADIANS('13_시나리오비교'!$B$12))),0)</f>
        <v/>
      </c>
      <c r="X707" s="80">
        <f>IF($I707&gt;0,MAX(0,$G707*SIN(RADIANS('13_시나리오비교'!$B$13))*SIN(RADIANS('13_시나리오비교'!$C$13))+$H707*SIN(RADIANS('13_시나리오비교'!$B$13))*COS(RADIANS('13_시나리오비교'!$C$13))+$I707*COS(RADIANS('13_시나리오비교'!$B$13))),0)</f>
        <v/>
      </c>
      <c r="Y707" s="80">
        <f>IF($I707&gt;0,MAX(0,$G707*SIN(RADIANS('13_시나리오비교'!$B$14))*SIN(RADIANS('13_시나리오비교'!$C$14))+$H707*SIN(RADIANS('13_시나리오비교'!$B$14))*COS(RADIANS('13_시나리오비교'!$C$14))+$I707*COS(RADIANS('13_시나리오비교'!$B$14))),0)</f>
        <v/>
      </c>
    </row>
    <row r="708" hidden="1" outlineLevel="1">
      <c r="A708" s="79" t="n">
        <v>8</v>
      </c>
      <c r="B708" s="79" t="n">
        <v>16</v>
      </c>
      <c r="C708" s="80">
        <f>(B708-0.5)*'14_지역·상수'!$H$6</f>
        <v/>
      </c>
      <c r="D708" s="79" t="n">
        <v>228</v>
      </c>
      <c r="E708" s="80">
        <f>INDEX($C$4:$C$15,MATCH(A708,$A$4:$A$15,0))</f>
        <v/>
      </c>
      <c r="F708" s="80">
        <f>15*(C708-12)</f>
        <v/>
      </c>
      <c r="G708" s="80">
        <f>-COS(RADIANS(E708))*SIN(RADIANS(F708))</f>
        <v/>
      </c>
      <c r="H708" s="80">
        <f>COS(RADIANS('11_발전량_모델'!$B$17))*SIN(RADIANS(E708))-SIN(RADIANS('11_발전량_모델'!$B$17))*COS(RADIANS(E708))*COS(RADIANS(F708))</f>
        <v/>
      </c>
      <c r="I708" s="80">
        <f>SIN(RADIANS('11_발전량_모델'!$B$17))*SIN(RADIANS(E708))+COS(RADIANS('11_발전량_모델'!$B$17))*COS(RADIANS(E708))*COS(RADIANS(F708))</f>
        <v/>
      </c>
      <c r="J708" s="80">
        <f>SIN(RADIANS('11_발전량_모델'!$B$7))*SIN(RADIANS('11_발전량_모델'!$B$8))</f>
        <v/>
      </c>
      <c r="K708" s="80">
        <f>SIN(RADIANS('11_발전량_모델'!$B$7))*COS(RADIANS('11_발전량_모델'!$B$8))</f>
        <v/>
      </c>
      <c r="L708" s="80">
        <f>COS(RADIANS('11_발전량_모델'!$B$7))</f>
        <v/>
      </c>
      <c r="M708" s="80">
        <f>G708*J708+H708*K708+I708*L708</f>
        <v/>
      </c>
      <c r="N708" s="80">
        <f>MAX(0,I708)</f>
        <v/>
      </c>
      <c r="O708" s="80">
        <f>IF(I708&gt;0,MAX(0,M708),0)</f>
        <v/>
      </c>
      <c r="P708" s="80">
        <f>IF($I708&gt;0,MAX(0,$G708*SIN(RADIANS('13_시나리오비교'!$B$5))*SIN(RADIANS('13_시나리오비교'!$C$5))+$H708*SIN(RADIANS('13_시나리오비교'!$B$5))*COS(RADIANS('13_시나리오비교'!$C$5))+$I708*COS(RADIANS('13_시나리오비교'!$B$5))),0)</f>
        <v/>
      </c>
      <c r="Q708" s="80">
        <f>IF($I708&gt;0,MAX(0,$G708*SIN(RADIANS('13_시나리오비교'!$B$6))*SIN(RADIANS('13_시나리오비교'!$C$6))+$H708*SIN(RADIANS('13_시나리오비교'!$B$6))*COS(RADIANS('13_시나리오비교'!$C$6))+$I708*COS(RADIANS('13_시나리오비교'!$B$6))),0)</f>
        <v/>
      </c>
      <c r="R708" s="80">
        <f>IF($I708&gt;0,MAX(0,$G708*SIN(RADIANS('13_시나리오비교'!$B$7))*SIN(RADIANS('13_시나리오비교'!$C$7))+$H708*SIN(RADIANS('13_시나리오비교'!$B$7))*COS(RADIANS('13_시나리오비교'!$C$7))+$I708*COS(RADIANS('13_시나리오비교'!$B$7))),0)</f>
        <v/>
      </c>
      <c r="S708" s="80">
        <f>IF($I708&gt;0,MAX(0,$G708*SIN(RADIANS('13_시나리오비교'!$B$8))*SIN(RADIANS('13_시나리오비교'!$C$8))+$H708*SIN(RADIANS('13_시나리오비교'!$B$8))*COS(RADIANS('13_시나리오비교'!$C$8))+$I708*COS(RADIANS('13_시나리오비교'!$B$8))),0)</f>
        <v/>
      </c>
      <c r="T708" s="80">
        <f>IF($I708&gt;0,MAX(0,$G708*SIN(RADIANS('13_시나리오비교'!$B$9))*SIN(RADIANS('13_시나리오비교'!$C$9))+$H708*SIN(RADIANS('13_시나리오비교'!$B$9))*COS(RADIANS('13_시나리오비교'!$C$9))+$I708*COS(RADIANS('13_시나리오비교'!$B$9))),0)</f>
        <v/>
      </c>
      <c r="U708" s="80">
        <f>IF($I708&gt;0,MAX(0,$G708*SIN(RADIANS('13_시나리오비교'!$B$10))*SIN(RADIANS('13_시나리오비교'!$C$10))+$H708*SIN(RADIANS('13_시나리오비교'!$B$10))*COS(RADIANS('13_시나리오비교'!$C$10))+$I708*COS(RADIANS('13_시나리오비교'!$B$10))),0)</f>
        <v/>
      </c>
      <c r="V708" s="80">
        <f>IF($I708&gt;0,MAX(0,$G708*SIN(RADIANS('13_시나리오비교'!$B$11))*SIN(RADIANS('13_시나리오비교'!$C$11))+$H708*SIN(RADIANS('13_시나리오비교'!$B$11))*COS(RADIANS('13_시나리오비교'!$C$11))+$I708*COS(RADIANS('13_시나리오비교'!$B$11))),0)</f>
        <v/>
      </c>
      <c r="W708" s="80">
        <f>IF($I708&gt;0,MAX(0,$G708*SIN(RADIANS('13_시나리오비교'!$B$12))*SIN(RADIANS('13_시나리오비교'!$C$12))+$H708*SIN(RADIANS('13_시나리오비교'!$B$12))*COS(RADIANS('13_시나리오비교'!$C$12))+$I708*COS(RADIANS('13_시나리오비교'!$B$12))),0)</f>
        <v/>
      </c>
      <c r="X708" s="80">
        <f>IF($I708&gt;0,MAX(0,$G708*SIN(RADIANS('13_시나리오비교'!$B$13))*SIN(RADIANS('13_시나리오비교'!$C$13))+$H708*SIN(RADIANS('13_시나리오비교'!$B$13))*COS(RADIANS('13_시나리오비교'!$C$13))+$I708*COS(RADIANS('13_시나리오비교'!$B$13))),0)</f>
        <v/>
      </c>
      <c r="Y708" s="80">
        <f>IF($I708&gt;0,MAX(0,$G708*SIN(RADIANS('13_시나리오비교'!$B$14))*SIN(RADIANS('13_시나리오비교'!$C$14))+$H708*SIN(RADIANS('13_시나리오비교'!$B$14))*COS(RADIANS('13_시나리오비교'!$C$14))+$I708*COS(RADIANS('13_시나리오비교'!$B$14))),0)</f>
        <v/>
      </c>
    </row>
    <row r="709" hidden="1" outlineLevel="1">
      <c r="A709" s="79" t="n">
        <v>8</v>
      </c>
      <c r="B709" s="79" t="n">
        <v>17</v>
      </c>
      <c r="C709" s="80">
        <f>(B709-0.5)*'14_지역·상수'!$H$6</f>
        <v/>
      </c>
      <c r="D709" s="79" t="n">
        <v>228</v>
      </c>
      <c r="E709" s="80">
        <f>INDEX($C$4:$C$15,MATCH(A709,$A$4:$A$15,0))</f>
        <v/>
      </c>
      <c r="F709" s="80">
        <f>15*(C709-12)</f>
        <v/>
      </c>
      <c r="G709" s="80">
        <f>-COS(RADIANS(E709))*SIN(RADIANS(F709))</f>
        <v/>
      </c>
      <c r="H709" s="80">
        <f>COS(RADIANS('11_발전량_모델'!$B$17))*SIN(RADIANS(E709))-SIN(RADIANS('11_발전량_모델'!$B$17))*COS(RADIANS(E709))*COS(RADIANS(F709))</f>
        <v/>
      </c>
      <c r="I709" s="80">
        <f>SIN(RADIANS('11_발전량_모델'!$B$17))*SIN(RADIANS(E709))+COS(RADIANS('11_발전량_모델'!$B$17))*COS(RADIANS(E709))*COS(RADIANS(F709))</f>
        <v/>
      </c>
      <c r="J709" s="80">
        <f>SIN(RADIANS('11_발전량_모델'!$B$7))*SIN(RADIANS('11_발전량_모델'!$B$8))</f>
        <v/>
      </c>
      <c r="K709" s="80">
        <f>SIN(RADIANS('11_발전량_모델'!$B$7))*COS(RADIANS('11_발전량_모델'!$B$8))</f>
        <v/>
      </c>
      <c r="L709" s="80">
        <f>COS(RADIANS('11_발전량_모델'!$B$7))</f>
        <v/>
      </c>
      <c r="M709" s="80">
        <f>G709*J709+H709*K709+I709*L709</f>
        <v/>
      </c>
      <c r="N709" s="80">
        <f>MAX(0,I709)</f>
        <v/>
      </c>
      <c r="O709" s="80">
        <f>IF(I709&gt;0,MAX(0,M709),0)</f>
        <v/>
      </c>
      <c r="P709" s="80">
        <f>IF($I709&gt;0,MAX(0,$G709*SIN(RADIANS('13_시나리오비교'!$B$5))*SIN(RADIANS('13_시나리오비교'!$C$5))+$H709*SIN(RADIANS('13_시나리오비교'!$B$5))*COS(RADIANS('13_시나리오비교'!$C$5))+$I709*COS(RADIANS('13_시나리오비교'!$B$5))),0)</f>
        <v/>
      </c>
      <c r="Q709" s="80">
        <f>IF($I709&gt;0,MAX(0,$G709*SIN(RADIANS('13_시나리오비교'!$B$6))*SIN(RADIANS('13_시나리오비교'!$C$6))+$H709*SIN(RADIANS('13_시나리오비교'!$B$6))*COS(RADIANS('13_시나리오비교'!$C$6))+$I709*COS(RADIANS('13_시나리오비교'!$B$6))),0)</f>
        <v/>
      </c>
      <c r="R709" s="80">
        <f>IF($I709&gt;0,MAX(0,$G709*SIN(RADIANS('13_시나리오비교'!$B$7))*SIN(RADIANS('13_시나리오비교'!$C$7))+$H709*SIN(RADIANS('13_시나리오비교'!$B$7))*COS(RADIANS('13_시나리오비교'!$C$7))+$I709*COS(RADIANS('13_시나리오비교'!$B$7))),0)</f>
        <v/>
      </c>
      <c r="S709" s="80">
        <f>IF($I709&gt;0,MAX(0,$G709*SIN(RADIANS('13_시나리오비교'!$B$8))*SIN(RADIANS('13_시나리오비교'!$C$8))+$H709*SIN(RADIANS('13_시나리오비교'!$B$8))*COS(RADIANS('13_시나리오비교'!$C$8))+$I709*COS(RADIANS('13_시나리오비교'!$B$8))),0)</f>
        <v/>
      </c>
      <c r="T709" s="80">
        <f>IF($I709&gt;0,MAX(0,$G709*SIN(RADIANS('13_시나리오비교'!$B$9))*SIN(RADIANS('13_시나리오비교'!$C$9))+$H709*SIN(RADIANS('13_시나리오비교'!$B$9))*COS(RADIANS('13_시나리오비교'!$C$9))+$I709*COS(RADIANS('13_시나리오비교'!$B$9))),0)</f>
        <v/>
      </c>
      <c r="U709" s="80">
        <f>IF($I709&gt;0,MAX(0,$G709*SIN(RADIANS('13_시나리오비교'!$B$10))*SIN(RADIANS('13_시나리오비교'!$C$10))+$H709*SIN(RADIANS('13_시나리오비교'!$B$10))*COS(RADIANS('13_시나리오비교'!$C$10))+$I709*COS(RADIANS('13_시나리오비교'!$B$10))),0)</f>
        <v/>
      </c>
      <c r="V709" s="80">
        <f>IF($I709&gt;0,MAX(0,$G709*SIN(RADIANS('13_시나리오비교'!$B$11))*SIN(RADIANS('13_시나리오비교'!$C$11))+$H709*SIN(RADIANS('13_시나리오비교'!$B$11))*COS(RADIANS('13_시나리오비교'!$C$11))+$I709*COS(RADIANS('13_시나리오비교'!$B$11))),0)</f>
        <v/>
      </c>
      <c r="W709" s="80">
        <f>IF($I709&gt;0,MAX(0,$G709*SIN(RADIANS('13_시나리오비교'!$B$12))*SIN(RADIANS('13_시나리오비교'!$C$12))+$H709*SIN(RADIANS('13_시나리오비교'!$B$12))*COS(RADIANS('13_시나리오비교'!$C$12))+$I709*COS(RADIANS('13_시나리오비교'!$B$12))),0)</f>
        <v/>
      </c>
      <c r="X709" s="80">
        <f>IF($I709&gt;0,MAX(0,$G709*SIN(RADIANS('13_시나리오비교'!$B$13))*SIN(RADIANS('13_시나리오비교'!$C$13))+$H709*SIN(RADIANS('13_시나리오비교'!$B$13))*COS(RADIANS('13_시나리오비교'!$C$13))+$I709*COS(RADIANS('13_시나리오비교'!$B$13))),0)</f>
        <v/>
      </c>
      <c r="Y709" s="80">
        <f>IF($I709&gt;0,MAX(0,$G709*SIN(RADIANS('13_시나리오비교'!$B$14))*SIN(RADIANS('13_시나리오비교'!$C$14))+$H709*SIN(RADIANS('13_시나리오비교'!$B$14))*COS(RADIANS('13_시나리오비교'!$C$14))+$I709*COS(RADIANS('13_시나리오비교'!$B$14))),0)</f>
        <v/>
      </c>
    </row>
    <row r="710" hidden="1" outlineLevel="1">
      <c r="A710" s="79" t="n">
        <v>8</v>
      </c>
      <c r="B710" s="79" t="n">
        <v>18</v>
      </c>
      <c r="C710" s="80">
        <f>(B710-0.5)*'14_지역·상수'!$H$6</f>
        <v/>
      </c>
      <c r="D710" s="79" t="n">
        <v>228</v>
      </c>
      <c r="E710" s="80">
        <f>INDEX($C$4:$C$15,MATCH(A710,$A$4:$A$15,0))</f>
        <v/>
      </c>
      <c r="F710" s="80">
        <f>15*(C710-12)</f>
        <v/>
      </c>
      <c r="G710" s="80">
        <f>-COS(RADIANS(E710))*SIN(RADIANS(F710))</f>
        <v/>
      </c>
      <c r="H710" s="80">
        <f>COS(RADIANS('11_발전량_모델'!$B$17))*SIN(RADIANS(E710))-SIN(RADIANS('11_발전량_모델'!$B$17))*COS(RADIANS(E710))*COS(RADIANS(F710))</f>
        <v/>
      </c>
      <c r="I710" s="80">
        <f>SIN(RADIANS('11_발전량_모델'!$B$17))*SIN(RADIANS(E710))+COS(RADIANS('11_발전량_모델'!$B$17))*COS(RADIANS(E710))*COS(RADIANS(F710))</f>
        <v/>
      </c>
      <c r="J710" s="80">
        <f>SIN(RADIANS('11_발전량_모델'!$B$7))*SIN(RADIANS('11_발전량_모델'!$B$8))</f>
        <v/>
      </c>
      <c r="K710" s="80">
        <f>SIN(RADIANS('11_발전량_모델'!$B$7))*COS(RADIANS('11_발전량_모델'!$B$8))</f>
        <v/>
      </c>
      <c r="L710" s="80">
        <f>COS(RADIANS('11_발전량_모델'!$B$7))</f>
        <v/>
      </c>
      <c r="M710" s="80">
        <f>G710*J710+H710*K710+I710*L710</f>
        <v/>
      </c>
      <c r="N710" s="80">
        <f>MAX(0,I710)</f>
        <v/>
      </c>
      <c r="O710" s="80">
        <f>IF(I710&gt;0,MAX(0,M710),0)</f>
        <v/>
      </c>
      <c r="P710" s="80">
        <f>IF($I710&gt;0,MAX(0,$G710*SIN(RADIANS('13_시나리오비교'!$B$5))*SIN(RADIANS('13_시나리오비교'!$C$5))+$H710*SIN(RADIANS('13_시나리오비교'!$B$5))*COS(RADIANS('13_시나리오비교'!$C$5))+$I710*COS(RADIANS('13_시나리오비교'!$B$5))),0)</f>
        <v/>
      </c>
      <c r="Q710" s="80">
        <f>IF($I710&gt;0,MAX(0,$G710*SIN(RADIANS('13_시나리오비교'!$B$6))*SIN(RADIANS('13_시나리오비교'!$C$6))+$H710*SIN(RADIANS('13_시나리오비교'!$B$6))*COS(RADIANS('13_시나리오비교'!$C$6))+$I710*COS(RADIANS('13_시나리오비교'!$B$6))),0)</f>
        <v/>
      </c>
      <c r="R710" s="80">
        <f>IF($I710&gt;0,MAX(0,$G710*SIN(RADIANS('13_시나리오비교'!$B$7))*SIN(RADIANS('13_시나리오비교'!$C$7))+$H710*SIN(RADIANS('13_시나리오비교'!$B$7))*COS(RADIANS('13_시나리오비교'!$C$7))+$I710*COS(RADIANS('13_시나리오비교'!$B$7))),0)</f>
        <v/>
      </c>
      <c r="S710" s="80">
        <f>IF($I710&gt;0,MAX(0,$G710*SIN(RADIANS('13_시나리오비교'!$B$8))*SIN(RADIANS('13_시나리오비교'!$C$8))+$H710*SIN(RADIANS('13_시나리오비교'!$B$8))*COS(RADIANS('13_시나리오비교'!$C$8))+$I710*COS(RADIANS('13_시나리오비교'!$B$8))),0)</f>
        <v/>
      </c>
      <c r="T710" s="80">
        <f>IF($I710&gt;0,MAX(0,$G710*SIN(RADIANS('13_시나리오비교'!$B$9))*SIN(RADIANS('13_시나리오비교'!$C$9))+$H710*SIN(RADIANS('13_시나리오비교'!$B$9))*COS(RADIANS('13_시나리오비교'!$C$9))+$I710*COS(RADIANS('13_시나리오비교'!$B$9))),0)</f>
        <v/>
      </c>
      <c r="U710" s="80">
        <f>IF($I710&gt;0,MAX(0,$G710*SIN(RADIANS('13_시나리오비교'!$B$10))*SIN(RADIANS('13_시나리오비교'!$C$10))+$H710*SIN(RADIANS('13_시나리오비교'!$B$10))*COS(RADIANS('13_시나리오비교'!$C$10))+$I710*COS(RADIANS('13_시나리오비교'!$B$10))),0)</f>
        <v/>
      </c>
      <c r="V710" s="80">
        <f>IF($I710&gt;0,MAX(0,$G710*SIN(RADIANS('13_시나리오비교'!$B$11))*SIN(RADIANS('13_시나리오비교'!$C$11))+$H710*SIN(RADIANS('13_시나리오비교'!$B$11))*COS(RADIANS('13_시나리오비교'!$C$11))+$I710*COS(RADIANS('13_시나리오비교'!$B$11))),0)</f>
        <v/>
      </c>
      <c r="W710" s="80">
        <f>IF($I710&gt;0,MAX(0,$G710*SIN(RADIANS('13_시나리오비교'!$B$12))*SIN(RADIANS('13_시나리오비교'!$C$12))+$H710*SIN(RADIANS('13_시나리오비교'!$B$12))*COS(RADIANS('13_시나리오비교'!$C$12))+$I710*COS(RADIANS('13_시나리오비교'!$B$12))),0)</f>
        <v/>
      </c>
      <c r="X710" s="80">
        <f>IF($I710&gt;0,MAX(0,$G710*SIN(RADIANS('13_시나리오비교'!$B$13))*SIN(RADIANS('13_시나리오비교'!$C$13))+$H710*SIN(RADIANS('13_시나리오비교'!$B$13))*COS(RADIANS('13_시나리오비교'!$C$13))+$I710*COS(RADIANS('13_시나리오비교'!$B$13))),0)</f>
        <v/>
      </c>
      <c r="Y710" s="80">
        <f>IF($I710&gt;0,MAX(0,$G710*SIN(RADIANS('13_시나리오비교'!$B$14))*SIN(RADIANS('13_시나리오비교'!$C$14))+$H710*SIN(RADIANS('13_시나리오비교'!$B$14))*COS(RADIANS('13_시나리오비교'!$C$14))+$I710*COS(RADIANS('13_시나리오비교'!$B$14))),0)</f>
        <v/>
      </c>
    </row>
    <row r="711" hidden="1" outlineLevel="1">
      <c r="A711" s="79" t="n">
        <v>8</v>
      </c>
      <c r="B711" s="79" t="n">
        <v>19</v>
      </c>
      <c r="C711" s="80">
        <f>(B711-0.5)*'14_지역·상수'!$H$6</f>
        <v/>
      </c>
      <c r="D711" s="79" t="n">
        <v>228</v>
      </c>
      <c r="E711" s="80">
        <f>INDEX($C$4:$C$15,MATCH(A711,$A$4:$A$15,0))</f>
        <v/>
      </c>
      <c r="F711" s="80">
        <f>15*(C711-12)</f>
        <v/>
      </c>
      <c r="G711" s="80">
        <f>-COS(RADIANS(E711))*SIN(RADIANS(F711))</f>
        <v/>
      </c>
      <c r="H711" s="80">
        <f>COS(RADIANS('11_발전량_모델'!$B$17))*SIN(RADIANS(E711))-SIN(RADIANS('11_발전량_모델'!$B$17))*COS(RADIANS(E711))*COS(RADIANS(F711))</f>
        <v/>
      </c>
      <c r="I711" s="80">
        <f>SIN(RADIANS('11_발전량_모델'!$B$17))*SIN(RADIANS(E711))+COS(RADIANS('11_발전량_모델'!$B$17))*COS(RADIANS(E711))*COS(RADIANS(F711))</f>
        <v/>
      </c>
      <c r="J711" s="80">
        <f>SIN(RADIANS('11_발전량_모델'!$B$7))*SIN(RADIANS('11_발전량_모델'!$B$8))</f>
        <v/>
      </c>
      <c r="K711" s="80">
        <f>SIN(RADIANS('11_발전량_모델'!$B$7))*COS(RADIANS('11_발전량_모델'!$B$8))</f>
        <v/>
      </c>
      <c r="L711" s="80">
        <f>COS(RADIANS('11_발전량_모델'!$B$7))</f>
        <v/>
      </c>
      <c r="M711" s="80">
        <f>G711*J711+H711*K711+I711*L711</f>
        <v/>
      </c>
      <c r="N711" s="80">
        <f>MAX(0,I711)</f>
        <v/>
      </c>
      <c r="O711" s="80">
        <f>IF(I711&gt;0,MAX(0,M711),0)</f>
        <v/>
      </c>
      <c r="P711" s="80">
        <f>IF($I711&gt;0,MAX(0,$G711*SIN(RADIANS('13_시나리오비교'!$B$5))*SIN(RADIANS('13_시나리오비교'!$C$5))+$H711*SIN(RADIANS('13_시나리오비교'!$B$5))*COS(RADIANS('13_시나리오비교'!$C$5))+$I711*COS(RADIANS('13_시나리오비교'!$B$5))),0)</f>
        <v/>
      </c>
      <c r="Q711" s="80">
        <f>IF($I711&gt;0,MAX(0,$G711*SIN(RADIANS('13_시나리오비교'!$B$6))*SIN(RADIANS('13_시나리오비교'!$C$6))+$H711*SIN(RADIANS('13_시나리오비교'!$B$6))*COS(RADIANS('13_시나리오비교'!$C$6))+$I711*COS(RADIANS('13_시나리오비교'!$B$6))),0)</f>
        <v/>
      </c>
      <c r="R711" s="80">
        <f>IF($I711&gt;0,MAX(0,$G711*SIN(RADIANS('13_시나리오비교'!$B$7))*SIN(RADIANS('13_시나리오비교'!$C$7))+$H711*SIN(RADIANS('13_시나리오비교'!$B$7))*COS(RADIANS('13_시나리오비교'!$C$7))+$I711*COS(RADIANS('13_시나리오비교'!$B$7))),0)</f>
        <v/>
      </c>
      <c r="S711" s="80">
        <f>IF($I711&gt;0,MAX(0,$G711*SIN(RADIANS('13_시나리오비교'!$B$8))*SIN(RADIANS('13_시나리오비교'!$C$8))+$H711*SIN(RADIANS('13_시나리오비교'!$B$8))*COS(RADIANS('13_시나리오비교'!$C$8))+$I711*COS(RADIANS('13_시나리오비교'!$B$8))),0)</f>
        <v/>
      </c>
      <c r="T711" s="80">
        <f>IF($I711&gt;0,MAX(0,$G711*SIN(RADIANS('13_시나리오비교'!$B$9))*SIN(RADIANS('13_시나리오비교'!$C$9))+$H711*SIN(RADIANS('13_시나리오비교'!$B$9))*COS(RADIANS('13_시나리오비교'!$C$9))+$I711*COS(RADIANS('13_시나리오비교'!$B$9))),0)</f>
        <v/>
      </c>
      <c r="U711" s="80">
        <f>IF($I711&gt;0,MAX(0,$G711*SIN(RADIANS('13_시나리오비교'!$B$10))*SIN(RADIANS('13_시나리오비교'!$C$10))+$H711*SIN(RADIANS('13_시나리오비교'!$B$10))*COS(RADIANS('13_시나리오비교'!$C$10))+$I711*COS(RADIANS('13_시나리오비교'!$B$10))),0)</f>
        <v/>
      </c>
      <c r="V711" s="80">
        <f>IF($I711&gt;0,MAX(0,$G711*SIN(RADIANS('13_시나리오비교'!$B$11))*SIN(RADIANS('13_시나리오비교'!$C$11))+$H711*SIN(RADIANS('13_시나리오비교'!$B$11))*COS(RADIANS('13_시나리오비교'!$C$11))+$I711*COS(RADIANS('13_시나리오비교'!$B$11))),0)</f>
        <v/>
      </c>
      <c r="W711" s="80">
        <f>IF($I711&gt;0,MAX(0,$G711*SIN(RADIANS('13_시나리오비교'!$B$12))*SIN(RADIANS('13_시나리오비교'!$C$12))+$H711*SIN(RADIANS('13_시나리오비교'!$B$12))*COS(RADIANS('13_시나리오비교'!$C$12))+$I711*COS(RADIANS('13_시나리오비교'!$B$12))),0)</f>
        <v/>
      </c>
      <c r="X711" s="80">
        <f>IF($I711&gt;0,MAX(0,$G711*SIN(RADIANS('13_시나리오비교'!$B$13))*SIN(RADIANS('13_시나리오비교'!$C$13))+$H711*SIN(RADIANS('13_시나리오비교'!$B$13))*COS(RADIANS('13_시나리오비교'!$C$13))+$I711*COS(RADIANS('13_시나리오비교'!$B$13))),0)</f>
        <v/>
      </c>
      <c r="Y711" s="80">
        <f>IF($I711&gt;0,MAX(0,$G711*SIN(RADIANS('13_시나리오비교'!$B$14))*SIN(RADIANS('13_시나리오비교'!$C$14))+$H711*SIN(RADIANS('13_시나리오비교'!$B$14))*COS(RADIANS('13_시나리오비교'!$C$14))+$I711*COS(RADIANS('13_시나리오비교'!$B$14))),0)</f>
        <v/>
      </c>
    </row>
    <row r="712" hidden="1" outlineLevel="1">
      <c r="A712" s="79" t="n">
        <v>8</v>
      </c>
      <c r="B712" s="79" t="n">
        <v>20</v>
      </c>
      <c r="C712" s="80">
        <f>(B712-0.5)*'14_지역·상수'!$H$6</f>
        <v/>
      </c>
      <c r="D712" s="79" t="n">
        <v>228</v>
      </c>
      <c r="E712" s="80">
        <f>INDEX($C$4:$C$15,MATCH(A712,$A$4:$A$15,0))</f>
        <v/>
      </c>
      <c r="F712" s="80">
        <f>15*(C712-12)</f>
        <v/>
      </c>
      <c r="G712" s="80">
        <f>-COS(RADIANS(E712))*SIN(RADIANS(F712))</f>
        <v/>
      </c>
      <c r="H712" s="80">
        <f>COS(RADIANS('11_발전량_모델'!$B$17))*SIN(RADIANS(E712))-SIN(RADIANS('11_발전량_모델'!$B$17))*COS(RADIANS(E712))*COS(RADIANS(F712))</f>
        <v/>
      </c>
      <c r="I712" s="80">
        <f>SIN(RADIANS('11_발전량_모델'!$B$17))*SIN(RADIANS(E712))+COS(RADIANS('11_발전량_모델'!$B$17))*COS(RADIANS(E712))*COS(RADIANS(F712))</f>
        <v/>
      </c>
      <c r="J712" s="80">
        <f>SIN(RADIANS('11_발전량_모델'!$B$7))*SIN(RADIANS('11_발전량_모델'!$B$8))</f>
        <v/>
      </c>
      <c r="K712" s="80">
        <f>SIN(RADIANS('11_발전량_모델'!$B$7))*COS(RADIANS('11_발전량_모델'!$B$8))</f>
        <v/>
      </c>
      <c r="L712" s="80">
        <f>COS(RADIANS('11_발전량_모델'!$B$7))</f>
        <v/>
      </c>
      <c r="M712" s="80">
        <f>G712*J712+H712*K712+I712*L712</f>
        <v/>
      </c>
      <c r="N712" s="80">
        <f>MAX(0,I712)</f>
        <v/>
      </c>
      <c r="O712" s="80">
        <f>IF(I712&gt;0,MAX(0,M712),0)</f>
        <v/>
      </c>
      <c r="P712" s="80">
        <f>IF($I712&gt;0,MAX(0,$G712*SIN(RADIANS('13_시나리오비교'!$B$5))*SIN(RADIANS('13_시나리오비교'!$C$5))+$H712*SIN(RADIANS('13_시나리오비교'!$B$5))*COS(RADIANS('13_시나리오비교'!$C$5))+$I712*COS(RADIANS('13_시나리오비교'!$B$5))),0)</f>
        <v/>
      </c>
      <c r="Q712" s="80">
        <f>IF($I712&gt;0,MAX(0,$G712*SIN(RADIANS('13_시나리오비교'!$B$6))*SIN(RADIANS('13_시나리오비교'!$C$6))+$H712*SIN(RADIANS('13_시나리오비교'!$B$6))*COS(RADIANS('13_시나리오비교'!$C$6))+$I712*COS(RADIANS('13_시나리오비교'!$B$6))),0)</f>
        <v/>
      </c>
      <c r="R712" s="80">
        <f>IF($I712&gt;0,MAX(0,$G712*SIN(RADIANS('13_시나리오비교'!$B$7))*SIN(RADIANS('13_시나리오비교'!$C$7))+$H712*SIN(RADIANS('13_시나리오비교'!$B$7))*COS(RADIANS('13_시나리오비교'!$C$7))+$I712*COS(RADIANS('13_시나리오비교'!$B$7))),0)</f>
        <v/>
      </c>
      <c r="S712" s="80">
        <f>IF($I712&gt;0,MAX(0,$G712*SIN(RADIANS('13_시나리오비교'!$B$8))*SIN(RADIANS('13_시나리오비교'!$C$8))+$H712*SIN(RADIANS('13_시나리오비교'!$B$8))*COS(RADIANS('13_시나리오비교'!$C$8))+$I712*COS(RADIANS('13_시나리오비교'!$B$8))),0)</f>
        <v/>
      </c>
      <c r="T712" s="80">
        <f>IF($I712&gt;0,MAX(0,$G712*SIN(RADIANS('13_시나리오비교'!$B$9))*SIN(RADIANS('13_시나리오비교'!$C$9))+$H712*SIN(RADIANS('13_시나리오비교'!$B$9))*COS(RADIANS('13_시나리오비교'!$C$9))+$I712*COS(RADIANS('13_시나리오비교'!$B$9))),0)</f>
        <v/>
      </c>
      <c r="U712" s="80">
        <f>IF($I712&gt;0,MAX(0,$G712*SIN(RADIANS('13_시나리오비교'!$B$10))*SIN(RADIANS('13_시나리오비교'!$C$10))+$H712*SIN(RADIANS('13_시나리오비교'!$B$10))*COS(RADIANS('13_시나리오비교'!$C$10))+$I712*COS(RADIANS('13_시나리오비교'!$B$10))),0)</f>
        <v/>
      </c>
      <c r="V712" s="80">
        <f>IF($I712&gt;0,MAX(0,$G712*SIN(RADIANS('13_시나리오비교'!$B$11))*SIN(RADIANS('13_시나리오비교'!$C$11))+$H712*SIN(RADIANS('13_시나리오비교'!$B$11))*COS(RADIANS('13_시나리오비교'!$C$11))+$I712*COS(RADIANS('13_시나리오비교'!$B$11))),0)</f>
        <v/>
      </c>
      <c r="W712" s="80">
        <f>IF($I712&gt;0,MAX(0,$G712*SIN(RADIANS('13_시나리오비교'!$B$12))*SIN(RADIANS('13_시나리오비교'!$C$12))+$H712*SIN(RADIANS('13_시나리오비교'!$B$12))*COS(RADIANS('13_시나리오비교'!$C$12))+$I712*COS(RADIANS('13_시나리오비교'!$B$12))),0)</f>
        <v/>
      </c>
      <c r="X712" s="80">
        <f>IF($I712&gt;0,MAX(0,$G712*SIN(RADIANS('13_시나리오비교'!$B$13))*SIN(RADIANS('13_시나리오비교'!$C$13))+$H712*SIN(RADIANS('13_시나리오비교'!$B$13))*COS(RADIANS('13_시나리오비교'!$C$13))+$I712*COS(RADIANS('13_시나리오비교'!$B$13))),0)</f>
        <v/>
      </c>
      <c r="Y712" s="80">
        <f>IF($I712&gt;0,MAX(0,$G712*SIN(RADIANS('13_시나리오비교'!$B$14))*SIN(RADIANS('13_시나리오비교'!$C$14))+$H712*SIN(RADIANS('13_시나리오비교'!$B$14))*COS(RADIANS('13_시나리오비교'!$C$14))+$I712*COS(RADIANS('13_시나리오비교'!$B$14))),0)</f>
        <v/>
      </c>
    </row>
    <row r="713" hidden="1" outlineLevel="1">
      <c r="A713" s="79" t="n">
        <v>8</v>
      </c>
      <c r="B713" s="79" t="n">
        <v>21</v>
      </c>
      <c r="C713" s="80">
        <f>(B713-0.5)*'14_지역·상수'!$H$6</f>
        <v/>
      </c>
      <c r="D713" s="79" t="n">
        <v>228</v>
      </c>
      <c r="E713" s="80">
        <f>INDEX($C$4:$C$15,MATCH(A713,$A$4:$A$15,0))</f>
        <v/>
      </c>
      <c r="F713" s="80">
        <f>15*(C713-12)</f>
        <v/>
      </c>
      <c r="G713" s="80">
        <f>-COS(RADIANS(E713))*SIN(RADIANS(F713))</f>
        <v/>
      </c>
      <c r="H713" s="80">
        <f>COS(RADIANS('11_발전량_모델'!$B$17))*SIN(RADIANS(E713))-SIN(RADIANS('11_발전량_모델'!$B$17))*COS(RADIANS(E713))*COS(RADIANS(F713))</f>
        <v/>
      </c>
      <c r="I713" s="80">
        <f>SIN(RADIANS('11_발전량_모델'!$B$17))*SIN(RADIANS(E713))+COS(RADIANS('11_발전량_모델'!$B$17))*COS(RADIANS(E713))*COS(RADIANS(F713))</f>
        <v/>
      </c>
      <c r="J713" s="80">
        <f>SIN(RADIANS('11_발전량_모델'!$B$7))*SIN(RADIANS('11_발전량_모델'!$B$8))</f>
        <v/>
      </c>
      <c r="K713" s="80">
        <f>SIN(RADIANS('11_발전량_모델'!$B$7))*COS(RADIANS('11_발전량_모델'!$B$8))</f>
        <v/>
      </c>
      <c r="L713" s="80">
        <f>COS(RADIANS('11_발전량_모델'!$B$7))</f>
        <v/>
      </c>
      <c r="M713" s="80">
        <f>G713*J713+H713*K713+I713*L713</f>
        <v/>
      </c>
      <c r="N713" s="80">
        <f>MAX(0,I713)</f>
        <v/>
      </c>
      <c r="O713" s="80">
        <f>IF(I713&gt;0,MAX(0,M713),0)</f>
        <v/>
      </c>
      <c r="P713" s="80">
        <f>IF($I713&gt;0,MAX(0,$G713*SIN(RADIANS('13_시나리오비교'!$B$5))*SIN(RADIANS('13_시나리오비교'!$C$5))+$H713*SIN(RADIANS('13_시나리오비교'!$B$5))*COS(RADIANS('13_시나리오비교'!$C$5))+$I713*COS(RADIANS('13_시나리오비교'!$B$5))),0)</f>
        <v/>
      </c>
      <c r="Q713" s="80">
        <f>IF($I713&gt;0,MAX(0,$G713*SIN(RADIANS('13_시나리오비교'!$B$6))*SIN(RADIANS('13_시나리오비교'!$C$6))+$H713*SIN(RADIANS('13_시나리오비교'!$B$6))*COS(RADIANS('13_시나리오비교'!$C$6))+$I713*COS(RADIANS('13_시나리오비교'!$B$6))),0)</f>
        <v/>
      </c>
      <c r="R713" s="80">
        <f>IF($I713&gt;0,MAX(0,$G713*SIN(RADIANS('13_시나리오비교'!$B$7))*SIN(RADIANS('13_시나리오비교'!$C$7))+$H713*SIN(RADIANS('13_시나리오비교'!$B$7))*COS(RADIANS('13_시나리오비교'!$C$7))+$I713*COS(RADIANS('13_시나리오비교'!$B$7))),0)</f>
        <v/>
      </c>
      <c r="S713" s="80">
        <f>IF($I713&gt;0,MAX(0,$G713*SIN(RADIANS('13_시나리오비교'!$B$8))*SIN(RADIANS('13_시나리오비교'!$C$8))+$H713*SIN(RADIANS('13_시나리오비교'!$B$8))*COS(RADIANS('13_시나리오비교'!$C$8))+$I713*COS(RADIANS('13_시나리오비교'!$B$8))),0)</f>
        <v/>
      </c>
      <c r="T713" s="80">
        <f>IF($I713&gt;0,MAX(0,$G713*SIN(RADIANS('13_시나리오비교'!$B$9))*SIN(RADIANS('13_시나리오비교'!$C$9))+$H713*SIN(RADIANS('13_시나리오비교'!$B$9))*COS(RADIANS('13_시나리오비교'!$C$9))+$I713*COS(RADIANS('13_시나리오비교'!$B$9))),0)</f>
        <v/>
      </c>
      <c r="U713" s="80">
        <f>IF($I713&gt;0,MAX(0,$G713*SIN(RADIANS('13_시나리오비교'!$B$10))*SIN(RADIANS('13_시나리오비교'!$C$10))+$H713*SIN(RADIANS('13_시나리오비교'!$B$10))*COS(RADIANS('13_시나리오비교'!$C$10))+$I713*COS(RADIANS('13_시나리오비교'!$B$10))),0)</f>
        <v/>
      </c>
      <c r="V713" s="80">
        <f>IF($I713&gt;0,MAX(0,$G713*SIN(RADIANS('13_시나리오비교'!$B$11))*SIN(RADIANS('13_시나리오비교'!$C$11))+$H713*SIN(RADIANS('13_시나리오비교'!$B$11))*COS(RADIANS('13_시나리오비교'!$C$11))+$I713*COS(RADIANS('13_시나리오비교'!$B$11))),0)</f>
        <v/>
      </c>
      <c r="W713" s="80">
        <f>IF($I713&gt;0,MAX(0,$G713*SIN(RADIANS('13_시나리오비교'!$B$12))*SIN(RADIANS('13_시나리오비교'!$C$12))+$H713*SIN(RADIANS('13_시나리오비교'!$B$12))*COS(RADIANS('13_시나리오비교'!$C$12))+$I713*COS(RADIANS('13_시나리오비교'!$B$12))),0)</f>
        <v/>
      </c>
      <c r="X713" s="80">
        <f>IF($I713&gt;0,MAX(0,$G713*SIN(RADIANS('13_시나리오비교'!$B$13))*SIN(RADIANS('13_시나리오비교'!$C$13))+$H713*SIN(RADIANS('13_시나리오비교'!$B$13))*COS(RADIANS('13_시나리오비교'!$C$13))+$I713*COS(RADIANS('13_시나리오비교'!$B$13))),0)</f>
        <v/>
      </c>
      <c r="Y713" s="80">
        <f>IF($I713&gt;0,MAX(0,$G713*SIN(RADIANS('13_시나리오비교'!$B$14))*SIN(RADIANS('13_시나리오비교'!$C$14))+$H713*SIN(RADIANS('13_시나리오비교'!$B$14))*COS(RADIANS('13_시나리오비교'!$C$14))+$I713*COS(RADIANS('13_시나리오비교'!$B$14))),0)</f>
        <v/>
      </c>
    </row>
    <row r="714" hidden="1" outlineLevel="1">
      <c r="A714" s="79" t="n">
        <v>8</v>
      </c>
      <c r="B714" s="79" t="n">
        <v>22</v>
      </c>
      <c r="C714" s="80">
        <f>(B714-0.5)*'14_지역·상수'!$H$6</f>
        <v/>
      </c>
      <c r="D714" s="79" t="n">
        <v>228</v>
      </c>
      <c r="E714" s="80">
        <f>INDEX($C$4:$C$15,MATCH(A714,$A$4:$A$15,0))</f>
        <v/>
      </c>
      <c r="F714" s="80">
        <f>15*(C714-12)</f>
        <v/>
      </c>
      <c r="G714" s="80">
        <f>-COS(RADIANS(E714))*SIN(RADIANS(F714))</f>
        <v/>
      </c>
      <c r="H714" s="80">
        <f>COS(RADIANS('11_발전량_모델'!$B$17))*SIN(RADIANS(E714))-SIN(RADIANS('11_발전량_모델'!$B$17))*COS(RADIANS(E714))*COS(RADIANS(F714))</f>
        <v/>
      </c>
      <c r="I714" s="80">
        <f>SIN(RADIANS('11_발전량_모델'!$B$17))*SIN(RADIANS(E714))+COS(RADIANS('11_발전량_모델'!$B$17))*COS(RADIANS(E714))*COS(RADIANS(F714))</f>
        <v/>
      </c>
      <c r="J714" s="80">
        <f>SIN(RADIANS('11_발전량_모델'!$B$7))*SIN(RADIANS('11_발전량_모델'!$B$8))</f>
        <v/>
      </c>
      <c r="K714" s="80">
        <f>SIN(RADIANS('11_발전량_모델'!$B$7))*COS(RADIANS('11_발전량_모델'!$B$8))</f>
        <v/>
      </c>
      <c r="L714" s="80">
        <f>COS(RADIANS('11_발전량_모델'!$B$7))</f>
        <v/>
      </c>
      <c r="M714" s="80">
        <f>G714*J714+H714*K714+I714*L714</f>
        <v/>
      </c>
      <c r="N714" s="80">
        <f>MAX(0,I714)</f>
        <v/>
      </c>
      <c r="O714" s="80">
        <f>IF(I714&gt;0,MAX(0,M714),0)</f>
        <v/>
      </c>
      <c r="P714" s="80">
        <f>IF($I714&gt;0,MAX(0,$G714*SIN(RADIANS('13_시나리오비교'!$B$5))*SIN(RADIANS('13_시나리오비교'!$C$5))+$H714*SIN(RADIANS('13_시나리오비교'!$B$5))*COS(RADIANS('13_시나리오비교'!$C$5))+$I714*COS(RADIANS('13_시나리오비교'!$B$5))),0)</f>
        <v/>
      </c>
      <c r="Q714" s="80">
        <f>IF($I714&gt;0,MAX(0,$G714*SIN(RADIANS('13_시나리오비교'!$B$6))*SIN(RADIANS('13_시나리오비교'!$C$6))+$H714*SIN(RADIANS('13_시나리오비교'!$B$6))*COS(RADIANS('13_시나리오비교'!$C$6))+$I714*COS(RADIANS('13_시나리오비교'!$B$6))),0)</f>
        <v/>
      </c>
      <c r="R714" s="80">
        <f>IF($I714&gt;0,MAX(0,$G714*SIN(RADIANS('13_시나리오비교'!$B$7))*SIN(RADIANS('13_시나리오비교'!$C$7))+$H714*SIN(RADIANS('13_시나리오비교'!$B$7))*COS(RADIANS('13_시나리오비교'!$C$7))+$I714*COS(RADIANS('13_시나리오비교'!$B$7))),0)</f>
        <v/>
      </c>
      <c r="S714" s="80">
        <f>IF($I714&gt;0,MAX(0,$G714*SIN(RADIANS('13_시나리오비교'!$B$8))*SIN(RADIANS('13_시나리오비교'!$C$8))+$H714*SIN(RADIANS('13_시나리오비교'!$B$8))*COS(RADIANS('13_시나리오비교'!$C$8))+$I714*COS(RADIANS('13_시나리오비교'!$B$8))),0)</f>
        <v/>
      </c>
      <c r="T714" s="80">
        <f>IF($I714&gt;0,MAX(0,$G714*SIN(RADIANS('13_시나리오비교'!$B$9))*SIN(RADIANS('13_시나리오비교'!$C$9))+$H714*SIN(RADIANS('13_시나리오비교'!$B$9))*COS(RADIANS('13_시나리오비교'!$C$9))+$I714*COS(RADIANS('13_시나리오비교'!$B$9))),0)</f>
        <v/>
      </c>
      <c r="U714" s="80">
        <f>IF($I714&gt;0,MAX(0,$G714*SIN(RADIANS('13_시나리오비교'!$B$10))*SIN(RADIANS('13_시나리오비교'!$C$10))+$H714*SIN(RADIANS('13_시나리오비교'!$B$10))*COS(RADIANS('13_시나리오비교'!$C$10))+$I714*COS(RADIANS('13_시나리오비교'!$B$10))),0)</f>
        <v/>
      </c>
      <c r="V714" s="80">
        <f>IF($I714&gt;0,MAX(0,$G714*SIN(RADIANS('13_시나리오비교'!$B$11))*SIN(RADIANS('13_시나리오비교'!$C$11))+$H714*SIN(RADIANS('13_시나리오비교'!$B$11))*COS(RADIANS('13_시나리오비교'!$C$11))+$I714*COS(RADIANS('13_시나리오비교'!$B$11))),0)</f>
        <v/>
      </c>
      <c r="W714" s="80">
        <f>IF($I714&gt;0,MAX(0,$G714*SIN(RADIANS('13_시나리오비교'!$B$12))*SIN(RADIANS('13_시나리오비교'!$C$12))+$H714*SIN(RADIANS('13_시나리오비교'!$B$12))*COS(RADIANS('13_시나리오비교'!$C$12))+$I714*COS(RADIANS('13_시나리오비교'!$B$12))),0)</f>
        <v/>
      </c>
      <c r="X714" s="80">
        <f>IF($I714&gt;0,MAX(0,$G714*SIN(RADIANS('13_시나리오비교'!$B$13))*SIN(RADIANS('13_시나리오비교'!$C$13))+$H714*SIN(RADIANS('13_시나리오비교'!$B$13))*COS(RADIANS('13_시나리오비교'!$C$13))+$I714*COS(RADIANS('13_시나리오비교'!$B$13))),0)</f>
        <v/>
      </c>
      <c r="Y714" s="80">
        <f>IF($I714&gt;0,MAX(0,$G714*SIN(RADIANS('13_시나리오비교'!$B$14))*SIN(RADIANS('13_시나리오비교'!$C$14))+$H714*SIN(RADIANS('13_시나리오비교'!$B$14))*COS(RADIANS('13_시나리오비교'!$C$14))+$I714*COS(RADIANS('13_시나리오비교'!$B$14))),0)</f>
        <v/>
      </c>
    </row>
    <row r="715" hidden="1" outlineLevel="1">
      <c r="A715" s="79" t="n">
        <v>8</v>
      </c>
      <c r="B715" s="79" t="n">
        <v>23</v>
      </c>
      <c r="C715" s="80">
        <f>(B715-0.5)*'14_지역·상수'!$H$6</f>
        <v/>
      </c>
      <c r="D715" s="79" t="n">
        <v>228</v>
      </c>
      <c r="E715" s="80">
        <f>INDEX($C$4:$C$15,MATCH(A715,$A$4:$A$15,0))</f>
        <v/>
      </c>
      <c r="F715" s="80">
        <f>15*(C715-12)</f>
        <v/>
      </c>
      <c r="G715" s="80">
        <f>-COS(RADIANS(E715))*SIN(RADIANS(F715))</f>
        <v/>
      </c>
      <c r="H715" s="80">
        <f>COS(RADIANS('11_발전량_모델'!$B$17))*SIN(RADIANS(E715))-SIN(RADIANS('11_발전량_모델'!$B$17))*COS(RADIANS(E715))*COS(RADIANS(F715))</f>
        <v/>
      </c>
      <c r="I715" s="80">
        <f>SIN(RADIANS('11_발전량_모델'!$B$17))*SIN(RADIANS(E715))+COS(RADIANS('11_발전량_모델'!$B$17))*COS(RADIANS(E715))*COS(RADIANS(F715))</f>
        <v/>
      </c>
      <c r="J715" s="80">
        <f>SIN(RADIANS('11_발전량_모델'!$B$7))*SIN(RADIANS('11_발전량_모델'!$B$8))</f>
        <v/>
      </c>
      <c r="K715" s="80">
        <f>SIN(RADIANS('11_발전량_모델'!$B$7))*COS(RADIANS('11_발전량_모델'!$B$8))</f>
        <v/>
      </c>
      <c r="L715" s="80">
        <f>COS(RADIANS('11_발전량_모델'!$B$7))</f>
        <v/>
      </c>
      <c r="M715" s="80">
        <f>G715*J715+H715*K715+I715*L715</f>
        <v/>
      </c>
      <c r="N715" s="80">
        <f>MAX(0,I715)</f>
        <v/>
      </c>
      <c r="O715" s="80">
        <f>IF(I715&gt;0,MAX(0,M715),0)</f>
        <v/>
      </c>
      <c r="P715" s="80">
        <f>IF($I715&gt;0,MAX(0,$G715*SIN(RADIANS('13_시나리오비교'!$B$5))*SIN(RADIANS('13_시나리오비교'!$C$5))+$H715*SIN(RADIANS('13_시나리오비교'!$B$5))*COS(RADIANS('13_시나리오비교'!$C$5))+$I715*COS(RADIANS('13_시나리오비교'!$B$5))),0)</f>
        <v/>
      </c>
      <c r="Q715" s="80">
        <f>IF($I715&gt;0,MAX(0,$G715*SIN(RADIANS('13_시나리오비교'!$B$6))*SIN(RADIANS('13_시나리오비교'!$C$6))+$H715*SIN(RADIANS('13_시나리오비교'!$B$6))*COS(RADIANS('13_시나리오비교'!$C$6))+$I715*COS(RADIANS('13_시나리오비교'!$B$6))),0)</f>
        <v/>
      </c>
      <c r="R715" s="80">
        <f>IF($I715&gt;0,MAX(0,$G715*SIN(RADIANS('13_시나리오비교'!$B$7))*SIN(RADIANS('13_시나리오비교'!$C$7))+$H715*SIN(RADIANS('13_시나리오비교'!$B$7))*COS(RADIANS('13_시나리오비교'!$C$7))+$I715*COS(RADIANS('13_시나리오비교'!$B$7))),0)</f>
        <v/>
      </c>
      <c r="S715" s="80">
        <f>IF($I715&gt;0,MAX(0,$G715*SIN(RADIANS('13_시나리오비교'!$B$8))*SIN(RADIANS('13_시나리오비교'!$C$8))+$H715*SIN(RADIANS('13_시나리오비교'!$B$8))*COS(RADIANS('13_시나리오비교'!$C$8))+$I715*COS(RADIANS('13_시나리오비교'!$B$8))),0)</f>
        <v/>
      </c>
      <c r="T715" s="80">
        <f>IF($I715&gt;0,MAX(0,$G715*SIN(RADIANS('13_시나리오비교'!$B$9))*SIN(RADIANS('13_시나리오비교'!$C$9))+$H715*SIN(RADIANS('13_시나리오비교'!$B$9))*COS(RADIANS('13_시나리오비교'!$C$9))+$I715*COS(RADIANS('13_시나리오비교'!$B$9))),0)</f>
        <v/>
      </c>
      <c r="U715" s="80">
        <f>IF($I715&gt;0,MAX(0,$G715*SIN(RADIANS('13_시나리오비교'!$B$10))*SIN(RADIANS('13_시나리오비교'!$C$10))+$H715*SIN(RADIANS('13_시나리오비교'!$B$10))*COS(RADIANS('13_시나리오비교'!$C$10))+$I715*COS(RADIANS('13_시나리오비교'!$B$10))),0)</f>
        <v/>
      </c>
      <c r="V715" s="80">
        <f>IF($I715&gt;0,MAX(0,$G715*SIN(RADIANS('13_시나리오비교'!$B$11))*SIN(RADIANS('13_시나리오비교'!$C$11))+$H715*SIN(RADIANS('13_시나리오비교'!$B$11))*COS(RADIANS('13_시나리오비교'!$C$11))+$I715*COS(RADIANS('13_시나리오비교'!$B$11))),0)</f>
        <v/>
      </c>
      <c r="W715" s="80">
        <f>IF($I715&gt;0,MAX(0,$G715*SIN(RADIANS('13_시나리오비교'!$B$12))*SIN(RADIANS('13_시나리오비교'!$C$12))+$H715*SIN(RADIANS('13_시나리오비교'!$B$12))*COS(RADIANS('13_시나리오비교'!$C$12))+$I715*COS(RADIANS('13_시나리오비교'!$B$12))),0)</f>
        <v/>
      </c>
      <c r="X715" s="80">
        <f>IF($I715&gt;0,MAX(0,$G715*SIN(RADIANS('13_시나리오비교'!$B$13))*SIN(RADIANS('13_시나리오비교'!$C$13))+$H715*SIN(RADIANS('13_시나리오비교'!$B$13))*COS(RADIANS('13_시나리오비교'!$C$13))+$I715*COS(RADIANS('13_시나리오비교'!$B$13))),0)</f>
        <v/>
      </c>
      <c r="Y715" s="80">
        <f>IF($I715&gt;0,MAX(0,$G715*SIN(RADIANS('13_시나리오비교'!$B$14))*SIN(RADIANS('13_시나리오비교'!$C$14))+$H715*SIN(RADIANS('13_시나리오비교'!$B$14))*COS(RADIANS('13_시나리오비교'!$C$14))+$I715*COS(RADIANS('13_시나리오비교'!$B$14))),0)</f>
        <v/>
      </c>
    </row>
    <row r="716" hidden="1" outlineLevel="1">
      <c r="A716" s="79" t="n">
        <v>8</v>
      </c>
      <c r="B716" s="79" t="n">
        <v>24</v>
      </c>
      <c r="C716" s="80">
        <f>(B716-0.5)*'14_지역·상수'!$H$6</f>
        <v/>
      </c>
      <c r="D716" s="79" t="n">
        <v>228</v>
      </c>
      <c r="E716" s="80">
        <f>INDEX($C$4:$C$15,MATCH(A716,$A$4:$A$15,0))</f>
        <v/>
      </c>
      <c r="F716" s="80">
        <f>15*(C716-12)</f>
        <v/>
      </c>
      <c r="G716" s="80">
        <f>-COS(RADIANS(E716))*SIN(RADIANS(F716))</f>
        <v/>
      </c>
      <c r="H716" s="80">
        <f>COS(RADIANS('11_발전량_모델'!$B$17))*SIN(RADIANS(E716))-SIN(RADIANS('11_발전량_모델'!$B$17))*COS(RADIANS(E716))*COS(RADIANS(F716))</f>
        <v/>
      </c>
      <c r="I716" s="80">
        <f>SIN(RADIANS('11_발전량_모델'!$B$17))*SIN(RADIANS(E716))+COS(RADIANS('11_발전량_모델'!$B$17))*COS(RADIANS(E716))*COS(RADIANS(F716))</f>
        <v/>
      </c>
      <c r="J716" s="80">
        <f>SIN(RADIANS('11_발전량_모델'!$B$7))*SIN(RADIANS('11_발전량_모델'!$B$8))</f>
        <v/>
      </c>
      <c r="K716" s="80">
        <f>SIN(RADIANS('11_발전량_모델'!$B$7))*COS(RADIANS('11_발전량_모델'!$B$8))</f>
        <v/>
      </c>
      <c r="L716" s="80">
        <f>COS(RADIANS('11_발전량_모델'!$B$7))</f>
        <v/>
      </c>
      <c r="M716" s="80">
        <f>G716*J716+H716*K716+I716*L716</f>
        <v/>
      </c>
      <c r="N716" s="80">
        <f>MAX(0,I716)</f>
        <v/>
      </c>
      <c r="O716" s="80">
        <f>IF(I716&gt;0,MAX(0,M716),0)</f>
        <v/>
      </c>
      <c r="P716" s="80">
        <f>IF($I716&gt;0,MAX(0,$G716*SIN(RADIANS('13_시나리오비교'!$B$5))*SIN(RADIANS('13_시나리오비교'!$C$5))+$H716*SIN(RADIANS('13_시나리오비교'!$B$5))*COS(RADIANS('13_시나리오비교'!$C$5))+$I716*COS(RADIANS('13_시나리오비교'!$B$5))),0)</f>
        <v/>
      </c>
      <c r="Q716" s="80">
        <f>IF($I716&gt;0,MAX(0,$G716*SIN(RADIANS('13_시나리오비교'!$B$6))*SIN(RADIANS('13_시나리오비교'!$C$6))+$H716*SIN(RADIANS('13_시나리오비교'!$B$6))*COS(RADIANS('13_시나리오비교'!$C$6))+$I716*COS(RADIANS('13_시나리오비교'!$B$6))),0)</f>
        <v/>
      </c>
      <c r="R716" s="80">
        <f>IF($I716&gt;0,MAX(0,$G716*SIN(RADIANS('13_시나리오비교'!$B$7))*SIN(RADIANS('13_시나리오비교'!$C$7))+$H716*SIN(RADIANS('13_시나리오비교'!$B$7))*COS(RADIANS('13_시나리오비교'!$C$7))+$I716*COS(RADIANS('13_시나리오비교'!$B$7))),0)</f>
        <v/>
      </c>
      <c r="S716" s="80">
        <f>IF($I716&gt;0,MAX(0,$G716*SIN(RADIANS('13_시나리오비교'!$B$8))*SIN(RADIANS('13_시나리오비교'!$C$8))+$H716*SIN(RADIANS('13_시나리오비교'!$B$8))*COS(RADIANS('13_시나리오비교'!$C$8))+$I716*COS(RADIANS('13_시나리오비교'!$B$8))),0)</f>
        <v/>
      </c>
      <c r="T716" s="80">
        <f>IF($I716&gt;0,MAX(0,$G716*SIN(RADIANS('13_시나리오비교'!$B$9))*SIN(RADIANS('13_시나리오비교'!$C$9))+$H716*SIN(RADIANS('13_시나리오비교'!$B$9))*COS(RADIANS('13_시나리오비교'!$C$9))+$I716*COS(RADIANS('13_시나리오비교'!$B$9))),0)</f>
        <v/>
      </c>
      <c r="U716" s="80">
        <f>IF($I716&gt;0,MAX(0,$G716*SIN(RADIANS('13_시나리오비교'!$B$10))*SIN(RADIANS('13_시나리오비교'!$C$10))+$H716*SIN(RADIANS('13_시나리오비교'!$B$10))*COS(RADIANS('13_시나리오비교'!$C$10))+$I716*COS(RADIANS('13_시나리오비교'!$B$10))),0)</f>
        <v/>
      </c>
      <c r="V716" s="80">
        <f>IF($I716&gt;0,MAX(0,$G716*SIN(RADIANS('13_시나리오비교'!$B$11))*SIN(RADIANS('13_시나리오비교'!$C$11))+$H716*SIN(RADIANS('13_시나리오비교'!$B$11))*COS(RADIANS('13_시나리오비교'!$C$11))+$I716*COS(RADIANS('13_시나리오비교'!$B$11))),0)</f>
        <v/>
      </c>
      <c r="W716" s="80">
        <f>IF($I716&gt;0,MAX(0,$G716*SIN(RADIANS('13_시나리오비교'!$B$12))*SIN(RADIANS('13_시나리오비교'!$C$12))+$H716*SIN(RADIANS('13_시나리오비교'!$B$12))*COS(RADIANS('13_시나리오비교'!$C$12))+$I716*COS(RADIANS('13_시나리오비교'!$B$12))),0)</f>
        <v/>
      </c>
      <c r="X716" s="80">
        <f>IF($I716&gt;0,MAX(0,$G716*SIN(RADIANS('13_시나리오비교'!$B$13))*SIN(RADIANS('13_시나리오비교'!$C$13))+$H716*SIN(RADIANS('13_시나리오비교'!$B$13))*COS(RADIANS('13_시나리오비교'!$C$13))+$I716*COS(RADIANS('13_시나리오비교'!$B$13))),0)</f>
        <v/>
      </c>
      <c r="Y716" s="80">
        <f>IF($I716&gt;0,MAX(0,$G716*SIN(RADIANS('13_시나리오비교'!$B$14))*SIN(RADIANS('13_시나리오비교'!$C$14))+$H716*SIN(RADIANS('13_시나리오비교'!$B$14))*COS(RADIANS('13_시나리오비교'!$C$14))+$I716*COS(RADIANS('13_시나리오비교'!$B$14))),0)</f>
        <v/>
      </c>
    </row>
    <row r="717" hidden="1" outlineLevel="1">
      <c r="A717" s="79" t="n">
        <v>8</v>
      </c>
      <c r="B717" s="79" t="n">
        <v>25</v>
      </c>
      <c r="C717" s="80">
        <f>(B717-0.5)*'14_지역·상수'!$H$6</f>
        <v/>
      </c>
      <c r="D717" s="79" t="n">
        <v>228</v>
      </c>
      <c r="E717" s="80">
        <f>INDEX($C$4:$C$15,MATCH(A717,$A$4:$A$15,0))</f>
        <v/>
      </c>
      <c r="F717" s="80">
        <f>15*(C717-12)</f>
        <v/>
      </c>
      <c r="G717" s="80">
        <f>-COS(RADIANS(E717))*SIN(RADIANS(F717))</f>
        <v/>
      </c>
      <c r="H717" s="80">
        <f>COS(RADIANS('11_발전량_모델'!$B$17))*SIN(RADIANS(E717))-SIN(RADIANS('11_발전량_모델'!$B$17))*COS(RADIANS(E717))*COS(RADIANS(F717))</f>
        <v/>
      </c>
      <c r="I717" s="80">
        <f>SIN(RADIANS('11_발전량_모델'!$B$17))*SIN(RADIANS(E717))+COS(RADIANS('11_발전량_모델'!$B$17))*COS(RADIANS(E717))*COS(RADIANS(F717))</f>
        <v/>
      </c>
      <c r="J717" s="80">
        <f>SIN(RADIANS('11_발전량_모델'!$B$7))*SIN(RADIANS('11_발전량_모델'!$B$8))</f>
        <v/>
      </c>
      <c r="K717" s="80">
        <f>SIN(RADIANS('11_발전량_모델'!$B$7))*COS(RADIANS('11_발전량_모델'!$B$8))</f>
        <v/>
      </c>
      <c r="L717" s="80">
        <f>COS(RADIANS('11_발전량_모델'!$B$7))</f>
        <v/>
      </c>
      <c r="M717" s="80">
        <f>G717*J717+H717*K717+I717*L717</f>
        <v/>
      </c>
      <c r="N717" s="80">
        <f>MAX(0,I717)</f>
        <v/>
      </c>
      <c r="O717" s="80">
        <f>IF(I717&gt;0,MAX(0,M717),0)</f>
        <v/>
      </c>
      <c r="P717" s="80">
        <f>IF($I717&gt;0,MAX(0,$G717*SIN(RADIANS('13_시나리오비교'!$B$5))*SIN(RADIANS('13_시나리오비교'!$C$5))+$H717*SIN(RADIANS('13_시나리오비교'!$B$5))*COS(RADIANS('13_시나리오비교'!$C$5))+$I717*COS(RADIANS('13_시나리오비교'!$B$5))),0)</f>
        <v/>
      </c>
      <c r="Q717" s="80">
        <f>IF($I717&gt;0,MAX(0,$G717*SIN(RADIANS('13_시나리오비교'!$B$6))*SIN(RADIANS('13_시나리오비교'!$C$6))+$H717*SIN(RADIANS('13_시나리오비교'!$B$6))*COS(RADIANS('13_시나리오비교'!$C$6))+$I717*COS(RADIANS('13_시나리오비교'!$B$6))),0)</f>
        <v/>
      </c>
      <c r="R717" s="80">
        <f>IF($I717&gt;0,MAX(0,$G717*SIN(RADIANS('13_시나리오비교'!$B$7))*SIN(RADIANS('13_시나리오비교'!$C$7))+$H717*SIN(RADIANS('13_시나리오비교'!$B$7))*COS(RADIANS('13_시나리오비교'!$C$7))+$I717*COS(RADIANS('13_시나리오비교'!$B$7))),0)</f>
        <v/>
      </c>
      <c r="S717" s="80">
        <f>IF($I717&gt;0,MAX(0,$G717*SIN(RADIANS('13_시나리오비교'!$B$8))*SIN(RADIANS('13_시나리오비교'!$C$8))+$H717*SIN(RADIANS('13_시나리오비교'!$B$8))*COS(RADIANS('13_시나리오비교'!$C$8))+$I717*COS(RADIANS('13_시나리오비교'!$B$8))),0)</f>
        <v/>
      </c>
      <c r="T717" s="80">
        <f>IF($I717&gt;0,MAX(0,$G717*SIN(RADIANS('13_시나리오비교'!$B$9))*SIN(RADIANS('13_시나리오비교'!$C$9))+$H717*SIN(RADIANS('13_시나리오비교'!$B$9))*COS(RADIANS('13_시나리오비교'!$C$9))+$I717*COS(RADIANS('13_시나리오비교'!$B$9))),0)</f>
        <v/>
      </c>
      <c r="U717" s="80">
        <f>IF($I717&gt;0,MAX(0,$G717*SIN(RADIANS('13_시나리오비교'!$B$10))*SIN(RADIANS('13_시나리오비교'!$C$10))+$H717*SIN(RADIANS('13_시나리오비교'!$B$10))*COS(RADIANS('13_시나리오비교'!$C$10))+$I717*COS(RADIANS('13_시나리오비교'!$B$10))),0)</f>
        <v/>
      </c>
      <c r="V717" s="80">
        <f>IF($I717&gt;0,MAX(0,$G717*SIN(RADIANS('13_시나리오비교'!$B$11))*SIN(RADIANS('13_시나리오비교'!$C$11))+$H717*SIN(RADIANS('13_시나리오비교'!$B$11))*COS(RADIANS('13_시나리오비교'!$C$11))+$I717*COS(RADIANS('13_시나리오비교'!$B$11))),0)</f>
        <v/>
      </c>
      <c r="W717" s="80">
        <f>IF($I717&gt;0,MAX(0,$G717*SIN(RADIANS('13_시나리오비교'!$B$12))*SIN(RADIANS('13_시나리오비교'!$C$12))+$H717*SIN(RADIANS('13_시나리오비교'!$B$12))*COS(RADIANS('13_시나리오비교'!$C$12))+$I717*COS(RADIANS('13_시나리오비교'!$B$12))),0)</f>
        <v/>
      </c>
      <c r="X717" s="80">
        <f>IF($I717&gt;0,MAX(0,$G717*SIN(RADIANS('13_시나리오비교'!$B$13))*SIN(RADIANS('13_시나리오비교'!$C$13))+$H717*SIN(RADIANS('13_시나리오비교'!$B$13))*COS(RADIANS('13_시나리오비교'!$C$13))+$I717*COS(RADIANS('13_시나리오비교'!$B$13))),0)</f>
        <v/>
      </c>
      <c r="Y717" s="80">
        <f>IF($I717&gt;0,MAX(0,$G717*SIN(RADIANS('13_시나리오비교'!$B$14))*SIN(RADIANS('13_시나리오비교'!$C$14))+$H717*SIN(RADIANS('13_시나리오비교'!$B$14))*COS(RADIANS('13_시나리오비교'!$C$14))+$I717*COS(RADIANS('13_시나리오비교'!$B$14))),0)</f>
        <v/>
      </c>
    </row>
    <row r="718" hidden="1" outlineLevel="1">
      <c r="A718" s="79" t="n">
        <v>8</v>
      </c>
      <c r="B718" s="79" t="n">
        <v>26</v>
      </c>
      <c r="C718" s="80">
        <f>(B718-0.5)*'14_지역·상수'!$H$6</f>
        <v/>
      </c>
      <c r="D718" s="79" t="n">
        <v>228</v>
      </c>
      <c r="E718" s="80">
        <f>INDEX($C$4:$C$15,MATCH(A718,$A$4:$A$15,0))</f>
        <v/>
      </c>
      <c r="F718" s="80">
        <f>15*(C718-12)</f>
        <v/>
      </c>
      <c r="G718" s="80">
        <f>-COS(RADIANS(E718))*SIN(RADIANS(F718))</f>
        <v/>
      </c>
      <c r="H718" s="80">
        <f>COS(RADIANS('11_발전량_모델'!$B$17))*SIN(RADIANS(E718))-SIN(RADIANS('11_발전량_모델'!$B$17))*COS(RADIANS(E718))*COS(RADIANS(F718))</f>
        <v/>
      </c>
      <c r="I718" s="80">
        <f>SIN(RADIANS('11_발전량_모델'!$B$17))*SIN(RADIANS(E718))+COS(RADIANS('11_발전량_모델'!$B$17))*COS(RADIANS(E718))*COS(RADIANS(F718))</f>
        <v/>
      </c>
      <c r="J718" s="80">
        <f>SIN(RADIANS('11_발전량_모델'!$B$7))*SIN(RADIANS('11_발전량_모델'!$B$8))</f>
        <v/>
      </c>
      <c r="K718" s="80">
        <f>SIN(RADIANS('11_발전량_모델'!$B$7))*COS(RADIANS('11_발전량_모델'!$B$8))</f>
        <v/>
      </c>
      <c r="L718" s="80">
        <f>COS(RADIANS('11_발전량_모델'!$B$7))</f>
        <v/>
      </c>
      <c r="M718" s="80">
        <f>G718*J718+H718*K718+I718*L718</f>
        <v/>
      </c>
      <c r="N718" s="80">
        <f>MAX(0,I718)</f>
        <v/>
      </c>
      <c r="O718" s="80">
        <f>IF(I718&gt;0,MAX(0,M718),0)</f>
        <v/>
      </c>
      <c r="P718" s="80">
        <f>IF($I718&gt;0,MAX(0,$G718*SIN(RADIANS('13_시나리오비교'!$B$5))*SIN(RADIANS('13_시나리오비교'!$C$5))+$H718*SIN(RADIANS('13_시나리오비교'!$B$5))*COS(RADIANS('13_시나리오비교'!$C$5))+$I718*COS(RADIANS('13_시나리오비교'!$B$5))),0)</f>
        <v/>
      </c>
      <c r="Q718" s="80">
        <f>IF($I718&gt;0,MAX(0,$G718*SIN(RADIANS('13_시나리오비교'!$B$6))*SIN(RADIANS('13_시나리오비교'!$C$6))+$H718*SIN(RADIANS('13_시나리오비교'!$B$6))*COS(RADIANS('13_시나리오비교'!$C$6))+$I718*COS(RADIANS('13_시나리오비교'!$B$6))),0)</f>
        <v/>
      </c>
      <c r="R718" s="80">
        <f>IF($I718&gt;0,MAX(0,$G718*SIN(RADIANS('13_시나리오비교'!$B$7))*SIN(RADIANS('13_시나리오비교'!$C$7))+$H718*SIN(RADIANS('13_시나리오비교'!$B$7))*COS(RADIANS('13_시나리오비교'!$C$7))+$I718*COS(RADIANS('13_시나리오비교'!$B$7))),0)</f>
        <v/>
      </c>
      <c r="S718" s="80">
        <f>IF($I718&gt;0,MAX(0,$G718*SIN(RADIANS('13_시나리오비교'!$B$8))*SIN(RADIANS('13_시나리오비교'!$C$8))+$H718*SIN(RADIANS('13_시나리오비교'!$B$8))*COS(RADIANS('13_시나리오비교'!$C$8))+$I718*COS(RADIANS('13_시나리오비교'!$B$8))),0)</f>
        <v/>
      </c>
      <c r="T718" s="80">
        <f>IF($I718&gt;0,MAX(0,$G718*SIN(RADIANS('13_시나리오비교'!$B$9))*SIN(RADIANS('13_시나리오비교'!$C$9))+$H718*SIN(RADIANS('13_시나리오비교'!$B$9))*COS(RADIANS('13_시나리오비교'!$C$9))+$I718*COS(RADIANS('13_시나리오비교'!$B$9))),0)</f>
        <v/>
      </c>
      <c r="U718" s="80">
        <f>IF($I718&gt;0,MAX(0,$G718*SIN(RADIANS('13_시나리오비교'!$B$10))*SIN(RADIANS('13_시나리오비교'!$C$10))+$H718*SIN(RADIANS('13_시나리오비교'!$B$10))*COS(RADIANS('13_시나리오비교'!$C$10))+$I718*COS(RADIANS('13_시나리오비교'!$B$10))),0)</f>
        <v/>
      </c>
      <c r="V718" s="80">
        <f>IF($I718&gt;0,MAX(0,$G718*SIN(RADIANS('13_시나리오비교'!$B$11))*SIN(RADIANS('13_시나리오비교'!$C$11))+$H718*SIN(RADIANS('13_시나리오비교'!$B$11))*COS(RADIANS('13_시나리오비교'!$C$11))+$I718*COS(RADIANS('13_시나리오비교'!$B$11))),0)</f>
        <v/>
      </c>
      <c r="W718" s="80">
        <f>IF($I718&gt;0,MAX(0,$G718*SIN(RADIANS('13_시나리오비교'!$B$12))*SIN(RADIANS('13_시나리오비교'!$C$12))+$H718*SIN(RADIANS('13_시나리오비교'!$B$12))*COS(RADIANS('13_시나리오비교'!$C$12))+$I718*COS(RADIANS('13_시나리오비교'!$B$12))),0)</f>
        <v/>
      </c>
      <c r="X718" s="80">
        <f>IF($I718&gt;0,MAX(0,$G718*SIN(RADIANS('13_시나리오비교'!$B$13))*SIN(RADIANS('13_시나리오비교'!$C$13))+$H718*SIN(RADIANS('13_시나리오비교'!$B$13))*COS(RADIANS('13_시나리오비교'!$C$13))+$I718*COS(RADIANS('13_시나리오비교'!$B$13))),0)</f>
        <v/>
      </c>
      <c r="Y718" s="80">
        <f>IF($I718&gt;0,MAX(0,$G718*SIN(RADIANS('13_시나리오비교'!$B$14))*SIN(RADIANS('13_시나리오비교'!$C$14))+$H718*SIN(RADIANS('13_시나리오비교'!$B$14))*COS(RADIANS('13_시나리오비교'!$C$14))+$I718*COS(RADIANS('13_시나리오비교'!$B$14))),0)</f>
        <v/>
      </c>
    </row>
    <row r="719" hidden="1" outlineLevel="1">
      <c r="A719" s="79" t="n">
        <v>8</v>
      </c>
      <c r="B719" s="79" t="n">
        <v>27</v>
      </c>
      <c r="C719" s="80">
        <f>(B719-0.5)*'14_지역·상수'!$H$6</f>
        <v/>
      </c>
      <c r="D719" s="79" t="n">
        <v>228</v>
      </c>
      <c r="E719" s="80">
        <f>INDEX($C$4:$C$15,MATCH(A719,$A$4:$A$15,0))</f>
        <v/>
      </c>
      <c r="F719" s="80">
        <f>15*(C719-12)</f>
        <v/>
      </c>
      <c r="G719" s="80">
        <f>-COS(RADIANS(E719))*SIN(RADIANS(F719))</f>
        <v/>
      </c>
      <c r="H719" s="80">
        <f>COS(RADIANS('11_발전량_모델'!$B$17))*SIN(RADIANS(E719))-SIN(RADIANS('11_발전량_모델'!$B$17))*COS(RADIANS(E719))*COS(RADIANS(F719))</f>
        <v/>
      </c>
      <c r="I719" s="80">
        <f>SIN(RADIANS('11_발전량_모델'!$B$17))*SIN(RADIANS(E719))+COS(RADIANS('11_발전량_모델'!$B$17))*COS(RADIANS(E719))*COS(RADIANS(F719))</f>
        <v/>
      </c>
      <c r="J719" s="80">
        <f>SIN(RADIANS('11_발전량_모델'!$B$7))*SIN(RADIANS('11_발전량_모델'!$B$8))</f>
        <v/>
      </c>
      <c r="K719" s="80">
        <f>SIN(RADIANS('11_발전량_모델'!$B$7))*COS(RADIANS('11_발전량_모델'!$B$8))</f>
        <v/>
      </c>
      <c r="L719" s="80">
        <f>COS(RADIANS('11_발전량_모델'!$B$7))</f>
        <v/>
      </c>
      <c r="M719" s="80">
        <f>G719*J719+H719*K719+I719*L719</f>
        <v/>
      </c>
      <c r="N719" s="80">
        <f>MAX(0,I719)</f>
        <v/>
      </c>
      <c r="O719" s="80">
        <f>IF(I719&gt;0,MAX(0,M719),0)</f>
        <v/>
      </c>
      <c r="P719" s="80">
        <f>IF($I719&gt;0,MAX(0,$G719*SIN(RADIANS('13_시나리오비교'!$B$5))*SIN(RADIANS('13_시나리오비교'!$C$5))+$H719*SIN(RADIANS('13_시나리오비교'!$B$5))*COS(RADIANS('13_시나리오비교'!$C$5))+$I719*COS(RADIANS('13_시나리오비교'!$B$5))),0)</f>
        <v/>
      </c>
      <c r="Q719" s="80">
        <f>IF($I719&gt;0,MAX(0,$G719*SIN(RADIANS('13_시나리오비교'!$B$6))*SIN(RADIANS('13_시나리오비교'!$C$6))+$H719*SIN(RADIANS('13_시나리오비교'!$B$6))*COS(RADIANS('13_시나리오비교'!$C$6))+$I719*COS(RADIANS('13_시나리오비교'!$B$6))),0)</f>
        <v/>
      </c>
      <c r="R719" s="80">
        <f>IF($I719&gt;0,MAX(0,$G719*SIN(RADIANS('13_시나리오비교'!$B$7))*SIN(RADIANS('13_시나리오비교'!$C$7))+$H719*SIN(RADIANS('13_시나리오비교'!$B$7))*COS(RADIANS('13_시나리오비교'!$C$7))+$I719*COS(RADIANS('13_시나리오비교'!$B$7))),0)</f>
        <v/>
      </c>
      <c r="S719" s="80">
        <f>IF($I719&gt;0,MAX(0,$G719*SIN(RADIANS('13_시나리오비교'!$B$8))*SIN(RADIANS('13_시나리오비교'!$C$8))+$H719*SIN(RADIANS('13_시나리오비교'!$B$8))*COS(RADIANS('13_시나리오비교'!$C$8))+$I719*COS(RADIANS('13_시나리오비교'!$B$8))),0)</f>
        <v/>
      </c>
      <c r="T719" s="80">
        <f>IF($I719&gt;0,MAX(0,$G719*SIN(RADIANS('13_시나리오비교'!$B$9))*SIN(RADIANS('13_시나리오비교'!$C$9))+$H719*SIN(RADIANS('13_시나리오비교'!$B$9))*COS(RADIANS('13_시나리오비교'!$C$9))+$I719*COS(RADIANS('13_시나리오비교'!$B$9))),0)</f>
        <v/>
      </c>
      <c r="U719" s="80">
        <f>IF($I719&gt;0,MAX(0,$G719*SIN(RADIANS('13_시나리오비교'!$B$10))*SIN(RADIANS('13_시나리오비교'!$C$10))+$H719*SIN(RADIANS('13_시나리오비교'!$B$10))*COS(RADIANS('13_시나리오비교'!$C$10))+$I719*COS(RADIANS('13_시나리오비교'!$B$10))),0)</f>
        <v/>
      </c>
      <c r="V719" s="80">
        <f>IF($I719&gt;0,MAX(0,$G719*SIN(RADIANS('13_시나리오비교'!$B$11))*SIN(RADIANS('13_시나리오비교'!$C$11))+$H719*SIN(RADIANS('13_시나리오비교'!$B$11))*COS(RADIANS('13_시나리오비교'!$C$11))+$I719*COS(RADIANS('13_시나리오비교'!$B$11))),0)</f>
        <v/>
      </c>
      <c r="W719" s="80">
        <f>IF($I719&gt;0,MAX(0,$G719*SIN(RADIANS('13_시나리오비교'!$B$12))*SIN(RADIANS('13_시나리오비교'!$C$12))+$H719*SIN(RADIANS('13_시나리오비교'!$B$12))*COS(RADIANS('13_시나리오비교'!$C$12))+$I719*COS(RADIANS('13_시나리오비교'!$B$12))),0)</f>
        <v/>
      </c>
      <c r="X719" s="80">
        <f>IF($I719&gt;0,MAX(0,$G719*SIN(RADIANS('13_시나리오비교'!$B$13))*SIN(RADIANS('13_시나리오비교'!$C$13))+$H719*SIN(RADIANS('13_시나리오비교'!$B$13))*COS(RADIANS('13_시나리오비교'!$C$13))+$I719*COS(RADIANS('13_시나리오비교'!$B$13))),0)</f>
        <v/>
      </c>
      <c r="Y719" s="80">
        <f>IF($I719&gt;0,MAX(0,$G719*SIN(RADIANS('13_시나리오비교'!$B$14))*SIN(RADIANS('13_시나리오비교'!$C$14))+$H719*SIN(RADIANS('13_시나리오비교'!$B$14))*COS(RADIANS('13_시나리오비교'!$C$14))+$I719*COS(RADIANS('13_시나리오비교'!$B$14))),0)</f>
        <v/>
      </c>
    </row>
    <row r="720" hidden="1" outlineLevel="1">
      <c r="A720" s="79" t="n">
        <v>8</v>
      </c>
      <c r="B720" s="79" t="n">
        <v>28</v>
      </c>
      <c r="C720" s="80">
        <f>(B720-0.5)*'14_지역·상수'!$H$6</f>
        <v/>
      </c>
      <c r="D720" s="79" t="n">
        <v>228</v>
      </c>
      <c r="E720" s="80">
        <f>INDEX($C$4:$C$15,MATCH(A720,$A$4:$A$15,0))</f>
        <v/>
      </c>
      <c r="F720" s="80">
        <f>15*(C720-12)</f>
        <v/>
      </c>
      <c r="G720" s="80">
        <f>-COS(RADIANS(E720))*SIN(RADIANS(F720))</f>
        <v/>
      </c>
      <c r="H720" s="80">
        <f>COS(RADIANS('11_발전량_모델'!$B$17))*SIN(RADIANS(E720))-SIN(RADIANS('11_발전량_모델'!$B$17))*COS(RADIANS(E720))*COS(RADIANS(F720))</f>
        <v/>
      </c>
      <c r="I720" s="80">
        <f>SIN(RADIANS('11_발전량_모델'!$B$17))*SIN(RADIANS(E720))+COS(RADIANS('11_발전량_모델'!$B$17))*COS(RADIANS(E720))*COS(RADIANS(F720))</f>
        <v/>
      </c>
      <c r="J720" s="80">
        <f>SIN(RADIANS('11_발전량_모델'!$B$7))*SIN(RADIANS('11_발전량_모델'!$B$8))</f>
        <v/>
      </c>
      <c r="K720" s="80">
        <f>SIN(RADIANS('11_발전량_모델'!$B$7))*COS(RADIANS('11_발전량_모델'!$B$8))</f>
        <v/>
      </c>
      <c r="L720" s="80">
        <f>COS(RADIANS('11_발전량_모델'!$B$7))</f>
        <v/>
      </c>
      <c r="M720" s="80">
        <f>G720*J720+H720*K720+I720*L720</f>
        <v/>
      </c>
      <c r="N720" s="80">
        <f>MAX(0,I720)</f>
        <v/>
      </c>
      <c r="O720" s="80">
        <f>IF(I720&gt;0,MAX(0,M720),0)</f>
        <v/>
      </c>
      <c r="P720" s="80">
        <f>IF($I720&gt;0,MAX(0,$G720*SIN(RADIANS('13_시나리오비교'!$B$5))*SIN(RADIANS('13_시나리오비교'!$C$5))+$H720*SIN(RADIANS('13_시나리오비교'!$B$5))*COS(RADIANS('13_시나리오비교'!$C$5))+$I720*COS(RADIANS('13_시나리오비교'!$B$5))),0)</f>
        <v/>
      </c>
      <c r="Q720" s="80">
        <f>IF($I720&gt;0,MAX(0,$G720*SIN(RADIANS('13_시나리오비교'!$B$6))*SIN(RADIANS('13_시나리오비교'!$C$6))+$H720*SIN(RADIANS('13_시나리오비교'!$B$6))*COS(RADIANS('13_시나리오비교'!$C$6))+$I720*COS(RADIANS('13_시나리오비교'!$B$6))),0)</f>
        <v/>
      </c>
      <c r="R720" s="80">
        <f>IF($I720&gt;0,MAX(0,$G720*SIN(RADIANS('13_시나리오비교'!$B$7))*SIN(RADIANS('13_시나리오비교'!$C$7))+$H720*SIN(RADIANS('13_시나리오비교'!$B$7))*COS(RADIANS('13_시나리오비교'!$C$7))+$I720*COS(RADIANS('13_시나리오비교'!$B$7))),0)</f>
        <v/>
      </c>
      <c r="S720" s="80">
        <f>IF($I720&gt;0,MAX(0,$G720*SIN(RADIANS('13_시나리오비교'!$B$8))*SIN(RADIANS('13_시나리오비교'!$C$8))+$H720*SIN(RADIANS('13_시나리오비교'!$B$8))*COS(RADIANS('13_시나리오비교'!$C$8))+$I720*COS(RADIANS('13_시나리오비교'!$B$8))),0)</f>
        <v/>
      </c>
      <c r="T720" s="80">
        <f>IF($I720&gt;0,MAX(0,$G720*SIN(RADIANS('13_시나리오비교'!$B$9))*SIN(RADIANS('13_시나리오비교'!$C$9))+$H720*SIN(RADIANS('13_시나리오비교'!$B$9))*COS(RADIANS('13_시나리오비교'!$C$9))+$I720*COS(RADIANS('13_시나리오비교'!$B$9))),0)</f>
        <v/>
      </c>
      <c r="U720" s="80">
        <f>IF($I720&gt;0,MAX(0,$G720*SIN(RADIANS('13_시나리오비교'!$B$10))*SIN(RADIANS('13_시나리오비교'!$C$10))+$H720*SIN(RADIANS('13_시나리오비교'!$B$10))*COS(RADIANS('13_시나리오비교'!$C$10))+$I720*COS(RADIANS('13_시나리오비교'!$B$10))),0)</f>
        <v/>
      </c>
      <c r="V720" s="80">
        <f>IF($I720&gt;0,MAX(0,$G720*SIN(RADIANS('13_시나리오비교'!$B$11))*SIN(RADIANS('13_시나리오비교'!$C$11))+$H720*SIN(RADIANS('13_시나리오비교'!$B$11))*COS(RADIANS('13_시나리오비교'!$C$11))+$I720*COS(RADIANS('13_시나리오비교'!$B$11))),0)</f>
        <v/>
      </c>
      <c r="W720" s="80">
        <f>IF($I720&gt;0,MAX(0,$G720*SIN(RADIANS('13_시나리오비교'!$B$12))*SIN(RADIANS('13_시나리오비교'!$C$12))+$H720*SIN(RADIANS('13_시나리오비교'!$B$12))*COS(RADIANS('13_시나리오비교'!$C$12))+$I720*COS(RADIANS('13_시나리오비교'!$B$12))),0)</f>
        <v/>
      </c>
      <c r="X720" s="80">
        <f>IF($I720&gt;0,MAX(0,$G720*SIN(RADIANS('13_시나리오비교'!$B$13))*SIN(RADIANS('13_시나리오비교'!$C$13))+$H720*SIN(RADIANS('13_시나리오비교'!$B$13))*COS(RADIANS('13_시나리오비교'!$C$13))+$I720*COS(RADIANS('13_시나리오비교'!$B$13))),0)</f>
        <v/>
      </c>
      <c r="Y720" s="80">
        <f>IF($I720&gt;0,MAX(0,$G720*SIN(RADIANS('13_시나리오비교'!$B$14))*SIN(RADIANS('13_시나리오비교'!$C$14))+$H720*SIN(RADIANS('13_시나리오비교'!$B$14))*COS(RADIANS('13_시나리오비교'!$C$14))+$I720*COS(RADIANS('13_시나리오비교'!$B$14))),0)</f>
        <v/>
      </c>
    </row>
    <row r="721" hidden="1" outlineLevel="1">
      <c r="A721" s="79" t="n">
        <v>8</v>
      </c>
      <c r="B721" s="79" t="n">
        <v>29</v>
      </c>
      <c r="C721" s="80">
        <f>(B721-0.5)*'14_지역·상수'!$H$6</f>
        <v/>
      </c>
      <c r="D721" s="79" t="n">
        <v>228</v>
      </c>
      <c r="E721" s="80">
        <f>INDEX($C$4:$C$15,MATCH(A721,$A$4:$A$15,0))</f>
        <v/>
      </c>
      <c r="F721" s="80">
        <f>15*(C721-12)</f>
        <v/>
      </c>
      <c r="G721" s="80">
        <f>-COS(RADIANS(E721))*SIN(RADIANS(F721))</f>
        <v/>
      </c>
      <c r="H721" s="80">
        <f>COS(RADIANS('11_발전량_모델'!$B$17))*SIN(RADIANS(E721))-SIN(RADIANS('11_발전량_모델'!$B$17))*COS(RADIANS(E721))*COS(RADIANS(F721))</f>
        <v/>
      </c>
      <c r="I721" s="80">
        <f>SIN(RADIANS('11_발전량_모델'!$B$17))*SIN(RADIANS(E721))+COS(RADIANS('11_발전량_모델'!$B$17))*COS(RADIANS(E721))*COS(RADIANS(F721))</f>
        <v/>
      </c>
      <c r="J721" s="80">
        <f>SIN(RADIANS('11_발전량_모델'!$B$7))*SIN(RADIANS('11_발전량_모델'!$B$8))</f>
        <v/>
      </c>
      <c r="K721" s="80">
        <f>SIN(RADIANS('11_발전량_모델'!$B$7))*COS(RADIANS('11_발전량_모델'!$B$8))</f>
        <v/>
      </c>
      <c r="L721" s="80">
        <f>COS(RADIANS('11_발전량_모델'!$B$7))</f>
        <v/>
      </c>
      <c r="M721" s="80">
        <f>G721*J721+H721*K721+I721*L721</f>
        <v/>
      </c>
      <c r="N721" s="80">
        <f>MAX(0,I721)</f>
        <v/>
      </c>
      <c r="O721" s="80">
        <f>IF(I721&gt;0,MAX(0,M721),0)</f>
        <v/>
      </c>
      <c r="P721" s="80">
        <f>IF($I721&gt;0,MAX(0,$G721*SIN(RADIANS('13_시나리오비교'!$B$5))*SIN(RADIANS('13_시나리오비교'!$C$5))+$H721*SIN(RADIANS('13_시나리오비교'!$B$5))*COS(RADIANS('13_시나리오비교'!$C$5))+$I721*COS(RADIANS('13_시나리오비교'!$B$5))),0)</f>
        <v/>
      </c>
      <c r="Q721" s="80">
        <f>IF($I721&gt;0,MAX(0,$G721*SIN(RADIANS('13_시나리오비교'!$B$6))*SIN(RADIANS('13_시나리오비교'!$C$6))+$H721*SIN(RADIANS('13_시나리오비교'!$B$6))*COS(RADIANS('13_시나리오비교'!$C$6))+$I721*COS(RADIANS('13_시나리오비교'!$B$6))),0)</f>
        <v/>
      </c>
      <c r="R721" s="80">
        <f>IF($I721&gt;0,MAX(0,$G721*SIN(RADIANS('13_시나리오비교'!$B$7))*SIN(RADIANS('13_시나리오비교'!$C$7))+$H721*SIN(RADIANS('13_시나리오비교'!$B$7))*COS(RADIANS('13_시나리오비교'!$C$7))+$I721*COS(RADIANS('13_시나리오비교'!$B$7))),0)</f>
        <v/>
      </c>
      <c r="S721" s="80">
        <f>IF($I721&gt;0,MAX(0,$G721*SIN(RADIANS('13_시나리오비교'!$B$8))*SIN(RADIANS('13_시나리오비교'!$C$8))+$H721*SIN(RADIANS('13_시나리오비교'!$B$8))*COS(RADIANS('13_시나리오비교'!$C$8))+$I721*COS(RADIANS('13_시나리오비교'!$B$8))),0)</f>
        <v/>
      </c>
      <c r="T721" s="80">
        <f>IF($I721&gt;0,MAX(0,$G721*SIN(RADIANS('13_시나리오비교'!$B$9))*SIN(RADIANS('13_시나리오비교'!$C$9))+$H721*SIN(RADIANS('13_시나리오비교'!$B$9))*COS(RADIANS('13_시나리오비교'!$C$9))+$I721*COS(RADIANS('13_시나리오비교'!$B$9))),0)</f>
        <v/>
      </c>
      <c r="U721" s="80">
        <f>IF($I721&gt;0,MAX(0,$G721*SIN(RADIANS('13_시나리오비교'!$B$10))*SIN(RADIANS('13_시나리오비교'!$C$10))+$H721*SIN(RADIANS('13_시나리오비교'!$B$10))*COS(RADIANS('13_시나리오비교'!$C$10))+$I721*COS(RADIANS('13_시나리오비교'!$B$10))),0)</f>
        <v/>
      </c>
      <c r="V721" s="80">
        <f>IF($I721&gt;0,MAX(0,$G721*SIN(RADIANS('13_시나리오비교'!$B$11))*SIN(RADIANS('13_시나리오비교'!$C$11))+$H721*SIN(RADIANS('13_시나리오비교'!$B$11))*COS(RADIANS('13_시나리오비교'!$C$11))+$I721*COS(RADIANS('13_시나리오비교'!$B$11))),0)</f>
        <v/>
      </c>
      <c r="W721" s="80">
        <f>IF($I721&gt;0,MAX(0,$G721*SIN(RADIANS('13_시나리오비교'!$B$12))*SIN(RADIANS('13_시나리오비교'!$C$12))+$H721*SIN(RADIANS('13_시나리오비교'!$B$12))*COS(RADIANS('13_시나리오비교'!$C$12))+$I721*COS(RADIANS('13_시나리오비교'!$B$12))),0)</f>
        <v/>
      </c>
      <c r="X721" s="80">
        <f>IF($I721&gt;0,MAX(0,$G721*SIN(RADIANS('13_시나리오비교'!$B$13))*SIN(RADIANS('13_시나리오비교'!$C$13))+$H721*SIN(RADIANS('13_시나리오비교'!$B$13))*COS(RADIANS('13_시나리오비교'!$C$13))+$I721*COS(RADIANS('13_시나리오비교'!$B$13))),0)</f>
        <v/>
      </c>
      <c r="Y721" s="80">
        <f>IF($I721&gt;0,MAX(0,$G721*SIN(RADIANS('13_시나리오비교'!$B$14))*SIN(RADIANS('13_시나리오비교'!$C$14))+$H721*SIN(RADIANS('13_시나리오비교'!$B$14))*COS(RADIANS('13_시나리오비교'!$C$14))+$I721*COS(RADIANS('13_시나리오비교'!$B$14))),0)</f>
        <v/>
      </c>
    </row>
    <row r="722" hidden="1" outlineLevel="1">
      <c r="A722" s="79" t="n">
        <v>8</v>
      </c>
      <c r="B722" s="79" t="n">
        <v>30</v>
      </c>
      <c r="C722" s="80">
        <f>(B722-0.5)*'14_지역·상수'!$H$6</f>
        <v/>
      </c>
      <c r="D722" s="79" t="n">
        <v>228</v>
      </c>
      <c r="E722" s="80">
        <f>INDEX($C$4:$C$15,MATCH(A722,$A$4:$A$15,0))</f>
        <v/>
      </c>
      <c r="F722" s="80">
        <f>15*(C722-12)</f>
        <v/>
      </c>
      <c r="G722" s="80">
        <f>-COS(RADIANS(E722))*SIN(RADIANS(F722))</f>
        <v/>
      </c>
      <c r="H722" s="80">
        <f>COS(RADIANS('11_발전량_모델'!$B$17))*SIN(RADIANS(E722))-SIN(RADIANS('11_발전량_모델'!$B$17))*COS(RADIANS(E722))*COS(RADIANS(F722))</f>
        <v/>
      </c>
      <c r="I722" s="80">
        <f>SIN(RADIANS('11_발전량_모델'!$B$17))*SIN(RADIANS(E722))+COS(RADIANS('11_발전량_모델'!$B$17))*COS(RADIANS(E722))*COS(RADIANS(F722))</f>
        <v/>
      </c>
      <c r="J722" s="80">
        <f>SIN(RADIANS('11_발전량_모델'!$B$7))*SIN(RADIANS('11_발전량_모델'!$B$8))</f>
        <v/>
      </c>
      <c r="K722" s="80">
        <f>SIN(RADIANS('11_발전량_모델'!$B$7))*COS(RADIANS('11_발전량_모델'!$B$8))</f>
        <v/>
      </c>
      <c r="L722" s="80">
        <f>COS(RADIANS('11_발전량_모델'!$B$7))</f>
        <v/>
      </c>
      <c r="M722" s="80">
        <f>G722*J722+H722*K722+I722*L722</f>
        <v/>
      </c>
      <c r="N722" s="80">
        <f>MAX(0,I722)</f>
        <v/>
      </c>
      <c r="O722" s="80">
        <f>IF(I722&gt;0,MAX(0,M722),0)</f>
        <v/>
      </c>
      <c r="P722" s="80">
        <f>IF($I722&gt;0,MAX(0,$G722*SIN(RADIANS('13_시나리오비교'!$B$5))*SIN(RADIANS('13_시나리오비교'!$C$5))+$H722*SIN(RADIANS('13_시나리오비교'!$B$5))*COS(RADIANS('13_시나리오비교'!$C$5))+$I722*COS(RADIANS('13_시나리오비교'!$B$5))),0)</f>
        <v/>
      </c>
      <c r="Q722" s="80">
        <f>IF($I722&gt;0,MAX(0,$G722*SIN(RADIANS('13_시나리오비교'!$B$6))*SIN(RADIANS('13_시나리오비교'!$C$6))+$H722*SIN(RADIANS('13_시나리오비교'!$B$6))*COS(RADIANS('13_시나리오비교'!$C$6))+$I722*COS(RADIANS('13_시나리오비교'!$B$6))),0)</f>
        <v/>
      </c>
      <c r="R722" s="80">
        <f>IF($I722&gt;0,MAX(0,$G722*SIN(RADIANS('13_시나리오비교'!$B$7))*SIN(RADIANS('13_시나리오비교'!$C$7))+$H722*SIN(RADIANS('13_시나리오비교'!$B$7))*COS(RADIANS('13_시나리오비교'!$C$7))+$I722*COS(RADIANS('13_시나리오비교'!$B$7))),0)</f>
        <v/>
      </c>
      <c r="S722" s="80">
        <f>IF($I722&gt;0,MAX(0,$G722*SIN(RADIANS('13_시나리오비교'!$B$8))*SIN(RADIANS('13_시나리오비교'!$C$8))+$H722*SIN(RADIANS('13_시나리오비교'!$B$8))*COS(RADIANS('13_시나리오비교'!$C$8))+$I722*COS(RADIANS('13_시나리오비교'!$B$8))),0)</f>
        <v/>
      </c>
      <c r="T722" s="80">
        <f>IF($I722&gt;0,MAX(0,$G722*SIN(RADIANS('13_시나리오비교'!$B$9))*SIN(RADIANS('13_시나리오비교'!$C$9))+$H722*SIN(RADIANS('13_시나리오비교'!$B$9))*COS(RADIANS('13_시나리오비교'!$C$9))+$I722*COS(RADIANS('13_시나리오비교'!$B$9))),0)</f>
        <v/>
      </c>
      <c r="U722" s="80">
        <f>IF($I722&gt;0,MAX(0,$G722*SIN(RADIANS('13_시나리오비교'!$B$10))*SIN(RADIANS('13_시나리오비교'!$C$10))+$H722*SIN(RADIANS('13_시나리오비교'!$B$10))*COS(RADIANS('13_시나리오비교'!$C$10))+$I722*COS(RADIANS('13_시나리오비교'!$B$10))),0)</f>
        <v/>
      </c>
      <c r="V722" s="80">
        <f>IF($I722&gt;0,MAX(0,$G722*SIN(RADIANS('13_시나리오비교'!$B$11))*SIN(RADIANS('13_시나리오비교'!$C$11))+$H722*SIN(RADIANS('13_시나리오비교'!$B$11))*COS(RADIANS('13_시나리오비교'!$C$11))+$I722*COS(RADIANS('13_시나리오비교'!$B$11))),0)</f>
        <v/>
      </c>
      <c r="W722" s="80">
        <f>IF($I722&gt;0,MAX(0,$G722*SIN(RADIANS('13_시나리오비교'!$B$12))*SIN(RADIANS('13_시나리오비교'!$C$12))+$H722*SIN(RADIANS('13_시나리오비교'!$B$12))*COS(RADIANS('13_시나리오비교'!$C$12))+$I722*COS(RADIANS('13_시나리오비교'!$B$12))),0)</f>
        <v/>
      </c>
      <c r="X722" s="80">
        <f>IF($I722&gt;0,MAX(0,$G722*SIN(RADIANS('13_시나리오비교'!$B$13))*SIN(RADIANS('13_시나리오비교'!$C$13))+$H722*SIN(RADIANS('13_시나리오비교'!$B$13))*COS(RADIANS('13_시나리오비교'!$C$13))+$I722*COS(RADIANS('13_시나리오비교'!$B$13))),0)</f>
        <v/>
      </c>
      <c r="Y722" s="80">
        <f>IF($I722&gt;0,MAX(0,$G722*SIN(RADIANS('13_시나리오비교'!$B$14))*SIN(RADIANS('13_시나리오비교'!$C$14))+$H722*SIN(RADIANS('13_시나리오비교'!$B$14))*COS(RADIANS('13_시나리오비교'!$C$14))+$I722*COS(RADIANS('13_시나리오비교'!$B$14))),0)</f>
        <v/>
      </c>
    </row>
    <row r="723" hidden="1" outlineLevel="1">
      <c r="A723" s="79" t="n">
        <v>8</v>
      </c>
      <c r="B723" s="79" t="n">
        <v>31</v>
      </c>
      <c r="C723" s="80">
        <f>(B723-0.5)*'14_지역·상수'!$H$6</f>
        <v/>
      </c>
      <c r="D723" s="79" t="n">
        <v>228</v>
      </c>
      <c r="E723" s="80">
        <f>INDEX($C$4:$C$15,MATCH(A723,$A$4:$A$15,0))</f>
        <v/>
      </c>
      <c r="F723" s="80">
        <f>15*(C723-12)</f>
        <v/>
      </c>
      <c r="G723" s="80">
        <f>-COS(RADIANS(E723))*SIN(RADIANS(F723))</f>
        <v/>
      </c>
      <c r="H723" s="80">
        <f>COS(RADIANS('11_발전량_모델'!$B$17))*SIN(RADIANS(E723))-SIN(RADIANS('11_발전량_모델'!$B$17))*COS(RADIANS(E723))*COS(RADIANS(F723))</f>
        <v/>
      </c>
      <c r="I723" s="80">
        <f>SIN(RADIANS('11_발전량_모델'!$B$17))*SIN(RADIANS(E723))+COS(RADIANS('11_발전량_모델'!$B$17))*COS(RADIANS(E723))*COS(RADIANS(F723))</f>
        <v/>
      </c>
      <c r="J723" s="80">
        <f>SIN(RADIANS('11_발전량_모델'!$B$7))*SIN(RADIANS('11_발전량_모델'!$B$8))</f>
        <v/>
      </c>
      <c r="K723" s="80">
        <f>SIN(RADIANS('11_발전량_모델'!$B$7))*COS(RADIANS('11_발전량_모델'!$B$8))</f>
        <v/>
      </c>
      <c r="L723" s="80">
        <f>COS(RADIANS('11_발전량_모델'!$B$7))</f>
        <v/>
      </c>
      <c r="M723" s="80">
        <f>G723*J723+H723*K723+I723*L723</f>
        <v/>
      </c>
      <c r="N723" s="80">
        <f>MAX(0,I723)</f>
        <v/>
      </c>
      <c r="O723" s="80">
        <f>IF(I723&gt;0,MAX(0,M723),0)</f>
        <v/>
      </c>
      <c r="P723" s="80">
        <f>IF($I723&gt;0,MAX(0,$G723*SIN(RADIANS('13_시나리오비교'!$B$5))*SIN(RADIANS('13_시나리오비교'!$C$5))+$H723*SIN(RADIANS('13_시나리오비교'!$B$5))*COS(RADIANS('13_시나리오비교'!$C$5))+$I723*COS(RADIANS('13_시나리오비교'!$B$5))),0)</f>
        <v/>
      </c>
      <c r="Q723" s="80">
        <f>IF($I723&gt;0,MAX(0,$G723*SIN(RADIANS('13_시나리오비교'!$B$6))*SIN(RADIANS('13_시나리오비교'!$C$6))+$H723*SIN(RADIANS('13_시나리오비교'!$B$6))*COS(RADIANS('13_시나리오비교'!$C$6))+$I723*COS(RADIANS('13_시나리오비교'!$B$6))),0)</f>
        <v/>
      </c>
      <c r="R723" s="80">
        <f>IF($I723&gt;0,MAX(0,$G723*SIN(RADIANS('13_시나리오비교'!$B$7))*SIN(RADIANS('13_시나리오비교'!$C$7))+$H723*SIN(RADIANS('13_시나리오비교'!$B$7))*COS(RADIANS('13_시나리오비교'!$C$7))+$I723*COS(RADIANS('13_시나리오비교'!$B$7))),0)</f>
        <v/>
      </c>
      <c r="S723" s="80">
        <f>IF($I723&gt;0,MAX(0,$G723*SIN(RADIANS('13_시나리오비교'!$B$8))*SIN(RADIANS('13_시나리오비교'!$C$8))+$H723*SIN(RADIANS('13_시나리오비교'!$B$8))*COS(RADIANS('13_시나리오비교'!$C$8))+$I723*COS(RADIANS('13_시나리오비교'!$B$8))),0)</f>
        <v/>
      </c>
      <c r="T723" s="80">
        <f>IF($I723&gt;0,MAX(0,$G723*SIN(RADIANS('13_시나리오비교'!$B$9))*SIN(RADIANS('13_시나리오비교'!$C$9))+$H723*SIN(RADIANS('13_시나리오비교'!$B$9))*COS(RADIANS('13_시나리오비교'!$C$9))+$I723*COS(RADIANS('13_시나리오비교'!$B$9))),0)</f>
        <v/>
      </c>
      <c r="U723" s="80">
        <f>IF($I723&gt;0,MAX(0,$G723*SIN(RADIANS('13_시나리오비교'!$B$10))*SIN(RADIANS('13_시나리오비교'!$C$10))+$H723*SIN(RADIANS('13_시나리오비교'!$B$10))*COS(RADIANS('13_시나리오비교'!$C$10))+$I723*COS(RADIANS('13_시나리오비교'!$B$10))),0)</f>
        <v/>
      </c>
      <c r="V723" s="80">
        <f>IF($I723&gt;0,MAX(0,$G723*SIN(RADIANS('13_시나리오비교'!$B$11))*SIN(RADIANS('13_시나리오비교'!$C$11))+$H723*SIN(RADIANS('13_시나리오비교'!$B$11))*COS(RADIANS('13_시나리오비교'!$C$11))+$I723*COS(RADIANS('13_시나리오비교'!$B$11))),0)</f>
        <v/>
      </c>
      <c r="W723" s="80">
        <f>IF($I723&gt;0,MAX(0,$G723*SIN(RADIANS('13_시나리오비교'!$B$12))*SIN(RADIANS('13_시나리오비교'!$C$12))+$H723*SIN(RADIANS('13_시나리오비교'!$B$12))*COS(RADIANS('13_시나리오비교'!$C$12))+$I723*COS(RADIANS('13_시나리오비교'!$B$12))),0)</f>
        <v/>
      </c>
      <c r="X723" s="80">
        <f>IF($I723&gt;0,MAX(0,$G723*SIN(RADIANS('13_시나리오비교'!$B$13))*SIN(RADIANS('13_시나리오비교'!$C$13))+$H723*SIN(RADIANS('13_시나리오비교'!$B$13))*COS(RADIANS('13_시나리오비교'!$C$13))+$I723*COS(RADIANS('13_시나리오비교'!$B$13))),0)</f>
        <v/>
      </c>
      <c r="Y723" s="80">
        <f>IF($I723&gt;0,MAX(0,$G723*SIN(RADIANS('13_시나리오비교'!$B$14))*SIN(RADIANS('13_시나리오비교'!$C$14))+$H723*SIN(RADIANS('13_시나리오비교'!$B$14))*COS(RADIANS('13_시나리오비교'!$C$14))+$I723*COS(RADIANS('13_시나리오비교'!$B$14))),0)</f>
        <v/>
      </c>
    </row>
    <row r="724" hidden="1" outlineLevel="1">
      <c r="A724" s="79" t="n">
        <v>8</v>
      </c>
      <c r="B724" s="79" t="n">
        <v>32</v>
      </c>
      <c r="C724" s="80">
        <f>(B724-0.5)*'14_지역·상수'!$H$6</f>
        <v/>
      </c>
      <c r="D724" s="79" t="n">
        <v>228</v>
      </c>
      <c r="E724" s="80">
        <f>INDEX($C$4:$C$15,MATCH(A724,$A$4:$A$15,0))</f>
        <v/>
      </c>
      <c r="F724" s="80">
        <f>15*(C724-12)</f>
        <v/>
      </c>
      <c r="G724" s="80">
        <f>-COS(RADIANS(E724))*SIN(RADIANS(F724))</f>
        <v/>
      </c>
      <c r="H724" s="80">
        <f>COS(RADIANS('11_발전량_모델'!$B$17))*SIN(RADIANS(E724))-SIN(RADIANS('11_발전량_모델'!$B$17))*COS(RADIANS(E724))*COS(RADIANS(F724))</f>
        <v/>
      </c>
      <c r="I724" s="80">
        <f>SIN(RADIANS('11_발전량_모델'!$B$17))*SIN(RADIANS(E724))+COS(RADIANS('11_발전량_모델'!$B$17))*COS(RADIANS(E724))*COS(RADIANS(F724))</f>
        <v/>
      </c>
      <c r="J724" s="80">
        <f>SIN(RADIANS('11_발전량_모델'!$B$7))*SIN(RADIANS('11_발전량_모델'!$B$8))</f>
        <v/>
      </c>
      <c r="K724" s="80">
        <f>SIN(RADIANS('11_발전량_모델'!$B$7))*COS(RADIANS('11_발전량_모델'!$B$8))</f>
        <v/>
      </c>
      <c r="L724" s="80">
        <f>COS(RADIANS('11_발전량_모델'!$B$7))</f>
        <v/>
      </c>
      <c r="M724" s="80">
        <f>G724*J724+H724*K724+I724*L724</f>
        <v/>
      </c>
      <c r="N724" s="80">
        <f>MAX(0,I724)</f>
        <v/>
      </c>
      <c r="O724" s="80">
        <f>IF(I724&gt;0,MAX(0,M724),0)</f>
        <v/>
      </c>
      <c r="P724" s="80">
        <f>IF($I724&gt;0,MAX(0,$G724*SIN(RADIANS('13_시나리오비교'!$B$5))*SIN(RADIANS('13_시나리오비교'!$C$5))+$H724*SIN(RADIANS('13_시나리오비교'!$B$5))*COS(RADIANS('13_시나리오비교'!$C$5))+$I724*COS(RADIANS('13_시나리오비교'!$B$5))),0)</f>
        <v/>
      </c>
      <c r="Q724" s="80">
        <f>IF($I724&gt;0,MAX(0,$G724*SIN(RADIANS('13_시나리오비교'!$B$6))*SIN(RADIANS('13_시나리오비교'!$C$6))+$H724*SIN(RADIANS('13_시나리오비교'!$B$6))*COS(RADIANS('13_시나리오비교'!$C$6))+$I724*COS(RADIANS('13_시나리오비교'!$B$6))),0)</f>
        <v/>
      </c>
      <c r="R724" s="80">
        <f>IF($I724&gt;0,MAX(0,$G724*SIN(RADIANS('13_시나리오비교'!$B$7))*SIN(RADIANS('13_시나리오비교'!$C$7))+$H724*SIN(RADIANS('13_시나리오비교'!$B$7))*COS(RADIANS('13_시나리오비교'!$C$7))+$I724*COS(RADIANS('13_시나리오비교'!$B$7))),0)</f>
        <v/>
      </c>
      <c r="S724" s="80">
        <f>IF($I724&gt;0,MAX(0,$G724*SIN(RADIANS('13_시나리오비교'!$B$8))*SIN(RADIANS('13_시나리오비교'!$C$8))+$H724*SIN(RADIANS('13_시나리오비교'!$B$8))*COS(RADIANS('13_시나리오비교'!$C$8))+$I724*COS(RADIANS('13_시나리오비교'!$B$8))),0)</f>
        <v/>
      </c>
      <c r="T724" s="80">
        <f>IF($I724&gt;0,MAX(0,$G724*SIN(RADIANS('13_시나리오비교'!$B$9))*SIN(RADIANS('13_시나리오비교'!$C$9))+$H724*SIN(RADIANS('13_시나리오비교'!$B$9))*COS(RADIANS('13_시나리오비교'!$C$9))+$I724*COS(RADIANS('13_시나리오비교'!$B$9))),0)</f>
        <v/>
      </c>
      <c r="U724" s="80">
        <f>IF($I724&gt;0,MAX(0,$G724*SIN(RADIANS('13_시나리오비교'!$B$10))*SIN(RADIANS('13_시나리오비교'!$C$10))+$H724*SIN(RADIANS('13_시나리오비교'!$B$10))*COS(RADIANS('13_시나리오비교'!$C$10))+$I724*COS(RADIANS('13_시나리오비교'!$B$10))),0)</f>
        <v/>
      </c>
      <c r="V724" s="80">
        <f>IF($I724&gt;0,MAX(0,$G724*SIN(RADIANS('13_시나리오비교'!$B$11))*SIN(RADIANS('13_시나리오비교'!$C$11))+$H724*SIN(RADIANS('13_시나리오비교'!$B$11))*COS(RADIANS('13_시나리오비교'!$C$11))+$I724*COS(RADIANS('13_시나리오비교'!$B$11))),0)</f>
        <v/>
      </c>
      <c r="W724" s="80">
        <f>IF($I724&gt;0,MAX(0,$G724*SIN(RADIANS('13_시나리오비교'!$B$12))*SIN(RADIANS('13_시나리오비교'!$C$12))+$H724*SIN(RADIANS('13_시나리오비교'!$B$12))*COS(RADIANS('13_시나리오비교'!$C$12))+$I724*COS(RADIANS('13_시나리오비교'!$B$12))),0)</f>
        <v/>
      </c>
      <c r="X724" s="80">
        <f>IF($I724&gt;0,MAX(0,$G724*SIN(RADIANS('13_시나리오비교'!$B$13))*SIN(RADIANS('13_시나리오비교'!$C$13))+$H724*SIN(RADIANS('13_시나리오비교'!$B$13))*COS(RADIANS('13_시나리오비교'!$C$13))+$I724*COS(RADIANS('13_시나리오비교'!$B$13))),0)</f>
        <v/>
      </c>
      <c r="Y724" s="80">
        <f>IF($I724&gt;0,MAX(0,$G724*SIN(RADIANS('13_시나리오비교'!$B$14))*SIN(RADIANS('13_시나리오비교'!$C$14))+$H724*SIN(RADIANS('13_시나리오비교'!$B$14))*COS(RADIANS('13_시나리오비교'!$C$14))+$I724*COS(RADIANS('13_시나리오비교'!$B$14))),0)</f>
        <v/>
      </c>
    </row>
    <row r="725" hidden="1" outlineLevel="1">
      <c r="A725" s="79" t="n">
        <v>8</v>
      </c>
      <c r="B725" s="79" t="n">
        <v>33</v>
      </c>
      <c r="C725" s="80">
        <f>(B725-0.5)*'14_지역·상수'!$H$6</f>
        <v/>
      </c>
      <c r="D725" s="79" t="n">
        <v>228</v>
      </c>
      <c r="E725" s="80">
        <f>INDEX($C$4:$C$15,MATCH(A725,$A$4:$A$15,0))</f>
        <v/>
      </c>
      <c r="F725" s="80">
        <f>15*(C725-12)</f>
        <v/>
      </c>
      <c r="G725" s="80">
        <f>-COS(RADIANS(E725))*SIN(RADIANS(F725))</f>
        <v/>
      </c>
      <c r="H725" s="80">
        <f>COS(RADIANS('11_발전량_모델'!$B$17))*SIN(RADIANS(E725))-SIN(RADIANS('11_발전량_모델'!$B$17))*COS(RADIANS(E725))*COS(RADIANS(F725))</f>
        <v/>
      </c>
      <c r="I725" s="80">
        <f>SIN(RADIANS('11_발전량_모델'!$B$17))*SIN(RADIANS(E725))+COS(RADIANS('11_발전량_모델'!$B$17))*COS(RADIANS(E725))*COS(RADIANS(F725))</f>
        <v/>
      </c>
      <c r="J725" s="80">
        <f>SIN(RADIANS('11_발전량_모델'!$B$7))*SIN(RADIANS('11_발전량_모델'!$B$8))</f>
        <v/>
      </c>
      <c r="K725" s="80">
        <f>SIN(RADIANS('11_발전량_모델'!$B$7))*COS(RADIANS('11_발전량_모델'!$B$8))</f>
        <v/>
      </c>
      <c r="L725" s="80">
        <f>COS(RADIANS('11_발전량_모델'!$B$7))</f>
        <v/>
      </c>
      <c r="M725" s="80">
        <f>G725*J725+H725*K725+I725*L725</f>
        <v/>
      </c>
      <c r="N725" s="80">
        <f>MAX(0,I725)</f>
        <v/>
      </c>
      <c r="O725" s="80">
        <f>IF(I725&gt;0,MAX(0,M725),0)</f>
        <v/>
      </c>
      <c r="P725" s="80">
        <f>IF($I725&gt;0,MAX(0,$G725*SIN(RADIANS('13_시나리오비교'!$B$5))*SIN(RADIANS('13_시나리오비교'!$C$5))+$H725*SIN(RADIANS('13_시나리오비교'!$B$5))*COS(RADIANS('13_시나리오비교'!$C$5))+$I725*COS(RADIANS('13_시나리오비교'!$B$5))),0)</f>
        <v/>
      </c>
      <c r="Q725" s="80">
        <f>IF($I725&gt;0,MAX(0,$G725*SIN(RADIANS('13_시나리오비교'!$B$6))*SIN(RADIANS('13_시나리오비교'!$C$6))+$H725*SIN(RADIANS('13_시나리오비교'!$B$6))*COS(RADIANS('13_시나리오비교'!$C$6))+$I725*COS(RADIANS('13_시나리오비교'!$B$6))),0)</f>
        <v/>
      </c>
      <c r="R725" s="80">
        <f>IF($I725&gt;0,MAX(0,$G725*SIN(RADIANS('13_시나리오비교'!$B$7))*SIN(RADIANS('13_시나리오비교'!$C$7))+$H725*SIN(RADIANS('13_시나리오비교'!$B$7))*COS(RADIANS('13_시나리오비교'!$C$7))+$I725*COS(RADIANS('13_시나리오비교'!$B$7))),0)</f>
        <v/>
      </c>
      <c r="S725" s="80">
        <f>IF($I725&gt;0,MAX(0,$G725*SIN(RADIANS('13_시나리오비교'!$B$8))*SIN(RADIANS('13_시나리오비교'!$C$8))+$H725*SIN(RADIANS('13_시나리오비교'!$B$8))*COS(RADIANS('13_시나리오비교'!$C$8))+$I725*COS(RADIANS('13_시나리오비교'!$B$8))),0)</f>
        <v/>
      </c>
      <c r="T725" s="80">
        <f>IF($I725&gt;0,MAX(0,$G725*SIN(RADIANS('13_시나리오비교'!$B$9))*SIN(RADIANS('13_시나리오비교'!$C$9))+$H725*SIN(RADIANS('13_시나리오비교'!$B$9))*COS(RADIANS('13_시나리오비교'!$C$9))+$I725*COS(RADIANS('13_시나리오비교'!$B$9))),0)</f>
        <v/>
      </c>
      <c r="U725" s="80">
        <f>IF($I725&gt;0,MAX(0,$G725*SIN(RADIANS('13_시나리오비교'!$B$10))*SIN(RADIANS('13_시나리오비교'!$C$10))+$H725*SIN(RADIANS('13_시나리오비교'!$B$10))*COS(RADIANS('13_시나리오비교'!$C$10))+$I725*COS(RADIANS('13_시나리오비교'!$B$10))),0)</f>
        <v/>
      </c>
      <c r="V725" s="80">
        <f>IF($I725&gt;0,MAX(0,$G725*SIN(RADIANS('13_시나리오비교'!$B$11))*SIN(RADIANS('13_시나리오비교'!$C$11))+$H725*SIN(RADIANS('13_시나리오비교'!$B$11))*COS(RADIANS('13_시나리오비교'!$C$11))+$I725*COS(RADIANS('13_시나리오비교'!$B$11))),0)</f>
        <v/>
      </c>
      <c r="W725" s="80">
        <f>IF($I725&gt;0,MAX(0,$G725*SIN(RADIANS('13_시나리오비교'!$B$12))*SIN(RADIANS('13_시나리오비교'!$C$12))+$H725*SIN(RADIANS('13_시나리오비교'!$B$12))*COS(RADIANS('13_시나리오비교'!$C$12))+$I725*COS(RADIANS('13_시나리오비교'!$B$12))),0)</f>
        <v/>
      </c>
      <c r="X725" s="80">
        <f>IF($I725&gt;0,MAX(0,$G725*SIN(RADIANS('13_시나리오비교'!$B$13))*SIN(RADIANS('13_시나리오비교'!$C$13))+$H725*SIN(RADIANS('13_시나리오비교'!$B$13))*COS(RADIANS('13_시나리오비교'!$C$13))+$I725*COS(RADIANS('13_시나리오비교'!$B$13))),0)</f>
        <v/>
      </c>
      <c r="Y725" s="80">
        <f>IF($I725&gt;0,MAX(0,$G725*SIN(RADIANS('13_시나리오비교'!$B$14))*SIN(RADIANS('13_시나리오비교'!$C$14))+$H725*SIN(RADIANS('13_시나리오비교'!$B$14))*COS(RADIANS('13_시나리오비교'!$C$14))+$I725*COS(RADIANS('13_시나리오비교'!$B$14))),0)</f>
        <v/>
      </c>
    </row>
    <row r="726" hidden="1" outlineLevel="1">
      <c r="A726" s="79" t="n">
        <v>8</v>
      </c>
      <c r="B726" s="79" t="n">
        <v>34</v>
      </c>
      <c r="C726" s="80">
        <f>(B726-0.5)*'14_지역·상수'!$H$6</f>
        <v/>
      </c>
      <c r="D726" s="79" t="n">
        <v>228</v>
      </c>
      <c r="E726" s="80">
        <f>INDEX($C$4:$C$15,MATCH(A726,$A$4:$A$15,0))</f>
        <v/>
      </c>
      <c r="F726" s="80">
        <f>15*(C726-12)</f>
        <v/>
      </c>
      <c r="G726" s="80">
        <f>-COS(RADIANS(E726))*SIN(RADIANS(F726))</f>
        <v/>
      </c>
      <c r="H726" s="80">
        <f>COS(RADIANS('11_발전량_모델'!$B$17))*SIN(RADIANS(E726))-SIN(RADIANS('11_발전량_모델'!$B$17))*COS(RADIANS(E726))*COS(RADIANS(F726))</f>
        <v/>
      </c>
      <c r="I726" s="80">
        <f>SIN(RADIANS('11_발전량_모델'!$B$17))*SIN(RADIANS(E726))+COS(RADIANS('11_발전량_모델'!$B$17))*COS(RADIANS(E726))*COS(RADIANS(F726))</f>
        <v/>
      </c>
      <c r="J726" s="80">
        <f>SIN(RADIANS('11_발전량_모델'!$B$7))*SIN(RADIANS('11_발전량_모델'!$B$8))</f>
        <v/>
      </c>
      <c r="K726" s="80">
        <f>SIN(RADIANS('11_발전량_모델'!$B$7))*COS(RADIANS('11_발전량_모델'!$B$8))</f>
        <v/>
      </c>
      <c r="L726" s="80">
        <f>COS(RADIANS('11_발전량_모델'!$B$7))</f>
        <v/>
      </c>
      <c r="M726" s="80">
        <f>G726*J726+H726*K726+I726*L726</f>
        <v/>
      </c>
      <c r="N726" s="80">
        <f>MAX(0,I726)</f>
        <v/>
      </c>
      <c r="O726" s="80">
        <f>IF(I726&gt;0,MAX(0,M726),0)</f>
        <v/>
      </c>
      <c r="P726" s="80">
        <f>IF($I726&gt;0,MAX(0,$G726*SIN(RADIANS('13_시나리오비교'!$B$5))*SIN(RADIANS('13_시나리오비교'!$C$5))+$H726*SIN(RADIANS('13_시나리오비교'!$B$5))*COS(RADIANS('13_시나리오비교'!$C$5))+$I726*COS(RADIANS('13_시나리오비교'!$B$5))),0)</f>
        <v/>
      </c>
      <c r="Q726" s="80">
        <f>IF($I726&gt;0,MAX(0,$G726*SIN(RADIANS('13_시나리오비교'!$B$6))*SIN(RADIANS('13_시나리오비교'!$C$6))+$H726*SIN(RADIANS('13_시나리오비교'!$B$6))*COS(RADIANS('13_시나리오비교'!$C$6))+$I726*COS(RADIANS('13_시나리오비교'!$B$6))),0)</f>
        <v/>
      </c>
      <c r="R726" s="80">
        <f>IF($I726&gt;0,MAX(0,$G726*SIN(RADIANS('13_시나리오비교'!$B$7))*SIN(RADIANS('13_시나리오비교'!$C$7))+$H726*SIN(RADIANS('13_시나리오비교'!$B$7))*COS(RADIANS('13_시나리오비교'!$C$7))+$I726*COS(RADIANS('13_시나리오비교'!$B$7))),0)</f>
        <v/>
      </c>
      <c r="S726" s="80">
        <f>IF($I726&gt;0,MAX(0,$G726*SIN(RADIANS('13_시나리오비교'!$B$8))*SIN(RADIANS('13_시나리오비교'!$C$8))+$H726*SIN(RADIANS('13_시나리오비교'!$B$8))*COS(RADIANS('13_시나리오비교'!$C$8))+$I726*COS(RADIANS('13_시나리오비교'!$B$8))),0)</f>
        <v/>
      </c>
      <c r="T726" s="80">
        <f>IF($I726&gt;0,MAX(0,$G726*SIN(RADIANS('13_시나리오비교'!$B$9))*SIN(RADIANS('13_시나리오비교'!$C$9))+$H726*SIN(RADIANS('13_시나리오비교'!$B$9))*COS(RADIANS('13_시나리오비교'!$C$9))+$I726*COS(RADIANS('13_시나리오비교'!$B$9))),0)</f>
        <v/>
      </c>
      <c r="U726" s="80">
        <f>IF($I726&gt;0,MAX(0,$G726*SIN(RADIANS('13_시나리오비교'!$B$10))*SIN(RADIANS('13_시나리오비교'!$C$10))+$H726*SIN(RADIANS('13_시나리오비교'!$B$10))*COS(RADIANS('13_시나리오비교'!$C$10))+$I726*COS(RADIANS('13_시나리오비교'!$B$10))),0)</f>
        <v/>
      </c>
      <c r="V726" s="80">
        <f>IF($I726&gt;0,MAX(0,$G726*SIN(RADIANS('13_시나리오비교'!$B$11))*SIN(RADIANS('13_시나리오비교'!$C$11))+$H726*SIN(RADIANS('13_시나리오비교'!$B$11))*COS(RADIANS('13_시나리오비교'!$C$11))+$I726*COS(RADIANS('13_시나리오비교'!$B$11))),0)</f>
        <v/>
      </c>
      <c r="W726" s="80">
        <f>IF($I726&gt;0,MAX(0,$G726*SIN(RADIANS('13_시나리오비교'!$B$12))*SIN(RADIANS('13_시나리오비교'!$C$12))+$H726*SIN(RADIANS('13_시나리오비교'!$B$12))*COS(RADIANS('13_시나리오비교'!$C$12))+$I726*COS(RADIANS('13_시나리오비교'!$B$12))),0)</f>
        <v/>
      </c>
      <c r="X726" s="80">
        <f>IF($I726&gt;0,MAX(0,$G726*SIN(RADIANS('13_시나리오비교'!$B$13))*SIN(RADIANS('13_시나리오비교'!$C$13))+$H726*SIN(RADIANS('13_시나리오비교'!$B$13))*COS(RADIANS('13_시나리오비교'!$C$13))+$I726*COS(RADIANS('13_시나리오비교'!$B$13))),0)</f>
        <v/>
      </c>
      <c r="Y726" s="80">
        <f>IF($I726&gt;0,MAX(0,$G726*SIN(RADIANS('13_시나리오비교'!$B$14))*SIN(RADIANS('13_시나리오비교'!$C$14))+$H726*SIN(RADIANS('13_시나리오비교'!$B$14))*COS(RADIANS('13_시나리오비교'!$C$14))+$I726*COS(RADIANS('13_시나리오비교'!$B$14))),0)</f>
        <v/>
      </c>
    </row>
    <row r="727" hidden="1" outlineLevel="1">
      <c r="A727" s="79" t="n">
        <v>8</v>
      </c>
      <c r="B727" s="79" t="n">
        <v>35</v>
      </c>
      <c r="C727" s="80">
        <f>(B727-0.5)*'14_지역·상수'!$H$6</f>
        <v/>
      </c>
      <c r="D727" s="79" t="n">
        <v>228</v>
      </c>
      <c r="E727" s="80">
        <f>INDEX($C$4:$C$15,MATCH(A727,$A$4:$A$15,0))</f>
        <v/>
      </c>
      <c r="F727" s="80">
        <f>15*(C727-12)</f>
        <v/>
      </c>
      <c r="G727" s="80">
        <f>-COS(RADIANS(E727))*SIN(RADIANS(F727))</f>
        <v/>
      </c>
      <c r="H727" s="80">
        <f>COS(RADIANS('11_발전량_모델'!$B$17))*SIN(RADIANS(E727))-SIN(RADIANS('11_발전량_모델'!$B$17))*COS(RADIANS(E727))*COS(RADIANS(F727))</f>
        <v/>
      </c>
      <c r="I727" s="80">
        <f>SIN(RADIANS('11_발전량_모델'!$B$17))*SIN(RADIANS(E727))+COS(RADIANS('11_발전량_모델'!$B$17))*COS(RADIANS(E727))*COS(RADIANS(F727))</f>
        <v/>
      </c>
      <c r="J727" s="80">
        <f>SIN(RADIANS('11_발전량_모델'!$B$7))*SIN(RADIANS('11_발전량_모델'!$B$8))</f>
        <v/>
      </c>
      <c r="K727" s="80">
        <f>SIN(RADIANS('11_발전량_모델'!$B$7))*COS(RADIANS('11_발전량_모델'!$B$8))</f>
        <v/>
      </c>
      <c r="L727" s="80">
        <f>COS(RADIANS('11_발전량_모델'!$B$7))</f>
        <v/>
      </c>
      <c r="M727" s="80">
        <f>G727*J727+H727*K727+I727*L727</f>
        <v/>
      </c>
      <c r="N727" s="80">
        <f>MAX(0,I727)</f>
        <v/>
      </c>
      <c r="O727" s="80">
        <f>IF(I727&gt;0,MAX(0,M727),0)</f>
        <v/>
      </c>
      <c r="P727" s="80">
        <f>IF($I727&gt;0,MAX(0,$G727*SIN(RADIANS('13_시나리오비교'!$B$5))*SIN(RADIANS('13_시나리오비교'!$C$5))+$H727*SIN(RADIANS('13_시나리오비교'!$B$5))*COS(RADIANS('13_시나리오비교'!$C$5))+$I727*COS(RADIANS('13_시나리오비교'!$B$5))),0)</f>
        <v/>
      </c>
      <c r="Q727" s="80">
        <f>IF($I727&gt;0,MAX(0,$G727*SIN(RADIANS('13_시나리오비교'!$B$6))*SIN(RADIANS('13_시나리오비교'!$C$6))+$H727*SIN(RADIANS('13_시나리오비교'!$B$6))*COS(RADIANS('13_시나리오비교'!$C$6))+$I727*COS(RADIANS('13_시나리오비교'!$B$6))),0)</f>
        <v/>
      </c>
      <c r="R727" s="80">
        <f>IF($I727&gt;0,MAX(0,$G727*SIN(RADIANS('13_시나리오비교'!$B$7))*SIN(RADIANS('13_시나리오비교'!$C$7))+$H727*SIN(RADIANS('13_시나리오비교'!$B$7))*COS(RADIANS('13_시나리오비교'!$C$7))+$I727*COS(RADIANS('13_시나리오비교'!$B$7))),0)</f>
        <v/>
      </c>
      <c r="S727" s="80">
        <f>IF($I727&gt;0,MAX(0,$G727*SIN(RADIANS('13_시나리오비교'!$B$8))*SIN(RADIANS('13_시나리오비교'!$C$8))+$H727*SIN(RADIANS('13_시나리오비교'!$B$8))*COS(RADIANS('13_시나리오비교'!$C$8))+$I727*COS(RADIANS('13_시나리오비교'!$B$8))),0)</f>
        <v/>
      </c>
      <c r="T727" s="80">
        <f>IF($I727&gt;0,MAX(0,$G727*SIN(RADIANS('13_시나리오비교'!$B$9))*SIN(RADIANS('13_시나리오비교'!$C$9))+$H727*SIN(RADIANS('13_시나리오비교'!$B$9))*COS(RADIANS('13_시나리오비교'!$C$9))+$I727*COS(RADIANS('13_시나리오비교'!$B$9))),0)</f>
        <v/>
      </c>
      <c r="U727" s="80">
        <f>IF($I727&gt;0,MAX(0,$G727*SIN(RADIANS('13_시나리오비교'!$B$10))*SIN(RADIANS('13_시나리오비교'!$C$10))+$H727*SIN(RADIANS('13_시나리오비교'!$B$10))*COS(RADIANS('13_시나리오비교'!$C$10))+$I727*COS(RADIANS('13_시나리오비교'!$B$10))),0)</f>
        <v/>
      </c>
      <c r="V727" s="80">
        <f>IF($I727&gt;0,MAX(0,$G727*SIN(RADIANS('13_시나리오비교'!$B$11))*SIN(RADIANS('13_시나리오비교'!$C$11))+$H727*SIN(RADIANS('13_시나리오비교'!$B$11))*COS(RADIANS('13_시나리오비교'!$C$11))+$I727*COS(RADIANS('13_시나리오비교'!$B$11))),0)</f>
        <v/>
      </c>
      <c r="W727" s="80">
        <f>IF($I727&gt;0,MAX(0,$G727*SIN(RADIANS('13_시나리오비교'!$B$12))*SIN(RADIANS('13_시나리오비교'!$C$12))+$H727*SIN(RADIANS('13_시나리오비교'!$B$12))*COS(RADIANS('13_시나리오비교'!$C$12))+$I727*COS(RADIANS('13_시나리오비교'!$B$12))),0)</f>
        <v/>
      </c>
      <c r="X727" s="80">
        <f>IF($I727&gt;0,MAX(0,$G727*SIN(RADIANS('13_시나리오비교'!$B$13))*SIN(RADIANS('13_시나리오비교'!$C$13))+$H727*SIN(RADIANS('13_시나리오비교'!$B$13))*COS(RADIANS('13_시나리오비교'!$C$13))+$I727*COS(RADIANS('13_시나리오비교'!$B$13))),0)</f>
        <v/>
      </c>
      <c r="Y727" s="80">
        <f>IF($I727&gt;0,MAX(0,$G727*SIN(RADIANS('13_시나리오비교'!$B$14))*SIN(RADIANS('13_시나리오비교'!$C$14))+$H727*SIN(RADIANS('13_시나리오비교'!$B$14))*COS(RADIANS('13_시나리오비교'!$C$14))+$I727*COS(RADIANS('13_시나리오비교'!$B$14))),0)</f>
        <v/>
      </c>
    </row>
    <row r="728" hidden="1" outlineLevel="1">
      <c r="A728" s="79" t="n">
        <v>8</v>
      </c>
      <c r="B728" s="79" t="n">
        <v>36</v>
      </c>
      <c r="C728" s="80">
        <f>(B728-0.5)*'14_지역·상수'!$H$6</f>
        <v/>
      </c>
      <c r="D728" s="79" t="n">
        <v>228</v>
      </c>
      <c r="E728" s="80">
        <f>INDEX($C$4:$C$15,MATCH(A728,$A$4:$A$15,0))</f>
        <v/>
      </c>
      <c r="F728" s="80">
        <f>15*(C728-12)</f>
        <v/>
      </c>
      <c r="G728" s="80">
        <f>-COS(RADIANS(E728))*SIN(RADIANS(F728))</f>
        <v/>
      </c>
      <c r="H728" s="80">
        <f>COS(RADIANS('11_발전량_모델'!$B$17))*SIN(RADIANS(E728))-SIN(RADIANS('11_발전량_모델'!$B$17))*COS(RADIANS(E728))*COS(RADIANS(F728))</f>
        <v/>
      </c>
      <c r="I728" s="80">
        <f>SIN(RADIANS('11_발전량_모델'!$B$17))*SIN(RADIANS(E728))+COS(RADIANS('11_발전량_모델'!$B$17))*COS(RADIANS(E728))*COS(RADIANS(F728))</f>
        <v/>
      </c>
      <c r="J728" s="80">
        <f>SIN(RADIANS('11_발전량_모델'!$B$7))*SIN(RADIANS('11_발전량_모델'!$B$8))</f>
        <v/>
      </c>
      <c r="K728" s="80">
        <f>SIN(RADIANS('11_발전량_모델'!$B$7))*COS(RADIANS('11_발전량_모델'!$B$8))</f>
        <v/>
      </c>
      <c r="L728" s="80">
        <f>COS(RADIANS('11_발전량_모델'!$B$7))</f>
        <v/>
      </c>
      <c r="M728" s="80">
        <f>G728*J728+H728*K728+I728*L728</f>
        <v/>
      </c>
      <c r="N728" s="80">
        <f>MAX(0,I728)</f>
        <v/>
      </c>
      <c r="O728" s="80">
        <f>IF(I728&gt;0,MAX(0,M728),0)</f>
        <v/>
      </c>
      <c r="P728" s="80">
        <f>IF($I728&gt;0,MAX(0,$G728*SIN(RADIANS('13_시나리오비교'!$B$5))*SIN(RADIANS('13_시나리오비교'!$C$5))+$H728*SIN(RADIANS('13_시나리오비교'!$B$5))*COS(RADIANS('13_시나리오비교'!$C$5))+$I728*COS(RADIANS('13_시나리오비교'!$B$5))),0)</f>
        <v/>
      </c>
      <c r="Q728" s="80">
        <f>IF($I728&gt;0,MAX(0,$G728*SIN(RADIANS('13_시나리오비교'!$B$6))*SIN(RADIANS('13_시나리오비교'!$C$6))+$H728*SIN(RADIANS('13_시나리오비교'!$B$6))*COS(RADIANS('13_시나리오비교'!$C$6))+$I728*COS(RADIANS('13_시나리오비교'!$B$6))),0)</f>
        <v/>
      </c>
      <c r="R728" s="80">
        <f>IF($I728&gt;0,MAX(0,$G728*SIN(RADIANS('13_시나리오비교'!$B$7))*SIN(RADIANS('13_시나리오비교'!$C$7))+$H728*SIN(RADIANS('13_시나리오비교'!$B$7))*COS(RADIANS('13_시나리오비교'!$C$7))+$I728*COS(RADIANS('13_시나리오비교'!$B$7))),0)</f>
        <v/>
      </c>
      <c r="S728" s="80">
        <f>IF($I728&gt;0,MAX(0,$G728*SIN(RADIANS('13_시나리오비교'!$B$8))*SIN(RADIANS('13_시나리오비교'!$C$8))+$H728*SIN(RADIANS('13_시나리오비교'!$B$8))*COS(RADIANS('13_시나리오비교'!$C$8))+$I728*COS(RADIANS('13_시나리오비교'!$B$8))),0)</f>
        <v/>
      </c>
      <c r="T728" s="80">
        <f>IF($I728&gt;0,MAX(0,$G728*SIN(RADIANS('13_시나리오비교'!$B$9))*SIN(RADIANS('13_시나리오비교'!$C$9))+$H728*SIN(RADIANS('13_시나리오비교'!$B$9))*COS(RADIANS('13_시나리오비교'!$C$9))+$I728*COS(RADIANS('13_시나리오비교'!$B$9))),0)</f>
        <v/>
      </c>
      <c r="U728" s="80">
        <f>IF($I728&gt;0,MAX(0,$G728*SIN(RADIANS('13_시나리오비교'!$B$10))*SIN(RADIANS('13_시나리오비교'!$C$10))+$H728*SIN(RADIANS('13_시나리오비교'!$B$10))*COS(RADIANS('13_시나리오비교'!$C$10))+$I728*COS(RADIANS('13_시나리오비교'!$B$10))),0)</f>
        <v/>
      </c>
      <c r="V728" s="80">
        <f>IF($I728&gt;0,MAX(0,$G728*SIN(RADIANS('13_시나리오비교'!$B$11))*SIN(RADIANS('13_시나리오비교'!$C$11))+$H728*SIN(RADIANS('13_시나리오비교'!$B$11))*COS(RADIANS('13_시나리오비교'!$C$11))+$I728*COS(RADIANS('13_시나리오비교'!$B$11))),0)</f>
        <v/>
      </c>
      <c r="W728" s="80">
        <f>IF($I728&gt;0,MAX(0,$G728*SIN(RADIANS('13_시나리오비교'!$B$12))*SIN(RADIANS('13_시나리오비교'!$C$12))+$H728*SIN(RADIANS('13_시나리오비교'!$B$12))*COS(RADIANS('13_시나리오비교'!$C$12))+$I728*COS(RADIANS('13_시나리오비교'!$B$12))),0)</f>
        <v/>
      </c>
      <c r="X728" s="80">
        <f>IF($I728&gt;0,MAX(0,$G728*SIN(RADIANS('13_시나리오비교'!$B$13))*SIN(RADIANS('13_시나리오비교'!$C$13))+$H728*SIN(RADIANS('13_시나리오비교'!$B$13))*COS(RADIANS('13_시나리오비교'!$C$13))+$I728*COS(RADIANS('13_시나리오비교'!$B$13))),0)</f>
        <v/>
      </c>
      <c r="Y728" s="80">
        <f>IF($I728&gt;0,MAX(0,$G728*SIN(RADIANS('13_시나리오비교'!$B$14))*SIN(RADIANS('13_시나리오비교'!$C$14))+$H728*SIN(RADIANS('13_시나리오비교'!$B$14))*COS(RADIANS('13_시나리오비교'!$C$14))+$I728*COS(RADIANS('13_시나리오비교'!$B$14))),0)</f>
        <v/>
      </c>
    </row>
    <row r="729" hidden="1" outlineLevel="1">
      <c r="A729" s="79" t="n">
        <v>8</v>
      </c>
      <c r="B729" s="79" t="n">
        <v>37</v>
      </c>
      <c r="C729" s="80">
        <f>(B729-0.5)*'14_지역·상수'!$H$6</f>
        <v/>
      </c>
      <c r="D729" s="79" t="n">
        <v>228</v>
      </c>
      <c r="E729" s="80">
        <f>INDEX($C$4:$C$15,MATCH(A729,$A$4:$A$15,0))</f>
        <v/>
      </c>
      <c r="F729" s="80">
        <f>15*(C729-12)</f>
        <v/>
      </c>
      <c r="G729" s="80">
        <f>-COS(RADIANS(E729))*SIN(RADIANS(F729))</f>
        <v/>
      </c>
      <c r="H729" s="80">
        <f>COS(RADIANS('11_발전량_모델'!$B$17))*SIN(RADIANS(E729))-SIN(RADIANS('11_발전량_모델'!$B$17))*COS(RADIANS(E729))*COS(RADIANS(F729))</f>
        <v/>
      </c>
      <c r="I729" s="80">
        <f>SIN(RADIANS('11_발전량_모델'!$B$17))*SIN(RADIANS(E729))+COS(RADIANS('11_발전량_모델'!$B$17))*COS(RADIANS(E729))*COS(RADIANS(F729))</f>
        <v/>
      </c>
      <c r="J729" s="80">
        <f>SIN(RADIANS('11_발전량_모델'!$B$7))*SIN(RADIANS('11_발전량_모델'!$B$8))</f>
        <v/>
      </c>
      <c r="K729" s="80">
        <f>SIN(RADIANS('11_발전량_모델'!$B$7))*COS(RADIANS('11_발전량_모델'!$B$8))</f>
        <v/>
      </c>
      <c r="L729" s="80">
        <f>COS(RADIANS('11_발전량_모델'!$B$7))</f>
        <v/>
      </c>
      <c r="M729" s="80">
        <f>G729*J729+H729*K729+I729*L729</f>
        <v/>
      </c>
      <c r="N729" s="80">
        <f>MAX(0,I729)</f>
        <v/>
      </c>
      <c r="O729" s="80">
        <f>IF(I729&gt;0,MAX(0,M729),0)</f>
        <v/>
      </c>
      <c r="P729" s="80">
        <f>IF($I729&gt;0,MAX(0,$G729*SIN(RADIANS('13_시나리오비교'!$B$5))*SIN(RADIANS('13_시나리오비교'!$C$5))+$H729*SIN(RADIANS('13_시나리오비교'!$B$5))*COS(RADIANS('13_시나리오비교'!$C$5))+$I729*COS(RADIANS('13_시나리오비교'!$B$5))),0)</f>
        <v/>
      </c>
      <c r="Q729" s="80">
        <f>IF($I729&gt;0,MAX(0,$G729*SIN(RADIANS('13_시나리오비교'!$B$6))*SIN(RADIANS('13_시나리오비교'!$C$6))+$H729*SIN(RADIANS('13_시나리오비교'!$B$6))*COS(RADIANS('13_시나리오비교'!$C$6))+$I729*COS(RADIANS('13_시나리오비교'!$B$6))),0)</f>
        <v/>
      </c>
      <c r="R729" s="80">
        <f>IF($I729&gt;0,MAX(0,$G729*SIN(RADIANS('13_시나리오비교'!$B$7))*SIN(RADIANS('13_시나리오비교'!$C$7))+$H729*SIN(RADIANS('13_시나리오비교'!$B$7))*COS(RADIANS('13_시나리오비교'!$C$7))+$I729*COS(RADIANS('13_시나리오비교'!$B$7))),0)</f>
        <v/>
      </c>
      <c r="S729" s="80">
        <f>IF($I729&gt;0,MAX(0,$G729*SIN(RADIANS('13_시나리오비교'!$B$8))*SIN(RADIANS('13_시나리오비교'!$C$8))+$H729*SIN(RADIANS('13_시나리오비교'!$B$8))*COS(RADIANS('13_시나리오비교'!$C$8))+$I729*COS(RADIANS('13_시나리오비교'!$B$8))),0)</f>
        <v/>
      </c>
      <c r="T729" s="80">
        <f>IF($I729&gt;0,MAX(0,$G729*SIN(RADIANS('13_시나리오비교'!$B$9))*SIN(RADIANS('13_시나리오비교'!$C$9))+$H729*SIN(RADIANS('13_시나리오비교'!$B$9))*COS(RADIANS('13_시나리오비교'!$C$9))+$I729*COS(RADIANS('13_시나리오비교'!$B$9))),0)</f>
        <v/>
      </c>
      <c r="U729" s="80">
        <f>IF($I729&gt;0,MAX(0,$G729*SIN(RADIANS('13_시나리오비교'!$B$10))*SIN(RADIANS('13_시나리오비교'!$C$10))+$H729*SIN(RADIANS('13_시나리오비교'!$B$10))*COS(RADIANS('13_시나리오비교'!$C$10))+$I729*COS(RADIANS('13_시나리오비교'!$B$10))),0)</f>
        <v/>
      </c>
      <c r="V729" s="80">
        <f>IF($I729&gt;0,MAX(0,$G729*SIN(RADIANS('13_시나리오비교'!$B$11))*SIN(RADIANS('13_시나리오비교'!$C$11))+$H729*SIN(RADIANS('13_시나리오비교'!$B$11))*COS(RADIANS('13_시나리오비교'!$C$11))+$I729*COS(RADIANS('13_시나리오비교'!$B$11))),0)</f>
        <v/>
      </c>
      <c r="W729" s="80">
        <f>IF($I729&gt;0,MAX(0,$G729*SIN(RADIANS('13_시나리오비교'!$B$12))*SIN(RADIANS('13_시나리오비교'!$C$12))+$H729*SIN(RADIANS('13_시나리오비교'!$B$12))*COS(RADIANS('13_시나리오비교'!$C$12))+$I729*COS(RADIANS('13_시나리오비교'!$B$12))),0)</f>
        <v/>
      </c>
      <c r="X729" s="80">
        <f>IF($I729&gt;0,MAX(0,$G729*SIN(RADIANS('13_시나리오비교'!$B$13))*SIN(RADIANS('13_시나리오비교'!$C$13))+$H729*SIN(RADIANS('13_시나리오비교'!$B$13))*COS(RADIANS('13_시나리오비교'!$C$13))+$I729*COS(RADIANS('13_시나리오비교'!$B$13))),0)</f>
        <v/>
      </c>
      <c r="Y729" s="80">
        <f>IF($I729&gt;0,MAX(0,$G729*SIN(RADIANS('13_시나리오비교'!$B$14))*SIN(RADIANS('13_시나리오비교'!$C$14))+$H729*SIN(RADIANS('13_시나리오비교'!$B$14))*COS(RADIANS('13_시나리오비교'!$C$14))+$I729*COS(RADIANS('13_시나리오비교'!$B$14))),0)</f>
        <v/>
      </c>
    </row>
    <row r="730" hidden="1" outlineLevel="1">
      <c r="A730" s="79" t="n">
        <v>8</v>
      </c>
      <c r="B730" s="79" t="n">
        <v>38</v>
      </c>
      <c r="C730" s="80">
        <f>(B730-0.5)*'14_지역·상수'!$H$6</f>
        <v/>
      </c>
      <c r="D730" s="79" t="n">
        <v>228</v>
      </c>
      <c r="E730" s="80">
        <f>INDEX($C$4:$C$15,MATCH(A730,$A$4:$A$15,0))</f>
        <v/>
      </c>
      <c r="F730" s="80">
        <f>15*(C730-12)</f>
        <v/>
      </c>
      <c r="G730" s="80">
        <f>-COS(RADIANS(E730))*SIN(RADIANS(F730))</f>
        <v/>
      </c>
      <c r="H730" s="80">
        <f>COS(RADIANS('11_발전량_모델'!$B$17))*SIN(RADIANS(E730))-SIN(RADIANS('11_발전량_모델'!$B$17))*COS(RADIANS(E730))*COS(RADIANS(F730))</f>
        <v/>
      </c>
      <c r="I730" s="80">
        <f>SIN(RADIANS('11_발전량_모델'!$B$17))*SIN(RADIANS(E730))+COS(RADIANS('11_발전량_모델'!$B$17))*COS(RADIANS(E730))*COS(RADIANS(F730))</f>
        <v/>
      </c>
      <c r="J730" s="80">
        <f>SIN(RADIANS('11_발전량_모델'!$B$7))*SIN(RADIANS('11_발전량_모델'!$B$8))</f>
        <v/>
      </c>
      <c r="K730" s="80">
        <f>SIN(RADIANS('11_발전량_모델'!$B$7))*COS(RADIANS('11_발전량_모델'!$B$8))</f>
        <v/>
      </c>
      <c r="L730" s="80">
        <f>COS(RADIANS('11_발전량_모델'!$B$7))</f>
        <v/>
      </c>
      <c r="M730" s="80">
        <f>G730*J730+H730*K730+I730*L730</f>
        <v/>
      </c>
      <c r="N730" s="80">
        <f>MAX(0,I730)</f>
        <v/>
      </c>
      <c r="O730" s="80">
        <f>IF(I730&gt;0,MAX(0,M730),0)</f>
        <v/>
      </c>
      <c r="P730" s="80">
        <f>IF($I730&gt;0,MAX(0,$G730*SIN(RADIANS('13_시나리오비교'!$B$5))*SIN(RADIANS('13_시나리오비교'!$C$5))+$H730*SIN(RADIANS('13_시나리오비교'!$B$5))*COS(RADIANS('13_시나리오비교'!$C$5))+$I730*COS(RADIANS('13_시나리오비교'!$B$5))),0)</f>
        <v/>
      </c>
      <c r="Q730" s="80">
        <f>IF($I730&gt;0,MAX(0,$G730*SIN(RADIANS('13_시나리오비교'!$B$6))*SIN(RADIANS('13_시나리오비교'!$C$6))+$H730*SIN(RADIANS('13_시나리오비교'!$B$6))*COS(RADIANS('13_시나리오비교'!$C$6))+$I730*COS(RADIANS('13_시나리오비교'!$B$6))),0)</f>
        <v/>
      </c>
      <c r="R730" s="80">
        <f>IF($I730&gt;0,MAX(0,$G730*SIN(RADIANS('13_시나리오비교'!$B$7))*SIN(RADIANS('13_시나리오비교'!$C$7))+$H730*SIN(RADIANS('13_시나리오비교'!$B$7))*COS(RADIANS('13_시나리오비교'!$C$7))+$I730*COS(RADIANS('13_시나리오비교'!$B$7))),0)</f>
        <v/>
      </c>
      <c r="S730" s="80">
        <f>IF($I730&gt;0,MAX(0,$G730*SIN(RADIANS('13_시나리오비교'!$B$8))*SIN(RADIANS('13_시나리오비교'!$C$8))+$H730*SIN(RADIANS('13_시나리오비교'!$B$8))*COS(RADIANS('13_시나리오비교'!$C$8))+$I730*COS(RADIANS('13_시나리오비교'!$B$8))),0)</f>
        <v/>
      </c>
      <c r="T730" s="80">
        <f>IF($I730&gt;0,MAX(0,$G730*SIN(RADIANS('13_시나리오비교'!$B$9))*SIN(RADIANS('13_시나리오비교'!$C$9))+$H730*SIN(RADIANS('13_시나리오비교'!$B$9))*COS(RADIANS('13_시나리오비교'!$C$9))+$I730*COS(RADIANS('13_시나리오비교'!$B$9))),0)</f>
        <v/>
      </c>
      <c r="U730" s="80">
        <f>IF($I730&gt;0,MAX(0,$G730*SIN(RADIANS('13_시나리오비교'!$B$10))*SIN(RADIANS('13_시나리오비교'!$C$10))+$H730*SIN(RADIANS('13_시나리오비교'!$B$10))*COS(RADIANS('13_시나리오비교'!$C$10))+$I730*COS(RADIANS('13_시나리오비교'!$B$10))),0)</f>
        <v/>
      </c>
      <c r="V730" s="80">
        <f>IF($I730&gt;0,MAX(0,$G730*SIN(RADIANS('13_시나리오비교'!$B$11))*SIN(RADIANS('13_시나리오비교'!$C$11))+$H730*SIN(RADIANS('13_시나리오비교'!$B$11))*COS(RADIANS('13_시나리오비교'!$C$11))+$I730*COS(RADIANS('13_시나리오비교'!$B$11))),0)</f>
        <v/>
      </c>
      <c r="W730" s="80">
        <f>IF($I730&gt;0,MAX(0,$G730*SIN(RADIANS('13_시나리오비교'!$B$12))*SIN(RADIANS('13_시나리오비교'!$C$12))+$H730*SIN(RADIANS('13_시나리오비교'!$B$12))*COS(RADIANS('13_시나리오비교'!$C$12))+$I730*COS(RADIANS('13_시나리오비교'!$B$12))),0)</f>
        <v/>
      </c>
      <c r="X730" s="80">
        <f>IF($I730&gt;0,MAX(0,$G730*SIN(RADIANS('13_시나리오비교'!$B$13))*SIN(RADIANS('13_시나리오비교'!$C$13))+$H730*SIN(RADIANS('13_시나리오비교'!$B$13))*COS(RADIANS('13_시나리오비교'!$C$13))+$I730*COS(RADIANS('13_시나리오비교'!$B$13))),0)</f>
        <v/>
      </c>
      <c r="Y730" s="80">
        <f>IF($I730&gt;0,MAX(0,$G730*SIN(RADIANS('13_시나리오비교'!$B$14))*SIN(RADIANS('13_시나리오비교'!$C$14))+$H730*SIN(RADIANS('13_시나리오비교'!$B$14))*COS(RADIANS('13_시나리오비교'!$C$14))+$I730*COS(RADIANS('13_시나리오비교'!$B$14))),0)</f>
        <v/>
      </c>
    </row>
    <row r="731" hidden="1" outlineLevel="1">
      <c r="A731" s="79" t="n">
        <v>8</v>
      </c>
      <c r="B731" s="79" t="n">
        <v>39</v>
      </c>
      <c r="C731" s="80">
        <f>(B731-0.5)*'14_지역·상수'!$H$6</f>
        <v/>
      </c>
      <c r="D731" s="79" t="n">
        <v>228</v>
      </c>
      <c r="E731" s="80">
        <f>INDEX($C$4:$C$15,MATCH(A731,$A$4:$A$15,0))</f>
        <v/>
      </c>
      <c r="F731" s="80">
        <f>15*(C731-12)</f>
        <v/>
      </c>
      <c r="G731" s="80">
        <f>-COS(RADIANS(E731))*SIN(RADIANS(F731))</f>
        <v/>
      </c>
      <c r="H731" s="80">
        <f>COS(RADIANS('11_발전량_모델'!$B$17))*SIN(RADIANS(E731))-SIN(RADIANS('11_발전량_모델'!$B$17))*COS(RADIANS(E731))*COS(RADIANS(F731))</f>
        <v/>
      </c>
      <c r="I731" s="80">
        <f>SIN(RADIANS('11_발전량_모델'!$B$17))*SIN(RADIANS(E731))+COS(RADIANS('11_발전량_모델'!$B$17))*COS(RADIANS(E731))*COS(RADIANS(F731))</f>
        <v/>
      </c>
      <c r="J731" s="80">
        <f>SIN(RADIANS('11_발전량_모델'!$B$7))*SIN(RADIANS('11_발전량_모델'!$B$8))</f>
        <v/>
      </c>
      <c r="K731" s="80">
        <f>SIN(RADIANS('11_발전량_모델'!$B$7))*COS(RADIANS('11_발전량_모델'!$B$8))</f>
        <v/>
      </c>
      <c r="L731" s="80">
        <f>COS(RADIANS('11_발전량_모델'!$B$7))</f>
        <v/>
      </c>
      <c r="M731" s="80">
        <f>G731*J731+H731*K731+I731*L731</f>
        <v/>
      </c>
      <c r="N731" s="80">
        <f>MAX(0,I731)</f>
        <v/>
      </c>
      <c r="O731" s="80">
        <f>IF(I731&gt;0,MAX(0,M731),0)</f>
        <v/>
      </c>
      <c r="P731" s="80">
        <f>IF($I731&gt;0,MAX(0,$G731*SIN(RADIANS('13_시나리오비교'!$B$5))*SIN(RADIANS('13_시나리오비교'!$C$5))+$H731*SIN(RADIANS('13_시나리오비교'!$B$5))*COS(RADIANS('13_시나리오비교'!$C$5))+$I731*COS(RADIANS('13_시나리오비교'!$B$5))),0)</f>
        <v/>
      </c>
      <c r="Q731" s="80">
        <f>IF($I731&gt;0,MAX(0,$G731*SIN(RADIANS('13_시나리오비교'!$B$6))*SIN(RADIANS('13_시나리오비교'!$C$6))+$H731*SIN(RADIANS('13_시나리오비교'!$B$6))*COS(RADIANS('13_시나리오비교'!$C$6))+$I731*COS(RADIANS('13_시나리오비교'!$B$6))),0)</f>
        <v/>
      </c>
      <c r="R731" s="80">
        <f>IF($I731&gt;0,MAX(0,$G731*SIN(RADIANS('13_시나리오비교'!$B$7))*SIN(RADIANS('13_시나리오비교'!$C$7))+$H731*SIN(RADIANS('13_시나리오비교'!$B$7))*COS(RADIANS('13_시나리오비교'!$C$7))+$I731*COS(RADIANS('13_시나리오비교'!$B$7))),0)</f>
        <v/>
      </c>
      <c r="S731" s="80">
        <f>IF($I731&gt;0,MAX(0,$G731*SIN(RADIANS('13_시나리오비교'!$B$8))*SIN(RADIANS('13_시나리오비교'!$C$8))+$H731*SIN(RADIANS('13_시나리오비교'!$B$8))*COS(RADIANS('13_시나리오비교'!$C$8))+$I731*COS(RADIANS('13_시나리오비교'!$B$8))),0)</f>
        <v/>
      </c>
      <c r="T731" s="80">
        <f>IF($I731&gt;0,MAX(0,$G731*SIN(RADIANS('13_시나리오비교'!$B$9))*SIN(RADIANS('13_시나리오비교'!$C$9))+$H731*SIN(RADIANS('13_시나리오비교'!$B$9))*COS(RADIANS('13_시나리오비교'!$C$9))+$I731*COS(RADIANS('13_시나리오비교'!$B$9))),0)</f>
        <v/>
      </c>
      <c r="U731" s="80">
        <f>IF($I731&gt;0,MAX(0,$G731*SIN(RADIANS('13_시나리오비교'!$B$10))*SIN(RADIANS('13_시나리오비교'!$C$10))+$H731*SIN(RADIANS('13_시나리오비교'!$B$10))*COS(RADIANS('13_시나리오비교'!$C$10))+$I731*COS(RADIANS('13_시나리오비교'!$B$10))),0)</f>
        <v/>
      </c>
      <c r="V731" s="80">
        <f>IF($I731&gt;0,MAX(0,$G731*SIN(RADIANS('13_시나리오비교'!$B$11))*SIN(RADIANS('13_시나리오비교'!$C$11))+$H731*SIN(RADIANS('13_시나리오비교'!$B$11))*COS(RADIANS('13_시나리오비교'!$C$11))+$I731*COS(RADIANS('13_시나리오비교'!$B$11))),0)</f>
        <v/>
      </c>
      <c r="W731" s="80">
        <f>IF($I731&gt;0,MAX(0,$G731*SIN(RADIANS('13_시나리오비교'!$B$12))*SIN(RADIANS('13_시나리오비교'!$C$12))+$H731*SIN(RADIANS('13_시나리오비교'!$B$12))*COS(RADIANS('13_시나리오비교'!$C$12))+$I731*COS(RADIANS('13_시나리오비교'!$B$12))),0)</f>
        <v/>
      </c>
      <c r="X731" s="80">
        <f>IF($I731&gt;0,MAX(0,$G731*SIN(RADIANS('13_시나리오비교'!$B$13))*SIN(RADIANS('13_시나리오비교'!$C$13))+$H731*SIN(RADIANS('13_시나리오비교'!$B$13))*COS(RADIANS('13_시나리오비교'!$C$13))+$I731*COS(RADIANS('13_시나리오비교'!$B$13))),0)</f>
        <v/>
      </c>
      <c r="Y731" s="80">
        <f>IF($I731&gt;0,MAX(0,$G731*SIN(RADIANS('13_시나리오비교'!$B$14))*SIN(RADIANS('13_시나리오비교'!$C$14))+$H731*SIN(RADIANS('13_시나리오비교'!$B$14))*COS(RADIANS('13_시나리오비교'!$C$14))+$I731*COS(RADIANS('13_시나리오비교'!$B$14))),0)</f>
        <v/>
      </c>
    </row>
    <row r="732" hidden="1" outlineLevel="1">
      <c r="A732" s="79" t="n">
        <v>8</v>
      </c>
      <c r="B732" s="79" t="n">
        <v>40</v>
      </c>
      <c r="C732" s="80">
        <f>(B732-0.5)*'14_지역·상수'!$H$6</f>
        <v/>
      </c>
      <c r="D732" s="79" t="n">
        <v>228</v>
      </c>
      <c r="E732" s="80">
        <f>INDEX($C$4:$C$15,MATCH(A732,$A$4:$A$15,0))</f>
        <v/>
      </c>
      <c r="F732" s="80">
        <f>15*(C732-12)</f>
        <v/>
      </c>
      <c r="G732" s="80">
        <f>-COS(RADIANS(E732))*SIN(RADIANS(F732))</f>
        <v/>
      </c>
      <c r="H732" s="80">
        <f>COS(RADIANS('11_발전량_모델'!$B$17))*SIN(RADIANS(E732))-SIN(RADIANS('11_발전량_모델'!$B$17))*COS(RADIANS(E732))*COS(RADIANS(F732))</f>
        <v/>
      </c>
      <c r="I732" s="80">
        <f>SIN(RADIANS('11_발전량_모델'!$B$17))*SIN(RADIANS(E732))+COS(RADIANS('11_발전량_모델'!$B$17))*COS(RADIANS(E732))*COS(RADIANS(F732))</f>
        <v/>
      </c>
      <c r="J732" s="80">
        <f>SIN(RADIANS('11_발전량_모델'!$B$7))*SIN(RADIANS('11_발전량_모델'!$B$8))</f>
        <v/>
      </c>
      <c r="K732" s="80">
        <f>SIN(RADIANS('11_발전량_모델'!$B$7))*COS(RADIANS('11_발전량_모델'!$B$8))</f>
        <v/>
      </c>
      <c r="L732" s="80">
        <f>COS(RADIANS('11_발전량_모델'!$B$7))</f>
        <v/>
      </c>
      <c r="M732" s="80">
        <f>G732*J732+H732*K732+I732*L732</f>
        <v/>
      </c>
      <c r="N732" s="80">
        <f>MAX(0,I732)</f>
        <v/>
      </c>
      <c r="O732" s="80">
        <f>IF(I732&gt;0,MAX(0,M732),0)</f>
        <v/>
      </c>
      <c r="P732" s="80">
        <f>IF($I732&gt;0,MAX(0,$G732*SIN(RADIANS('13_시나리오비교'!$B$5))*SIN(RADIANS('13_시나리오비교'!$C$5))+$H732*SIN(RADIANS('13_시나리오비교'!$B$5))*COS(RADIANS('13_시나리오비교'!$C$5))+$I732*COS(RADIANS('13_시나리오비교'!$B$5))),0)</f>
        <v/>
      </c>
      <c r="Q732" s="80">
        <f>IF($I732&gt;0,MAX(0,$G732*SIN(RADIANS('13_시나리오비교'!$B$6))*SIN(RADIANS('13_시나리오비교'!$C$6))+$H732*SIN(RADIANS('13_시나리오비교'!$B$6))*COS(RADIANS('13_시나리오비교'!$C$6))+$I732*COS(RADIANS('13_시나리오비교'!$B$6))),0)</f>
        <v/>
      </c>
      <c r="R732" s="80">
        <f>IF($I732&gt;0,MAX(0,$G732*SIN(RADIANS('13_시나리오비교'!$B$7))*SIN(RADIANS('13_시나리오비교'!$C$7))+$H732*SIN(RADIANS('13_시나리오비교'!$B$7))*COS(RADIANS('13_시나리오비교'!$C$7))+$I732*COS(RADIANS('13_시나리오비교'!$B$7))),0)</f>
        <v/>
      </c>
      <c r="S732" s="80">
        <f>IF($I732&gt;0,MAX(0,$G732*SIN(RADIANS('13_시나리오비교'!$B$8))*SIN(RADIANS('13_시나리오비교'!$C$8))+$H732*SIN(RADIANS('13_시나리오비교'!$B$8))*COS(RADIANS('13_시나리오비교'!$C$8))+$I732*COS(RADIANS('13_시나리오비교'!$B$8))),0)</f>
        <v/>
      </c>
      <c r="T732" s="80">
        <f>IF($I732&gt;0,MAX(0,$G732*SIN(RADIANS('13_시나리오비교'!$B$9))*SIN(RADIANS('13_시나리오비교'!$C$9))+$H732*SIN(RADIANS('13_시나리오비교'!$B$9))*COS(RADIANS('13_시나리오비교'!$C$9))+$I732*COS(RADIANS('13_시나리오비교'!$B$9))),0)</f>
        <v/>
      </c>
      <c r="U732" s="80">
        <f>IF($I732&gt;0,MAX(0,$G732*SIN(RADIANS('13_시나리오비교'!$B$10))*SIN(RADIANS('13_시나리오비교'!$C$10))+$H732*SIN(RADIANS('13_시나리오비교'!$B$10))*COS(RADIANS('13_시나리오비교'!$C$10))+$I732*COS(RADIANS('13_시나리오비교'!$B$10))),0)</f>
        <v/>
      </c>
      <c r="V732" s="80">
        <f>IF($I732&gt;0,MAX(0,$G732*SIN(RADIANS('13_시나리오비교'!$B$11))*SIN(RADIANS('13_시나리오비교'!$C$11))+$H732*SIN(RADIANS('13_시나리오비교'!$B$11))*COS(RADIANS('13_시나리오비교'!$C$11))+$I732*COS(RADIANS('13_시나리오비교'!$B$11))),0)</f>
        <v/>
      </c>
      <c r="W732" s="80">
        <f>IF($I732&gt;0,MAX(0,$G732*SIN(RADIANS('13_시나리오비교'!$B$12))*SIN(RADIANS('13_시나리오비교'!$C$12))+$H732*SIN(RADIANS('13_시나리오비교'!$B$12))*COS(RADIANS('13_시나리오비교'!$C$12))+$I732*COS(RADIANS('13_시나리오비교'!$B$12))),0)</f>
        <v/>
      </c>
      <c r="X732" s="80">
        <f>IF($I732&gt;0,MAX(0,$G732*SIN(RADIANS('13_시나리오비교'!$B$13))*SIN(RADIANS('13_시나리오비교'!$C$13))+$H732*SIN(RADIANS('13_시나리오비교'!$B$13))*COS(RADIANS('13_시나리오비교'!$C$13))+$I732*COS(RADIANS('13_시나리오비교'!$B$13))),0)</f>
        <v/>
      </c>
      <c r="Y732" s="80">
        <f>IF($I732&gt;0,MAX(0,$G732*SIN(RADIANS('13_시나리오비교'!$B$14))*SIN(RADIANS('13_시나리오비교'!$C$14))+$H732*SIN(RADIANS('13_시나리오비교'!$B$14))*COS(RADIANS('13_시나리오비교'!$C$14))+$I732*COS(RADIANS('13_시나리오비교'!$B$14))),0)</f>
        <v/>
      </c>
    </row>
    <row r="733" hidden="1" outlineLevel="1">
      <c r="A733" s="79" t="n">
        <v>8</v>
      </c>
      <c r="B733" s="79" t="n">
        <v>41</v>
      </c>
      <c r="C733" s="80">
        <f>(B733-0.5)*'14_지역·상수'!$H$6</f>
        <v/>
      </c>
      <c r="D733" s="79" t="n">
        <v>228</v>
      </c>
      <c r="E733" s="80">
        <f>INDEX($C$4:$C$15,MATCH(A733,$A$4:$A$15,0))</f>
        <v/>
      </c>
      <c r="F733" s="80">
        <f>15*(C733-12)</f>
        <v/>
      </c>
      <c r="G733" s="80">
        <f>-COS(RADIANS(E733))*SIN(RADIANS(F733))</f>
        <v/>
      </c>
      <c r="H733" s="80">
        <f>COS(RADIANS('11_발전량_모델'!$B$17))*SIN(RADIANS(E733))-SIN(RADIANS('11_발전량_모델'!$B$17))*COS(RADIANS(E733))*COS(RADIANS(F733))</f>
        <v/>
      </c>
      <c r="I733" s="80">
        <f>SIN(RADIANS('11_발전량_모델'!$B$17))*SIN(RADIANS(E733))+COS(RADIANS('11_발전량_모델'!$B$17))*COS(RADIANS(E733))*COS(RADIANS(F733))</f>
        <v/>
      </c>
      <c r="J733" s="80">
        <f>SIN(RADIANS('11_발전량_모델'!$B$7))*SIN(RADIANS('11_발전량_모델'!$B$8))</f>
        <v/>
      </c>
      <c r="K733" s="80">
        <f>SIN(RADIANS('11_발전량_모델'!$B$7))*COS(RADIANS('11_발전량_모델'!$B$8))</f>
        <v/>
      </c>
      <c r="L733" s="80">
        <f>COS(RADIANS('11_발전량_모델'!$B$7))</f>
        <v/>
      </c>
      <c r="M733" s="80">
        <f>G733*J733+H733*K733+I733*L733</f>
        <v/>
      </c>
      <c r="N733" s="80">
        <f>MAX(0,I733)</f>
        <v/>
      </c>
      <c r="O733" s="80">
        <f>IF(I733&gt;0,MAX(0,M733),0)</f>
        <v/>
      </c>
      <c r="P733" s="80">
        <f>IF($I733&gt;0,MAX(0,$G733*SIN(RADIANS('13_시나리오비교'!$B$5))*SIN(RADIANS('13_시나리오비교'!$C$5))+$H733*SIN(RADIANS('13_시나리오비교'!$B$5))*COS(RADIANS('13_시나리오비교'!$C$5))+$I733*COS(RADIANS('13_시나리오비교'!$B$5))),0)</f>
        <v/>
      </c>
      <c r="Q733" s="80">
        <f>IF($I733&gt;0,MAX(0,$G733*SIN(RADIANS('13_시나리오비교'!$B$6))*SIN(RADIANS('13_시나리오비교'!$C$6))+$H733*SIN(RADIANS('13_시나리오비교'!$B$6))*COS(RADIANS('13_시나리오비교'!$C$6))+$I733*COS(RADIANS('13_시나리오비교'!$B$6))),0)</f>
        <v/>
      </c>
      <c r="R733" s="80">
        <f>IF($I733&gt;0,MAX(0,$G733*SIN(RADIANS('13_시나리오비교'!$B$7))*SIN(RADIANS('13_시나리오비교'!$C$7))+$H733*SIN(RADIANS('13_시나리오비교'!$B$7))*COS(RADIANS('13_시나리오비교'!$C$7))+$I733*COS(RADIANS('13_시나리오비교'!$B$7))),0)</f>
        <v/>
      </c>
      <c r="S733" s="80">
        <f>IF($I733&gt;0,MAX(0,$G733*SIN(RADIANS('13_시나리오비교'!$B$8))*SIN(RADIANS('13_시나리오비교'!$C$8))+$H733*SIN(RADIANS('13_시나리오비교'!$B$8))*COS(RADIANS('13_시나리오비교'!$C$8))+$I733*COS(RADIANS('13_시나리오비교'!$B$8))),0)</f>
        <v/>
      </c>
      <c r="T733" s="80">
        <f>IF($I733&gt;0,MAX(0,$G733*SIN(RADIANS('13_시나리오비교'!$B$9))*SIN(RADIANS('13_시나리오비교'!$C$9))+$H733*SIN(RADIANS('13_시나리오비교'!$B$9))*COS(RADIANS('13_시나리오비교'!$C$9))+$I733*COS(RADIANS('13_시나리오비교'!$B$9))),0)</f>
        <v/>
      </c>
      <c r="U733" s="80">
        <f>IF($I733&gt;0,MAX(0,$G733*SIN(RADIANS('13_시나리오비교'!$B$10))*SIN(RADIANS('13_시나리오비교'!$C$10))+$H733*SIN(RADIANS('13_시나리오비교'!$B$10))*COS(RADIANS('13_시나리오비교'!$C$10))+$I733*COS(RADIANS('13_시나리오비교'!$B$10))),0)</f>
        <v/>
      </c>
      <c r="V733" s="80">
        <f>IF($I733&gt;0,MAX(0,$G733*SIN(RADIANS('13_시나리오비교'!$B$11))*SIN(RADIANS('13_시나리오비교'!$C$11))+$H733*SIN(RADIANS('13_시나리오비교'!$B$11))*COS(RADIANS('13_시나리오비교'!$C$11))+$I733*COS(RADIANS('13_시나리오비교'!$B$11))),0)</f>
        <v/>
      </c>
      <c r="W733" s="80">
        <f>IF($I733&gt;0,MAX(0,$G733*SIN(RADIANS('13_시나리오비교'!$B$12))*SIN(RADIANS('13_시나리오비교'!$C$12))+$H733*SIN(RADIANS('13_시나리오비교'!$B$12))*COS(RADIANS('13_시나리오비교'!$C$12))+$I733*COS(RADIANS('13_시나리오비교'!$B$12))),0)</f>
        <v/>
      </c>
      <c r="X733" s="80">
        <f>IF($I733&gt;0,MAX(0,$G733*SIN(RADIANS('13_시나리오비교'!$B$13))*SIN(RADIANS('13_시나리오비교'!$C$13))+$H733*SIN(RADIANS('13_시나리오비교'!$B$13))*COS(RADIANS('13_시나리오비교'!$C$13))+$I733*COS(RADIANS('13_시나리오비교'!$B$13))),0)</f>
        <v/>
      </c>
      <c r="Y733" s="80">
        <f>IF($I733&gt;0,MAX(0,$G733*SIN(RADIANS('13_시나리오비교'!$B$14))*SIN(RADIANS('13_시나리오비교'!$C$14))+$H733*SIN(RADIANS('13_시나리오비교'!$B$14))*COS(RADIANS('13_시나리오비교'!$C$14))+$I733*COS(RADIANS('13_시나리오비교'!$B$14))),0)</f>
        <v/>
      </c>
    </row>
    <row r="734" hidden="1" outlineLevel="1">
      <c r="A734" s="79" t="n">
        <v>8</v>
      </c>
      <c r="B734" s="79" t="n">
        <v>42</v>
      </c>
      <c r="C734" s="80">
        <f>(B734-0.5)*'14_지역·상수'!$H$6</f>
        <v/>
      </c>
      <c r="D734" s="79" t="n">
        <v>228</v>
      </c>
      <c r="E734" s="80">
        <f>INDEX($C$4:$C$15,MATCH(A734,$A$4:$A$15,0))</f>
        <v/>
      </c>
      <c r="F734" s="80">
        <f>15*(C734-12)</f>
        <v/>
      </c>
      <c r="G734" s="80">
        <f>-COS(RADIANS(E734))*SIN(RADIANS(F734))</f>
        <v/>
      </c>
      <c r="H734" s="80">
        <f>COS(RADIANS('11_발전량_모델'!$B$17))*SIN(RADIANS(E734))-SIN(RADIANS('11_발전량_모델'!$B$17))*COS(RADIANS(E734))*COS(RADIANS(F734))</f>
        <v/>
      </c>
      <c r="I734" s="80">
        <f>SIN(RADIANS('11_발전량_모델'!$B$17))*SIN(RADIANS(E734))+COS(RADIANS('11_발전량_모델'!$B$17))*COS(RADIANS(E734))*COS(RADIANS(F734))</f>
        <v/>
      </c>
      <c r="J734" s="80">
        <f>SIN(RADIANS('11_발전량_모델'!$B$7))*SIN(RADIANS('11_발전량_모델'!$B$8))</f>
        <v/>
      </c>
      <c r="K734" s="80">
        <f>SIN(RADIANS('11_발전량_모델'!$B$7))*COS(RADIANS('11_발전량_모델'!$B$8))</f>
        <v/>
      </c>
      <c r="L734" s="80">
        <f>COS(RADIANS('11_발전량_모델'!$B$7))</f>
        <v/>
      </c>
      <c r="M734" s="80">
        <f>G734*J734+H734*K734+I734*L734</f>
        <v/>
      </c>
      <c r="N734" s="80">
        <f>MAX(0,I734)</f>
        <v/>
      </c>
      <c r="O734" s="80">
        <f>IF(I734&gt;0,MAX(0,M734),0)</f>
        <v/>
      </c>
      <c r="P734" s="80">
        <f>IF($I734&gt;0,MAX(0,$G734*SIN(RADIANS('13_시나리오비교'!$B$5))*SIN(RADIANS('13_시나리오비교'!$C$5))+$H734*SIN(RADIANS('13_시나리오비교'!$B$5))*COS(RADIANS('13_시나리오비교'!$C$5))+$I734*COS(RADIANS('13_시나리오비교'!$B$5))),0)</f>
        <v/>
      </c>
      <c r="Q734" s="80">
        <f>IF($I734&gt;0,MAX(0,$G734*SIN(RADIANS('13_시나리오비교'!$B$6))*SIN(RADIANS('13_시나리오비교'!$C$6))+$H734*SIN(RADIANS('13_시나리오비교'!$B$6))*COS(RADIANS('13_시나리오비교'!$C$6))+$I734*COS(RADIANS('13_시나리오비교'!$B$6))),0)</f>
        <v/>
      </c>
      <c r="R734" s="80">
        <f>IF($I734&gt;0,MAX(0,$G734*SIN(RADIANS('13_시나리오비교'!$B$7))*SIN(RADIANS('13_시나리오비교'!$C$7))+$H734*SIN(RADIANS('13_시나리오비교'!$B$7))*COS(RADIANS('13_시나리오비교'!$C$7))+$I734*COS(RADIANS('13_시나리오비교'!$B$7))),0)</f>
        <v/>
      </c>
      <c r="S734" s="80">
        <f>IF($I734&gt;0,MAX(0,$G734*SIN(RADIANS('13_시나리오비교'!$B$8))*SIN(RADIANS('13_시나리오비교'!$C$8))+$H734*SIN(RADIANS('13_시나리오비교'!$B$8))*COS(RADIANS('13_시나리오비교'!$C$8))+$I734*COS(RADIANS('13_시나리오비교'!$B$8))),0)</f>
        <v/>
      </c>
      <c r="T734" s="80">
        <f>IF($I734&gt;0,MAX(0,$G734*SIN(RADIANS('13_시나리오비교'!$B$9))*SIN(RADIANS('13_시나리오비교'!$C$9))+$H734*SIN(RADIANS('13_시나리오비교'!$B$9))*COS(RADIANS('13_시나리오비교'!$C$9))+$I734*COS(RADIANS('13_시나리오비교'!$B$9))),0)</f>
        <v/>
      </c>
      <c r="U734" s="80">
        <f>IF($I734&gt;0,MAX(0,$G734*SIN(RADIANS('13_시나리오비교'!$B$10))*SIN(RADIANS('13_시나리오비교'!$C$10))+$H734*SIN(RADIANS('13_시나리오비교'!$B$10))*COS(RADIANS('13_시나리오비교'!$C$10))+$I734*COS(RADIANS('13_시나리오비교'!$B$10))),0)</f>
        <v/>
      </c>
      <c r="V734" s="80">
        <f>IF($I734&gt;0,MAX(0,$G734*SIN(RADIANS('13_시나리오비교'!$B$11))*SIN(RADIANS('13_시나리오비교'!$C$11))+$H734*SIN(RADIANS('13_시나리오비교'!$B$11))*COS(RADIANS('13_시나리오비교'!$C$11))+$I734*COS(RADIANS('13_시나리오비교'!$B$11))),0)</f>
        <v/>
      </c>
      <c r="W734" s="80">
        <f>IF($I734&gt;0,MAX(0,$G734*SIN(RADIANS('13_시나리오비교'!$B$12))*SIN(RADIANS('13_시나리오비교'!$C$12))+$H734*SIN(RADIANS('13_시나리오비교'!$B$12))*COS(RADIANS('13_시나리오비교'!$C$12))+$I734*COS(RADIANS('13_시나리오비교'!$B$12))),0)</f>
        <v/>
      </c>
      <c r="X734" s="80">
        <f>IF($I734&gt;0,MAX(0,$G734*SIN(RADIANS('13_시나리오비교'!$B$13))*SIN(RADIANS('13_시나리오비교'!$C$13))+$H734*SIN(RADIANS('13_시나리오비교'!$B$13))*COS(RADIANS('13_시나리오비교'!$C$13))+$I734*COS(RADIANS('13_시나리오비교'!$B$13))),0)</f>
        <v/>
      </c>
      <c r="Y734" s="80">
        <f>IF($I734&gt;0,MAX(0,$G734*SIN(RADIANS('13_시나리오비교'!$B$14))*SIN(RADIANS('13_시나리오비교'!$C$14))+$H734*SIN(RADIANS('13_시나리오비교'!$B$14))*COS(RADIANS('13_시나리오비교'!$C$14))+$I734*COS(RADIANS('13_시나리오비교'!$B$14))),0)</f>
        <v/>
      </c>
    </row>
    <row r="735" hidden="1" outlineLevel="1">
      <c r="A735" s="79" t="n">
        <v>8</v>
      </c>
      <c r="B735" s="79" t="n">
        <v>43</v>
      </c>
      <c r="C735" s="80">
        <f>(B735-0.5)*'14_지역·상수'!$H$6</f>
        <v/>
      </c>
      <c r="D735" s="79" t="n">
        <v>228</v>
      </c>
      <c r="E735" s="80">
        <f>INDEX($C$4:$C$15,MATCH(A735,$A$4:$A$15,0))</f>
        <v/>
      </c>
      <c r="F735" s="80">
        <f>15*(C735-12)</f>
        <v/>
      </c>
      <c r="G735" s="80">
        <f>-COS(RADIANS(E735))*SIN(RADIANS(F735))</f>
        <v/>
      </c>
      <c r="H735" s="80">
        <f>COS(RADIANS('11_발전량_모델'!$B$17))*SIN(RADIANS(E735))-SIN(RADIANS('11_발전량_모델'!$B$17))*COS(RADIANS(E735))*COS(RADIANS(F735))</f>
        <v/>
      </c>
      <c r="I735" s="80">
        <f>SIN(RADIANS('11_발전량_모델'!$B$17))*SIN(RADIANS(E735))+COS(RADIANS('11_발전량_모델'!$B$17))*COS(RADIANS(E735))*COS(RADIANS(F735))</f>
        <v/>
      </c>
      <c r="J735" s="80">
        <f>SIN(RADIANS('11_발전량_모델'!$B$7))*SIN(RADIANS('11_발전량_모델'!$B$8))</f>
        <v/>
      </c>
      <c r="K735" s="80">
        <f>SIN(RADIANS('11_발전량_모델'!$B$7))*COS(RADIANS('11_발전량_모델'!$B$8))</f>
        <v/>
      </c>
      <c r="L735" s="80">
        <f>COS(RADIANS('11_발전량_모델'!$B$7))</f>
        <v/>
      </c>
      <c r="M735" s="80">
        <f>G735*J735+H735*K735+I735*L735</f>
        <v/>
      </c>
      <c r="N735" s="80">
        <f>MAX(0,I735)</f>
        <v/>
      </c>
      <c r="O735" s="80">
        <f>IF(I735&gt;0,MAX(0,M735),0)</f>
        <v/>
      </c>
      <c r="P735" s="80">
        <f>IF($I735&gt;0,MAX(0,$G735*SIN(RADIANS('13_시나리오비교'!$B$5))*SIN(RADIANS('13_시나리오비교'!$C$5))+$H735*SIN(RADIANS('13_시나리오비교'!$B$5))*COS(RADIANS('13_시나리오비교'!$C$5))+$I735*COS(RADIANS('13_시나리오비교'!$B$5))),0)</f>
        <v/>
      </c>
      <c r="Q735" s="80">
        <f>IF($I735&gt;0,MAX(0,$G735*SIN(RADIANS('13_시나리오비교'!$B$6))*SIN(RADIANS('13_시나리오비교'!$C$6))+$H735*SIN(RADIANS('13_시나리오비교'!$B$6))*COS(RADIANS('13_시나리오비교'!$C$6))+$I735*COS(RADIANS('13_시나리오비교'!$B$6))),0)</f>
        <v/>
      </c>
      <c r="R735" s="80">
        <f>IF($I735&gt;0,MAX(0,$G735*SIN(RADIANS('13_시나리오비교'!$B$7))*SIN(RADIANS('13_시나리오비교'!$C$7))+$H735*SIN(RADIANS('13_시나리오비교'!$B$7))*COS(RADIANS('13_시나리오비교'!$C$7))+$I735*COS(RADIANS('13_시나리오비교'!$B$7))),0)</f>
        <v/>
      </c>
      <c r="S735" s="80">
        <f>IF($I735&gt;0,MAX(0,$G735*SIN(RADIANS('13_시나리오비교'!$B$8))*SIN(RADIANS('13_시나리오비교'!$C$8))+$H735*SIN(RADIANS('13_시나리오비교'!$B$8))*COS(RADIANS('13_시나리오비교'!$C$8))+$I735*COS(RADIANS('13_시나리오비교'!$B$8))),0)</f>
        <v/>
      </c>
      <c r="T735" s="80">
        <f>IF($I735&gt;0,MAX(0,$G735*SIN(RADIANS('13_시나리오비교'!$B$9))*SIN(RADIANS('13_시나리오비교'!$C$9))+$H735*SIN(RADIANS('13_시나리오비교'!$B$9))*COS(RADIANS('13_시나리오비교'!$C$9))+$I735*COS(RADIANS('13_시나리오비교'!$B$9))),0)</f>
        <v/>
      </c>
      <c r="U735" s="80">
        <f>IF($I735&gt;0,MAX(0,$G735*SIN(RADIANS('13_시나리오비교'!$B$10))*SIN(RADIANS('13_시나리오비교'!$C$10))+$H735*SIN(RADIANS('13_시나리오비교'!$B$10))*COS(RADIANS('13_시나리오비교'!$C$10))+$I735*COS(RADIANS('13_시나리오비교'!$B$10))),0)</f>
        <v/>
      </c>
      <c r="V735" s="80">
        <f>IF($I735&gt;0,MAX(0,$G735*SIN(RADIANS('13_시나리오비교'!$B$11))*SIN(RADIANS('13_시나리오비교'!$C$11))+$H735*SIN(RADIANS('13_시나리오비교'!$B$11))*COS(RADIANS('13_시나리오비교'!$C$11))+$I735*COS(RADIANS('13_시나리오비교'!$B$11))),0)</f>
        <v/>
      </c>
      <c r="W735" s="80">
        <f>IF($I735&gt;0,MAX(0,$G735*SIN(RADIANS('13_시나리오비교'!$B$12))*SIN(RADIANS('13_시나리오비교'!$C$12))+$H735*SIN(RADIANS('13_시나리오비교'!$B$12))*COS(RADIANS('13_시나리오비교'!$C$12))+$I735*COS(RADIANS('13_시나리오비교'!$B$12))),0)</f>
        <v/>
      </c>
      <c r="X735" s="80">
        <f>IF($I735&gt;0,MAX(0,$G735*SIN(RADIANS('13_시나리오비교'!$B$13))*SIN(RADIANS('13_시나리오비교'!$C$13))+$H735*SIN(RADIANS('13_시나리오비교'!$B$13))*COS(RADIANS('13_시나리오비교'!$C$13))+$I735*COS(RADIANS('13_시나리오비교'!$B$13))),0)</f>
        <v/>
      </c>
      <c r="Y735" s="80">
        <f>IF($I735&gt;0,MAX(0,$G735*SIN(RADIANS('13_시나리오비교'!$B$14))*SIN(RADIANS('13_시나리오비교'!$C$14))+$H735*SIN(RADIANS('13_시나리오비교'!$B$14))*COS(RADIANS('13_시나리오비교'!$C$14))+$I735*COS(RADIANS('13_시나리오비교'!$B$14))),0)</f>
        <v/>
      </c>
    </row>
    <row r="736" hidden="1" outlineLevel="1">
      <c r="A736" s="79" t="n">
        <v>8</v>
      </c>
      <c r="B736" s="79" t="n">
        <v>44</v>
      </c>
      <c r="C736" s="80">
        <f>(B736-0.5)*'14_지역·상수'!$H$6</f>
        <v/>
      </c>
      <c r="D736" s="79" t="n">
        <v>228</v>
      </c>
      <c r="E736" s="80">
        <f>INDEX($C$4:$C$15,MATCH(A736,$A$4:$A$15,0))</f>
        <v/>
      </c>
      <c r="F736" s="80">
        <f>15*(C736-12)</f>
        <v/>
      </c>
      <c r="G736" s="80">
        <f>-COS(RADIANS(E736))*SIN(RADIANS(F736))</f>
        <v/>
      </c>
      <c r="H736" s="80">
        <f>COS(RADIANS('11_발전량_모델'!$B$17))*SIN(RADIANS(E736))-SIN(RADIANS('11_발전량_모델'!$B$17))*COS(RADIANS(E736))*COS(RADIANS(F736))</f>
        <v/>
      </c>
      <c r="I736" s="80">
        <f>SIN(RADIANS('11_발전량_모델'!$B$17))*SIN(RADIANS(E736))+COS(RADIANS('11_발전량_모델'!$B$17))*COS(RADIANS(E736))*COS(RADIANS(F736))</f>
        <v/>
      </c>
      <c r="J736" s="80">
        <f>SIN(RADIANS('11_발전량_모델'!$B$7))*SIN(RADIANS('11_발전량_모델'!$B$8))</f>
        <v/>
      </c>
      <c r="K736" s="80">
        <f>SIN(RADIANS('11_발전량_모델'!$B$7))*COS(RADIANS('11_발전량_모델'!$B$8))</f>
        <v/>
      </c>
      <c r="L736" s="80">
        <f>COS(RADIANS('11_발전량_모델'!$B$7))</f>
        <v/>
      </c>
      <c r="M736" s="80">
        <f>G736*J736+H736*K736+I736*L736</f>
        <v/>
      </c>
      <c r="N736" s="80">
        <f>MAX(0,I736)</f>
        <v/>
      </c>
      <c r="O736" s="80">
        <f>IF(I736&gt;0,MAX(0,M736),0)</f>
        <v/>
      </c>
      <c r="P736" s="80">
        <f>IF($I736&gt;0,MAX(0,$G736*SIN(RADIANS('13_시나리오비교'!$B$5))*SIN(RADIANS('13_시나리오비교'!$C$5))+$H736*SIN(RADIANS('13_시나리오비교'!$B$5))*COS(RADIANS('13_시나리오비교'!$C$5))+$I736*COS(RADIANS('13_시나리오비교'!$B$5))),0)</f>
        <v/>
      </c>
      <c r="Q736" s="80">
        <f>IF($I736&gt;0,MAX(0,$G736*SIN(RADIANS('13_시나리오비교'!$B$6))*SIN(RADIANS('13_시나리오비교'!$C$6))+$H736*SIN(RADIANS('13_시나리오비교'!$B$6))*COS(RADIANS('13_시나리오비교'!$C$6))+$I736*COS(RADIANS('13_시나리오비교'!$B$6))),0)</f>
        <v/>
      </c>
      <c r="R736" s="80">
        <f>IF($I736&gt;0,MAX(0,$G736*SIN(RADIANS('13_시나리오비교'!$B$7))*SIN(RADIANS('13_시나리오비교'!$C$7))+$H736*SIN(RADIANS('13_시나리오비교'!$B$7))*COS(RADIANS('13_시나리오비교'!$C$7))+$I736*COS(RADIANS('13_시나리오비교'!$B$7))),0)</f>
        <v/>
      </c>
      <c r="S736" s="80">
        <f>IF($I736&gt;0,MAX(0,$G736*SIN(RADIANS('13_시나리오비교'!$B$8))*SIN(RADIANS('13_시나리오비교'!$C$8))+$H736*SIN(RADIANS('13_시나리오비교'!$B$8))*COS(RADIANS('13_시나리오비교'!$C$8))+$I736*COS(RADIANS('13_시나리오비교'!$B$8))),0)</f>
        <v/>
      </c>
      <c r="T736" s="80">
        <f>IF($I736&gt;0,MAX(0,$G736*SIN(RADIANS('13_시나리오비교'!$B$9))*SIN(RADIANS('13_시나리오비교'!$C$9))+$H736*SIN(RADIANS('13_시나리오비교'!$B$9))*COS(RADIANS('13_시나리오비교'!$C$9))+$I736*COS(RADIANS('13_시나리오비교'!$B$9))),0)</f>
        <v/>
      </c>
      <c r="U736" s="80">
        <f>IF($I736&gt;0,MAX(0,$G736*SIN(RADIANS('13_시나리오비교'!$B$10))*SIN(RADIANS('13_시나리오비교'!$C$10))+$H736*SIN(RADIANS('13_시나리오비교'!$B$10))*COS(RADIANS('13_시나리오비교'!$C$10))+$I736*COS(RADIANS('13_시나리오비교'!$B$10))),0)</f>
        <v/>
      </c>
      <c r="V736" s="80">
        <f>IF($I736&gt;0,MAX(0,$G736*SIN(RADIANS('13_시나리오비교'!$B$11))*SIN(RADIANS('13_시나리오비교'!$C$11))+$H736*SIN(RADIANS('13_시나리오비교'!$B$11))*COS(RADIANS('13_시나리오비교'!$C$11))+$I736*COS(RADIANS('13_시나리오비교'!$B$11))),0)</f>
        <v/>
      </c>
      <c r="W736" s="80">
        <f>IF($I736&gt;0,MAX(0,$G736*SIN(RADIANS('13_시나리오비교'!$B$12))*SIN(RADIANS('13_시나리오비교'!$C$12))+$H736*SIN(RADIANS('13_시나리오비교'!$B$12))*COS(RADIANS('13_시나리오비교'!$C$12))+$I736*COS(RADIANS('13_시나리오비교'!$B$12))),0)</f>
        <v/>
      </c>
      <c r="X736" s="80">
        <f>IF($I736&gt;0,MAX(0,$G736*SIN(RADIANS('13_시나리오비교'!$B$13))*SIN(RADIANS('13_시나리오비교'!$C$13))+$H736*SIN(RADIANS('13_시나리오비교'!$B$13))*COS(RADIANS('13_시나리오비교'!$C$13))+$I736*COS(RADIANS('13_시나리오비교'!$B$13))),0)</f>
        <v/>
      </c>
      <c r="Y736" s="80">
        <f>IF($I736&gt;0,MAX(0,$G736*SIN(RADIANS('13_시나리오비교'!$B$14))*SIN(RADIANS('13_시나리오비교'!$C$14))+$H736*SIN(RADIANS('13_시나리오비교'!$B$14))*COS(RADIANS('13_시나리오비교'!$C$14))+$I736*COS(RADIANS('13_시나리오비교'!$B$14))),0)</f>
        <v/>
      </c>
    </row>
    <row r="737" hidden="1" outlineLevel="1">
      <c r="A737" s="79" t="n">
        <v>8</v>
      </c>
      <c r="B737" s="79" t="n">
        <v>45</v>
      </c>
      <c r="C737" s="80">
        <f>(B737-0.5)*'14_지역·상수'!$H$6</f>
        <v/>
      </c>
      <c r="D737" s="79" t="n">
        <v>228</v>
      </c>
      <c r="E737" s="80">
        <f>INDEX($C$4:$C$15,MATCH(A737,$A$4:$A$15,0))</f>
        <v/>
      </c>
      <c r="F737" s="80">
        <f>15*(C737-12)</f>
        <v/>
      </c>
      <c r="G737" s="80">
        <f>-COS(RADIANS(E737))*SIN(RADIANS(F737))</f>
        <v/>
      </c>
      <c r="H737" s="80">
        <f>COS(RADIANS('11_발전량_모델'!$B$17))*SIN(RADIANS(E737))-SIN(RADIANS('11_발전량_모델'!$B$17))*COS(RADIANS(E737))*COS(RADIANS(F737))</f>
        <v/>
      </c>
      <c r="I737" s="80">
        <f>SIN(RADIANS('11_발전량_모델'!$B$17))*SIN(RADIANS(E737))+COS(RADIANS('11_발전량_모델'!$B$17))*COS(RADIANS(E737))*COS(RADIANS(F737))</f>
        <v/>
      </c>
      <c r="J737" s="80">
        <f>SIN(RADIANS('11_발전량_모델'!$B$7))*SIN(RADIANS('11_발전량_모델'!$B$8))</f>
        <v/>
      </c>
      <c r="K737" s="80">
        <f>SIN(RADIANS('11_발전량_모델'!$B$7))*COS(RADIANS('11_발전량_모델'!$B$8))</f>
        <v/>
      </c>
      <c r="L737" s="80">
        <f>COS(RADIANS('11_발전량_모델'!$B$7))</f>
        <v/>
      </c>
      <c r="M737" s="80">
        <f>G737*J737+H737*K737+I737*L737</f>
        <v/>
      </c>
      <c r="N737" s="80">
        <f>MAX(0,I737)</f>
        <v/>
      </c>
      <c r="O737" s="80">
        <f>IF(I737&gt;0,MAX(0,M737),0)</f>
        <v/>
      </c>
      <c r="P737" s="80">
        <f>IF($I737&gt;0,MAX(0,$G737*SIN(RADIANS('13_시나리오비교'!$B$5))*SIN(RADIANS('13_시나리오비교'!$C$5))+$H737*SIN(RADIANS('13_시나리오비교'!$B$5))*COS(RADIANS('13_시나리오비교'!$C$5))+$I737*COS(RADIANS('13_시나리오비교'!$B$5))),0)</f>
        <v/>
      </c>
      <c r="Q737" s="80">
        <f>IF($I737&gt;0,MAX(0,$G737*SIN(RADIANS('13_시나리오비교'!$B$6))*SIN(RADIANS('13_시나리오비교'!$C$6))+$H737*SIN(RADIANS('13_시나리오비교'!$B$6))*COS(RADIANS('13_시나리오비교'!$C$6))+$I737*COS(RADIANS('13_시나리오비교'!$B$6))),0)</f>
        <v/>
      </c>
      <c r="R737" s="80">
        <f>IF($I737&gt;0,MAX(0,$G737*SIN(RADIANS('13_시나리오비교'!$B$7))*SIN(RADIANS('13_시나리오비교'!$C$7))+$H737*SIN(RADIANS('13_시나리오비교'!$B$7))*COS(RADIANS('13_시나리오비교'!$C$7))+$I737*COS(RADIANS('13_시나리오비교'!$B$7))),0)</f>
        <v/>
      </c>
      <c r="S737" s="80">
        <f>IF($I737&gt;0,MAX(0,$G737*SIN(RADIANS('13_시나리오비교'!$B$8))*SIN(RADIANS('13_시나리오비교'!$C$8))+$H737*SIN(RADIANS('13_시나리오비교'!$B$8))*COS(RADIANS('13_시나리오비교'!$C$8))+$I737*COS(RADIANS('13_시나리오비교'!$B$8))),0)</f>
        <v/>
      </c>
      <c r="T737" s="80">
        <f>IF($I737&gt;0,MAX(0,$G737*SIN(RADIANS('13_시나리오비교'!$B$9))*SIN(RADIANS('13_시나리오비교'!$C$9))+$H737*SIN(RADIANS('13_시나리오비교'!$B$9))*COS(RADIANS('13_시나리오비교'!$C$9))+$I737*COS(RADIANS('13_시나리오비교'!$B$9))),0)</f>
        <v/>
      </c>
      <c r="U737" s="80">
        <f>IF($I737&gt;0,MAX(0,$G737*SIN(RADIANS('13_시나리오비교'!$B$10))*SIN(RADIANS('13_시나리오비교'!$C$10))+$H737*SIN(RADIANS('13_시나리오비교'!$B$10))*COS(RADIANS('13_시나리오비교'!$C$10))+$I737*COS(RADIANS('13_시나리오비교'!$B$10))),0)</f>
        <v/>
      </c>
      <c r="V737" s="80">
        <f>IF($I737&gt;0,MAX(0,$G737*SIN(RADIANS('13_시나리오비교'!$B$11))*SIN(RADIANS('13_시나리오비교'!$C$11))+$H737*SIN(RADIANS('13_시나리오비교'!$B$11))*COS(RADIANS('13_시나리오비교'!$C$11))+$I737*COS(RADIANS('13_시나리오비교'!$B$11))),0)</f>
        <v/>
      </c>
      <c r="W737" s="80">
        <f>IF($I737&gt;0,MAX(0,$G737*SIN(RADIANS('13_시나리오비교'!$B$12))*SIN(RADIANS('13_시나리오비교'!$C$12))+$H737*SIN(RADIANS('13_시나리오비교'!$B$12))*COS(RADIANS('13_시나리오비교'!$C$12))+$I737*COS(RADIANS('13_시나리오비교'!$B$12))),0)</f>
        <v/>
      </c>
      <c r="X737" s="80">
        <f>IF($I737&gt;0,MAX(0,$G737*SIN(RADIANS('13_시나리오비교'!$B$13))*SIN(RADIANS('13_시나리오비교'!$C$13))+$H737*SIN(RADIANS('13_시나리오비교'!$B$13))*COS(RADIANS('13_시나리오비교'!$C$13))+$I737*COS(RADIANS('13_시나리오비교'!$B$13))),0)</f>
        <v/>
      </c>
      <c r="Y737" s="80">
        <f>IF($I737&gt;0,MAX(0,$G737*SIN(RADIANS('13_시나리오비교'!$B$14))*SIN(RADIANS('13_시나리오비교'!$C$14))+$H737*SIN(RADIANS('13_시나리오비교'!$B$14))*COS(RADIANS('13_시나리오비교'!$C$14))+$I737*COS(RADIANS('13_시나리오비교'!$B$14))),0)</f>
        <v/>
      </c>
    </row>
    <row r="738" hidden="1" outlineLevel="1">
      <c r="A738" s="79" t="n">
        <v>8</v>
      </c>
      <c r="B738" s="79" t="n">
        <v>46</v>
      </c>
      <c r="C738" s="80">
        <f>(B738-0.5)*'14_지역·상수'!$H$6</f>
        <v/>
      </c>
      <c r="D738" s="79" t="n">
        <v>228</v>
      </c>
      <c r="E738" s="80">
        <f>INDEX($C$4:$C$15,MATCH(A738,$A$4:$A$15,0))</f>
        <v/>
      </c>
      <c r="F738" s="80">
        <f>15*(C738-12)</f>
        <v/>
      </c>
      <c r="G738" s="80">
        <f>-COS(RADIANS(E738))*SIN(RADIANS(F738))</f>
        <v/>
      </c>
      <c r="H738" s="80">
        <f>COS(RADIANS('11_발전량_모델'!$B$17))*SIN(RADIANS(E738))-SIN(RADIANS('11_발전량_모델'!$B$17))*COS(RADIANS(E738))*COS(RADIANS(F738))</f>
        <v/>
      </c>
      <c r="I738" s="80">
        <f>SIN(RADIANS('11_발전량_모델'!$B$17))*SIN(RADIANS(E738))+COS(RADIANS('11_발전량_모델'!$B$17))*COS(RADIANS(E738))*COS(RADIANS(F738))</f>
        <v/>
      </c>
      <c r="J738" s="80">
        <f>SIN(RADIANS('11_발전량_모델'!$B$7))*SIN(RADIANS('11_발전량_모델'!$B$8))</f>
        <v/>
      </c>
      <c r="K738" s="80">
        <f>SIN(RADIANS('11_발전량_모델'!$B$7))*COS(RADIANS('11_발전량_모델'!$B$8))</f>
        <v/>
      </c>
      <c r="L738" s="80">
        <f>COS(RADIANS('11_발전량_모델'!$B$7))</f>
        <v/>
      </c>
      <c r="M738" s="80">
        <f>G738*J738+H738*K738+I738*L738</f>
        <v/>
      </c>
      <c r="N738" s="80">
        <f>MAX(0,I738)</f>
        <v/>
      </c>
      <c r="O738" s="80">
        <f>IF(I738&gt;0,MAX(0,M738),0)</f>
        <v/>
      </c>
      <c r="P738" s="80">
        <f>IF($I738&gt;0,MAX(0,$G738*SIN(RADIANS('13_시나리오비교'!$B$5))*SIN(RADIANS('13_시나리오비교'!$C$5))+$H738*SIN(RADIANS('13_시나리오비교'!$B$5))*COS(RADIANS('13_시나리오비교'!$C$5))+$I738*COS(RADIANS('13_시나리오비교'!$B$5))),0)</f>
        <v/>
      </c>
      <c r="Q738" s="80">
        <f>IF($I738&gt;0,MAX(0,$G738*SIN(RADIANS('13_시나리오비교'!$B$6))*SIN(RADIANS('13_시나리오비교'!$C$6))+$H738*SIN(RADIANS('13_시나리오비교'!$B$6))*COS(RADIANS('13_시나리오비교'!$C$6))+$I738*COS(RADIANS('13_시나리오비교'!$B$6))),0)</f>
        <v/>
      </c>
      <c r="R738" s="80">
        <f>IF($I738&gt;0,MAX(0,$G738*SIN(RADIANS('13_시나리오비교'!$B$7))*SIN(RADIANS('13_시나리오비교'!$C$7))+$H738*SIN(RADIANS('13_시나리오비교'!$B$7))*COS(RADIANS('13_시나리오비교'!$C$7))+$I738*COS(RADIANS('13_시나리오비교'!$B$7))),0)</f>
        <v/>
      </c>
      <c r="S738" s="80">
        <f>IF($I738&gt;0,MAX(0,$G738*SIN(RADIANS('13_시나리오비교'!$B$8))*SIN(RADIANS('13_시나리오비교'!$C$8))+$H738*SIN(RADIANS('13_시나리오비교'!$B$8))*COS(RADIANS('13_시나리오비교'!$C$8))+$I738*COS(RADIANS('13_시나리오비교'!$B$8))),0)</f>
        <v/>
      </c>
      <c r="T738" s="80">
        <f>IF($I738&gt;0,MAX(0,$G738*SIN(RADIANS('13_시나리오비교'!$B$9))*SIN(RADIANS('13_시나리오비교'!$C$9))+$H738*SIN(RADIANS('13_시나리오비교'!$B$9))*COS(RADIANS('13_시나리오비교'!$C$9))+$I738*COS(RADIANS('13_시나리오비교'!$B$9))),0)</f>
        <v/>
      </c>
      <c r="U738" s="80">
        <f>IF($I738&gt;0,MAX(0,$G738*SIN(RADIANS('13_시나리오비교'!$B$10))*SIN(RADIANS('13_시나리오비교'!$C$10))+$H738*SIN(RADIANS('13_시나리오비교'!$B$10))*COS(RADIANS('13_시나리오비교'!$C$10))+$I738*COS(RADIANS('13_시나리오비교'!$B$10))),0)</f>
        <v/>
      </c>
      <c r="V738" s="80">
        <f>IF($I738&gt;0,MAX(0,$G738*SIN(RADIANS('13_시나리오비교'!$B$11))*SIN(RADIANS('13_시나리오비교'!$C$11))+$H738*SIN(RADIANS('13_시나리오비교'!$B$11))*COS(RADIANS('13_시나리오비교'!$C$11))+$I738*COS(RADIANS('13_시나리오비교'!$B$11))),0)</f>
        <v/>
      </c>
      <c r="W738" s="80">
        <f>IF($I738&gt;0,MAX(0,$G738*SIN(RADIANS('13_시나리오비교'!$B$12))*SIN(RADIANS('13_시나리오비교'!$C$12))+$H738*SIN(RADIANS('13_시나리오비교'!$B$12))*COS(RADIANS('13_시나리오비교'!$C$12))+$I738*COS(RADIANS('13_시나리오비교'!$B$12))),0)</f>
        <v/>
      </c>
      <c r="X738" s="80">
        <f>IF($I738&gt;0,MAX(0,$G738*SIN(RADIANS('13_시나리오비교'!$B$13))*SIN(RADIANS('13_시나리오비교'!$C$13))+$H738*SIN(RADIANS('13_시나리오비교'!$B$13))*COS(RADIANS('13_시나리오비교'!$C$13))+$I738*COS(RADIANS('13_시나리오비교'!$B$13))),0)</f>
        <v/>
      </c>
      <c r="Y738" s="80">
        <f>IF($I738&gt;0,MAX(0,$G738*SIN(RADIANS('13_시나리오비교'!$B$14))*SIN(RADIANS('13_시나리오비교'!$C$14))+$H738*SIN(RADIANS('13_시나리오비교'!$B$14))*COS(RADIANS('13_시나리오비교'!$C$14))+$I738*COS(RADIANS('13_시나리오비교'!$B$14))),0)</f>
        <v/>
      </c>
    </row>
    <row r="739" hidden="1" outlineLevel="1">
      <c r="A739" s="79" t="n">
        <v>8</v>
      </c>
      <c r="B739" s="79" t="n">
        <v>47</v>
      </c>
      <c r="C739" s="80">
        <f>(B739-0.5)*'14_지역·상수'!$H$6</f>
        <v/>
      </c>
      <c r="D739" s="79" t="n">
        <v>228</v>
      </c>
      <c r="E739" s="80">
        <f>INDEX($C$4:$C$15,MATCH(A739,$A$4:$A$15,0))</f>
        <v/>
      </c>
      <c r="F739" s="80">
        <f>15*(C739-12)</f>
        <v/>
      </c>
      <c r="G739" s="80">
        <f>-COS(RADIANS(E739))*SIN(RADIANS(F739))</f>
        <v/>
      </c>
      <c r="H739" s="80">
        <f>COS(RADIANS('11_발전량_모델'!$B$17))*SIN(RADIANS(E739))-SIN(RADIANS('11_발전량_모델'!$B$17))*COS(RADIANS(E739))*COS(RADIANS(F739))</f>
        <v/>
      </c>
      <c r="I739" s="80">
        <f>SIN(RADIANS('11_발전량_모델'!$B$17))*SIN(RADIANS(E739))+COS(RADIANS('11_발전량_모델'!$B$17))*COS(RADIANS(E739))*COS(RADIANS(F739))</f>
        <v/>
      </c>
      <c r="J739" s="80">
        <f>SIN(RADIANS('11_발전량_모델'!$B$7))*SIN(RADIANS('11_발전량_모델'!$B$8))</f>
        <v/>
      </c>
      <c r="K739" s="80">
        <f>SIN(RADIANS('11_발전량_모델'!$B$7))*COS(RADIANS('11_발전량_모델'!$B$8))</f>
        <v/>
      </c>
      <c r="L739" s="80">
        <f>COS(RADIANS('11_발전량_모델'!$B$7))</f>
        <v/>
      </c>
      <c r="M739" s="80">
        <f>G739*J739+H739*K739+I739*L739</f>
        <v/>
      </c>
      <c r="N739" s="80">
        <f>MAX(0,I739)</f>
        <v/>
      </c>
      <c r="O739" s="80">
        <f>IF(I739&gt;0,MAX(0,M739),0)</f>
        <v/>
      </c>
      <c r="P739" s="80">
        <f>IF($I739&gt;0,MAX(0,$G739*SIN(RADIANS('13_시나리오비교'!$B$5))*SIN(RADIANS('13_시나리오비교'!$C$5))+$H739*SIN(RADIANS('13_시나리오비교'!$B$5))*COS(RADIANS('13_시나리오비교'!$C$5))+$I739*COS(RADIANS('13_시나리오비교'!$B$5))),0)</f>
        <v/>
      </c>
      <c r="Q739" s="80">
        <f>IF($I739&gt;0,MAX(0,$G739*SIN(RADIANS('13_시나리오비교'!$B$6))*SIN(RADIANS('13_시나리오비교'!$C$6))+$H739*SIN(RADIANS('13_시나리오비교'!$B$6))*COS(RADIANS('13_시나리오비교'!$C$6))+$I739*COS(RADIANS('13_시나리오비교'!$B$6))),0)</f>
        <v/>
      </c>
      <c r="R739" s="80">
        <f>IF($I739&gt;0,MAX(0,$G739*SIN(RADIANS('13_시나리오비교'!$B$7))*SIN(RADIANS('13_시나리오비교'!$C$7))+$H739*SIN(RADIANS('13_시나리오비교'!$B$7))*COS(RADIANS('13_시나리오비교'!$C$7))+$I739*COS(RADIANS('13_시나리오비교'!$B$7))),0)</f>
        <v/>
      </c>
      <c r="S739" s="80">
        <f>IF($I739&gt;0,MAX(0,$G739*SIN(RADIANS('13_시나리오비교'!$B$8))*SIN(RADIANS('13_시나리오비교'!$C$8))+$H739*SIN(RADIANS('13_시나리오비교'!$B$8))*COS(RADIANS('13_시나리오비교'!$C$8))+$I739*COS(RADIANS('13_시나리오비교'!$B$8))),0)</f>
        <v/>
      </c>
      <c r="T739" s="80">
        <f>IF($I739&gt;0,MAX(0,$G739*SIN(RADIANS('13_시나리오비교'!$B$9))*SIN(RADIANS('13_시나리오비교'!$C$9))+$H739*SIN(RADIANS('13_시나리오비교'!$B$9))*COS(RADIANS('13_시나리오비교'!$C$9))+$I739*COS(RADIANS('13_시나리오비교'!$B$9))),0)</f>
        <v/>
      </c>
      <c r="U739" s="80">
        <f>IF($I739&gt;0,MAX(0,$G739*SIN(RADIANS('13_시나리오비교'!$B$10))*SIN(RADIANS('13_시나리오비교'!$C$10))+$H739*SIN(RADIANS('13_시나리오비교'!$B$10))*COS(RADIANS('13_시나리오비교'!$C$10))+$I739*COS(RADIANS('13_시나리오비교'!$B$10))),0)</f>
        <v/>
      </c>
      <c r="V739" s="80">
        <f>IF($I739&gt;0,MAX(0,$G739*SIN(RADIANS('13_시나리오비교'!$B$11))*SIN(RADIANS('13_시나리오비교'!$C$11))+$H739*SIN(RADIANS('13_시나리오비교'!$B$11))*COS(RADIANS('13_시나리오비교'!$C$11))+$I739*COS(RADIANS('13_시나리오비교'!$B$11))),0)</f>
        <v/>
      </c>
      <c r="W739" s="80">
        <f>IF($I739&gt;0,MAX(0,$G739*SIN(RADIANS('13_시나리오비교'!$B$12))*SIN(RADIANS('13_시나리오비교'!$C$12))+$H739*SIN(RADIANS('13_시나리오비교'!$B$12))*COS(RADIANS('13_시나리오비교'!$C$12))+$I739*COS(RADIANS('13_시나리오비교'!$B$12))),0)</f>
        <v/>
      </c>
      <c r="X739" s="80">
        <f>IF($I739&gt;0,MAX(0,$G739*SIN(RADIANS('13_시나리오비교'!$B$13))*SIN(RADIANS('13_시나리오비교'!$C$13))+$H739*SIN(RADIANS('13_시나리오비교'!$B$13))*COS(RADIANS('13_시나리오비교'!$C$13))+$I739*COS(RADIANS('13_시나리오비교'!$B$13))),0)</f>
        <v/>
      </c>
      <c r="Y739" s="80">
        <f>IF($I739&gt;0,MAX(0,$G739*SIN(RADIANS('13_시나리오비교'!$B$14))*SIN(RADIANS('13_시나리오비교'!$C$14))+$H739*SIN(RADIANS('13_시나리오비교'!$B$14))*COS(RADIANS('13_시나리오비교'!$C$14))+$I739*COS(RADIANS('13_시나리오비교'!$B$14))),0)</f>
        <v/>
      </c>
    </row>
    <row r="740" hidden="1" outlineLevel="1">
      <c r="A740" s="79" t="n">
        <v>8</v>
      </c>
      <c r="B740" s="79" t="n">
        <v>48</v>
      </c>
      <c r="C740" s="80">
        <f>(B740-0.5)*'14_지역·상수'!$H$6</f>
        <v/>
      </c>
      <c r="D740" s="79" t="n">
        <v>228</v>
      </c>
      <c r="E740" s="80">
        <f>INDEX($C$4:$C$15,MATCH(A740,$A$4:$A$15,0))</f>
        <v/>
      </c>
      <c r="F740" s="80">
        <f>15*(C740-12)</f>
        <v/>
      </c>
      <c r="G740" s="80">
        <f>-COS(RADIANS(E740))*SIN(RADIANS(F740))</f>
        <v/>
      </c>
      <c r="H740" s="80">
        <f>COS(RADIANS('11_발전량_모델'!$B$17))*SIN(RADIANS(E740))-SIN(RADIANS('11_발전량_모델'!$B$17))*COS(RADIANS(E740))*COS(RADIANS(F740))</f>
        <v/>
      </c>
      <c r="I740" s="80">
        <f>SIN(RADIANS('11_발전량_모델'!$B$17))*SIN(RADIANS(E740))+COS(RADIANS('11_발전량_모델'!$B$17))*COS(RADIANS(E740))*COS(RADIANS(F740))</f>
        <v/>
      </c>
      <c r="J740" s="80">
        <f>SIN(RADIANS('11_발전량_모델'!$B$7))*SIN(RADIANS('11_발전량_모델'!$B$8))</f>
        <v/>
      </c>
      <c r="K740" s="80">
        <f>SIN(RADIANS('11_발전량_모델'!$B$7))*COS(RADIANS('11_발전량_모델'!$B$8))</f>
        <v/>
      </c>
      <c r="L740" s="80">
        <f>COS(RADIANS('11_발전량_모델'!$B$7))</f>
        <v/>
      </c>
      <c r="M740" s="80">
        <f>G740*J740+H740*K740+I740*L740</f>
        <v/>
      </c>
      <c r="N740" s="80">
        <f>MAX(0,I740)</f>
        <v/>
      </c>
      <c r="O740" s="80">
        <f>IF(I740&gt;0,MAX(0,M740),0)</f>
        <v/>
      </c>
      <c r="P740" s="80">
        <f>IF($I740&gt;0,MAX(0,$G740*SIN(RADIANS('13_시나리오비교'!$B$5))*SIN(RADIANS('13_시나리오비교'!$C$5))+$H740*SIN(RADIANS('13_시나리오비교'!$B$5))*COS(RADIANS('13_시나리오비교'!$C$5))+$I740*COS(RADIANS('13_시나리오비교'!$B$5))),0)</f>
        <v/>
      </c>
      <c r="Q740" s="80">
        <f>IF($I740&gt;0,MAX(0,$G740*SIN(RADIANS('13_시나리오비교'!$B$6))*SIN(RADIANS('13_시나리오비교'!$C$6))+$H740*SIN(RADIANS('13_시나리오비교'!$B$6))*COS(RADIANS('13_시나리오비교'!$C$6))+$I740*COS(RADIANS('13_시나리오비교'!$B$6))),0)</f>
        <v/>
      </c>
      <c r="R740" s="80">
        <f>IF($I740&gt;0,MAX(0,$G740*SIN(RADIANS('13_시나리오비교'!$B$7))*SIN(RADIANS('13_시나리오비교'!$C$7))+$H740*SIN(RADIANS('13_시나리오비교'!$B$7))*COS(RADIANS('13_시나리오비교'!$C$7))+$I740*COS(RADIANS('13_시나리오비교'!$B$7))),0)</f>
        <v/>
      </c>
      <c r="S740" s="80">
        <f>IF($I740&gt;0,MAX(0,$G740*SIN(RADIANS('13_시나리오비교'!$B$8))*SIN(RADIANS('13_시나리오비교'!$C$8))+$H740*SIN(RADIANS('13_시나리오비교'!$B$8))*COS(RADIANS('13_시나리오비교'!$C$8))+$I740*COS(RADIANS('13_시나리오비교'!$B$8))),0)</f>
        <v/>
      </c>
      <c r="T740" s="80">
        <f>IF($I740&gt;0,MAX(0,$G740*SIN(RADIANS('13_시나리오비교'!$B$9))*SIN(RADIANS('13_시나리오비교'!$C$9))+$H740*SIN(RADIANS('13_시나리오비교'!$B$9))*COS(RADIANS('13_시나리오비교'!$C$9))+$I740*COS(RADIANS('13_시나리오비교'!$B$9))),0)</f>
        <v/>
      </c>
      <c r="U740" s="80">
        <f>IF($I740&gt;0,MAX(0,$G740*SIN(RADIANS('13_시나리오비교'!$B$10))*SIN(RADIANS('13_시나리오비교'!$C$10))+$H740*SIN(RADIANS('13_시나리오비교'!$B$10))*COS(RADIANS('13_시나리오비교'!$C$10))+$I740*COS(RADIANS('13_시나리오비교'!$B$10))),0)</f>
        <v/>
      </c>
      <c r="V740" s="80">
        <f>IF($I740&gt;0,MAX(0,$G740*SIN(RADIANS('13_시나리오비교'!$B$11))*SIN(RADIANS('13_시나리오비교'!$C$11))+$H740*SIN(RADIANS('13_시나리오비교'!$B$11))*COS(RADIANS('13_시나리오비교'!$C$11))+$I740*COS(RADIANS('13_시나리오비교'!$B$11))),0)</f>
        <v/>
      </c>
      <c r="W740" s="80">
        <f>IF($I740&gt;0,MAX(0,$G740*SIN(RADIANS('13_시나리오비교'!$B$12))*SIN(RADIANS('13_시나리오비교'!$C$12))+$H740*SIN(RADIANS('13_시나리오비교'!$B$12))*COS(RADIANS('13_시나리오비교'!$C$12))+$I740*COS(RADIANS('13_시나리오비교'!$B$12))),0)</f>
        <v/>
      </c>
      <c r="X740" s="80">
        <f>IF($I740&gt;0,MAX(0,$G740*SIN(RADIANS('13_시나리오비교'!$B$13))*SIN(RADIANS('13_시나리오비교'!$C$13))+$H740*SIN(RADIANS('13_시나리오비교'!$B$13))*COS(RADIANS('13_시나리오비교'!$C$13))+$I740*COS(RADIANS('13_시나리오비교'!$B$13))),0)</f>
        <v/>
      </c>
      <c r="Y740" s="80">
        <f>IF($I740&gt;0,MAX(0,$G740*SIN(RADIANS('13_시나리오비교'!$B$14))*SIN(RADIANS('13_시나리오비교'!$C$14))+$H740*SIN(RADIANS('13_시나리오비교'!$B$14))*COS(RADIANS('13_시나리오비교'!$C$14))+$I740*COS(RADIANS('13_시나리오비교'!$B$14))),0)</f>
        <v/>
      </c>
    </row>
    <row r="741" hidden="1" outlineLevel="1">
      <c r="A741" s="79" t="n">
        <v>8</v>
      </c>
      <c r="B741" s="79" t="n">
        <v>49</v>
      </c>
      <c r="C741" s="80">
        <f>(B741-0.5)*'14_지역·상수'!$H$6</f>
        <v/>
      </c>
      <c r="D741" s="79" t="n">
        <v>228</v>
      </c>
      <c r="E741" s="80">
        <f>INDEX($C$4:$C$15,MATCH(A741,$A$4:$A$15,0))</f>
        <v/>
      </c>
      <c r="F741" s="80">
        <f>15*(C741-12)</f>
        <v/>
      </c>
      <c r="G741" s="80">
        <f>-COS(RADIANS(E741))*SIN(RADIANS(F741))</f>
        <v/>
      </c>
      <c r="H741" s="80">
        <f>COS(RADIANS('11_발전량_모델'!$B$17))*SIN(RADIANS(E741))-SIN(RADIANS('11_발전량_모델'!$B$17))*COS(RADIANS(E741))*COS(RADIANS(F741))</f>
        <v/>
      </c>
      <c r="I741" s="80">
        <f>SIN(RADIANS('11_발전량_모델'!$B$17))*SIN(RADIANS(E741))+COS(RADIANS('11_발전량_모델'!$B$17))*COS(RADIANS(E741))*COS(RADIANS(F741))</f>
        <v/>
      </c>
      <c r="J741" s="80">
        <f>SIN(RADIANS('11_발전량_모델'!$B$7))*SIN(RADIANS('11_발전량_모델'!$B$8))</f>
        <v/>
      </c>
      <c r="K741" s="80">
        <f>SIN(RADIANS('11_발전량_모델'!$B$7))*COS(RADIANS('11_발전량_모델'!$B$8))</f>
        <v/>
      </c>
      <c r="L741" s="80">
        <f>COS(RADIANS('11_발전량_모델'!$B$7))</f>
        <v/>
      </c>
      <c r="M741" s="80">
        <f>G741*J741+H741*K741+I741*L741</f>
        <v/>
      </c>
      <c r="N741" s="80">
        <f>MAX(0,I741)</f>
        <v/>
      </c>
      <c r="O741" s="80">
        <f>IF(I741&gt;0,MAX(0,M741),0)</f>
        <v/>
      </c>
      <c r="P741" s="80">
        <f>IF($I741&gt;0,MAX(0,$G741*SIN(RADIANS('13_시나리오비교'!$B$5))*SIN(RADIANS('13_시나리오비교'!$C$5))+$H741*SIN(RADIANS('13_시나리오비교'!$B$5))*COS(RADIANS('13_시나리오비교'!$C$5))+$I741*COS(RADIANS('13_시나리오비교'!$B$5))),0)</f>
        <v/>
      </c>
      <c r="Q741" s="80">
        <f>IF($I741&gt;0,MAX(0,$G741*SIN(RADIANS('13_시나리오비교'!$B$6))*SIN(RADIANS('13_시나리오비교'!$C$6))+$H741*SIN(RADIANS('13_시나리오비교'!$B$6))*COS(RADIANS('13_시나리오비교'!$C$6))+$I741*COS(RADIANS('13_시나리오비교'!$B$6))),0)</f>
        <v/>
      </c>
      <c r="R741" s="80">
        <f>IF($I741&gt;0,MAX(0,$G741*SIN(RADIANS('13_시나리오비교'!$B$7))*SIN(RADIANS('13_시나리오비교'!$C$7))+$H741*SIN(RADIANS('13_시나리오비교'!$B$7))*COS(RADIANS('13_시나리오비교'!$C$7))+$I741*COS(RADIANS('13_시나리오비교'!$B$7))),0)</f>
        <v/>
      </c>
      <c r="S741" s="80">
        <f>IF($I741&gt;0,MAX(0,$G741*SIN(RADIANS('13_시나리오비교'!$B$8))*SIN(RADIANS('13_시나리오비교'!$C$8))+$H741*SIN(RADIANS('13_시나리오비교'!$B$8))*COS(RADIANS('13_시나리오비교'!$C$8))+$I741*COS(RADIANS('13_시나리오비교'!$B$8))),0)</f>
        <v/>
      </c>
      <c r="T741" s="80">
        <f>IF($I741&gt;0,MAX(0,$G741*SIN(RADIANS('13_시나리오비교'!$B$9))*SIN(RADIANS('13_시나리오비교'!$C$9))+$H741*SIN(RADIANS('13_시나리오비교'!$B$9))*COS(RADIANS('13_시나리오비교'!$C$9))+$I741*COS(RADIANS('13_시나리오비교'!$B$9))),0)</f>
        <v/>
      </c>
      <c r="U741" s="80">
        <f>IF($I741&gt;0,MAX(0,$G741*SIN(RADIANS('13_시나리오비교'!$B$10))*SIN(RADIANS('13_시나리오비교'!$C$10))+$H741*SIN(RADIANS('13_시나리오비교'!$B$10))*COS(RADIANS('13_시나리오비교'!$C$10))+$I741*COS(RADIANS('13_시나리오비교'!$B$10))),0)</f>
        <v/>
      </c>
      <c r="V741" s="80">
        <f>IF($I741&gt;0,MAX(0,$G741*SIN(RADIANS('13_시나리오비교'!$B$11))*SIN(RADIANS('13_시나리오비교'!$C$11))+$H741*SIN(RADIANS('13_시나리오비교'!$B$11))*COS(RADIANS('13_시나리오비교'!$C$11))+$I741*COS(RADIANS('13_시나리오비교'!$B$11))),0)</f>
        <v/>
      </c>
      <c r="W741" s="80">
        <f>IF($I741&gt;0,MAX(0,$G741*SIN(RADIANS('13_시나리오비교'!$B$12))*SIN(RADIANS('13_시나리오비교'!$C$12))+$H741*SIN(RADIANS('13_시나리오비교'!$B$12))*COS(RADIANS('13_시나리오비교'!$C$12))+$I741*COS(RADIANS('13_시나리오비교'!$B$12))),0)</f>
        <v/>
      </c>
      <c r="X741" s="80">
        <f>IF($I741&gt;0,MAX(0,$G741*SIN(RADIANS('13_시나리오비교'!$B$13))*SIN(RADIANS('13_시나리오비교'!$C$13))+$H741*SIN(RADIANS('13_시나리오비교'!$B$13))*COS(RADIANS('13_시나리오비교'!$C$13))+$I741*COS(RADIANS('13_시나리오비교'!$B$13))),0)</f>
        <v/>
      </c>
      <c r="Y741" s="80">
        <f>IF($I741&gt;0,MAX(0,$G741*SIN(RADIANS('13_시나리오비교'!$B$14))*SIN(RADIANS('13_시나리오비교'!$C$14))+$H741*SIN(RADIANS('13_시나리오비교'!$B$14))*COS(RADIANS('13_시나리오비교'!$C$14))+$I741*COS(RADIANS('13_시나리오비교'!$B$14))),0)</f>
        <v/>
      </c>
    </row>
    <row r="742" hidden="1" outlineLevel="1">
      <c r="A742" s="79" t="n">
        <v>8</v>
      </c>
      <c r="B742" s="79" t="n">
        <v>50</v>
      </c>
      <c r="C742" s="80">
        <f>(B742-0.5)*'14_지역·상수'!$H$6</f>
        <v/>
      </c>
      <c r="D742" s="79" t="n">
        <v>228</v>
      </c>
      <c r="E742" s="80">
        <f>INDEX($C$4:$C$15,MATCH(A742,$A$4:$A$15,0))</f>
        <v/>
      </c>
      <c r="F742" s="80">
        <f>15*(C742-12)</f>
        <v/>
      </c>
      <c r="G742" s="80">
        <f>-COS(RADIANS(E742))*SIN(RADIANS(F742))</f>
        <v/>
      </c>
      <c r="H742" s="80">
        <f>COS(RADIANS('11_발전량_모델'!$B$17))*SIN(RADIANS(E742))-SIN(RADIANS('11_발전량_모델'!$B$17))*COS(RADIANS(E742))*COS(RADIANS(F742))</f>
        <v/>
      </c>
      <c r="I742" s="80">
        <f>SIN(RADIANS('11_발전량_모델'!$B$17))*SIN(RADIANS(E742))+COS(RADIANS('11_발전량_모델'!$B$17))*COS(RADIANS(E742))*COS(RADIANS(F742))</f>
        <v/>
      </c>
      <c r="J742" s="80">
        <f>SIN(RADIANS('11_발전량_모델'!$B$7))*SIN(RADIANS('11_발전량_모델'!$B$8))</f>
        <v/>
      </c>
      <c r="K742" s="80">
        <f>SIN(RADIANS('11_발전량_모델'!$B$7))*COS(RADIANS('11_발전량_모델'!$B$8))</f>
        <v/>
      </c>
      <c r="L742" s="80">
        <f>COS(RADIANS('11_발전량_모델'!$B$7))</f>
        <v/>
      </c>
      <c r="M742" s="80">
        <f>G742*J742+H742*K742+I742*L742</f>
        <v/>
      </c>
      <c r="N742" s="80">
        <f>MAX(0,I742)</f>
        <v/>
      </c>
      <c r="O742" s="80">
        <f>IF(I742&gt;0,MAX(0,M742),0)</f>
        <v/>
      </c>
      <c r="P742" s="80">
        <f>IF($I742&gt;0,MAX(0,$G742*SIN(RADIANS('13_시나리오비교'!$B$5))*SIN(RADIANS('13_시나리오비교'!$C$5))+$H742*SIN(RADIANS('13_시나리오비교'!$B$5))*COS(RADIANS('13_시나리오비교'!$C$5))+$I742*COS(RADIANS('13_시나리오비교'!$B$5))),0)</f>
        <v/>
      </c>
      <c r="Q742" s="80">
        <f>IF($I742&gt;0,MAX(0,$G742*SIN(RADIANS('13_시나리오비교'!$B$6))*SIN(RADIANS('13_시나리오비교'!$C$6))+$H742*SIN(RADIANS('13_시나리오비교'!$B$6))*COS(RADIANS('13_시나리오비교'!$C$6))+$I742*COS(RADIANS('13_시나리오비교'!$B$6))),0)</f>
        <v/>
      </c>
      <c r="R742" s="80">
        <f>IF($I742&gt;0,MAX(0,$G742*SIN(RADIANS('13_시나리오비교'!$B$7))*SIN(RADIANS('13_시나리오비교'!$C$7))+$H742*SIN(RADIANS('13_시나리오비교'!$B$7))*COS(RADIANS('13_시나리오비교'!$C$7))+$I742*COS(RADIANS('13_시나리오비교'!$B$7))),0)</f>
        <v/>
      </c>
      <c r="S742" s="80">
        <f>IF($I742&gt;0,MAX(0,$G742*SIN(RADIANS('13_시나리오비교'!$B$8))*SIN(RADIANS('13_시나리오비교'!$C$8))+$H742*SIN(RADIANS('13_시나리오비교'!$B$8))*COS(RADIANS('13_시나리오비교'!$C$8))+$I742*COS(RADIANS('13_시나리오비교'!$B$8))),0)</f>
        <v/>
      </c>
      <c r="T742" s="80">
        <f>IF($I742&gt;0,MAX(0,$G742*SIN(RADIANS('13_시나리오비교'!$B$9))*SIN(RADIANS('13_시나리오비교'!$C$9))+$H742*SIN(RADIANS('13_시나리오비교'!$B$9))*COS(RADIANS('13_시나리오비교'!$C$9))+$I742*COS(RADIANS('13_시나리오비교'!$B$9))),0)</f>
        <v/>
      </c>
      <c r="U742" s="80">
        <f>IF($I742&gt;0,MAX(0,$G742*SIN(RADIANS('13_시나리오비교'!$B$10))*SIN(RADIANS('13_시나리오비교'!$C$10))+$H742*SIN(RADIANS('13_시나리오비교'!$B$10))*COS(RADIANS('13_시나리오비교'!$C$10))+$I742*COS(RADIANS('13_시나리오비교'!$B$10))),0)</f>
        <v/>
      </c>
      <c r="V742" s="80">
        <f>IF($I742&gt;0,MAX(0,$G742*SIN(RADIANS('13_시나리오비교'!$B$11))*SIN(RADIANS('13_시나리오비교'!$C$11))+$H742*SIN(RADIANS('13_시나리오비교'!$B$11))*COS(RADIANS('13_시나리오비교'!$C$11))+$I742*COS(RADIANS('13_시나리오비교'!$B$11))),0)</f>
        <v/>
      </c>
      <c r="W742" s="80">
        <f>IF($I742&gt;0,MAX(0,$G742*SIN(RADIANS('13_시나리오비교'!$B$12))*SIN(RADIANS('13_시나리오비교'!$C$12))+$H742*SIN(RADIANS('13_시나리오비교'!$B$12))*COS(RADIANS('13_시나리오비교'!$C$12))+$I742*COS(RADIANS('13_시나리오비교'!$B$12))),0)</f>
        <v/>
      </c>
      <c r="X742" s="80">
        <f>IF($I742&gt;0,MAX(0,$G742*SIN(RADIANS('13_시나리오비교'!$B$13))*SIN(RADIANS('13_시나리오비교'!$C$13))+$H742*SIN(RADIANS('13_시나리오비교'!$B$13))*COS(RADIANS('13_시나리오비교'!$C$13))+$I742*COS(RADIANS('13_시나리오비교'!$B$13))),0)</f>
        <v/>
      </c>
      <c r="Y742" s="80">
        <f>IF($I742&gt;0,MAX(0,$G742*SIN(RADIANS('13_시나리오비교'!$B$14))*SIN(RADIANS('13_시나리오비교'!$C$14))+$H742*SIN(RADIANS('13_시나리오비교'!$B$14))*COS(RADIANS('13_시나리오비교'!$C$14))+$I742*COS(RADIANS('13_시나리오비교'!$B$14))),0)</f>
        <v/>
      </c>
    </row>
    <row r="743" hidden="1" outlineLevel="1">
      <c r="A743" s="79" t="n">
        <v>8</v>
      </c>
      <c r="B743" s="79" t="n">
        <v>51</v>
      </c>
      <c r="C743" s="80">
        <f>(B743-0.5)*'14_지역·상수'!$H$6</f>
        <v/>
      </c>
      <c r="D743" s="79" t="n">
        <v>228</v>
      </c>
      <c r="E743" s="80">
        <f>INDEX($C$4:$C$15,MATCH(A743,$A$4:$A$15,0))</f>
        <v/>
      </c>
      <c r="F743" s="80">
        <f>15*(C743-12)</f>
        <v/>
      </c>
      <c r="G743" s="80">
        <f>-COS(RADIANS(E743))*SIN(RADIANS(F743))</f>
        <v/>
      </c>
      <c r="H743" s="80">
        <f>COS(RADIANS('11_발전량_모델'!$B$17))*SIN(RADIANS(E743))-SIN(RADIANS('11_발전량_모델'!$B$17))*COS(RADIANS(E743))*COS(RADIANS(F743))</f>
        <v/>
      </c>
      <c r="I743" s="80">
        <f>SIN(RADIANS('11_발전량_모델'!$B$17))*SIN(RADIANS(E743))+COS(RADIANS('11_발전량_모델'!$B$17))*COS(RADIANS(E743))*COS(RADIANS(F743))</f>
        <v/>
      </c>
      <c r="J743" s="80">
        <f>SIN(RADIANS('11_발전량_모델'!$B$7))*SIN(RADIANS('11_발전량_모델'!$B$8))</f>
        <v/>
      </c>
      <c r="K743" s="80">
        <f>SIN(RADIANS('11_발전량_모델'!$B$7))*COS(RADIANS('11_발전량_모델'!$B$8))</f>
        <v/>
      </c>
      <c r="L743" s="80">
        <f>COS(RADIANS('11_발전량_모델'!$B$7))</f>
        <v/>
      </c>
      <c r="M743" s="80">
        <f>G743*J743+H743*K743+I743*L743</f>
        <v/>
      </c>
      <c r="N743" s="80">
        <f>MAX(0,I743)</f>
        <v/>
      </c>
      <c r="O743" s="80">
        <f>IF(I743&gt;0,MAX(0,M743),0)</f>
        <v/>
      </c>
      <c r="P743" s="80">
        <f>IF($I743&gt;0,MAX(0,$G743*SIN(RADIANS('13_시나리오비교'!$B$5))*SIN(RADIANS('13_시나리오비교'!$C$5))+$H743*SIN(RADIANS('13_시나리오비교'!$B$5))*COS(RADIANS('13_시나리오비교'!$C$5))+$I743*COS(RADIANS('13_시나리오비교'!$B$5))),0)</f>
        <v/>
      </c>
      <c r="Q743" s="80">
        <f>IF($I743&gt;0,MAX(0,$G743*SIN(RADIANS('13_시나리오비교'!$B$6))*SIN(RADIANS('13_시나리오비교'!$C$6))+$H743*SIN(RADIANS('13_시나리오비교'!$B$6))*COS(RADIANS('13_시나리오비교'!$C$6))+$I743*COS(RADIANS('13_시나리오비교'!$B$6))),0)</f>
        <v/>
      </c>
      <c r="R743" s="80">
        <f>IF($I743&gt;0,MAX(0,$G743*SIN(RADIANS('13_시나리오비교'!$B$7))*SIN(RADIANS('13_시나리오비교'!$C$7))+$H743*SIN(RADIANS('13_시나리오비교'!$B$7))*COS(RADIANS('13_시나리오비교'!$C$7))+$I743*COS(RADIANS('13_시나리오비교'!$B$7))),0)</f>
        <v/>
      </c>
      <c r="S743" s="80">
        <f>IF($I743&gt;0,MAX(0,$G743*SIN(RADIANS('13_시나리오비교'!$B$8))*SIN(RADIANS('13_시나리오비교'!$C$8))+$H743*SIN(RADIANS('13_시나리오비교'!$B$8))*COS(RADIANS('13_시나리오비교'!$C$8))+$I743*COS(RADIANS('13_시나리오비교'!$B$8))),0)</f>
        <v/>
      </c>
      <c r="T743" s="80">
        <f>IF($I743&gt;0,MAX(0,$G743*SIN(RADIANS('13_시나리오비교'!$B$9))*SIN(RADIANS('13_시나리오비교'!$C$9))+$H743*SIN(RADIANS('13_시나리오비교'!$B$9))*COS(RADIANS('13_시나리오비교'!$C$9))+$I743*COS(RADIANS('13_시나리오비교'!$B$9))),0)</f>
        <v/>
      </c>
      <c r="U743" s="80">
        <f>IF($I743&gt;0,MAX(0,$G743*SIN(RADIANS('13_시나리오비교'!$B$10))*SIN(RADIANS('13_시나리오비교'!$C$10))+$H743*SIN(RADIANS('13_시나리오비교'!$B$10))*COS(RADIANS('13_시나리오비교'!$C$10))+$I743*COS(RADIANS('13_시나리오비교'!$B$10))),0)</f>
        <v/>
      </c>
      <c r="V743" s="80">
        <f>IF($I743&gt;0,MAX(0,$G743*SIN(RADIANS('13_시나리오비교'!$B$11))*SIN(RADIANS('13_시나리오비교'!$C$11))+$H743*SIN(RADIANS('13_시나리오비교'!$B$11))*COS(RADIANS('13_시나리오비교'!$C$11))+$I743*COS(RADIANS('13_시나리오비교'!$B$11))),0)</f>
        <v/>
      </c>
      <c r="W743" s="80">
        <f>IF($I743&gt;0,MAX(0,$G743*SIN(RADIANS('13_시나리오비교'!$B$12))*SIN(RADIANS('13_시나리오비교'!$C$12))+$H743*SIN(RADIANS('13_시나리오비교'!$B$12))*COS(RADIANS('13_시나리오비교'!$C$12))+$I743*COS(RADIANS('13_시나리오비교'!$B$12))),0)</f>
        <v/>
      </c>
      <c r="X743" s="80">
        <f>IF($I743&gt;0,MAX(0,$G743*SIN(RADIANS('13_시나리오비교'!$B$13))*SIN(RADIANS('13_시나리오비교'!$C$13))+$H743*SIN(RADIANS('13_시나리오비교'!$B$13))*COS(RADIANS('13_시나리오비교'!$C$13))+$I743*COS(RADIANS('13_시나리오비교'!$B$13))),0)</f>
        <v/>
      </c>
      <c r="Y743" s="80">
        <f>IF($I743&gt;0,MAX(0,$G743*SIN(RADIANS('13_시나리오비교'!$B$14))*SIN(RADIANS('13_시나리오비교'!$C$14))+$H743*SIN(RADIANS('13_시나리오비교'!$B$14))*COS(RADIANS('13_시나리오비교'!$C$14))+$I743*COS(RADIANS('13_시나리오비교'!$B$14))),0)</f>
        <v/>
      </c>
    </row>
    <row r="744" hidden="1" outlineLevel="1">
      <c r="A744" s="79" t="n">
        <v>8</v>
      </c>
      <c r="B744" s="79" t="n">
        <v>52</v>
      </c>
      <c r="C744" s="80">
        <f>(B744-0.5)*'14_지역·상수'!$H$6</f>
        <v/>
      </c>
      <c r="D744" s="79" t="n">
        <v>228</v>
      </c>
      <c r="E744" s="80">
        <f>INDEX($C$4:$C$15,MATCH(A744,$A$4:$A$15,0))</f>
        <v/>
      </c>
      <c r="F744" s="80">
        <f>15*(C744-12)</f>
        <v/>
      </c>
      <c r="G744" s="80">
        <f>-COS(RADIANS(E744))*SIN(RADIANS(F744))</f>
        <v/>
      </c>
      <c r="H744" s="80">
        <f>COS(RADIANS('11_발전량_모델'!$B$17))*SIN(RADIANS(E744))-SIN(RADIANS('11_발전량_모델'!$B$17))*COS(RADIANS(E744))*COS(RADIANS(F744))</f>
        <v/>
      </c>
      <c r="I744" s="80">
        <f>SIN(RADIANS('11_발전량_모델'!$B$17))*SIN(RADIANS(E744))+COS(RADIANS('11_발전량_모델'!$B$17))*COS(RADIANS(E744))*COS(RADIANS(F744))</f>
        <v/>
      </c>
      <c r="J744" s="80">
        <f>SIN(RADIANS('11_발전량_모델'!$B$7))*SIN(RADIANS('11_발전량_모델'!$B$8))</f>
        <v/>
      </c>
      <c r="K744" s="80">
        <f>SIN(RADIANS('11_발전량_모델'!$B$7))*COS(RADIANS('11_발전량_모델'!$B$8))</f>
        <v/>
      </c>
      <c r="L744" s="80">
        <f>COS(RADIANS('11_발전량_모델'!$B$7))</f>
        <v/>
      </c>
      <c r="M744" s="80">
        <f>G744*J744+H744*K744+I744*L744</f>
        <v/>
      </c>
      <c r="N744" s="80">
        <f>MAX(0,I744)</f>
        <v/>
      </c>
      <c r="O744" s="80">
        <f>IF(I744&gt;0,MAX(0,M744),0)</f>
        <v/>
      </c>
      <c r="P744" s="80">
        <f>IF($I744&gt;0,MAX(0,$G744*SIN(RADIANS('13_시나리오비교'!$B$5))*SIN(RADIANS('13_시나리오비교'!$C$5))+$H744*SIN(RADIANS('13_시나리오비교'!$B$5))*COS(RADIANS('13_시나리오비교'!$C$5))+$I744*COS(RADIANS('13_시나리오비교'!$B$5))),0)</f>
        <v/>
      </c>
      <c r="Q744" s="80">
        <f>IF($I744&gt;0,MAX(0,$G744*SIN(RADIANS('13_시나리오비교'!$B$6))*SIN(RADIANS('13_시나리오비교'!$C$6))+$H744*SIN(RADIANS('13_시나리오비교'!$B$6))*COS(RADIANS('13_시나리오비교'!$C$6))+$I744*COS(RADIANS('13_시나리오비교'!$B$6))),0)</f>
        <v/>
      </c>
      <c r="R744" s="80">
        <f>IF($I744&gt;0,MAX(0,$G744*SIN(RADIANS('13_시나리오비교'!$B$7))*SIN(RADIANS('13_시나리오비교'!$C$7))+$H744*SIN(RADIANS('13_시나리오비교'!$B$7))*COS(RADIANS('13_시나리오비교'!$C$7))+$I744*COS(RADIANS('13_시나리오비교'!$B$7))),0)</f>
        <v/>
      </c>
      <c r="S744" s="80">
        <f>IF($I744&gt;0,MAX(0,$G744*SIN(RADIANS('13_시나리오비교'!$B$8))*SIN(RADIANS('13_시나리오비교'!$C$8))+$H744*SIN(RADIANS('13_시나리오비교'!$B$8))*COS(RADIANS('13_시나리오비교'!$C$8))+$I744*COS(RADIANS('13_시나리오비교'!$B$8))),0)</f>
        <v/>
      </c>
      <c r="T744" s="80">
        <f>IF($I744&gt;0,MAX(0,$G744*SIN(RADIANS('13_시나리오비교'!$B$9))*SIN(RADIANS('13_시나리오비교'!$C$9))+$H744*SIN(RADIANS('13_시나리오비교'!$B$9))*COS(RADIANS('13_시나리오비교'!$C$9))+$I744*COS(RADIANS('13_시나리오비교'!$B$9))),0)</f>
        <v/>
      </c>
      <c r="U744" s="80">
        <f>IF($I744&gt;0,MAX(0,$G744*SIN(RADIANS('13_시나리오비교'!$B$10))*SIN(RADIANS('13_시나리오비교'!$C$10))+$H744*SIN(RADIANS('13_시나리오비교'!$B$10))*COS(RADIANS('13_시나리오비교'!$C$10))+$I744*COS(RADIANS('13_시나리오비교'!$B$10))),0)</f>
        <v/>
      </c>
      <c r="V744" s="80">
        <f>IF($I744&gt;0,MAX(0,$G744*SIN(RADIANS('13_시나리오비교'!$B$11))*SIN(RADIANS('13_시나리오비교'!$C$11))+$H744*SIN(RADIANS('13_시나리오비교'!$B$11))*COS(RADIANS('13_시나리오비교'!$C$11))+$I744*COS(RADIANS('13_시나리오비교'!$B$11))),0)</f>
        <v/>
      </c>
      <c r="W744" s="80">
        <f>IF($I744&gt;0,MAX(0,$G744*SIN(RADIANS('13_시나리오비교'!$B$12))*SIN(RADIANS('13_시나리오비교'!$C$12))+$H744*SIN(RADIANS('13_시나리오비교'!$B$12))*COS(RADIANS('13_시나리오비교'!$C$12))+$I744*COS(RADIANS('13_시나리오비교'!$B$12))),0)</f>
        <v/>
      </c>
      <c r="X744" s="80">
        <f>IF($I744&gt;0,MAX(0,$G744*SIN(RADIANS('13_시나리오비교'!$B$13))*SIN(RADIANS('13_시나리오비교'!$C$13))+$H744*SIN(RADIANS('13_시나리오비교'!$B$13))*COS(RADIANS('13_시나리오비교'!$C$13))+$I744*COS(RADIANS('13_시나리오비교'!$B$13))),0)</f>
        <v/>
      </c>
      <c r="Y744" s="80">
        <f>IF($I744&gt;0,MAX(0,$G744*SIN(RADIANS('13_시나리오비교'!$B$14))*SIN(RADIANS('13_시나리오비교'!$C$14))+$H744*SIN(RADIANS('13_시나리오비교'!$B$14))*COS(RADIANS('13_시나리오비교'!$C$14))+$I744*COS(RADIANS('13_시나리오비교'!$B$14))),0)</f>
        <v/>
      </c>
    </row>
    <row r="745" hidden="1" outlineLevel="1">
      <c r="A745" s="79" t="n">
        <v>8</v>
      </c>
      <c r="B745" s="79" t="n">
        <v>53</v>
      </c>
      <c r="C745" s="80">
        <f>(B745-0.5)*'14_지역·상수'!$H$6</f>
        <v/>
      </c>
      <c r="D745" s="79" t="n">
        <v>228</v>
      </c>
      <c r="E745" s="80">
        <f>INDEX($C$4:$C$15,MATCH(A745,$A$4:$A$15,0))</f>
        <v/>
      </c>
      <c r="F745" s="80">
        <f>15*(C745-12)</f>
        <v/>
      </c>
      <c r="G745" s="80">
        <f>-COS(RADIANS(E745))*SIN(RADIANS(F745))</f>
        <v/>
      </c>
      <c r="H745" s="80">
        <f>COS(RADIANS('11_발전량_모델'!$B$17))*SIN(RADIANS(E745))-SIN(RADIANS('11_발전량_모델'!$B$17))*COS(RADIANS(E745))*COS(RADIANS(F745))</f>
        <v/>
      </c>
      <c r="I745" s="80">
        <f>SIN(RADIANS('11_발전량_모델'!$B$17))*SIN(RADIANS(E745))+COS(RADIANS('11_발전량_모델'!$B$17))*COS(RADIANS(E745))*COS(RADIANS(F745))</f>
        <v/>
      </c>
      <c r="J745" s="80">
        <f>SIN(RADIANS('11_발전량_모델'!$B$7))*SIN(RADIANS('11_발전량_모델'!$B$8))</f>
        <v/>
      </c>
      <c r="K745" s="80">
        <f>SIN(RADIANS('11_발전량_모델'!$B$7))*COS(RADIANS('11_발전량_모델'!$B$8))</f>
        <v/>
      </c>
      <c r="L745" s="80">
        <f>COS(RADIANS('11_발전량_모델'!$B$7))</f>
        <v/>
      </c>
      <c r="M745" s="80">
        <f>G745*J745+H745*K745+I745*L745</f>
        <v/>
      </c>
      <c r="N745" s="80">
        <f>MAX(0,I745)</f>
        <v/>
      </c>
      <c r="O745" s="80">
        <f>IF(I745&gt;0,MAX(0,M745),0)</f>
        <v/>
      </c>
      <c r="P745" s="80">
        <f>IF($I745&gt;0,MAX(0,$G745*SIN(RADIANS('13_시나리오비교'!$B$5))*SIN(RADIANS('13_시나리오비교'!$C$5))+$H745*SIN(RADIANS('13_시나리오비교'!$B$5))*COS(RADIANS('13_시나리오비교'!$C$5))+$I745*COS(RADIANS('13_시나리오비교'!$B$5))),0)</f>
        <v/>
      </c>
      <c r="Q745" s="80">
        <f>IF($I745&gt;0,MAX(0,$G745*SIN(RADIANS('13_시나리오비교'!$B$6))*SIN(RADIANS('13_시나리오비교'!$C$6))+$H745*SIN(RADIANS('13_시나리오비교'!$B$6))*COS(RADIANS('13_시나리오비교'!$C$6))+$I745*COS(RADIANS('13_시나리오비교'!$B$6))),0)</f>
        <v/>
      </c>
      <c r="R745" s="80">
        <f>IF($I745&gt;0,MAX(0,$G745*SIN(RADIANS('13_시나리오비교'!$B$7))*SIN(RADIANS('13_시나리오비교'!$C$7))+$H745*SIN(RADIANS('13_시나리오비교'!$B$7))*COS(RADIANS('13_시나리오비교'!$C$7))+$I745*COS(RADIANS('13_시나리오비교'!$B$7))),0)</f>
        <v/>
      </c>
      <c r="S745" s="80">
        <f>IF($I745&gt;0,MAX(0,$G745*SIN(RADIANS('13_시나리오비교'!$B$8))*SIN(RADIANS('13_시나리오비교'!$C$8))+$H745*SIN(RADIANS('13_시나리오비교'!$B$8))*COS(RADIANS('13_시나리오비교'!$C$8))+$I745*COS(RADIANS('13_시나리오비교'!$B$8))),0)</f>
        <v/>
      </c>
      <c r="T745" s="80">
        <f>IF($I745&gt;0,MAX(0,$G745*SIN(RADIANS('13_시나리오비교'!$B$9))*SIN(RADIANS('13_시나리오비교'!$C$9))+$H745*SIN(RADIANS('13_시나리오비교'!$B$9))*COS(RADIANS('13_시나리오비교'!$C$9))+$I745*COS(RADIANS('13_시나리오비교'!$B$9))),0)</f>
        <v/>
      </c>
      <c r="U745" s="80">
        <f>IF($I745&gt;0,MAX(0,$G745*SIN(RADIANS('13_시나리오비교'!$B$10))*SIN(RADIANS('13_시나리오비교'!$C$10))+$H745*SIN(RADIANS('13_시나리오비교'!$B$10))*COS(RADIANS('13_시나리오비교'!$C$10))+$I745*COS(RADIANS('13_시나리오비교'!$B$10))),0)</f>
        <v/>
      </c>
      <c r="V745" s="80">
        <f>IF($I745&gt;0,MAX(0,$G745*SIN(RADIANS('13_시나리오비교'!$B$11))*SIN(RADIANS('13_시나리오비교'!$C$11))+$H745*SIN(RADIANS('13_시나리오비교'!$B$11))*COS(RADIANS('13_시나리오비교'!$C$11))+$I745*COS(RADIANS('13_시나리오비교'!$B$11))),0)</f>
        <v/>
      </c>
      <c r="W745" s="80">
        <f>IF($I745&gt;0,MAX(0,$G745*SIN(RADIANS('13_시나리오비교'!$B$12))*SIN(RADIANS('13_시나리오비교'!$C$12))+$H745*SIN(RADIANS('13_시나리오비교'!$B$12))*COS(RADIANS('13_시나리오비교'!$C$12))+$I745*COS(RADIANS('13_시나리오비교'!$B$12))),0)</f>
        <v/>
      </c>
      <c r="X745" s="80">
        <f>IF($I745&gt;0,MAX(0,$G745*SIN(RADIANS('13_시나리오비교'!$B$13))*SIN(RADIANS('13_시나리오비교'!$C$13))+$H745*SIN(RADIANS('13_시나리오비교'!$B$13))*COS(RADIANS('13_시나리오비교'!$C$13))+$I745*COS(RADIANS('13_시나리오비교'!$B$13))),0)</f>
        <v/>
      </c>
      <c r="Y745" s="80">
        <f>IF($I745&gt;0,MAX(0,$G745*SIN(RADIANS('13_시나리오비교'!$B$14))*SIN(RADIANS('13_시나리오비교'!$C$14))+$H745*SIN(RADIANS('13_시나리오비교'!$B$14))*COS(RADIANS('13_시나리오비교'!$C$14))+$I745*COS(RADIANS('13_시나리오비교'!$B$14))),0)</f>
        <v/>
      </c>
    </row>
    <row r="746" hidden="1" outlineLevel="1">
      <c r="A746" s="79" t="n">
        <v>8</v>
      </c>
      <c r="B746" s="79" t="n">
        <v>54</v>
      </c>
      <c r="C746" s="80">
        <f>(B746-0.5)*'14_지역·상수'!$H$6</f>
        <v/>
      </c>
      <c r="D746" s="79" t="n">
        <v>228</v>
      </c>
      <c r="E746" s="80">
        <f>INDEX($C$4:$C$15,MATCH(A746,$A$4:$A$15,0))</f>
        <v/>
      </c>
      <c r="F746" s="80">
        <f>15*(C746-12)</f>
        <v/>
      </c>
      <c r="G746" s="80">
        <f>-COS(RADIANS(E746))*SIN(RADIANS(F746))</f>
        <v/>
      </c>
      <c r="H746" s="80">
        <f>COS(RADIANS('11_발전량_모델'!$B$17))*SIN(RADIANS(E746))-SIN(RADIANS('11_발전량_모델'!$B$17))*COS(RADIANS(E746))*COS(RADIANS(F746))</f>
        <v/>
      </c>
      <c r="I746" s="80">
        <f>SIN(RADIANS('11_발전량_모델'!$B$17))*SIN(RADIANS(E746))+COS(RADIANS('11_발전량_모델'!$B$17))*COS(RADIANS(E746))*COS(RADIANS(F746))</f>
        <v/>
      </c>
      <c r="J746" s="80">
        <f>SIN(RADIANS('11_발전량_모델'!$B$7))*SIN(RADIANS('11_발전량_모델'!$B$8))</f>
        <v/>
      </c>
      <c r="K746" s="80">
        <f>SIN(RADIANS('11_발전량_모델'!$B$7))*COS(RADIANS('11_발전량_모델'!$B$8))</f>
        <v/>
      </c>
      <c r="L746" s="80">
        <f>COS(RADIANS('11_발전량_모델'!$B$7))</f>
        <v/>
      </c>
      <c r="M746" s="80">
        <f>G746*J746+H746*K746+I746*L746</f>
        <v/>
      </c>
      <c r="N746" s="80">
        <f>MAX(0,I746)</f>
        <v/>
      </c>
      <c r="O746" s="80">
        <f>IF(I746&gt;0,MAX(0,M746),0)</f>
        <v/>
      </c>
      <c r="P746" s="80">
        <f>IF($I746&gt;0,MAX(0,$G746*SIN(RADIANS('13_시나리오비교'!$B$5))*SIN(RADIANS('13_시나리오비교'!$C$5))+$H746*SIN(RADIANS('13_시나리오비교'!$B$5))*COS(RADIANS('13_시나리오비교'!$C$5))+$I746*COS(RADIANS('13_시나리오비교'!$B$5))),0)</f>
        <v/>
      </c>
      <c r="Q746" s="80">
        <f>IF($I746&gt;0,MAX(0,$G746*SIN(RADIANS('13_시나리오비교'!$B$6))*SIN(RADIANS('13_시나리오비교'!$C$6))+$H746*SIN(RADIANS('13_시나리오비교'!$B$6))*COS(RADIANS('13_시나리오비교'!$C$6))+$I746*COS(RADIANS('13_시나리오비교'!$B$6))),0)</f>
        <v/>
      </c>
      <c r="R746" s="80">
        <f>IF($I746&gt;0,MAX(0,$G746*SIN(RADIANS('13_시나리오비교'!$B$7))*SIN(RADIANS('13_시나리오비교'!$C$7))+$H746*SIN(RADIANS('13_시나리오비교'!$B$7))*COS(RADIANS('13_시나리오비교'!$C$7))+$I746*COS(RADIANS('13_시나리오비교'!$B$7))),0)</f>
        <v/>
      </c>
      <c r="S746" s="80">
        <f>IF($I746&gt;0,MAX(0,$G746*SIN(RADIANS('13_시나리오비교'!$B$8))*SIN(RADIANS('13_시나리오비교'!$C$8))+$H746*SIN(RADIANS('13_시나리오비교'!$B$8))*COS(RADIANS('13_시나리오비교'!$C$8))+$I746*COS(RADIANS('13_시나리오비교'!$B$8))),0)</f>
        <v/>
      </c>
      <c r="T746" s="80">
        <f>IF($I746&gt;0,MAX(0,$G746*SIN(RADIANS('13_시나리오비교'!$B$9))*SIN(RADIANS('13_시나리오비교'!$C$9))+$H746*SIN(RADIANS('13_시나리오비교'!$B$9))*COS(RADIANS('13_시나리오비교'!$C$9))+$I746*COS(RADIANS('13_시나리오비교'!$B$9))),0)</f>
        <v/>
      </c>
      <c r="U746" s="80">
        <f>IF($I746&gt;0,MAX(0,$G746*SIN(RADIANS('13_시나리오비교'!$B$10))*SIN(RADIANS('13_시나리오비교'!$C$10))+$H746*SIN(RADIANS('13_시나리오비교'!$B$10))*COS(RADIANS('13_시나리오비교'!$C$10))+$I746*COS(RADIANS('13_시나리오비교'!$B$10))),0)</f>
        <v/>
      </c>
      <c r="V746" s="80">
        <f>IF($I746&gt;0,MAX(0,$G746*SIN(RADIANS('13_시나리오비교'!$B$11))*SIN(RADIANS('13_시나리오비교'!$C$11))+$H746*SIN(RADIANS('13_시나리오비교'!$B$11))*COS(RADIANS('13_시나리오비교'!$C$11))+$I746*COS(RADIANS('13_시나리오비교'!$B$11))),0)</f>
        <v/>
      </c>
      <c r="W746" s="80">
        <f>IF($I746&gt;0,MAX(0,$G746*SIN(RADIANS('13_시나리오비교'!$B$12))*SIN(RADIANS('13_시나리오비교'!$C$12))+$H746*SIN(RADIANS('13_시나리오비교'!$B$12))*COS(RADIANS('13_시나리오비교'!$C$12))+$I746*COS(RADIANS('13_시나리오비교'!$B$12))),0)</f>
        <v/>
      </c>
      <c r="X746" s="80">
        <f>IF($I746&gt;0,MAX(0,$G746*SIN(RADIANS('13_시나리오비교'!$B$13))*SIN(RADIANS('13_시나리오비교'!$C$13))+$H746*SIN(RADIANS('13_시나리오비교'!$B$13))*COS(RADIANS('13_시나리오비교'!$C$13))+$I746*COS(RADIANS('13_시나리오비교'!$B$13))),0)</f>
        <v/>
      </c>
      <c r="Y746" s="80">
        <f>IF($I746&gt;0,MAX(0,$G746*SIN(RADIANS('13_시나리오비교'!$B$14))*SIN(RADIANS('13_시나리오비교'!$C$14))+$H746*SIN(RADIANS('13_시나리오비교'!$B$14))*COS(RADIANS('13_시나리오비교'!$C$14))+$I746*COS(RADIANS('13_시나리오비교'!$B$14))),0)</f>
        <v/>
      </c>
    </row>
    <row r="747" hidden="1" outlineLevel="1">
      <c r="A747" s="79" t="n">
        <v>8</v>
      </c>
      <c r="B747" s="79" t="n">
        <v>55</v>
      </c>
      <c r="C747" s="80">
        <f>(B747-0.5)*'14_지역·상수'!$H$6</f>
        <v/>
      </c>
      <c r="D747" s="79" t="n">
        <v>228</v>
      </c>
      <c r="E747" s="80">
        <f>INDEX($C$4:$C$15,MATCH(A747,$A$4:$A$15,0))</f>
        <v/>
      </c>
      <c r="F747" s="80">
        <f>15*(C747-12)</f>
        <v/>
      </c>
      <c r="G747" s="80">
        <f>-COS(RADIANS(E747))*SIN(RADIANS(F747))</f>
        <v/>
      </c>
      <c r="H747" s="80">
        <f>COS(RADIANS('11_발전량_모델'!$B$17))*SIN(RADIANS(E747))-SIN(RADIANS('11_발전량_모델'!$B$17))*COS(RADIANS(E747))*COS(RADIANS(F747))</f>
        <v/>
      </c>
      <c r="I747" s="80">
        <f>SIN(RADIANS('11_발전량_모델'!$B$17))*SIN(RADIANS(E747))+COS(RADIANS('11_발전량_모델'!$B$17))*COS(RADIANS(E747))*COS(RADIANS(F747))</f>
        <v/>
      </c>
      <c r="J747" s="80">
        <f>SIN(RADIANS('11_발전량_모델'!$B$7))*SIN(RADIANS('11_발전량_모델'!$B$8))</f>
        <v/>
      </c>
      <c r="K747" s="80">
        <f>SIN(RADIANS('11_발전량_모델'!$B$7))*COS(RADIANS('11_발전량_모델'!$B$8))</f>
        <v/>
      </c>
      <c r="L747" s="80">
        <f>COS(RADIANS('11_발전량_모델'!$B$7))</f>
        <v/>
      </c>
      <c r="M747" s="80">
        <f>G747*J747+H747*K747+I747*L747</f>
        <v/>
      </c>
      <c r="N747" s="80">
        <f>MAX(0,I747)</f>
        <v/>
      </c>
      <c r="O747" s="80">
        <f>IF(I747&gt;0,MAX(0,M747),0)</f>
        <v/>
      </c>
      <c r="P747" s="80">
        <f>IF($I747&gt;0,MAX(0,$G747*SIN(RADIANS('13_시나리오비교'!$B$5))*SIN(RADIANS('13_시나리오비교'!$C$5))+$H747*SIN(RADIANS('13_시나리오비교'!$B$5))*COS(RADIANS('13_시나리오비교'!$C$5))+$I747*COS(RADIANS('13_시나리오비교'!$B$5))),0)</f>
        <v/>
      </c>
      <c r="Q747" s="80">
        <f>IF($I747&gt;0,MAX(0,$G747*SIN(RADIANS('13_시나리오비교'!$B$6))*SIN(RADIANS('13_시나리오비교'!$C$6))+$H747*SIN(RADIANS('13_시나리오비교'!$B$6))*COS(RADIANS('13_시나리오비교'!$C$6))+$I747*COS(RADIANS('13_시나리오비교'!$B$6))),0)</f>
        <v/>
      </c>
      <c r="R747" s="80">
        <f>IF($I747&gt;0,MAX(0,$G747*SIN(RADIANS('13_시나리오비교'!$B$7))*SIN(RADIANS('13_시나리오비교'!$C$7))+$H747*SIN(RADIANS('13_시나리오비교'!$B$7))*COS(RADIANS('13_시나리오비교'!$C$7))+$I747*COS(RADIANS('13_시나리오비교'!$B$7))),0)</f>
        <v/>
      </c>
      <c r="S747" s="80">
        <f>IF($I747&gt;0,MAX(0,$G747*SIN(RADIANS('13_시나리오비교'!$B$8))*SIN(RADIANS('13_시나리오비교'!$C$8))+$H747*SIN(RADIANS('13_시나리오비교'!$B$8))*COS(RADIANS('13_시나리오비교'!$C$8))+$I747*COS(RADIANS('13_시나리오비교'!$B$8))),0)</f>
        <v/>
      </c>
      <c r="T747" s="80">
        <f>IF($I747&gt;0,MAX(0,$G747*SIN(RADIANS('13_시나리오비교'!$B$9))*SIN(RADIANS('13_시나리오비교'!$C$9))+$H747*SIN(RADIANS('13_시나리오비교'!$B$9))*COS(RADIANS('13_시나리오비교'!$C$9))+$I747*COS(RADIANS('13_시나리오비교'!$B$9))),0)</f>
        <v/>
      </c>
      <c r="U747" s="80">
        <f>IF($I747&gt;0,MAX(0,$G747*SIN(RADIANS('13_시나리오비교'!$B$10))*SIN(RADIANS('13_시나리오비교'!$C$10))+$H747*SIN(RADIANS('13_시나리오비교'!$B$10))*COS(RADIANS('13_시나리오비교'!$C$10))+$I747*COS(RADIANS('13_시나리오비교'!$B$10))),0)</f>
        <v/>
      </c>
      <c r="V747" s="80">
        <f>IF($I747&gt;0,MAX(0,$G747*SIN(RADIANS('13_시나리오비교'!$B$11))*SIN(RADIANS('13_시나리오비교'!$C$11))+$H747*SIN(RADIANS('13_시나리오비교'!$B$11))*COS(RADIANS('13_시나리오비교'!$C$11))+$I747*COS(RADIANS('13_시나리오비교'!$B$11))),0)</f>
        <v/>
      </c>
      <c r="W747" s="80">
        <f>IF($I747&gt;0,MAX(0,$G747*SIN(RADIANS('13_시나리오비교'!$B$12))*SIN(RADIANS('13_시나리오비교'!$C$12))+$H747*SIN(RADIANS('13_시나리오비교'!$B$12))*COS(RADIANS('13_시나리오비교'!$C$12))+$I747*COS(RADIANS('13_시나리오비교'!$B$12))),0)</f>
        <v/>
      </c>
      <c r="X747" s="80">
        <f>IF($I747&gt;0,MAX(0,$G747*SIN(RADIANS('13_시나리오비교'!$B$13))*SIN(RADIANS('13_시나리오비교'!$C$13))+$H747*SIN(RADIANS('13_시나리오비교'!$B$13))*COS(RADIANS('13_시나리오비교'!$C$13))+$I747*COS(RADIANS('13_시나리오비교'!$B$13))),0)</f>
        <v/>
      </c>
      <c r="Y747" s="80">
        <f>IF($I747&gt;0,MAX(0,$G747*SIN(RADIANS('13_시나리오비교'!$B$14))*SIN(RADIANS('13_시나리오비교'!$C$14))+$H747*SIN(RADIANS('13_시나리오비교'!$B$14))*COS(RADIANS('13_시나리오비교'!$C$14))+$I747*COS(RADIANS('13_시나리오비교'!$B$14))),0)</f>
        <v/>
      </c>
    </row>
    <row r="748" hidden="1" outlineLevel="1">
      <c r="A748" s="79" t="n">
        <v>8</v>
      </c>
      <c r="B748" s="79" t="n">
        <v>56</v>
      </c>
      <c r="C748" s="80">
        <f>(B748-0.5)*'14_지역·상수'!$H$6</f>
        <v/>
      </c>
      <c r="D748" s="79" t="n">
        <v>228</v>
      </c>
      <c r="E748" s="80">
        <f>INDEX($C$4:$C$15,MATCH(A748,$A$4:$A$15,0))</f>
        <v/>
      </c>
      <c r="F748" s="80">
        <f>15*(C748-12)</f>
        <v/>
      </c>
      <c r="G748" s="80">
        <f>-COS(RADIANS(E748))*SIN(RADIANS(F748))</f>
        <v/>
      </c>
      <c r="H748" s="80">
        <f>COS(RADIANS('11_발전량_모델'!$B$17))*SIN(RADIANS(E748))-SIN(RADIANS('11_발전량_모델'!$B$17))*COS(RADIANS(E748))*COS(RADIANS(F748))</f>
        <v/>
      </c>
      <c r="I748" s="80">
        <f>SIN(RADIANS('11_발전량_모델'!$B$17))*SIN(RADIANS(E748))+COS(RADIANS('11_발전량_모델'!$B$17))*COS(RADIANS(E748))*COS(RADIANS(F748))</f>
        <v/>
      </c>
      <c r="J748" s="80">
        <f>SIN(RADIANS('11_발전량_모델'!$B$7))*SIN(RADIANS('11_발전량_모델'!$B$8))</f>
        <v/>
      </c>
      <c r="K748" s="80">
        <f>SIN(RADIANS('11_발전량_모델'!$B$7))*COS(RADIANS('11_발전량_모델'!$B$8))</f>
        <v/>
      </c>
      <c r="L748" s="80">
        <f>COS(RADIANS('11_발전량_모델'!$B$7))</f>
        <v/>
      </c>
      <c r="M748" s="80">
        <f>G748*J748+H748*K748+I748*L748</f>
        <v/>
      </c>
      <c r="N748" s="80">
        <f>MAX(0,I748)</f>
        <v/>
      </c>
      <c r="O748" s="80">
        <f>IF(I748&gt;0,MAX(0,M748),0)</f>
        <v/>
      </c>
      <c r="P748" s="80">
        <f>IF($I748&gt;0,MAX(0,$G748*SIN(RADIANS('13_시나리오비교'!$B$5))*SIN(RADIANS('13_시나리오비교'!$C$5))+$H748*SIN(RADIANS('13_시나리오비교'!$B$5))*COS(RADIANS('13_시나리오비교'!$C$5))+$I748*COS(RADIANS('13_시나리오비교'!$B$5))),0)</f>
        <v/>
      </c>
      <c r="Q748" s="80">
        <f>IF($I748&gt;0,MAX(0,$G748*SIN(RADIANS('13_시나리오비교'!$B$6))*SIN(RADIANS('13_시나리오비교'!$C$6))+$H748*SIN(RADIANS('13_시나리오비교'!$B$6))*COS(RADIANS('13_시나리오비교'!$C$6))+$I748*COS(RADIANS('13_시나리오비교'!$B$6))),0)</f>
        <v/>
      </c>
      <c r="R748" s="80">
        <f>IF($I748&gt;0,MAX(0,$G748*SIN(RADIANS('13_시나리오비교'!$B$7))*SIN(RADIANS('13_시나리오비교'!$C$7))+$H748*SIN(RADIANS('13_시나리오비교'!$B$7))*COS(RADIANS('13_시나리오비교'!$C$7))+$I748*COS(RADIANS('13_시나리오비교'!$B$7))),0)</f>
        <v/>
      </c>
      <c r="S748" s="80">
        <f>IF($I748&gt;0,MAX(0,$G748*SIN(RADIANS('13_시나리오비교'!$B$8))*SIN(RADIANS('13_시나리오비교'!$C$8))+$H748*SIN(RADIANS('13_시나리오비교'!$B$8))*COS(RADIANS('13_시나리오비교'!$C$8))+$I748*COS(RADIANS('13_시나리오비교'!$B$8))),0)</f>
        <v/>
      </c>
      <c r="T748" s="80">
        <f>IF($I748&gt;0,MAX(0,$G748*SIN(RADIANS('13_시나리오비교'!$B$9))*SIN(RADIANS('13_시나리오비교'!$C$9))+$H748*SIN(RADIANS('13_시나리오비교'!$B$9))*COS(RADIANS('13_시나리오비교'!$C$9))+$I748*COS(RADIANS('13_시나리오비교'!$B$9))),0)</f>
        <v/>
      </c>
      <c r="U748" s="80">
        <f>IF($I748&gt;0,MAX(0,$G748*SIN(RADIANS('13_시나리오비교'!$B$10))*SIN(RADIANS('13_시나리오비교'!$C$10))+$H748*SIN(RADIANS('13_시나리오비교'!$B$10))*COS(RADIANS('13_시나리오비교'!$C$10))+$I748*COS(RADIANS('13_시나리오비교'!$B$10))),0)</f>
        <v/>
      </c>
      <c r="V748" s="80">
        <f>IF($I748&gt;0,MAX(0,$G748*SIN(RADIANS('13_시나리오비교'!$B$11))*SIN(RADIANS('13_시나리오비교'!$C$11))+$H748*SIN(RADIANS('13_시나리오비교'!$B$11))*COS(RADIANS('13_시나리오비교'!$C$11))+$I748*COS(RADIANS('13_시나리오비교'!$B$11))),0)</f>
        <v/>
      </c>
      <c r="W748" s="80">
        <f>IF($I748&gt;0,MAX(0,$G748*SIN(RADIANS('13_시나리오비교'!$B$12))*SIN(RADIANS('13_시나리오비교'!$C$12))+$H748*SIN(RADIANS('13_시나리오비교'!$B$12))*COS(RADIANS('13_시나리오비교'!$C$12))+$I748*COS(RADIANS('13_시나리오비교'!$B$12))),0)</f>
        <v/>
      </c>
      <c r="X748" s="80">
        <f>IF($I748&gt;0,MAX(0,$G748*SIN(RADIANS('13_시나리오비교'!$B$13))*SIN(RADIANS('13_시나리오비교'!$C$13))+$H748*SIN(RADIANS('13_시나리오비교'!$B$13))*COS(RADIANS('13_시나리오비교'!$C$13))+$I748*COS(RADIANS('13_시나리오비교'!$B$13))),0)</f>
        <v/>
      </c>
      <c r="Y748" s="80">
        <f>IF($I748&gt;0,MAX(0,$G748*SIN(RADIANS('13_시나리오비교'!$B$14))*SIN(RADIANS('13_시나리오비교'!$C$14))+$H748*SIN(RADIANS('13_시나리오비교'!$B$14))*COS(RADIANS('13_시나리오비교'!$C$14))+$I748*COS(RADIANS('13_시나리오비교'!$B$14))),0)</f>
        <v/>
      </c>
    </row>
    <row r="749" hidden="1" outlineLevel="1">
      <c r="A749" s="79" t="n">
        <v>8</v>
      </c>
      <c r="B749" s="79" t="n">
        <v>57</v>
      </c>
      <c r="C749" s="80">
        <f>(B749-0.5)*'14_지역·상수'!$H$6</f>
        <v/>
      </c>
      <c r="D749" s="79" t="n">
        <v>228</v>
      </c>
      <c r="E749" s="80">
        <f>INDEX($C$4:$C$15,MATCH(A749,$A$4:$A$15,0))</f>
        <v/>
      </c>
      <c r="F749" s="80">
        <f>15*(C749-12)</f>
        <v/>
      </c>
      <c r="G749" s="80">
        <f>-COS(RADIANS(E749))*SIN(RADIANS(F749))</f>
        <v/>
      </c>
      <c r="H749" s="80">
        <f>COS(RADIANS('11_발전량_모델'!$B$17))*SIN(RADIANS(E749))-SIN(RADIANS('11_발전량_모델'!$B$17))*COS(RADIANS(E749))*COS(RADIANS(F749))</f>
        <v/>
      </c>
      <c r="I749" s="80">
        <f>SIN(RADIANS('11_발전량_모델'!$B$17))*SIN(RADIANS(E749))+COS(RADIANS('11_발전량_모델'!$B$17))*COS(RADIANS(E749))*COS(RADIANS(F749))</f>
        <v/>
      </c>
      <c r="J749" s="80">
        <f>SIN(RADIANS('11_발전량_모델'!$B$7))*SIN(RADIANS('11_발전량_모델'!$B$8))</f>
        <v/>
      </c>
      <c r="K749" s="80">
        <f>SIN(RADIANS('11_발전량_모델'!$B$7))*COS(RADIANS('11_발전량_모델'!$B$8))</f>
        <v/>
      </c>
      <c r="L749" s="80">
        <f>COS(RADIANS('11_발전량_모델'!$B$7))</f>
        <v/>
      </c>
      <c r="M749" s="80">
        <f>G749*J749+H749*K749+I749*L749</f>
        <v/>
      </c>
      <c r="N749" s="80">
        <f>MAX(0,I749)</f>
        <v/>
      </c>
      <c r="O749" s="80">
        <f>IF(I749&gt;0,MAX(0,M749),0)</f>
        <v/>
      </c>
      <c r="P749" s="80">
        <f>IF($I749&gt;0,MAX(0,$G749*SIN(RADIANS('13_시나리오비교'!$B$5))*SIN(RADIANS('13_시나리오비교'!$C$5))+$H749*SIN(RADIANS('13_시나리오비교'!$B$5))*COS(RADIANS('13_시나리오비교'!$C$5))+$I749*COS(RADIANS('13_시나리오비교'!$B$5))),0)</f>
        <v/>
      </c>
      <c r="Q749" s="80">
        <f>IF($I749&gt;0,MAX(0,$G749*SIN(RADIANS('13_시나리오비교'!$B$6))*SIN(RADIANS('13_시나리오비교'!$C$6))+$H749*SIN(RADIANS('13_시나리오비교'!$B$6))*COS(RADIANS('13_시나리오비교'!$C$6))+$I749*COS(RADIANS('13_시나리오비교'!$B$6))),0)</f>
        <v/>
      </c>
      <c r="R749" s="80">
        <f>IF($I749&gt;0,MAX(0,$G749*SIN(RADIANS('13_시나리오비교'!$B$7))*SIN(RADIANS('13_시나리오비교'!$C$7))+$H749*SIN(RADIANS('13_시나리오비교'!$B$7))*COS(RADIANS('13_시나리오비교'!$C$7))+$I749*COS(RADIANS('13_시나리오비교'!$B$7))),0)</f>
        <v/>
      </c>
      <c r="S749" s="80">
        <f>IF($I749&gt;0,MAX(0,$G749*SIN(RADIANS('13_시나리오비교'!$B$8))*SIN(RADIANS('13_시나리오비교'!$C$8))+$H749*SIN(RADIANS('13_시나리오비교'!$B$8))*COS(RADIANS('13_시나리오비교'!$C$8))+$I749*COS(RADIANS('13_시나리오비교'!$B$8))),0)</f>
        <v/>
      </c>
      <c r="T749" s="80">
        <f>IF($I749&gt;0,MAX(0,$G749*SIN(RADIANS('13_시나리오비교'!$B$9))*SIN(RADIANS('13_시나리오비교'!$C$9))+$H749*SIN(RADIANS('13_시나리오비교'!$B$9))*COS(RADIANS('13_시나리오비교'!$C$9))+$I749*COS(RADIANS('13_시나리오비교'!$B$9))),0)</f>
        <v/>
      </c>
      <c r="U749" s="80">
        <f>IF($I749&gt;0,MAX(0,$G749*SIN(RADIANS('13_시나리오비교'!$B$10))*SIN(RADIANS('13_시나리오비교'!$C$10))+$H749*SIN(RADIANS('13_시나리오비교'!$B$10))*COS(RADIANS('13_시나리오비교'!$C$10))+$I749*COS(RADIANS('13_시나리오비교'!$B$10))),0)</f>
        <v/>
      </c>
      <c r="V749" s="80">
        <f>IF($I749&gt;0,MAX(0,$G749*SIN(RADIANS('13_시나리오비교'!$B$11))*SIN(RADIANS('13_시나리오비교'!$C$11))+$H749*SIN(RADIANS('13_시나리오비교'!$B$11))*COS(RADIANS('13_시나리오비교'!$C$11))+$I749*COS(RADIANS('13_시나리오비교'!$B$11))),0)</f>
        <v/>
      </c>
      <c r="W749" s="80">
        <f>IF($I749&gt;0,MAX(0,$G749*SIN(RADIANS('13_시나리오비교'!$B$12))*SIN(RADIANS('13_시나리오비교'!$C$12))+$H749*SIN(RADIANS('13_시나리오비교'!$B$12))*COS(RADIANS('13_시나리오비교'!$C$12))+$I749*COS(RADIANS('13_시나리오비교'!$B$12))),0)</f>
        <v/>
      </c>
      <c r="X749" s="80">
        <f>IF($I749&gt;0,MAX(0,$G749*SIN(RADIANS('13_시나리오비교'!$B$13))*SIN(RADIANS('13_시나리오비교'!$C$13))+$H749*SIN(RADIANS('13_시나리오비교'!$B$13))*COS(RADIANS('13_시나리오비교'!$C$13))+$I749*COS(RADIANS('13_시나리오비교'!$B$13))),0)</f>
        <v/>
      </c>
      <c r="Y749" s="80">
        <f>IF($I749&gt;0,MAX(0,$G749*SIN(RADIANS('13_시나리오비교'!$B$14))*SIN(RADIANS('13_시나리오비교'!$C$14))+$H749*SIN(RADIANS('13_시나리오비교'!$B$14))*COS(RADIANS('13_시나리오비교'!$C$14))+$I749*COS(RADIANS('13_시나리오비교'!$B$14))),0)</f>
        <v/>
      </c>
    </row>
    <row r="750" hidden="1" outlineLevel="1">
      <c r="A750" s="79" t="n">
        <v>8</v>
      </c>
      <c r="B750" s="79" t="n">
        <v>58</v>
      </c>
      <c r="C750" s="80">
        <f>(B750-0.5)*'14_지역·상수'!$H$6</f>
        <v/>
      </c>
      <c r="D750" s="79" t="n">
        <v>228</v>
      </c>
      <c r="E750" s="80">
        <f>INDEX($C$4:$C$15,MATCH(A750,$A$4:$A$15,0))</f>
        <v/>
      </c>
      <c r="F750" s="80">
        <f>15*(C750-12)</f>
        <v/>
      </c>
      <c r="G750" s="80">
        <f>-COS(RADIANS(E750))*SIN(RADIANS(F750))</f>
        <v/>
      </c>
      <c r="H750" s="80">
        <f>COS(RADIANS('11_발전량_모델'!$B$17))*SIN(RADIANS(E750))-SIN(RADIANS('11_발전량_모델'!$B$17))*COS(RADIANS(E750))*COS(RADIANS(F750))</f>
        <v/>
      </c>
      <c r="I750" s="80">
        <f>SIN(RADIANS('11_발전량_모델'!$B$17))*SIN(RADIANS(E750))+COS(RADIANS('11_발전량_모델'!$B$17))*COS(RADIANS(E750))*COS(RADIANS(F750))</f>
        <v/>
      </c>
      <c r="J750" s="80">
        <f>SIN(RADIANS('11_발전량_모델'!$B$7))*SIN(RADIANS('11_발전량_모델'!$B$8))</f>
        <v/>
      </c>
      <c r="K750" s="80">
        <f>SIN(RADIANS('11_발전량_모델'!$B$7))*COS(RADIANS('11_발전량_모델'!$B$8))</f>
        <v/>
      </c>
      <c r="L750" s="80">
        <f>COS(RADIANS('11_발전량_모델'!$B$7))</f>
        <v/>
      </c>
      <c r="M750" s="80">
        <f>G750*J750+H750*K750+I750*L750</f>
        <v/>
      </c>
      <c r="N750" s="80">
        <f>MAX(0,I750)</f>
        <v/>
      </c>
      <c r="O750" s="80">
        <f>IF(I750&gt;0,MAX(0,M750),0)</f>
        <v/>
      </c>
      <c r="P750" s="80">
        <f>IF($I750&gt;0,MAX(0,$G750*SIN(RADIANS('13_시나리오비교'!$B$5))*SIN(RADIANS('13_시나리오비교'!$C$5))+$H750*SIN(RADIANS('13_시나리오비교'!$B$5))*COS(RADIANS('13_시나리오비교'!$C$5))+$I750*COS(RADIANS('13_시나리오비교'!$B$5))),0)</f>
        <v/>
      </c>
      <c r="Q750" s="80">
        <f>IF($I750&gt;0,MAX(0,$G750*SIN(RADIANS('13_시나리오비교'!$B$6))*SIN(RADIANS('13_시나리오비교'!$C$6))+$H750*SIN(RADIANS('13_시나리오비교'!$B$6))*COS(RADIANS('13_시나리오비교'!$C$6))+$I750*COS(RADIANS('13_시나리오비교'!$B$6))),0)</f>
        <v/>
      </c>
      <c r="R750" s="80">
        <f>IF($I750&gt;0,MAX(0,$G750*SIN(RADIANS('13_시나리오비교'!$B$7))*SIN(RADIANS('13_시나리오비교'!$C$7))+$H750*SIN(RADIANS('13_시나리오비교'!$B$7))*COS(RADIANS('13_시나리오비교'!$C$7))+$I750*COS(RADIANS('13_시나리오비교'!$B$7))),0)</f>
        <v/>
      </c>
      <c r="S750" s="80">
        <f>IF($I750&gt;0,MAX(0,$G750*SIN(RADIANS('13_시나리오비교'!$B$8))*SIN(RADIANS('13_시나리오비교'!$C$8))+$H750*SIN(RADIANS('13_시나리오비교'!$B$8))*COS(RADIANS('13_시나리오비교'!$C$8))+$I750*COS(RADIANS('13_시나리오비교'!$B$8))),0)</f>
        <v/>
      </c>
      <c r="T750" s="80">
        <f>IF($I750&gt;0,MAX(0,$G750*SIN(RADIANS('13_시나리오비교'!$B$9))*SIN(RADIANS('13_시나리오비교'!$C$9))+$H750*SIN(RADIANS('13_시나리오비교'!$B$9))*COS(RADIANS('13_시나리오비교'!$C$9))+$I750*COS(RADIANS('13_시나리오비교'!$B$9))),0)</f>
        <v/>
      </c>
      <c r="U750" s="80">
        <f>IF($I750&gt;0,MAX(0,$G750*SIN(RADIANS('13_시나리오비교'!$B$10))*SIN(RADIANS('13_시나리오비교'!$C$10))+$H750*SIN(RADIANS('13_시나리오비교'!$B$10))*COS(RADIANS('13_시나리오비교'!$C$10))+$I750*COS(RADIANS('13_시나리오비교'!$B$10))),0)</f>
        <v/>
      </c>
      <c r="V750" s="80">
        <f>IF($I750&gt;0,MAX(0,$G750*SIN(RADIANS('13_시나리오비교'!$B$11))*SIN(RADIANS('13_시나리오비교'!$C$11))+$H750*SIN(RADIANS('13_시나리오비교'!$B$11))*COS(RADIANS('13_시나리오비교'!$C$11))+$I750*COS(RADIANS('13_시나리오비교'!$B$11))),0)</f>
        <v/>
      </c>
      <c r="W750" s="80">
        <f>IF($I750&gt;0,MAX(0,$G750*SIN(RADIANS('13_시나리오비교'!$B$12))*SIN(RADIANS('13_시나리오비교'!$C$12))+$H750*SIN(RADIANS('13_시나리오비교'!$B$12))*COS(RADIANS('13_시나리오비교'!$C$12))+$I750*COS(RADIANS('13_시나리오비교'!$B$12))),0)</f>
        <v/>
      </c>
      <c r="X750" s="80">
        <f>IF($I750&gt;0,MAX(0,$G750*SIN(RADIANS('13_시나리오비교'!$B$13))*SIN(RADIANS('13_시나리오비교'!$C$13))+$H750*SIN(RADIANS('13_시나리오비교'!$B$13))*COS(RADIANS('13_시나리오비교'!$C$13))+$I750*COS(RADIANS('13_시나리오비교'!$B$13))),0)</f>
        <v/>
      </c>
      <c r="Y750" s="80">
        <f>IF($I750&gt;0,MAX(0,$G750*SIN(RADIANS('13_시나리오비교'!$B$14))*SIN(RADIANS('13_시나리오비교'!$C$14))+$H750*SIN(RADIANS('13_시나리오비교'!$B$14))*COS(RADIANS('13_시나리오비교'!$C$14))+$I750*COS(RADIANS('13_시나리오비교'!$B$14))),0)</f>
        <v/>
      </c>
    </row>
    <row r="751" hidden="1" outlineLevel="1">
      <c r="A751" s="79" t="n">
        <v>8</v>
      </c>
      <c r="B751" s="79" t="n">
        <v>59</v>
      </c>
      <c r="C751" s="80">
        <f>(B751-0.5)*'14_지역·상수'!$H$6</f>
        <v/>
      </c>
      <c r="D751" s="79" t="n">
        <v>228</v>
      </c>
      <c r="E751" s="80">
        <f>INDEX($C$4:$C$15,MATCH(A751,$A$4:$A$15,0))</f>
        <v/>
      </c>
      <c r="F751" s="80">
        <f>15*(C751-12)</f>
        <v/>
      </c>
      <c r="G751" s="80">
        <f>-COS(RADIANS(E751))*SIN(RADIANS(F751))</f>
        <v/>
      </c>
      <c r="H751" s="80">
        <f>COS(RADIANS('11_발전량_모델'!$B$17))*SIN(RADIANS(E751))-SIN(RADIANS('11_발전량_모델'!$B$17))*COS(RADIANS(E751))*COS(RADIANS(F751))</f>
        <v/>
      </c>
      <c r="I751" s="80">
        <f>SIN(RADIANS('11_발전량_모델'!$B$17))*SIN(RADIANS(E751))+COS(RADIANS('11_발전량_모델'!$B$17))*COS(RADIANS(E751))*COS(RADIANS(F751))</f>
        <v/>
      </c>
      <c r="J751" s="80">
        <f>SIN(RADIANS('11_발전량_모델'!$B$7))*SIN(RADIANS('11_발전량_모델'!$B$8))</f>
        <v/>
      </c>
      <c r="K751" s="80">
        <f>SIN(RADIANS('11_발전량_모델'!$B$7))*COS(RADIANS('11_발전량_모델'!$B$8))</f>
        <v/>
      </c>
      <c r="L751" s="80">
        <f>COS(RADIANS('11_발전량_모델'!$B$7))</f>
        <v/>
      </c>
      <c r="M751" s="80">
        <f>G751*J751+H751*K751+I751*L751</f>
        <v/>
      </c>
      <c r="N751" s="80">
        <f>MAX(0,I751)</f>
        <v/>
      </c>
      <c r="O751" s="80">
        <f>IF(I751&gt;0,MAX(0,M751),0)</f>
        <v/>
      </c>
      <c r="P751" s="80">
        <f>IF($I751&gt;0,MAX(0,$G751*SIN(RADIANS('13_시나리오비교'!$B$5))*SIN(RADIANS('13_시나리오비교'!$C$5))+$H751*SIN(RADIANS('13_시나리오비교'!$B$5))*COS(RADIANS('13_시나리오비교'!$C$5))+$I751*COS(RADIANS('13_시나리오비교'!$B$5))),0)</f>
        <v/>
      </c>
      <c r="Q751" s="80">
        <f>IF($I751&gt;0,MAX(0,$G751*SIN(RADIANS('13_시나리오비교'!$B$6))*SIN(RADIANS('13_시나리오비교'!$C$6))+$H751*SIN(RADIANS('13_시나리오비교'!$B$6))*COS(RADIANS('13_시나리오비교'!$C$6))+$I751*COS(RADIANS('13_시나리오비교'!$B$6))),0)</f>
        <v/>
      </c>
      <c r="R751" s="80">
        <f>IF($I751&gt;0,MAX(0,$G751*SIN(RADIANS('13_시나리오비교'!$B$7))*SIN(RADIANS('13_시나리오비교'!$C$7))+$H751*SIN(RADIANS('13_시나리오비교'!$B$7))*COS(RADIANS('13_시나리오비교'!$C$7))+$I751*COS(RADIANS('13_시나리오비교'!$B$7))),0)</f>
        <v/>
      </c>
      <c r="S751" s="80">
        <f>IF($I751&gt;0,MAX(0,$G751*SIN(RADIANS('13_시나리오비교'!$B$8))*SIN(RADIANS('13_시나리오비교'!$C$8))+$H751*SIN(RADIANS('13_시나리오비교'!$B$8))*COS(RADIANS('13_시나리오비교'!$C$8))+$I751*COS(RADIANS('13_시나리오비교'!$B$8))),0)</f>
        <v/>
      </c>
      <c r="T751" s="80">
        <f>IF($I751&gt;0,MAX(0,$G751*SIN(RADIANS('13_시나리오비교'!$B$9))*SIN(RADIANS('13_시나리오비교'!$C$9))+$H751*SIN(RADIANS('13_시나리오비교'!$B$9))*COS(RADIANS('13_시나리오비교'!$C$9))+$I751*COS(RADIANS('13_시나리오비교'!$B$9))),0)</f>
        <v/>
      </c>
      <c r="U751" s="80">
        <f>IF($I751&gt;0,MAX(0,$G751*SIN(RADIANS('13_시나리오비교'!$B$10))*SIN(RADIANS('13_시나리오비교'!$C$10))+$H751*SIN(RADIANS('13_시나리오비교'!$B$10))*COS(RADIANS('13_시나리오비교'!$C$10))+$I751*COS(RADIANS('13_시나리오비교'!$B$10))),0)</f>
        <v/>
      </c>
      <c r="V751" s="80">
        <f>IF($I751&gt;0,MAX(0,$G751*SIN(RADIANS('13_시나리오비교'!$B$11))*SIN(RADIANS('13_시나리오비교'!$C$11))+$H751*SIN(RADIANS('13_시나리오비교'!$B$11))*COS(RADIANS('13_시나리오비교'!$C$11))+$I751*COS(RADIANS('13_시나리오비교'!$B$11))),0)</f>
        <v/>
      </c>
      <c r="W751" s="80">
        <f>IF($I751&gt;0,MAX(0,$G751*SIN(RADIANS('13_시나리오비교'!$B$12))*SIN(RADIANS('13_시나리오비교'!$C$12))+$H751*SIN(RADIANS('13_시나리오비교'!$B$12))*COS(RADIANS('13_시나리오비교'!$C$12))+$I751*COS(RADIANS('13_시나리오비교'!$B$12))),0)</f>
        <v/>
      </c>
      <c r="X751" s="80">
        <f>IF($I751&gt;0,MAX(0,$G751*SIN(RADIANS('13_시나리오비교'!$B$13))*SIN(RADIANS('13_시나리오비교'!$C$13))+$H751*SIN(RADIANS('13_시나리오비교'!$B$13))*COS(RADIANS('13_시나리오비교'!$C$13))+$I751*COS(RADIANS('13_시나리오비교'!$B$13))),0)</f>
        <v/>
      </c>
      <c r="Y751" s="80">
        <f>IF($I751&gt;0,MAX(0,$G751*SIN(RADIANS('13_시나리오비교'!$B$14))*SIN(RADIANS('13_시나리오비교'!$C$14))+$H751*SIN(RADIANS('13_시나리오비교'!$B$14))*COS(RADIANS('13_시나리오비교'!$C$14))+$I751*COS(RADIANS('13_시나리오비교'!$B$14))),0)</f>
        <v/>
      </c>
    </row>
    <row r="752" hidden="1" outlineLevel="1">
      <c r="A752" s="79" t="n">
        <v>8</v>
      </c>
      <c r="B752" s="79" t="n">
        <v>60</v>
      </c>
      <c r="C752" s="80">
        <f>(B752-0.5)*'14_지역·상수'!$H$6</f>
        <v/>
      </c>
      <c r="D752" s="79" t="n">
        <v>228</v>
      </c>
      <c r="E752" s="80">
        <f>INDEX($C$4:$C$15,MATCH(A752,$A$4:$A$15,0))</f>
        <v/>
      </c>
      <c r="F752" s="80">
        <f>15*(C752-12)</f>
        <v/>
      </c>
      <c r="G752" s="80">
        <f>-COS(RADIANS(E752))*SIN(RADIANS(F752))</f>
        <v/>
      </c>
      <c r="H752" s="80">
        <f>COS(RADIANS('11_발전량_모델'!$B$17))*SIN(RADIANS(E752))-SIN(RADIANS('11_발전량_모델'!$B$17))*COS(RADIANS(E752))*COS(RADIANS(F752))</f>
        <v/>
      </c>
      <c r="I752" s="80">
        <f>SIN(RADIANS('11_발전량_모델'!$B$17))*SIN(RADIANS(E752))+COS(RADIANS('11_발전량_모델'!$B$17))*COS(RADIANS(E752))*COS(RADIANS(F752))</f>
        <v/>
      </c>
      <c r="J752" s="80">
        <f>SIN(RADIANS('11_발전량_모델'!$B$7))*SIN(RADIANS('11_발전량_모델'!$B$8))</f>
        <v/>
      </c>
      <c r="K752" s="80">
        <f>SIN(RADIANS('11_발전량_모델'!$B$7))*COS(RADIANS('11_발전량_모델'!$B$8))</f>
        <v/>
      </c>
      <c r="L752" s="80">
        <f>COS(RADIANS('11_발전량_모델'!$B$7))</f>
        <v/>
      </c>
      <c r="M752" s="80">
        <f>G752*J752+H752*K752+I752*L752</f>
        <v/>
      </c>
      <c r="N752" s="80">
        <f>MAX(0,I752)</f>
        <v/>
      </c>
      <c r="O752" s="80">
        <f>IF(I752&gt;0,MAX(0,M752),0)</f>
        <v/>
      </c>
      <c r="P752" s="80">
        <f>IF($I752&gt;0,MAX(0,$G752*SIN(RADIANS('13_시나리오비교'!$B$5))*SIN(RADIANS('13_시나리오비교'!$C$5))+$H752*SIN(RADIANS('13_시나리오비교'!$B$5))*COS(RADIANS('13_시나리오비교'!$C$5))+$I752*COS(RADIANS('13_시나리오비교'!$B$5))),0)</f>
        <v/>
      </c>
      <c r="Q752" s="80">
        <f>IF($I752&gt;0,MAX(0,$G752*SIN(RADIANS('13_시나리오비교'!$B$6))*SIN(RADIANS('13_시나리오비교'!$C$6))+$H752*SIN(RADIANS('13_시나리오비교'!$B$6))*COS(RADIANS('13_시나리오비교'!$C$6))+$I752*COS(RADIANS('13_시나리오비교'!$B$6))),0)</f>
        <v/>
      </c>
      <c r="R752" s="80">
        <f>IF($I752&gt;0,MAX(0,$G752*SIN(RADIANS('13_시나리오비교'!$B$7))*SIN(RADIANS('13_시나리오비교'!$C$7))+$H752*SIN(RADIANS('13_시나리오비교'!$B$7))*COS(RADIANS('13_시나리오비교'!$C$7))+$I752*COS(RADIANS('13_시나리오비교'!$B$7))),0)</f>
        <v/>
      </c>
      <c r="S752" s="80">
        <f>IF($I752&gt;0,MAX(0,$G752*SIN(RADIANS('13_시나리오비교'!$B$8))*SIN(RADIANS('13_시나리오비교'!$C$8))+$H752*SIN(RADIANS('13_시나리오비교'!$B$8))*COS(RADIANS('13_시나리오비교'!$C$8))+$I752*COS(RADIANS('13_시나리오비교'!$B$8))),0)</f>
        <v/>
      </c>
      <c r="T752" s="80">
        <f>IF($I752&gt;0,MAX(0,$G752*SIN(RADIANS('13_시나리오비교'!$B$9))*SIN(RADIANS('13_시나리오비교'!$C$9))+$H752*SIN(RADIANS('13_시나리오비교'!$B$9))*COS(RADIANS('13_시나리오비교'!$C$9))+$I752*COS(RADIANS('13_시나리오비교'!$B$9))),0)</f>
        <v/>
      </c>
      <c r="U752" s="80">
        <f>IF($I752&gt;0,MAX(0,$G752*SIN(RADIANS('13_시나리오비교'!$B$10))*SIN(RADIANS('13_시나리오비교'!$C$10))+$H752*SIN(RADIANS('13_시나리오비교'!$B$10))*COS(RADIANS('13_시나리오비교'!$C$10))+$I752*COS(RADIANS('13_시나리오비교'!$B$10))),0)</f>
        <v/>
      </c>
      <c r="V752" s="80">
        <f>IF($I752&gt;0,MAX(0,$G752*SIN(RADIANS('13_시나리오비교'!$B$11))*SIN(RADIANS('13_시나리오비교'!$C$11))+$H752*SIN(RADIANS('13_시나리오비교'!$B$11))*COS(RADIANS('13_시나리오비교'!$C$11))+$I752*COS(RADIANS('13_시나리오비교'!$B$11))),0)</f>
        <v/>
      </c>
      <c r="W752" s="80">
        <f>IF($I752&gt;0,MAX(0,$G752*SIN(RADIANS('13_시나리오비교'!$B$12))*SIN(RADIANS('13_시나리오비교'!$C$12))+$H752*SIN(RADIANS('13_시나리오비교'!$B$12))*COS(RADIANS('13_시나리오비교'!$C$12))+$I752*COS(RADIANS('13_시나리오비교'!$B$12))),0)</f>
        <v/>
      </c>
      <c r="X752" s="80">
        <f>IF($I752&gt;0,MAX(0,$G752*SIN(RADIANS('13_시나리오비교'!$B$13))*SIN(RADIANS('13_시나리오비교'!$C$13))+$H752*SIN(RADIANS('13_시나리오비교'!$B$13))*COS(RADIANS('13_시나리오비교'!$C$13))+$I752*COS(RADIANS('13_시나리오비교'!$B$13))),0)</f>
        <v/>
      </c>
      <c r="Y752" s="80">
        <f>IF($I752&gt;0,MAX(0,$G752*SIN(RADIANS('13_시나리오비교'!$B$14))*SIN(RADIANS('13_시나리오비교'!$C$14))+$H752*SIN(RADIANS('13_시나리오비교'!$B$14))*COS(RADIANS('13_시나리오비교'!$C$14))+$I752*COS(RADIANS('13_시나리오비교'!$B$14))),0)</f>
        <v/>
      </c>
    </row>
    <row r="753" hidden="1" outlineLevel="1">
      <c r="A753" s="79" t="n">
        <v>8</v>
      </c>
      <c r="B753" s="79" t="n">
        <v>61</v>
      </c>
      <c r="C753" s="80">
        <f>(B753-0.5)*'14_지역·상수'!$H$6</f>
        <v/>
      </c>
      <c r="D753" s="79" t="n">
        <v>228</v>
      </c>
      <c r="E753" s="80">
        <f>INDEX($C$4:$C$15,MATCH(A753,$A$4:$A$15,0))</f>
        <v/>
      </c>
      <c r="F753" s="80">
        <f>15*(C753-12)</f>
        <v/>
      </c>
      <c r="G753" s="80">
        <f>-COS(RADIANS(E753))*SIN(RADIANS(F753))</f>
        <v/>
      </c>
      <c r="H753" s="80">
        <f>COS(RADIANS('11_발전량_모델'!$B$17))*SIN(RADIANS(E753))-SIN(RADIANS('11_발전량_모델'!$B$17))*COS(RADIANS(E753))*COS(RADIANS(F753))</f>
        <v/>
      </c>
      <c r="I753" s="80">
        <f>SIN(RADIANS('11_발전량_모델'!$B$17))*SIN(RADIANS(E753))+COS(RADIANS('11_발전량_모델'!$B$17))*COS(RADIANS(E753))*COS(RADIANS(F753))</f>
        <v/>
      </c>
      <c r="J753" s="80">
        <f>SIN(RADIANS('11_발전량_모델'!$B$7))*SIN(RADIANS('11_발전량_모델'!$B$8))</f>
        <v/>
      </c>
      <c r="K753" s="80">
        <f>SIN(RADIANS('11_발전량_모델'!$B$7))*COS(RADIANS('11_발전량_모델'!$B$8))</f>
        <v/>
      </c>
      <c r="L753" s="80">
        <f>COS(RADIANS('11_발전량_모델'!$B$7))</f>
        <v/>
      </c>
      <c r="M753" s="80">
        <f>G753*J753+H753*K753+I753*L753</f>
        <v/>
      </c>
      <c r="N753" s="80">
        <f>MAX(0,I753)</f>
        <v/>
      </c>
      <c r="O753" s="80">
        <f>IF(I753&gt;0,MAX(0,M753),0)</f>
        <v/>
      </c>
      <c r="P753" s="80">
        <f>IF($I753&gt;0,MAX(0,$G753*SIN(RADIANS('13_시나리오비교'!$B$5))*SIN(RADIANS('13_시나리오비교'!$C$5))+$H753*SIN(RADIANS('13_시나리오비교'!$B$5))*COS(RADIANS('13_시나리오비교'!$C$5))+$I753*COS(RADIANS('13_시나리오비교'!$B$5))),0)</f>
        <v/>
      </c>
      <c r="Q753" s="80">
        <f>IF($I753&gt;0,MAX(0,$G753*SIN(RADIANS('13_시나리오비교'!$B$6))*SIN(RADIANS('13_시나리오비교'!$C$6))+$H753*SIN(RADIANS('13_시나리오비교'!$B$6))*COS(RADIANS('13_시나리오비교'!$C$6))+$I753*COS(RADIANS('13_시나리오비교'!$B$6))),0)</f>
        <v/>
      </c>
      <c r="R753" s="80">
        <f>IF($I753&gt;0,MAX(0,$G753*SIN(RADIANS('13_시나리오비교'!$B$7))*SIN(RADIANS('13_시나리오비교'!$C$7))+$H753*SIN(RADIANS('13_시나리오비교'!$B$7))*COS(RADIANS('13_시나리오비교'!$C$7))+$I753*COS(RADIANS('13_시나리오비교'!$B$7))),0)</f>
        <v/>
      </c>
      <c r="S753" s="80">
        <f>IF($I753&gt;0,MAX(0,$G753*SIN(RADIANS('13_시나리오비교'!$B$8))*SIN(RADIANS('13_시나리오비교'!$C$8))+$H753*SIN(RADIANS('13_시나리오비교'!$B$8))*COS(RADIANS('13_시나리오비교'!$C$8))+$I753*COS(RADIANS('13_시나리오비교'!$B$8))),0)</f>
        <v/>
      </c>
      <c r="T753" s="80">
        <f>IF($I753&gt;0,MAX(0,$G753*SIN(RADIANS('13_시나리오비교'!$B$9))*SIN(RADIANS('13_시나리오비교'!$C$9))+$H753*SIN(RADIANS('13_시나리오비교'!$B$9))*COS(RADIANS('13_시나리오비교'!$C$9))+$I753*COS(RADIANS('13_시나리오비교'!$B$9))),0)</f>
        <v/>
      </c>
      <c r="U753" s="80">
        <f>IF($I753&gt;0,MAX(0,$G753*SIN(RADIANS('13_시나리오비교'!$B$10))*SIN(RADIANS('13_시나리오비교'!$C$10))+$H753*SIN(RADIANS('13_시나리오비교'!$B$10))*COS(RADIANS('13_시나리오비교'!$C$10))+$I753*COS(RADIANS('13_시나리오비교'!$B$10))),0)</f>
        <v/>
      </c>
      <c r="V753" s="80">
        <f>IF($I753&gt;0,MAX(0,$G753*SIN(RADIANS('13_시나리오비교'!$B$11))*SIN(RADIANS('13_시나리오비교'!$C$11))+$H753*SIN(RADIANS('13_시나리오비교'!$B$11))*COS(RADIANS('13_시나리오비교'!$C$11))+$I753*COS(RADIANS('13_시나리오비교'!$B$11))),0)</f>
        <v/>
      </c>
      <c r="W753" s="80">
        <f>IF($I753&gt;0,MAX(0,$G753*SIN(RADIANS('13_시나리오비교'!$B$12))*SIN(RADIANS('13_시나리오비교'!$C$12))+$H753*SIN(RADIANS('13_시나리오비교'!$B$12))*COS(RADIANS('13_시나리오비교'!$C$12))+$I753*COS(RADIANS('13_시나리오비교'!$B$12))),0)</f>
        <v/>
      </c>
      <c r="X753" s="80">
        <f>IF($I753&gt;0,MAX(0,$G753*SIN(RADIANS('13_시나리오비교'!$B$13))*SIN(RADIANS('13_시나리오비교'!$C$13))+$H753*SIN(RADIANS('13_시나리오비교'!$B$13))*COS(RADIANS('13_시나리오비교'!$C$13))+$I753*COS(RADIANS('13_시나리오비교'!$B$13))),0)</f>
        <v/>
      </c>
      <c r="Y753" s="80">
        <f>IF($I753&gt;0,MAX(0,$G753*SIN(RADIANS('13_시나리오비교'!$B$14))*SIN(RADIANS('13_시나리오비교'!$C$14))+$H753*SIN(RADIANS('13_시나리오비교'!$B$14))*COS(RADIANS('13_시나리오비교'!$C$14))+$I753*COS(RADIANS('13_시나리오비교'!$B$14))),0)</f>
        <v/>
      </c>
    </row>
    <row r="754" hidden="1" outlineLevel="1">
      <c r="A754" s="79" t="n">
        <v>8</v>
      </c>
      <c r="B754" s="79" t="n">
        <v>62</v>
      </c>
      <c r="C754" s="80">
        <f>(B754-0.5)*'14_지역·상수'!$H$6</f>
        <v/>
      </c>
      <c r="D754" s="79" t="n">
        <v>228</v>
      </c>
      <c r="E754" s="80">
        <f>INDEX($C$4:$C$15,MATCH(A754,$A$4:$A$15,0))</f>
        <v/>
      </c>
      <c r="F754" s="80">
        <f>15*(C754-12)</f>
        <v/>
      </c>
      <c r="G754" s="80">
        <f>-COS(RADIANS(E754))*SIN(RADIANS(F754))</f>
        <v/>
      </c>
      <c r="H754" s="80">
        <f>COS(RADIANS('11_발전량_모델'!$B$17))*SIN(RADIANS(E754))-SIN(RADIANS('11_발전량_모델'!$B$17))*COS(RADIANS(E754))*COS(RADIANS(F754))</f>
        <v/>
      </c>
      <c r="I754" s="80">
        <f>SIN(RADIANS('11_발전량_모델'!$B$17))*SIN(RADIANS(E754))+COS(RADIANS('11_발전량_모델'!$B$17))*COS(RADIANS(E754))*COS(RADIANS(F754))</f>
        <v/>
      </c>
      <c r="J754" s="80">
        <f>SIN(RADIANS('11_발전량_모델'!$B$7))*SIN(RADIANS('11_발전량_모델'!$B$8))</f>
        <v/>
      </c>
      <c r="K754" s="80">
        <f>SIN(RADIANS('11_발전량_모델'!$B$7))*COS(RADIANS('11_발전량_모델'!$B$8))</f>
        <v/>
      </c>
      <c r="L754" s="80">
        <f>COS(RADIANS('11_발전량_모델'!$B$7))</f>
        <v/>
      </c>
      <c r="M754" s="80">
        <f>G754*J754+H754*K754+I754*L754</f>
        <v/>
      </c>
      <c r="N754" s="80">
        <f>MAX(0,I754)</f>
        <v/>
      </c>
      <c r="O754" s="80">
        <f>IF(I754&gt;0,MAX(0,M754),0)</f>
        <v/>
      </c>
      <c r="P754" s="80">
        <f>IF($I754&gt;0,MAX(0,$G754*SIN(RADIANS('13_시나리오비교'!$B$5))*SIN(RADIANS('13_시나리오비교'!$C$5))+$H754*SIN(RADIANS('13_시나리오비교'!$B$5))*COS(RADIANS('13_시나리오비교'!$C$5))+$I754*COS(RADIANS('13_시나리오비교'!$B$5))),0)</f>
        <v/>
      </c>
      <c r="Q754" s="80">
        <f>IF($I754&gt;0,MAX(0,$G754*SIN(RADIANS('13_시나리오비교'!$B$6))*SIN(RADIANS('13_시나리오비교'!$C$6))+$H754*SIN(RADIANS('13_시나리오비교'!$B$6))*COS(RADIANS('13_시나리오비교'!$C$6))+$I754*COS(RADIANS('13_시나리오비교'!$B$6))),0)</f>
        <v/>
      </c>
      <c r="R754" s="80">
        <f>IF($I754&gt;0,MAX(0,$G754*SIN(RADIANS('13_시나리오비교'!$B$7))*SIN(RADIANS('13_시나리오비교'!$C$7))+$H754*SIN(RADIANS('13_시나리오비교'!$B$7))*COS(RADIANS('13_시나리오비교'!$C$7))+$I754*COS(RADIANS('13_시나리오비교'!$B$7))),0)</f>
        <v/>
      </c>
      <c r="S754" s="80">
        <f>IF($I754&gt;0,MAX(0,$G754*SIN(RADIANS('13_시나리오비교'!$B$8))*SIN(RADIANS('13_시나리오비교'!$C$8))+$H754*SIN(RADIANS('13_시나리오비교'!$B$8))*COS(RADIANS('13_시나리오비교'!$C$8))+$I754*COS(RADIANS('13_시나리오비교'!$B$8))),0)</f>
        <v/>
      </c>
      <c r="T754" s="80">
        <f>IF($I754&gt;0,MAX(0,$G754*SIN(RADIANS('13_시나리오비교'!$B$9))*SIN(RADIANS('13_시나리오비교'!$C$9))+$H754*SIN(RADIANS('13_시나리오비교'!$B$9))*COS(RADIANS('13_시나리오비교'!$C$9))+$I754*COS(RADIANS('13_시나리오비교'!$B$9))),0)</f>
        <v/>
      </c>
      <c r="U754" s="80">
        <f>IF($I754&gt;0,MAX(0,$G754*SIN(RADIANS('13_시나리오비교'!$B$10))*SIN(RADIANS('13_시나리오비교'!$C$10))+$H754*SIN(RADIANS('13_시나리오비교'!$B$10))*COS(RADIANS('13_시나리오비교'!$C$10))+$I754*COS(RADIANS('13_시나리오비교'!$B$10))),0)</f>
        <v/>
      </c>
      <c r="V754" s="80">
        <f>IF($I754&gt;0,MAX(0,$G754*SIN(RADIANS('13_시나리오비교'!$B$11))*SIN(RADIANS('13_시나리오비교'!$C$11))+$H754*SIN(RADIANS('13_시나리오비교'!$B$11))*COS(RADIANS('13_시나리오비교'!$C$11))+$I754*COS(RADIANS('13_시나리오비교'!$B$11))),0)</f>
        <v/>
      </c>
      <c r="W754" s="80">
        <f>IF($I754&gt;0,MAX(0,$G754*SIN(RADIANS('13_시나리오비교'!$B$12))*SIN(RADIANS('13_시나리오비교'!$C$12))+$H754*SIN(RADIANS('13_시나리오비교'!$B$12))*COS(RADIANS('13_시나리오비교'!$C$12))+$I754*COS(RADIANS('13_시나리오비교'!$B$12))),0)</f>
        <v/>
      </c>
      <c r="X754" s="80">
        <f>IF($I754&gt;0,MAX(0,$G754*SIN(RADIANS('13_시나리오비교'!$B$13))*SIN(RADIANS('13_시나리오비교'!$C$13))+$H754*SIN(RADIANS('13_시나리오비교'!$B$13))*COS(RADIANS('13_시나리오비교'!$C$13))+$I754*COS(RADIANS('13_시나리오비교'!$B$13))),0)</f>
        <v/>
      </c>
      <c r="Y754" s="80">
        <f>IF($I754&gt;0,MAX(0,$G754*SIN(RADIANS('13_시나리오비교'!$B$14))*SIN(RADIANS('13_시나리오비교'!$C$14))+$H754*SIN(RADIANS('13_시나리오비교'!$B$14))*COS(RADIANS('13_시나리오비교'!$C$14))+$I754*COS(RADIANS('13_시나리오비교'!$B$14))),0)</f>
        <v/>
      </c>
    </row>
    <row r="755" hidden="1" outlineLevel="1">
      <c r="A755" s="79" t="n">
        <v>8</v>
      </c>
      <c r="B755" s="79" t="n">
        <v>63</v>
      </c>
      <c r="C755" s="80">
        <f>(B755-0.5)*'14_지역·상수'!$H$6</f>
        <v/>
      </c>
      <c r="D755" s="79" t="n">
        <v>228</v>
      </c>
      <c r="E755" s="80">
        <f>INDEX($C$4:$C$15,MATCH(A755,$A$4:$A$15,0))</f>
        <v/>
      </c>
      <c r="F755" s="80">
        <f>15*(C755-12)</f>
        <v/>
      </c>
      <c r="G755" s="80">
        <f>-COS(RADIANS(E755))*SIN(RADIANS(F755))</f>
        <v/>
      </c>
      <c r="H755" s="80">
        <f>COS(RADIANS('11_발전량_모델'!$B$17))*SIN(RADIANS(E755))-SIN(RADIANS('11_발전량_모델'!$B$17))*COS(RADIANS(E755))*COS(RADIANS(F755))</f>
        <v/>
      </c>
      <c r="I755" s="80">
        <f>SIN(RADIANS('11_발전량_모델'!$B$17))*SIN(RADIANS(E755))+COS(RADIANS('11_발전량_모델'!$B$17))*COS(RADIANS(E755))*COS(RADIANS(F755))</f>
        <v/>
      </c>
      <c r="J755" s="80">
        <f>SIN(RADIANS('11_발전량_모델'!$B$7))*SIN(RADIANS('11_발전량_모델'!$B$8))</f>
        <v/>
      </c>
      <c r="K755" s="80">
        <f>SIN(RADIANS('11_발전량_모델'!$B$7))*COS(RADIANS('11_발전량_모델'!$B$8))</f>
        <v/>
      </c>
      <c r="L755" s="80">
        <f>COS(RADIANS('11_발전량_모델'!$B$7))</f>
        <v/>
      </c>
      <c r="M755" s="80">
        <f>G755*J755+H755*K755+I755*L755</f>
        <v/>
      </c>
      <c r="N755" s="80">
        <f>MAX(0,I755)</f>
        <v/>
      </c>
      <c r="O755" s="80">
        <f>IF(I755&gt;0,MAX(0,M755),0)</f>
        <v/>
      </c>
      <c r="P755" s="80">
        <f>IF($I755&gt;0,MAX(0,$G755*SIN(RADIANS('13_시나리오비교'!$B$5))*SIN(RADIANS('13_시나리오비교'!$C$5))+$H755*SIN(RADIANS('13_시나리오비교'!$B$5))*COS(RADIANS('13_시나리오비교'!$C$5))+$I755*COS(RADIANS('13_시나리오비교'!$B$5))),0)</f>
        <v/>
      </c>
      <c r="Q755" s="80">
        <f>IF($I755&gt;0,MAX(0,$G755*SIN(RADIANS('13_시나리오비교'!$B$6))*SIN(RADIANS('13_시나리오비교'!$C$6))+$H755*SIN(RADIANS('13_시나리오비교'!$B$6))*COS(RADIANS('13_시나리오비교'!$C$6))+$I755*COS(RADIANS('13_시나리오비교'!$B$6))),0)</f>
        <v/>
      </c>
      <c r="R755" s="80">
        <f>IF($I755&gt;0,MAX(0,$G755*SIN(RADIANS('13_시나리오비교'!$B$7))*SIN(RADIANS('13_시나리오비교'!$C$7))+$H755*SIN(RADIANS('13_시나리오비교'!$B$7))*COS(RADIANS('13_시나리오비교'!$C$7))+$I755*COS(RADIANS('13_시나리오비교'!$B$7))),0)</f>
        <v/>
      </c>
      <c r="S755" s="80">
        <f>IF($I755&gt;0,MAX(0,$G755*SIN(RADIANS('13_시나리오비교'!$B$8))*SIN(RADIANS('13_시나리오비교'!$C$8))+$H755*SIN(RADIANS('13_시나리오비교'!$B$8))*COS(RADIANS('13_시나리오비교'!$C$8))+$I755*COS(RADIANS('13_시나리오비교'!$B$8))),0)</f>
        <v/>
      </c>
      <c r="T755" s="80">
        <f>IF($I755&gt;0,MAX(0,$G755*SIN(RADIANS('13_시나리오비교'!$B$9))*SIN(RADIANS('13_시나리오비교'!$C$9))+$H755*SIN(RADIANS('13_시나리오비교'!$B$9))*COS(RADIANS('13_시나리오비교'!$C$9))+$I755*COS(RADIANS('13_시나리오비교'!$B$9))),0)</f>
        <v/>
      </c>
      <c r="U755" s="80">
        <f>IF($I755&gt;0,MAX(0,$G755*SIN(RADIANS('13_시나리오비교'!$B$10))*SIN(RADIANS('13_시나리오비교'!$C$10))+$H755*SIN(RADIANS('13_시나리오비교'!$B$10))*COS(RADIANS('13_시나리오비교'!$C$10))+$I755*COS(RADIANS('13_시나리오비교'!$B$10))),0)</f>
        <v/>
      </c>
      <c r="V755" s="80">
        <f>IF($I755&gt;0,MAX(0,$G755*SIN(RADIANS('13_시나리오비교'!$B$11))*SIN(RADIANS('13_시나리오비교'!$C$11))+$H755*SIN(RADIANS('13_시나리오비교'!$B$11))*COS(RADIANS('13_시나리오비교'!$C$11))+$I755*COS(RADIANS('13_시나리오비교'!$B$11))),0)</f>
        <v/>
      </c>
      <c r="W755" s="80">
        <f>IF($I755&gt;0,MAX(0,$G755*SIN(RADIANS('13_시나리오비교'!$B$12))*SIN(RADIANS('13_시나리오비교'!$C$12))+$H755*SIN(RADIANS('13_시나리오비교'!$B$12))*COS(RADIANS('13_시나리오비교'!$C$12))+$I755*COS(RADIANS('13_시나리오비교'!$B$12))),0)</f>
        <v/>
      </c>
      <c r="X755" s="80">
        <f>IF($I755&gt;0,MAX(0,$G755*SIN(RADIANS('13_시나리오비교'!$B$13))*SIN(RADIANS('13_시나리오비교'!$C$13))+$H755*SIN(RADIANS('13_시나리오비교'!$B$13))*COS(RADIANS('13_시나리오비교'!$C$13))+$I755*COS(RADIANS('13_시나리오비교'!$B$13))),0)</f>
        <v/>
      </c>
      <c r="Y755" s="80">
        <f>IF($I755&gt;0,MAX(0,$G755*SIN(RADIANS('13_시나리오비교'!$B$14))*SIN(RADIANS('13_시나리오비교'!$C$14))+$H755*SIN(RADIANS('13_시나리오비교'!$B$14))*COS(RADIANS('13_시나리오비교'!$C$14))+$I755*COS(RADIANS('13_시나리오비교'!$B$14))),0)</f>
        <v/>
      </c>
    </row>
    <row r="756" hidden="1" outlineLevel="1">
      <c r="A756" s="79" t="n">
        <v>8</v>
      </c>
      <c r="B756" s="79" t="n">
        <v>64</v>
      </c>
      <c r="C756" s="80">
        <f>(B756-0.5)*'14_지역·상수'!$H$6</f>
        <v/>
      </c>
      <c r="D756" s="79" t="n">
        <v>228</v>
      </c>
      <c r="E756" s="80">
        <f>INDEX($C$4:$C$15,MATCH(A756,$A$4:$A$15,0))</f>
        <v/>
      </c>
      <c r="F756" s="80">
        <f>15*(C756-12)</f>
        <v/>
      </c>
      <c r="G756" s="80">
        <f>-COS(RADIANS(E756))*SIN(RADIANS(F756))</f>
        <v/>
      </c>
      <c r="H756" s="80">
        <f>COS(RADIANS('11_발전량_모델'!$B$17))*SIN(RADIANS(E756))-SIN(RADIANS('11_발전량_모델'!$B$17))*COS(RADIANS(E756))*COS(RADIANS(F756))</f>
        <v/>
      </c>
      <c r="I756" s="80">
        <f>SIN(RADIANS('11_발전량_모델'!$B$17))*SIN(RADIANS(E756))+COS(RADIANS('11_발전량_모델'!$B$17))*COS(RADIANS(E756))*COS(RADIANS(F756))</f>
        <v/>
      </c>
      <c r="J756" s="80">
        <f>SIN(RADIANS('11_발전량_모델'!$B$7))*SIN(RADIANS('11_발전량_모델'!$B$8))</f>
        <v/>
      </c>
      <c r="K756" s="80">
        <f>SIN(RADIANS('11_발전량_모델'!$B$7))*COS(RADIANS('11_발전량_모델'!$B$8))</f>
        <v/>
      </c>
      <c r="L756" s="80">
        <f>COS(RADIANS('11_발전량_모델'!$B$7))</f>
        <v/>
      </c>
      <c r="M756" s="80">
        <f>G756*J756+H756*K756+I756*L756</f>
        <v/>
      </c>
      <c r="N756" s="80">
        <f>MAX(0,I756)</f>
        <v/>
      </c>
      <c r="O756" s="80">
        <f>IF(I756&gt;0,MAX(0,M756),0)</f>
        <v/>
      </c>
      <c r="P756" s="80">
        <f>IF($I756&gt;0,MAX(0,$G756*SIN(RADIANS('13_시나리오비교'!$B$5))*SIN(RADIANS('13_시나리오비교'!$C$5))+$H756*SIN(RADIANS('13_시나리오비교'!$B$5))*COS(RADIANS('13_시나리오비교'!$C$5))+$I756*COS(RADIANS('13_시나리오비교'!$B$5))),0)</f>
        <v/>
      </c>
      <c r="Q756" s="80">
        <f>IF($I756&gt;0,MAX(0,$G756*SIN(RADIANS('13_시나리오비교'!$B$6))*SIN(RADIANS('13_시나리오비교'!$C$6))+$H756*SIN(RADIANS('13_시나리오비교'!$B$6))*COS(RADIANS('13_시나리오비교'!$C$6))+$I756*COS(RADIANS('13_시나리오비교'!$B$6))),0)</f>
        <v/>
      </c>
      <c r="R756" s="80">
        <f>IF($I756&gt;0,MAX(0,$G756*SIN(RADIANS('13_시나리오비교'!$B$7))*SIN(RADIANS('13_시나리오비교'!$C$7))+$H756*SIN(RADIANS('13_시나리오비교'!$B$7))*COS(RADIANS('13_시나리오비교'!$C$7))+$I756*COS(RADIANS('13_시나리오비교'!$B$7))),0)</f>
        <v/>
      </c>
      <c r="S756" s="80">
        <f>IF($I756&gt;0,MAX(0,$G756*SIN(RADIANS('13_시나리오비교'!$B$8))*SIN(RADIANS('13_시나리오비교'!$C$8))+$H756*SIN(RADIANS('13_시나리오비교'!$B$8))*COS(RADIANS('13_시나리오비교'!$C$8))+$I756*COS(RADIANS('13_시나리오비교'!$B$8))),0)</f>
        <v/>
      </c>
      <c r="T756" s="80">
        <f>IF($I756&gt;0,MAX(0,$G756*SIN(RADIANS('13_시나리오비교'!$B$9))*SIN(RADIANS('13_시나리오비교'!$C$9))+$H756*SIN(RADIANS('13_시나리오비교'!$B$9))*COS(RADIANS('13_시나리오비교'!$C$9))+$I756*COS(RADIANS('13_시나리오비교'!$B$9))),0)</f>
        <v/>
      </c>
      <c r="U756" s="80">
        <f>IF($I756&gt;0,MAX(0,$G756*SIN(RADIANS('13_시나리오비교'!$B$10))*SIN(RADIANS('13_시나리오비교'!$C$10))+$H756*SIN(RADIANS('13_시나리오비교'!$B$10))*COS(RADIANS('13_시나리오비교'!$C$10))+$I756*COS(RADIANS('13_시나리오비교'!$B$10))),0)</f>
        <v/>
      </c>
      <c r="V756" s="80">
        <f>IF($I756&gt;0,MAX(0,$G756*SIN(RADIANS('13_시나리오비교'!$B$11))*SIN(RADIANS('13_시나리오비교'!$C$11))+$H756*SIN(RADIANS('13_시나리오비교'!$B$11))*COS(RADIANS('13_시나리오비교'!$C$11))+$I756*COS(RADIANS('13_시나리오비교'!$B$11))),0)</f>
        <v/>
      </c>
      <c r="W756" s="80">
        <f>IF($I756&gt;0,MAX(0,$G756*SIN(RADIANS('13_시나리오비교'!$B$12))*SIN(RADIANS('13_시나리오비교'!$C$12))+$H756*SIN(RADIANS('13_시나리오비교'!$B$12))*COS(RADIANS('13_시나리오비교'!$C$12))+$I756*COS(RADIANS('13_시나리오비교'!$B$12))),0)</f>
        <v/>
      </c>
      <c r="X756" s="80">
        <f>IF($I756&gt;0,MAX(0,$G756*SIN(RADIANS('13_시나리오비교'!$B$13))*SIN(RADIANS('13_시나리오비교'!$C$13))+$H756*SIN(RADIANS('13_시나리오비교'!$B$13))*COS(RADIANS('13_시나리오비교'!$C$13))+$I756*COS(RADIANS('13_시나리오비교'!$B$13))),0)</f>
        <v/>
      </c>
      <c r="Y756" s="80">
        <f>IF($I756&gt;0,MAX(0,$G756*SIN(RADIANS('13_시나리오비교'!$B$14))*SIN(RADIANS('13_시나리오비교'!$C$14))+$H756*SIN(RADIANS('13_시나리오비교'!$B$14))*COS(RADIANS('13_시나리오비교'!$C$14))+$I756*COS(RADIANS('13_시나리오비교'!$B$14))),0)</f>
        <v/>
      </c>
    </row>
    <row r="757" hidden="1" outlineLevel="1">
      <c r="A757" s="79" t="n">
        <v>8</v>
      </c>
      <c r="B757" s="79" t="n">
        <v>65</v>
      </c>
      <c r="C757" s="80">
        <f>(B757-0.5)*'14_지역·상수'!$H$6</f>
        <v/>
      </c>
      <c r="D757" s="79" t="n">
        <v>228</v>
      </c>
      <c r="E757" s="80">
        <f>INDEX($C$4:$C$15,MATCH(A757,$A$4:$A$15,0))</f>
        <v/>
      </c>
      <c r="F757" s="80">
        <f>15*(C757-12)</f>
        <v/>
      </c>
      <c r="G757" s="80">
        <f>-COS(RADIANS(E757))*SIN(RADIANS(F757))</f>
        <v/>
      </c>
      <c r="H757" s="80">
        <f>COS(RADIANS('11_발전량_모델'!$B$17))*SIN(RADIANS(E757))-SIN(RADIANS('11_발전량_모델'!$B$17))*COS(RADIANS(E757))*COS(RADIANS(F757))</f>
        <v/>
      </c>
      <c r="I757" s="80">
        <f>SIN(RADIANS('11_발전량_모델'!$B$17))*SIN(RADIANS(E757))+COS(RADIANS('11_발전량_모델'!$B$17))*COS(RADIANS(E757))*COS(RADIANS(F757))</f>
        <v/>
      </c>
      <c r="J757" s="80">
        <f>SIN(RADIANS('11_발전량_모델'!$B$7))*SIN(RADIANS('11_발전량_모델'!$B$8))</f>
        <v/>
      </c>
      <c r="K757" s="80">
        <f>SIN(RADIANS('11_발전량_모델'!$B$7))*COS(RADIANS('11_발전량_모델'!$B$8))</f>
        <v/>
      </c>
      <c r="L757" s="80">
        <f>COS(RADIANS('11_발전량_모델'!$B$7))</f>
        <v/>
      </c>
      <c r="M757" s="80">
        <f>G757*J757+H757*K757+I757*L757</f>
        <v/>
      </c>
      <c r="N757" s="80">
        <f>MAX(0,I757)</f>
        <v/>
      </c>
      <c r="O757" s="80">
        <f>IF(I757&gt;0,MAX(0,M757),0)</f>
        <v/>
      </c>
      <c r="P757" s="80">
        <f>IF($I757&gt;0,MAX(0,$G757*SIN(RADIANS('13_시나리오비교'!$B$5))*SIN(RADIANS('13_시나리오비교'!$C$5))+$H757*SIN(RADIANS('13_시나리오비교'!$B$5))*COS(RADIANS('13_시나리오비교'!$C$5))+$I757*COS(RADIANS('13_시나리오비교'!$B$5))),0)</f>
        <v/>
      </c>
      <c r="Q757" s="80">
        <f>IF($I757&gt;0,MAX(0,$G757*SIN(RADIANS('13_시나리오비교'!$B$6))*SIN(RADIANS('13_시나리오비교'!$C$6))+$H757*SIN(RADIANS('13_시나리오비교'!$B$6))*COS(RADIANS('13_시나리오비교'!$C$6))+$I757*COS(RADIANS('13_시나리오비교'!$B$6))),0)</f>
        <v/>
      </c>
      <c r="R757" s="80">
        <f>IF($I757&gt;0,MAX(0,$G757*SIN(RADIANS('13_시나리오비교'!$B$7))*SIN(RADIANS('13_시나리오비교'!$C$7))+$H757*SIN(RADIANS('13_시나리오비교'!$B$7))*COS(RADIANS('13_시나리오비교'!$C$7))+$I757*COS(RADIANS('13_시나리오비교'!$B$7))),0)</f>
        <v/>
      </c>
      <c r="S757" s="80">
        <f>IF($I757&gt;0,MAX(0,$G757*SIN(RADIANS('13_시나리오비교'!$B$8))*SIN(RADIANS('13_시나리오비교'!$C$8))+$H757*SIN(RADIANS('13_시나리오비교'!$B$8))*COS(RADIANS('13_시나리오비교'!$C$8))+$I757*COS(RADIANS('13_시나리오비교'!$B$8))),0)</f>
        <v/>
      </c>
      <c r="T757" s="80">
        <f>IF($I757&gt;0,MAX(0,$G757*SIN(RADIANS('13_시나리오비교'!$B$9))*SIN(RADIANS('13_시나리오비교'!$C$9))+$H757*SIN(RADIANS('13_시나리오비교'!$B$9))*COS(RADIANS('13_시나리오비교'!$C$9))+$I757*COS(RADIANS('13_시나리오비교'!$B$9))),0)</f>
        <v/>
      </c>
      <c r="U757" s="80">
        <f>IF($I757&gt;0,MAX(0,$G757*SIN(RADIANS('13_시나리오비교'!$B$10))*SIN(RADIANS('13_시나리오비교'!$C$10))+$H757*SIN(RADIANS('13_시나리오비교'!$B$10))*COS(RADIANS('13_시나리오비교'!$C$10))+$I757*COS(RADIANS('13_시나리오비교'!$B$10))),0)</f>
        <v/>
      </c>
      <c r="V757" s="80">
        <f>IF($I757&gt;0,MAX(0,$G757*SIN(RADIANS('13_시나리오비교'!$B$11))*SIN(RADIANS('13_시나리오비교'!$C$11))+$H757*SIN(RADIANS('13_시나리오비교'!$B$11))*COS(RADIANS('13_시나리오비교'!$C$11))+$I757*COS(RADIANS('13_시나리오비교'!$B$11))),0)</f>
        <v/>
      </c>
      <c r="W757" s="80">
        <f>IF($I757&gt;0,MAX(0,$G757*SIN(RADIANS('13_시나리오비교'!$B$12))*SIN(RADIANS('13_시나리오비교'!$C$12))+$H757*SIN(RADIANS('13_시나리오비교'!$B$12))*COS(RADIANS('13_시나리오비교'!$C$12))+$I757*COS(RADIANS('13_시나리오비교'!$B$12))),0)</f>
        <v/>
      </c>
      <c r="X757" s="80">
        <f>IF($I757&gt;0,MAX(0,$G757*SIN(RADIANS('13_시나리오비교'!$B$13))*SIN(RADIANS('13_시나리오비교'!$C$13))+$H757*SIN(RADIANS('13_시나리오비교'!$B$13))*COS(RADIANS('13_시나리오비교'!$C$13))+$I757*COS(RADIANS('13_시나리오비교'!$B$13))),0)</f>
        <v/>
      </c>
      <c r="Y757" s="80">
        <f>IF($I757&gt;0,MAX(0,$G757*SIN(RADIANS('13_시나리오비교'!$B$14))*SIN(RADIANS('13_시나리오비교'!$C$14))+$H757*SIN(RADIANS('13_시나리오비교'!$B$14))*COS(RADIANS('13_시나리오비교'!$C$14))+$I757*COS(RADIANS('13_시나리오비교'!$B$14))),0)</f>
        <v/>
      </c>
    </row>
    <row r="758" hidden="1" outlineLevel="1">
      <c r="A758" s="79" t="n">
        <v>8</v>
      </c>
      <c r="B758" s="79" t="n">
        <v>66</v>
      </c>
      <c r="C758" s="80">
        <f>(B758-0.5)*'14_지역·상수'!$H$6</f>
        <v/>
      </c>
      <c r="D758" s="79" t="n">
        <v>228</v>
      </c>
      <c r="E758" s="80">
        <f>INDEX($C$4:$C$15,MATCH(A758,$A$4:$A$15,0))</f>
        <v/>
      </c>
      <c r="F758" s="80">
        <f>15*(C758-12)</f>
        <v/>
      </c>
      <c r="G758" s="80">
        <f>-COS(RADIANS(E758))*SIN(RADIANS(F758))</f>
        <v/>
      </c>
      <c r="H758" s="80">
        <f>COS(RADIANS('11_발전량_모델'!$B$17))*SIN(RADIANS(E758))-SIN(RADIANS('11_발전량_모델'!$B$17))*COS(RADIANS(E758))*COS(RADIANS(F758))</f>
        <v/>
      </c>
      <c r="I758" s="80">
        <f>SIN(RADIANS('11_발전량_모델'!$B$17))*SIN(RADIANS(E758))+COS(RADIANS('11_발전량_모델'!$B$17))*COS(RADIANS(E758))*COS(RADIANS(F758))</f>
        <v/>
      </c>
      <c r="J758" s="80">
        <f>SIN(RADIANS('11_발전량_모델'!$B$7))*SIN(RADIANS('11_발전량_모델'!$B$8))</f>
        <v/>
      </c>
      <c r="K758" s="80">
        <f>SIN(RADIANS('11_발전량_모델'!$B$7))*COS(RADIANS('11_발전량_모델'!$B$8))</f>
        <v/>
      </c>
      <c r="L758" s="80">
        <f>COS(RADIANS('11_발전량_모델'!$B$7))</f>
        <v/>
      </c>
      <c r="M758" s="80">
        <f>G758*J758+H758*K758+I758*L758</f>
        <v/>
      </c>
      <c r="N758" s="80">
        <f>MAX(0,I758)</f>
        <v/>
      </c>
      <c r="O758" s="80">
        <f>IF(I758&gt;0,MAX(0,M758),0)</f>
        <v/>
      </c>
      <c r="P758" s="80">
        <f>IF($I758&gt;0,MAX(0,$G758*SIN(RADIANS('13_시나리오비교'!$B$5))*SIN(RADIANS('13_시나리오비교'!$C$5))+$H758*SIN(RADIANS('13_시나리오비교'!$B$5))*COS(RADIANS('13_시나리오비교'!$C$5))+$I758*COS(RADIANS('13_시나리오비교'!$B$5))),0)</f>
        <v/>
      </c>
      <c r="Q758" s="80">
        <f>IF($I758&gt;0,MAX(0,$G758*SIN(RADIANS('13_시나리오비교'!$B$6))*SIN(RADIANS('13_시나리오비교'!$C$6))+$H758*SIN(RADIANS('13_시나리오비교'!$B$6))*COS(RADIANS('13_시나리오비교'!$C$6))+$I758*COS(RADIANS('13_시나리오비교'!$B$6))),0)</f>
        <v/>
      </c>
      <c r="R758" s="80">
        <f>IF($I758&gt;0,MAX(0,$G758*SIN(RADIANS('13_시나리오비교'!$B$7))*SIN(RADIANS('13_시나리오비교'!$C$7))+$H758*SIN(RADIANS('13_시나리오비교'!$B$7))*COS(RADIANS('13_시나리오비교'!$C$7))+$I758*COS(RADIANS('13_시나리오비교'!$B$7))),0)</f>
        <v/>
      </c>
      <c r="S758" s="80">
        <f>IF($I758&gt;0,MAX(0,$G758*SIN(RADIANS('13_시나리오비교'!$B$8))*SIN(RADIANS('13_시나리오비교'!$C$8))+$H758*SIN(RADIANS('13_시나리오비교'!$B$8))*COS(RADIANS('13_시나리오비교'!$C$8))+$I758*COS(RADIANS('13_시나리오비교'!$B$8))),0)</f>
        <v/>
      </c>
      <c r="T758" s="80">
        <f>IF($I758&gt;0,MAX(0,$G758*SIN(RADIANS('13_시나리오비교'!$B$9))*SIN(RADIANS('13_시나리오비교'!$C$9))+$H758*SIN(RADIANS('13_시나리오비교'!$B$9))*COS(RADIANS('13_시나리오비교'!$C$9))+$I758*COS(RADIANS('13_시나리오비교'!$B$9))),0)</f>
        <v/>
      </c>
      <c r="U758" s="80">
        <f>IF($I758&gt;0,MAX(0,$G758*SIN(RADIANS('13_시나리오비교'!$B$10))*SIN(RADIANS('13_시나리오비교'!$C$10))+$H758*SIN(RADIANS('13_시나리오비교'!$B$10))*COS(RADIANS('13_시나리오비교'!$C$10))+$I758*COS(RADIANS('13_시나리오비교'!$B$10))),0)</f>
        <v/>
      </c>
      <c r="V758" s="80">
        <f>IF($I758&gt;0,MAX(0,$G758*SIN(RADIANS('13_시나리오비교'!$B$11))*SIN(RADIANS('13_시나리오비교'!$C$11))+$H758*SIN(RADIANS('13_시나리오비교'!$B$11))*COS(RADIANS('13_시나리오비교'!$C$11))+$I758*COS(RADIANS('13_시나리오비교'!$B$11))),0)</f>
        <v/>
      </c>
      <c r="W758" s="80">
        <f>IF($I758&gt;0,MAX(0,$G758*SIN(RADIANS('13_시나리오비교'!$B$12))*SIN(RADIANS('13_시나리오비교'!$C$12))+$H758*SIN(RADIANS('13_시나리오비교'!$B$12))*COS(RADIANS('13_시나리오비교'!$C$12))+$I758*COS(RADIANS('13_시나리오비교'!$B$12))),0)</f>
        <v/>
      </c>
      <c r="X758" s="80">
        <f>IF($I758&gt;0,MAX(0,$G758*SIN(RADIANS('13_시나리오비교'!$B$13))*SIN(RADIANS('13_시나리오비교'!$C$13))+$H758*SIN(RADIANS('13_시나리오비교'!$B$13))*COS(RADIANS('13_시나리오비교'!$C$13))+$I758*COS(RADIANS('13_시나리오비교'!$B$13))),0)</f>
        <v/>
      </c>
      <c r="Y758" s="80">
        <f>IF($I758&gt;0,MAX(0,$G758*SIN(RADIANS('13_시나리오비교'!$B$14))*SIN(RADIANS('13_시나리오비교'!$C$14))+$H758*SIN(RADIANS('13_시나리오비교'!$B$14))*COS(RADIANS('13_시나리오비교'!$C$14))+$I758*COS(RADIANS('13_시나리오비교'!$B$14))),0)</f>
        <v/>
      </c>
    </row>
    <row r="759" hidden="1" outlineLevel="1">
      <c r="A759" s="79" t="n">
        <v>8</v>
      </c>
      <c r="B759" s="79" t="n">
        <v>67</v>
      </c>
      <c r="C759" s="80">
        <f>(B759-0.5)*'14_지역·상수'!$H$6</f>
        <v/>
      </c>
      <c r="D759" s="79" t="n">
        <v>228</v>
      </c>
      <c r="E759" s="80">
        <f>INDEX($C$4:$C$15,MATCH(A759,$A$4:$A$15,0))</f>
        <v/>
      </c>
      <c r="F759" s="80">
        <f>15*(C759-12)</f>
        <v/>
      </c>
      <c r="G759" s="80">
        <f>-COS(RADIANS(E759))*SIN(RADIANS(F759))</f>
        <v/>
      </c>
      <c r="H759" s="80">
        <f>COS(RADIANS('11_발전량_모델'!$B$17))*SIN(RADIANS(E759))-SIN(RADIANS('11_발전량_모델'!$B$17))*COS(RADIANS(E759))*COS(RADIANS(F759))</f>
        <v/>
      </c>
      <c r="I759" s="80">
        <f>SIN(RADIANS('11_발전량_모델'!$B$17))*SIN(RADIANS(E759))+COS(RADIANS('11_발전량_모델'!$B$17))*COS(RADIANS(E759))*COS(RADIANS(F759))</f>
        <v/>
      </c>
      <c r="J759" s="80">
        <f>SIN(RADIANS('11_발전량_모델'!$B$7))*SIN(RADIANS('11_발전량_모델'!$B$8))</f>
        <v/>
      </c>
      <c r="K759" s="80">
        <f>SIN(RADIANS('11_발전량_모델'!$B$7))*COS(RADIANS('11_발전량_모델'!$B$8))</f>
        <v/>
      </c>
      <c r="L759" s="80">
        <f>COS(RADIANS('11_발전량_모델'!$B$7))</f>
        <v/>
      </c>
      <c r="M759" s="80">
        <f>G759*J759+H759*K759+I759*L759</f>
        <v/>
      </c>
      <c r="N759" s="80">
        <f>MAX(0,I759)</f>
        <v/>
      </c>
      <c r="O759" s="80">
        <f>IF(I759&gt;0,MAX(0,M759),0)</f>
        <v/>
      </c>
      <c r="P759" s="80">
        <f>IF($I759&gt;0,MAX(0,$G759*SIN(RADIANS('13_시나리오비교'!$B$5))*SIN(RADIANS('13_시나리오비교'!$C$5))+$H759*SIN(RADIANS('13_시나리오비교'!$B$5))*COS(RADIANS('13_시나리오비교'!$C$5))+$I759*COS(RADIANS('13_시나리오비교'!$B$5))),0)</f>
        <v/>
      </c>
      <c r="Q759" s="80">
        <f>IF($I759&gt;0,MAX(0,$G759*SIN(RADIANS('13_시나리오비교'!$B$6))*SIN(RADIANS('13_시나리오비교'!$C$6))+$H759*SIN(RADIANS('13_시나리오비교'!$B$6))*COS(RADIANS('13_시나리오비교'!$C$6))+$I759*COS(RADIANS('13_시나리오비교'!$B$6))),0)</f>
        <v/>
      </c>
      <c r="R759" s="80">
        <f>IF($I759&gt;0,MAX(0,$G759*SIN(RADIANS('13_시나리오비교'!$B$7))*SIN(RADIANS('13_시나리오비교'!$C$7))+$H759*SIN(RADIANS('13_시나리오비교'!$B$7))*COS(RADIANS('13_시나리오비교'!$C$7))+$I759*COS(RADIANS('13_시나리오비교'!$B$7))),0)</f>
        <v/>
      </c>
      <c r="S759" s="80">
        <f>IF($I759&gt;0,MAX(0,$G759*SIN(RADIANS('13_시나리오비교'!$B$8))*SIN(RADIANS('13_시나리오비교'!$C$8))+$H759*SIN(RADIANS('13_시나리오비교'!$B$8))*COS(RADIANS('13_시나리오비교'!$C$8))+$I759*COS(RADIANS('13_시나리오비교'!$B$8))),0)</f>
        <v/>
      </c>
      <c r="T759" s="80">
        <f>IF($I759&gt;0,MAX(0,$G759*SIN(RADIANS('13_시나리오비교'!$B$9))*SIN(RADIANS('13_시나리오비교'!$C$9))+$H759*SIN(RADIANS('13_시나리오비교'!$B$9))*COS(RADIANS('13_시나리오비교'!$C$9))+$I759*COS(RADIANS('13_시나리오비교'!$B$9))),0)</f>
        <v/>
      </c>
      <c r="U759" s="80">
        <f>IF($I759&gt;0,MAX(0,$G759*SIN(RADIANS('13_시나리오비교'!$B$10))*SIN(RADIANS('13_시나리오비교'!$C$10))+$H759*SIN(RADIANS('13_시나리오비교'!$B$10))*COS(RADIANS('13_시나리오비교'!$C$10))+$I759*COS(RADIANS('13_시나리오비교'!$B$10))),0)</f>
        <v/>
      </c>
      <c r="V759" s="80">
        <f>IF($I759&gt;0,MAX(0,$G759*SIN(RADIANS('13_시나리오비교'!$B$11))*SIN(RADIANS('13_시나리오비교'!$C$11))+$H759*SIN(RADIANS('13_시나리오비교'!$B$11))*COS(RADIANS('13_시나리오비교'!$C$11))+$I759*COS(RADIANS('13_시나리오비교'!$B$11))),0)</f>
        <v/>
      </c>
      <c r="W759" s="80">
        <f>IF($I759&gt;0,MAX(0,$G759*SIN(RADIANS('13_시나리오비교'!$B$12))*SIN(RADIANS('13_시나리오비교'!$C$12))+$H759*SIN(RADIANS('13_시나리오비교'!$B$12))*COS(RADIANS('13_시나리오비교'!$C$12))+$I759*COS(RADIANS('13_시나리오비교'!$B$12))),0)</f>
        <v/>
      </c>
      <c r="X759" s="80">
        <f>IF($I759&gt;0,MAX(0,$G759*SIN(RADIANS('13_시나리오비교'!$B$13))*SIN(RADIANS('13_시나리오비교'!$C$13))+$H759*SIN(RADIANS('13_시나리오비교'!$B$13))*COS(RADIANS('13_시나리오비교'!$C$13))+$I759*COS(RADIANS('13_시나리오비교'!$B$13))),0)</f>
        <v/>
      </c>
      <c r="Y759" s="80">
        <f>IF($I759&gt;0,MAX(0,$G759*SIN(RADIANS('13_시나리오비교'!$B$14))*SIN(RADIANS('13_시나리오비교'!$C$14))+$H759*SIN(RADIANS('13_시나리오비교'!$B$14))*COS(RADIANS('13_시나리오비교'!$C$14))+$I759*COS(RADIANS('13_시나리오비교'!$B$14))),0)</f>
        <v/>
      </c>
    </row>
    <row r="760" hidden="1" outlineLevel="1">
      <c r="A760" s="79" t="n">
        <v>8</v>
      </c>
      <c r="B760" s="79" t="n">
        <v>68</v>
      </c>
      <c r="C760" s="80">
        <f>(B760-0.5)*'14_지역·상수'!$H$6</f>
        <v/>
      </c>
      <c r="D760" s="79" t="n">
        <v>228</v>
      </c>
      <c r="E760" s="80">
        <f>INDEX($C$4:$C$15,MATCH(A760,$A$4:$A$15,0))</f>
        <v/>
      </c>
      <c r="F760" s="80">
        <f>15*(C760-12)</f>
        <v/>
      </c>
      <c r="G760" s="80">
        <f>-COS(RADIANS(E760))*SIN(RADIANS(F760))</f>
        <v/>
      </c>
      <c r="H760" s="80">
        <f>COS(RADIANS('11_발전량_모델'!$B$17))*SIN(RADIANS(E760))-SIN(RADIANS('11_발전량_모델'!$B$17))*COS(RADIANS(E760))*COS(RADIANS(F760))</f>
        <v/>
      </c>
      <c r="I760" s="80">
        <f>SIN(RADIANS('11_발전량_모델'!$B$17))*SIN(RADIANS(E760))+COS(RADIANS('11_발전량_모델'!$B$17))*COS(RADIANS(E760))*COS(RADIANS(F760))</f>
        <v/>
      </c>
      <c r="J760" s="80">
        <f>SIN(RADIANS('11_발전량_모델'!$B$7))*SIN(RADIANS('11_발전량_모델'!$B$8))</f>
        <v/>
      </c>
      <c r="K760" s="80">
        <f>SIN(RADIANS('11_발전량_모델'!$B$7))*COS(RADIANS('11_발전량_모델'!$B$8))</f>
        <v/>
      </c>
      <c r="L760" s="80">
        <f>COS(RADIANS('11_발전량_모델'!$B$7))</f>
        <v/>
      </c>
      <c r="M760" s="80">
        <f>G760*J760+H760*K760+I760*L760</f>
        <v/>
      </c>
      <c r="N760" s="80">
        <f>MAX(0,I760)</f>
        <v/>
      </c>
      <c r="O760" s="80">
        <f>IF(I760&gt;0,MAX(0,M760),0)</f>
        <v/>
      </c>
      <c r="P760" s="80">
        <f>IF($I760&gt;0,MAX(0,$G760*SIN(RADIANS('13_시나리오비교'!$B$5))*SIN(RADIANS('13_시나리오비교'!$C$5))+$H760*SIN(RADIANS('13_시나리오비교'!$B$5))*COS(RADIANS('13_시나리오비교'!$C$5))+$I760*COS(RADIANS('13_시나리오비교'!$B$5))),0)</f>
        <v/>
      </c>
      <c r="Q760" s="80">
        <f>IF($I760&gt;0,MAX(0,$G760*SIN(RADIANS('13_시나리오비교'!$B$6))*SIN(RADIANS('13_시나리오비교'!$C$6))+$H760*SIN(RADIANS('13_시나리오비교'!$B$6))*COS(RADIANS('13_시나리오비교'!$C$6))+$I760*COS(RADIANS('13_시나리오비교'!$B$6))),0)</f>
        <v/>
      </c>
      <c r="R760" s="80">
        <f>IF($I760&gt;0,MAX(0,$G760*SIN(RADIANS('13_시나리오비교'!$B$7))*SIN(RADIANS('13_시나리오비교'!$C$7))+$H760*SIN(RADIANS('13_시나리오비교'!$B$7))*COS(RADIANS('13_시나리오비교'!$C$7))+$I760*COS(RADIANS('13_시나리오비교'!$B$7))),0)</f>
        <v/>
      </c>
      <c r="S760" s="80">
        <f>IF($I760&gt;0,MAX(0,$G760*SIN(RADIANS('13_시나리오비교'!$B$8))*SIN(RADIANS('13_시나리오비교'!$C$8))+$H760*SIN(RADIANS('13_시나리오비교'!$B$8))*COS(RADIANS('13_시나리오비교'!$C$8))+$I760*COS(RADIANS('13_시나리오비교'!$B$8))),0)</f>
        <v/>
      </c>
      <c r="T760" s="80">
        <f>IF($I760&gt;0,MAX(0,$G760*SIN(RADIANS('13_시나리오비교'!$B$9))*SIN(RADIANS('13_시나리오비교'!$C$9))+$H760*SIN(RADIANS('13_시나리오비교'!$B$9))*COS(RADIANS('13_시나리오비교'!$C$9))+$I760*COS(RADIANS('13_시나리오비교'!$B$9))),0)</f>
        <v/>
      </c>
      <c r="U760" s="80">
        <f>IF($I760&gt;0,MAX(0,$G760*SIN(RADIANS('13_시나리오비교'!$B$10))*SIN(RADIANS('13_시나리오비교'!$C$10))+$H760*SIN(RADIANS('13_시나리오비교'!$B$10))*COS(RADIANS('13_시나리오비교'!$C$10))+$I760*COS(RADIANS('13_시나리오비교'!$B$10))),0)</f>
        <v/>
      </c>
      <c r="V760" s="80">
        <f>IF($I760&gt;0,MAX(0,$G760*SIN(RADIANS('13_시나리오비교'!$B$11))*SIN(RADIANS('13_시나리오비교'!$C$11))+$H760*SIN(RADIANS('13_시나리오비교'!$B$11))*COS(RADIANS('13_시나리오비교'!$C$11))+$I760*COS(RADIANS('13_시나리오비교'!$B$11))),0)</f>
        <v/>
      </c>
      <c r="W760" s="80">
        <f>IF($I760&gt;0,MAX(0,$G760*SIN(RADIANS('13_시나리오비교'!$B$12))*SIN(RADIANS('13_시나리오비교'!$C$12))+$H760*SIN(RADIANS('13_시나리오비교'!$B$12))*COS(RADIANS('13_시나리오비교'!$C$12))+$I760*COS(RADIANS('13_시나리오비교'!$B$12))),0)</f>
        <v/>
      </c>
      <c r="X760" s="80">
        <f>IF($I760&gt;0,MAX(0,$G760*SIN(RADIANS('13_시나리오비교'!$B$13))*SIN(RADIANS('13_시나리오비교'!$C$13))+$H760*SIN(RADIANS('13_시나리오비교'!$B$13))*COS(RADIANS('13_시나리오비교'!$C$13))+$I760*COS(RADIANS('13_시나리오비교'!$B$13))),0)</f>
        <v/>
      </c>
      <c r="Y760" s="80">
        <f>IF($I760&gt;0,MAX(0,$G760*SIN(RADIANS('13_시나리오비교'!$B$14))*SIN(RADIANS('13_시나리오비교'!$C$14))+$H760*SIN(RADIANS('13_시나리오비교'!$B$14))*COS(RADIANS('13_시나리오비교'!$C$14))+$I760*COS(RADIANS('13_시나리오비교'!$B$14))),0)</f>
        <v/>
      </c>
    </row>
    <row r="761" hidden="1" outlineLevel="1">
      <c r="A761" s="79" t="n">
        <v>8</v>
      </c>
      <c r="B761" s="79" t="n">
        <v>69</v>
      </c>
      <c r="C761" s="80">
        <f>(B761-0.5)*'14_지역·상수'!$H$6</f>
        <v/>
      </c>
      <c r="D761" s="79" t="n">
        <v>228</v>
      </c>
      <c r="E761" s="80">
        <f>INDEX($C$4:$C$15,MATCH(A761,$A$4:$A$15,0))</f>
        <v/>
      </c>
      <c r="F761" s="80">
        <f>15*(C761-12)</f>
        <v/>
      </c>
      <c r="G761" s="80">
        <f>-COS(RADIANS(E761))*SIN(RADIANS(F761))</f>
        <v/>
      </c>
      <c r="H761" s="80">
        <f>COS(RADIANS('11_발전량_모델'!$B$17))*SIN(RADIANS(E761))-SIN(RADIANS('11_발전량_모델'!$B$17))*COS(RADIANS(E761))*COS(RADIANS(F761))</f>
        <v/>
      </c>
      <c r="I761" s="80">
        <f>SIN(RADIANS('11_발전량_모델'!$B$17))*SIN(RADIANS(E761))+COS(RADIANS('11_발전량_모델'!$B$17))*COS(RADIANS(E761))*COS(RADIANS(F761))</f>
        <v/>
      </c>
      <c r="J761" s="80">
        <f>SIN(RADIANS('11_발전량_모델'!$B$7))*SIN(RADIANS('11_발전량_모델'!$B$8))</f>
        <v/>
      </c>
      <c r="K761" s="80">
        <f>SIN(RADIANS('11_발전량_모델'!$B$7))*COS(RADIANS('11_발전량_모델'!$B$8))</f>
        <v/>
      </c>
      <c r="L761" s="80">
        <f>COS(RADIANS('11_발전량_모델'!$B$7))</f>
        <v/>
      </c>
      <c r="M761" s="80">
        <f>G761*J761+H761*K761+I761*L761</f>
        <v/>
      </c>
      <c r="N761" s="80">
        <f>MAX(0,I761)</f>
        <v/>
      </c>
      <c r="O761" s="80">
        <f>IF(I761&gt;0,MAX(0,M761),0)</f>
        <v/>
      </c>
      <c r="P761" s="80">
        <f>IF($I761&gt;0,MAX(0,$G761*SIN(RADIANS('13_시나리오비교'!$B$5))*SIN(RADIANS('13_시나리오비교'!$C$5))+$H761*SIN(RADIANS('13_시나리오비교'!$B$5))*COS(RADIANS('13_시나리오비교'!$C$5))+$I761*COS(RADIANS('13_시나리오비교'!$B$5))),0)</f>
        <v/>
      </c>
      <c r="Q761" s="80">
        <f>IF($I761&gt;0,MAX(0,$G761*SIN(RADIANS('13_시나리오비교'!$B$6))*SIN(RADIANS('13_시나리오비교'!$C$6))+$H761*SIN(RADIANS('13_시나리오비교'!$B$6))*COS(RADIANS('13_시나리오비교'!$C$6))+$I761*COS(RADIANS('13_시나리오비교'!$B$6))),0)</f>
        <v/>
      </c>
      <c r="R761" s="80">
        <f>IF($I761&gt;0,MAX(0,$G761*SIN(RADIANS('13_시나리오비교'!$B$7))*SIN(RADIANS('13_시나리오비교'!$C$7))+$H761*SIN(RADIANS('13_시나리오비교'!$B$7))*COS(RADIANS('13_시나리오비교'!$C$7))+$I761*COS(RADIANS('13_시나리오비교'!$B$7))),0)</f>
        <v/>
      </c>
      <c r="S761" s="80">
        <f>IF($I761&gt;0,MAX(0,$G761*SIN(RADIANS('13_시나리오비교'!$B$8))*SIN(RADIANS('13_시나리오비교'!$C$8))+$H761*SIN(RADIANS('13_시나리오비교'!$B$8))*COS(RADIANS('13_시나리오비교'!$C$8))+$I761*COS(RADIANS('13_시나리오비교'!$B$8))),0)</f>
        <v/>
      </c>
      <c r="T761" s="80">
        <f>IF($I761&gt;0,MAX(0,$G761*SIN(RADIANS('13_시나리오비교'!$B$9))*SIN(RADIANS('13_시나리오비교'!$C$9))+$H761*SIN(RADIANS('13_시나리오비교'!$B$9))*COS(RADIANS('13_시나리오비교'!$C$9))+$I761*COS(RADIANS('13_시나리오비교'!$B$9))),0)</f>
        <v/>
      </c>
      <c r="U761" s="80">
        <f>IF($I761&gt;0,MAX(0,$G761*SIN(RADIANS('13_시나리오비교'!$B$10))*SIN(RADIANS('13_시나리오비교'!$C$10))+$H761*SIN(RADIANS('13_시나리오비교'!$B$10))*COS(RADIANS('13_시나리오비교'!$C$10))+$I761*COS(RADIANS('13_시나리오비교'!$B$10))),0)</f>
        <v/>
      </c>
      <c r="V761" s="80">
        <f>IF($I761&gt;0,MAX(0,$G761*SIN(RADIANS('13_시나리오비교'!$B$11))*SIN(RADIANS('13_시나리오비교'!$C$11))+$H761*SIN(RADIANS('13_시나리오비교'!$B$11))*COS(RADIANS('13_시나리오비교'!$C$11))+$I761*COS(RADIANS('13_시나리오비교'!$B$11))),0)</f>
        <v/>
      </c>
      <c r="W761" s="80">
        <f>IF($I761&gt;0,MAX(0,$G761*SIN(RADIANS('13_시나리오비교'!$B$12))*SIN(RADIANS('13_시나리오비교'!$C$12))+$H761*SIN(RADIANS('13_시나리오비교'!$B$12))*COS(RADIANS('13_시나리오비교'!$C$12))+$I761*COS(RADIANS('13_시나리오비교'!$B$12))),0)</f>
        <v/>
      </c>
      <c r="X761" s="80">
        <f>IF($I761&gt;0,MAX(0,$G761*SIN(RADIANS('13_시나리오비교'!$B$13))*SIN(RADIANS('13_시나리오비교'!$C$13))+$H761*SIN(RADIANS('13_시나리오비교'!$B$13))*COS(RADIANS('13_시나리오비교'!$C$13))+$I761*COS(RADIANS('13_시나리오비교'!$B$13))),0)</f>
        <v/>
      </c>
      <c r="Y761" s="80">
        <f>IF($I761&gt;0,MAX(0,$G761*SIN(RADIANS('13_시나리오비교'!$B$14))*SIN(RADIANS('13_시나리오비교'!$C$14))+$H761*SIN(RADIANS('13_시나리오비교'!$B$14))*COS(RADIANS('13_시나리오비교'!$C$14))+$I761*COS(RADIANS('13_시나리오비교'!$B$14))),0)</f>
        <v/>
      </c>
    </row>
    <row r="762" hidden="1" outlineLevel="1">
      <c r="A762" s="79" t="n">
        <v>8</v>
      </c>
      <c r="B762" s="79" t="n">
        <v>70</v>
      </c>
      <c r="C762" s="80">
        <f>(B762-0.5)*'14_지역·상수'!$H$6</f>
        <v/>
      </c>
      <c r="D762" s="79" t="n">
        <v>228</v>
      </c>
      <c r="E762" s="80">
        <f>INDEX($C$4:$C$15,MATCH(A762,$A$4:$A$15,0))</f>
        <v/>
      </c>
      <c r="F762" s="80">
        <f>15*(C762-12)</f>
        <v/>
      </c>
      <c r="G762" s="80">
        <f>-COS(RADIANS(E762))*SIN(RADIANS(F762))</f>
        <v/>
      </c>
      <c r="H762" s="80">
        <f>COS(RADIANS('11_발전량_모델'!$B$17))*SIN(RADIANS(E762))-SIN(RADIANS('11_발전량_모델'!$B$17))*COS(RADIANS(E762))*COS(RADIANS(F762))</f>
        <v/>
      </c>
      <c r="I762" s="80">
        <f>SIN(RADIANS('11_발전량_모델'!$B$17))*SIN(RADIANS(E762))+COS(RADIANS('11_발전량_모델'!$B$17))*COS(RADIANS(E762))*COS(RADIANS(F762))</f>
        <v/>
      </c>
      <c r="J762" s="80">
        <f>SIN(RADIANS('11_발전량_모델'!$B$7))*SIN(RADIANS('11_발전량_모델'!$B$8))</f>
        <v/>
      </c>
      <c r="K762" s="80">
        <f>SIN(RADIANS('11_발전량_모델'!$B$7))*COS(RADIANS('11_발전량_모델'!$B$8))</f>
        <v/>
      </c>
      <c r="L762" s="80">
        <f>COS(RADIANS('11_발전량_모델'!$B$7))</f>
        <v/>
      </c>
      <c r="M762" s="80">
        <f>G762*J762+H762*K762+I762*L762</f>
        <v/>
      </c>
      <c r="N762" s="80">
        <f>MAX(0,I762)</f>
        <v/>
      </c>
      <c r="O762" s="80">
        <f>IF(I762&gt;0,MAX(0,M762),0)</f>
        <v/>
      </c>
      <c r="P762" s="80">
        <f>IF($I762&gt;0,MAX(0,$G762*SIN(RADIANS('13_시나리오비교'!$B$5))*SIN(RADIANS('13_시나리오비교'!$C$5))+$H762*SIN(RADIANS('13_시나리오비교'!$B$5))*COS(RADIANS('13_시나리오비교'!$C$5))+$I762*COS(RADIANS('13_시나리오비교'!$B$5))),0)</f>
        <v/>
      </c>
      <c r="Q762" s="80">
        <f>IF($I762&gt;0,MAX(0,$G762*SIN(RADIANS('13_시나리오비교'!$B$6))*SIN(RADIANS('13_시나리오비교'!$C$6))+$H762*SIN(RADIANS('13_시나리오비교'!$B$6))*COS(RADIANS('13_시나리오비교'!$C$6))+$I762*COS(RADIANS('13_시나리오비교'!$B$6))),0)</f>
        <v/>
      </c>
      <c r="R762" s="80">
        <f>IF($I762&gt;0,MAX(0,$G762*SIN(RADIANS('13_시나리오비교'!$B$7))*SIN(RADIANS('13_시나리오비교'!$C$7))+$H762*SIN(RADIANS('13_시나리오비교'!$B$7))*COS(RADIANS('13_시나리오비교'!$C$7))+$I762*COS(RADIANS('13_시나리오비교'!$B$7))),0)</f>
        <v/>
      </c>
      <c r="S762" s="80">
        <f>IF($I762&gt;0,MAX(0,$G762*SIN(RADIANS('13_시나리오비교'!$B$8))*SIN(RADIANS('13_시나리오비교'!$C$8))+$H762*SIN(RADIANS('13_시나리오비교'!$B$8))*COS(RADIANS('13_시나리오비교'!$C$8))+$I762*COS(RADIANS('13_시나리오비교'!$B$8))),0)</f>
        <v/>
      </c>
      <c r="T762" s="80">
        <f>IF($I762&gt;0,MAX(0,$G762*SIN(RADIANS('13_시나리오비교'!$B$9))*SIN(RADIANS('13_시나리오비교'!$C$9))+$H762*SIN(RADIANS('13_시나리오비교'!$B$9))*COS(RADIANS('13_시나리오비교'!$C$9))+$I762*COS(RADIANS('13_시나리오비교'!$B$9))),0)</f>
        <v/>
      </c>
      <c r="U762" s="80">
        <f>IF($I762&gt;0,MAX(0,$G762*SIN(RADIANS('13_시나리오비교'!$B$10))*SIN(RADIANS('13_시나리오비교'!$C$10))+$H762*SIN(RADIANS('13_시나리오비교'!$B$10))*COS(RADIANS('13_시나리오비교'!$C$10))+$I762*COS(RADIANS('13_시나리오비교'!$B$10))),0)</f>
        <v/>
      </c>
      <c r="V762" s="80">
        <f>IF($I762&gt;0,MAX(0,$G762*SIN(RADIANS('13_시나리오비교'!$B$11))*SIN(RADIANS('13_시나리오비교'!$C$11))+$H762*SIN(RADIANS('13_시나리오비교'!$B$11))*COS(RADIANS('13_시나리오비교'!$C$11))+$I762*COS(RADIANS('13_시나리오비교'!$B$11))),0)</f>
        <v/>
      </c>
      <c r="W762" s="80">
        <f>IF($I762&gt;0,MAX(0,$G762*SIN(RADIANS('13_시나리오비교'!$B$12))*SIN(RADIANS('13_시나리오비교'!$C$12))+$H762*SIN(RADIANS('13_시나리오비교'!$B$12))*COS(RADIANS('13_시나리오비교'!$C$12))+$I762*COS(RADIANS('13_시나리오비교'!$B$12))),0)</f>
        <v/>
      </c>
      <c r="X762" s="80">
        <f>IF($I762&gt;0,MAX(0,$G762*SIN(RADIANS('13_시나리오비교'!$B$13))*SIN(RADIANS('13_시나리오비교'!$C$13))+$H762*SIN(RADIANS('13_시나리오비교'!$B$13))*COS(RADIANS('13_시나리오비교'!$C$13))+$I762*COS(RADIANS('13_시나리오비교'!$B$13))),0)</f>
        <v/>
      </c>
      <c r="Y762" s="80">
        <f>IF($I762&gt;0,MAX(0,$G762*SIN(RADIANS('13_시나리오비교'!$B$14))*SIN(RADIANS('13_시나리오비교'!$C$14))+$H762*SIN(RADIANS('13_시나리오비교'!$B$14))*COS(RADIANS('13_시나리오비교'!$C$14))+$I762*COS(RADIANS('13_시나리오비교'!$B$14))),0)</f>
        <v/>
      </c>
    </row>
    <row r="763" hidden="1" outlineLevel="1">
      <c r="A763" s="79" t="n">
        <v>8</v>
      </c>
      <c r="B763" s="79" t="n">
        <v>71</v>
      </c>
      <c r="C763" s="80">
        <f>(B763-0.5)*'14_지역·상수'!$H$6</f>
        <v/>
      </c>
      <c r="D763" s="79" t="n">
        <v>228</v>
      </c>
      <c r="E763" s="80">
        <f>INDEX($C$4:$C$15,MATCH(A763,$A$4:$A$15,0))</f>
        <v/>
      </c>
      <c r="F763" s="80">
        <f>15*(C763-12)</f>
        <v/>
      </c>
      <c r="G763" s="80">
        <f>-COS(RADIANS(E763))*SIN(RADIANS(F763))</f>
        <v/>
      </c>
      <c r="H763" s="80">
        <f>COS(RADIANS('11_발전량_모델'!$B$17))*SIN(RADIANS(E763))-SIN(RADIANS('11_발전량_모델'!$B$17))*COS(RADIANS(E763))*COS(RADIANS(F763))</f>
        <v/>
      </c>
      <c r="I763" s="80">
        <f>SIN(RADIANS('11_발전량_모델'!$B$17))*SIN(RADIANS(E763))+COS(RADIANS('11_발전량_모델'!$B$17))*COS(RADIANS(E763))*COS(RADIANS(F763))</f>
        <v/>
      </c>
      <c r="J763" s="80">
        <f>SIN(RADIANS('11_발전량_모델'!$B$7))*SIN(RADIANS('11_발전량_모델'!$B$8))</f>
        <v/>
      </c>
      <c r="K763" s="80">
        <f>SIN(RADIANS('11_발전량_모델'!$B$7))*COS(RADIANS('11_발전량_모델'!$B$8))</f>
        <v/>
      </c>
      <c r="L763" s="80">
        <f>COS(RADIANS('11_발전량_모델'!$B$7))</f>
        <v/>
      </c>
      <c r="M763" s="80">
        <f>G763*J763+H763*K763+I763*L763</f>
        <v/>
      </c>
      <c r="N763" s="80">
        <f>MAX(0,I763)</f>
        <v/>
      </c>
      <c r="O763" s="80">
        <f>IF(I763&gt;0,MAX(0,M763),0)</f>
        <v/>
      </c>
      <c r="P763" s="80">
        <f>IF($I763&gt;0,MAX(0,$G763*SIN(RADIANS('13_시나리오비교'!$B$5))*SIN(RADIANS('13_시나리오비교'!$C$5))+$H763*SIN(RADIANS('13_시나리오비교'!$B$5))*COS(RADIANS('13_시나리오비교'!$C$5))+$I763*COS(RADIANS('13_시나리오비교'!$B$5))),0)</f>
        <v/>
      </c>
      <c r="Q763" s="80">
        <f>IF($I763&gt;0,MAX(0,$G763*SIN(RADIANS('13_시나리오비교'!$B$6))*SIN(RADIANS('13_시나리오비교'!$C$6))+$H763*SIN(RADIANS('13_시나리오비교'!$B$6))*COS(RADIANS('13_시나리오비교'!$C$6))+$I763*COS(RADIANS('13_시나리오비교'!$B$6))),0)</f>
        <v/>
      </c>
      <c r="R763" s="80">
        <f>IF($I763&gt;0,MAX(0,$G763*SIN(RADIANS('13_시나리오비교'!$B$7))*SIN(RADIANS('13_시나리오비교'!$C$7))+$H763*SIN(RADIANS('13_시나리오비교'!$B$7))*COS(RADIANS('13_시나리오비교'!$C$7))+$I763*COS(RADIANS('13_시나리오비교'!$B$7))),0)</f>
        <v/>
      </c>
      <c r="S763" s="80">
        <f>IF($I763&gt;0,MAX(0,$G763*SIN(RADIANS('13_시나리오비교'!$B$8))*SIN(RADIANS('13_시나리오비교'!$C$8))+$H763*SIN(RADIANS('13_시나리오비교'!$B$8))*COS(RADIANS('13_시나리오비교'!$C$8))+$I763*COS(RADIANS('13_시나리오비교'!$B$8))),0)</f>
        <v/>
      </c>
      <c r="T763" s="80">
        <f>IF($I763&gt;0,MAX(0,$G763*SIN(RADIANS('13_시나리오비교'!$B$9))*SIN(RADIANS('13_시나리오비교'!$C$9))+$H763*SIN(RADIANS('13_시나리오비교'!$B$9))*COS(RADIANS('13_시나리오비교'!$C$9))+$I763*COS(RADIANS('13_시나리오비교'!$B$9))),0)</f>
        <v/>
      </c>
      <c r="U763" s="80">
        <f>IF($I763&gt;0,MAX(0,$G763*SIN(RADIANS('13_시나리오비교'!$B$10))*SIN(RADIANS('13_시나리오비교'!$C$10))+$H763*SIN(RADIANS('13_시나리오비교'!$B$10))*COS(RADIANS('13_시나리오비교'!$C$10))+$I763*COS(RADIANS('13_시나리오비교'!$B$10))),0)</f>
        <v/>
      </c>
      <c r="V763" s="80">
        <f>IF($I763&gt;0,MAX(0,$G763*SIN(RADIANS('13_시나리오비교'!$B$11))*SIN(RADIANS('13_시나리오비교'!$C$11))+$H763*SIN(RADIANS('13_시나리오비교'!$B$11))*COS(RADIANS('13_시나리오비교'!$C$11))+$I763*COS(RADIANS('13_시나리오비교'!$B$11))),0)</f>
        <v/>
      </c>
      <c r="W763" s="80">
        <f>IF($I763&gt;0,MAX(0,$G763*SIN(RADIANS('13_시나리오비교'!$B$12))*SIN(RADIANS('13_시나리오비교'!$C$12))+$H763*SIN(RADIANS('13_시나리오비교'!$B$12))*COS(RADIANS('13_시나리오비교'!$C$12))+$I763*COS(RADIANS('13_시나리오비교'!$B$12))),0)</f>
        <v/>
      </c>
      <c r="X763" s="80">
        <f>IF($I763&gt;0,MAX(0,$G763*SIN(RADIANS('13_시나리오비교'!$B$13))*SIN(RADIANS('13_시나리오비교'!$C$13))+$H763*SIN(RADIANS('13_시나리오비교'!$B$13))*COS(RADIANS('13_시나리오비교'!$C$13))+$I763*COS(RADIANS('13_시나리오비교'!$B$13))),0)</f>
        <v/>
      </c>
      <c r="Y763" s="80">
        <f>IF($I763&gt;0,MAX(0,$G763*SIN(RADIANS('13_시나리오비교'!$B$14))*SIN(RADIANS('13_시나리오비교'!$C$14))+$H763*SIN(RADIANS('13_시나리오비교'!$B$14))*COS(RADIANS('13_시나리오비교'!$C$14))+$I763*COS(RADIANS('13_시나리오비교'!$B$14))),0)</f>
        <v/>
      </c>
    </row>
    <row r="764" hidden="1" outlineLevel="1">
      <c r="A764" s="79" t="n">
        <v>8</v>
      </c>
      <c r="B764" s="79" t="n">
        <v>72</v>
      </c>
      <c r="C764" s="80">
        <f>(B764-0.5)*'14_지역·상수'!$H$6</f>
        <v/>
      </c>
      <c r="D764" s="79" t="n">
        <v>228</v>
      </c>
      <c r="E764" s="80">
        <f>INDEX($C$4:$C$15,MATCH(A764,$A$4:$A$15,0))</f>
        <v/>
      </c>
      <c r="F764" s="80">
        <f>15*(C764-12)</f>
        <v/>
      </c>
      <c r="G764" s="80">
        <f>-COS(RADIANS(E764))*SIN(RADIANS(F764))</f>
        <v/>
      </c>
      <c r="H764" s="80">
        <f>COS(RADIANS('11_발전량_모델'!$B$17))*SIN(RADIANS(E764))-SIN(RADIANS('11_발전량_모델'!$B$17))*COS(RADIANS(E764))*COS(RADIANS(F764))</f>
        <v/>
      </c>
      <c r="I764" s="80">
        <f>SIN(RADIANS('11_발전량_모델'!$B$17))*SIN(RADIANS(E764))+COS(RADIANS('11_발전량_모델'!$B$17))*COS(RADIANS(E764))*COS(RADIANS(F764))</f>
        <v/>
      </c>
      <c r="J764" s="80">
        <f>SIN(RADIANS('11_발전량_모델'!$B$7))*SIN(RADIANS('11_발전량_모델'!$B$8))</f>
        <v/>
      </c>
      <c r="K764" s="80">
        <f>SIN(RADIANS('11_발전량_모델'!$B$7))*COS(RADIANS('11_발전량_모델'!$B$8))</f>
        <v/>
      </c>
      <c r="L764" s="80">
        <f>COS(RADIANS('11_발전량_모델'!$B$7))</f>
        <v/>
      </c>
      <c r="M764" s="80">
        <f>G764*J764+H764*K764+I764*L764</f>
        <v/>
      </c>
      <c r="N764" s="80">
        <f>MAX(0,I764)</f>
        <v/>
      </c>
      <c r="O764" s="80">
        <f>IF(I764&gt;0,MAX(0,M764),0)</f>
        <v/>
      </c>
      <c r="P764" s="80">
        <f>IF($I764&gt;0,MAX(0,$G764*SIN(RADIANS('13_시나리오비교'!$B$5))*SIN(RADIANS('13_시나리오비교'!$C$5))+$H764*SIN(RADIANS('13_시나리오비교'!$B$5))*COS(RADIANS('13_시나리오비교'!$C$5))+$I764*COS(RADIANS('13_시나리오비교'!$B$5))),0)</f>
        <v/>
      </c>
      <c r="Q764" s="80">
        <f>IF($I764&gt;0,MAX(0,$G764*SIN(RADIANS('13_시나리오비교'!$B$6))*SIN(RADIANS('13_시나리오비교'!$C$6))+$H764*SIN(RADIANS('13_시나리오비교'!$B$6))*COS(RADIANS('13_시나리오비교'!$C$6))+$I764*COS(RADIANS('13_시나리오비교'!$B$6))),0)</f>
        <v/>
      </c>
      <c r="R764" s="80">
        <f>IF($I764&gt;0,MAX(0,$G764*SIN(RADIANS('13_시나리오비교'!$B$7))*SIN(RADIANS('13_시나리오비교'!$C$7))+$H764*SIN(RADIANS('13_시나리오비교'!$B$7))*COS(RADIANS('13_시나리오비교'!$C$7))+$I764*COS(RADIANS('13_시나리오비교'!$B$7))),0)</f>
        <v/>
      </c>
      <c r="S764" s="80">
        <f>IF($I764&gt;0,MAX(0,$G764*SIN(RADIANS('13_시나리오비교'!$B$8))*SIN(RADIANS('13_시나리오비교'!$C$8))+$H764*SIN(RADIANS('13_시나리오비교'!$B$8))*COS(RADIANS('13_시나리오비교'!$C$8))+$I764*COS(RADIANS('13_시나리오비교'!$B$8))),0)</f>
        <v/>
      </c>
      <c r="T764" s="80">
        <f>IF($I764&gt;0,MAX(0,$G764*SIN(RADIANS('13_시나리오비교'!$B$9))*SIN(RADIANS('13_시나리오비교'!$C$9))+$H764*SIN(RADIANS('13_시나리오비교'!$B$9))*COS(RADIANS('13_시나리오비교'!$C$9))+$I764*COS(RADIANS('13_시나리오비교'!$B$9))),0)</f>
        <v/>
      </c>
      <c r="U764" s="80">
        <f>IF($I764&gt;0,MAX(0,$G764*SIN(RADIANS('13_시나리오비교'!$B$10))*SIN(RADIANS('13_시나리오비교'!$C$10))+$H764*SIN(RADIANS('13_시나리오비교'!$B$10))*COS(RADIANS('13_시나리오비교'!$C$10))+$I764*COS(RADIANS('13_시나리오비교'!$B$10))),0)</f>
        <v/>
      </c>
      <c r="V764" s="80">
        <f>IF($I764&gt;0,MAX(0,$G764*SIN(RADIANS('13_시나리오비교'!$B$11))*SIN(RADIANS('13_시나리오비교'!$C$11))+$H764*SIN(RADIANS('13_시나리오비교'!$B$11))*COS(RADIANS('13_시나리오비교'!$C$11))+$I764*COS(RADIANS('13_시나리오비교'!$B$11))),0)</f>
        <v/>
      </c>
      <c r="W764" s="80">
        <f>IF($I764&gt;0,MAX(0,$G764*SIN(RADIANS('13_시나리오비교'!$B$12))*SIN(RADIANS('13_시나리오비교'!$C$12))+$H764*SIN(RADIANS('13_시나리오비교'!$B$12))*COS(RADIANS('13_시나리오비교'!$C$12))+$I764*COS(RADIANS('13_시나리오비교'!$B$12))),0)</f>
        <v/>
      </c>
      <c r="X764" s="80">
        <f>IF($I764&gt;0,MAX(0,$G764*SIN(RADIANS('13_시나리오비교'!$B$13))*SIN(RADIANS('13_시나리오비교'!$C$13))+$H764*SIN(RADIANS('13_시나리오비교'!$B$13))*COS(RADIANS('13_시나리오비교'!$C$13))+$I764*COS(RADIANS('13_시나리오비교'!$B$13))),0)</f>
        <v/>
      </c>
      <c r="Y764" s="80">
        <f>IF($I764&gt;0,MAX(0,$G764*SIN(RADIANS('13_시나리오비교'!$B$14))*SIN(RADIANS('13_시나리오비교'!$C$14))+$H764*SIN(RADIANS('13_시나리오비교'!$B$14))*COS(RADIANS('13_시나리오비교'!$C$14))+$I764*COS(RADIANS('13_시나리오비교'!$B$14))),0)</f>
        <v/>
      </c>
    </row>
    <row r="765" hidden="1" outlineLevel="1">
      <c r="A765" s="79" t="n">
        <v>8</v>
      </c>
      <c r="B765" s="79" t="n">
        <v>73</v>
      </c>
      <c r="C765" s="80">
        <f>(B765-0.5)*'14_지역·상수'!$H$6</f>
        <v/>
      </c>
      <c r="D765" s="79" t="n">
        <v>228</v>
      </c>
      <c r="E765" s="80">
        <f>INDEX($C$4:$C$15,MATCH(A765,$A$4:$A$15,0))</f>
        <v/>
      </c>
      <c r="F765" s="80">
        <f>15*(C765-12)</f>
        <v/>
      </c>
      <c r="G765" s="80">
        <f>-COS(RADIANS(E765))*SIN(RADIANS(F765))</f>
        <v/>
      </c>
      <c r="H765" s="80">
        <f>COS(RADIANS('11_발전량_모델'!$B$17))*SIN(RADIANS(E765))-SIN(RADIANS('11_발전량_모델'!$B$17))*COS(RADIANS(E765))*COS(RADIANS(F765))</f>
        <v/>
      </c>
      <c r="I765" s="80">
        <f>SIN(RADIANS('11_발전량_모델'!$B$17))*SIN(RADIANS(E765))+COS(RADIANS('11_발전량_모델'!$B$17))*COS(RADIANS(E765))*COS(RADIANS(F765))</f>
        <v/>
      </c>
      <c r="J765" s="80">
        <f>SIN(RADIANS('11_발전량_모델'!$B$7))*SIN(RADIANS('11_발전량_모델'!$B$8))</f>
        <v/>
      </c>
      <c r="K765" s="80">
        <f>SIN(RADIANS('11_발전량_모델'!$B$7))*COS(RADIANS('11_발전량_모델'!$B$8))</f>
        <v/>
      </c>
      <c r="L765" s="80">
        <f>COS(RADIANS('11_발전량_모델'!$B$7))</f>
        <v/>
      </c>
      <c r="M765" s="80">
        <f>G765*J765+H765*K765+I765*L765</f>
        <v/>
      </c>
      <c r="N765" s="80">
        <f>MAX(0,I765)</f>
        <v/>
      </c>
      <c r="O765" s="80">
        <f>IF(I765&gt;0,MAX(0,M765),0)</f>
        <v/>
      </c>
      <c r="P765" s="80">
        <f>IF($I765&gt;0,MAX(0,$G765*SIN(RADIANS('13_시나리오비교'!$B$5))*SIN(RADIANS('13_시나리오비교'!$C$5))+$H765*SIN(RADIANS('13_시나리오비교'!$B$5))*COS(RADIANS('13_시나리오비교'!$C$5))+$I765*COS(RADIANS('13_시나리오비교'!$B$5))),0)</f>
        <v/>
      </c>
      <c r="Q765" s="80">
        <f>IF($I765&gt;0,MAX(0,$G765*SIN(RADIANS('13_시나리오비교'!$B$6))*SIN(RADIANS('13_시나리오비교'!$C$6))+$H765*SIN(RADIANS('13_시나리오비교'!$B$6))*COS(RADIANS('13_시나리오비교'!$C$6))+$I765*COS(RADIANS('13_시나리오비교'!$B$6))),0)</f>
        <v/>
      </c>
      <c r="R765" s="80">
        <f>IF($I765&gt;0,MAX(0,$G765*SIN(RADIANS('13_시나리오비교'!$B$7))*SIN(RADIANS('13_시나리오비교'!$C$7))+$H765*SIN(RADIANS('13_시나리오비교'!$B$7))*COS(RADIANS('13_시나리오비교'!$C$7))+$I765*COS(RADIANS('13_시나리오비교'!$B$7))),0)</f>
        <v/>
      </c>
      <c r="S765" s="80">
        <f>IF($I765&gt;0,MAX(0,$G765*SIN(RADIANS('13_시나리오비교'!$B$8))*SIN(RADIANS('13_시나리오비교'!$C$8))+$H765*SIN(RADIANS('13_시나리오비교'!$B$8))*COS(RADIANS('13_시나리오비교'!$C$8))+$I765*COS(RADIANS('13_시나리오비교'!$B$8))),0)</f>
        <v/>
      </c>
      <c r="T765" s="80">
        <f>IF($I765&gt;0,MAX(0,$G765*SIN(RADIANS('13_시나리오비교'!$B$9))*SIN(RADIANS('13_시나리오비교'!$C$9))+$H765*SIN(RADIANS('13_시나리오비교'!$B$9))*COS(RADIANS('13_시나리오비교'!$C$9))+$I765*COS(RADIANS('13_시나리오비교'!$B$9))),0)</f>
        <v/>
      </c>
      <c r="U765" s="80">
        <f>IF($I765&gt;0,MAX(0,$G765*SIN(RADIANS('13_시나리오비교'!$B$10))*SIN(RADIANS('13_시나리오비교'!$C$10))+$H765*SIN(RADIANS('13_시나리오비교'!$B$10))*COS(RADIANS('13_시나리오비교'!$C$10))+$I765*COS(RADIANS('13_시나리오비교'!$B$10))),0)</f>
        <v/>
      </c>
      <c r="V765" s="80">
        <f>IF($I765&gt;0,MAX(0,$G765*SIN(RADIANS('13_시나리오비교'!$B$11))*SIN(RADIANS('13_시나리오비교'!$C$11))+$H765*SIN(RADIANS('13_시나리오비교'!$B$11))*COS(RADIANS('13_시나리오비교'!$C$11))+$I765*COS(RADIANS('13_시나리오비교'!$B$11))),0)</f>
        <v/>
      </c>
      <c r="W765" s="80">
        <f>IF($I765&gt;0,MAX(0,$G765*SIN(RADIANS('13_시나리오비교'!$B$12))*SIN(RADIANS('13_시나리오비교'!$C$12))+$H765*SIN(RADIANS('13_시나리오비교'!$B$12))*COS(RADIANS('13_시나리오비교'!$C$12))+$I765*COS(RADIANS('13_시나리오비교'!$B$12))),0)</f>
        <v/>
      </c>
      <c r="X765" s="80">
        <f>IF($I765&gt;0,MAX(0,$G765*SIN(RADIANS('13_시나리오비교'!$B$13))*SIN(RADIANS('13_시나리오비교'!$C$13))+$H765*SIN(RADIANS('13_시나리오비교'!$B$13))*COS(RADIANS('13_시나리오비교'!$C$13))+$I765*COS(RADIANS('13_시나리오비교'!$B$13))),0)</f>
        <v/>
      </c>
      <c r="Y765" s="80">
        <f>IF($I765&gt;0,MAX(0,$G765*SIN(RADIANS('13_시나리오비교'!$B$14))*SIN(RADIANS('13_시나리오비교'!$C$14))+$H765*SIN(RADIANS('13_시나리오비교'!$B$14))*COS(RADIANS('13_시나리오비교'!$C$14))+$I765*COS(RADIANS('13_시나리오비교'!$B$14))),0)</f>
        <v/>
      </c>
    </row>
    <row r="766" hidden="1" outlineLevel="1">
      <c r="A766" s="79" t="n">
        <v>8</v>
      </c>
      <c r="B766" s="79" t="n">
        <v>74</v>
      </c>
      <c r="C766" s="80">
        <f>(B766-0.5)*'14_지역·상수'!$H$6</f>
        <v/>
      </c>
      <c r="D766" s="79" t="n">
        <v>228</v>
      </c>
      <c r="E766" s="80">
        <f>INDEX($C$4:$C$15,MATCH(A766,$A$4:$A$15,0))</f>
        <v/>
      </c>
      <c r="F766" s="80">
        <f>15*(C766-12)</f>
        <v/>
      </c>
      <c r="G766" s="80">
        <f>-COS(RADIANS(E766))*SIN(RADIANS(F766))</f>
        <v/>
      </c>
      <c r="H766" s="80">
        <f>COS(RADIANS('11_발전량_모델'!$B$17))*SIN(RADIANS(E766))-SIN(RADIANS('11_발전량_모델'!$B$17))*COS(RADIANS(E766))*COS(RADIANS(F766))</f>
        <v/>
      </c>
      <c r="I766" s="80">
        <f>SIN(RADIANS('11_발전량_모델'!$B$17))*SIN(RADIANS(E766))+COS(RADIANS('11_발전량_모델'!$B$17))*COS(RADIANS(E766))*COS(RADIANS(F766))</f>
        <v/>
      </c>
      <c r="J766" s="80">
        <f>SIN(RADIANS('11_발전량_모델'!$B$7))*SIN(RADIANS('11_발전량_모델'!$B$8))</f>
        <v/>
      </c>
      <c r="K766" s="80">
        <f>SIN(RADIANS('11_발전량_모델'!$B$7))*COS(RADIANS('11_발전량_모델'!$B$8))</f>
        <v/>
      </c>
      <c r="L766" s="80">
        <f>COS(RADIANS('11_발전량_모델'!$B$7))</f>
        <v/>
      </c>
      <c r="M766" s="80">
        <f>G766*J766+H766*K766+I766*L766</f>
        <v/>
      </c>
      <c r="N766" s="80">
        <f>MAX(0,I766)</f>
        <v/>
      </c>
      <c r="O766" s="80">
        <f>IF(I766&gt;0,MAX(0,M766),0)</f>
        <v/>
      </c>
      <c r="P766" s="80">
        <f>IF($I766&gt;0,MAX(0,$G766*SIN(RADIANS('13_시나리오비교'!$B$5))*SIN(RADIANS('13_시나리오비교'!$C$5))+$H766*SIN(RADIANS('13_시나리오비교'!$B$5))*COS(RADIANS('13_시나리오비교'!$C$5))+$I766*COS(RADIANS('13_시나리오비교'!$B$5))),0)</f>
        <v/>
      </c>
      <c r="Q766" s="80">
        <f>IF($I766&gt;0,MAX(0,$G766*SIN(RADIANS('13_시나리오비교'!$B$6))*SIN(RADIANS('13_시나리오비교'!$C$6))+$H766*SIN(RADIANS('13_시나리오비교'!$B$6))*COS(RADIANS('13_시나리오비교'!$C$6))+$I766*COS(RADIANS('13_시나리오비교'!$B$6))),0)</f>
        <v/>
      </c>
      <c r="R766" s="80">
        <f>IF($I766&gt;0,MAX(0,$G766*SIN(RADIANS('13_시나리오비교'!$B$7))*SIN(RADIANS('13_시나리오비교'!$C$7))+$H766*SIN(RADIANS('13_시나리오비교'!$B$7))*COS(RADIANS('13_시나리오비교'!$C$7))+$I766*COS(RADIANS('13_시나리오비교'!$B$7))),0)</f>
        <v/>
      </c>
      <c r="S766" s="80">
        <f>IF($I766&gt;0,MAX(0,$G766*SIN(RADIANS('13_시나리오비교'!$B$8))*SIN(RADIANS('13_시나리오비교'!$C$8))+$H766*SIN(RADIANS('13_시나리오비교'!$B$8))*COS(RADIANS('13_시나리오비교'!$C$8))+$I766*COS(RADIANS('13_시나리오비교'!$B$8))),0)</f>
        <v/>
      </c>
      <c r="T766" s="80">
        <f>IF($I766&gt;0,MAX(0,$G766*SIN(RADIANS('13_시나리오비교'!$B$9))*SIN(RADIANS('13_시나리오비교'!$C$9))+$H766*SIN(RADIANS('13_시나리오비교'!$B$9))*COS(RADIANS('13_시나리오비교'!$C$9))+$I766*COS(RADIANS('13_시나리오비교'!$B$9))),0)</f>
        <v/>
      </c>
      <c r="U766" s="80">
        <f>IF($I766&gt;0,MAX(0,$G766*SIN(RADIANS('13_시나리오비교'!$B$10))*SIN(RADIANS('13_시나리오비교'!$C$10))+$H766*SIN(RADIANS('13_시나리오비교'!$B$10))*COS(RADIANS('13_시나리오비교'!$C$10))+$I766*COS(RADIANS('13_시나리오비교'!$B$10))),0)</f>
        <v/>
      </c>
      <c r="V766" s="80">
        <f>IF($I766&gt;0,MAX(0,$G766*SIN(RADIANS('13_시나리오비교'!$B$11))*SIN(RADIANS('13_시나리오비교'!$C$11))+$H766*SIN(RADIANS('13_시나리오비교'!$B$11))*COS(RADIANS('13_시나리오비교'!$C$11))+$I766*COS(RADIANS('13_시나리오비교'!$B$11))),0)</f>
        <v/>
      </c>
      <c r="W766" s="80">
        <f>IF($I766&gt;0,MAX(0,$G766*SIN(RADIANS('13_시나리오비교'!$B$12))*SIN(RADIANS('13_시나리오비교'!$C$12))+$H766*SIN(RADIANS('13_시나리오비교'!$B$12))*COS(RADIANS('13_시나리오비교'!$C$12))+$I766*COS(RADIANS('13_시나리오비교'!$B$12))),0)</f>
        <v/>
      </c>
      <c r="X766" s="80">
        <f>IF($I766&gt;0,MAX(0,$G766*SIN(RADIANS('13_시나리오비교'!$B$13))*SIN(RADIANS('13_시나리오비교'!$C$13))+$H766*SIN(RADIANS('13_시나리오비교'!$B$13))*COS(RADIANS('13_시나리오비교'!$C$13))+$I766*COS(RADIANS('13_시나리오비교'!$B$13))),0)</f>
        <v/>
      </c>
      <c r="Y766" s="80">
        <f>IF($I766&gt;0,MAX(0,$G766*SIN(RADIANS('13_시나리오비교'!$B$14))*SIN(RADIANS('13_시나리오비교'!$C$14))+$H766*SIN(RADIANS('13_시나리오비교'!$B$14))*COS(RADIANS('13_시나리오비교'!$C$14))+$I766*COS(RADIANS('13_시나리오비교'!$B$14))),0)</f>
        <v/>
      </c>
    </row>
    <row r="767" hidden="1" outlineLevel="1">
      <c r="A767" s="79" t="n">
        <v>8</v>
      </c>
      <c r="B767" s="79" t="n">
        <v>75</v>
      </c>
      <c r="C767" s="80">
        <f>(B767-0.5)*'14_지역·상수'!$H$6</f>
        <v/>
      </c>
      <c r="D767" s="79" t="n">
        <v>228</v>
      </c>
      <c r="E767" s="80">
        <f>INDEX($C$4:$C$15,MATCH(A767,$A$4:$A$15,0))</f>
        <v/>
      </c>
      <c r="F767" s="80">
        <f>15*(C767-12)</f>
        <v/>
      </c>
      <c r="G767" s="80">
        <f>-COS(RADIANS(E767))*SIN(RADIANS(F767))</f>
        <v/>
      </c>
      <c r="H767" s="80">
        <f>COS(RADIANS('11_발전량_모델'!$B$17))*SIN(RADIANS(E767))-SIN(RADIANS('11_발전량_모델'!$B$17))*COS(RADIANS(E767))*COS(RADIANS(F767))</f>
        <v/>
      </c>
      <c r="I767" s="80">
        <f>SIN(RADIANS('11_발전량_모델'!$B$17))*SIN(RADIANS(E767))+COS(RADIANS('11_발전량_모델'!$B$17))*COS(RADIANS(E767))*COS(RADIANS(F767))</f>
        <v/>
      </c>
      <c r="J767" s="80">
        <f>SIN(RADIANS('11_발전량_모델'!$B$7))*SIN(RADIANS('11_발전량_모델'!$B$8))</f>
        <v/>
      </c>
      <c r="K767" s="80">
        <f>SIN(RADIANS('11_발전량_모델'!$B$7))*COS(RADIANS('11_발전량_모델'!$B$8))</f>
        <v/>
      </c>
      <c r="L767" s="80">
        <f>COS(RADIANS('11_발전량_모델'!$B$7))</f>
        <v/>
      </c>
      <c r="M767" s="80">
        <f>G767*J767+H767*K767+I767*L767</f>
        <v/>
      </c>
      <c r="N767" s="80">
        <f>MAX(0,I767)</f>
        <v/>
      </c>
      <c r="O767" s="80">
        <f>IF(I767&gt;0,MAX(0,M767),0)</f>
        <v/>
      </c>
      <c r="P767" s="80">
        <f>IF($I767&gt;0,MAX(0,$G767*SIN(RADIANS('13_시나리오비교'!$B$5))*SIN(RADIANS('13_시나리오비교'!$C$5))+$H767*SIN(RADIANS('13_시나리오비교'!$B$5))*COS(RADIANS('13_시나리오비교'!$C$5))+$I767*COS(RADIANS('13_시나리오비교'!$B$5))),0)</f>
        <v/>
      </c>
      <c r="Q767" s="80">
        <f>IF($I767&gt;0,MAX(0,$G767*SIN(RADIANS('13_시나리오비교'!$B$6))*SIN(RADIANS('13_시나리오비교'!$C$6))+$H767*SIN(RADIANS('13_시나리오비교'!$B$6))*COS(RADIANS('13_시나리오비교'!$C$6))+$I767*COS(RADIANS('13_시나리오비교'!$B$6))),0)</f>
        <v/>
      </c>
      <c r="R767" s="80">
        <f>IF($I767&gt;0,MAX(0,$G767*SIN(RADIANS('13_시나리오비교'!$B$7))*SIN(RADIANS('13_시나리오비교'!$C$7))+$H767*SIN(RADIANS('13_시나리오비교'!$B$7))*COS(RADIANS('13_시나리오비교'!$C$7))+$I767*COS(RADIANS('13_시나리오비교'!$B$7))),0)</f>
        <v/>
      </c>
      <c r="S767" s="80">
        <f>IF($I767&gt;0,MAX(0,$G767*SIN(RADIANS('13_시나리오비교'!$B$8))*SIN(RADIANS('13_시나리오비교'!$C$8))+$H767*SIN(RADIANS('13_시나리오비교'!$B$8))*COS(RADIANS('13_시나리오비교'!$C$8))+$I767*COS(RADIANS('13_시나리오비교'!$B$8))),0)</f>
        <v/>
      </c>
      <c r="T767" s="80">
        <f>IF($I767&gt;0,MAX(0,$G767*SIN(RADIANS('13_시나리오비교'!$B$9))*SIN(RADIANS('13_시나리오비교'!$C$9))+$H767*SIN(RADIANS('13_시나리오비교'!$B$9))*COS(RADIANS('13_시나리오비교'!$C$9))+$I767*COS(RADIANS('13_시나리오비교'!$B$9))),0)</f>
        <v/>
      </c>
      <c r="U767" s="80">
        <f>IF($I767&gt;0,MAX(0,$G767*SIN(RADIANS('13_시나리오비교'!$B$10))*SIN(RADIANS('13_시나리오비교'!$C$10))+$H767*SIN(RADIANS('13_시나리오비교'!$B$10))*COS(RADIANS('13_시나리오비교'!$C$10))+$I767*COS(RADIANS('13_시나리오비교'!$B$10))),0)</f>
        <v/>
      </c>
      <c r="V767" s="80">
        <f>IF($I767&gt;0,MAX(0,$G767*SIN(RADIANS('13_시나리오비교'!$B$11))*SIN(RADIANS('13_시나리오비교'!$C$11))+$H767*SIN(RADIANS('13_시나리오비교'!$B$11))*COS(RADIANS('13_시나리오비교'!$C$11))+$I767*COS(RADIANS('13_시나리오비교'!$B$11))),0)</f>
        <v/>
      </c>
      <c r="W767" s="80">
        <f>IF($I767&gt;0,MAX(0,$G767*SIN(RADIANS('13_시나리오비교'!$B$12))*SIN(RADIANS('13_시나리오비교'!$C$12))+$H767*SIN(RADIANS('13_시나리오비교'!$B$12))*COS(RADIANS('13_시나리오비교'!$C$12))+$I767*COS(RADIANS('13_시나리오비교'!$B$12))),0)</f>
        <v/>
      </c>
      <c r="X767" s="80">
        <f>IF($I767&gt;0,MAX(0,$G767*SIN(RADIANS('13_시나리오비교'!$B$13))*SIN(RADIANS('13_시나리오비교'!$C$13))+$H767*SIN(RADIANS('13_시나리오비교'!$B$13))*COS(RADIANS('13_시나리오비교'!$C$13))+$I767*COS(RADIANS('13_시나리오비교'!$B$13))),0)</f>
        <v/>
      </c>
      <c r="Y767" s="80">
        <f>IF($I767&gt;0,MAX(0,$G767*SIN(RADIANS('13_시나리오비교'!$B$14))*SIN(RADIANS('13_시나리오비교'!$C$14))+$H767*SIN(RADIANS('13_시나리오비교'!$B$14))*COS(RADIANS('13_시나리오비교'!$C$14))+$I767*COS(RADIANS('13_시나리오비교'!$B$14))),0)</f>
        <v/>
      </c>
    </row>
    <row r="768" hidden="1" outlineLevel="1">
      <c r="A768" s="79" t="n">
        <v>8</v>
      </c>
      <c r="B768" s="79" t="n">
        <v>76</v>
      </c>
      <c r="C768" s="80">
        <f>(B768-0.5)*'14_지역·상수'!$H$6</f>
        <v/>
      </c>
      <c r="D768" s="79" t="n">
        <v>228</v>
      </c>
      <c r="E768" s="80">
        <f>INDEX($C$4:$C$15,MATCH(A768,$A$4:$A$15,0))</f>
        <v/>
      </c>
      <c r="F768" s="80">
        <f>15*(C768-12)</f>
        <v/>
      </c>
      <c r="G768" s="80">
        <f>-COS(RADIANS(E768))*SIN(RADIANS(F768))</f>
        <v/>
      </c>
      <c r="H768" s="80">
        <f>COS(RADIANS('11_발전량_모델'!$B$17))*SIN(RADIANS(E768))-SIN(RADIANS('11_발전량_모델'!$B$17))*COS(RADIANS(E768))*COS(RADIANS(F768))</f>
        <v/>
      </c>
      <c r="I768" s="80">
        <f>SIN(RADIANS('11_발전량_모델'!$B$17))*SIN(RADIANS(E768))+COS(RADIANS('11_발전량_모델'!$B$17))*COS(RADIANS(E768))*COS(RADIANS(F768))</f>
        <v/>
      </c>
      <c r="J768" s="80">
        <f>SIN(RADIANS('11_발전량_모델'!$B$7))*SIN(RADIANS('11_발전량_모델'!$B$8))</f>
        <v/>
      </c>
      <c r="K768" s="80">
        <f>SIN(RADIANS('11_발전량_모델'!$B$7))*COS(RADIANS('11_발전량_모델'!$B$8))</f>
        <v/>
      </c>
      <c r="L768" s="80">
        <f>COS(RADIANS('11_발전량_모델'!$B$7))</f>
        <v/>
      </c>
      <c r="M768" s="80">
        <f>G768*J768+H768*K768+I768*L768</f>
        <v/>
      </c>
      <c r="N768" s="80">
        <f>MAX(0,I768)</f>
        <v/>
      </c>
      <c r="O768" s="80">
        <f>IF(I768&gt;0,MAX(0,M768),0)</f>
        <v/>
      </c>
      <c r="P768" s="80">
        <f>IF($I768&gt;0,MAX(0,$G768*SIN(RADIANS('13_시나리오비교'!$B$5))*SIN(RADIANS('13_시나리오비교'!$C$5))+$H768*SIN(RADIANS('13_시나리오비교'!$B$5))*COS(RADIANS('13_시나리오비교'!$C$5))+$I768*COS(RADIANS('13_시나리오비교'!$B$5))),0)</f>
        <v/>
      </c>
      <c r="Q768" s="80">
        <f>IF($I768&gt;0,MAX(0,$G768*SIN(RADIANS('13_시나리오비교'!$B$6))*SIN(RADIANS('13_시나리오비교'!$C$6))+$H768*SIN(RADIANS('13_시나리오비교'!$B$6))*COS(RADIANS('13_시나리오비교'!$C$6))+$I768*COS(RADIANS('13_시나리오비교'!$B$6))),0)</f>
        <v/>
      </c>
      <c r="R768" s="80">
        <f>IF($I768&gt;0,MAX(0,$G768*SIN(RADIANS('13_시나리오비교'!$B$7))*SIN(RADIANS('13_시나리오비교'!$C$7))+$H768*SIN(RADIANS('13_시나리오비교'!$B$7))*COS(RADIANS('13_시나리오비교'!$C$7))+$I768*COS(RADIANS('13_시나리오비교'!$B$7))),0)</f>
        <v/>
      </c>
      <c r="S768" s="80">
        <f>IF($I768&gt;0,MAX(0,$G768*SIN(RADIANS('13_시나리오비교'!$B$8))*SIN(RADIANS('13_시나리오비교'!$C$8))+$H768*SIN(RADIANS('13_시나리오비교'!$B$8))*COS(RADIANS('13_시나리오비교'!$C$8))+$I768*COS(RADIANS('13_시나리오비교'!$B$8))),0)</f>
        <v/>
      </c>
      <c r="T768" s="80">
        <f>IF($I768&gt;0,MAX(0,$G768*SIN(RADIANS('13_시나리오비교'!$B$9))*SIN(RADIANS('13_시나리오비교'!$C$9))+$H768*SIN(RADIANS('13_시나리오비교'!$B$9))*COS(RADIANS('13_시나리오비교'!$C$9))+$I768*COS(RADIANS('13_시나리오비교'!$B$9))),0)</f>
        <v/>
      </c>
      <c r="U768" s="80">
        <f>IF($I768&gt;0,MAX(0,$G768*SIN(RADIANS('13_시나리오비교'!$B$10))*SIN(RADIANS('13_시나리오비교'!$C$10))+$H768*SIN(RADIANS('13_시나리오비교'!$B$10))*COS(RADIANS('13_시나리오비교'!$C$10))+$I768*COS(RADIANS('13_시나리오비교'!$B$10))),0)</f>
        <v/>
      </c>
      <c r="V768" s="80">
        <f>IF($I768&gt;0,MAX(0,$G768*SIN(RADIANS('13_시나리오비교'!$B$11))*SIN(RADIANS('13_시나리오비교'!$C$11))+$H768*SIN(RADIANS('13_시나리오비교'!$B$11))*COS(RADIANS('13_시나리오비교'!$C$11))+$I768*COS(RADIANS('13_시나리오비교'!$B$11))),0)</f>
        <v/>
      </c>
      <c r="W768" s="80">
        <f>IF($I768&gt;0,MAX(0,$G768*SIN(RADIANS('13_시나리오비교'!$B$12))*SIN(RADIANS('13_시나리오비교'!$C$12))+$H768*SIN(RADIANS('13_시나리오비교'!$B$12))*COS(RADIANS('13_시나리오비교'!$C$12))+$I768*COS(RADIANS('13_시나리오비교'!$B$12))),0)</f>
        <v/>
      </c>
      <c r="X768" s="80">
        <f>IF($I768&gt;0,MAX(0,$G768*SIN(RADIANS('13_시나리오비교'!$B$13))*SIN(RADIANS('13_시나리오비교'!$C$13))+$H768*SIN(RADIANS('13_시나리오비교'!$B$13))*COS(RADIANS('13_시나리오비교'!$C$13))+$I768*COS(RADIANS('13_시나리오비교'!$B$13))),0)</f>
        <v/>
      </c>
      <c r="Y768" s="80">
        <f>IF($I768&gt;0,MAX(0,$G768*SIN(RADIANS('13_시나리오비교'!$B$14))*SIN(RADIANS('13_시나리오비교'!$C$14))+$H768*SIN(RADIANS('13_시나리오비교'!$B$14))*COS(RADIANS('13_시나리오비교'!$C$14))+$I768*COS(RADIANS('13_시나리오비교'!$B$14))),0)</f>
        <v/>
      </c>
    </row>
    <row r="769" hidden="1" outlineLevel="1">
      <c r="A769" s="79" t="n">
        <v>8</v>
      </c>
      <c r="B769" s="79" t="n">
        <v>77</v>
      </c>
      <c r="C769" s="80">
        <f>(B769-0.5)*'14_지역·상수'!$H$6</f>
        <v/>
      </c>
      <c r="D769" s="79" t="n">
        <v>228</v>
      </c>
      <c r="E769" s="80">
        <f>INDEX($C$4:$C$15,MATCH(A769,$A$4:$A$15,0))</f>
        <v/>
      </c>
      <c r="F769" s="80">
        <f>15*(C769-12)</f>
        <v/>
      </c>
      <c r="G769" s="80">
        <f>-COS(RADIANS(E769))*SIN(RADIANS(F769))</f>
        <v/>
      </c>
      <c r="H769" s="80">
        <f>COS(RADIANS('11_발전량_모델'!$B$17))*SIN(RADIANS(E769))-SIN(RADIANS('11_발전량_모델'!$B$17))*COS(RADIANS(E769))*COS(RADIANS(F769))</f>
        <v/>
      </c>
      <c r="I769" s="80">
        <f>SIN(RADIANS('11_발전량_모델'!$B$17))*SIN(RADIANS(E769))+COS(RADIANS('11_발전량_모델'!$B$17))*COS(RADIANS(E769))*COS(RADIANS(F769))</f>
        <v/>
      </c>
      <c r="J769" s="80">
        <f>SIN(RADIANS('11_발전량_모델'!$B$7))*SIN(RADIANS('11_발전량_모델'!$B$8))</f>
        <v/>
      </c>
      <c r="K769" s="80">
        <f>SIN(RADIANS('11_발전량_모델'!$B$7))*COS(RADIANS('11_발전량_모델'!$B$8))</f>
        <v/>
      </c>
      <c r="L769" s="80">
        <f>COS(RADIANS('11_발전량_모델'!$B$7))</f>
        <v/>
      </c>
      <c r="M769" s="80">
        <f>G769*J769+H769*K769+I769*L769</f>
        <v/>
      </c>
      <c r="N769" s="80">
        <f>MAX(0,I769)</f>
        <v/>
      </c>
      <c r="O769" s="80">
        <f>IF(I769&gt;0,MAX(0,M769),0)</f>
        <v/>
      </c>
      <c r="P769" s="80">
        <f>IF($I769&gt;0,MAX(0,$G769*SIN(RADIANS('13_시나리오비교'!$B$5))*SIN(RADIANS('13_시나리오비교'!$C$5))+$H769*SIN(RADIANS('13_시나리오비교'!$B$5))*COS(RADIANS('13_시나리오비교'!$C$5))+$I769*COS(RADIANS('13_시나리오비교'!$B$5))),0)</f>
        <v/>
      </c>
      <c r="Q769" s="80">
        <f>IF($I769&gt;0,MAX(0,$G769*SIN(RADIANS('13_시나리오비교'!$B$6))*SIN(RADIANS('13_시나리오비교'!$C$6))+$H769*SIN(RADIANS('13_시나리오비교'!$B$6))*COS(RADIANS('13_시나리오비교'!$C$6))+$I769*COS(RADIANS('13_시나리오비교'!$B$6))),0)</f>
        <v/>
      </c>
      <c r="R769" s="80">
        <f>IF($I769&gt;0,MAX(0,$G769*SIN(RADIANS('13_시나리오비교'!$B$7))*SIN(RADIANS('13_시나리오비교'!$C$7))+$H769*SIN(RADIANS('13_시나리오비교'!$B$7))*COS(RADIANS('13_시나리오비교'!$C$7))+$I769*COS(RADIANS('13_시나리오비교'!$B$7))),0)</f>
        <v/>
      </c>
      <c r="S769" s="80">
        <f>IF($I769&gt;0,MAX(0,$G769*SIN(RADIANS('13_시나리오비교'!$B$8))*SIN(RADIANS('13_시나리오비교'!$C$8))+$H769*SIN(RADIANS('13_시나리오비교'!$B$8))*COS(RADIANS('13_시나리오비교'!$C$8))+$I769*COS(RADIANS('13_시나리오비교'!$B$8))),0)</f>
        <v/>
      </c>
      <c r="T769" s="80">
        <f>IF($I769&gt;0,MAX(0,$G769*SIN(RADIANS('13_시나리오비교'!$B$9))*SIN(RADIANS('13_시나리오비교'!$C$9))+$H769*SIN(RADIANS('13_시나리오비교'!$B$9))*COS(RADIANS('13_시나리오비교'!$C$9))+$I769*COS(RADIANS('13_시나리오비교'!$B$9))),0)</f>
        <v/>
      </c>
      <c r="U769" s="80">
        <f>IF($I769&gt;0,MAX(0,$G769*SIN(RADIANS('13_시나리오비교'!$B$10))*SIN(RADIANS('13_시나리오비교'!$C$10))+$H769*SIN(RADIANS('13_시나리오비교'!$B$10))*COS(RADIANS('13_시나리오비교'!$C$10))+$I769*COS(RADIANS('13_시나리오비교'!$B$10))),0)</f>
        <v/>
      </c>
      <c r="V769" s="80">
        <f>IF($I769&gt;0,MAX(0,$G769*SIN(RADIANS('13_시나리오비교'!$B$11))*SIN(RADIANS('13_시나리오비교'!$C$11))+$H769*SIN(RADIANS('13_시나리오비교'!$B$11))*COS(RADIANS('13_시나리오비교'!$C$11))+$I769*COS(RADIANS('13_시나리오비교'!$B$11))),0)</f>
        <v/>
      </c>
      <c r="W769" s="80">
        <f>IF($I769&gt;0,MAX(0,$G769*SIN(RADIANS('13_시나리오비교'!$B$12))*SIN(RADIANS('13_시나리오비교'!$C$12))+$H769*SIN(RADIANS('13_시나리오비교'!$B$12))*COS(RADIANS('13_시나리오비교'!$C$12))+$I769*COS(RADIANS('13_시나리오비교'!$B$12))),0)</f>
        <v/>
      </c>
      <c r="X769" s="80">
        <f>IF($I769&gt;0,MAX(0,$G769*SIN(RADIANS('13_시나리오비교'!$B$13))*SIN(RADIANS('13_시나리오비교'!$C$13))+$H769*SIN(RADIANS('13_시나리오비교'!$B$13))*COS(RADIANS('13_시나리오비교'!$C$13))+$I769*COS(RADIANS('13_시나리오비교'!$B$13))),0)</f>
        <v/>
      </c>
      <c r="Y769" s="80">
        <f>IF($I769&gt;0,MAX(0,$G769*SIN(RADIANS('13_시나리오비교'!$B$14))*SIN(RADIANS('13_시나리오비교'!$C$14))+$H769*SIN(RADIANS('13_시나리오비교'!$B$14))*COS(RADIANS('13_시나리오비교'!$C$14))+$I769*COS(RADIANS('13_시나리오비교'!$B$14))),0)</f>
        <v/>
      </c>
    </row>
    <row r="770" hidden="1" outlineLevel="1">
      <c r="A770" s="79" t="n">
        <v>8</v>
      </c>
      <c r="B770" s="79" t="n">
        <v>78</v>
      </c>
      <c r="C770" s="80">
        <f>(B770-0.5)*'14_지역·상수'!$H$6</f>
        <v/>
      </c>
      <c r="D770" s="79" t="n">
        <v>228</v>
      </c>
      <c r="E770" s="80">
        <f>INDEX($C$4:$C$15,MATCH(A770,$A$4:$A$15,0))</f>
        <v/>
      </c>
      <c r="F770" s="80">
        <f>15*(C770-12)</f>
        <v/>
      </c>
      <c r="G770" s="80">
        <f>-COS(RADIANS(E770))*SIN(RADIANS(F770))</f>
        <v/>
      </c>
      <c r="H770" s="80">
        <f>COS(RADIANS('11_발전량_모델'!$B$17))*SIN(RADIANS(E770))-SIN(RADIANS('11_발전량_모델'!$B$17))*COS(RADIANS(E770))*COS(RADIANS(F770))</f>
        <v/>
      </c>
      <c r="I770" s="80">
        <f>SIN(RADIANS('11_발전량_모델'!$B$17))*SIN(RADIANS(E770))+COS(RADIANS('11_발전량_모델'!$B$17))*COS(RADIANS(E770))*COS(RADIANS(F770))</f>
        <v/>
      </c>
      <c r="J770" s="80">
        <f>SIN(RADIANS('11_발전량_모델'!$B$7))*SIN(RADIANS('11_발전량_모델'!$B$8))</f>
        <v/>
      </c>
      <c r="K770" s="80">
        <f>SIN(RADIANS('11_발전량_모델'!$B$7))*COS(RADIANS('11_발전량_모델'!$B$8))</f>
        <v/>
      </c>
      <c r="L770" s="80">
        <f>COS(RADIANS('11_발전량_모델'!$B$7))</f>
        <v/>
      </c>
      <c r="M770" s="80">
        <f>G770*J770+H770*K770+I770*L770</f>
        <v/>
      </c>
      <c r="N770" s="80">
        <f>MAX(0,I770)</f>
        <v/>
      </c>
      <c r="O770" s="80">
        <f>IF(I770&gt;0,MAX(0,M770),0)</f>
        <v/>
      </c>
      <c r="P770" s="80">
        <f>IF($I770&gt;0,MAX(0,$G770*SIN(RADIANS('13_시나리오비교'!$B$5))*SIN(RADIANS('13_시나리오비교'!$C$5))+$H770*SIN(RADIANS('13_시나리오비교'!$B$5))*COS(RADIANS('13_시나리오비교'!$C$5))+$I770*COS(RADIANS('13_시나리오비교'!$B$5))),0)</f>
        <v/>
      </c>
      <c r="Q770" s="80">
        <f>IF($I770&gt;0,MAX(0,$G770*SIN(RADIANS('13_시나리오비교'!$B$6))*SIN(RADIANS('13_시나리오비교'!$C$6))+$H770*SIN(RADIANS('13_시나리오비교'!$B$6))*COS(RADIANS('13_시나리오비교'!$C$6))+$I770*COS(RADIANS('13_시나리오비교'!$B$6))),0)</f>
        <v/>
      </c>
      <c r="R770" s="80">
        <f>IF($I770&gt;0,MAX(0,$G770*SIN(RADIANS('13_시나리오비교'!$B$7))*SIN(RADIANS('13_시나리오비교'!$C$7))+$H770*SIN(RADIANS('13_시나리오비교'!$B$7))*COS(RADIANS('13_시나리오비교'!$C$7))+$I770*COS(RADIANS('13_시나리오비교'!$B$7))),0)</f>
        <v/>
      </c>
      <c r="S770" s="80">
        <f>IF($I770&gt;0,MAX(0,$G770*SIN(RADIANS('13_시나리오비교'!$B$8))*SIN(RADIANS('13_시나리오비교'!$C$8))+$H770*SIN(RADIANS('13_시나리오비교'!$B$8))*COS(RADIANS('13_시나리오비교'!$C$8))+$I770*COS(RADIANS('13_시나리오비교'!$B$8))),0)</f>
        <v/>
      </c>
      <c r="T770" s="80">
        <f>IF($I770&gt;0,MAX(0,$G770*SIN(RADIANS('13_시나리오비교'!$B$9))*SIN(RADIANS('13_시나리오비교'!$C$9))+$H770*SIN(RADIANS('13_시나리오비교'!$B$9))*COS(RADIANS('13_시나리오비교'!$C$9))+$I770*COS(RADIANS('13_시나리오비교'!$B$9))),0)</f>
        <v/>
      </c>
      <c r="U770" s="80">
        <f>IF($I770&gt;0,MAX(0,$G770*SIN(RADIANS('13_시나리오비교'!$B$10))*SIN(RADIANS('13_시나리오비교'!$C$10))+$H770*SIN(RADIANS('13_시나리오비교'!$B$10))*COS(RADIANS('13_시나리오비교'!$C$10))+$I770*COS(RADIANS('13_시나리오비교'!$B$10))),0)</f>
        <v/>
      </c>
      <c r="V770" s="80">
        <f>IF($I770&gt;0,MAX(0,$G770*SIN(RADIANS('13_시나리오비교'!$B$11))*SIN(RADIANS('13_시나리오비교'!$C$11))+$H770*SIN(RADIANS('13_시나리오비교'!$B$11))*COS(RADIANS('13_시나리오비교'!$C$11))+$I770*COS(RADIANS('13_시나리오비교'!$B$11))),0)</f>
        <v/>
      </c>
      <c r="W770" s="80">
        <f>IF($I770&gt;0,MAX(0,$G770*SIN(RADIANS('13_시나리오비교'!$B$12))*SIN(RADIANS('13_시나리오비교'!$C$12))+$H770*SIN(RADIANS('13_시나리오비교'!$B$12))*COS(RADIANS('13_시나리오비교'!$C$12))+$I770*COS(RADIANS('13_시나리오비교'!$B$12))),0)</f>
        <v/>
      </c>
      <c r="X770" s="80">
        <f>IF($I770&gt;0,MAX(0,$G770*SIN(RADIANS('13_시나리오비교'!$B$13))*SIN(RADIANS('13_시나리오비교'!$C$13))+$H770*SIN(RADIANS('13_시나리오비교'!$B$13))*COS(RADIANS('13_시나리오비교'!$C$13))+$I770*COS(RADIANS('13_시나리오비교'!$B$13))),0)</f>
        <v/>
      </c>
      <c r="Y770" s="80">
        <f>IF($I770&gt;0,MAX(0,$G770*SIN(RADIANS('13_시나리오비교'!$B$14))*SIN(RADIANS('13_시나리오비교'!$C$14))+$H770*SIN(RADIANS('13_시나리오비교'!$B$14))*COS(RADIANS('13_시나리오비교'!$C$14))+$I770*COS(RADIANS('13_시나리오비교'!$B$14))),0)</f>
        <v/>
      </c>
    </row>
    <row r="771" hidden="1" outlineLevel="1">
      <c r="A771" s="79" t="n">
        <v>8</v>
      </c>
      <c r="B771" s="79" t="n">
        <v>79</v>
      </c>
      <c r="C771" s="80">
        <f>(B771-0.5)*'14_지역·상수'!$H$6</f>
        <v/>
      </c>
      <c r="D771" s="79" t="n">
        <v>228</v>
      </c>
      <c r="E771" s="80">
        <f>INDEX($C$4:$C$15,MATCH(A771,$A$4:$A$15,0))</f>
        <v/>
      </c>
      <c r="F771" s="80">
        <f>15*(C771-12)</f>
        <v/>
      </c>
      <c r="G771" s="80">
        <f>-COS(RADIANS(E771))*SIN(RADIANS(F771))</f>
        <v/>
      </c>
      <c r="H771" s="80">
        <f>COS(RADIANS('11_발전량_모델'!$B$17))*SIN(RADIANS(E771))-SIN(RADIANS('11_발전량_모델'!$B$17))*COS(RADIANS(E771))*COS(RADIANS(F771))</f>
        <v/>
      </c>
      <c r="I771" s="80">
        <f>SIN(RADIANS('11_발전량_모델'!$B$17))*SIN(RADIANS(E771))+COS(RADIANS('11_발전량_모델'!$B$17))*COS(RADIANS(E771))*COS(RADIANS(F771))</f>
        <v/>
      </c>
      <c r="J771" s="80">
        <f>SIN(RADIANS('11_발전량_모델'!$B$7))*SIN(RADIANS('11_발전량_모델'!$B$8))</f>
        <v/>
      </c>
      <c r="K771" s="80">
        <f>SIN(RADIANS('11_발전량_모델'!$B$7))*COS(RADIANS('11_발전량_모델'!$B$8))</f>
        <v/>
      </c>
      <c r="L771" s="80">
        <f>COS(RADIANS('11_발전량_모델'!$B$7))</f>
        <v/>
      </c>
      <c r="M771" s="80">
        <f>G771*J771+H771*K771+I771*L771</f>
        <v/>
      </c>
      <c r="N771" s="80">
        <f>MAX(0,I771)</f>
        <v/>
      </c>
      <c r="O771" s="80">
        <f>IF(I771&gt;0,MAX(0,M771),0)</f>
        <v/>
      </c>
      <c r="P771" s="80">
        <f>IF($I771&gt;0,MAX(0,$G771*SIN(RADIANS('13_시나리오비교'!$B$5))*SIN(RADIANS('13_시나리오비교'!$C$5))+$H771*SIN(RADIANS('13_시나리오비교'!$B$5))*COS(RADIANS('13_시나리오비교'!$C$5))+$I771*COS(RADIANS('13_시나리오비교'!$B$5))),0)</f>
        <v/>
      </c>
      <c r="Q771" s="80">
        <f>IF($I771&gt;0,MAX(0,$G771*SIN(RADIANS('13_시나리오비교'!$B$6))*SIN(RADIANS('13_시나리오비교'!$C$6))+$H771*SIN(RADIANS('13_시나리오비교'!$B$6))*COS(RADIANS('13_시나리오비교'!$C$6))+$I771*COS(RADIANS('13_시나리오비교'!$B$6))),0)</f>
        <v/>
      </c>
      <c r="R771" s="80">
        <f>IF($I771&gt;0,MAX(0,$G771*SIN(RADIANS('13_시나리오비교'!$B$7))*SIN(RADIANS('13_시나리오비교'!$C$7))+$H771*SIN(RADIANS('13_시나리오비교'!$B$7))*COS(RADIANS('13_시나리오비교'!$C$7))+$I771*COS(RADIANS('13_시나리오비교'!$B$7))),0)</f>
        <v/>
      </c>
      <c r="S771" s="80">
        <f>IF($I771&gt;0,MAX(0,$G771*SIN(RADIANS('13_시나리오비교'!$B$8))*SIN(RADIANS('13_시나리오비교'!$C$8))+$H771*SIN(RADIANS('13_시나리오비교'!$B$8))*COS(RADIANS('13_시나리오비교'!$C$8))+$I771*COS(RADIANS('13_시나리오비교'!$B$8))),0)</f>
        <v/>
      </c>
      <c r="T771" s="80">
        <f>IF($I771&gt;0,MAX(0,$G771*SIN(RADIANS('13_시나리오비교'!$B$9))*SIN(RADIANS('13_시나리오비교'!$C$9))+$H771*SIN(RADIANS('13_시나리오비교'!$B$9))*COS(RADIANS('13_시나리오비교'!$C$9))+$I771*COS(RADIANS('13_시나리오비교'!$B$9))),0)</f>
        <v/>
      </c>
      <c r="U771" s="80">
        <f>IF($I771&gt;0,MAX(0,$G771*SIN(RADIANS('13_시나리오비교'!$B$10))*SIN(RADIANS('13_시나리오비교'!$C$10))+$H771*SIN(RADIANS('13_시나리오비교'!$B$10))*COS(RADIANS('13_시나리오비교'!$C$10))+$I771*COS(RADIANS('13_시나리오비교'!$B$10))),0)</f>
        <v/>
      </c>
      <c r="V771" s="80">
        <f>IF($I771&gt;0,MAX(0,$G771*SIN(RADIANS('13_시나리오비교'!$B$11))*SIN(RADIANS('13_시나리오비교'!$C$11))+$H771*SIN(RADIANS('13_시나리오비교'!$B$11))*COS(RADIANS('13_시나리오비교'!$C$11))+$I771*COS(RADIANS('13_시나리오비교'!$B$11))),0)</f>
        <v/>
      </c>
      <c r="W771" s="80">
        <f>IF($I771&gt;0,MAX(0,$G771*SIN(RADIANS('13_시나리오비교'!$B$12))*SIN(RADIANS('13_시나리오비교'!$C$12))+$H771*SIN(RADIANS('13_시나리오비교'!$B$12))*COS(RADIANS('13_시나리오비교'!$C$12))+$I771*COS(RADIANS('13_시나리오비교'!$B$12))),0)</f>
        <v/>
      </c>
      <c r="X771" s="80">
        <f>IF($I771&gt;0,MAX(0,$G771*SIN(RADIANS('13_시나리오비교'!$B$13))*SIN(RADIANS('13_시나리오비교'!$C$13))+$H771*SIN(RADIANS('13_시나리오비교'!$B$13))*COS(RADIANS('13_시나리오비교'!$C$13))+$I771*COS(RADIANS('13_시나리오비교'!$B$13))),0)</f>
        <v/>
      </c>
      <c r="Y771" s="80">
        <f>IF($I771&gt;0,MAX(0,$G771*SIN(RADIANS('13_시나리오비교'!$B$14))*SIN(RADIANS('13_시나리오비교'!$C$14))+$H771*SIN(RADIANS('13_시나리오비교'!$B$14))*COS(RADIANS('13_시나리오비교'!$C$14))+$I771*COS(RADIANS('13_시나리오비교'!$B$14))),0)</f>
        <v/>
      </c>
    </row>
    <row r="772" hidden="1" outlineLevel="1">
      <c r="A772" s="79" t="n">
        <v>8</v>
      </c>
      <c r="B772" s="79" t="n">
        <v>80</v>
      </c>
      <c r="C772" s="80">
        <f>(B772-0.5)*'14_지역·상수'!$H$6</f>
        <v/>
      </c>
      <c r="D772" s="79" t="n">
        <v>228</v>
      </c>
      <c r="E772" s="80">
        <f>INDEX($C$4:$C$15,MATCH(A772,$A$4:$A$15,0))</f>
        <v/>
      </c>
      <c r="F772" s="80">
        <f>15*(C772-12)</f>
        <v/>
      </c>
      <c r="G772" s="80">
        <f>-COS(RADIANS(E772))*SIN(RADIANS(F772))</f>
        <v/>
      </c>
      <c r="H772" s="80">
        <f>COS(RADIANS('11_발전량_모델'!$B$17))*SIN(RADIANS(E772))-SIN(RADIANS('11_발전량_모델'!$B$17))*COS(RADIANS(E772))*COS(RADIANS(F772))</f>
        <v/>
      </c>
      <c r="I772" s="80">
        <f>SIN(RADIANS('11_발전량_모델'!$B$17))*SIN(RADIANS(E772))+COS(RADIANS('11_발전량_모델'!$B$17))*COS(RADIANS(E772))*COS(RADIANS(F772))</f>
        <v/>
      </c>
      <c r="J772" s="80">
        <f>SIN(RADIANS('11_발전량_모델'!$B$7))*SIN(RADIANS('11_발전량_모델'!$B$8))</f>
        <v/>
      </c>
      <c r="K772" s="80">
        <f>SIN(RADIANS('11_발전량_모델'!$B$7))*COS(RADIANS('11_발전량_모델'!$B$8))</f>
        <v/>
      </c>
      <c r="L772" s="80">
        <f>COS(RADIANS('11_발전량_모델'!$B$7))</f>
        <v/>
      </c>
      <c r="M772" s="80">
        <f>G772*J772+H772*K772+I772*L772</f>
        <v/>
      </c>
      <c r="N772" s="80">
        <f>MAX(0,I772)</f>
        <v/>
      </c>
      <c r="O772" s="80">
        <f>IF(I772&gt;0,MAX(0,M772),0)</f>
        <v/>
      </c>
      <c r="P772" s="80">
        <f>IF($I772&gt;0,MAX(0,$G772*SIN(RADIANS('13_시나리오비교'!$B$5))*SIN(RADIANS('13_시나리오비교'!$C$5))+$H772*SIN(RADIANS('13_시나리오비교'!$B$5))*COS(RADIANS('13_시나리오비교'!$C$5))+$I772*COS(RADIANS('13_시나리오비교'!$B$5))),0)</f>
        <v/>
      </c>
      <c r="Q772" s="80">
        <f>IF($I772&gt;0,MAX(0,$G772*SIN(RADIANS('13_시나리오비교'!$B$6))*SIN(RADIANS('13_시나리오비교'!$C$6))+$H772*SIN(RADIANS('13_시나리오비교'!$B$6))*COS(RADIANS('13_시나리오비교'!$C$6))+$I772*COS(RADIANS('13_시나리오비교'!$B$6))),0)</f>
        <v/>
      </c>
      <c r="R772" s="80">
        <f>IF($I772&gt;0,MAX(0,$G772*SIN(RADIANS('13_시나리오비교'!$B$7))*SIN(RADIANS('13_시나리오비교'!$C$7))+$H772*SIN(RADIANS('13_시나리오비교'!$B$7))*COS(RADIANS('13_시나리오비교'!$C$7))+$I772*COS(RADIANS('13_시나리오비교'!$B$7))),0)</f>
        <v/>
      </c>
      <c r="S772" s="80">
        <f>IF($I772&gt;0,MAX(0,$G772*SIN(RADIANS('13_시나리오비교'!$B$8))*SIN(RADIANS('13_시나리오비교'!$C$8))+$H772*SIN(RADIANS('13_시나리오비교'!$B$8))*COS(RADIANS('13_시나리오비교'!$C$8))+$I772*COS(RADIANS('13_시나리오비교'!$B$8))),0)</f>
        <v/>
      </c>
      <c r="T772" s="80">
        <f>IF($I772&gt;0,MAX(0,$G772*SIN(RADIANS('13_시나리오비교'!$B$9))*SIN(RADIANS('13_시나리오비교'!$C$9))+$H772*SIN(RADIANS('13_시나리오비교'!$B$9))*COS(RADIANS('13_시나리오비교'!$C$9))+$I772*COS(RADIANS('13_시나리오비교'!$B$9))),0)</f>
        <v/>
      </c>
      <c r="U772" s="80">
        <f>IF($I772&gt;0,MAX(0,$G772*SIN(RADIANS('13_시나리오비교'!$B$10))*SIN(RADIANS('13_시나리오비교'!$C$10))+$H772*SIN(RADIANS('13_시나리오비교'!$B$10))*COS(RADIANS('13_시나리오비교'!$C$10))+$I772*COS(RADIANS('13_시나리오비교'!$B$10))),0)</f>
        <v/>
      </c>
      <c r="V772" s="80">
        <f>IF($I772&gt;0,MAX(0,$G772*SIN(RADIANS('13_시나리오비교'!$B$11))*SIN(RADIANS('13_시나리오비교'!$C$11))+$H772*SIN(RADIANS('13_시나리오비교'!$B$11))*COS(RADIANS('13_시나리오비교'!$C$11))+$I772*COS(RADIANS('13_시나리오비교'!$B$11))),0)</f>
        <v/>
      </c>
      <c r="W772" s="80">
        <f>IF($I772&gt;0,MAX(0,$G772*SIN(RADIANS('13_시나리오비교'!$B$12))*SIN(RADIANS('13_시나리오비교'!$C$12))+$H772*SIN(RADIANS('13_시나리오비교'!$B$12))*COS(RADIANS('13_시나리오비교'!$C$12))+$I772*COS(RADIANS('13_시나리오비교'!$B$12))),0)</f>
        <v/>
      </c>
      <c r="X772" s="80">
        <f>IF($I772&gt;0,MAX(0,$G772*SIN(RADIANS('13_시나리오비교'!$B$13))*SIN(RADIANS('13_시나리오비교'!$C$13))+$H772*SIN(RADIANS('13_시나리오비교'!$B$13))*COS(RADIANS('13_시나리오비교'!$C$13))+$I772*COS(RADIANS('13_시나리오비교'!$B$13))),0)</f>
        <v/>
      </c>
      <c r="Y772" s="80">
        <f>IF($I772&gt;0,MAX(0,$G772*SIN(RADIANS('13_시나리오비교'!$B$14))*SIN(RADIANS('13_시나리오비교'!$C$14))+$H772*SIN(RADIANS('13_시나리오비교'!$B$14))*COS(RADIANS('13_시나리오비교'!$C$14))+$I772*COS(RADIANS('13_시나리오비교'!$B$14))),0)</f>
        <v/>
      </c>
    </row>
    <row r="773" hidden="1" outlineLevel="1">
      <c r="A773" s="79" t="n">
        <v>8</v>
      </c>
      <c r="B773" s="79" t="n">
        <v>81</v>
      </c>
      <c r="C773" s="80">
        <f>(B773-0.5)*'14_지역·상수'!$H$6</f>
        <v/>
      </c>
      <c r="D773" s="79" t="n">
        <v>228</v>
      </c>
      <c r="E773" s="80">
        <f>INDEX($C$4:$C$15,MATCH(A773,$A$4:$A$15,0))</f>
        <v/>
      </c>
      <c r="F773" s="80">
        <f>15*(C773-12)</f>
        <v/>
      </c>
      <c r="G773" s="80">
        <f>-COS(RADIANS(E773))*SIN(RADIANS(F773))</f>
        <v/>
      </c>
      <c r="H773" s="80">
        <f>COS(RADIANS('11_발전량_모델'!$B$17))*SIN(RADIANS(E773))-SIN(RADIANS('11_발전량_모델'!$B$17))*COS(RADIANS(E773))*COS(RADIANS(F773))</f>
        <v/>
      </c>
      <c r="I773" s="80">
        <f>SIN(RADIANS('11_발전량_모델'!$B$17))*SIN(RADIANS(E773))+COS(RADIANS('11_발전량_모델'!$B$17))*COS(RADIANS(E773))*COS(RADIANS(F773))</f>
        <v/>
      </c>
      <c r="J773" s="80">
        <f>SIN(RADIANS('11_발전량_모델'!$B$7))*SIN(RADIANS('11_발전량_모델'!$B$8))</f>
        <v/>
      </c>
      <c r="K773" s="80">
        <f>SIN(RADIANS('11_발전량_모델'!$B$7))*COS(RADIANS('11_발전량_모델'!$B$8))</f>
        <v/>
      </c>
      <c r="L773" s="80">
        <f>COS(RADIANS('11_발전량_모델'!$B$7))</f>
        <v/>
      </c>
      <c r="M773" s="80">
        <f>G773*J773+H773*K773+I773*L773</f>
        <v/>
      </c>
      <c r="N773" s="80">
        <f>MAX(0,I773)</f>
        <v/>
      </c>
      <c r="O773" s="80">
        <f>IF(I773&gt;0,MAX(0,M773),0)</f>
        <v/>
      </c>
      <c r="P773" s="80">
        <f>IF($I773&gt;0,MAX(0,$G773*SIN(RADIANS('13_시나리오비교'!$B$5))*SIN(RADIANS('13_시나리오비교'!$C$5))+$H773*SIN(RADIANS('13_시나리오비교'!$B$5))*COS(RADIANS('13_시나리오비교'!$C$5))+$I773*COS(RADIANS('13_시나리오비교'!$B$5))),0)</f>
        <v/>
      </c>
      <c r="Q773" s="80">
        <f>IF($I773&gt;0,MAX(0,$G773*SIN(RADIANS('13_시나리오비교'!$B$6))*SIN(RADIANS('13_시나리오비교'!$C$6))+$H773*SIN(RADIANS('13_시나리오비교'!$B$6))*COS(RADIANS('13_시나리오비교'!$C$6))+$I773*COS(RADIANS('13_시나리오비교'!$B$6))),0)</f>
        <v/>
      </c>
      <c r="R773" s="80">
        <f>IF($I773&gt;0,MAX(0,$G773*SIN(RADIANS('13_시나리오비교'!$B$7))*SIN(RADIANS('13_시나리오비교'!$C$7))+$H773*SIN(RADIANS('13_시나리오비교'!$B$7))*COS(RADIANS('13_시나리오비교'!$C$7))+$I773*COS(RADIANS('13_시나리오비교'!$B$7))),0)</f>
        <v/>
      </c>
      <c r="S773" s="80">
        <f>IF($I773&gt;0,MAX(0,$G773*SIN(RADIANS('13_시나리오비교'!$B$8))*SIN(RADIANS('13_시나리오비교'!$C$8))+$H773*SIN(RADIANS('13_시나리오비교'!$B$8))*COS(RADIANS('13_시나리오비교'!$C$8))+$I773*COS(RADIANS('13_시나리오비교'!$B$8))),0)</f>
        <v/>
      </c>
      <c r="T773" s="80">
        <f>IF($I773&gt;0,MAX(0,$G773*SIN(RADIANS('13_시나리오비교'!$B$9))*SIN(RADIANS('13_시나리오비교'!$C$9))+$H773*SIN(RADIANS('13_시나리오비교'!$B$9))*COS(RADIANS('13_시나리오비교'!$C$9))+$I773*COS(RADIANS('13_시나리오비교'!$B$9))),0)</f>
        <v/>
      </c>
      <c r="U773" s="80">
        <f>IF($I773&gt;0,MAX(0,$G773*SIN(RADIANS('13_시나리오비교'!$B$10))*SIN(RADIANS('13_시나리오비교'!$C$10))+$H773*SIN(RADIANS('13_시나리오비교'!$B$10))*COS(RADIANS('13_시나리오비교'!$C$10))+$I773*COS(RADIANS('13_시나리오비교'!$B$10))),0)</f>
        <v/>
      </c>
      <c r="V773" s="80">
        <f>IF($I773&gt;0,MAX(0,$G773*SIN(RADIANS('13_시나리오비교'!$B$11))*SIN(RADIANS('13_시나리오비교'!$C$11))+$H773*SIN(RADIANS('13_시나리오비교'!$B$11))*COS(RADIANS('13_시나리오비교'!$C$11))+$I773*COS(RADIANS('13_시나리오비교'!$B$11))),0)</f>
        <v/>
      </c>
      <c r="W773" s="80">
        <f>IF($I773&gt;0,MAX(0,$G773*SIN(RADIANS('13_시나리오비교'!$B$12))*SIN(RADIANS('13_시나리오비교'!$C$12))+$H773*SIN(RADIANS('13_시나리오비교'!$B$12))*COS(RADIANS('13_시나리오비교'!$C$12))+$I773*COS(RADIANS('13_시나리오비교'!$B$12))),0)</f>
        <v/>
      </c>
      <c r="X773" s="80">
        <f>IF($I773&gt;0,MAX(0,$G773*SIN(RADIANS('13_시나리오비교'!$B$13))*SIN(RADIANS('13_시나리오비교'!$C$13))+$H773*SIN(RADIANS('13_시나리오비교'!$B$13))*COS(RADIANS('13_시나리오비교'!$C$13))+$I773*COS(RADIANS('13_시나리오비교'!$B$13))),0)</f>
        <v/>
      </c>
      <c r="Y773" s="80">
        <f>IF($I773&gt;0,MAX(0,$G773*SIN(RADIANS('13_시나리오비교'!$B$14))*SIN(RADIANS('13_시나리오비교'!$C$14))+$H773*SIN(RADIANS('13_시나리오비교'!$B$14))*COS(RADIANS('13_시나리오비교'!$C$14))+$I773*COS(RADIANS('13_시나리오비교'!$B$14))),0)</f>
        <v/>
      </c>
    </row>
    <row r="774" hidden="1" outlineLevel="1">
      <c r="A774" s="79" t="n">
        <v>8</v>
      </c>
      <c r="B774" s="79" t="n">
        <v>82</v>
      </c>
      <c r="C774" s="80">
        <f>(B774-0.5)*'14_지역·상수'!$H$6</f>
        <v/>
      </c>
      <c r="D774" s="79" t="n">
        <v>228</v>
      </c>
      <c r="E774" s="80">
        <f>INDEX($C$4:$C$15,MATCH(A774,$A$4:$A$15,0))</f>
        <v/>
      </c>
      <c r="F774" s="80">
        <f>15*(C774-12)</f>
        <v/>
      </c>
      <c r="G774" s="80">
        <f>-COS(RADIANS(E774))*SIN(RADIANS(F774))</f>
        <v/>
      </c>
      <c r="H774" s="80">
        <f>COS(RADIANS('11_발전량_모델'!$B$17))*SIN(RADIANS(E774))-SIN(RADIANS('11_발전량_모델'!$B$17))*COS(RADIANS(E774))*COS(RADIANS(F774))</f>
        <v/>
      </c>
      <c r="I774" s="80">
        <f>SIN(RADIANS('11_발전량_모델'!$B$17))*SIN(RADIANS(E774))+COS(RADIANS('11_발전량_모델'!$B$17))*COS(RADIANS(E774))*COS(RADIANS(F774))</f>
        <v/>
      </c>
      <c r="J774" s="80">
        <f>SIN(RADIANS('11_발전량_모델'!$B$7))*SIN(RADIANS('11_발전량_모델'!$B$8))</f>
        <v/>
      </c>
      <c r="K774" s="80">
        <f>SIN(RADIANS('11_발전량_모델'!$B$7))*COS(RADIANS('11_발전량_모델'!$B$8))</f>
        <v/>
      </c>
      <c r="L774" s="80">
        <f>COS(RADIANS('11_발전량_모델'!$B$7))</f>
        <v/>
      </c>
      <c r="M774" s="80">
        <f>G774*J774+H774*K774+I774*L774</f>
        <v/>
      </c>
      <c r="N774" s="80">
        <f>MAX(0,I774)</f>
        <v/>
      </c>
      <c r="O774" s="80">
        <f>IF(I774&gt;0,MAX(0,M774),0)</f>
        <v/>
      </c>
      <c r="P774" s="80">
        <f>IF($I774&gt;0,MAX(0,$G774*SIN(RADIANS('13_시나리오비교'!$B$5))*SIN(RADIANS('13_시나리오비교'!$C$5))+$H774*SIN(RADIANS('13_시나리오비교'!$B$5))*COS(RADIANS('13_시나리오비교'!$C$5))+$I774*COS(RADIANS('13_시나리오비교'!$B$5))),0)</f>
        <v/>
      </c>
      <c r="Q774" s="80">
        <f>IF($I774&gt;0,MAX(0,$G774*SIN(RADIANS('13_시나리오비교'!$B$6))*SIN(RADIANS('13_시나리오비교'!$C$6))+$H774*SIN(RADIANS('13_시나리오비교'!$B$6))*COS(RADIANS('13_시나리오비교'!$C$6))+$I774*COS(RADIANS('13_시나리오비교'!$B$6))),0)</f>
        <v/>
      </c>
      <c r="R774" s="80">
        <f>IF($I774&gt;0,MAX(0,$G774*SIN(RADIANS('13_시나리오비교'!$B$7))*SIN(RADIANS('13_시나리오비교'!$C$7))+$H774*SIN(RADIANS('13_시나리오비교'!$B$7))*COS(RADIANS('13_시나리오비교'!$C$7))+$I774*COS(RADIANS('13_시나리오비교'!$B$7))),0)</f>
        <v/>
      </c>
      <c r="S774" s="80">
        <f>IF($I774&gt;0,MAX(0,$G774*SIN(RADIANS('13_시나리오비교'!$B$8))*SIN(RADIANS('13_시나리오비교'!$C$8))+$H774*SIN(RADIANS('13_시나리오비교'!$B$8))*COS(RADIANS('13_시나리오비교'!$C$8))+$I774*COS(RADIANS('13_시나리오비교'!$B$8))),0)</f>
        <v/>
      </c>
      <c r="T774" s="80">
        <f>IF($I774&gt;0,MAX(0,$G774*SIN(RADIANS('13_시나리오비교'!$B$9))*SIN(RADIANS('13_시나리오비교'!$C$9))+$H774*SIN(RADIANS('13_시나리오비교'!$B$9))*COS(RADIANS('13_시나리오비교'!$C$9))+$I774*COS(RADIANS('13_시나리오비교'!$B$9))),0)</f>
        <v/>
      </c>
      <c r="U774" s="80">
        <f>IF($I774&gt;0,MAX(0,$G774*SIN(RADIANS('13_시나리오비교'!$B$10))*SIN(RADIANS('13_시나리오비교'!$C$10))+$H774*SIN(RADIANS('13_시나리오비교'!$B$10))*COS(RADIANS('13_시나리오비교'!$C$10))+$I774*COS(RADIANS('13_시나리오비교'!$B$10))),0)</f>
        <v/>
      </c>
      <c r="V774" s="80">
        <f>IF($I774&gt;0,MAX(0,$G774*SIN(RADIANS('13_시나리오비교'!$B$11))*SIN(RADIANS('13_시나리오비교'!$C$11))+$H774*SIN(RADIANS('13_시나리오비교'!$B$11))*COS(RADIANS('13_시나리오비교'!$C$11))+$I774*COS(RADIANS('13_시나리오비교'!$B$11))),0)</f>
        <v/>
      </c>
      <c r="W774" s="80">
        <f>IF($I774&gt;0,MAX(0,$G774*SIN(RADIANS('13_시나리오비교'!$B$12))*SIN(RADIANS('13_시나리오비교'!$C$12))+$H774*SIN(RADIANS('13_시나리오비교'!$B$12))*COS(RADIANS('13_시나리오비교'!$C$12))+$I774*COS(RADIANS('13_시나리오비교'!$B$12))),0)</f>
        <v/>
      </c>
      <c r="X774" s="80">
        <f>IF($I774&gt;0,MAX(0,$G774*SIN(RADIANS('13_시나리오비교'!$B$13))*SIN(RADIANS('13_시나리오비교'!$C$13))+$H774*SIN(RADIANS('13_시나리오비교'!$B$13))*COS(RADIANS('13_시나리오비교'!$C$13))+$I774*COS(RADIANS('13_시나리오비교'!$B$13))),0)</f>
        <v/>
      </c>
      <c r="Y774" s="80">
        <f>IF($I774&gt;0,MAX(0,$G774*SIN(RADIANS('13_시나리오비교'!$B$14))*SIN(RADIANS('13_시나리오비교'!$C$14))+$H774*SIN(RADIANS('13_시나리오비교'!$B$14))*COS(RADIANS('13_시나리오비교'!$C$14))+$I774*COS(RADIANS('13_시나리오비교'!$B$14))),0)</f>
        <v/>
      </c>
    </row>
    <row r="775" hidden="1" outlineLevel="1">
      <c r="A775" s="79" t="n">
        <v>8</v>
      </c>
      <c r="B775" s="79" t="n">
        <v>83</v>
      </c>
      <c r="C775" s="80">
        <f>(B775-0.5)*'14_지역·상수'!$H$6</f>
        <v/>
      </c>
      <c r="D775" s="79" t="n">
        <v>228</v>
      </c>
      <c r="E775" s="80">
        <f>INDEX($C$4:$C$15,MATCH(A775,$A$4:$A$15,0))</f>
        <v/>
      </c>
      <c r="F775" s="80">
        <f>15*(C775-12)</f>
        <v/>
      </c>
      <c r="G775" s="80">
        <f>-COS(RADIANS(E775))*SIN(RADIANS(F775))</f>
        <v/>
      </c>
      <c r="H775" s="80">
        <f>COS(RADIANS('11_발전량_모델'!$B$17))*SIN(RADIANS(E775))-SIN(RADIANS('11_발전량_모델'!$B$17))*COS(RADIANS(E775))*COS(RADIANS(F775))</f>
        <v/>
      </c>
      <c r="I775" s="80">
        <f>SIN(RADIANS('11_발전량_모델'!$B$17))*SIN(RADIANS(E775))+COS(RADIANS('11_발전량_모델'!$B$17))*COS(RADIANS(E775))*COS(RADIANS(F775))</f>
        <v/>
      </c>
      <c r="J775" s="80">
        <f>SIN(RADIANS('11_발전량_모델'!$B$7))*SIN(RADIANS('11_발전량_모델'!$B$8))</f>
        <v/>
      </c>
      <c r="K775" s="80">
        <f>SIN(RADIANS('11_발전량_모델'!$B$7))*COS(RADIANS('11_발전량_모델'!$B$8))</f>
        <v/>
      </c>
      <c r="L775" s="80">
        <f>COS(RADIANS('11_발전량_모델'!$B$7))</f>
        <v/>
      </c>
      <c r="M775" s="80">
        <f>G775*J775+H775*K775+I775*L775</f>
        <v/>
      </c>
      <c r="N775" s="80">
        <f>MAX(0,I775)</f>
        <v/>
      </c>
      <c r="O775" s="80">
        <f>IF(I775&gt;0,MAX(0,M775),0)</f>
        <v/>
      </c>
      <c r="P775" s="80">
        <f>IF($I775&gt;0,MAX(0,$G775*SIN(RADIANS('13_시나리오비교'!$B$5))*SIN(RADIANS('13_시나리오비교'!$C$5))+$H775*SIN(RADIANS('13_시나리오비교'!$B$5))*COS(RADIANS('13_시나리오비교'!$C$5))+$I775*COS(RADIANS('13_시나리오비교'!$B$5))),0)</f>
        <v/>
      </c>
      <c r="Q775" s="80">
        <f>IF($I775&gt;0,MAX(0,$G775*SIN(RADIANS('13_시나리오비교'!$B$6))*SIN(RADIANS('13_시나리오비교'!$C$6))+$H775*SIN(RADIANS('13_시나리오비교'!$B$6))*COS(RADIANS('13_시나리오비교'!$C$6))+$I775*COS(RADIANS('13_시나리오비교'!$B$6))),0)</f>
        <v/>
      </c>
      <c r="R775" s="80">
        <f>IF($I775&gt;0,MAX(0,$G775*SIN(RADIANS('13_시나리오비교'!$B$7))*SIN(RADIANS('13_시나리오비교'!$C$7))+$H775*SIN(RADIANS('13_시나리오비교'!$B$7))*COS(RADIANS('13_시나리오비교'!$C$7))+$I775*COS(RADIANS('13_시나리오비교'!$B$7))),0)</f>
        <v/>
      </c>
      <c r="S775" s="80">
        <f>IF($I775&gt;0,MAX(0,$G775*SIN(RADIANS('13_시나리오비교'!$B$8))*SIN(RADIANS('13_시나리오비교'!$C$8))+$H775*SIN(RADIANS('13_시나리오비교'!$B$8))*COS(RADIANS('13_시나리오비교'!$C$8))+$I775*COS(RADIANS('13_시나리오비교'!$B$8))),0)</f>
        <v/>
      </c>
      <c r="T775" s="80">
        <f>IF($I775&gt;0,MAX(0,$G775*SIN(RADIANS('13_시나리오비교'!$B$9))*SIN(RADIANS('13_시나리오비교'!$C$9))+$H775*SIN(RADIANS('13_시나리오비교'!$B$9))*COS(RADIANS('13_시나리오비교'!$C$9))+$I775*COS(RADIANS('13_시나리오비교'!$B$9))),0)</f>
        <v/>
      </c>
      <c r="U775" s="80">
        <f>IF($I775&gt;0,MAX(0,$G775*SIN(RADIANS('13_시나리오비교'!$B$10))*SIN(RADIANS('13_시나리오비교'!$C$10))+$H775*SIN(RADIANS('13_시나리오비교'!$B$10))*COS(RADIANS('13_시나리오비교'!$C$10))+$I775*COS(RADIANS('13_시나리오비교'!$B$10))),0)</f>
        <v/>
      </c>
      <c r="V775" s="80">
        <f>IF($I775&gt;0,MAX(0,$G775*SIN(RADIANS('13_시나리오비교'!$B$11))*SIN(RADIANS('13_시나리오비교'!$C$11))+$H775*SIN(RADIANS('13_시나리오비교'!$B$11))*COS(RADIANS('13_시나리오비교'!$C$11))+$I775*COS(RADIANS('13_시나리오비교'!$B$11))),0)</f>
        <v/>
      </c>
      <c r="W775" s="80">
        <f>IF($I775&gt;0,MAX(0,$G775*SIN(RADIANS('13_시나리오비교'!$B$12))*SIN(RADIANS('13_시나리오비교'!$C$12))+$H775*SIN(RADIANS('13_시나리오비교'!$B$12))*COS(RADIANS('13_시나리오비교'!$C$12))+$I775*COS(RADIANS('13_시나리오비교'!$B$12))),0)</f>
        <v/>
      </c>
      <c r="X775" s="80">
        <f>IF($I775&gt;0,MAX(0,$G775*SIN(RADIANS('13_시나리오비교'!$B$13))*SIN(RADIANS('13_시나리오비교'!$C$13))+$H775*SIN(RADIANS('13_시나리오비교'!$B$13))*COS(RADIANS('13_시나리오비교'!$C$13))+$I775*COS(RADIANS('13_시나리오비교'!$B$13))),0)</f>
        <v/>
      </c>
      <c r="Y775" s="80">
        <f>IF($I775&gt;0,MAX(0,$G775*SIN(RADIANS('13_시나리오비교'!$B$14))*SIN(RADIANS('13_시나리오비교'!$C$14))+$H775*SIN(RADIANS('13_시나리오비교'!$B$14))*COS(RADIANS('13_시나리오비교'!$C$14))+$I775*COS(RADIANS('13_시나리오비교'!$B$14))),0)</f>
        <v/>
      </c>
    </row>
    <row r="776" hidden="1" outlineLevel="1">
      <c r="A776" s="79" t="n">
        <v>8</v>
      </c>
      <c r="B776" s="79" t="n">
        <v>84</v>
      </c>
      <c r="C776" s="80">
        <f>(B776-0.5)*'14_지역·상수'!$H$6</f>
        <v/>
      </c>
      <c r="D776" s="79" t="n">
        <v>228</v>
      </c>
      <c r="E776" s="80">
        <f>INDEX($C$4:$C$15,MATCH(A776,$A$4:$A$15,0))</f>
        <v/>
      </c>
      <c r="F776" s="80">
        <f>15*(C776-12)</f>
        <v/>
      </c>
      <c r="G776" s="80">
        <f>-COS(RADIANS(E776))*SIN(RADIANS(F776))</f>
        <v/>
      </c>
      <c r="H776" s="80">
        <f>COS(RADIANS('11_발전량_모델'!$B$17))*SIN(RADIANS(E776))-SIN(RADIANS('11_발전량_모델'!$B$17))*COS(RADIANS(E776))*COS(RADIANS(F776))</f>
        <v/>
      </c>
      <c r="I776" s="80">
        <f>SIN(RADIANS('11_발전량_모델'!$B$17))*SIN(RADIANS(E776))+COS(RADIANS('11_발전량_모델'!$B$17))*COS(RADIANS(E776))*COS(RADIANS(F776))</f>
        <v/>
      </c>
      <c r="J776" s="80">
        <f>SIN(RADIANS('11_발전량_모델'!$B$7))*SIN(RADIANS('11_발전량_모델'!$B$8))</f>
        <v/>
      </c>
      <c r="K776" s="80">
        <f>SIN(RADIANS('11_발전량_모델'!$B$7))*COS(RADIANS('11_발전량_모델'!$B$8))</f>
        <v/>
      </c>
      <c r="L776" s="80">
        <f>COS(RADIANS('11_발전량_모델'!$B$7))</f>
        <v/>
      </c>
      <c r="M776" s="80">
        <f>G776*J776+H776*K776+I776*L776</f>
        <v/>
      </c>
      <c r="N776" s="80">
        <f>MAX(0,I776)</f>
        <v/>
      </c>
      <c r="O776" s="80">
        <f>IF(I776&gt;0,MAX(0,M776),0)</f>
        <v/>
      </c>
      <c r="P776" s="80">
        <f>IF($I776&gt;0,MAX(0,$G776*SIN(RADIANS('13_시나리오비교'!$B$5))*SIN(RADIANS('13_시나리오비교'!$C$5))+$H776*SIN(RADIANS('13_시나리오비교'!$B$5))*COS(RADIANS('13_시나리오비교'!$C$5))+$I776*COS(RADIANS('13_시나리오비교'!$B$5))),0)</f>
        <v/>
      </c>
      <c r="Q776" s="80">
        <f>IF($I776&gt;0,MAX(0,$G776*SIN(RADIANS('13_시나리오비교'!$B$6))*SIN(RADIANS('13_시나리오비교'!$C$6))+$H776*SIN(RADIANS('13_시나리오비교'!$B$6))*COS(RADIANS('13_시나리오비교'!$C$6))+$I776*COS(RADIANS('13_시나리오비교'!$B$6))),0)</f>
        <v/>
      </c>
      <c r="R776" s="80">
        <f>IF($I776&gt;0,MAX(0,$G776*SIN(RADIANS('13_시나리오비교'!$B$7))*SIN(RADIANS('13_시나리오비교'!$C$7))+$H776*SIN(RADIANS('13_시나리오비교'!$B$7))*COS(RADIANS('13_시나리오비교'!$C$7))+$I776*COS(RADIANS('13_시나리오비교'!$B$7))),0)</f>
        <v/>
      </c>
      <c r="S776" s="80">
        <f>IF($I776&gt;0,MAX(0,$G776*SIN(RADIANS('13_시나리오비교'!$B$8))*SIN(RADIANS('13_시나리오비교'!$C$8))+$H776*SIN(RADIANS('13_시나리오비교'!$B$8))*COS(RADIANS('13_시나리오비교'!$C$8))+$I776*COS(RADIANS('13_시나리오비교'!$B$8))),0)</f>
        <v/>
      </c>
      <c r="T776" s="80">
        <f>IF($I776&gt;0,MAX(0,$G776*SIN(RADIANS('13_시나리오비교'!$B$9))*SIN(RADIANS('13_시나리오비교'!$C$9))+$H776*SIN(RADIANS('13_시나리오비교'!$B$9))*COS(RADIANS('13_시나리오비교'!$C$9))+$I776*COS(RADIANS('13_시나리오비교'!$B$9))),0)</f>
        <v/>
      </c>
      <c r="U776" s="80">
        <f>IF($I776&gt;0,MAX(0,$G776*SIN(RADIANS('13_시나리오비교'!$B$10))*SIN(RADIANS('13_시나리오비교'!$C$10))+$H776*SIN(RADIANS('13_시나리오비교'!$B$10))*COS(RADIANS('13_시나리오비교'!$C$10))+$I776*COS(RADIANS('13_시나리오비교'!$B$10))),0)</f>
        <v/>
      </c>
      <c r="V776" s="80">
        <f>IF($I776&gt;0,MAX(0,$G776*SIN(RADIANS('13_시나리오비교'!$B$11))*SIN(RADIANS('13_시나리오비교'!$C$11))+$H776*SIN(RADIANS('13_시나리오비교'!$B$11))*COS(RADIANS('13_시나리오비교'!$C$11))+$I776*COS(RADIANS('13_시나리오비교'!$B$11))),0)</f>
        <v/>
      </c>
      <c r="W776" s="80">
        <f>IF($I776&gt;0,MAX(0,$G776*SIN(RADIANS('13_시나리오비교'!$B$12))*SIN(RADIANS('13_시나리오비교'!$C$12))+$H776*SIN(RADIANS('13_시나리오비교'!$B$12))*COS(RADIANS('13_시나리오비교'!$C$12))+$I776*COS(RADIANS('13_시나리오비교'!$B$12))),0)</f>
        <v/>
      </c>
      <c r="X776" s="80">
        <f>IF($I776&gt;0,MAX(0,$G776*SIN(RADIANS('13_시나리오비교'!$B$13))*SIN(RADIANS('13_시나리오비교'!$C$13))+$H776*SIN(RADIANS('13_시나리오비교'!$B$13))*COS(RADIANS('13_시나리오비교'!$C$13))+$I776*COS(RADIANS('13_시나리오비교'!$B$13))),0)</f>
        <v/>
      </c>
      <c r="Y776" s="80">
        <f>IF($I776&gt;0,MAX(0,$G776*SIN(RADIANS('13_시나리오비교'!$B$14))*SIN(RADIANS('13_시나리오비교'!$C$14))+$H776*SIN(RADIANS('13_시나리오비교'!$B$14))*COS(RADIANS('13_시나리오비교'!$C$14))+$I776*COS(RADIANS('13_시나리오비교'!$B$14))),0)</f>
        <v/>
      </c>
    </row>
    <row r="777" hidden="1" outlineLevel="1">
      <c r="A777" s="79" t="n">
        <v>8</v>
      </c>
      <c r="B777" s="79" t="n">
        <v>85</v>
      </c>
      <c r="C777" s="80">
        <f>(B777-0.5)*'14_지역·상수'!$H$6</f>
        <v/>
      </c>
      <c r="D777" s="79" t="n">
        <v>228</v>
      </c>
      <c r="E777" s="80">
        <f>INDEX($C$4:$C$15,MATCH(A777,$A$4:$A$15,0))</f>
        <v/>
      </c>
      <c r="F777" s="80">
        <f>15*(C777-12)</f>
        <v/>
      </c>
      <c r="G777" s="80">
        <f>-COS(RADIANS(E777))*SIN(RADIANS(F777))</f>
        <v/>
      </c>
      <c r="H777" s="80">
        <f>COS(RADIANS('11_발전량_모델'!$B$17))*SIN(RADIANS(E777))-SIN(RADIANS('11_발전량_모델'!$B$17))*COS(RADIANS(E777))*COS(RADIANS(F777))</f>
        <v/>
      </c>
      <c r="I777" s="80">
        <f>SIN(RADIANS('11_발전량_모델'!$B$17))*SIN(RADIANS(E777))+COS(RADIANS('11_발전량_모델'!$B$17))*COS(RADIANS(E777))*COS(RADIANS(F777))</f>
        <v/>
      </c>
      <c r="J777" s="80">
        <f>SIN(RADIANS('11_발전량_모델'!$B$7))*SIN(RADIANS('11_발전량_모델'!$B$8))</f>
        <v/>
      </c>
      <c r="K777" s="80">
        <f>SIN(RADIANS('11_발전량_모델'!$B$7))*COS(RADIANS('11_발전량_모델'!$B$8))</f>
        <v/>
      </c>
      <c r="L777" s="80">
        <f>COS(RADIANS('11_발전량_모델'!$B$7))</f>
        <v/>
      </c>
      <c r="M777" s="80">
        <f>G777*J777+H777*K777+I777*L777</f>
        <v/>
      </c>
      <c r="N777" s="80">
        <f>MAX(0,I777)</f>
        <v/>
      </c>
      <c r="O777" s="80">
        <f>IF(I777&gt;0,MAX(0,M777),0)</f>
        <v/>
      </c>
      <c r="P777" s="80">
        <f>IF($I777&gt;0,MAX(0,$G777*SIN(RADIANS('13_시나리오비교'!$B$5))*SIN(RADIANS('13_시나리오비교'!$C$5))+$H777*SIN(RADIANS('13_시나리오비교'!$B$5))*COS(RADIANS('13_시나리오비교'!$C$5))+$I777*COS(RADIANS('13_시나리오비교'!$B$5))),0)</f>
        <v/>
      </c>
      <c r="Q777" s="80">
        <f>IF($I777&gt;0,MAX(0,$G777*SIN(RADIANS('13_시나리오비교'!$B$6))*SIN(RADIANS('13_시나리오비교'!$C$6))+$H777*SIN(RADIANS('13_시나리오비교'!$B$6))*COS(RADIANS('13_시나리오비교'!$C$6))+$I777*COS(RADIANS('13_시나리오비교'!$B$6))),0)</f>
        <v/>
      </c>
      <c r="R777" s="80">
        <f>IF($I777&gt;0,MAX(0,$G777*SIN(RADIANS('13_시나리오비교'!$B$7))*SIN(RADIANS('13_시나리오비교'!$C$7))+$H777*SIN(RADIANS('13_시나리오비교'!$B$7))*COS(RADIANS('13_시나리오비교'!$C$7))+$I777*COS(RADIANS('13_시나리오비교'!$B$7))),0)</f>
        <v/>
      </c>
      <c r="S777" s="80">
        <f>IF($I777&gt;0,MAX(0,$G777*SIN(RADIANS('13_시나리오비교'!$B$8))*SIN(RADIANS('13_시나리오비교'!$C$8))+$H777*SIN(RADIANS('13_시나리오비교'!$B$8))*COS(RADIANS('13_시나리오비교'!$C$8))+$I777*COS(RADIANS('13_시나리오비교'!$B$8))),0)</f>
        <v/>
      </c>
      <c r="T777" s="80">
        <f>IF($I777&gt;0,MAX(0,$G777*SIN(RADIANS('13_시나리오비교'!$B$9))*SIN(RADIANS('13_시나리오비교'!$C$9))+$H777*SIN(RADIANS('13_시나리오비교'!$B$9))*COS(RADIANS('13_시나리오비교'!$C$9))+$I777*COS(RADIANS('13_시나리오비교'!$B$9))),0)</f>
        <v/>
      </c>
      <c r="U777" s="80">
        <f>IF($I777&gt;0,MAX(0,$G777*SIN(RADIANS('13_시나리오비교'!$B$10))*SIN(RADIANS('13_시나리오비교'!$C$10))+$H777*SIN(RADIANS('13_시나리오비교'!$B$10))*COS(RADIANS('13_시나리오비교'!$C$10))+$I777*COS(RADIANS('13_시나리오비교'!$B$10))),0)</f>
        <v/>
      </c>
      <c r="V777" s="80">
        <f>IF($I777&gt;0,MAX(0,$G777*SIN(RADIANS('13_시나리오비교'!$B$11))*SIN(RADIANS('13_시나리오비교'!$C$11))+$H777*SIN(RADIANS('13_시나리오비교'!$B$11))*COS(RADIANS('13_시나리오비교'!$C$11))+$I777*COS(RADIANS('13_시나리오비교'!$B$11))),0)</f>
        <v/>
      </c>
      <c r="W777" s="80">
        <f>IF($I777&gt;0,MAX(0,$G777*SIN(RADIANS('13_시나리오비교'!$B$12))*SIN(RADIANS('13_시나리오비교'!$C$12))+$H777*SIN(RADIANS('13_시나리오비교'!$B$12))*COS(RADIANS('13_시나리오비교'!$C$12))+$I777*COS(RADIANS('13_시나리오비교'!$B$12))),0)</f>
        <v/>
      </c>
      <c r="X777" s="80">
        <f>IF($I777&gt;0,MAX(0,$G777*SIN(RADIANS('13_시나리오비교'!$B$13))*SIN(RADIANS('13_시나리오비교'!$C$13))+$H777*SIN(RADIANS('13_시나리오비교'!$B$13))*COS(RADIANS('13_시나리오비교'!$C$13))+$I777*COS(RADIANS('13_시나리오비교'!$B$13))),0)</f>
        <v/>
      </c>
      <c r="Y777" s="80">
        <f>IF($I777&gt;0,MAX(0,$G777*SIN(RADIANS('13_시나리오비교'!$B$14))*SIN(RADIANS('13_시나리오비교'!$C$14))+$H777*SIN(RADIANS('13_시나리오비교'!$B$14))*COS(RADIANS('13_시나리오비교'!$C$14))+$I777*COS(RADIANS('13_시나리오비교'!$B$14))),0)</f>
        <v/>
      </c>
    </row>
    <row r="778" hidden="1" outlineLevel="1">
      <c r="A778" s="79" t="n">
        <v>8</v>
      </c>
      <c r="B778" s="79" t="n">
        <v>86</v>
      </c>
      <c r="C778" s="80">
        <f>(B778-0.5)*'14_지역·상수'!$H$6</f>
        <v/>
      </c>
      <c r="D778" s="79" t="n">
        <v>228</v>
      </c>
      <c r="E778" s="80">
        <f>INDEX($C$4:$C$15,MATCH(A778,$A$4:$A$15,0))</f>
        <v/>
      </c>
      <c r="F778" s="80">
        <f>15*(C778-12)</f>
        <v/>
      </c>
      <c r="G778" s="80">
        <f>-COS(RADIANS(E778))*SIN(RADIANS(F778))</f>
        <v/>
      </c>
      <c r="H778" s="80">
        <f>COS(RADIANS('11_발전량_모델'!$B$17))*SIN(RADIANS(E778))-SIN(RADIANS('11_발전량_모델'!$B$17))*COS(RADIANS(E778))*COS(RADIANS(F778))</f>
        <v/>
      </c>
      <c r="I778" s="80">
        <f>SIN(RADIANS('11_발전량_모델'!$B$17))*SIN(RADIANS(E778))+COS(RADIANS('11_발전량_모델'!$B$17))*COS(RADIANS(E778))*COS(RADIANS(F778))</f>
        <v/>
      </c>
      <c r="J778" s="80">
        <f>SIN(RADIANS('11_발전량_모델'!$B$7))*SIN(RADIANS('11_발전량_모델'!$B$8))</f>
        <v/>
      </c>
      <c r="K778" s="80">
        <f>SIN(RADIANS('11_발전량_모델'!$B$7))*COS(RADIANS('11_발전량_모델'!$B$8))</f>
        <v/>
      </c>
      <c r="L778" s="80">
        <f>COS(RADIANS('11_발전량_모델'!$B$7))</f>
        <v/>
      </c>
      <c r="M778" s="80">
        <f>G778*J778+H778*K778+I778*L778</f>
        <v/>
      </c>
      <c r="N778" s="80">
        <f>MAX(0,I778)</f>
        <v/>
      </c>
      <c r="O778" s="80">
        <f>IF(I778&gt;0,MAX(0,M778),0)</f>
        <v/>
      </c>
      <c r="P778" s="80">
        <f>IF($I778&gt;0,MAX(0,$G778*SIN(RADIANS('13_시나리오비교'!$B$5))*SIN(RADIANS('13_시나리오비교'!$C$5))+$H778*SIN(RADIANS('13_시나리오비교'!$B$5))*COS(RADIANS('13_시나리오비교'!$C$5))+$I778*COS(RADIANS('13_시나리오비교'!$B$5))),0)</f>
        <v/>
      </c>
      <c r="Q778" s="80">
        <f>IF($I778&gt;0,MAX(0,$G778*SIN(RADIANS('13_시나리오비교'!$B$6))*SIN(RADIANS('13_시나리오비교'!$C$6))+$H778*SIN(RADIANS('13_시나리오비교'!$B$6))*COS(RADIANS('13_시나리오비교'!$C$6))+$I778*COS(RADIANS('13_시나리오비교'!$B$6))),0)</f>
        <v/>
      </c>
      <c r="R778" s="80">
        <f>IF($I778&gt;0,MAX(0,$G778*SIN(RADIANS('13_시나리오비교'!$B$7))*SIN(RADIANS('13_시나리오비교'!$C$7))+$H778*SIN(RADIANS('13_시나리오비교'!$B$7))*COS(RADIANS('13_시나리오비교'!$C$7))+$I778*COS(RADIANS('13_시나리오비교'!$B$7))),0)</f>
        <v/>
      </c>
      <c r="S778" s="80">
        <f>IF($I778&gt;0,MAX(0,$G778*SIN(RADIANS('13_시나리오비교'!$B$8))*SIN(RADIANS('13_시나리오비교'!$C$8))+$H778*SIN(RADIANS('13_시나리오비교'!$B$8))*COS(RADIANS('13_시나리오비교'!$C$8))+$I778*COS(RADIANS('13_시나리오비교'!$B$8))),0)</f>
        <v/>
      </c>
      <c r="T778" s="80">
        <f>IF($I778&gt;0,MAX(0,$G778*SIN(RADIANS('13_시나리오비교'!$B$9))*SIN(RADIANS('13_시나리오비교'!$C$9))+$H778*SIN(RADIANS('13_시나리오비교'!$B$9))*COS(RADIANS('13_시나리오비교'!$C$9))+$I778*COS(RADIANS('13_시나리오비교'!$B$9))),0)</f>
        <v/>
      </c>
      <c r="U778" s="80">
        <f>IF($I778&gt;0,MAX(0,$G778*SIN(RADIANS('13_시나리오비교'!$B$10))*SIN(RADIANS('13_시나리오비교'!$C$10))+$H778*SIN(RADIANS('13_시나리오비교'!$B$10))*COS(RADIANS('13_시나리오비교'!$C$10))+$I778*COS(RADIANS('13_시나리오비교'!$B$10))),0)</f>
        <v/>
      </c>
      <c r="V778" s="80">
        <f>IF($I778&gt;0,MAX(0,$G778*SIN(RADIANS('13_시나리오비교'!$B$11))*SIN(RADIANS('13_시나리오비교'!$C$11))+$H778*SIN(RADIANS('13_시나리오비교'!$B$11))*COS(RADIANS('13_시나리오비교'!$C$11))+$I778*COS(RADIANS('13_시나리오비교'!$B$11))),0)</f>
        <v/>
      </c>
      <c r="W778" s="80">
        <f>IF($I778&gt;0,MAX(0,$G778*SIN(RADIANS('13_시나리오비교'!$B$12))*SIN(RADIANS('13_시나리오비교'!$C$12))+$H778*SIN(RADIANS('13_시나리오비교'!$B$12))*COS(RADIANS('13_시나리오비교'!$C$12))+$I778*COS(RADIANS('13_시나리오비교'!$B$12))),0)</f>
        <v/>
      </c>
      <c r="X778" s="80">
        <f>IF($I778&gt;0,MAX(0,$G778*SIN(RADIANS('13_시나리오비교'!$B$13))*SIN(RADIANS('13_시나리오비교'!$C$13))+$H778*SIN(RADIANS('13_시나리오비교'!$B$13))*COS(RADIANS('13_시나리오비교'!$C$13))+$I778*COS(RADIANS('13_시나리오비교'!$B$13))),0)</f>
        <v/>
      </c>
      <c r="Y778" s="80">
        <f>IF($I778&gt;0,MAX(0,$G778*SIN(RADIANS('13_시나리오비교'!$B$14))*SIN(RADIANS('13_시나리오비교'!$C$14))+$H778*SIN(RADIANS('13_시나리오비교'!$B$14))*COS(RADIANS('13_시나리오비교'!$C$14))+$I778*COS(RADIANS('13_시나리오비교'!$B$14))),0)</f>
        <v/>
      </c>
    </row>
    <row r="779" hidden="1" outlineLevel="1">
      <c r="A779" s="79" t="n">
        <v>8</v>
      </c>
      <c r="B779" s="79" t="n">
        <v>87</v>
      </c>
      <c r="C779" s="80">
        <f>(B779-0.5)*'14_지역·상수'!$H$6</f>
        <v/>
      </c>
      <c r="D779" s="79" t="n">
        <v>228</v>
      </c>
      <c r="E779" s="80">
        <f>INDEX($C$4:$C$15,MATCH(A779,$A$4:$A$15,0))</f>
        <v/>
      </c>
      <c r="F779" s="80">
        <f>15*(C779-12)</f>
        <v/>
      </c>
      <c r="G779" s="80">
        <f>-COS(RADIANS(E779))*SIN(RADIANS(F779))</f>
        <v/>
      </c>
      <c r="H779" s="80">
        <f>COS(RADIANS('11_발전량_모델'!$B$17))*SIN(RADIANS(E779))-SIN(RADIANS('11_발전량_모델'!$B$17))*COS(RADIANS(E779))*COS(RADIANS(F779))</f>
        <v/>
      </c>
      <c r="I779" s="80">
        <f>SIN(RADIANS('11_발전량_모델'!$B$17))*SIN(RADIANS(E779))+COS(RADIANS('11_발전량_모델'!$B$17))*COS(RADIANS(E779))*COS(RADIANS(F779))</f>
        <v/>
      </c>
      <c r="J779" s="80">
        <f>SIN(RADIANS('11_발전량_모델'!$B$7))*SIN(RADIANS('11_발전량_모델'!$B$8))</f>
        <v/>
      </c>
      <c r="K779" s="80">
        <f>SIN(RADIANS('11_발전량_모델'!$B$7))*COS(RADIANS('11_발전량_모델'!$B$8))</f>
        <v/>
      </c>
      <c r="L779" s="80">
        <f>COS(RADIANS('11_발전량_모델'!$B$7))</f>
        <v/>
      </c>
      <c r="M779" s="80">
        <f>G779*J779+H779*K779+I779*L779</f>
        <v/>
      </c>
      <c r="N779" s="80">
        <f>MAX(0,I779)</f>
        <v/>
      </c>
      <c r="O779" s="80">
        <f>IF(I779&gt;0,MAX(0,M779),0)</f>
        <v/>
      </c>
      <c r="P779" s="80">
        <f>IF($I779&gt;0,MAX(0,$G779*SIN(RADIANS('13_시나리오비교'!$B$5))*SIN(RADIANS('13_시나리오비교'!$C$5))+$H779*SIN(RADIANS('13_시나리오비교'!$B$5))*COS(RADIANS('13_시나리오비교'!$C$5))+$I779*COS(RADIANS('13_시나리오비교'!$B$5))),0)</f>
        <v/>
      </c>
      <c r="Q779" s="80">
        <f>IF($I779&gt;0,MAX(0,$G779*SIN(RADIANS('13_시나리오비교'!$B$6))*SIN(RADIANS('13_시나리오비교'!$C$6))+$H779*SIN(RADIANS('13_시나리오비교'!$B$6))*COS(RADIANS('13_시나리오비교'!$C$6))+$I779*COS(RADIANS('13_시나리오비교'!$B$6))),0)</f>
        <v/>
      </c>
      <c r="R779" s="80">
        <f>IF($I779&gt;0,MAX(0,$G779*SIN(RADIANS('13_시나리오비교'!$B$7))*SIN(RADIANS('13_시나리오비교'!$C$7))+$H779*SIN(RADIANS('13_시나리오비교'!$B$7))*COS(RADIANS('13_시나리오비교'!$C$7))+$I779*COS(RADIANS('13_시나리오비교'!$B$7))),0)</f>
        <v/>
      </c>
      <c r="S779" s="80">
        <f>IF($I779&gt;0,MAX(0,$G779*SIN(RADIANS('13_시나리오비교'!$B$8))*SIN(RADIANS('13_시나리오비교'!$C$8))+$H779*SIN(RADIANS('13_시나리오비교'!$B$8))*COS(RADIANS('13_시나리오비교'!$C$8))+$I779*COS(RADIANS('13_시나리오비교'!$B$8))),0)</f>
        <v/>
      </c>
      <c r="T779" s="80">
        <f>IF($I779&gt;0,MAX(0,$G779*SIN(RADIANS('13_시나리오비교'!$B$9))*SIN(RADIANS('13_시나리오비교'!$C$9))+$H779*SIN(RADIANS('13_시나리오비교'!$B$9))*COS(RADIANS('13_시나리오비교'!$C$9))+$I779*COS(RADIANS('13_시나리오비교'!$B$9))),0)</f>
        <v/>
      </c>
      <c r="U779" s="80">
        <f>IF($I779&gt;0,MAX(0,$G779*SIN(RADIANS('13_시나리오비교'!$B$10))*SIN(RADIANS('13_시나리오비교'!$C$10))+$H779*SIN(RADIANS('13_시나리오비교'!$B$10))*COS(RADIANS('13_시나리오비교'!$C$10))+$I779*COS(RADIANS('13_시나리오비교'!$B$10))),0)</f>
        <v/>
      </c>
      <c r="V779" s="80">
        <f>IF($I779&gt;0,MAX(0,$G779*SIN(RADIANS('13_시나리오비교'!$B$11))*SIN(RADIANS('13_시나리오비교'!$C$11))+$H779*SIN(RADIANS('13_시나리오비교'!$B$11))*COS(RADIANS('13_시나리오비교'!$C$11))+$I779*COS(RADIANS('13_시나리오비교'!$B$11))),0)</f>
        <v/>
      </c>
      <c r="W779" s="80">
        <f>IF($I779&gt;0,MAX(0,$G779*SIN(RADIANS('13_시나리오비교'!$B$12))*SIN(RADIANS('13_시나리오비교'!$C$12))+$H779*SIN(RADIANS('13_시나리오비교'!$B$12))*COS(RADIANS('13_시나리오비교'!$C$12))+$I779*COS(RADIANS('13_시나리오비교'!$B$12))),0)</f>
        <v/>
      </c>
      <c r="X779" s="80">
        <f>IF($I779&gt;0,MAX(0,$G779*SIN(RADIANS('13_시나리오비교'!$B$13))*SIN(RADIANS('13_시나리오비교'!$C$13))+$H779*SIN(RADIANS('13_시나리오비교'!$B$13))*COS(RADIANS('13_시나리오비교'!$C$13))+$I779*COS(RADIANS('13_시나리오비교'!$B$13))),0)</f>
        <v/>
      </c>
      <c r="Y779" s="80">
        <f>IF($I779&gt;0,MAX(0,$G779*SIN(RADIANS('13_시나리오비교'!$B$14))*SIN(RADIANS('13_시나리오비교'!$C$14))+$H779*SIN(RADIANS('13_시나리오비교'!$B$14))*COS(RADIANS('13_시나리오비교'!$C$14))+$I779*COS(RADIANS('13_시나리오비교'!$B$14))),0)</f>
        <v/>
      </c>
    </row>
    <row r="780" hidden="1" outlineLevel="1">
      <c r="A780" s="79" t="n">
        <v>8</v>
      </c>
      <c r="B780" s="79" t="n">
        <v>88</v>
      </c>
      <c r="C780" s="80">
        <f>(B780-0.5)*'14_지역·상수'!$H$6</f>
        <v/>
      </c>
      <c r="D780" s="79" t="n">
        <v>228</v>
      </c>
      <c r="E780" s="80">
        <f>INDEX($C$4:$C$15,MATCH(A780,$A$4:$A$15,0))</f>
        <v/>
      </c>
      <c r="F780" s="80">
        <f>15*(C780-12)</f>
        <v/>
      </c>
      <c r="G780" s="80">
        <f>-COS(RADIANS(E780))*SIN(RADIANS(F780))</f>
        <v/>
      </c>
      <c r="H780" s="80">
        <f>COS(RADIANS('11_발전량_모델'!$B$17))*SIN(RADIANS(E780))-SIN(RADIANS('11_발전량_모델'!$B$17))*COS(RADIANS(E780))*COS(RADIANS(F780))</f>
        <v/>
      </c>
      <c r="I780" s="80">
        <f>SIN(RADIANS('11_발전량_모델'!$B$17))*SIN(RADIANS(E780))+COS(RADIANS('11_발전량_모델'!$B$17))*COS(RADIANS(E780))*COS(RADIANS(F780))</f>
        <v/>
      </c>
      <c r="J780" s="80">
        <f>SIN(RADIANS('11_발전량_모델'!$B$7))*SIN(RADIANS('11_발전량_모델'!$B$8))</f>
        <v/>
      </c>
      <c r="K780" s="80">
        <f>SIN(RADIANS('11_발전량_모델'!$B$7))*COS(RADIANS('11_발전량_모델'!$B$8))</f>
        <v/>
      </c>
      <c r="L780" s="80">
        <f>COS(RADIANS('11_발전량_모델'!$B$7))</f>
        <v/>
      </c>
      <c r="M780" s="80">
        <f>G780*J780+H780*K780+I780*L780</f>
        <v/>
      </c>
      <c r="N780" s="80">
        <f>MAX(0,I780)</f>
        <v/>
      </c>
      <c r="O780" s="80">
        <f>IF(I780&gt;0,MAX(0,M780),0)</f>
        <v/>
      </c>
      <c r="P780" s="80">
        <f>IF($I780&gt;0,MAX(0,$G780*SIN(RADIANS('13_시나리오비교'!$B$5))*SIN(RADIANS('13_시나리오비교'!$C$5))+$H780*SIN(RADIANS('13_시나리오비교'!$B$5))*COS(RADIANS('13_시나리오비교'!$C$5))+$I780*COS(RADIANS('13_시나리오비교'!$B$5))),0)</f>
        <v/>
      </c>
      <c r="Q780" s="80">
        <f>IF($I780&gt;0,MAX(0,$G780*SIN(RADIANS('13_시나리오비교'!$B$6))*SIN(RADIANS('13_시나리오비교'!$C$6))+$H780*SIN(RADIANS('13_시나리오비교'!$B$6))*COS(RADIANS('13_시나리오비교'!$C$6))+$I780*COS(RADIANS('13_시나리오비교'!$B$6))),0)</f>
        <v/>
      </c>
      <c r="R780" s="80">
        <f>IF($I780&gt;0,MAX(0,$G780*SIN(RADIANS('13_시나리오비교'!$B$7))*SIN(RADIANS('13_시나리오비교'!$C$7))+$H780*SIN(RADIANS('13_시나리오비교'!$B$7))*COS(RADIANS('13_시나리오비교'!$C$7))+$I780*COS(RADIANS('13_시나리오비교'!$B$7))),0)</f>
        <v/>
      </c>
      <c r="S780" s="80">
        <f>IF($I780&gt;0,MAX(0,$G780*SIN(RADIANS('13_시나리오비교'!$B$8))*SIN(RADIANS('13_시나리오비교'!$C$8))+$H780*SIN(RADIANS('13_시나리오비교'!$B$8))*COS(RADIANS('13_시나리오비교'!$C$8))+$I780*COS(RADIANS('13_시나리오비교'!$B$8))),0)</f>
        <v/>
      </c>
      <c r="T780" s="80">
        <f>IF($I780&gt;0,MAX(0,$G780*SIN(RADIANS('13_시나리오비교'!$B$9))*SIN(RADIANS('13_시나리오비교'!$C$9))+$H780*SIN(RADIANS('13_시나리오비교'!$B$9))*COS(RADIANS('13_시나리오비교'!$C$9))+$I780*COS(RADIANS('13_시나리오비교'!$B$9))),0)</f>
        <v/>
      </c>
      <c r="U780" s="80">
        <f>IF($I780&gt;0,MAX(0,$G780*SIN(RADIANS('13_시나리오비교'!$B$10))*SIN(RADIANS('13_시나리오비교'!$C$10))+$H780*SIN(RADIANS('13_시나리오비교'!$B$10))*COS(RADIANS('13_시나리오비교'!$C$10))+$I780*COS(RADIANS('13_시나리오비교'!$B$10))),0)</f>
        <v/>
      </c>
      <c r="V780" s="80">
        <f>IF($I780&gt;0,MAX(0,$G780*SIN(RADIANS('13_시나리오비교'!$B$11))*SIN(RADIANS('13_시나리오비교'!$C$11))+$H780*SIN(RADIANS('13_시나리오비교'!$B$11))*COS(RADIANS('13_시나리오비교'!$C$11))+$I780*COS(RADIANS('13_시나리오비교'!$B$11))),0)</f>
        <v/>
      </c>
      <c r="W780" s="80">
        <f>IF($I780&gt;0,MAX(0,$G780*SIN(RADIANS('13_시나리오비교'!$B$12))*SIN(RADIANS('13_시나리오비교'!$C$12))+$H780*SIN(RADIANS('13_시나리오비교'!$B$12))*COS(RADIANS('13_시나리오비교'!$C$12))+$I780*COS(RADIANS('13_시나리오비교'!$B$12))),0)</f>
        <v/>
      </c>
      <c r="X780" s="80">
        <f>IF($I780&gt;0,MAX(0,$G780*SIN(RADIANS('13_시나리오비교'!$B$13))*SIN(RADIANS('13_시나리오비교'!$C$13))+$H780*SIN(RADIANS('13_시나리오비교'!$B$13))*COS(RADIANS('13_시나리오비교'!$C$13))+$I780*COS(RADIANS('13_시나리오비교'!$B$13))),0)</f>
        <v/>
      </c>
      <c r="Y780" s="80">
        <f>IF($I780&gt;0,MAX(0,$G780*SIN(RADIANS('13_시나리오비교'!$B$14))*SIN(RADIANS('13_시나리오비교'!$C$14))+$H780*SIN(RADIANS('13_시나리오비교'!$B$14))*COS(RADIANS('13_시나리오비교'!$C$14))+$I780*COS(RADIANS('13_시나리오비교'!$B$14))),0)</f>
        <v/>
      </c>
    </row>
    <row r="781" hidden="1" outlineLevel="1">
      <c r="A781" s="79" t="n">
        <v>8</v>
      </c>
      <c r="B781" s="79" t="n">
        <v>89</v>
      </c>
      <c r="C781" s="80">
        <f>(B781-0.5)*'14_지역·상수'!$H$6</f>
        <v/>
      </c>
      <c r="D781" s="79" t="n">
        <v>228</v>
      </c>
      <c r="E781" s="80">
        <f>INDEX($C$4:$C$15,MATCH(A781,$A$4:$A$15,0))</f>
        <v/>
      </c>
      <c r="F781" s="80">
        <f>15*(C781-12)</f>
        <v/>
      </c>
      <c r="G781" s="80">
        <f>-COS(RADIANS(E781))*SIN(RADIANS(F781))</f>
        <v/>
      </c>
      <c r="H781" s="80">
        <f>COS(RADIANS('11_발전량_모델'!$B$17))*SIN(RADIANS(E781))-SIN(RADIANS('11_발전량_모델'!$B$17))*COS(RADIANS(E781))*COS(RADIANS(F781))</f>
        <v/>
      </c>
      <c r="I781" s="80">
        <f>SIN(RADIANS('11_발전량_모델'!$B$17))*SIN(RADIANS(E781))+COS(RADIANS('11_발전량_모델'!$B$17))*COS(RADIANS(E781))*COS(RADIANS(F781))</f>
        <v/>
      </c>
      <c r="J781" s="80">
        <f>SIN(RADIANS('11_발전량_모델'!$B$7))*SIN(RADIANS('11_발전량_모델'!$B$8))</f>
        <v/>
      </c>
      <c r="K781" s="80">
        <f>SIN(RADIANS('11_발전량_모델'!$B$7))*COS(RADIANS('11_발전량_모델'!$B$8))</f>
        <v/>
      </c>
      <c r="L781" s="80">
        <f>COS(RADIANS('11_발전량_모델'!$B$7))</f>
        <v/>
      </c>
      <c r="M781" s="80">
        <f>G781*J781+H781*K781+I781*L781</f>
        <v/>
      </c>
      <c r="N781" s="80">
        <f>MAX(0,I781)</f>
        <v/>
      </c>
      <c r="O781" s="80">
        <f>IF(I781&gt;0,MAX(0,M781),0)</f>
        <v/>
      </c>
      <c r="P781" s="80">
        <f>IF($I781&gt;0,MAX(0,$G781*SIN(RADIANS('13_시나리오비교'!$B$5))*SIN(RADIANS('13_시나리오비교'!$C$5))+$H781*SIN(RADIANS('13_시나리오비교'!$B$5))*COS(RADIANS('13_시나리오비교'!$C$5))+$I781*COS(RADIANS('13_시나리오비교'!$B$5))),0)</f>
        <v/>
      </c>
      <c r="Q781" s="80">
        <f>IF($I781&gt;0,MAX(0,$G781*SIN(RADIANS('13_시나리오비교'!$B$6))*SIN(RADIANS('13_시나리오비교'!$C$6))+$H781*SIN(RADIANS('13_시나리오비교'!$B$6))*COS(RADIANS('13_시나리오비교'!$C$6))+$I781*COS(RADIANS('13_시나리오비교'!$B$6))),0)</f>
        <v/>
      </c>
      <c r="R781" s="80">
        <f>IF($I781&gt;0,MAX(0,$G781*SIN(RADIANS('13_시나리오비교'!$B$7))*SIN(RADIANS('13_시나리오비교'!$C$7))+$H781*SIN(RADIANS('13_시나리오비교'!$B$7))*COS(RADIANS('13_시나리오비교'!$C$7))+$I781*COS(RADIANS('13_시나리오비교'!$B$7))),0)</f>
        <v/>
      </c>
      <c r="S781" s="80">
        <f>IF($I781&gt;0,MAX(0,$G781*SIN(RADIANS('13_시나리오비교'!$B$8))*SIN(RADIANS('13_시나리오비교'!$C$8))+$H781*SIN(RADIANS('13_시나리오비교'!$B$8))*COS(RADIANS('13_시나리오비교'!$C$8))+$I781*COS(RADIANS('13_시나리오비교'!$B$8))),0)</f>
        <v/>
      </c>
      <c r="T781" s="80">
        <f>IF($I781&gt;0,MAX(0,$G781*SIN(RADIANS('13_시나리오비교'!$B$9))*SIN(RADIANS('13_시나리오비교'!$C$9))+$H781*SIN(RADIANS('13_시나리오비교'!$B$9))*COS(RADIANS('13_시나리오비교'!$C$9))+$I781*COS(RADIANS('13_시나리오비교'!$B$9))),0)</f>
        <v/>
      </c>
      <c r="U781" s="80">
        <f>IF($I781&gt;0,MAX(0,$G781*SIN(RADIANS('13_시나리오비교'!$B$10))*SIN(RADIANS('13_시나리오비교'!$C$10))+$H781*SIN(RADIANS('13_시나리오비교'!$B$10))*COS(RADIANS('13_시나리오비교'!$C$10))+$I781*COS(RADIANS('13_시나리오비교'!$B$10))),0)</f>
        <v/>
      </c>
      <c r="V781" s="80">
        <f>IF($I781&gt;0,MAX(0,$G781*SIN(RADIANS('13_시나리오비교'!$B$11))*SIN(RADIANS('13_시나리오비교'!$C$11))+$H781*SIN(RADIANS('13_시나리오비교'!$B$11))*COS(RADIANS('13_시나리오비교'!$C$11))+$I781*COS(RADIANS('13_시나리오비교'!$B$11))),0)</f>
        <v/>
      </c>
      <c r="W781" s="80">
        <f>IF($I781&gt;0,MAX(0,$G781*SIN(RADIANS('13_시나리오비교'!$B$12))*SIN(RADIANS('13_시나리오비교'!$C$12))+$H781*SIN(RADIANS('13_시나리오비교'!$B$12))*COS(RADIANS('13_시나리오비교'!$C$12))+$I781*COS(RADIANS('13_시나리오비교'!$B$12))),0)</f>
        <v/>
      </c>
      <c r="X781" s="80">
        <f>IF($I781&gt;0,MAX(0,$G781*SIN(RADIANS('13_시나리오비교'!$B$13))*SIN(RADIANS('13_시나리오비교'!$C$13))+$H781*SIN(RADIANS('13_시나리오비교'!$B$13))*COS(RADIANS('13_시나리오비교'!$C$13))+$I781*COS(RADIANS('13_시나리오비교'!$B$13))),0)</f>
        <v/>
      </c>
      <c r="Y781" s="80">
        <f>IF($I781&gt;0,MAX(0,$G781*SIN(RADIANS('13_시나리오비교'!$B$14))*SIN(RADIANS('13_시나리오비교'!$C$14))+$H781*SIN(RADIANS('13_시나리오비교'!$B$14))*COS(RADIANS('13_시나리오비교'!$C$14))+$I781*COS(RADIANS('13_시나리오비교'!$B$14))),0)</f>
        <v/>
      </c>
    </row>
    <row r="782" hidden="1" outlineLevel="1">
      <c r="A782" s="79" t="n">
        <v>8</v>
      </c>
      <c r="B782" s="79" t="n">
        <v>90</v>
      </c>
      <c r="C782" s="80">
        <f>(B782-0.5)*'14_지역·상수'!$H$6</f>
        <v/>
      </c>
      <c r="D782" s="79" t="n">
        <v>228</v>
      </c>
      <c r="E782" s="80">
        <f>INDEX($C$4:$C$15,MATCH(A782,$A$4:$A$15,0))</f>
        <v/>
      </c>
      <c r="F782" s="80">
        <f>15*(C782-12)</f>
        <v/>
      </c>
      <c r="G782" s="80">
        <f>-COS(RADIANS(E782))*SIN(RADIANS(F782))</f>
        <v/>
      </c>
      <c r="H782" s="80">
        <f>COS(RADIANS('11_발전량_모델'!$B$17))*SIN(RADIANS(E782))-SIN(RADIANS('11_발전량_모델'!$B$17))*COS(RADIANS(E782))*COS(RADIANS(F782))</f>
        <v/>
      </c>
      <c r="I782" s="80">
        <f>SIN(RADIANS('11_발전량_모델'!$B$17))*SIN(RADIANS(E782))+COS(RADIANS('11_발전량_모델'!$B$17))*COS(RADIANS(E782))*COS(RADIANS(F782))</f>
        <v/>
      </c>
      <c r="J782" s="80">
        <f>SIN(RADIANS('11_발전량_모델'!$B$7))*SIN(RADIANS('11_발전량_모델'!$B$8))</f>
        <v/>
      </c>
      <c r="K782" s="80">
        <f>SIN(RADIANS('11_발전량_모델'!$B$7))*COS(RADIANS('11_발전량_모델'!$B$8))</f>
        <v/>
      </c>
      <c r="L782" s="80">
        <f>COS(RADIANS('11_발전량_모델'!$B$7))</f>
        <v/>
      </c>
      <c r="M782" s="80">
        <f>G782*J782+H782*K782+I782*L782</f>
        <v/>
      </c>
      <c r="N782" s="80">
        <f>MAX(0,I782)</f>
        <v/>
      </c>
      <c r="O782" s="80">
        <f>IF(I782&gt;0,MAX(0,M782),0)</f>
        <v/>
      </c>
      <c r="P782" s="80">
        <f>IF($I782&gt;0,MAX(0,$G782*SIN(RADIANS('13_시나리오비교'!$B$5))*SIN(RADIANS('13_시나리오비교'!$C$5))+$H782*SIN(RADIANS('13_시나리오비교'!$B$5))*COS(RADIANS('13_시나리오비교'!$C$5))+$I782*COS(RADIANS('13_시나리오비교'!$B$5))),0)</f>
        <v/>
      </c>
      <c r="Q782" s="80">
        <f>IF($I782&gt;0,MAX(0,$G782*SIN(RADIANS('13_시나리오비교'!$B$6))*SIN(RADIANS('13_시나리오비교'!$C$6))+$H782*SIN(RADIANS('13_시나리오비교'!$B$6))*COS(RADIANS('13_시나리오비교'!$C$6))+$I782*COS(RADIANS('13_시나리오비교'!$B$6))),0)</f>
        <v/>
      </c>
      <c r="R782" s="80">
        <f>IF($I782&gt;0,MAX(0,$G782*SIN(RADIANS('13_시나리오비교'!$B$7))*SIN(RADIANS('13_시나리오비교'!$C$7))+$H782*SIN(RADIANS('13_시나리오비교'!$B$7))*COS(RADIANS('13_시나리오비교'!$C$7))+$I782*COS(RADIANS('13_시나리오비교'!$B$7))),0)</f>
        <v/>
      </c>
      <c r="S782" s="80">
        <f>IF($I782&gt;0,MAX(0,$G782*SIN(RADIANS('13_시나리오비교'!$B$8))*SIN(RADIANS('13_시나리오비교'!$C$8))+$H782*SIN(RADIANS('13_시나리오비교'!$B$8))*COS(RADIANS('13_시나리오비교'!$C$8))+$I782*COS(RADIANS('13_시나리오비교'!$B$8))),0)</f>
        <v/>
      </c>
      <c r="T782" s="80">
        <f>IF($I782&gt;0,MAX(0,$G782*SIN(RADIANS('13_시나리오비교'!$B$9))*SIN(RADIANS('13_시나리오비교'!$C$9))+$H782*SIN(RADIANS('13_시나리오비교'!$B$9))*COS(RADIANS('13_시나리오비교'!$C$9))+$I782*COS(RADIANS('13_시나리오비교'!$B$9))),0)</f>
        <v/>
      </c>
      <c r="U782" s="80">
        <f>IF($I782&gt;0,MAX(0,$G782*SIN(RADIANS('13_시나리오비교'!$B$10))*SIN(RADIANS('13_시나리오비교'!$C$10))+$H782*SIN(RADIANS('13_시나리오비교'!$B$10))*COS(RADIANS('13_시나리오비교'!$C$10))+$I782*COS(RADIANS('13_시나리오비교'!$B$10))),0)</f>
        <v/>
      </c>
      <c r="V782" s="80">
        <f>IF($I782&gt;0,MAX(0,$G782*SIN(RADIANS('13_시나리오비교'!$B$11))*SIN(RADIANS('13_시나리오비교'!$C$11))+$H782*SIN(RADIANS('13_시나리오비교'!$B$11))*COS(RADIANS('13_시나리오비교'!$C$11))+$I782*COS(RADIANS('13_시나리오비교'!$B$11))),0)</f>
        <v/>
      </c>
      <c r="W782" s="80">
        <f>IF($I782&gt;0,MAX(0,$G782*SIN(RADIANS('13_시나리오비교'!$B$12))*SIN(RADIANS('13_시나리오비교'!$C$12))+$H782*SIN(RADIANS('13_시나리오비교'!$B$12))*COS(RADIANS('13_시나리오비교'!$C$12))+$I782*COS(RADIANS('13_시나리오비교'!$B$12))),0)</f>
        <v/>
      </c>
      <c r="X782" s="80">
        <f>IF($I782&gt;0,MAX(0,$G782*SIN(RADIANS('13_시나리오비교'!$B$13))*SIN(RADIANS('13_시나리오비교'!$C$13))+$H782*SIN(RADIANS('13_시나리오비교'!$B$13))*COS(RADIANS('13_시나리오비교'!$C$13))+$I782*COS(RADIANS('13_시나리오비교'!$B$13))),0)</f>
        <v/>
      </c>
      <c r="Y782" s="80">
        <f>IF($I782&gt;0,MAX(0,$G782*SIN(RADIANS('13_시나리오비교'!$B$14))*SIN(RADIANS('13_시나리오비교'!$C$14))+$H782*SIN(RADIANS('13_시나리오비교'!$B$14))*COS(RADIANS('13_시나리오비교'!$C$14))+$I782*COS(RADIANS('13_시나리오비교'!$B$14))),0)</f>
        <v/>
      </c>
    </row>
    <row r="783" hidden="1" outlineLevel="1">
      <c r="A783" s="79" t="n">
        <v>8</v>
      </c>
      <c r="B783" s="79" t="n">
        <v>91</v>
      </c>
      <c r="C783" s="80">
        <f>(B783-0.5)*'14_지역·상수'!$H$6</f>
        <v/>
      </c>
      <c r="D783" s="79" t="n">
        <v>228</v>
      </c>
      <c r="E783" s="80">
        <f>INDEX($C$4:$C$15,MATCH(A783,$A$4:$A$15,0))</f>
        <v/>
      </c>
      <c r="F783" s="80">
        <f>15*(C783-12)</f>
        <v/>
      </c>
      <c r="G783" s="80">
        <f>-COS(RADIANS(E783))*SIN(RADIANS(F783))</f>
        <v/>
      </c>
      <c r="H783" s="80">
        <f>COS(RADIANS('11_발전량_모델'!$B$17))*SIN(RADIANS(E783))-SIN(RADIANS('11_발전량_모델'!$B$17))*COS(RADIANS(E783))*COS(RADIANS(F783))</f>
        <v/>
      </c>
      <c r="I783" s="80">
        <f>SIN(RADIANS('11_발전량_모델'!$B$17))*SIN(RADIANS(E783))+COS(RADIANS('11_발전량_모델'!$B$17))*COS(RADIANS(E783))*COS(RADIANS(F783))</f>
        <v/>
      </c>
      <c r="J783" s="80">
        <f>SIN(RADIANS('11_발전량_모델'!$B$7))*SIN(RADIANS('11_발전량_모델'!$B$8))</f>
        <v/>
      </c>
      <c r="K783" s="80">
        <f>SIN(RADIANS('11_발전량_모델'!$B$7))*COS(RADIANS('11_발전량_모델'!$B$8))</f>
        <v/>
      </c>
      <c r="L783" s="80">
        <f>COS(RADIANS('11_발전량_모델'!$B$7))</f>
        <v/>
      </c>
      <c r="M783" s="80">
        <f>G783*J783+H783*K783+I783*L783</f>
        <v/>
      </c>
      <c r="N783" s="80">
        <f>MAX(0,I783)</f>
        <v/>
      </c>
      <c r="O783" s="80">
        <f>IF(I783&gt;0,MAX(0,M783),0)</f>
        <v/>
      </c>
      <c r="P783" s="80">
        <f>IF($I783&gt;0,MAX(0,$G783*SIN(RADIANS('13_시나리오비교'!$B$5))*SIN(RADIANS('13_시나리오비교'!$C$5))+$H783*SIN(RADIANS('13_시나리오비교'!$B$5))*COS(RADIANS('13_시나리오비교'!$C$5))+$I783*COS(RADIANS('13_시나리오비교'!$B$5))),0)</f>
        <v/>
      </c>
      <c r="Q783" s="80">
        <f>IF($I783&gt;0,MAX(0,$G783*SIN(RADIANS('13_시나리오비교'!$B$6))*SIN(RADIANS('13_시나리오비교'!$C$6))+$H783*SIN(RADIANS('13_시나리오비교'!$B$6))*COS(RADIANS('13_시나리오비교'!$C$6))+$I783*COS(RADIANS('13_시나리오비교'!$B$6))),0)</f>
        <v/>
      </c>
      <c r="R783" s="80">
        <f>IF($I783&gt;0,MAX(0,$G783*SIN(RADIANS('13_시나리오비교'!$B$7))*SIN(RADIANS('13_시나리오비교'!$C$7))+$H783*SIN(RADIANS('13_시나리오비교'!$B$7))*COS(RADIANS('13_시나리오비교'!$C$7))+$I783*COS(RADIANS('13_시나리오비교'!$B$7))),0)</f>
        <v/>
      </c>
      <c r="S783" s="80">
        <f>IF($I783&gt;0,MAX(0,$G783*SIN(RADIANS('13_시나리오비교'!$B$8))*SIN(RADIANS('13_시나리오비교'!$C$8))+$H783*SIN(RADIANS('13_시나리오비교'!$B$8))*COS(RADIANS('13_시나리오비교'!$C$8))+$I783*COS(RADIANS('13_시나리오비교'!$B$8))),0)</f>
        <v/>
      </c>
      <c r="T783" s="80">
        <f>IF($I783&gt;0,MAX(0,$G783*SIN(RADIANS('13_시나리오비교'!$B$9))*SIN(RADIANS('13_시나리오비교'!$C$9))+$H783*SIN(RADIANS('13_시나리오비교'!$B$9))*COS(RADIANS('13_시나리오비교'!$C$9))+$I783*COS(RADIANS('13_시나리오비교'!$B$9))),0)</f>
        <v/>
      </c>
      <c r="U783" s="80">
        <f>IF($I783&gt;0,MAX(0,$G783*SIN(RADIANS('13_시나리오비교'!$B$10))*SIN(RADIANS('13_시나리오비교'!$C$10))+$H783*SIN(RADIANS('13_시나리오비교'!$B$10))*COS(RADIANS('13_시나리오비교'!$C$10))+$I783*COS(RADIANS('13_시나리오비교'!$B$10))),0)</f>
        <v/>
      </c>
      <c r="V783" s="80">
        <f>IF($I783&gt;0,MAX(0,$G783*SIN(RADIANS('13_시나리오비교'!$B$11))*SIN(RADIANS('13_시나리오비교'!$C$11))+$H783*SIN(RADIANS('13_시나리오비교'!$B$11))*COS(RADIANS('13_시나리오비교'!$C$11))+$I783*COS(RADIANS('13_시나리오비교'!$B$11))),0)</f>
        <v/>
      </c>
      <c r="W783" s="80">
        <f>IF($I783&gt;0,MAX(0,$G783*SIN(RADIANS('13_시나리오비교'!$B$12))*SIN(RADIANS('13_시나리오비교'!$C$12))+$H783*SIN(RADIANS('13_시나리오비교'!$B$12))*COS(RADIANS('13_시나리오비교'!$C$12))+$I783*COS(RADIANS('13_시나리오비교'!$B$12))),0)</f>
        <v/>
      </c>
      <c r="X783" s="80">
        <f>IF($I783&gt;0,MAX(0,$G783*SIN(RADIANS('13_시나리오비교'!$B$13))*SIN(RADIANS('13_시나리오비교'!$C$13))+$H783*SIN(RADIANS('13_시나리오비교'!$B$13))*COS(RADIANS('13_시나리오비교'!$C$13))+$I783*COS(RADIANS('13_시나리오비교'!$B$13))),0)</f>
        <v/>
      </c>
      <c r="Y783" s="80">
        <f>IF($I783&gt;0,MAX(0,$G783*SIN(RADIANS('13_시나리오비교'!$B$14))*SIN(RADIANS('13_시나리오비교'!$C$14))+$H783*SIN(RADIANS('13_시나리오비교'!$B$14))*COS(RADIANS('13_시나리오비교'!$C$14))+$I783*COS(RADIANS('13_시나리오비교'!$B$14))),0)</f>
        <v/>
      </c>
    </row>
    <row r="784" hidden="1" outlineLevel="1">
      <c r="A784" s="79" t="n">
        <v>8</v>
      </c>
      <c r="B784" s="79" t="n">
        <v>92</v>
      </c>
      <c r="C784" s="80">
        <f>(B784-0.5)*'14_지역·상수'!$H$6</f>
        <v/>
      </c>
      <c r="D784" s="79" t="n">
        <v>228</v>
      </c>
      <c r="E784" s="80">
        <f>INDEX($C$4:$C$15,MATCH(A784,$A$4:$A$15,0))</f>
        <v/>
      </c>
      <c r="F784" s="80">
        <f>15*(C784-12)</f>
        <v/>
      </c>
      <c r="G784" s="80">
        <f>-COS(RADIANS(E784))*SIN(RADIANS(F784))</f>
        <v/>
      </c>
      <c r="H784" s="80">
        <f>COS(RADIANS('11_발전량_모델'!$B$17))*SIN(RADIANS(E784))-SIN(RADIANS('11_발전량_모델'!$B$17))*COS(RADIANS(E784))*COS(RADIANS(F784))</f>
        <v/>
      </c>
      <c r="I784" s="80">
        <f>SIN(RADIANS('11_발전량_모델'!$B$17))*SIN(RADIANS(E784))+COS(RADIANS('11_발전량_모델'!$B$17))*COS(RADIANS(E784))*COS(RADIANS(F784))</f>
        <v/>
      </c>
      <c r="J784" s="80">
        <f>SIN(RADIANS('11_발전량_모델'!$B$7))*SIN(RADIANS('11_발전량_모델'!$B$8))</f>
        <v/>
      </c>
      <c r="K784" s="80">
        <f>SIN(RADIANS('11_발전량_모델'!$B$7))*COS(RADIANS('11_발전량_모델'!$B$8))</f>
        <v/>
      </c>
      <c r="L784" s="80">
        <f>COS(RADIANS('11_발전량_모델'!$B$7))</f>
        <v/>
      </c>
      <c r="M784" s="80">
        <f>G784*J784+H784*K784+I784*L784</f>
        <v/>
      </c>
      <c r="N784" s="80">
        <f>MAX(0,I784)</f>
        <v/>
      </c>
      <c r="O784" s="80">
        <f>IF(I784&gt;0,MAX(0,M784),0)</f>
        <v/>
      </c>
      <c r="P784" s="80">
        <f>IF($I784&gt;0,MAX(0,$G784*SIN(RADIANS('13_시나리오비교'!$B$5))*SIN(RADIANS('13_시나리오비교'!$C$5))+$H784*SIN(RADIANS('13_시나리오비교'!$B$5))*COS(RADIANS('13_시나리오비교'!$C$5))+$I784*COS(RADIANS('13_시나리오비교'!$B$5))),0)</f>
        <v/>
      </c>
      <c r="Q784" s="80">
        <f>IF($I784&gt;0,MAX(0,$G784*SIN(RADIANS('13_시나리오비교'!$B$6))*SIN(RADIANS('13_시나리오비교'!$C$6))+$H784*SIN(RADIANS('13_시나리오비교'!$B$6))*COS(RADIANS('13_시나리오비교'!$C$6))+$I784*COS(RADIANS('13_시나리오비교'!$B$6))),0)</f>
        <v/>
      </c>
      <c r="R784" s="80">
        <f>IF($I784&gt;0,MAX(0,$G784*SIN(RADIANS('13_시나리오비교'!$B$7))*SIN(RADIANS('13_시나리오비교'!$C$7))+$H784*SIN(RADIANS('13_시나리오비교'!$B$7))*COS(RADIANS('13_시나리오비교'!$C$7))+$I784*COS(RADIANS('13_시나리오비교'!$B$7))),0)</f>
        <v/>
      </c>
      <c r="S784" s="80">
        <f>IF($I784&gt;0,MAX(0,$G784*SIN(RADIANS('13_시나리오비교'!$B$8))*SIN(RADIANS('13_시나리오비교'!$C$8))+$H784*SIN(RADIANS('13_시나리오비교'!$B$8))*COS(RADIANS('13_시나리오비교'!$C$8))+$I784*COS(RADIANS('13_시나리오비교'!$B$8))),0)</f>
        <v/>
      </c>
      <c r="T784" s="80">
        <f>IF($I784&gt;0,MAX(0,$G784*SIN(RADIANS('13_시나리오비교'!$B$9))*SIN(RADIANS('13_시나리오비교'!$C$9))+$H784*SIN(RADIANS('13_시나리오비교'!$B$9))*COS(RADIANS('13_시나리오비교'!$C$9))+$I784*COS(RADIANS('13_시나리오비교'!$B$9))),0)</f>
        <v/>
      </c>
      <c r="U784" s="80">
        <f>IF($I784&gt;0,MAX(0,$G784*SIN(RADIANS('13_시나리오비교'!$B$10))*SIN(RADIANS('13_시나리오비교'!$C$10))+$H784*SIN(RADIANS('13_시나리오비교'!$B$10))*COS(RADIANS('13_시나리오비교'!$C$10))+$I784*COS(RADIANS('13_시나리오비교'!$B$10))),0)</f>
        <v/>
      </c>
      <c r="V784" s="80">
        <f>IF($I784&gt;0,MAX(0,$G784*SIN(RADIANS('13_시나리오비교'!$B$11))*SIN(RADIANS('13_시나리오비교'!$C$11))+$H784*SIN(RADIANS('13_시나리오비교'!$B$11))*COS(RADIANS('13_시나리오비교'!$C$11))+$I784*COS(RADIANS('13_시나리오비교'!$B$11))),0)</f>
        <v/>
      </c>
      <c r="W784" s="80">
        <f>IF($I784&gt;0,MAX(0,$G784*SIN(RADIANS('13_시나리오비교'!$B$12))*SIN(RADIANS('13_시나리오비교'!$C$12))+$H784*SIN(RADIANS('13_시나리오비교'!$B$12))*COS(RADIANS('13_시나리오비교'!$C$12))+$I784*COS(RADIANS('13_시나리오비교'!$B$12))),0)</f>
        <v/>
      </c>
      <c r="X784" s="80">
        <f>IF($I784&gt;0,MAX(0,$G784*SIN(RADIANS('13_시나리오비교'!$B$13))*SIN(RADIANS('13_시나리오비교'!$C$13))+$H784*SIN(RADIANS('13_시나리오비교'!$B$13))*COS(RADIANS('13_시나리오비교'!$C$13))+$I784*COS(RADIANS('13_시나리오비교'!$B$13))),0)</f>
        <v/>
      </c>
      <c r="Y784" s="80">
        <f>IF($I784&gt;0,MAX(0,$G784*SIN(RADIANS('13_시나리오비교'!$B$14))*SIN(RADIANS('13_시나리오비교'!$C$14))+$H784*SIN(RADIANS('13_시나리오비교'!$B$14))*COS(RADIANS('13_시나리오비교'!$C$14))+$I784*COS(RADIANS('13_시나리오비교'!$B$14))),0)</f>
        <v/>
      </c>
    </row>
    <row r="785" hidden="1" outlineLevel="1">
      <c r="A785" s="79" t="n">
        <v>8</v>
      </c>
      <c r="B785" s="79" t="n">
        <v>93</v>
      </c>
      <c r="C785" s="80">
        <f>(B785-0.5)*'14_지역·상수'!$H$6</f>
        <v/>
      </c>
      <c r="D785" s="79" t="n">
        <v>228</v>
      </c>
      <c r="E785" s="80">
        <f>INDEX($C$4:$C$15,MATCH(A785,$A$4:$A$15,0))</f>
        <v/>
      </c>
      <c r="F785" s="80">
        <f>15*(C785-12)</f>
        <v/>
      </c>
      <c r="G785" s="80">
        <f>-COS(RADIANS(E785))*SIN(RADIANS(F785))</f>
        <v/>
      </c>
      <c r="H785" s="80">
        <f>COS(RADIANS('11_발전량_모델'!$B$17))*SIN(RADIANS(E785))-SIN(RADIANS('11_발전량_모델'!$B$17))*COS(RADIANS(E785))*COS(RADIANS(F785))</f>
        <v/>
      </c>
      <c r="I785" s="80">
        <f>SIN(RADIANS('11_발전량_모델'!$B$17))*SIN(RADIANS(E785))+COS(RADIANS('11_발전량_모델'!$B$17))*COS(RADIANS(E785))*COS(RADIANS(F785))</f>
        <v/>
      </c>
      <c r="J785" s="80">
        <f>SIN(RADIANS('11_발전량_모델'!$B$7))*SIN(RADIANS('11_발전량_모델'!$B$8))</f>
        <v/>
      </c>
      <c r="K785" s="80">
        <f>SIN(RADIANS('11_발전량_모델'!$B$7))*COS(RADIANS('11_발전량_모델'!$B$8))</f>
        <v/>
      </c>
      <c r="L785" s="80">
        <f>COS(RADIANS('11_발전량_모델'!$B$7))</f>
        <v/>
      </c>
      <c r="M785" s="80">
        <f>G785*J785+H785*K785+I785*L785</f>
        <v/>
      </c>
      <c r="N785" s="80">
        <f>MAX(0,I785)</f>
        <v/>
      </c>
      <c r="O785" s="80">
        <f>IF(I785&gt;0,MAX(0,M785),0)</f>
        <v/>
      </c>
      <c r="P785" s="80">
        <f>IF($I785&gt;0,MAX(0,$G785*SIN(RADIANS('13_시나리오비교'!$B$5))*SIN(RADIANS('13_시나리오비교'!$C$5))+$H785*SIN(RADIANS('13_시나리오비교'!$B$5))*COS(RADIANS('13_시나리오비교'!$C$5))+$I785*COS(RADIANS('13_시나리오비교'!$B$5))),0)</f>
        <v/>
      </c>
      <c r="Q785" s="80">
        <f>IF($I785&gt;0,MAX(0,$G785*SIN(RADIANS('13_시나리오비교'!$B$6))*SIN(RADIANS('13_시나리오비교'!$C$6))+$H785*SIN(RADIANS('13_시나리오비교'!$B$6))*COS(RADIANS('13_시나리오비교'!$C$6))+$I785*COS(RADIANS('13_시나리오비교'!$B$6))),0)</f>
        <v/>
      </c>
      <c r="R785" s="80">
        <f>IF($I785&gt;0,MAX(0,$G785*SIN(RADIANS('13_시나리오비교'!$B$7))*SIN(RADIANS('13_시나리오비교'!$C$7))+$H785*SIN(RADIANS('13_시나리오비교'!$B$7))*COS(RADIANS('13_시나리오비교'!$C$7))+$I785*COS(RADIANS('13_시나리오비교'!$B$7))),0)</f>
        <v/>
      </c>
      <c r="S785" s="80">
        <f>IF($I785&gt;0,MAX(0,$G785*SIN(RADIANS('13_시나리오비교'!$B$8))*SIN(RADIANS('13_시나리오비교'!$C$8))+$H785*SIN(RADIANS('13_시나리오비교'!$B$8))*COS(RADIANS('13_시나리오비교'!$C$8))+$I785*COS(RADIANS('13_시나리오비교'!$B$8))),0)</f>
        <v/>
      </c>
      <c r="T785" s="80">
        <f>IF($I785&gt;0,MAX(0,$G785*SIN(RADIANS('13_시나리오비교'!$B$9))*SIN(RADIANS('13_시나리오비교'!$C$9))+$H785*SIN(RADIANS('13_시나리오비교'!$B$9))*COS(RADIANS('13_시나리오비교'!$C$9))+$I785*COS(RADIANS('13_시나리오비교'!$B$9))),0)</f>
        <v/>
      </c>
      <c r="U785" s="80">
        <f>IF($I785&gt;0,MAX(0,$G785*SIN(RADIANS('13_시나리오비교'!$B$10))*SIN(RADIANS('13_시나리오비교'!$C$10))+$H785*SIN(RADIANS('13_시나리오비교'!$B$10))*COS(RADIANS('13_시나리오비교'!$C$10))+$I785*COS(RADIANS('13_시나리오비교'!$B$10))),0)</f>
        <v/>
      </c>
      <c r="V785" s="80">
        <f>IF($I785&gt;0,MAX(0,$G785*SIN(RADIANS('13_시나리오비교'!$B$11))*SIN(RADIANS('13_시나리오비교'!$C$11))+$H785*SIN(RADIANS('13_시나리오비교'!$B$11))*COS(RADIANS('13_시나리오비교'!$C$11))+$I785*COS(RADIANS('13_시나리오비교'!$B$11))),0)</f>
        <v/>
      </c>
      <c r="W785" s="80">
        <f>IF($I785&gt;0,MAX(0,$G785*SIN(RADIANS('13_시나리오비교'!$B$12))*SIN(RADIANS('13_시나리오비교'!$C$12))+$H785*SIN(RADIANS('13_시나리오비교'!$B$12))*COS(RADIANS('13_시나리오비교'!$C$12))+$I785*COS(RADIANS('13_시나리오비교'!$B$12))),0)</f>
        <v/>
      </c>
      <c r="X785" s="80">
        <f>IF($I785&gt;0,MAX(0,$G785*SIN(RADIANS('13_시나리오비교'!$B$13))*SIN(RADIANS('13_시나리오비교'!$C$13))+$H785*SIN(RADIANS('13_시나리오비교'!$B$13))*COS(RADIANS('13_시나리오비교'!$C$13))+$I785*COS(RADIANS('13_시나리오비교'!$B$13))),0)</f>
        <v/>
      </c>
      <c r="Y785" s="80">
        <f>IF($I785&gt;0,MAX(0,$G785*SIN(RADIANS('13_시나리오비교'!$B$14))*SIN(RADIANS('13_시나리오비교'!$C$14))+$H785*SIN(RADIANS('13_시나리오비교'!$B$14))*COS(RADIANS('13_시나리오비교'!$C$14))+$I785*COS(RADIANS('13_시나리오비교'!$B$14))),0)</f>
        <v/>
      </c>
    </row>
    <row r="786" hidden="1" outlineLevel="1">
      <c r="A786" s="79" t="n">
        <v>8</v>
      </c>
      <c r="B786" s="79" t="n">
        <v>94</v>
      </c>
      <c r="C786" s="80">
        <f>(B786-0.5)*'14_지역·상수'!$H$6</f>
        <v/>
      </c>
      <c r="D786" s="79" t="n">
        <v>228</v>
      </c>
      <c r="E786" s="80">
        <f>INDEX($C$4:$C$15,MATCH(A786,$A$4:$A$15,0))</f>
        <v/>
      </c>
      <c r="F786" s="80">
        <f>15*(C786-12)</f>
        <v/>
      </c>
      <c r="G786" s="80">
        <f>-COS(RADIANS(E786))*SIN(RADIANS(F786))</f>
        <v/>
      </c>
      <c r="H786" s="80">
        <f>COS(RADIANS('11_발전량_모델'!$B$17))*SIN(RADIANS(E786))-SIN(RADIANS('11_발전량_모델'!$B$17))*COS(RADIANS(E786))*COS(RADIANS(F786))</f>
        <v/>
      </c>
      <c r="I786" s="80">
        <f>SIN(RADIANS('11_발전량_모델'!$B$17))*SIN(RADIANS(E786))+COS(RADIANS('11_발전량_모델'!$B$17))*COS(RADIANS(E786))*COS(RADIANS(F786))</f>
        <v/>
      </c>
      <c r="J786" s="80">
        <f>SIN(RADIANS('11_발전량_모델'!$B$7))*SIN(RADIANS('11_발전량_모델'!$B$8))</f>
        <v/>
      </c>
      <c r="K786" s="80">
        <f>SIN(RADIANS('11_발전량_모델'!$B$7))*COS(RADIANS('11_발전량_모델'!$B$8))</f>
        <v/>
      </c>
      <c r="L786" s="80">
        <f>COS(RADIANS('11_발전량_모델'!$B$7))</f>
        <v/>
      </c>
      <c r="M786" s="80">
        <f>G786*J786+H786*K786+I786*L786</f>
        <v/>
      </c>
      <c r="N786" s="80">
        <f>MAX(0,I786)</f>
        <v/>
      </c>
      <c r="O786" s="80">
        <f>IF(I786&gt;0,MAX(0,M786),0)</f>
        <v/>
      </c>
      <c r="P786" s="80">
        <f>IF($I786&gt;0,MAX(0,$G786*SIN(RADIANS('13_시나리오비교'!$B$5))*SIN(RADIANS('13_시나리오비교'!$C$5))+$H786*SIN(RADIANS('13_시나리오비교'!$B$5))*COS(RADIANS('13_시나리오비교'!$C$5))+$I786*COS(RADIANS('13_시나리오비교'!$B$5))),0)</f>
        <v/>
      </c>
      <c r="Q786" s="80">
        <f>IF($I786&gt;0,MAX(0,$G786*SIN(RADIANS('13_시나리오비교'!$B$6))*SIN(RADIANS('13_시나리오비교'!$C$6))+$H786*SIN(RADIANS('13_시나리오비교'!$B$6))*COS(RADIANS('13_시나리오비교'!$C$6))+$I786*COS(RADIANS('13_시나리오비교'!$B$6))),0)</f>
        <v/>
      </c>
      <c r="R786" s="80">
        <f>IF($I786&gt;0,MAX(0,$G786*SIN(RADIANS('13_시나리오비교'!$B$7))*SIN(RADIANS('13_시나리오비교'!$C$7))+$H786*SIN(RADIANS('13_시나리오비교'!$B$7))*COS(RADIANS('13_시나리오비교'!$C$7))+$I786*COS(RADIANS('13_시나리오비교'!$B$7))),0)</f>
        <v/>
      </c>
      <c r="S786" s="80">
        <f>IF($I786&gt;0,MAX(0,$G786*SIN(RADIANS('13_시나리오비교'!$B$8))*SIN(RADIANS('13_시나리오비교'!$C$8))+$H786*SIN(RADIANS('13_시나리오비교'!$B$8))*COS(RADIANS('13_시나리오비교'!$C$8))+$I786*COS(RADIANS('13_시나리오비교'!$B$8))),0)</f>
        <v/>
      </c>
      <c r="T786" s="80">
        <f>IF($I786&gt;0,MAX(0,$G786*SIN(RADIANS('13_시나리오비교'!$B$9))*SIN(RADIANS('13_시나리오비교'!$C$9))+$H786*SIN(RADIANS('13_시나리오비교'!$B$9))*COS(RADIANS('13_시나리오비교'!$C$9))+$I786*COS(RADIANS('13_시나리오비교'!$B$9))),0)</f>
        <v/>
      </c>
      <c r="U786" s="80">
        <f>IF($I786&gt;0,MAX(0,$G786*SIN(RADIANS('13_시나리오비교'!$B$10))*SIN(RADIANS('13_시나리오비교'!$C$10))+$H786*SIN(RADIANS('13_시나리오비교'!$B$10))*COS(RADIANS('13_시나리오비교'!$C$10))+$I786*COS(RADIANS('13_시나리오비교'!$B$10))),0)</f>
        <v/>
      </c>
      <c r="V786" s="80">
        <f>IF($I786&gt;0,MAX(0,$G786*SIN(RADIANS('13_시나리오비교'!$B$11))*SIN(RADIANS('13_시나리오비교'!$C$11))+$H786*SIN(RADIANS('13_시나리오비교'!$B$11))*COS(RADIANS('13_시나리오비교'!$C$11))+$I786*COS(RADIANS('13_시나리오비교'!$B$11))),0)</f>
        <v/>
      </c>
      <c r="W786" s="80">
        <f>IF($I786&gt;0,MAX(0,$G786*SIN(RADIANS('13_시나리오비교'!$B$12))*SIN(RADIANS('13_시나리오비교'!$C$12))+$H786*SIN(RADIANS('13_시나리오비교'!$B$12))*COS(RADIANS('13_시나리오비교'!$C$12))+$I786*COS(RADIANS('13_시나리오비교'!$B$12))),0)</f>
        <v/>
      </c>
      <c r="X786" s="80">
        <f>IF($I786&gt;0,MAX(0,$G786*SIN(RADIANS('13_시나리오비교'!$B$13))*SIN(RADIANS('13_시나리오비교'!$C$13))+$H786*SIN(RADIANS('13_시나리오비교'!$B$13))*COS(RADIANS('13_시나리오비교'!$C$13))+$I786*COS(RADIANS('13_시나리오비교'!$B$13))),0)</f>
        <v/>
      </c>
      <c r="Y786" s="80">
        <f>IF($I786&gt;0,MAX(0,$G786*SIN(RADIANS('13_시나리오비교'!$B$14))*SIN(RADIANS('13_시나리오비교'!$C$14))+$H786*SIN(RADIANS('13_시나리오비교'!$B$14))*COS(RADIANS('13_시나리오비교'!$C$14))+$I786*COS(RADIANS('13_시나리오비교'!$B$14))),0)</f>
        <v/>
      </c>
    </row>
    <row r="787" hidden="1" outlineLevel="1">
      <c r="A787" s="79" t="n">
        <v>8</v>
      </c>
      <c r="B787" s="79" t="n">
        <v>95</v>
      </c>
      <c r="C787" s="80">
        <f>(B787-0.5)*'14_지역·상수'!$H$6</f>
        <v/>
      </c>
      <c r="D787" s="79" t="n">
        <v>228</v>
      </c>
      <c r="E787" s="80">
        <f>INDEX($C$4:$C$15,MATCH(A787,$A$4:$A$15,0))</f>
        <v/>
      </c>
      <c r="F787" s="80">
        <f>15*(C787-12)</f>
        <v/>
      </c>
      <c r="G787" s="80">
        <f>-COS(RADIANS(E787))*SIN(RADIANS(F787))</f>
        <v/>
      </c>
      <c r="H787" s="80">
        <f>COS(RADIANS('11_발전량_모델'!$B$17))*SIN(RADIANS(E787))-SIN(RADIANS('11_발전량_모델'!$B$17))*COS(RADIANS(E787))*COS(RADIANS(F787))</f>
        <v/>
      </c>
      <c r="I787" s="80">
        <f>SIN(RADIANS('11_발전량_모델'!$B$17))*SIN(RADIANS(E787))+COS(RADIANS('11_발전량_모델'!$B$17))*COS(RADIANS(E787))*COS(RADIANS(F787))</f>
        <v/>
      </c>
      <c r="J787" s="80">
        <f>SIN(RADIANS('11_발전량_모델'!$B$7))*SIN(RADIANS('11_발전량_모델'!$B$8))</f>
        <v/>
      </c>
      <c r="K787" s="80">
        <f>SIN(RADIANS('11_발전량_모델'!$B$7))*COS(RADIANS('11_발전량_모델'!$B$8))</f>
        <v/>
      </c>
      <c r="L787" s="80">
        <f>COS(RADIANS('11_발전량_모델'!$B$7))</f>
        <v/>
      </c>
      <c r="M787" s="80">
        <f>G787*J787+H787*K787+I787*L787</f>
        <v/>
      </c>
      <c r="N787" s="80">
        <f>MAX(0,I787)</f>
        <v/>
      </c>
      <c r="O787" s="80">
        <f>IF(I787&gt;0,MAX(0,M787),0)</f>
        <v/>
      </c>
      <c r="P787" s="80">
        <f>IF($I787&gt;0,MAX(0,$G787*SIN(RADIANS('13_시나리오비교'!$B$5))*SIN(RADIANS('13_시나리오비교'!$C$5))+$H787*SIN(RADIANS('13_시나리오비교'!$B$5))*COS(RADIANS('13_시나리오비교'!$C$5))+$I787*COS(RADIANS('13_시나리오비교'!$B$5))),0)</f>
        <v/>
      </c>
      <c r="Q787" s="80">
        <f>IF($I787&gt;0,MAX(0,$G787*SIN(RADIANS('13_시나리오비교'!$B$6))*SIN(RADIANS('13_시나리오비교'!$C$6))+$H787*SIN(RADIANS('13_시나리오비교'!$B$6))*COS(RADIANS('13_시나리오비교'!$C$6))+$I787*COS(RADIANS('13_시나리오비교'!$B$6))),0)</f>
        <v/>
      </c>
      <c r="R787" s="80">
        <f>IF($I787&gt;0,MAX(0,$G787*SIN(RADIANS('13_시나리오비교'!$B$7))*SIN(RADIANS('13_시나리오비교'!$C$7))+$H787*SIN(RADIANS('13_시나리오비교'!$B$7))*COS(RADIANS('13_시나리오비교'!$C$7))+$I787*COS(RADIANS('13_시나리오비교'!$B$7))),0)</f>
        <v/>
      </c>
      <c r="S787" s="80">
        <f>IF($I787&gt;0,MAX(0,$G787*SIN(RADIANS('13_시나리오비교'!$B$8))*SIN(RADIANS('13_시나리오비교'!$C$8))+$H787*SIN(RADIANS('13_시나리오비교'!$B$8))*COS(RADIANS('13_시나리오비교'!$C$8))+$I787*COS(RADIANS('13_시나리오비교'!$B$8))),0)</f>
        <v/>
      </c>
      <c r="T787" s="80">
        <f>IF($I787&gt;0,MAX(0,$G787*SIN(RADIANS('13_시나리오비교'!$B$9))*SIN(RADIANS('13_시나리오비교'!$C$9))+$H787*SIN(RADIANS('13_시나리오비교'!$B$9))*COS(RADIANS('13_시나리오비교'!$C$9))+$I787*COS(RADIANS('13_시나리오비교'!$B$9))),0)</f>
        <v/>
      </c>
      <c r="U787" s="80">
        <f>IF($I787&gt;0,MAX(0,$G787*SIN(RADIANS('13_시나리오비교'!$B$10))*SIN(RADIANS('13_시나리오비교'!$C$10))+$H787*SIN(RADIANS('13_시나리오비교'!$B$10))*COS(RADIANS('13_시나리오비교'!$C$10))+$I787*COS(RADIANS('13_시나리오비교'!$B$10))),0)</f>
        <v/>
      </c>
      <c r="V787" s="80">
        <f>IF($I787&gt;0,MAX(0,$G787*SIN(RADIANS('13_시나리오비교'!$B$11))*SIN(RADIANS('13_시나리오비교'!$C$11))+$H787*SIN(RADIANS('13_시나리오비교'!$B$11))*COS(RADIANS('13_시나리오비교'!$C$11))+$I787*COS(RADIANS('13_시나리오비교'!$B$11))),0)</f>
        <v/>
      </c>
      <c r="W787" s="80">
        <f>IF($I787&gt;0,MAX(0,$G787*SIN(RADIANS('13_시나리오비교'!$B$12))*SIN(RADIANS('13_시나리오비교'!$C$12))+$H787*SIN(RADIANS('13_시나리오비교'!$B$12))*COS(RADIANS('13_시나리오비교'!$C$12))+$I787*COS(RADIANS('13_시나리오비교'!$B$12))),0)</f>
        <v/>
      </c>
      <c r="X787" s="80">
        <f>IF($I787&gt;0,MAX(0,$G787*SIN(RADIANS('13_시나리오비교'!$B$13))*SIN(RADIANS('13_시나리오비교'!$C$13))+$H787*SIN(RADIANS('13_시나리오비교'!$B$13))*COS(RADIANS('13_시나리오비교'!$C$13))+$I787*COS(RADIANS('13_시나리오비교'!$B$13))),0)</f>
        <v/>
      </c>
      <c r="Y787" s="80">
        <f>IF($I787&gt;0,MAX(0,$G787*SIN(RADIANS('13_시나리오비교'!$B$14))*SIN(RADIANS('13_시나리오비교'!$C$14))+$H787*SIN(RADIANS('13_시나리오비교'!$B$14))*COS(RADIANS('13_시나리오비교'!$C$14))+$I787*COS(RADIANS('13_시나리오비교'!$B$14))),0)</f>
        <v/>
      </c>
    </row>
    <row r="788" hidden="1" outlineLevel="1">
      <c r="A788" s="79" t="n">
        <v>8</v>
      </c>
      <c r="B788" s="79" t="n">
        <v>96</v>
      </c>
      <c r="C788" s="80">
        <f>(B788-0.5)*'14_지역·상수'!$H$6</f>
        <v/>
      </c>
      <c r="D788" s="79" t="n">
        <v>228</v>
      </c>
      <c r="E788" s="80">
        <f>INDEX($C$4:$C$15,MATCH(A788,$A$4:$A$15,0))</f>
        <v/>
      </c>
      <c r="F788" s="80">
        <f>15*(C788-12)</f>
        <v/>
      </c>
      <c r="G788" s="80">
        <f>-COS(RADIANS(E788))*SIN(RADIANS(F788))</f>
        <v/>
      </c>
      <c r="H788" s="80">
        <f>COS(RADIANS('11_발전량_모델'!$B$17))*SIN(RADIANS(E788))-SIN(RADIANS('11_발전량_모델'!$B$17))*COS(RADIANS(E788))*COS(RADIANS(F788))</f>
        <v/>
      </c>
      <c r="I788" s="80">
        <f>SIN(RADIANS('11_발전량_모델'!$B$17))*SIN(RADIANS(E788))+COS(RADIANS('11_발전량_모델'!$B$17))*COS(RADIANS(E788))*COS(RADIANS(F788))</f>
        <v/>
      </c>
      <c r="J788" s="80">
        <f>SIN(RADIANS('11_발전량_모델'!$B$7))*SIN(RADIANS('11_발전량_모델'!$B$8))</f>
        <v/>
      </c>
      <c r="K788" s="80">
        <f>SIN(RADIANS('11_발전량_모델'!$B$7))*COS(RADIANS('11_발전량_모델'!$B$8))</f>
        <v/>
      </c>
      <c r="L788" s="80">
        <f>COS(RADIANS('11_발전량_모델'!$B$7))</f>
        <v/>
      </c>
      <c r="M788" s="80">
        <f>G788*J788+H788*K788+I788*L788</f>
        <v/>
      </c>
      <c r="N788" s="80">
        <f>MAX(0,I788)</f>
        <v/>
      </c>
      <c r="O788" s="80">
        <f>IF(I788&gt;0,MAX(0,M788),0)</f>
        <v/>
      </c>
      <c r="P788" s="80">
        <f>IF($I788&gt;0,MAX(0,$G788*SIN(RADIANS('13_시나리오비교'!$B$5))*SIN(RADIANS('13_시나리오비교'!$C$5))+$H788*SIN(RADIANS('13_시나리오비교'!$B$5))*COS(RADIANS('13_시나리오비교'!$C$5))+$I788*COS(RADIANS('13_시나리오비교'!$B$5))),0)</f>
        <v/>
      </c>
      <c r="Q788" s="80">
        <f>IF($I788&gt;0,MAX(0,$G788*SIN(RADIANS('13_시나리오비교'!$B$6))*SIN(RADIANS('13_시나리오비교'!$C$6))+$H788*SIN(RADIANS('13_시나리오비교'!$B$6))*COS(RADIANS('13_시나리오비교'!$C$6))+$I788*COS(RADIANS('13_시나리오비교'!$B$6))),0)</f>
        <v/>
      </c>
      <c r="R788" s="80">
        <f>IF($I788&gt;0,MAX(0,$G788*SIN(RADIANS('13_시나리오비교'!$B$7))*SIN(RADIANS('13_시나리오비교'!$C$7))+$H788*SIN(RADIANS('13_시나리오비교'!$B$7))*COS(RADIANS('13_시나리오비교'!$C$7))+$I788*COS(RADIANS('13_시나리오비교'!$B$7))),0)</f>
        <v/>
      </c>
      <c r="S788" s="80">
        <f>IF($I788&gt;0,MAX(0,$G788*SIN(RADIANS('13_시나리오비교'!$B$8))*SIN(RADIANS('13_시나리오비교'!$C$8))+$H788*SIN(RADIANS('13_시나리오비교'!$B$8))*COS(RADIANS('13_시나리오비교'!$C$8))+$I788*COS(RADIANS('13_시나리오비교'!$B$8))),0)</f>
        <v/>
      </c>
      <c r="T788" s="80">
        <f>IF($I788&gt;0,MAX(0,$G788*SIN(RADIANS('13_시나리오비교'!$B$9))*SIN(RADIANS('13_시나리오비교'!$C$9))+$H788*SIN(RADIANS('13_시나리오비교'!$B$9))*COS(RADIANS('13_시나리오비교'!$C$9))+$I788*COS(RADIANS('13_시나리오비교'!$B$9))),0)</f>
        <v/>
      </c>
      <c r="U788" s="80">
        <f>IF($I788&gt;0,MAX(0,$G788*SIN(RADIANS('13_시나리오비교'!$B$10))*SIN(RADIANS('13_시나리오비교'!$C$10))+$H788*SIN(RADIANS('13_시나리오비교'!$B$10))*COS(RADIANS('13_시나리오비교'!$C$10))+$I788*COS(RADIANS('13_시나리오비교'!$B$10))),0)</f>
        <v/>
      </c>
      <c r="V788" s="80">
        <f>IF($I788&gt;0,MAX(0,$G788*SIN(RADIANS('13_시나리오비교'!$B$11))*SIN(RADIANS('13_시나리오비교'!$C$11))+$H788*SIN(RADIANS('13_시나리오비교'!$B$11))*COS(RADIANS('13_시나리오비교'!$C$11))+$I788*COS(RADIANS('13_시나리오비교'!$B$11))),0)</f>
        <v/>
      </c>
      <c r="W788" s="80">
        <f>IF($I788&gt;0,MAX(0,$G788*SIN(RADIANS('13_시나리오비교'!$B$12))*SIN(RADIANS('13_시나리오비교'!$C$12))+$H788*SIN(RADIANS('13_시나리오비교'!$B$12))*COS(RADIANS('13_시나리오비교'!$C$12))+$I788*COS(RADIANS('13_시나리오비교'!$B$12))),0)</f>
        <v/>
      </c>
      <c r="X788" s="80">
        <f>IF($I788&gt;0,MAX(0,$G788*SIN(RADIANS('13_시나리오비교'!$B$13))*SIN(RADIANS('13_시나리오비교'!$C$13))+$H788*SIN(RADIANS('13_시나리오비교'!$B$13))*COS(RADIANS('13_시나리오비교'!$C$13))+$I788*COS(RADIANS('13_시나리오비교'!$B$13))),0)</f>
        <v/>
      </c>
      <c r="Y788" s="80">
        <f>IF($I788&gt;0,MAX(0,$G788*SIN(RADIANS('13_시나리오비교'!$B$14))*SIN(RADIANS('13_시나리오비교'!$C$14))+$H788*SIN(RADIANS('13_시나리오비교'!$B$14))*COS(RADIANS('13_시나리오비교'!$C$14))+$I788*COS(RADIANS('13_시나리오비교'!$B$14))),0)</f>
        <v/>
      </c>
    </row>
    <row r="789" hidden="1" outlineLevel="1">
      <c r="A789" s="79" t="n">
        <v>9</v>
      </c>
      <c r="B789" s="79" t="n">
        <v>1</v>
      </c>
      <c r="C789" s="80">
        <f>(B789-0.5)*'14_지역·상수'!$H$6</f>
        <v/>
      </c>
      <c r="D789" s="79" t="n">
        <v>258</v>
      </c>
      <c r="E789" s="80">
        <f>INDEX($C$4:$C$15,MATCH(A789,$A$4:$A$15,0))</f>
        <v/>
      </c>
      <c r="F789" s="80">
        <f>15*(C789-12)</f>
        <v/>
      </c>
      <c r="G789" s="80">
        <f>-COS(RADIANS(E789))*SIN(RADIANS(F789))</f>
        <v/>
      </c>
      <c r="H789" s="80">
        <f>COS(RADIANS('11_발전량_모델'!$B$17))*SIN(RADIANS(E789))-SIN(RADIANS('11_발전량_모델'!$B$17))*COS(RADIANS(E789))*COS(RADIANS(F789))</f>
        <v/>
      </c>
      <c r="I789" s="80">
        <f>SIN(RADIANS('11_발전량_모델'!$B$17))*SIN(RADIANS(E789))+COS(RADIANS('11_발전량_모델'!$B$17))*COS(RADIANS(E789))*COS(RADIANS(F789))</f>
        <v/>
      </c>
      <c r="J789" s="80">
        <f>SIN(RADIANS('11_발전량_모델'!$B$7))*SIN(RADIANS('11_발전량_모델'!$B$8))</f>
        <v/>
      </c>
      <c r="K789" s="80">
        <f>SIN(RADIANS('11_발전량_모델'!$B$7))*COS(RADIANS('11_발전량_모델'!$B$8))</f>
        <v/>
      </c>
      <c r="L789" s="80">
        <f>COS(RADIANS('11_발전량_모델'!$B$7))</f>
        <v/>
      </c>
      <c r="M789" s="80">
        <f>G789*J789+H789*K789+I789*L789</f>
        <v/>
      </c>
      <c r="N789" s="80">
        <f>MAX(0,I789)</f>
        <v/>
      </c>
      <c r="O789" s="80">
        <f>IF(I789&gt;0,MAX(0,M789),0)</f>
        <v/>
      </c>
      <c r="P789" s="80">
        <f>IF($I789&gt;0,MAX(0,$G789*SIN(RADIANS('13_시나리오비교'!$B$5))*SIN(RADIANS('13_시나리오비교'!$C$5))+$H789*SIN(RADIANS('13_시나리오비교'!$B$5))*COS(RADIANS('13_시나리오비교'!$C$5))+$I789*COS(RADIANS('13_시나리오비교'!$B$5))),0)</f>
        <v/>
      </c>
      <c r="Q789" s="80">
        <f>IF($I789&gt;0,MAX(0,$G789*SIN(RADIANS('13_시나리오비교'!$B$6))*SIN(RADIANS('13_시나리오비교'!$C$6))+$H789*SIN(RADIANS('13_시나리오비교'!$B$6))*COS(RADIANS('13_시나리오비교'!$C$6))+$I789*COS(RADIANS('13_시나리오비교'!$B$6))),0)</f>
        <v/>
      </c>
      <c r="R789" s="80">
        <f>IF($I789&gt;0,MAX(0,$G789*SIN(RADIANS('13_시나리오비교'!$B$7))*SIN(RADIANS('13_시나리오비교'!$C$7))+$H789*SIN(RADIANS('13_시나리오비교'!$B$7))*COS(RADIANS('13_시나리오비교'!$C$7))+$I789*COS(RADIANS('13_시나리오비교'!$B$7))),0)</f>
        <v/>
      </c>
      <c r="S789" s="80">
        <f>IF($I789&gt;0,MAX(0,$G789*SIN(RADIANS('13_시나리오비교'!$B$8))*SIN(RADIANS('13_시나리오비교'!$C$8))+$H789*SIN(RADIANS('13_시나리오비교'!$B$8))*COS(RADIANS('13_시나리오비교'!$C$8))+$I789*COS(RADIANS('13_시나리오비교'!$B$8))),0)</f>
        <v/>
      </c>
      <c r="T789" s="80">
        <f>IF($I789&gt;0,MAX(0,$G789*SIN(RADIANS('13_시나리오비교'!$B$9))*SIN(RADIANS('13_시나리오비교'!$C$9))+$H789*SIN(RADIANS('13_시나리오비교'!$B$9))*COS(RADIANS('13_시나리오비교'!$C$9))+$I789*COS(RADIANS('13_시나리오비교'!$B$9))),0)</f>
        <v/>
      </c>
      <c r="U789" s="80">
        <f>IF($I789&gt;0,MAX(0,$G789*SIN(RADIANS('13_시나리오비교'!$B$10))*SIN(RADIANS('13_시나리오비교'!$C$10))+$H789*SIN(RADIANS('13_시나리오비교'!$B$10))*COS(RADIANS('13_시나리오비교'!$C$10))+$I789*COS(RADIANS('13_시나리오비교'!$B$10))),0)</f>
        <v/>
      </c>
      <c r="V789" s="80">
        <f>IF($I789&gt;0,MAX(0,$G789*SIN(RADIANS('13_시나리오비교'!$B$11))*SIN(RADIANS('13_시나리오비교'!$C$11))+$H789*SIN(RADIANS('13_시나리오비교'!$B$11))*COS(RADIANS('13_시나리오비교'!$C$11))+$I789*COS(RADIANS('13_시나리오비교'!$B$11))),0)</f>
        <v/>
      </c>
      <c r="W789" s="80">
        <f>IF($I789&gt;0,MAX(0,$G789*SIN(RADIANS('13_시나리오비교'!$B$12))*SIN(RADIANS('13_시나리오비교'!$C$12))+$H789*SIN(RADIANS('13_시나리오비교'!$B$12))*COS(RADIANS('13_시나리오비교'!$C$12))+$I789*COS(RADIANS('13_시나리오비교'!$B$12))),0)</f>
        <v/>
      </c>
      <c r="X789" s="80">
        <f>IF($I789&gt;0,MAX(0,$G789*SIN(RADIANS('13_시나리오비교'!$B$13))*SIN(RADIANS('13_시나리오비교'!$C$13))+$H789*SIN(RADIANS('13_시나리오비교'!$B$13))*COS(RADIANS('13_시나리오비교'!$C$13))+$I789*COS(RADIANS('13_시나리오비교'!$B$13))),0)</f>
        <v/>
      </c>
      <c r="Y789" s="80">
        <f>IF($I789&gt;0,MAX(0,$G789*SIN(RADIANS('13_시나리오비교'!$B$14))*SIN(RADIANS('13_시나리오비교'!$C$14))+$H789*SIN(RADIANS('13_시나리오비교'!$B$14))*COS(RADIANS('13_시나리오비교'!$C$14))+$I789*COS(RADIANS('13_시나리오비교'!$B$14))),0)</f>
        <v/>
      </c>
    </row>
    <row r="790" hidden="1" outlineLevel="1">
      <c r="A790" s="79" t="n">
        <v>9</v>
      </c>
      <c r="B790" s="79" t="n">
        <v>2</v>
      </c>
      <c r="C790" s="80">
        <f>(B790-0.5)*'14_지역·상수'!$H$6</f>
        <v/>
      </c>
      <c r="D790" s="79" t="n">
        <v>258</v>
      </c>
      <c r="E790" s="80">
        <f>INDEX($C$4:$C$15,MATCH(A790,$A$4:$A$15,0))</f>
        <v/>
      </c>
      <c r="F790" s="80">
        <f>15*(C790-12)</f>
        <v/>
      </c>
      <c r="G790" s="80">
        <f>-COS(RADIANS(E790))*SIN(RADIANS(F790))</f>
        <v/>
      </c>
      <c r="H790" s="80">
        <f>COS(RADIANS('11_발전량_모델'!$B$17))*SIN(RADIANS(E790))-SIN(RADIANS('11_발전량_모델'!$B$17))*COS(RADIANS(E790))*COS(RADIANS(F790))</f>
        <v/>
      </c>
      <c r="I790" s="80">
        <f>SIN(RADIANS('11_발전량_모델'!$B$17))*SIN(RADIANS(E790))+COS(RADIANS('11_발전량_모델'!$B$17))*COS(RADIANS(E790))*COS(RADIANS(F790))</f>
        <v/>
      </c>
      <c r="J790" s="80">
        <f>SIN(RADIANS('11_발전량_모델'!$B$7))*SIN(RADIANS('11_발전량_모델'!$B$8))</f>
        <v/>
      </c>
      <c r="K790" s="80">
        <f>SIN(RADIANS('11_발전량_모델'!$B$7))*COS(RADIANS('11_발전량_모델'!$B$8))</f>
        <v/>
      </c>
      <c r="L790" s="80">
        <f>COS(RADIANS('11_발전량_모델'!$B$7))</f>
        <v/>
      </c>
      <c r="M790" s="80">
        <f>G790*J790+H790*K790+I790*L790</f>
        <v/>
      </c>
      <c r="N790" s="80">
        <f>MAX(0,I790)</f>
        <v/>
      </c>
      <c r="O790" s="80">
        <f>IF(I790&gt;0,MAX(0,M790),0)</f>
        <v/>
      </c>
      <c r="P790" s="80">
        <f>IF($I790&gt;0,MAX(0,$G790*SIN(RADIANS('13_시나리오비교'!$B$5))*SIN(RADIANS('13_시나리오비교'!$C$5))+$H790*SIN(RADIANS('13_시나리오비교'!$B$5))*COS(RADIANS('13_시나리오비교'!$C$5))+$I790*COS(RADIANS('13_시나리오비교'!$B$5))),0)</f>
        <v/>
      </c>
      <c r="Q790" s="80">
        <f>IF($I790&gt;0,MAX(0,$G790*SIN(RADIANS('13_시나리오비교'!$B$6))*SIN(RADIANS('13_시나리오비교'!$C$6))+$H790*SIN(RADIANS('13_시나리오비교'!$B$6))*COS(RADIANS('13_시나리오비교'!$C$6))+$I790*COS(RADIANS('13_시나리오비교'!$B$6))),0)</f>
        <v/>
      </c>
      <c r="R790" s="80">
        <f>IF($I790&gt;0,MAX(0,$G790*SIN(RADIANS('13_시나리오비교'!$B$7))*SIN(RADIANS('13_시나리오비교'!$C$7))+$H790*SIN(RADIANS('13_시나리오비교'!$B$7))*COS(RADIANS('13_시나리오비교'!$C$7))+$I790*COS(RADIANS('13_시나리오비교'!$B$7))),0)</f>
        <v/>
      </c>
      <c r="S790" s="80">
        <f>IF($I790&gt;0,MAX(0,$G790*SIN(RADIANS('13_시나리오비교'!$B$8))*SIN(RADIANS('13_시나리오비교'!$C$8))+$H790*SIN(RADIANS('13_시나리오비교'!$B$8))*COS(RADIANS('13_시나리오비교'!$C$8))+$I790*COS(RADIANS('13_시나리오비교'!$B$8))),0)</f>
        <v/>
      </c>
      <c r="T790" s="80">
        <f>IF($I790&gt;0,MAX(0,$G790*SIN(RADIANS('13_시나리오비교'!$B$9))*SIN(RADIANS('13_시나리오비교'!$C$9))+$H790*SIN(RADIANS('13_시나리오비교'!$B$9))*COS(RADIANS('13_시나리오비교'!$C$9))+$I790*COS(RADIANS('13_시나리오비교'!$B$9))),0)</f>
        <v/>
      </c>
      <c r="U790" s="80">
        <f>IF($I790&gt;0,MAX(0,$G790*SIN(RADIANS('13_시나리오비교'!$B$10))*SIN(RADIANS('13_시나리오비교'!$C$10))+$H790*SIN(RADIANS('13_시나리오비교'!$B$10))*COS(RADIANS('13_시나리오비교'!$C$10))+$I790*COS(RADIANS('13_시나리오비교'!$B$10))),0)</f>
        <v/>
      </c>
      <c r="V790" s="80">
        <f>IF($I790&gt;0,MAX(0,$G790*SIN(RADIANS('13_시나리오비교'!$B$11))*SIN(RADIANS('13_시나리오비교'!$C$11))+$H790*SIN(RADIANS('13_시나리오비교'!$B$11))*COS(RADIANS('13_시나리오비교'!$C$11))+$I790*COS(RADIANS('13_시나리오비교'!$B$11))),0)</f>
        <v/>
      </c>
      <c r="W790" s="80">
        <f>IF($I790&gt;0,MAX(0,$G790*SIN(RADIANS('13_시나리오비교'!$B$12))*SIN(RADIANS('13_시나리오비교'!$C$12))+$H790*SIN(RADIANS('13_시나리오비교'!$B$12))*COS(RADIANS('13_시나리오비교'!$C$12))+$I790*COS(RADIANS('13_시나리오비교'!$B$12))),0)</f>
        <v/>
      </c>
      <c r="X790" s="80">
        <f>IF($I790&gt;0,MAX(0,$G790*SIN(RADIANS('13_시나리오비교'!$B$13))*SIN(RADIANS('13_시나리오비교'!$C$13))+$H790*SIN(RADIANS('13_시나리오비교'!$B$13))*COS(RADIANS('13_시나리오비교'!$C$13))+$I790*COS(RADIANS('13_시나리오비교'!$B$13))),0)</f>
        <v/>
      </c>
      <c r="Y790" s="80">
        <f>IF($I790&gt;0,MAX(0,$G790*SIN(RADIANS('13_시나리오비교'!$B$14))*SIN(RADIANS('13_시나리오비교'!$C$14))+$H790*SIN(RADIANS('13_시나리오비교'!$B$14))*COS(RADIANS('13_시나리오비교'!$C$14))+$I790*COS(RADIANS('13_시나리오비교'!$B$14))),0)</f>
        <v/>
      </c>
    </row>
    <row r="791" hidden="1" outlineLevel="1">
      <c r="A791" s="79" t="n">
        <v>9</v>
      </c>
      <c r="B791" s="79" t="n">
        <v>3</v>
      </c>
      <c r="C791" s="80">
        <f>(B791-0.5)*'14_지역·상수'!$H$6</f>
        <v/>
      </c>
      <c r="D791" s="79" t="n">
        <v>258</v>
      </c>
      <c r="E791" s="80">
        <f>INDEX($C$4:$C$15,MATCH(A791,$A$4:$A$15,0))</f>
        <v/>
      </c>
      <c r="F791" s="80">
        <f>15*(C791-12)</f>
        <v/>
      </c>
      <c r="G791" s="80">
        <f>-COS(RADIANS(E791))*SIN(RADIANS(F791))</f>
        <v/>
      </c>
      <c r="H791" s="80">
        <f>COS(RADIANS('11_발전량_모델'!$B$17))*SIN(RADIANS(E791))-SIN(RADIANS('11_발전량_모델'!$B$17))*COS(RADIANS(E791))*COS(RADIANS(F791))</f>
        <v/>
      </c>
      <c r="I791" s="80">
        <f>SIN(RADIANS('11_발전량_모델'!$B$17))*SIN(RADIANS(E791))+COS(RADIANS('11_발전량_모델'!$B$17))*COS(RADIANS(E791))*COS(RADIANS(F791))</f>
        <v/>
      </c>
      <c r="J791" s="80">
        <f>SIN(RADIANS('11_발전량_모델'!$B$7))*SIN(RADIANS('11_발전량_모델'!$B$8))</f>
        <v/>
      </c>
      <c r="K791" s="80">
        <f>SIN(RADIANS('11_발전량_모델'!$B$7))*COS(RADIANS('11_발전량_모델'!$B$8))</f>
        <v/>
      </c>
      <c r="L791" s="80">
        <f>COS(RADIANS('11_발전량_모델'!$B$7))</f>
        <v/>
      </c>
      <c r="M791" s="80">
        <f>G791*J791+H791*K791+I791*L791</f>
        <v/>
      </c>
      <c r="N791" s="80">
        <f>MAX(0,I791)</f>
        <v/>
      </c>
      <c r="O791" s="80">
        <f>IF(I791&gt;0,MAX(0,M791),0)</f>
        <v/>
      </c>
      <c r="P791" s="80">
        <f>IF($I791&gt;0,MAX(0,$G791*SIN(RADIANS('13_시나리오비교'!$B$5))*SIN(RADIANS('13_시나리오비교'!$C$5))+$H791*SIN(RADIANS('13_시나리오비교'!$B$5))*COS(RADIANS('13_시나리오비교'!$C$5))+$I791*COS(RADIANS('13_시나리오비교'!$B$5))),0)</f>
        <v/>
      </c>
      <c r="Q791" s="80">
        <f>IF($I791&gt;0,MAX(0,$G791*SIN(RADIANS('13_시나리오비교'!$B$6))*SIN(RADIANS('13_시나리오비교'!$C$6))+$H791*SIN(RADIANS('13_시나리오비교'!$B$6))*COS(RADIANS('13_시나리오비교'!$C$6))+$I791*COS(RADIANS('13_시나리오비교'!$B$6))),0)</f>
        <v/>
      </c>
      <c r="R791" s="80">
        <f>IF($I791&gt;0,MAX(0,$G791*SIN(RADIANS('13_시나리오비교'!$B$7))*SIN(RADIANS('13_시나리오비교'!$C$7))+$H791*SIN(RADIANS('13_시나리오비교'!$B$7))*COS(RADIANS('13_시나리오비교'!$C$7))+$I791*COS(RADIANS('13_시나리오비교'!$B$7))),0)</f>
        <v/>
      </c>
      <c r="S791" s="80">
        <f>IF($I791&gt;0,MAX(0,$G791*SIN(RADIANS('13_시나리오비교'!$B$8))*SIN(RADIANS('13_시나리오비교'!$C$8))+$H791*SIN(RADIANS('13_시나리오비교'!$B$8))*COS(RADIANS('13_시나리오비교'!$C$8))+$I791*COS(RADIANS('13_시나리오비교'!$B$8))),0)</f>
        <v/>
      </c>
      <c r="T791" s="80">
        <f>IF($I791&gt;0,MAX(0,$G791*SIN(RADIANS('13_시나리오비교'!$B$9))*SIN(RADIANS('13_시나리오비교'!$C$9))+$H791*SIN(RADIANS('13_시나리오비교'!$B$9))*COS(RADIANS('13_시나리오비교'!$C$9))+$I791*COS(RADIANS('13_시나리오비교'!$B$9))),0)</f>
        <v/>
      </c>
      <c r="U791" s="80">
        <f>IF($I791&gt;0,MAX(0,$G791*SIN(RADIANS('13_시나리오비교'!$B$10))*SIN(RADIANS('13_시나리오비교'!$C$10))+$H791*SIN(RADIANS('13_시나리오비교'!$B$10))*COS(RADIANS('13_시나리오비교'!$C$10))+$I791*COS(RADIANS('13_시나리오비교'!$B$10))),0)</f>
        <v/>
      </c>
      <c r="V791" s="80">
        <f>IF($I791&gt;0,MAX(0,$G791*SIN(RADIANS('13_시나리오비교'!$B$11))*SIN(RADIANS('13_시나리오비교'!$C$11))+$H791*SIN(RADIANS('13_시나리오비교'!$B$11))*COS(RADIANS('13_시나리오비교'!$C$11))+$I791*COS(RADIANS('13_시나리오비교'!$B$11))),0)</f>
        <v/>
      </c>
      <c r="W791" s="80">
        <f>IF($I791&gt;0,MAX(0,$G791*SIN(RADIANS('13_시나리오비교'!$B$12))*SIN(RADIANS('13_시나리오비교'!$C$12))+$H791*SIN(RADIANS('13_시나리오비교'!$B$12))*COS(RADIANS('13_시나리오비교'!$C$12))+$I791*COS(RADIANS('13_시나리오비교'!$B$12))),0)</f>
        <v/>
      </c>
      <c r="X791" s="80">
        <f>IF($I791&gt;0,MAX(0,$G791*SIN(RADIANS('13_시나리오비교'!$B$13))*SIN(RADIANS('13_시나리오비교'!$C$13))+$H791*SIN(RADIANS('13_시나리오비교'!$B$13))*COS(RADIANS('13_시나리오비교'!$C$13))+$I791*COS(RADIANS('13_시나리오비교'!$B$13))),0)</f>
        <v/>
      </c>
      <c r="Y791" s="80">
        <f>IF($I791&gt;0,MAX(0,$G791*SIN(RADIANS('13_시나리오비교'!$B$14))*SIN(RADIANS('13_시나리오비교'!$C$14))+$H791*SIN(RADIANS('13_시나리오비교'!$B$14))*COS(RADIANS('13_시나리오비교'!$C$14))+$I791*COS(RADIANS('13_시나리오비교'!$B$14))),0)</f>
        <v/>
      </c>
    </row>
    <row r="792" hidden="1" outlineLevel="1">
      <c r="A792" s="79" t="n">
        <v>9</v>
      </c>
      <c r="B792" s="79" t="n">
        <v>4</v>
      </c>
      <c r="C792" s="80">
        <f>(B792-0.5)*'14_지역·상수'!$H$6</f>
        <v/>
      </c>
      <c r="D792" s="79" t="n">
        <v>258</v>
      </c>
      <c r="E792" s="80">
        <f>INDEX($C$4:$C$15,MATCH(A792,$A$4:$A$15,0))</f>
        <v/>
      </c>
      <c r="F792" s="80">
        <f>15*(C792-12)</f>
        <v/>
      </c>
      <c r="G792" s="80">
        <f>-COS(RADIANS(E792))*SIN(RADIANS(F792))</f>
        <v/>
      </c>
      <c r="H792" s="80">
        <f>COS(RADIANS('11_발전량_모델'!$B$17))*SIN(RADIANS(E792))-SIN(RADIANS('11_발전량_모델'!$B$17))*COS(RADIANS(E792))*COS(RADIANS(F792))</f>
        <v/>
      </c>
      <c r="I792" s="80">
        <f>SIN(RADIANS('11_발전량_모델'!$B$17))*SIN(RADIANS(E792))+COS(RADIANS('11_발전량_모델'!$B$17))*COS(RADIANS(E792))*COS(RADIANS(F792))</f>
        <v/>
      </c>
      <c r="J792" s="80">
        <f>SIN(RADIANS('11_발전량_모델'!$B$7))*SIN(RADIANS('11_발전량_모델'!$B$8))</f>
        <v/>
      </c>
      <c r="K792" s="80">
        <f>SIN(RADIANS('11_발전량_모델'!$B$7))*COS(RADIANS('11_발전량_모델'!$B$8))</f>
        <v/>
      </c>
      <c r="L792" s="80">
        <f>COS(RADIANS('11_발전량_모델'!$B$7))</f>
        <v/>
      </c>
      <c r="M792" s="80">
        <f>G792*J792+H792*K792+I792*L792</f>
        <v/>
      </c>
      <c r="N792" s="80">
        <f>MAX(0,I792)</f>
        <v/>
      </c>
      <c r="O792" s="80">
        <f>IF(I792&gt;0,MAX(0,M792),0)</f>
        <v/>
      </c>
      <c r="P792" s="80">
        <f>IF($I792&gt;0,MAX(0,$G792*SIN(RADIANS('13_시나리오비교'!$B$5))*SIN(RADIANS('13_시나리오비교'!$C$5))+$H792*SIN(RADIANS('13_시나리오비교'!$B$5))*COS(RADIANS('13_시나리오비교'!$C$5))+$I792*COS(RADIANS('13_시나리오비교'!$B$5))),0)</f>
        <v/>
      </c>
      <c r="Q792" s="80">
        <f>IF($I792&gt;0,MAX(0,$G792*SIN(RADIANS('13_시나리오비교'!$B$6))*SIN(RADIANS('13_시나리오비교'!$C$6))+$H792*SIN(RADIANS('13_시나리오비교'!$B$6))*COS(RADIANS('13_시나리오비교'!$C$6))+$I792*COS(RADIANS('13_시나리오비교'!$B$6))),0)</f>
        <v/>
      </c>
      <c r="R792" s="80">
        <f>IF($I792&gt;0,MAX(0,$G792*SIN(RADIANS('13_시나리오비교'!$B$7))*SIN(RADIANS('13_시나리오비교'!$C$7))+$H792*SIN(RADIANS('13_시나리오비교'!$B$7))*COS(RADIANS('13_시나리오비교'!$C$7))+$I792*COS(RADIANS('13_시나리오비교'!$B$7))),0)</f>
        <v/>
      </c>
      <c r="S792" s="80">
        <f>IF($I792&gt;0,MAX(0,$G792*SIN(RADIANS('13_시나리오비교'!$B$8))*SIN(RADIANS('13_시나리오비교'!$C$8))+$H792*SIN(RADIANS('13_시나리오비교'!$B$8))*COS(RADIANS('13_시나리오비교'!$C$8))+$I792*COS(RADIANS('13_시나리오비교'!$B$8))),0)</f>
        <v/>
      </c>
      <c r="T792" s="80">
        <f>IF($I792&gt;0,MAX(0,$G792*SIN(RADIANS('13_시나리오비교'!$B$9))*SIN(RADIANS('13_시나리오비교'!$C$9))+$H792*SIN(RADIANS('13_시나리오비교'!$B$9))*COS(RADIANS('13_시나리오비교'!$C$9))+$I792*COS(RADIANS('13_시나리오비교'!$B$9))),0)</f>
        <v/>
      </c>
      <c r="U792" s="80">
        <f>IF($I792&gt;0,MAX(0,$G792*SIN(RADIANS('13_시나리오비교'!$B$10))*SIN(RADIANS('13_시나리오비교'!$C$10))+$H792*SIN(RADIANS('13_시나리오비교'!$B$10))*COS(RADIANS('13_시나리오비교'!$C$10))+$I792*COS(RADIANS('13_시나리오비교'!$B$10))),0)</f>
        <v/>
      </c>
      <c r="V792" s="80">
        <f>IF($I792&gt;0,MAX(0,$G792*SIN(RADIANS('13_시나리오비교'!$B$11))*SIN(RADIANS('13_시나리오비교'!$C$11))+$H792*SIN(RADIANS('13_시나리오비교'!$B$11))*COS(RADIANS('13_시나리오비교'!$C$11))+$I792*COS(RADIANS('13_시나리오비교'!$B$11))),0)</f>
        <v/>
      </c>
      <c r="W792" s="80">
        <f>IF($I792&gt;0,MAX(0,$G792*SIN(RADIANS('13_시나리오비교'!$B$12))*SIN(RADIANS('13_시나리오비교'!$C$12))+$H792*SIN(RADIANS('13_시나리오비교'!$B$12))*COS(RADIANS('13_시나리오비교'!$C$12))+$I792*COS(RADIANS('13_시나리오비교'!$B$12))),0)</f>
        <v/>
      </c>
      <c r="X792" s="80">
        <f>IF($I792&gt;0,MAX(0,$G792*SIN(RADIANS('13_시나리오비교'!$B$13))*SIN(RADIANS('13_시나리오비교'!$C$13))+$H792*SIN(RADIANS('13_시나리오비교'!$B$13))*COS(RADIANS('13_시나리오비교'!$C$13))+$I792*COS(RADIANS('13_시나리오비교'!$B$13))),0)</f>
        <v/>
      </c>
      <c r="Y792" s="80">
        <f>IF($I792&gt;0,MAX(0,$G792*SIN(RADIANS('13_시나리오비교'!$B$14))*SIN(RADIANS('13_시나리오비교'!$C$14))+$H792*SIN(RADIANS('13_시나리오비교'!$B$14))*COS(RADIANS('13_시나리오비교'!$C$14))+$I792*COS(RADIANS('13_시나리오비교'!$B$14))),0)</f>
        <v/>
      </c>
    </row>
    <row r="793" hidden="1" outlineLevel="1">
      <c r="A793" s="79" t="n">
        <v>9</v>
      </c>
      <c r="B793" s="79" t="n">
        <v>5</v>
      </c>
      <c r="C793" s="80">
        <f>(B793-0.5)*'14_지역·상수'!$H$6</f>
        <v/>
      </c>
      <c r="D793" s="79" t="n">
        <v>258</v>
      </c>
      <c r="E793" s="80">
        <f>INDEX($C$4:$C$15,MATCH(A793,$A$4:$A$15,0))</f>
        <v/>
      </c>
      <c r="F793" s="80">
        <f>15*(C793-12)</f>
        <v/>
      </c>
      <c r="G793" s="80">
        <f>-COS(RADIANS(E793))*SIN(RADIANS(F793))</f>
        <v/>
      </c>
      <c r="H793" s="80">
        <f>COS(RADIANS('11_발전량_모델'!$B$17))*SIN(RADIANS(E793))-SIN(RADIANS('11_발전량_모델'!$B$17))*COS(RADIANS(E793))*COS(RADIANS(F793))</f>
        <v/>
      </c>
      <c r="I793" s="80">
        <f>SIN(RADIANS('11_발전량_모델'!$B$17))*SIN(RADIANS(E793))+COS(RADIANS('11_발전량_모델'!$B$17))*COS(RADIANS(E793))*COS(RADIANS(F793))</f>
        <v/>
      </c>
      <c r="J793" s="80">
        <f>SIN(RADIANS('11_발전량_모델'!$B$7))*SIN(RADIANS('11_발전량_모델'!$B$8))</f>
        <v/>
      </c>
      <c r="K793" s="80">
        <f>SIN(RADIANS('11_발전량_모델'!$B$7))*COS(RADIANS('11_발전량_모델'!$B$8))</f>
        <v/>
      </c>
      <c r="L793" s="80">
        <f>COS(RADIANS('11_발전량_모델'!$B$7))</f>
        <v/>
      </c>
      <c r="M793" s="80">
        <f>G793*J793+H793*K793+I793*L793</f>
        <v/>
      </c>
      <c r="N793" s="80">
        <f>MAX(0,I793)</f>
        <v/>
      </c>
      <c r="O793" s="80">
        <f>IF(I793&gt;0,MAX(0,M793),0)</f>
        <v/>
      </c>
      <c r="P793" s="80">
        <f>IF($I793&gt;0,MAX(0,$G793*SIN(RADIANS('13_시나리오비교'!$B$5))*SIN(RADIANS('13_시나리오비교'!$C$5))+$H793*SIN(RADIANS('13_시나리오비교'!$B$5))*COS(RADIANS('13_시나리오비교'!$C$5))+$I793*COS(RADIANS('13_시나리오비교'!$B$5))),0)</f>
        <v/>
      </c>
      <c r="Q793" s="80">
        <f>IF($I793&gt;0,MAX(0,$G793*SIN(RADIANS('13_시나리오비교'!$B$6))*SIN(RADIANS('13_시나리오비교'!$C$6))+$H793*SIN(RADIANS('13_시나리오비교'!$B$6))*COS(RADIANS('13_시나리오비교'!$C$6))+$I793*COS(RADIANS('13_시나리오비교'!$B$6))),0)</f>
        <v/>
      </c>
      <c r="R793" s="80">
        <f>IF($I793&gt;0,MAX(0,$G793*SIN(RADIANS('13_시나리오비교'!$B$7))*SIN(RADIANS('13_시나리오비교'!$C$7))+$H793*SIN(RADIANS('13_시나리오비교'!$B$7))*COS(RADIANS('13_시나리오비교'!$C$7))+$I793*COS(RADIANS('13_시나리오비교'!$B$7))),0)</f>
        <v/>
      </c>
      <c r="S793" s="80">
        <f>IF($I793&gt;0,MAX(0,$G793*SIN(RADIANS('13_시나리오비교'!$B$8))*SIN(RADIANS('13_시나리오비교'!$C$8))+$H793*SIN(RADIANS('13_시나리오비교'!$B$8))*COS(RADIANS('13_시나리오비교'!$C$8))+$I793*COS(RADIANS('13_시나리오비교'!$B$8))),0)</f>
        <v/>
      </c>
      <c r="T793" s="80">
        <f>IF($I793&gt;0,MAX(0,$G793*SIN(RADIANS('13_시나리오비교'!$B$9))*SIN(RADIANS('13_시나리오비교'!$C$9))+$H793*SIN(RADIANS('13_시나리오비교'!$B$9))*COS(RADIANS('13_시나리오비교'!$C$9))+$I793*COS(RADIANS('13_시나리오비교'!$B$9))),0)</f>
        <v/>
      </c>
      <c r="U793" s="80">
        <f>IF($I793&gt;0,MAX(0,$G793*SIN(RADIANS('13_시나리오비교'!$B$10))*SIN(RADIANS('13_시나리오비교'!$C$10))+$H793*SIN(RADIANS('13_시나리오비교'!$B$10))*COS(RADIANS('13_시나리오비교'!$C$10))+$I793*COS(RADIANS('13_시나리오비교'!$B$10))),0)</f>
        <v/>
      </c>
      <c r="V793" s="80">
        <f>IF($I793&gt;0,MAX(0,$G793*SIN(RADIANS('13_시나리오비교'!$B$11))*SIN(RADIANS('13_시나리오비교'!$C$11))+$H793*SIN(RADIANS('13_시나리오비교'!$B$11))*COS(RADIANS('13_시나리오비교'!$C$11))+$I793*COS(RADIANS('13_시나리오비교'!$B$11))),0)</f>
        <v/>
      </c>
      <c r="W793" s="80">
        <f>IF($I793&gt;0,MAX(0,$G793*SIN(RADIANS('13_시나리오비교'!$B$12))*SIN(RADIANS('13_시나리오비교'!$C$12))+$H793*SIN(RADIANS('13_시나리오비교'!$B$12))*COS(RADIANS('13_시나리오비교'!$C$12))+$I793*COS(RADIANS('13_시나리오비교'!$B$12))),0)</f>
        <v/>
      </c>
      <c r="X793" s="80">
        <f>IF($I793&gt;0,MAX(0,$G793*SIN(RADIANS('13_시나리오비교'!$B$13))*SIN(RADIANS('13_시나리오비교'!$C$13))+$H793*SIN(RADIANS('13_시나리오비교'!$B$13))*COS(RADIANS('13_시나리오비교'!$C$13))+$I793*COS(RADIANS('13_시나리오비교'!$B$13))),0)</f>
        <v/>
      </c>
      <c r="Y793" s="80">
        <f>IF($I793&gt;0,MAX(0,$G793*SIN(RADIANS('13_시나리오비교'!$B$14))*SIN(RADIANS('13_시나리오비교'!$C$14))+$H793*SIN(RADIANS('13_시나리오비교'!$B$14))*COS(RADIANS('13_시나리오비교'!$C$14))+$I793*COS(RADIANS('13_시나리오비교'!$B$14))),0)</f>
        <v/>
      </c>
    </row>
    <row r="794" hidden="1" outlineLevel="1">
      <c r="A794" s="79" t="n">
        <v>9</v>
      </c>
      <c r="B794" s="79" t="n">
        <v>6</v>
      </c>
      <c r="C794" s="80">
        <f>(B794-0.5)*'14_지역·상수'!$H$6</f>
        <v/>
      </c>
      <c r="D794" s="79" t="n">
        <v>258</v>
      </c>
      <c r="E794" s="80">
        <f>INDEX($C$4:$C$15,MATCH(A794,$A$4:$A$15,0))</f>
        <v/>
      </c>
      <c r="F794" s="80">
        <f>15*(C794-12)</f>
        <v/>
      </c>
      <c r="G794" s="80">
        <f>-COS(RADIANS(E794))*SIN(RADIANS(F794))</f>
        <v/>
      </c>
      <c r="H794" s="80">
        <f>COS(RADIANS('11_발전량_모델'!$B$17))*SIN(RADIANS(E794))-SIN(RADIANS('11_발전량_모델'!$B$17))*COS(RADIANS(E794))*COS(RADIANS(F794))</f>
        <v/>
      </c>
      <c r="I794" s="80">
        <f>SIN(RADIANS('11_발전량_모델'!$B$17))*SIN(RADIANS(E794))+COS(RADIANS('11_발전량_모델'!$B$17))*COS(RADIANS(E794))*COS(RADIANS(F794))</f>
        <v/>
      </c>
      <c r="J794" s="80">
        <f>SIN(RADIANS('11_발전량_모델'!$B$7))*SIN(RADIANS('11_발전량_모델'!$B$8))</f>
        <v/>
      </c>
      <c r="K794" s="80">
        <f>SIN(RADIANS('11_발전량_모델'!$B$7))*COS(RADIANS('11_발전량_모델'!$B$8))</f>
        <v/>
      </c>
      <c r="L794" s="80">
        <f>COS(RADIANS('11_발전량_모델'!$B$7))</f>
        <v/>
      </c>
      <c r="M794" s="80">
        <f>G794*J794+H794*K794+I794*L794</f>
        <v/>
      </c>
      <c r="N794" s="80">
        <f>MAX(0,I794)</f>
        <v/>
      </c>
      <c r="O794" s="80">
        <f>IF(I794&gt;0,MAX(0,M794),0)</f>
        <v/>
      </c>
      <c r="P794" s="80">
        <f>IF($I794&gt;0,MAX(0,$G794*SIN(RADIANS('13_시나리오비교'!$B$5))*SIN(RADIANS('13_시나리오비교'!$C$5))+$H794*SIN(RADIANS('13_시나리오비교'!$B$5))*COS(RADIANS('13_시나리오비교'!$C$5))+$I794*COS(RADIANS('13_시나리오비교'!$B$5))),0)</f>
        <v/>
      </c>
      <c r="Q794" s="80">
        <f>IF($I794&gt;0,MAX(0,$G794*SIN(RADIANS('13_시나리오비교'!$B$6))*SIN(RADIANS('13_시나리오비교'!$C$6))+$H794*SIN(RADIANS('13_시나리오비교'!$B$6))*COS(RADIANS('13_시나리오비교'!$C$6))+$I794*COS(RADIANS('13_시나리오비교'!$B$6))),0)</f>
        <v/>
      </c>
      <c r="R794" s="80">
        <f>IF($I794&gt;0,MAX(0,$G794*SIN(RADIANS('13_시나리오비교'!$B$7))*SIN(RADIANS('13_시나리오비교'!$C$7))+$H794*SIN(RADIANS('13_시나리오비교'!$B$7))*COS(RADIANS('13_시나리오비교'!$C$7))+$I794*COS(RADIANS('13_시나리오비교'!$B$7))),0)</f>
        <v/>
      </c>
      <c r="S794" s="80">
        <f>IF($I794&gt;0,MAX(0,$G794*SIN(RADIANS('13_시나리오비교'!$B$8))*SIN(RADIANS('13_시나리오비교'!$C$8))+$H794*SIN(RADIANS('13_시나리오비교'!$B$8))*COS(RADIANS('13_시나리오비교'!$C$8))+$I794*COS(RADIANS('13_시나리오비교'!$B$8))),0)</f>
        <v/>
      </c>
      <c r="T794" s="80">
        <f>IF($I794&gt;0,MAX(0,$G794*SIN(RADIANS('13_시나리오비교'!$B$9))*SIN(RADIANS('13_시나리오비교'!$C$9))+$H794*SIN(RADIANS('13_시나리오비교'!$B$9))*COS(RADIANS('13_시나리오비교'!$C$9))+$I794*COS(RADIANS('13_시나리오비교'!$B$9))),0)</f>
        <v/>
      </c>
      <c r="U794" s="80">
        <f>IF($I794&gt;0,MAX(0,$G794*SIN(RADIANS('13_시나리오비교'!$B$10))*SIN(RADIANS('13_시나리오비교'!$C$10))+$H794*SIN(RADIANS('13_시나리오비교'!$B$10))*COS(RADIANS('13_시나리오비교'!$C$10))+$I794*COS(RADIANS('13_시나리오비교'!$B$10))),0)</f>
        <v/>
      </c>
      <c r="V794" s="80">
        <f>IF($I794&gt;0,MAX(0,$G794*SIN(RADIANS('13_시나리오비교'!$B$11))*SIN(RADIANS('13_시나리오비교'!$C$11))+$H794*SIN(RADIANS('13_시나리오비교'!$B$11))*COS(RADIANS('13_시나리오비교'!$C$11))+$I794*COS(RADIANS('13_시나리오비교'!$B$11))),0)</f>
        <v/>
      </c>
      <c r="W794" s="80">
        <f>IF($I794&gt;0,MAX(0,$G794*SIN(RADIANS('13_시나리오비교'!$B$12))*SIN(RADIANS('13_시나리오비교'!$C$12))+$H794*SIN(RADIANS('13_시나리오비교'!$B$12))*COS(RADIANS('13_시나리오비교'!$C$12))+$I794*COS(RADIANS('13_시나리오비교'!$B$12))),0)</f>
        <v/>
      </c>
      <c r="X794" s="80">
        <f>IF($I794&gt;0,MAX(0,$G794*SIN(RADIANS('13_시나리오비교'!$B$13))*SIN(RADIANS('13_시나리오비교'!$C$13))+$H794*SIN(RADIANS('13_시나리오비교'!$B$13))*COS(RADIANS('13_시나리오비교'!$C$13))+$I794*COS(RADIANS('13_시나리오비교'!$B$13))),0)</f>
        <v/>
      </c>
      <c r="Y794" s="80">
        <f>IF($I794&gt;0,MAX(0,$G794*SIN(RADIANS('13_시나리오비교'!$B$14))*SIN(RADIANS('13_시나리오비교'!$C$14))+$H794*SIN(RADIANS('13_시나리오비교'!$B$14))*COS(RADIANS('13_시나리오비교'!$C$14))+$I794*COS(RADIANS('13_시나리오비교'!$B$14))),0)</f>
        <v/>
      </c>
    </row>
    <row r="795" hidden="1" outlineLevel="1">
      <c r="A795" s="79" t="n">
        <v>9</v>
      </c>
      <c r="B795" s="79" t="n">
        <v>7</v>
      </c>
      <c r="C795" s="80">
        <f>(B795-0.5)*'14_지역·상수'!$H$6</f>
        <v/>
      </c>
      <c r="D795" s="79" t="n">
        <v>258</v>
      </c>
      <c r="E795" s="80">
        <f>INDEX($C$4:$C$15,MATCH(A795,$A$4:$A$15,0))</f>
        <v/>
      </c>
      <c r="F795" s="80">
        <f>15*(C795-12)</f>
        <v/>
      </c>
      <c r="G795" s="80">
        <f>-COS(RADIANS(E795))*SIN(RADIANS(F795))</f>
        <v/>
      </c>
      <c r="H795" s="80">
        <f>COS(RADIANS('11_발전량_모델'!$B$17))*SIN(RADIANS(E795))-SIN(RADIANS('11_발전량_모델'!$B$17))*COS(RADIANS(E795))*COS(RADIANS(F795))</f>
        <v/>
      </c>
      <c r="I795" s="80">
        <f>SIN(RADIANS('11_발전량_모델'!$B$17))*SIN(RADIANS(E795))+COS(RADIANS('11_발전량_모델'!$B$17))*COS(RADIANS(E795))*COS(RADIANS(F795))</f>
        <v/>
      </c>
      <c r="J795" s="80">
        <f>SIN(RADIANS('11_발전량_모델'!$B$7))*SIN(RADIANS('11_발전량_모델'!$B$8))</f>
        <v/>
      </c>
      <c r="K795" s="80">
        <f>SIN(RADIANS('11_발전량_모델'!$B$7))*COS(RADIANS('11_발전량_모델'!$B$8))</f>
        <v/>
      </c>
      <c r="L795" s="80">
        <f>COS(RADIANS('11_발전량_모델'!$B$7))</f>
        <v/>
      </c>
      <c r="M795" s="80">
        <f>G795*J795+H795*K795+I795*L795</f>
        <v/>
      </c>
      <c r="N795" s="80">
        <f>MAX(0,I795)</f>
        <v/>
      </c>
      <c r="O795" s="80">
        <f>IF(I795&gt;0,MAX(0,M795),0)</f>
        <v/>
      </c>
      <c r="P795" s="80">
        <f>IF($I795&gt;0,MAX(0,$G795*SIN(RADIANS('13_시나리오비교'!$B$5))*SIN(RADIANS('13_시나리오비교'!$C$5))+$H795*SIN(RADIANS('13_시나리오비교'!$B$5))*COS(RADIANS('13_시나리오비교'!$C$5))+$I795*COS(RADIANS('13_시나리오비교'!$B$5))),0)</f>
        <v/>
      </c>
      <c r="Q795" s="80">
        <f>IF($I795&gt;0,MAX(0,$G795*SIN(RADIANS('13_시나리오비교'!$B$6))*SIN(RADIANS('13_시나리오비교'!$C$6))+$H795*SIN(RADIANS('13_시나리오비교'!$B$6))*COS(RADIANS('13_시나리오비교'!$C$6))+$I795*COS(RADIANS('13_시나리오비교'!$B$6))),0)</f>
        <v/>
      </c>
      <c r="R795" s="80">
        <f>IF($I795&gt;0,MAX(0,$G795*SIN(RADIANS('13_시나리오비교'!$B$7))*SIN(RADIANS('13_시나리오비교'!$C$7))+$H795*SIN(RADIANS('13_시나리오비교'!$B$7))*COS(RADIANS('13_시나리오비교'!$C$7))+$I795*COS(RADIANS('13_시나리오비교'!$B$7))),0)</f>
        <v/>
      </c>
      <c r="S795" s="80">
        <f>IF($I795&gt;0,MAX(0,$G795*SIN(RADIANS('13_시나리오비교'!$B$8))*SIN(RADIANS('13_시나리오비교'!$C$8))+$H795*SIN(RADIANS('13_시나리오비교'!$B$8))*COS(RADIANS('13_시나리오비교'!$C$8))+$I795*COS(RADIANS('13_시나리오비교'!$B$8))),0)</f>
        <v/>
      </c>
      <c r="T795" s="80">
        <f>IF($I795&gt;0,MAX(0,$G795*SIN(RADIANS('13_시나리오비교'!$B$9))*SIN(RADIANS('13_시나리오비교'!$C$9))+$H795*SIN(RADIANS('13_시나리오비교'!$B$9))*COS(RADIANS('13_시나리오비교'!$C$9))+$I795*COS(RADIANS('13_시나리오비교'!$B$9))),0)</f>
        <v/>
      </c>
      <c r="U795" s="80">
        <f>IF($I795&gt;0,MAX(0,$G795*SIN(RADIANS('13_시나리오비교'!$B$10))*SIN(RADIANS('13_시나리오비교'!$C$10))+$H795*SIN(RADIANS('13_시나리오비교'!$B$10))*COS(RADIANS('13_시나리오비교'!$C$10))+$I795*COS(RADIANS('13_시나리오비교'!$B$10))),0)</f>
        <v/>
      </c>
      <c r="V795" s="80">
        <f>IF($I795&gt;0,MAX(0,$G795*SIN(RADIANS('13_시나리오비교'!$B$11))*SIN(RADIANS('13_시나리오비교'!$C$11))+$H795*SIN(RADIANS('13_시나리오비교'!$B$11))*COS(RADIANS('13_시나리오비교'!$C$11))+$I795*COS(RADIANS('13_시나리오비교'!$B$11))),0)</f>
        <v/>
      </c>
      <c r="W795" s="80">
        <f>IF($I795&gt;0,MAX(0,$G795*SIN(RADIANS('13_시나리오비교'!$B$12))*SIN(RADIANS('13_시나리오비교'!$C$12))+$H795*SIN(RADIANS('13_시나리오비교'!$B$12))*COS(RADIANS('13_시나리오비교'!$C$12))+$I795*COS(RADIANS('13_시나리오비교'!$B$12))),0)</f>
        <v/>
      </c>
      <c r="X795" s="80">
        <f>IF($I795&gt;0,MAX(0,$G795*SIN(RADIANS('13_시나리오비교'!$B$13))*SIN(RADIANS('13_시나리오비교'!$C$13))+$H795*SIN(RADIANS('13_시나리오비교'!$B$13))*COS(RADIANS('13_시나리오비교'!$C$13))+$I795*COS(RADIANS('13_시나리오비교'!$B$13))),0)</f>
        <v/>
      </c>
      <c r="Y795" s="80">
        <f>IF($I795&gt;0,MAX(0,$G795*SIN(RADIANS('13_시나리오비교'!$B$14))*SIN(RADIANS('13_시나리오비교'!$C$14))+$H795*SIN(RADIANS('13_시나리오비교'!$B$14))*COS(RADIANS('13_시나리오비교'!$C$14))+$I795*COS(RADIANS('13_시나리오비교'!$B$14))),0)</f>
        <v/>
      </c>
    </row>
    <row r="796" hidden="1" outlineLevel="1">
      <c r="A796" s="79" t="n">
        <v>9</v>
      </c>
      <c r="B796" s="79" t="n">
        <v>8</v>
      </c>
      <c r="C796" s="80">
        <f>(B796-0.5)*'14_지역·상수'!$H$6</f>
        <v/>
      </c>
      <c r="D796" s="79" t="n">
        <v>258</v>
      </c>
      <c r="E796" s="80">
        <f>INDEX($C$4:$C$15,MATCH(A796,$A$4:$A$15,0))</f>
        <v/>
      </c>
      <c r="F796" s="80">
        <f>15*(C796-12)</f>
        <v/>
      </c>
      <c r="G796" s="80">
        <f>-COS(RADIANS(E796))*SIN(RADIANS(F796))</f>
        <v/>
      </c>
      <c r="H796" s="80">
        <f>COS(RADIANS('11_발전량_모델'!$B$17))*SIN(RADIANS(E796))-SIN(RADIANS('11_발전량_모델'!$B$17))*COS(RADIANS(E796))*COS(RADIANS(F796))</f>
        <v/>
      </c>
      <c r="I796" s="80">
        <f>SIN(RADIANS('11_발전량_모델'!$B$17))*SIN(RADIANS(E796))+COS(RADIANS('11_발전량_모델'!$B$17))*COS(RADIANS(E796))*COS(RADIANS(F796))</f>
        <v/>
      </c>
      <c r="J796" s="80">
        <f>SIN(RADIANS('11_발전량_모델'!$B$7))*SIN(RADIANS('11_발전량_모델'!$B$8))</f>
        <v/>
      </c>
      <c r="K796" s="80">
        <f>SIN(RADIANS('11_발전량_모델'!$B$7))*COS(RADIANS('11_발전량_모델'!$B$8))</f>
        <v/>
      </c>
      <c r="L796" s="80">
        <f>COS(RADIANS('11_발전량_모델'!$B$7))</f>
        <v/>
      </c>
      <c r="M796" s="80">
        <f>G796*J796+H796*K796+I796*L796</f>
        <v/>
      </c>
      <c r="N796" s="80">
        <f>MAX(0,I796)</f>
        <v/>
      </c>
      <c r="O796" s="80">
        <f>IF(I796&gt;0,MAX(0,M796),0)</f>
        <v/>
      </c>
      <c r="P796" s="80">
        <f>IF($I796&gt;0,MAX(0,$G796*SIN(RADIANS('13_시나리오비교'!$B$5))*SIN(RADIANS('13_시나리오비교'!$C$5))+$H796*SIN(RADIANS('13_시나리오비교'!$B$5))*COS(RADIANS('13_시나리오비교'!$C$5))+$I796*COS(RADIANS('13_시나리오비교'!$B$5))),0)</f>
        <v/>
      </c>
      <c r="Q796" s="80">
        <f>IF($I796&gt;0,MAX(0,$G796*SIN(RADIANS('13_시나리오비교'!$B$6))*SIN(RADIANS('13_시나리오비교'!$C$6))+$H796*SIN(RADIANS('13_시나리오비교'!$B$6))*COS(RADIANS('13_시나리오비교'!$C$6))+$I796*COS(RADIANS('13_시나리오비교'!$B$6))),0)</f>
        <v/>
      </c>
      <c r="R796" s="80">
        <f>IF($I796&gt;0,MAX(0,$G796*SIN(RADIANS('13_시나리오비교'!$B$7))*SIN(RADIANS('13_시나리오비교'!$C$7))+$H796*SIN(RADIANS('13_시나리오비교'!$B$7))*COS(RADIANS('13_시나리오비교'!$C$7))+$I796*COS(RADIANS('13_시나리오비교'!$B$7))),0)</f>
        <v/>
      </c>
      <c r="S796" s="80">
        <f>IF($I796&gt;0,MAX(0,$G796*SIN(RADIANS('13_시나리오비교'!$B$8))*SIN(RADIANS('13_시나리오비교'!$C$8))+$H796*SIN(RADIANS('13_시나리오비교'!$B$8))*COS(RADIANS('13_시나리오비교'!$C$8))+$I796*COS(RADIANS('13_시나리오비교'!$B$8))),0)</f>
        <v/>
      </c>
      <c r="T796" s="80">
        <f>IF($I796&gt;0,MAX(0,$G796*SIN(RADIANS('13_시나리오비교'!$B$9))*SIN(RADIANS('13_시나리오비교'!$C$9))+$H796*SIN(RADIANS('13_시나리오비교'!$B$9))*COS(RADIANS('13_시나리오비교'!$C$9))+$I796*COS(RADIANS('13_시나리오비교'!$B$9))),0)</f>
        <v/>
      </c>
      <c r="U796" s="80">
        <f>IF($I796&gt;0,MAX(0,$G796*SIN(RADIANS('13_시나리오비교'!$B$10))*SIN(RADIANS('13_시나리오비교'!$C$10))+$H796*SIN(RADIANS('13_시나리오비교'!$B$10))*COS(RADIANS('13_시나리오비교'!$C$10))+$I796*COS(RADIANS('13_시나리오비교'!$B$10))),0)</f>
        <v/>
      </c>
      <c r="V796" s="80">
        <f>IF($I796&gt;0,MAX(0,$G796*SIN(RADIANS('13_시나리오비교'!$B$11))*SIN(RADIANS('13_시나리오비교'!$C$11))+$H796*SIN(RADIANS('13_시나리오비교'!$B$11))*COS(RADIANS('13_시나리오비교'!$C$11))+$I796*COS(RADIANS('13_시나리오비교'!$B$11))),0)</f>
        <v/>
      </c>
      <c r="W796" s="80">
        <f>IF($I796&gt;0,MAX(0,$G796*SIN(RADIANS('13_시나리오비교'!$B$12))*SIN(RADIANS('13_시나리오비교'!$C$12))+$H796*SIN(RADIANS('13_시나리오비교'!$B$12))*COS(RADIANS('13_시나리오비교'!$C$12))+$I796*COS(RADIANS('13_시나리오비교'!$B$12))),0)</f>
        <v/>
      </c>
      <c r="X796" s="80">
        <f>IF($I796&gt;0,MAX(0,$G796*SIN(RADIANS('13_시나리오비교'!$B$13))*SIN(RADIANS('13_시나리오비교'!$C$13))+$H796*SIN(RADIANS('13_시나리오비교'!$B$13))*COS(RADIANS('13_시나리오비교'!$C$13))+$I796*COS(RADIANS('13_시나리오비교'!$B$13))),0)</f>
        <v/>
      </c>
      <c r="Y796" s="80">
        <f>IF($I796&gt;0,MAX(0,$G796*SIN(RADIANS('13_시나리오비교'!$B$14))*SIN(RADIANS('13_시나리오비교'!$C$14))+$H796*SIN(RADIANS('13_시나리오비교'!$B$14))*COS(RADIANS('13_시나리오비교'!$C$14))+$I796*COS(RADIANS('13_시나리오비교'!$B$14))),0)</f>
        <v/>
      </c>
    </row>
    <row r="797" hidden="1" outlineLevel="1">
      <c r="A797" s="79" t="n">
        <v>9</v>
      </c>
      <c r="B797" s="79" t="n">
        <v>9</v>
      </c>
      <c r="C797" s="80">
        <f>(B797-0.5)*'14_지역·상수'!$H$6</f>
        <v/>
      </c>
      <c r="D797" s="79" t="n">
        <v>258</v>
      </c>
      <c r="E797" s="80">
        <f>INDEX($C$4:$C$15,MATCH(A797,$A$4:$A$15,0))</f>
        <v/>
      </c>
      <c r="F797" s="80">
        <f>15*(C797-12)</f>
        <v/>
      </c>
      <c r="G797" s="80">
        <f>-COS(RADIANS(E797))*SIN(RADIANS(F797))</f>
        <v/>
      </c>
      <c r="H797" s="80">
        <f>COS(RADIANS('11_발전량_모델'!$B$17))*SIN(RADIANS(E797))-SIN(RADIANS('11_발전량_모델'!$B$17))*COS(RADIANS(E797))*COS(RADIANS(F797))</f>
        <v/>
      </c>
      <c r="I797" s="80">
        <f>SIN(RADIANS('11_발전량_모델'!$B$17))*SIN(RADIANS(E797))+COS(RADIANS('11_발전량_모델'!$B$17))*COS(RADIANS(E797))*COS(RADIANS(F797))</f>
        <v/>
      </c>
      <c r="J797" s="80">
        <f>SIN(RADIANS('11_발전량_모델'!$B$7))*SIN(RADIANS('11_발전량_모델'!$B$8))</f>
        <v/>
      </c>
      <c r="K797" s="80">
        <f>SIN(RADIANS('11_발전량_모델'!$B$7))*COS(RADIANS('11_발전량_모델'!$B$8))</f>
        <v/>
      </c>
      <c r="L797" s="80">
        <f>COS(RADIANS('11_발전량_모델'!$B$7))</f>
        <v/>
      </c>
      <c r="M797" s="80">
        <f>G797*J797+H797*K797+I797*L797</f>
        <v/>
      </c>
      <c r="N797" s="80">
        <f>MAX(0,I797)</f>
        <v/>
      </c>
      <c r="O797" s="80">
        <f>IF(I797&gt;0,MAX(0,M797),0)</f>
        <v/>
      </c>
      <c r="P797" s="80">
        <f>IF($I797&gt;0,MAX(0,$G797*SIN(RADIANS('13_시나리오비교'!$B$5))*SIN(RADIANS('13_시나리오비교'!$C$5))+$H797*SIN(RADIANS('13_시나리오비교'!$B$5))*COS(RADIANS('13_시나리오비교'!$C$5))+$I797*COS(RADIANS('13_시나리오비교'!$B$5))),0)</f>
        <v/>
      </c>
      <c r="Q797" s="80">
        <f>IF($I797&gt;0,MAX(0,$G797*SIN(RADIANS('13_시나리오비교'!$B$6))*SIN(RADIANS('13_시나리오비교'!$C$6))+$H797*SIN(RADIANS('13_시나리오비교'!$B$6))*COS(RADIANS('13_시나리오비교'!$C$6))+$I797*COS(RADIANS('13_시나리오비교'!$B$6))),0)</f>
        <v/>
      </c>
      <c r="R797" s="80">
        <f>IF($I797&gt;0,MAX(0,$G797*SIN(RADIANS('13_시나리오비교'!$B$7))*SIN(RADIANS('13_시나리오비교'!$C$7))+$H797*SIN(RADIANS('13_시나리오비교'!$B$7))*COS(RADIANS('13_시나리오비교'!$C$7))+$I797*COS(RADIANS('13_시나리오비교'!$B$7))),0)</f>
        <v/>
      </c>
      <c r="S797" s="80">
        <f>IF($I797&gt;0,MAX(0,$G797*SIN(RADIANS('13_시나리오비교'!$B$8))*SIN(RADIANS('13_시나리오비교'!$C$8))+$H797*SIN(RADIANS('13_시나리오비교'!$B$8))*COS(RADIANS('13_시나리오비교'!$C$8))+$I797*COS(RADIANS('13_시나리오비교'!$B$8))),0)</f>
        <v/>
      </c>
      <c r="T797" s="80">
        <f>IF($I797&gt;0,MAX(0,$G797*SIN(RADIANS('13_시나리오비교'!$B$9))*SIN(RADIANS('13_시나리오비교'!$C$9))+$H797*SIN(RADIANS('13_시나리오비교'!$B$9))*COS(RADIANS('13_시나리오비교'!$C$9))+$I797*COS(RADIANS('13_시나리오비교'!$B$9))),0)</f>
        <v/>
      </c>
      <c r="U797" s="80">
        <f>IF($I797&gt;0,MAX(0,$G797*SIN(RADIANS('13_시나리오비교'!$B$10))*SIN(RADIANS('13_시나리오비교'!$C$10))+$H797*SIN(RADIANS('13_시나리오비교'!$B$10))*COS(RADIANS('13_시나리오비교'!$C$10))+$I797*COS(RADIANS('13_시나리오비교'!$B$10))),0)</f>
        <v/>
      </c>
      <c r="V797" s="80">
        <f>IF($I797&gt;0,MAX(0,$G797*SIN(RADIANS('13_시나리오비교'!$B$11))*SIN(RADIANS('13_시나리오비교'!$C$11))+$H797*SIN(RADIANS('13_시나리오비교'!$B$11))*COS(RADIANS('13_시나리오비교'!$C$11))+$I797*COS(RADIANS('13_시나리오비교'!$B$11))),0)</f>
        <v/>
      </c>
      <c r="W797" s="80">
        <f>IF($I797&gt;0,MAX(0,$G797*SIN(RADIANS('13_시나리오비교'!$B$12))*SIN(RADIANS('13_시나리오비교'!$C$12))+$H797*SIN(RADIANS('13_시나리오비교'!$B$12))*COS(RADIANS('13_시나리오비교'!$C$12))+$I797*COS(RADIANS('13_시나리오비교'!$B$12))),0)</f>
        <v/>
      </c>
      <c r="X797" s="80">
        <f>IF($I797&gt;0,MAX(0,$G797*SIN(RADIANS('13_시나리오비교'!$B$13))*SIN(RADIANS('13_시나리오비교'!$C$13))+$H797*SIN(RADIANS('13_시나리오비교'!$B$13))*COS(RADIANS('13_시나리오비교'!$C$13))+$I797*COS(RADIANS('13_시나리오비교'!$B$13))),0)</f>
        <v/>
      </c>
      <c r="Y797" s="80">
        <f>IF($I797&gt;0,MAX(0,$G797*SIN(RADIANS('13_시나리오비교'!$B$14))*SIN(RADIANS('13_시나리오비교'!$C$14))+$H797*SIN(RADIANS('13_시나리오비교'!$B$14))*COS(RADIANS('13_시나리오비교'!$C$14))+$I797*COS(RADIANS('13_시나리오비교'!$B$14))),0)</f>
        <v/>
      </c>
    </row>
    <row r="798" hidden="1" outlineLevel="1">
      <c r="A798" s="79" t="n">
        <v>9</v>
      </c>
      <c r="B798" s="79" t="n">
        <v>10</v>
      </c>
      <c r="C798" s="80">
        <f>(B798-0.5)*'14_지역·상수'!$H$6</f>
        <v/>
      </c>
      <c r="D798" s="79" t="n">
        <v>258</v>
      </c>
      <c r="E798" s="80">
        <f>INDEX($C$4:$C$15,MATCH(A798,$A$4:$A$15,0))</f>
        <v/>
      </c>
      <c r="F798" s="80">
        <f>15*(C798-12)</f>
        <v/>
      </c>
      <c r="G798" s="80">
        <f>-COS(RADIANS(E798))*SIN(RADIANS(F798))</f>
        <v/>
      </c>
      <c r="H798" s="80">
        <f>COS(RADIANS('11_발전량_모델'!$B$17))*SIN(RADIANS(E798))-SIN(RADIANS('11_발전량_모델'!$B$17))*COS(RADIANS(E798))*COS(RADIANS(F798))</f>
        <v/>
      </c>
      <c r="I798" s="80">
        <f>SIN(RADIANS('11_발전량_모델'!$B$17))*SIN(RADIANS(E798))+COS(RADIANS('11_발전량_모델'!$B$17))*COS(RADIANS(E798))*COS(RADIANS(F798))</f>
        <v/>
      </c>
      <c r="J798" s="80">
        <f>SIN(RADIANS('11_발전량_모델'!$B$7))*SIN(RADIANS('11_발전량_모델'!$B$8))</f>
        <v/>
      </c>
      <c r="K798" s="80">
        <f>SIN(RADIANS('11_발전량_모델'!$B$7))*COS(RADIANS('11_발전량_모델'!$B$8))</f>
        <v/>
      </c>
      <c r="L798" s="80">
        <f>COS(RADIANS('11_발전량_모델'!$B$7))</f>
        <v/>
      </c>
      <c r="M798" s="80">
        <f>G798*J798+H798*K798+I798*L798</f>
        <v/>
      </c>
      <c r="N798" s="80">
        <f>MAX(0,I798)</f>
        <v/>
      </c>
      <c r="O798" s="80">
        <f>IF(I798&gt;0,MAX(0,M798),0)</f>
        <v/>
      </c>
      <c r="P798" s="80">
        <f>IF($I798&gt;0,MAX(0,$G798*SIN(RADIANS('13_시나리오비교'!$B$5))*SIN(RADIANS('13_시나리오비교'!$C$5))+$H798*SIN(RADIANS('13_시나리오비교'!$B$5))*COS(RADIANS('13_시나리오비교'!$C$5))+$I798*COS(RADIANS('13_시나리오비교'!$B$5))),0)</f>
        <v/>
      </c>
      <c r="Q798" s="80">
        <f>IF($I798&gt;0,MAX(0,$G798*SIN(RADIANS('13_시나리오비교'!$B$6))*SIN(RADIANS('13_시나리오비교'!$C$6))+$H798*SIN(RADIANS('13_시나리오비교'!$B$6))*COS(RADIANS('13_시나리오비교'!$C$6))+$I798*COS(RADIANS('13_시나리오비교'!$B$6))),0)</f>
        <v/>
      </c>
      <c r="R798" s="80">
        <f>IF($I798&gt;0,MAX(0,$G798*SIN(RADIANS('13_시나리오비교'!$B$7))*SIN(RADIANS('13_시나리오비교'!$C$7))+$H798*SIN(RADIANS('13_시나리오비교'!$B$7))*COS(RADIANS('13_시나리오비교'!$C$7))+$I798*COS(RADIANS('13_시나리오비교'!$B$7))),0)</f>
        <v/>
      </c>
      <c r="S798" s="80">
        <f>IF($I798&gt;0,MAX(0,$G798*SIN(RADIANS('13_시나리오비교'!$B$8))*SIN(RADIANS('13_시나리오비교'!$C$8))+$H798*SIN(RADIANS('13_시나리오비교'!$B$8))*COS(RADIANS('13_시나리오비교'!$C$8))+$I798*COS(RADIANS('13_시나리오비교'!$B$8))),0)</f>
        <v/>
      </c>
      <c r="T798" s="80">
        <f>IF($I798&gt;0,MAX(0,$G798*SIN(RADIANS('13_시나리오비교'!$B$9))*SIN(RADIANS('13_시나리오비교'!$C$9))+$H798*SIN(RADIANS('13_시나리오비교'!$B$9))*COS(RADIANS('13_시나리오비교'!$C$9))+$I798*COS(RADIANS('13_시나리오비교'!$B$9))),0)</f>
        <v/>
      </c>
      <c r="U798" s="80">
        <f>IF($I798&gt;0,MAX(0,$G798*SIN(RADIANS('13_시나리오비교'!$B$10))*SIN(RADIANS('13_시나리오비교'!$C$10))+$H798*SIN(RADIANS('13_시나리오비교'!$B$10))*COS(RADIANS('13_시나리오비교'!$C$10))+$I798*COS(RADIANS('13_시나리오비교'!$B$10))),0)</f>
        <v/>
      </c>
      <c r="V798" s="80">
        <f>IF($I798&gt;0,MAX(0,$G798*SIN(RADIANS('13_시나리오비교'!$B$11))*SIN(RADIANS('13_시나리오비교'!$C$11))+$H798*SIN(RADIANS('13_시나리오비교'!$B$11))*COS(RADIANS('13_시나리오비교'!$C$11))+$I798*COS(RADIANS('13_시나리오비교'!$B$11))),0)</f>
        <v/>
      </c>
      <c r="W798" s="80">
        <f>IF($I798&gt;0,MAX(0,$G798*SIN(RADIANS('13_시나리오비교'!$B$12))*SIN(RADIANS('13_시나리오비교'!$C$12))+$H798*SIN(RADIANS('13_시나리오비교'!$B$12))*COS(RADIANS('13_시나리오비교'!$C$12))+$I798*COS(RADIANS('13_시나리오비교'!$B$12))),0)</f>
        <v/>
      </c>
      <c r="X798" s="80">
        <f>IF($I798&gt;0,MAX(0,$G798*SIN(RADIANS('13_시나리오비교'!$B$13))*SIN(RADIANS('13_시나리오비교'!$C$13))+$H798*SIN(RADIANS('13_시나리오비교'!$B$13))*COS(RADIANS('13_시나리오비교'!$C$13))+$I798*COS(RADIANS('13_시나리오비교'!$B$13))),0)</f>
        <v/>
      </c>
      <c r="Y798" s="80">
        <f>IF($I798&gt;0,MAX(0,$G798*SIN(RADIANS('13_시나리오비교'!$B$14))*SIN(RADIANS('13_시나리오비교'!$C$14))+$H798*SIN(RADIANS('13_시나리오비교'!$B$14))*COS(RADIANS('13_시나리오비교'!$C$14))+$I798*COS(RADIANS('13_시나리오비교'!$B$14))),0)</f>
        <v/>
      </c>
    </row>
    <row r="799" hidden="1" outlineLevel="1">
      <c r="A799" s="79" t="n">
        <v>9</v>
      </c>
      <c r="B799" s="79" t="n">
        <v>11</v>
      </c>
      <c r="C799" s="80">
        <f>(B799-0.5)*'14_지역·상수'!$H$6</f>
        <v/>
      </c>
      <c r="D799" s="79" t="n">
        <v>258</v>
      </c>
      <c r="E799" s="80">
        <f>INDEX($C$4:$C$15,MATCH(A799,$A$4:$A$15,0))</f>
        <v/>
      </c>
      <c r="F799" s="80">
        <f>15*(C799-12)</f>
        <v/>
      </c>
      <c r="G799" s="80">
        <f>-COS(RADIANS(E799))*SIN(RADIANS(F799))</f>
        <v/>
      </c>
      <c r="H799" s="80">
        <f>COS(RADIANS('11_발전량_모델'!$B$17))*SIN(RADIANS(E799))-SIN(RADIANS('11_발전량_모델'!$B$17))*COS(RADIANS(E799))*COS(RADIANS(F799))</f>
        <v/>
      </c>
      <c r="I799" s="80">
        <f>SIN(RADIANS('11_발전량_모델'!$B$17))*SIN(RADIANS(E799))+COS(RADIANS('11_발전량_모델'!$B$17))*COS(RADIANS(E799))*COS(RADIANS(F799))</f>
        <v/>
      </c>
      <c r="J799" s="80">
        <f>SIN(RADIANS('11_발전량_모델'!$B$7))*SIN(RADIANS('11_발전량_모델'!$B$8))</f>
        <v/>
      </c>
      <c r="K799" s="80">
        <f>SIN(RADIANS('11_발전량_모델'!$B$7))*COS(RADIANS('11_발전량_모델'!$B$8))</f>
        <v/>
      </c>
      <c r="L799" s="80">
        <f>COS(RADIANS('11_발전량_모델'!$B$7))</f>
        <v/>
      </c>
      <c r="M799" s="80">
        <f>G799*J799+H799*K799+I799*L799</f>
        <v/>
      </c>
      <c r="N799" s="80">
        <f>MAX(0,I799)</f>
        <v/>
      </c>
      <c r="O799" s="80">
        <f>IF(I799&gt;0,MAX(0,M799),0)</f>
        <v/>
      </c>
      <c r="P799" s="80">
        <f>IF($I799&gt;0,MAX(0,$G799*SIN(RADIANS('13_시나리오비교'!$B$5))*SIN(RADIANS('13_시나리오비교'!$C$5))+$H799*SIN(RADIANS('13_시나리오비교'!$B$5))*COS(RADIANS('13_시나리오비교'!$C$5))+$I799*COS(RADIANS('13_시나리오비교'!$B$5))),0)</f>
        <v/>
      </c>
      <c r="Q799" s="80">
        <f>IF($I799&gt;0,MAX(0,$G799*SIN(RADIANS('13_시나리오비교'!$B$6))*SIN(RADIANS('13_시나리오비교'!$C$6))+$H799*SIN(RADIANS('13_시나리오비교'!$B$6))*COS(RADIANS('13_시나리오비교'!$C$6))+$I799*COS(RADIANS('13_시나리오비교'!$B$6))),0)</f>
        <v/>
      </c>
      <c r="R799" s="80">
        <f>IF($I799&gt;0,MAX(0,$G799*SIN(RADIANS('13_시나리오비교'!$B$7))*SIN(RADIANS('13_시나리오비교'!$C$7))+$H799*SIN(RADIANS('13_시나리오비교'!$B$7))*COS(RADIANS('13_시나리오비교'!$C$7))+$I799*COS(RADIANS('13_시나리오비교'!$B$7))),0)</f>
        <v/>
      </c>
      <c r="S799" s="80">
        <f>IF($I799&gt;0,MAX(0,$G799*SIN(RADIANS('13_시나리오비교'!$B$8))*SIN(RADIANS('13_시나리오비교'!$C$8))+$H799*SIN(RADIANS('13_시나리오비교'!$B$8))*COS(RADIANS('13_시나리오비교'!$C$8))+$I799*COS(RADIANS('13_시나리오비교'!$B$8))),0)</f>
        <v/>
      </c>
      <c r="T799" s="80">
        <f>IF($I799&gt;0,MAX(0,$G799*SIN(RADIANS('13_시나리오비교'!$B$9))*SIN(RADIANS('13_시나리오비교'!$C$9))+$H799*SIN(RADIANS('13_시나리오비교'!$B$9))*COS(RADIANS('13_시나리오비교'!$C$9))+$I799*COS(RADIANS('13_시나리오비교'!$B$9))),0)</f>
        <v/>
      </c>
      <c r="U799" s="80">
        <f>IF($I799&gt;0,MAX(0,$G799*SIN(RADIANS('13_시나리오비교'!$B$10))*SIN(RADIANS('13_시나리오비교'!$C$10))+$H799*SIN(RADIANS('13_시나리오비교'!$B$10))*COS(RADIANS('13_시나리오비교'!$C$10))+$I799*COS(RADIANS('13_시나리오비교'!$B$10))),0)</f>
        <v/>
      </c>
      <c r="V799" s="80">
        <f>IF($I799&gt;0,MAX(0,$G799*SIN(RADIANS('13_시나리오비교'!$B$11))*SIN(RADIANS('13_시나리오비교'!$C$11))+$H799*SIN(RADIANS('13_시나리오비교'!$B$11))*COS(RADIANS('13_시나리오비교'!$C$11))+$I799*COS(RADIANS('13_시나리오비교'!$B$11))),0)</f>
        <v/>
      </c>
      <c r="W799" s="80">
        <f>IF($I799&gt;0,MAX(0,$G799*SIN(RADIANS('13_시나리오비교'!$B$12))*SIN(RADIANS('13_시나리오비교'!$C$12))+$H799*SIN(RADIANS('13_시나리오비교'!$B$12))*COS(RADIANS('13_시나리오비교'!$C$12))+$I799*COS(RADIANS('13_시나리오비교'!$B$12))),0)</f>
        <v/>
      </c>
      <c r="X799" s="80">
        <f>IF($I799&gt;0,MAX(0,$G799*SIN(RADIANS('13_시나리오비교'!$B$13))*SIN(RADIANS('13_시나리오비교'!$C$13))+$H799*SIN(RADIANS('13_시나리오비교'!$B$13))*COS(RADIANS('13_시나리오비교'!$C$13))+$I799*COS(RADIANS('13_시나리오비교'!$B$13))),0)</f>
        <v/>
      </c>
      <c r="Y799" s="80">
        <f>IF($I799&gt;0,MAX(0,$G799*SIN(RADIANS('13_시나리오비교'!$B$14))*SIN(RADIANS('13_시나리오비교'!$C$14))+$H799*SIN(RADIANS('13_시나리오비교'!$B$14))*COS(RADIANS('13_시나리오비교'!$C$14))+$I799*COS(RADIANS('13_시나리오비교'!$B$14))),0)</f>
        <v/>
      </c>
    </row>
    <row r="800" hidden="1" outlineLevel="1">
      <c r="A800" s="79" t="n">
        <v>9</v>
      </c>
      <c r="B800" s="79" t="n">
        <v>12</v>
      </c>
      <c r="C800" s="80">
        <f>(B800-0.5)*'14_지역·상수'!$H$6</f>
        <v/>
      </c>
      <c r="D800" s="79" t="n">
        <v>258</v>
      </c>
      <c r="E800" s="80">
        <f>INDEX($C$4:$C$15,MATCH(A800,$A$4:$A$15,0))</f>
        <v/>
      </c>
      <c r="F800" s="80">
        <f>15*(C800-12)</f>
        <v/>
      </c>
      <c r="G800" s="80">
        <f>-COS(RADIANS(E800))*SIN(RADIANS(F800))</f>
        <v/>
      </c>
      <c r="H800" s="80">
        <f>COS(RADIANS('11_발전량_모델'!$B$17))*SIN(RADIANS(E800))-SIN(RADIANS('11_발전량_모델'!$B$17))*COS(RADIANS(E800))*COS(RADIANS(F800))</f>
        <v/>
      </c>
      <c r="I800" s="80">
        <f>SIN(RADIANS('11_발전량_모델'!$B$17))*SIN(RADIANS(E800))+COS(RADIANS('11_발전량_모델'!$B$17))*COS(RADIANS(E800))*COS(RADIANS(F800))</f>
        <v/>
      </c>
      <c r="J800" s="80">
        <f>SIN(RADIANS('11_발전량_모델'!$B$7))*SIN(RADIANS('11_발전량_모델'!$B$8))</f>
        <v/>
      </c>
      <c r="K800" s="80">
        <f>SIN(RADIANS('11_발전량_모델'!$B$7))*COS(RADIANS('11_발전량_모델'!$B$8))</f>
        <v/>
      </c>
      <c r="L800" s="80">
        <f>COS(RADIANS('11_발전량_모델'!$B$7))</f>
        <v/>
      </c>
      <c r="M800" s="80">
        <f>G800*J800+H800*K800+I800*L800</f>
        <v/>
      </c>
      <c r="N800" s="80">
        <f>MAX(0,I800)</f>
        <v/>
      </c>
      <c r="O800" s="80">
        <f>IF(I800&gt;0,MAX(0,M800),0)</f>
        <v/>
      </c>
      <c r="P800" s="80">
        <f>IF($I800&gt;0,MAX(0,$G800*SIN(RADIANS('13_시나리오비교'!$B$5))*SIN(RADIANS('13_시나리오비교'!$C$5))+$H800*SIN(RADIANS('13_시나리오비교'!$B$5))*COS(RADIANS('13_시나리오비교'!$C$5))+$I800*COS(RADIANS('13_시나리오비교'!$B$5))),0)</f>
        <v/>
      </c>
      <c r="Q800" s="80">
        <f>IF($I800&gt;0,MAX(0,$G800*SIN(RADIANS('13_시나리오비교'!$B$6))*SIN(RADIANS('13_시나리오비교'!$C$6))+$H800*SIN(RADIANS('13_시나리오비교'!$B$6))*COS(RADIANS('13_시나리오비교'!$C$6))+$I800*COS(RADIANS('13_시나리오비교'!$B$6))),0)</f>
        <v/>
      </c>
      <c r="R800" s="80">
        <f>IF($I800&gt;0,MAX(0,$G800*SIN(RADIANS('13_시나리오비교'!$B$7))*SIN(RADIANS('13_시나리오비교'!$C$7))+$H800*SIN(RADIANS('13_시나리오비교'!$B$7))*COS(RADIANS('13_시나리오비교'!$C$7))+$I800*COS(RADIANS('13_시나리오비교'!$B$7))),0)</f>
        <v/>
      </c>
      <c r="S800" s="80">
        <f>IF($I800&gt;0,MAX(0,$G800*SIN(RADIANS('13_시나리오비교'!$B$8))*SIN(RADIANS('13_시나리오비교'!$C$8))+$H800*SIN(RADIANS('13_시나리오비교'!$B$8))*COS(RADIANS('13_시나리오비교'!$C$8))+$I800*COS(RADIANS('13_시나리오비교'!$B$8))),0)</f>
        <v/>
      </c>
      <c r="T800" s="80">
        <f>IF($I800&gt;0,MAX(0,$G800*SIN(RADIANS('13_시나리오비교'!$B$9))*SIN(RADIANS('13_시나리오비교'!$C$9))+$H800*SIN(RADIANS('13_시나리오비교'!$B$9))*COS(RADIANS('13_시나리오비교'!$C$9))+$I800*COS(RADIANS('13_시나리오비교'!$B$9))),0)</f>
        <v/>
      </c>
      <c r="U800" s="80">
        <f>IF($I800&gt;0,MAX(0,$G800*SIN(RADIANS('13_시나리오비교'!$B$10))*SIN(RADIANS('13_시나리오비교'!$C$10))+$H800*SIN(RADIANS('13_시나리오비교'!$B$10))*COS(RADIANS('13_시나리오비교'!$C$10))+$I800*COS(RADIANS('13_시나리오비교'!$B$10))),0)</f>
        <v/>
      </c>
      <c r="V800" s="80">
        <f>IF($I800&gt;0,MAX(0,$G800*SIN(RADIANS('13_시나리오비교'!$B$11))*SIN(RADIANS('13_시나리오비교'!$C$11))+$H800*SIN(RADIANS('13_시나리오비교'!$B$11))*COS(RADIANS('13_시나리오비교'!$C$11))+$I800*COS(RADIANS('13_시나리오비교'!$B$11))),0)</f>
        <v/>
      </c>
      <c r="W800" s="80">
        <f>IF($I800&gt;0,MAX(0,$G800*SIN(RADIANS('13_시나리오비교'!$B$12))*SIN(RADIANS('13_시나리오비교'!$C$12))+$H800*SIN(RADIANS('13_시나리오비교'!$B$12))*COS(RADIANS('13_시나리오비교'!$C$12))+$I800*COS(RADIANS('13_시나리오비교'!$B$12))),0)</f>
        <v/>
      </c>
      <c r="X800" s="80">
        <f>IF($I800&gt;0,MAX(0,$G800*SIN(RADIANS('13_시나리오비교'!$B$13))*SIN(RADIANS('13_시나리오비교'!$C$13))+$H800*SIN(RADIANS('13_시나리오비교'!$B$13))*COS(RADIANS('13_시나리오비교'!$C$13))+$I800*COS(RADIANS('13_시나리오비교'!$B$13))),0)</f>
        <v/>
      </c>
      <c r="Y800" s="80">
        <f>IF($I800&gt;0,MAX(0,$G800*SIN(RADIANS('13_시나리오비교'!$B$14))*SIN(RADIANS('13_시나리오비교'!$C$14))+$H800*SIN(RADIANS('13_시나리오비교'!$B$14))*COS(RADIANS('13_시나리오비교'!$C$14))+$I800*COS(RADIANS('13_시나리오비교'!$B$14))),0)</f>
        <v/>
      </c>
    </row>
    <row r="801" hidden="1" outlineLevel="1">
      <c r="A801" s="79" t="n">
        <v>9</v>
      </c>
      <c r="B801" s="79" t="n">
        <v>13</v>
      </c>
      <c r="C801" s="80">
        <f>(B801-0.5)*'14_지역·상수'!$H$6</f>
        <v/>
      </c>
      <c r="D801" s="79" t="n">
        <v>258</v>
      </c>
      <c r="E801" s="80">
        <f>INDEX($C$4:$C$15,MATCH(A801,$A$4:$A$15,0))</f>
        <v/>
      </c>
      <c r="F801" s="80">
        <f>15*(C801-12)</f>
        <v/>
      </c>
      <c r="G801" s="80">
        <f>-COS(RADIANS(E801))*SIN(RADIANS(F801))</f>
        <v/>
      </c>
      <c r="H801" s="80">
        <f>COS(RADIANS('11_발전량_모델'!$B$17))*SIN(RADIANS(E801))-SIN(RADIANS('11_발전량_모델'!$B$17))*COS(RADIANS(E801))*COS(RADIANS(F801))</f>
        <v/>
      </c>
      <c r="I801" s="80">
        <f>SIN(RADIANS('11_발전량_모델'!$B$17))*SIN(RADIANS(E801))+COS(RADIANS('11_발전량_모델'!$B$17))*COS(RADIANS(E801))*COS(RADIANS(F801))</f>
        <v/>
      </c>
      <c r="J801" s="80">
        <f>SIN(RADIANS('11_발전량_모델'!$B$7))*SIN(RADIANS('11_발전량_모델'!$B$8))</f>
        <v/>
      </c>
      <c r="K801" s="80">
        <f>SIN(RADIANS('11_발전량_모델'!$B$7))*COS(RADIANS('11_발전량_모델'!$B$8))</f>
        <v/>
      </c>
      <c r="L801" s="80">
        <f>COS(RADIANS('11_발전량_모델'!$B$7))</f>
        <v/>
      </c>
      <c r="M801" s="80">
        <f>G801*J801+H801*K801+I801*L801</f>
        <v/>
      </c>
      <c r="N801" s="80">
        <f>MAX(0,I801)</f>
        <v/>
      </c>
      <c r="O801" s="80">
        <f>IF(I801&gt;0,MAX(0,M801),0)</f>
        <v/>
      </c>
      <c r="P801" s="80">
        <f>IF($I801&gt;0,MAX(0,$G801*SIN(RADIANS('13_시나리오비교'!$B$5))*SIN(RADIANS('13_시나리오비교'!$C$5))+$H801*SIN(RADIANS('13_시나리오비교'!$B$5))*COS(RADIANS('13_시나리오비교'!$C$5))+$I801*COS(RADIANS('13_시나리오비교'!$B$5))),0)</f>
        <v/>
      </c>
      <c r="Q801" s="80">
        <f>IF($I801&gt;0,MAX(0,$G801*SIN(RADIANS('13_시나리오비교'!$B$6))*SIN(RADIANS('13_시나리오비교'!$C$6))+$H801*SIN(RADIANS('13_시나리오비교'!$B$6))*COS(RADIANS('13_시나리오비교'!$C$6))+$I801*COS(RADIANS('13_시나리오비교'!$B$6))),0)</f>
        <v/>
      </c>
      <c r="R801" s="80">
        <f>IF($I801&gt;0,MAX(0,$G801*SIN(RADIANS('13_시나리오비교'!$B$7))*SIN(RADIANS('13_시나리오비교'!$C$7))+$H801*SIN(RADIANS('13_시나리오비교'!$B$7))*COS(RADIANS('13_시나리오비교'!$C$7))+$I801*COS(RADIANS('13_시나리오비교'!$B$7))),0)</f>
        <v/>
      </c>
      <c r="S801" s="80">
        <f>IF($I801&gt;0,MAX(0,$G801*SIN(RADIANS('13_시나리오비교'!$B$8))*SIN(RADIANS('13_시나리오비교'!$C$8))+$H801*SIN(RADIANS('13_시나리오비교'!$B$8))*COS(RADIANS('13_시나리오비교'!$C$8))+$I801*COS(RADIANS('13_시나리오비교'!$B$8))),0)</f>
        <v/>
      </c>
      <c r="T801" s="80">
        <f>IF($I801&gt;0,MAX(0,$G801*SIN(RADIANS('13_시나리오비교'!$B$9))*SIN(RADIANS('13_시나리오비교'!$C$9))+$H801*SIN(RADIANS('13_시나리오비교'!$B$9))*COS(RADIANS('13_시나리오비교'!$C$9))+$I801*COS(RADIANS('13_시나리오비교'!$B$9))),0)</f>
        <v/>
      </c>
      <c r="U801" s="80">
        <f>IF($I801&gt;0,MAX(0,$G801*SIN(RADIANS('13_시나리오비교'!$B$10))*SIN(RADIANS('13_시나리오비교'!$C$10))+$H801*SIN(RADIANS('13_시나리오비교'!$B$10))*COS(RADIANS('13_시나리오비교'!$C$10))+$I801*COS(RADIANS('13_시나리오비교'!$B$10))),0)</f>
        <v/>
      </c>
      <c r="V801" s="80">
        <f>IF($I801&gt;0,MAX(0,$G801*SIN(RADIANS('13_시나리오비교'!$B$11))*SIN(RADIANS('13_시나리오비교'!$C$11))+$H801*SIN(RADIANS('13_시나리오비교'!$B$11))*COS(RADIANS('13_시나리오비교'!$C$11))+$I801*COS(RADIANS('13_시나리오비교'!$B$11))),0)</f>
        <v/>
      </c>
      <c r="W801" s="80">
        <f>IF($I801&gt;0,MAX(0,$G801*SIN(RADIANS('13_시나리오비교'!$B$12))*SIN(RADIANS('13_시나리오비교'!$C$12))+$H801*SIN(RADIANS('13_시나리오비교'!$B$12))*COS(RADIANS('13_시나리오비교'!$C$12))+$I801*COS(RADIANS('13_시나리오비교'!$B$12))),0)</f>
        <v/>
      </c>
      <c r="X801" s="80">
        <f>IF($I801&gt;0,MAX(0,$G801*SIN(RADIANS('13_시나리오비교'!$B$13))*SIN(RADIANS('13_시나리오비교'!$C$13))+$H801*SIN(RADIANS('13_시나리오비교'!$B$13))*COS(RADIANS('13_시나리오비교'!$C$13))+$I801*COS(RADIANS('13_시나리오비교'!$B$13))),0)</f>
        <v/>
      </c>
      <c r="Y801" s="80">
        <f>IF($I801&gt;0,MAX(0,$G801*SIN(RADIANS('13_시나리오비교'!$B$14))*SIN(RADIANS('13_시나리오비교'!$C$14))+$H801*SIN(RADIANS('13_시나리오비교'!$B$14))*COS(RADIANS('13_시나리오비교'!$C$14))+$I801*COS(RADIANS('13_시나리오비교'!$B$14))),0)</f>
        <v/>
      </c>
    </row>
    <row r="802" hidden="1" outlineLevel="1">
      <c r="A802" s="79" t="n">
        <v>9</v>
      </c>
      <c r="B802" s="79" t="n">
        <v>14</v>
      </c>
      <c r="C802" s="80">
        <f>(B802-0.5)*'14_지역·상수'!$H$6</f>
        <v/>
      </c>
      <c r="D802" s="79" t="n">
        <v>258</v>
      </c>
      <c r="E802" s="80">
        <f>INDEX($C$4:$C$15,MATCH(A802,$A$4:$A$15,0))</f>
        <v/>
      </c>
      <c r="F802" s="80">
        <f>15*(C802-12)</f>
        <v/>
      </c>
      <c r="G802" s="80">
        <f>-COS(RADIANS(E802))*SIN(RADIANS(F802))</f>
        <v/>
      </c>
      <c r="H802" s="80">
        <f>COS(RADIANS('11_발전량_모델'!$B$17))*SIN(RADIANS(E802))-SIN(RADIANS('11_발전량_모델'!$B$17))*COS(RADIANS(E802))*COS(RADIANS(F802))</f>
        <v/>
      </c>
      <c r="I802" s="80">
        <f>SIN(RADIANS('11_발전량_모델'!$B$17))*SIN(RADIANS(E802))+COS(RADIANS('11_발전량_모델'!$B$17))*COS(RADIANS(E802))*COS(RADIANS(F802))</f>
        <v/>
      </c>
      <c r="J802" s="80">
        <f>SIN(RADIANS('11_발전량_모델'!$B$7))*SIN(RADIANS('11_발전량_모델'!$B$8))</f>
        <v/>
      </c>
      <c r="K802" s="80">
        <f>SIN(RADIANS('11_발전량_모델'!$B$7))*COS(RADIANS('11_발전량_모델'!$B$8))</f>
        <v/>
      </c>
      <c r="L802" s="80">
        <f>COS(RADIANS('11_발전량_모델'!$B$7))</f>
        <v/>
      </c>
      <c r="M802" s="80">
        <f>G802*J802+H802*K802+I802*L802</f>
        <v/>
      </c>
      <c r="N802" s="80">
        <f>MAX(0,I802)</f>
        <v/>
      </c>
      <c r="O802" s="80">
        <f>IF(I802&gt;0,MAX(0,M802),0)</f>
        <v/>
      </c>
      <c r="P802" s="80">
        <f>IF($I802&gt;0,MAX(0,$G802*SIN(RADIANS('13_시나리오비교'!$B$5))*SIN(RADIANS('13_시나리오비교'!$C$5))+$H802*SIN(RADIANS('13_시나리오비교'!$B$5))*COS(RADIANS('13_시나리오비교'!$C$5))+$I802*COS(RADIANS('13_시나리오비교'!$B$5))),0)</f>
        <v/>
      </c>
      <c r="Q802" s="80">
        <f>IF($I802&gt;0,MAX(0,$G802*SIN(RADIANS('13_시나리오비교'!$B$6))*SIN(RADIANS('13_시나리오비교'!$C$6))+$H802*SIN(RADIANS('13_시나리오비교'!$B$6))*COS(RADIANS('13_시나리오비교'!$C$6))+$I802*COS(RADIANS('13_시나리오비교'!$B$6))),0)</f>
        <v/>
      </c>
      <c r="R802" s="80">
        <f>IF($I802&gt;0,MAX(0,$G802*SIN(RADIANS('13_시나리오비교'!$B$7))*SIN(RADIANS('13_시나리오비교'!$C$7))+$H802*SIN(RADIANS('13_시나리오비교'!$B$7))*COS(RADIANS('13_시나리오비교'!$C$7))+$I802*COS(RADIANS('13_시나리오비교'!$B$7))),0)</f>
        <v/>
      </c>
      <c r="S802" s="80">
        <f>IF($I802&gt;0,MAX(0,$G802*SIN(RADIANS('13_시나리오비교'!$B$8))*SIN(RADIANS('13_시나리오비교'!$C$8))+$H802*SIN(RADIANS('13_시나리오비교'!$B$8))*COS(RADIANS('13_시나리오비교'!$C$8))+$I802*COS(RADIANS('13_시나리오비교'!$B$8))),0)</f>
        <v/>
      </c>
      <c r="T802" s="80">
        <f>IF($I802&gt;0,MAX(0,$G802*SIN(RADIANS('13_시나리오비교'!$B$9))*SIN(RADIANS('13_시나리오비교'!$C$9))+$H802*SIN(RADIANS('13_시나리오비교'!$B$9))*COS(RADIANS('13_시나리오비교'!$C$9))+$I802*COS(RADIANS('13_시나리오비교'!$B$9))),0)</f>
        <v/>
      </c>
      <c r="U802" s="80">
        <f>IF($I802&gt;0,MAX(0,$G802*SIN(RADIANS('13_시나리오비교'!$B$10))*SIN(RADIANS('13_시나리오비교'!$C$10))+$H802*SIN(RADIANS('13_시나리오비교'!$B$10))*COS(RADIANS('13_시나리오비교'!$C$10))+$I802*COS(RADIANS('13_시나리오비교'!$B$10))),0)</f>
        <v/>
      </c>
      <c r="V802" s="80">
        <f>IF($I802&gt;0,MAX(0,$G802*SIN(RADIANS('13_시나리오비교'!$B$11))*SIN(RADIANS('13_시나리오비교'!$C$11))+$H802*SIN(RADIANS('13_시나리오비교'!$B$11))*COS(RADIANS('13_시나리오비교'!$C$11))+$I802*COS(RADIANS('13_시나리오비교'!$B$11))),0)</f>
        <v/>
      </c>
      <c r="W802" s="80">
        <f>IF($I802&gt;0,MAX(0,$G802*SIN(RADIANS('13_시나리오비교'!$B$12))*SIN(RADIANS('13_시나리오비교'!$C$12))+$H802*SIN(RADIANS('13_시나리오비교'!$B$12))*COS(RADIANS('13_시나리오비교'!$C$12))+$I802*COS(RADIANS('13_시나리오비교'!$B$12))),0)</f>
        <v/>
      </c>
      <c r="X802" s="80">
        <f>IF($I802&gt;0,MAX(0,$G802*SIN(RADIANS('13_시나리오비교'!$B$13))*SIN(RADIANS('13_시나리오비교'!$C$13))+$H802*SIN(RADIANS('13_시나리오비교'!$B$13))*COS(RADIANS('13_시나리오비교'!$C$13))+$I802*COS(RADIANS('13_시나리오비교'!$B$13))),0)</f>
        <v/>
      </c>
      <c r="Y802" s="80">
        <f>IF($I802&gt;0,MAX(0,$G802*SIN(RADIANS('13_시나리오비교'!$B$14))*SIN(RADIANS('13_시나리오비교'!$C$14))+$H802*SIN(RADIANS('13_시나리오비교'!$B$14))*COS(RADIANS('13_시나리오비교'!$C$14))+$I802*COS(RADIANS('13_시나리오비교'!$B$14))),0)</f>
        <v/>
      </c>
    </row>
    <row r="803" hidden="1" outlineLevel="1">
      <c r="A803" s="79" t="n">
        <v>9</v>
      </c>
      <c r="B803" s="79" t="n">
        <v>15</v>
      </c>
      <c r="C803" s="80">
        <f>(B803-0.5)*'14_지역·상수'!$H$6</f>
        <v/>
      </c>
      <c r="D803" s="79" t="n">
        <v>258</v>
      </c>
      <c r="E803" s="80">
        <f>INDEX($C$4:$C$15,MATCH(A803,$A$4:$A$15,0))</f>
        <v/>
      </c>
      <c r="F803" s="80">
        <f>15*(C803-12)</f>
        <v/>
      </c>
      <c r="G803" s="80">
        <f>-COS(RADIANS(E803))*SIN(RADIANS(F803))</f>
        <v/>
      </c>
      <c r="H803" s="80">
        <f>COS(RADIANS('11_발전량_모델'!$B$17))*SIN(RADIANS(E803))-SIN(RADIANS('11_발전량_모델'!$B$17))*COS(RADIANS(E803))*COS(RADIANS(F803))</f>
        <v/>
      </c>
      <c r="I803" s="80">
        <f>SIN(RADIANS('11_발전량_모델'!$B$17))*SIN(RADIANS(E803))+COS(RADIANS('11_발전량_모델'!$B$17))*COS(RADIANS(E803))*COS(RADIANS(F803))</f>
        <v/>
      </c>
      <c r="J803" s="80">
        <f>SIN(RADIANS('11_발전량_모델'!$B$7))*SIN(RADIANS('11_발전량_모델'!$B$8))</f>
        <v/>
      </c>
      <c r="K803" s="80">
        <f>SIN(RADIANS('11_발전량_모델'!$B$7))*COS(RADIANS('11_발전량_모델'!$B$8))</f>
        <v/>
      </c>
      <c r="L803" s="80">
        <f>COS(RADIANS('11_발전량_모델'!$B$7))</f>
        <v/>
      </c>
      <c r="M803" s="80">
        <f>G803*J803+H803*K803+I803*L803</f>
        <v/>
      </c>
      <c r="N803" s="80">
        <f>MAX(0,I803)</f>
        <v/>
      </c>
      <c r="O803" s="80">
        <f>IF(I803&gt;0,MAX(0,M803),0)</f>
        <v/>
      </c>
      <c r="P803" s="80">
        <f>IF($I803&gt;0,MAX(0,$G803*SIN(RADIANS('13_시나리오비교'!$B$5))*SIN(RADIANS('13_시나리오비교'!$C$5))+$H803*SIN(RADIANS('13_시나리오비교'!$B$5))*COS(RADIANS('13_시나리오비교'!$C$5))+$I803*COS(RADIANS('13_시나리오비교'!$B$5))),0)</f>
        <v/>
      </c>
      <c r="Q803" s="80">
        <f>IF($I803&gt;0,MAX(0,$G803*SIN(RADIANS('13_시나리오비교'!$B$6))*SIN(RADIANS('13_시나리오비교'!$C$6))+$H803*SIN(RADIANS('13_시나리오비교'!$B$6))*COS(RADIANS('13_시나리오비교'!$C$6))+$I803*COS(RADIANS('13_시나리오비교'!$B$6))),0)</f>
        <v/>
      </c>
      <c r="R803" s="80">
        <f>IF($I803&gt;0,MAX(0,$G803*SIN(RADIANS('13_시나리오비교'!$B$7))*SIN(RADIANS('13_시나리오비교'!$C$7))+$H803*SIN(RADIANS('13_시나리오비교'!$B$7))*COS(RADIANS('13_시나리오비교'!$C$7))+$I803*COS(RADIANS('13_시나리오비교'!$B$7))),0)</f>
        <v/>
      </c>
      <c r="S803" s="80">
        <f>IF($I803&gt;0,MAX(0,$G803*SIN(RADIANS('13_시나리오비교'!$B$8))*SIN(RADIANS('13_시나리오비교'!$C$8))+$H803*SIN(RADIANS('13_시나리오비교'!$B$8))*COS(RADIANS('13_시나리오비교'!$C$8))+$I803*COS(RADIANS('13_시나리오비교'!$B$8))),0)</f>
        <v/>
      </c>
      <c r="T803" s="80">
        <f>IF($I803&gt;0,MAX(0,$G803*SIN(RADIANS('13_시나리오비교'!$B$9))*SIN(RADIANS('13_시나리오비교'!$C$9))+$H803*SIN(RADIANS('13_시나리오비교'!$B$9))*COS(RADIANS('13_시나리오비교'!$C$9))+$I803*COS(RADIANS('13_시나리오비교'!$B$9))),0)</f>
        <v/>
      </c>
      <c r="U803" s="80">
        <f>IF($I803&gt;0,MAX(0,$G803*SIN(RADIANS('13_시나리오비교'!$B$10))*SIN(RADIANS('13_시나리오비교'!$C$10))+$H803*SIN(RADIANS('13_시나리오비교'!$B$10))*COS(RADIANS('13_시나리오비교'!$C$10))+$I803*COS(RADIANS('13_시나리오비교'!$B$10))),0)</f>
        <v/>
      </c>
      <c r="V803" s="80">
        <f>IF($I803&gt;0,MAX(0,$G803*SIN(RADIANS('13_시나리오비교'!$B$11))*SIN(RADIANS('13_시나리오비교'!$C$11))+$H803*SIN(RADIANS('13_시나리오비교'!$B$11))*COS(RADIANS('13_시나리오비교'!$C$11))+$I803*COS(RADIANS('13_시나리오비교'!$B$11))),0)</f>
        <v/>
      </c>
      <c r="W803" s="80">
        <f>IF($I803&gt;0,MAX(0,$G803*SIN(RADIANS('13_시나리오비교'!$B$12))*SIN(RADIANS('13_시나리오비교'!$C$12))+$H803*SIN(RADIANS('13_시나리오비교'!$B$12))*COS(RADIANS('13_시나리오비교'!$C$12))+$I803*COS(RADIANS('13_시나리오비교'!$B$12))),0)</f>
        <v/>
      </c>
      <c r="X803" s="80">
        <f>IF($I803&gt;0,MAX(0,$G803*SIN(RADIANS('13_시나리오비교'!$B$13))*SIN(RADIANS('13_시나리오비교'!$C$13))+$H803*SIN(RADIANS('13_시나리오비교'!$B$13))*COS(RADIANS('13_시나리오비교'!$C$13))+$I803*COS(RADIANS('13_시나리오비교'!$B$13))),0)</f>
        <v/>
      </c>
      <c r="Y803" s="80">
        <f>IF($I803&gt;0,MAX(0,$G803*SIN(RADIANS('13_시나리오비교'!$B$14))*SIN(RADIANS('13_시나리오비교'!$C$14))+$H803*SIN(RADIANS('13_시나리오비교'!$B$14))*COS(RADIANS('13_시나리오비교'!$C$14))+$I803*COS(RADIANS('13_시나리오비교'!$B$14))),0)</f>
        <v/>
      </c>
    </row>
    <row r="804" hidden="1" outlineLevel="1">
      <c r="A804" s="79" t="n">
        <v>9</v>
      </c>
      <c r="B804" s="79" t="n">
        <v>16</v>
      </c>
      <c r="C804" s="80">
        <f>(B804-0.5)*'14_지역·상수'!$H$6</f>
        <v/>
      </c>
      <c r="D804" s="79" t="n">
        <v>258</v>
      </c>
      <c r="E804" s="80">
        <f>INDEX($C$4:$C$15,MATCH(A804,$A$4:$A$15,0))</f>
        <v/>
      </c>
      <c r="F804" s="80">
        <f>15*(C804-12)</f>
        <v/>
      </c>
      <c r="G804" s="80">
        <f>-COS(RADIANS(E804))*SIN(RADIANS(F804))</f>
        <v/>
      </c>
      <c r="H804" s="80">
        <f>COS(RADIANS('11_발전량_모델'!$B$17))*SIN(RADIANS(E804))-SIN(RADIANS('11_발전량_모델'!$B$17))*COS(RADIANS(E804))*COS(RADIANS(F804))</f>
        <v/>
      </c>
      <c r="I804" s="80">
        <f>SIN(RADIANS('11_발전량_모델'!$B$17))*SIN(RADIANS(E804))+COS(RADIANS('11_발전량_모델'!$B$17))*COS(RADIANS(E804))*COS(RADIANS(F804))</f>
        <v/>
      </c>
      <c r="J804" s="80">
        <f>SIN(RADIANS('11_발전량_모델'!$B$7))*SIN(RADIANS('11_발전량_모델'!$B$8))</f>
        <v/>
      </c>
      <c r="K804" s="80">
        <f>SIN(RADIANS('11_발전량_모델'!$B$7))*COS(RADIANS('11_발전량_모델'!$B$8))</f>
        <v/>
      </c>
      <c r="L804" s="80">
        <f>COS(RADIANS('11_발전량_모델'!$B$7))</f>
        <v/>
      </c>
      <c r="M804" s="80">
        <f>G804*J804+H804*K804+I804*L804</f>
        <v/>
      </c>
      <c r="N804" s="80">
        <f>MAX(0,I804)</f>
        <v/>
      </c>
      <c r="O804" s="80">
        <f>IF(I804&gt;0,MAX(0,M804),0)</f>
        <v/>
      </c>
      <c r="P804" s="80">
        <f>IF($I804&gt;0,MAX(0,$G804*SIN(RADIANS('13_시나리오비교'!$B$5))*SIN(RADIANS('13_시나리오비교'!$C$5))+$H804*SIN(RADIANS('13_시나리오비교'!$B$5))*COS(RADIANS('13_시나리오비교'!$C$5))+$I804*COS(RADIANS('13_시나리오비교'!$B$5))),0)</f>
        <v/>
      </c>
      <c r="Q804" s="80">
        <f>IF($I804&gt;0,MAX(0,$G804*SIN(RADIANS('13_시나리오비교'!$B$6))*SIN(RADIANS('13_시나리오비교'!$C$6))+$H804*SIN(RADIANS('13_시나리오비교'!$B$6))*COS(RADIANS('13_시나리오비교'!$C$6))+$I804*COS(RADIANS('13_시나리오비교'!$B$6))),0)</f>
        <v/>
      </c>
      <c r="R804" s="80">
        <f>IF($I804&gt;0,MAX(0,$G804*SIN(RADIANS('13_시나리오비교'!$B$7))*SIN(RADIANS('13_시나리오비교'!$C$7))+$H804*SIN(RADIANS('13_시나리오비교'!$B$7))*COS(RADIANS('13_시나리오비교'!$C$7))+$I804*COS(RADIANS('13_시나리오비교'!$B$7))),0)</f>
        <v/>
      </c>
      <c r="S804" s="80">
        <f>IF($I804&gt;0,MAX(0,$G804*SIN(RADIANS('13_시나리오비교'!$B$8))*SIN(RADIANS('13_시나리오비교'!$C$8))+$H804*SIN(RADIANS('13_시나리오비교'!$B$8))*COS(RADIANS('13_시나리오비교'!$C$8))+$I804*COS(RADIANS('13_시나리오비교'!$B$8))),0)</f>
        <v/>
      </c>
      <c r="T804" s="80">
        <f>IF($I804&gt;0,MAX(0,$G804*SIN(RADIANS('13_시나리오비교'!$B$9))*SIN(RADIANS('13_시나리오비교'!$C$9))+$H804*SIN(RADIANS('13_시나리오비교'!$B$9))*COS(RADIANS('13_시나리오비교'!$C$9))+$I804*COS(RADIANS('13_시나리오비교'!$B$9))),0)</f>
        <v/>
      </c>
      <c r="U804" s="80">
        <f>IF($I804&gt;0,MAX(0,$G804*SIN(RADIANS('13_시나리오비교'!$B$10))*SIN(RADIANS('13_시나리오비교'!$C$10))+$H804*SIN(RADIANS('13_시나리오비교'!$B$10))*COS(RADIANS('13_시나리오비교'!$C$10))+$I804*COS(RADIANS('13_시나리오비교'!$B$10))),0)</f>
        <v/>
      </c>
      <c r="V804" s="80">
        <f>IF($I804&gt;0,MAX(0,$G804*SIN(RADIANS('13_시나리오비교'!$B$11))*SIN(RADIANS('13_시나리오비교'!$C$11))+$H804*SIN(RADIANS('13_시나리오비교'!$B$11))*COS(RADIANS('13_시나리오비교'!$C$11))+$I804*COS(RADIANS('13_시나리오비교'!$B$11))),0)</f>
        <v/>
      </c>
      <c r="W804" s="80">
        <f>IF($I804&gt;0,MAX(0,$G804*SIN(RADIANS('13_시나리오비교'!$B$12))*SIN(RADIANS('13_시나리오비교'!$C$12))+$H804*SIN(RADIANS('13_시나리오비교'!$B$12))*COS(RADIANS('13_시나리오비교'!$C$12))+$I804*COS(RADIANS('13_시나리오비교'!$B$12))),0)</f>
        <v/>
      </c>
      <c r="X804" s="80">
        <f>IF($I804&gt;0,MAX(0,$G804*SIN(RADIANS('13_시나리오비교'!$B$13))*SIN(RADIANS('13_시나리오비교'!$C$13))+$H804*SIN(RADIANS('13_시나리오비교'!$B$13))*COS(RADIANS('13_시나리오비교'!$C$13))+$I804*COS(RADIANS('13_시나리오비교'!$B$13))),0)</f>
        <v/>
      </c>
      <c r="Y804" s="80">
        <f>IF($I804&gt;0,MAX(0,$G804*SIN(RADIANS('13_시나리오비교'!$B$14))*SIN(RADIANS('13_시나리오비교'!$C$14))+$H804*SIN(RADIANS('13_시나리오비교'!$B$14))*COS(RADIANS('13_시나리오비교'!$C$14))+$I804*COS(RADIANS('13_시나리오비교'!$B$14))),0)</f>
        <v/>
      </c>
    </row>
    <row r="805" hidden="1" outlineLevel="1">
      <c r="A805" s="79" t="n">
        <v>9</v>
      </c>
      <c r="B805" s="79" t="n">
        <v>17</v>
      </c>
      <c r="C805" s="80">
        <f>(B805-0.5)*'14_지역·상수'!$H$6</f>
        <v/>
      </c>
      <c r="D805" s="79" t="n">
        <v>258</v>
      </c>
      <c r="E805" s="80">
        <f>INDEX($C$4:$C$15,MATCH(A805,$A$4:$A$15,0))</f>
        <v/>
      </c>
      <c r="F805" s="80">
        <f>15*(C805-12)</f>
        <v/>
      </c>
      <c r="G805" s="80">
        <f>-COS(RADIANS(E805))*SIN(RADIANS(F805))</f>
        <v/>
      </c>
      <c r="H805" s="80">
        <f>COS(RADIANS('11_발전량_모델'!$B$17))*SIN(RADIANS(E805))-SIN(RADIANS('11_발전량_모델'!$B$17))*COS(RADIANS(E805))*COS(RADIANS(F805))</f>
        <v/>
      </c>
      <c r="I805" s="80">
        <f>SIN(RADIANS('11_발전량_모델'!$B$17))*SIN(RADIANS(E805))+COS(RADIANS('11_발전량_모델'!$B$17))*COS(RADIANS(E805))*COS(RADIANS(F805))</f>
        <v/>
      </c>
      <c r="J805" s="80">
        <f>SIN(RADIANS('11_발전량_모델'!$B$7))*SIN(RADIANS('11_발전량_모델'!$B$8))</f>
        <v/>
      </c>
      <c r="K805" s="80">
        <f>SIN(RADIANS('11_발전량_모델'!$B$7))*COS(RADIANS('11_발전량_모델'!$B$8))</f>
        <v/>
      </c>
      <c r="L805" s="80">
        <f>COS(RADIANS('11_발전량_모델'!$B$7))</f>
        <v/>
      </c>
      <c r="M805" s="80">
        <f>G805*J805+H805*K805+I805*L805</f>
        <v/>
      </c>
      <c r="N805" s="80">
        <f>MAX(0,I805)</f>
        <v/>
      </c>
      <c r="O805" s="80">
        <f>IF(I805&gt;0,MAX(0,M805),0)</f>
        <v/>
      </c>
      <c r="P805" s="80">
        <f>IF($I805&gt;0,MAX(0,$G805*SIN(RADIANS('13_시나리오비교'!$B$5))*SIN(RADIANS('13_시나리오비교'!$C$5))+$H805*SIN(RADIANS('13_시나리오비교'!$B$5))*COS(RADIANS('13_시나리오비교'!$C$5))+$I805*COS(RADIANS('13_시나리오비교'!$B$5))),0)</f>
        <v/>
      </c>
      <c r="Q805" s="80">
        <f>IF($I805&gt;0,MAX(0,$G805*SIN(RADIANS('13_시나리오비교'!$B$6))*SIN(RADIANS('13_시나리오비교'!$C$6))+$H805*SIN(RADIANS('13_시나리오비교'!$B$6))*COS(RADIANS('13_시나리오비교'!$C$6))+$I805*COS(RADIANS('13_시나리오비교'!$B$6))),0)</f>
        <v/>
      </c>
      <c r="R805" s="80">
        <f>IF($I805&gt;0,MAX(0,$G805*SIN(RADIANS('13_시나리오비교'!$B$7))*SIN(RADIANS('13_시나리오비교'!$C$7))+$H805*SIN(RADIANS('13_시나리오비교'!$B$7))*COS(RADIANS('13_시나리오비교'!$C$7))+$I805*COS(RADIANS('13_시나리오비교'!$B$7))),0)</f>
        <v/>
      </c>
      <c r="S805" s="80">
        <f>IF($I805&gt;0,MAX(0,$G805*SIN(RADIANS('13_시나리오비교'!$B$8))*SIN(RADIANS('13_시나리오비교'!$C$8))+$H805*SIN(RADIANS('13_시나리오비교'!$B$8))*COS(RADIANS('13_시나리오비교'!$C$8))+$I805*COS(RADIANS('13_시나리오비교'!$B$8))),0)</f>
        <v/>
      </c>
      <c r="T805" s="80">
        <f>IF($I805&gt;0,MAX(0,$G805*SIN(RADIANS('13_시나리오비교'!$B$9))*SIN(RADIANS('13_시나리오비교'!$C$9))+$H805*SIN(RADIANS('13_시나리오비교'!$B$9))*COS(RADIANS('13_시나리오비교'!$C$9))+$I805*COS(RADIANS('13_시나리오비교'!$B$9))),0)</f>
        <v/>
      </c>
      <c r="U805" s="80">
        <f>IF($I805&gt;0,MAX(0,$G805*SIN(RADIANS('13_시나리오비교'!$B$10))*SIN(RADIANS('13_시나리오비교'!$C$10))+$H805*SIN(RADIANS('13_시나리오비교'!$B$10))*COS(RADIANS('13_시나리오비교'!$C$10))+$I805*COS(RADIANS('13_시나리오비교'!$B$10))),0)</f>
        <v/>
      </c>
      <c r="V805" s="80">
        <f>IF($I805&gt;0,MAX(0,$G805*SIN(RADIANS('13_시나리오비교'!$B$11))*SIN(RADIANS('13_시나리오비교'!$C$11))+$H805*SIN(RADIANS('13_시나리오비교'!$B$11))*COS(RADIANS('13_시나리오비교'!$C$11))+$I805*COS(RADIANS('13_시나리오비교'!$B$11))),0)</f>
        <v/>
      </c>
      <c r="W805" s="80">
        <f>IF($I805&gt;0,MAX(0,$G805*SIN(RADIANS('13_시나리오비교'!$B$12))*SIN(RADIANS('13_시나리오비교'!$C$12))+$H805*SIN(RADIANS('13_시나리오비교'!$B$12))*COS(RADIANS('13_시나리오비교'!$C$12))+$I805*COS(RADIANS('13_시나리오비교'!$B$12))),0)</f>
        <v/>
      </c>
      <c r="X805" s="80">
        <f>IF($I805&gt;0,MAX(0,$G805*SIN(RADIANS('13_시나리오비교'!$B$13))*SIN(RADIANS('13_시나리오비교'!$C$13))+$H805*SIN(RADIANS('13_시나리오비교'!$B$13))*COS(RADIANS('13_시나리오비교'!$C$13))+$I805*COS(RADIANS('13_시나리오비교'!$B$13))),0)</f>
        <v/>
      </c>
      <c r="Y805" s="80">
        <f>IF($I805&gt;0,MAX(0,$G805*SIN(RADIANS('13_시나리오비교'!$B$14))*SIN(RADIANS('13_시나리오비교'!$C$14))+$H805*SIN(RADIANS('13_시나리오비교'!$B$14))*COS(RADIANS('13_시나리오비교'!$C$14))+$I805*COS(RADIANS('13_시나리오비교'!$B$14))),0)</f>
        <v/>
      </c>
    </row>
    <row r="806" hidden="1" outlineLevel="1">
      <c r="A806" s="79" t="n">
        <v>9</v>
      </c>
      <c r="B806" s="79" t="n">
        <v>18</v>
      </c>
      <c r="C806" s="80">
        <f>(B806-0.5)*'14_지역·상수'!$H$6</f>
        <v/>
      </c>
      <c r="D806" s="79" t="n">
        <v>258</v>
      </c>
      <c r="E806" s="80">
        <f>INDEX($C$4:$C$15,MATCH(A806,$A$4:$A$15,0))</f>
        <v/>
      </c>
      <c r="F806" s="80">
        <f>15*(C806-12)</f>
        <v/>
      </c>
      <c r="G806" s="80">
        <f>-COS(RADIANS(E806))*SIN(RADIANS(F806))</f>
        <v/>
      </c>
      <c r="H806" s="80">
        <f>COS(RADIANS('11_발전량_모델'!$B$17))*SIN(RADIANS(E806))-SIN(RADIANS('11_발전량_모델'!$B$17))*COS(RADIANS(E806))*COS(RADIANS(F806))</f>
        <v/>
      </c>
      <c r="I806" s="80">
        <f>SIN(RADIANS('11_발전량_모델'!$B$17))*SIN(RADIANS(E806))+COS(RADIANS('11_발전량_모델'!$B$17))*COS(RADIANS(E806))*COS(RADIANS(F806))</f>
        <v/>
      </c>
      <c r="J806" s="80">
        <f>SIN(RADIANS('11_발전량_모델'!$B$7))*SIN(RADIANS('11_발전량_모델'!$B$8))</f>
        <v/>
      </c>
      <c r="K806" s="80">
        <f>SIN(RADIANS('11_발전량_모델'!$B$7))*COS(RADIANS('11_발전량_모델'!$B$8))</f>
        <v/>
      </c>
      <c r="L806" s="80">
        <f>COS(RADIANS('11_발전량_모델'!$B$7))</f>
        <v/>
      </c>
      <c r="M806" s="80">
        <f>G806*J806+H806*K806+I806*L806</f>
        <v/>
      </c>
      <c r="N806" s="80">
        <f>MAX(0,I806)</f>
        <v/>
      </c>
      <c r="O806" s="80">
        <f>IF(I806&gt;0,MAX(0,M806),0)</f>
        <v/>
      </c>
      <c r="P806" s="80">
        <f>IF($I806&gt;0,MAX(0,$G806*SIN(RADIANS('13_시나리오비교'!$B$5))*SIN(RADIANS('13_시나리오비교'!$C$5))+$H806*SIN(RADIANS('13_시나리오비교'!$B$5))*COS(RADIANS('13_시나리오비교'!$C$5))+$I806*COS(RADIANS('13_시나리오비교'!$B$5))),0)</f>
        <v/>
      </c>
      <c r="Q806" s="80">
        <f>IF($I806&gt;0,MAX(0,$G806*SIN(RADIANS('13_시나리오비교'!$B$6))*SIN(RADIANS('13_시나리오비교'!$C$6))+$H806*SIN(RADIANS('13_시나리오비교'!$B$6))*COS(RADIANS('13_시나리오비교'!$C$6))+$I806*COS(RADIANS('13_시나리오비교'!$B$6))),0)</f>
        <v/>
      </c>
      <c r="R806" s="80">
        <f>IF($I806&gt;0,MAX(0,$G806*SIN(RADIANS('13_시나리오비교'!$B$7))*SIN(RADIANS('13_시나리오비교'!$C$7))+$H806*SIN(RADIANS('13_시나리오비교'!$B$7))*COS(RADIANS('13_시나리오비교'!$C$7))+$I806*COS(RADIANS('13_시나리오비교'!$B$7))),0)</f>
        <v/>
      </c>
      <c r="S806" s="80">
        <f>IF($I806&gt;0,MAX(0,$G806*SIN(RADIANS('13_시나리오비교'!$B$8))*SIN(RADIANS('13_시나리오비교'!$C$8))+$H806*SIN(RADIANS('13_시나리오비교'!$B$8))*COS(RADIANS('13_시나리오비교'!$C$8))+$I806*COS(RADIANS('13_시나리오비교'!$B$8))),0)</f>
        <v/>
      </c>
      <c r="T806" s="80">
        <f>IF($I806&gt;0,MAX(0,$G806*SIN(RADIANS('13_시나리오비교'!$B$9))*SIN(RADIANS('13_시나리오비교'!$C$9))+$H806*SIN(RADIANS('13_시나리오비교'!$B$9))*COS(RADIANS('13_시나리오비교'!$C$9))+$I806*COS(RADIANS('13_시나리오비교'!$B$9))),0)</f>
        <v/>
      </c>
      <c r="U806" s="80">
        <f>IF($I806&gt;0,MAX(0,$G806*SIN(RADIANS('13_시나리오비교'!$B$10))*SIN(RADIANS('13_시나리오비교'!$C$10))+$H806*SIN(RADIANS('13_시나리오비교'!$B$10))*COS(RADIANS('13_시나리오비교'!$C$10))+$I806*COS(RADIANS('13_시나리오비교'!$B$10))),0)</f>
        <v/>
      </c>
      <c r="V806" s="80">
        <f>IF($I806&gt;0,MAX(0,$G806*SIN(RADIANS('13_시나리오비교'!$B$11))*SIN(RADIANS('13_시나리오비교'!$C$11))+$H806*SIN(RADIANS('13_시나리오비교'!$B$11))*COS(RADIANS('13_시나리오비교'!$C$11))+$I806*COS(RADIANS('13_시나리오비교'!$B$11))),0)</f>
        <v/>
      </c>
      <c r="W806" s="80">
        <f>IF($I806&gt;0,MAX(0,$G806*SIN(RADIANS('13_시나리오비교'!$B$12))*SIN(RADIANS('13_시나리오비교'!$C$12))+$H806*SIN(RADIANS('13_시나리오비교'!$B$12))*COS(RADIANS('13_시나리오비교'!$C$12))+$I806*COS(RADIANS('13_시나리오비교'!$B$12))),0)</f>
        <v/>
      </c>
      <c r="X806" s="80">
        <f>IF($I806&gt;0,MAX(0,$G806*SIN(RADIANS('13_시나리오비교'!$B$13))*SIN(RADIANS('13_시나리오비교'!$C$13))+$H806*SIN(RADIANS('13_시나리오비교'!$B$13))*COS(RADIANS('13_시나리오비교'!$C$13))+$I806*COS(RADIANS('13_시나리오비교'!$B$13))),0)</f>
        <v/>
      </c>
      <c r="Y806" s="80">
        <f>IF($I806&gt;0,MAX(0,$G806*SIN(RADIANS('13_시나리오비교'!$B$14))*SIN(RADIANS('13_시나리오비교'!$C$14))+$H806*SIN(RADIANS('13_시나리오비교'!$B$14))*COS(RADIANS('13_시나리오비교'!$C$14))+$I806*COS(RADIANS('13_시나리오비교'!$B$14))),0)</f>
        <v/>
      </c>
    </row>
    <row r="807" hidden="1" outlineLevel="1">
      <c r="A807" s="79" t="n">
        <v>9</v>
      </c>
      <c r="B807" s="79" t="n">
        <v>19</v>
      </c>
      <c r="C807" s="80">
        <f>(B807-0.5)*'14_지역·상수'!$H$6</f>
        <v/>
      </c>
      <c r="D807" s="79" t="n">
        <v>258</v>
      </c>
      <c r="E807" s="80">
        <f>INDEX($C$4:$C$15,MATCH(A807,$A$4:$A$15,0))</f>
        <v/>
      </c>
      <c r="F807" s="80">
        <f>15*(C807-12)</f>
        <v/>
      </c>
      <c r="G807" s="80">
        <f>-COS(RADIANS(E807))*SIN(RADIANS(F807))</f>
        <v/>
      </c>
      <c r="H807" s="80">
        <f>COS(RADIANS('11_발전량_모델'!$B$17))*SIN(RADIANS(E807))-SIN(RADIANS('11_발전량_모델'!$B$17))*COS(RADIANS(E807))*COS(RADIANS(F807))</f>
        <v/>
      </c>
      <c r="I807" s="80">
        <f>SIN(RADIANS('11_발전량_모델'!$B$17))*SIN(RADIANS(E807))+COS(RADIANS('11_발전량_모델'!$B$17))*COS(RADIANS(E807))*COS(RADIANS(F807))</f>
        <v/>
      </c>
      <c r="J807" s="80">
        <f>SIN(RADIANS('11_발전량_모델'!$B$7))*SIN(RADIANS('11_발전량_모델'!$B$8))</f>
        <v/>
      </c>
      <c r="K807" s="80">
        <f>SIN(RADIANS('11_발전량_모델'!$B$7))*COS(RADIANS('11_발전량_모델'!$B$8))</f>
        <v/>
      </c>
      <c r="L807" s="80">
        <f>COS(RADIANS('11_발전량_모델'!$B$7))</f>
        <v/>
      </c>
      <c r="M807" s="80">
        <f>G807*J807+H807*K807+I807*L807</f>
        <v/>
      </c>
      <c r="N807" s="80">
        <f>MAX(0,I807)</f>
        <v/>
      </c>
      <c r="O807" s="80">
        <f>IF(I807&gt;0,MAX(0,M807),0)</f>
        <v/>
      </c>
      <c r="P807" s="80">
        <f>IF($I807&gt;0,MAX(0,$G807*SIN(RADIANS('13_시나리오비교'!$B$5))*SIN(RADIANS('13_시나리오비교'!$C$5))+$H807*SIN(RADIANS('13_시나리오비교'!$B$5))*COS(RADIANS('13_시나리오비교'!$C$5))+$I807*COS(RADIANS('13_시나리오비교'!$B$5))),0)</f>
        <v/>
      </c>
      <c r="Q807" s="80">
        <f>IF($I807&gt;0,MAX(0,$G807*SIN(RADIANS('13_시나리오비교'!$B$6))*SIN(RADIANS('13_시나리오비교'!$C$6))+$H807*SIN(RADIANS('13_시나리오비교'!$B$6))*COS(RADIANS('13_시나리오비교'!$C$6))+$I807*COS(RADIANS('13_시나리오비교'!$B$6))),0)</f>
        <v/>
      </c>
      <c r="R807" s="80">
        <f>IF($I807&gt;0,MAX(0,$G807*SIN(RADIANS('13_시나리오비교'!$B$7))*SIN(RADIANS('13_시나리오비교'!$C$7))+$H807*SIN(RADIANS('13_시나리오비교'!$B$7))*COS(RADIANS('13_시나리오비교'!$C$7))+$I807*COS(RADIANS('13_시나리오비교'!$B$7))),0)</f>
        <v/>
      </c>
      <c r="S807" s="80">
        <f>IF($I807&gt;0,MAX(0,$G807*SIN(RADIANS('13_시나리오비교'!$B$8))*SIN(RADIANS('13_시나리오비교'!$C$8))+$H807*SIN(RADIANS('13_시나리오비교'!$B$8))*COS(RADIANS('13_시나리오비교'!$C$8))+$I807*COS(RADIANS('13_시나리오비교'!$B$8))),0)</f>
        <v/>
      </c>
      <c r="T807" s="80">
        <f>IF($I807&gt;0,MAX(0,$G807*SIN(RADIANS('13_시나리오비교'!$B$9))*SIN(RADIANS('13_시나리오비교'!$C$9))+$H807*SIN(RADIANS('13_시나리오비교'!$B$9))*COS(RADIANS('13_시나리오비교'!$C$9))+$I807*COS(RADIANS('13_시나리오비교'!$B$9))),0)</f>
        <v/>
      </c>
      <c r="U807" s="80">
        <f>IF($I807&gt;0,MAX(0,$G807*SIN(RADIANS('13_시나리오비교'!$B$10))*SIN(RADIANS('13_시나리오비교'!$C$10))+$H807*SIN(RADIANS('13_시나리오비교'!$B$10))*COS(RADIANS('13_시나리오비교'!$C$10))+$I807*COS(RADIANS('13_시나리오비교'!$B$10))),0)</f>
        <v/>
      </c>
      <c r="V807" s="80">
        <f>IF($I807&gt;0,MAX(0,$G807*SIN(RADIANS('13_시나리오비교'!$B$11))*SIN(RADIANS('13_시나리오비교'!$C$11))+$H807*SIN(RADIANS('13_시나리오비교'!$B$11))*COS(RADIANS('13_시나리오비교'!$C$11))+$I807*COS(RADIANS('13_시나리오비교'!$B$11))),0)</f>
        <v/>
      </c>
      <c r="W807" s="80">
        <f>IF($I807&gt;0,MAX(0,$G807*SIN(RADIANS('13_시나리오비교'!$B$12))*SIN(RADIANS('13_시나리오비교'!$C$12))+$H807*SIN(RADIANS('13_시나리오비교'!$B$12))*COS(RADIANS('13_시나리오비교'!$C$12))+$I807*COS(RADIANS('13_시나리오비교'!$B$12))),0)</f>
        <v/>
      </c>
      <c r="X807" s="80">
        <f>IF($I807&gt;0,MAX(0,$G807*SIN(RADIANS('13_시나리오비교'!$B$13))*SIN(RADIANS('13_시나리오비교'!$C$13))+$H807*SIN(RADIANS('13_시나리오비교'!$B$13))*COS(RADIANS('13_시나리오비교'!$C$13))+$I807*COS(RADIANS('13_시나리오비교'!$B$13))),0)</f>
        <v/>
      </c>
      <c r="Y807" s="80">
        <f>IF($I807&gt;0,MAX(0,$G807*SIN(RADIANS('13_시나리오비교'!$B$14))*SIN(RADIANS('13_시나리오비교'!$C$14))+$H807*SIN(RADIANS('13_시나리오비교'!$B$14))*COS(RADIANS('13_시나리오비교'!$C$14))+$I807*COS(RADIANS('13_시나리오비교'!$B$14))),0)</f>
        <v/>
      </c>
    </row>
    <row r="808" hidden="1" outlineLevel="1">
      <c r="A808" s="79" t="n">
        <v>9</v>
      </c>
      <c r="B808" s="79" t="n">
        <v>20</v>
      </c>
      <c r="C808" s="80">
        <f>(B808-0.5)*'14_지역·상수'!$H$6</f>
        <v/>
      </c>
      <c r="D808" s="79" t="n">
        <v>258</v>
      </c>
      <c r="E808" s="80">
        <f>INDEX($C$4:$C$15,MATCH(A808,$A$4:$A$15,0))</f>
        <v/>
      </c>
      <c r="F808" s="80">
        <f>15*(C808-12)</f>
        <v/>
      </c>
      <c r="G808" s="80">
        <f>-COS(RADIANS(E808))*SIN(RADIANS(F808))</f>
        <v/>
      </c>
      <c r="H808" s="80">
        <f>COS(RADIANS('11_발전량_모델'!$B$17))*SIN(RADIANS(E808))-SIN(RADIANS('11_발전량_모델'!$B$17))*COS(RADIANS(E808))*COS(RADIANS(F808))</f>
        <v/>
      </c>
      <c r="I808" s="80">
        <f>SIN(RADIANS('11_발전량_모델'!$B$17))*SIN(RADIANS(E808))+COS(RADIANS('11_발전량_모델'!$B$17))*COS(RADIANS(E808))*COS(RADIANS(F808))</f>
        <v/>
      </c>
      <c r="J808" s="80">
        <f>SIN(RADIANS('11_발전량_모델'!$B$7))*SIN(RADIANS('11_발전량_모델'!$B$8))</f>
        <v/>
      </c>
      <c r="K808" s="80">
        <f>SIN(RADIANS('11_발전량_모델'!$B$7))*COS(RADIANS('11_발전량_모델'!$B$8))</f>
        <v/>
      </c>
      <c r="L808" s="80">
        <f>COS(RADIANS('11_발전량_모델'!$B$7))</f>
        <v/>
      </c>
      <c r="M808" s="80">
        <f>G808*J808+H808*K808+I808*L808</f>
        <v/>
      </c>
      <c r="N808" s="80">
        <f>MAX(0,I808)</f>
        <v/>
      </c>
      <c r="O808" s="80">
        <f>IF(I808&gt;0,MAX(0,M808),0)</f>
        <v/>
      </c>
      <c r="P808" s="80">
        <f>IF($I808&gt;0,MAX(0,$G808*SIN(RADIANS('13_시나리오비교'!$B$5))*SIN(RADIANS('13_시나리오비교'!$C$5))+$H808*SIN(RADIANS('13_시나리오비교'!$B$5))*COS(RADIANS('13_시나리오비교'!$C$5))+$I808*COS(RADIANS('13_시나리오비교'!$B$5))),0)</f>
        <v/>
      </c>
      <c r="Q808" s="80">
        <f>IF($I808&gt;0,MAX(0,$G808*SIN(RADIANS('13_시나리오비교'!$B$6))*SIN(RADIANS('13_시나리오비교'!$C$6))+$H808*SIN(RADIANS('13_시나리오비교'!$B$6))*COS(RADIANS('13_시나리오비교'!$C$6))+$I808*COS(RADIANS('13_시나리오비교'!$B$6))),0)</f>
        <v/>
      </c>
      <c r="R808" s="80">
        <f>IF($I808&gt;0,MAX(0,$G808*SIN(RADIANS('13_시나리오비교'!$B$7))*SIN(RADIANS('13_시나리오비교'!$C$7))+$H808*SIN(RADIANS('13_시나리오비교'!$B$7))*COS(RADIANS('13_시나리오비교'!$C$7))+$I808*COS(RADIANS('13_시나리오비교'!$B$7))),0)</f>
        <v/>
      </c>
      <c r="S808" s="80">
        <f>IF($I808&gt;0,MAX(0,$G808*SIN(RADIANS('13_시나리오비교'!$B$8))*SIN(RADIANS('13_시나리오비교'!$C$8))+$H808*SIN(RADIANS('13_시나리오비교'!$B$8))*COS(RADIANS('13_시나리오비교'!$C$8))+$I808*COS(RADIANS('13_시나리오비교'!$B$8))),0)</f>
        <v/>
      </c>
      <c r="T808" s="80">
        <f>IF($I808&gt;0,MAX(0,$G808*SIN(RADIANS('13_시나리오비교'!$B$9))*SIN(RADIANS('13_시나리오비교'!$C$9))+$H808*SIN(RADIANS('13_시나리오비교'!$B$9))*COS(RADIANS('13_시나리오비교'!$C$9))+$I808*COS(RADIANS('13_시나리오비교'!$B$9))),0)</f>
        <v/>
      </c>
      <c r="U808" s="80">
        <f>IF($I808&gt;0,MAX(0,$G808*SIN(RADIANS('13_시나리오비교'!$B$10))*SIN(RADIANS('13_시나리오비교'!$C$10))+$H808*SIN(RADIANS('13_시나리오비교'!$B$10))*COS(RADIANS('13_시나리오비교'!$C$10))+$I808*COS(RADIANS('13_시나리오비교'!$B$10))),0)</f>
        <v/>
      </c>
      <c r="V808" s="80">
        <f>IF($I808&gt;0,MAX(0,$G808*SIN(RADIANS('13_시나리오비교'!$B$11))*SIN(RADIANS('13_시나리오비교'!$C$11))+$H808*SIN(RADIANS('13_시나리오비교'!$B$11))*COS(RADIANS('13_시나리오비교'!$C$11))+$I808*COS(RADIANS('13_시나리오비교'!$B$11))),0)</f>
        <v/>
      </c>
      <c r="W808" s="80">
        <f>IF($I808&gt;0,MAX(0,$G808*SIN(RADIANS('13_시나리오비교'!$B$12))*SIN(RADIANS('13_시나리오비교'!$C$12))+$H808*SIN(RADIANS('13_시나리오비교'!$B$12))*COS(RADIANS('13_시나리오비교'!$C$12))+$I808*COS(RADIANS('13_시나리오비교'!$B$12))),0)</f>
        <v/>
      </c>
      <c r="X808" s="80">
        <f>IF($I808&gt;0,MAX(0,$G808*SIN(RADIANS('13_시나리오비교'!$B$13))*SIN(RADIANS('13_시나리오비교'!$C$13))+$H808*SIN(RADIANS('13_시나리오비교'!$B$13))*COS(RADIANS('13_시나리오비교'!$C$13))+$I808*COS(RADIANS('13_시나리오비교'!$B$13))),0)</f>
        <v/>
      </c>
      <c r="Y808" s="80">
        <f>IF($I808&gt;0,MAX(0,$G808*SIN(RADIANS('13_시나리오비교'!$B$14))*SIN(RADIANS('13_시나리오비교'!$C$14))+$H808*SIN(RADIANS('13_시나리오비교'!$B$14))*COS(RADIANS('13_시나리오비교'!$C$14))+$I808*COS(RADIANS('13_시나리오비교'!$B$14))),0)</f>
        <v/>
      </c>
    </row>
    <row r="809" hidden="1" outlineLevel="1">
      <c r="A809" s="79" t="n">
        <v>9</v>
      </c>
      <c r="B809" s="79" t="n">
        <v>21</v>
      </c>
      <c r="C809" s="80">
        <f>(B809-0.5)*'14_지역·상수'!$H$6</f>
        <v/>
      </c>
      <c r="D809" s="79" t="n">
        <v>258</v>
      </c>
      <c r="E809" s="80">
        <f>INDEX($C$4:$C$15,MATCH(A809,$A$4:$A$15,0))</f>
        <v/>
      </c>
      <c r="F809" s="80">
        <f>15*(C809-12)</f>
        <v/>
      </c>
      <c r="G809" s="80">
        <f>-COS(RADIANS(E809))*SIN(RADIANS(F809))</f>
        <v/>
      </c>
      <c r="H809" s="80">
        <f>COS(RADIANS('11_발전량_모델'!$B$17))*SIN(RADIANS(E809))-SIN(RADIANS('11_발전량_모델'!$B$17))*COS(RADIANS(E809))*COS(RADIANS(F809))</f>
        <v/>
      </c>
      <c r="I809" s="80">
        <f>SIN(RADIANS('11_발전량_모델'!$B$17))*SIN(RADIANS(E809))+COS(RADIANS('11_발전량_모델'!$B$17))*COS(RADIANS(E809))*COS(RADIANS(F809))</f>
        <v/>
      </c>
      <c r="J809" s="80">
        <f>SIN(RADIANS('11_발전량_모델'!$B$7))*SIN(RADIANS('11_발전량_모델'!$B$8))</f>
        <v/>
      </c>
      <c r="K809" s="80">
        <f>SIN(RADIANS('11_발전량_모델'!$B$7))*COS(RADIANS('11_발전량_모델'!$B$8))</f>
        <v/>
      </c>
      <c r="L809" s="80">
        <f>COS(RADIANS('11_발전량_모델'!$B$7))</f>
        <v/>
      </c>
      <c r="M809" s="80">
        <f>G809*J809+H809*K809+I809*L809</f>
        <v/>
      </c>
      <c r="N809" s="80">
        <f>MAX(0,I809)</f>
        <v/>
      </c>
      <c r="O809" s="80">
        <f>IF(I809&gt;0,MAX(0,M809),0)</f>
        <v/>
      </c>
      <c r="P809" s="80">
        <f>IF($I809&gt;0,MAX(0,$G809*SIN(RADIANS('13_시나리오비교'!$B$5))*SIN(RADIANS('13_시나리오비교'!$C$5))+$H809*SIN(RADIANS('13_시나리오비교'!$B$5))*COS(RADIANS('13_시나리오비교'!$C$5))+$I809*COS(RADIANS('13_시나리오비교'!$B$5))),0)</f>
        <v/>
      </c>
      <c r="Q809" s="80">
        <f>IF($I809&gt;0,MAX(0,$G809*SIN(RADIANS('13_시나리오비교'!$B$6))*SIN(RADIANS('13_시나리오비교'!$C$6))+$H809*SIN(RADIANS('13_시나리오비교'!$B$6))*COS(RADIANS('13_시나리오비교'!$C$6))+$I809*COS(RADIANS('13_시나리오비교'!$B$6))),0)</f>
        <v/>
      </c>
      <c r="R809" s="80">
        <f>IF($I809&gt;0,MAX(0,$G809*SIN(RADIANS('13_시나리오비교'!$B$7))*SIN(RADIANS('13_시나리오비교'!$C$7))+$H809*SIN(RADIANS('13_시나리오비교'!$B$7))*COS(RADIANS('13_시나리오비교'!$C$7))+$I809*COS(RADIANS('13_시나리오비교'!$B$7))),0)</f>
        <v/>
      </c>
      <c r="S809" s="80">
        <f>IF($I809&gt;0,MAX(0,$G809*SIN(RADIANS('13_시나리오비교'!$B$8))*SIN(RADIANS('13_시나리오비교'!$C$8))+$H809*SIN(RADIANS('13_시나리오비교'!$B$8))*COS(RADIANS('13_시나리오비교'!$C$8))+$I809*COS(RADIANS('13_시나리오비교'!$B$8))),0)</f>
        <v/>
      </c>
      <c r="T809" s="80">
        <f>IF($I809&gt;0,MAX(0,$G809*SIN(RADIANS('13_시나리오비교'!$B$9))*SIN(RADIANS('13_시나리오비교'!$C$9))+$H809*SIN(RADIANS('13_시나리오비교'!$B$9))*COS(RADIANS('13_시나리오비교'!$C$9))+$I809*COS(RADIANS('13_시나리오비교'!$B$9))),0)</f>
        <v/>
      </c>
      <c r="U809" s="80">
        <f>IF($I809&gt;0,MAX(0,$G809*SIN(RADIANS('13_시나리오비교'!$B$10))*SIN(RADIANS('13_시나리오비교'!$C$10))+$H809*SIN(RADIANS('13_시나리오비교'!$B$10))*COS(RADIANS('13_시나리오비교'!$C$10))+$I809*COS(RADIANS('13_시나리오비교'!$B$10))),0)</f>
        <v/>
      </c>
      <c r="V809" s="80">
        <f>IF($I809&gt;0,MAX(0,$G809*SIN(RADIANS('13_시나리오비교'!$B$11))*SIN(RADIANS('13_시나리오비교'!$C$11))+$H809*SIN(RADIANS('13_시나리오비교'!$B$11))*COS(RADIANS('13_시나리오비교'!$C$11))+$I809*COS(RADIANS('13_시나리오비교'!$B$11))),0)</f>
        <v/>
      </c>
      <c r="W809" s="80">
        <f>IF($I809&gt;0,MAX(0,$G809*SIN(RADIANS('13_시나리오비교'!$B$12))*SIN(RADIANS('13_시나리오비교'!$C$12))+$H809*SIN(RADIANS('13_시나리오비교'!$B$12))*COS(RADIANS('13_시나리오비교'!$C$12))+$I809*COS(RADIANS('13_시나리오비교'!$B$12))),0)</f>
        <v/>
      </c>
      <c r="X809" s="80">
        <f>IF($I809&gt;0,MAX(0,$G809*SIN(RADIANS('13_시나리오비교'!$B$13))*SIN(RADIANS('13_시나리오비교'!$C$13))+$H809*SIN(RADIANS('13_시나리오비교'!$B$13))*COS(RADIANS('13_시나리오비교'!$C$13))+$I809*COS(RADIANS('13_시나리오비교'!$B$13))),0)</f>
        <v/>
      </c>
      <c r="Y809" s="80">
        <f>IF($I809&gt;0,MAX(0,$G809*SIN(RADIANS('13_시나리오비교'!$B$14))*SIN(RADIANS('13_시나리오비교'!$C$14))+$H809*SIN(RADIANS('13_시나리오비교'!$B$14))*COS(RADIANS('13_시나리오비교'!$C$14))+$I809*COS(RADIANS('13_시나리오비교'!$B$14))),0)</f>
        <v/>
      </c>
    </row>
    <row r="810" hidden="1" outlineLevel="1">
      <c r="A810" s="79" t="n">
        <v>9</v>
      </c>
      <c r="B810" s="79" t="n">
        <v>22</v>
      </c>
      <c r="C810" s="80">
        <f>(B810-0.5)*'14_지역·상수'!$H$6</f>
        <v/>
      </c>
      <c r="D810" s="79" t="n">
        <v>258</v>
      </c>
      <c r="E810" s="80">
        <f>INDEX($C$4:$C$15,MATCH(A810,$A$4:$A$15,0))</f>
        <v/>
      </c>
      <c r="F810" s="80">
        <f>15*(C810-12)</f>
        <v/>
      </c>
      <c r="G810" s="80">
        <f>-COS(RADIANS(E810))*SIN(RADIANS(F810))</f>
        <v/>
      </c>
      <c r="H810" s="80">
        <f>COS(RADIANS('11_발전량_모델'!$B$17))*SIN(RADIANS(E810))-SIN(RADIANS('11_발전량_모델'!$B$17))*COS(RADIANS(E810))*COS(RADIANS(F810))</f>
        <v/>
      </c>
      <c r="I810" s="80">
        <f>SIN(RADIANS('11_발전량_모델'!$B$17))*SIN(RADIANS(E810))+COS(RADIANS('11_발전량_모델'!$B$17))*COS(RADIANS(E810))*COS(RADIANS(F810))</f>
        <v/>
      </c>
      <c r="J810" s="80">
        <f>SIN(RADIANS('11_발전량_모델'!$B$7))*SIN(RADIANS('11_발전량_모델'!$B$8))</f>
        <v/>
      </c>
      <c r="K810" s="80">
        <f>SIN(RADIANS('11_발전량_모델'!$B$7))*COS(RADIANS('11_발전량_모델'!$B$8))</f>
        <v/>
      </c>
      <c r="L810" s="80">
        <f>COS(RADIANS('11_발전량_모델'!$B$7))</f>
        <v/>
      </c>
      <c r="M810" s="80">
        <f>G810*J810+H810*K810+I810*L810</f>
        <v/>
      </c>
      <c r="N810" s="80">
        <f>MAX(0,I810)</f>
        <v/>
      </c>
      <c r="O810" s="80">
        <f>IF(I810&gt;0,MAX(0,M810),0)</f>
        <v/>
      </c>
      <c r="P810" s="80">
        <f>IF($I810&gt;0,MAX(0,$G810*SIN(RADIANS('13_시나리오비교'!$B$5))*SIN(RADIANS('13_시나리오비교'!$C$5))+$H810*SIN(RADIANS('13_시나리오비교'!$B$5))*COS(RADIANS('13_시나리오비교'!$C$5))+$I810*COS(RADIANS('13_시나리오비교'!$B$5))),0)</f>
        <v/>
      </c>
      <c r="Q810" s="80">
        <f>IF($I810&gt;0,MAX(0,$G810*SIN(RADIANS('13_시나리오비교'!$B$6))*SIN(RADIANS('13_시나리오비교'!$C$6))+$H810*SIN(RADIANS('13_시나리오비교'!$B$6))*COS(RADIANS('13_시나리오비교'!$C$6))+$I810*COS(RADIANS('13_시나리오비교'!$B$6))),0)</f>
        <v/>
      </c>
      <c r="R810" s="80">
        <f>IF($I810&gt;0,MAX(0,$G810*SIN(RADIANS('13_시나리오비교'!$B$7))*SIN(RADIANS('13_시나리오비교'!$C$7))+$H810*SIN(RADIANS('13_시나리오비교'!$B$7))*COS(RADIANS('13_시나리오비교'!$C$7))+$I810*COS(RADIANS('13_시나리오비교'!$B$7))),0)</f>
        <v/>
      </c>
      <c r="S810" s="80">
        <f>IF($I810&gt;0,MAX(0,$G810*SIN(RADIANS('13_시나리오비교'!$B$8))*SIN(RADIANS('13_시나리오비교'!$C$8))+$H810*SIN(RADIANS('13_시나리오비교'!$B$8))*COS(RADIANS('13_시나리오비교'!$C$8))+$I810*COS(RADIANS('13_시나리오비교'!$B$8))),0)</f>
        <v/>
      </c>
      <c r="T810" s="80">
        <f>IF($I810&gt;0,MAX(0,$G810*SIN(RADIANS('13_시나리오비교'!$B$9))*SIN(RADIANS('13_시나리오비교'!$C$9))+$H810*SIN(RADIANS('13_시나리오비교'!$B$9))*COS(RADIANS('13_시나리오비교'!$C$9))+$I810*COS(RADIANS('13_시나리오비교'!$B$9))),0)</f>
        <v/>
      </c>
      <c r="U810" s="80">
        <f>IF($I810&gt;0,MAX(0,$G810*SIN(RADIANS('13_시나리오비교'!$B$10))*SIN(RADIANS('13_시나리오비교'!$C$10))+$H810*SIN(RADIANS('13_시나리오비교'!$B$10))*COS(RADIANS('13_시나리오비교'!$C$10))+$I810*COS(RADIANS('13_시나리오비교'!$B$10))),0)</f>
        <v/>
      </c>
      <c r="V810" s="80">
        <f>IF($I810&gt;0,MAX(0,$G810*SIN(RADIANS('13_시나리오비교'!$B$11))*SIN(RADIANS('13_시나리오비교'!$C$11))+$H810*SIN(RADIANS('13_시나리오비교'!$B$11))*COS(RADIANS('13_시나리오비교'!$C$11))+$I810*COS(RADIANS('13_시나리오비교'!$B$11))),0)</f>
        <v/>
      </c>
      <c r="W810" s="80">
        <f>IF($I810&gt;0,MAX(0,$G810*SIN(RADIANS('13_시나리오비교'!$B$12))*SIN(RADIANS('13_시나리오비교'!$C$12))+$H810*SIN(RADIANS('13_시나리오비교'!$B$12))*COS(RADIANS('13_시나리오비교'!$C$12))+$I810*COS(RADIANS('13_시나리오비교'!$B$12))),0)</f>
        <v/>
      </c>
      <c r="X810" s="80">
        <f>IF($I810&gt;0,MAX(0,$G810*SIN(RADIANS('13_시나리오비교'!$B$13))*SIN(RADIANS('13_시나리오비교'!$C$13))+$H810*SIN(RADIANS('13_시나리오비교'!$B$13))*COS(RADIANS('13_시나리오비교'!$C$13))+$I810*COS(RADIANS('13_시나리오비교'!$B$13))),0)</f>
        <v/>
      </c>
      <c r="Y810" s="80">
        <f>IF($I810&gt;0,MAX(0,$G810*SIN(RADIANS('13_시나리오비교'!$B$14))*SIN(RADIANS('13_시나리오비교'!$C$14))+$H810*SIN(RADIANS('13_시나리오비교'!$B$14))*COS(RADIANS('13_시나리오비교'!$C$14))+$I810*COS(RADIANS('13_시나리오비교'!$B$14))),0)</f>
        <v/>
      </c>
    </row>
    <row r="811" hidden="1" outlineLevel="1">
      <c r="A811" s="79" t="n">
        <v>9</v>
      </c>
      <c r="B811" s="79" t="n">
        <v>23</v>
      </c>
      <c r="C811" s="80">
        <f>(B811-0.5)*'14_지역·상수'!$H$6</f>
        <v/>
      </c>
      <c r="D811" s="79" t="n">
        <v>258</v>
      </c>
      <c r="E811" s="80">
        <f>INDEX($C$4:$C$15,MATCH(A811,$A$4:$A$15,0))</f>
        <v/>
      </c>
      <c r="F811" s="80">
        <f>15*(C811-12)</f>
        <v/>
      </c>
      <c r="G811" s="80">
        <f>-COS(RADIANS(E811))*SIN(RADIANS(F811))</f>
        <v/>
      </c>
      <c r="H811" s="80">
        <f>COS(RADIANS('11_발전량_모델'!$B$17))*SIN(RADIANS(E811))-SIN(RADIANS('11_발전량_모델'!$B$17))*COS(RADIANS(E811))*COS(RADIANS(F811))</f>
        <v/>
      </c>
      <c r="I811" s="80">
        <f>SIN(RADIANS('11_발전량_모델'!$B$17))*SIN(RADIANS(E811))+COS(RADIANS('11_발전량_모델'!$B$17))*COS(RADIANS(E811))*COS(RADIANS(F811))</f>
        <v/>
      </c>
      <c r="J811" s="80">
        <f>SIN(RADIANS('11_발전량_모델'!$B$7))*SIN(RADIANS('11_발전량_모델'!$B$8))</f>
        <v/>
      </c>
      <c r="K811" s="80">
        <f>SIN(RADIANS('11_발전량_모델'!$B$7))*COS(RADIANS('11_발전량_모델'!$B$8))</f>
        <v/>
      </c>
      <c r="L811" s="80">
        <f>COS(RADIANS('11_발전량_모델'!$B$7))</f>
        <v/>
      </c>
      <c r="M811" s="80">
        <f>G811*J811+H811*K811+I811*L811</f>
        <v/>
      </c>
      <c r="N811" s="80">
        <f>MAX(0,I811)</f>
        <v/>
      </c>
      <c r="O811" s="80">
        <f>IF(I811&gt;0,MAX(0,M811),0)</f>
        <v/>
      </c>
      <c r="P811" s="80">
        <f>IF($I811&gt;0,MAX(0,$G811*SIN(RADIANS('13_시나리오비교'!$B$5))*SIN(RADIANS('13_시나리오비교'!$C$5))+$H811*SIN(RADIANS('13_시나리오비교'!$B$5))*COS(RADIANS('13_시나리오비교'!$C$5))+$I811*COS(RADIANS('13_시나리오비교'!$B$5))),0)</f>
        <v/>
      </c>
      <c r="Q811" s="80">
        <f>IF($I811&gt;0,MAX(0,$G811*SIN(RADIANS('13_시나리오비교'!$B$6))*SIN(RADIANS('13_시나리오비교'!$C$6))+$H811*SIN(RADIANS('13_시나리오비교'!$B$6))*COS(RADIANS('13_시나리오비교'!$C$6))+$I811*COS(RADIANS('13_시나리오비교'!$B$6))),0)</f>
        <v/>
      </c>
      <c r="R811" s="80">
        <f>IF($I811&gt;0,MAX(0,$G811*SIN(RADIANS('13_시나리오비교'!$B$7))*SIN(RADIANS('13_시나리오비교'!$C$7))+$H811*SIN(RADIANS('13_시나리오비교'!$B$7))*COS(RADIANS('13_시나리오비교'!$C$7))+$I811*COS(RADIANS('13_시나리오비교'!$B$7))),0)</f>
        <v/>
      </c>
      <c r="S811" s="80">
        <f>IF($I811&gt;0,MAX(0,$G811*SIN(RADIANS('13_시나리오비교'!$B$8))*SIN(RADIANS('13_시나리오비교'!$C$8))+$H811*SIN(RADIANS('13_시나리오비교'!$B$8))*COS(RADIANS('13_시나리오비교'!$C$8))+$I811*COS(RADIANS('13_시나리오비교'!$B$8))),0)</f>
        <v/>
      </c>
      <c r="T811" s="80">
        <f>IF($I811&gt;0,MAX(0,$G811*SIN(RADIANS('13_시나리오비교'!$B$9))*SIN(RADIANS('13_시나리오비교'!$C$9))+$H811*SIN(RADIANS('13_시나리오비교'!$B$9))*COS(RADIANS('13_시나리오비교'!$C$9))+$I811*COS(RADIANS('13_시나리오비교'!$B$9))),0)</f>
        <v/>
      </c>
      <c r="U811" s="80">
        <f>IF($I811&gt;0,MAX(0,$G811*SIN(RADIANS('13_시나리오비교'!$B$10))*SIN(RADIANS('13_시나리오비교'!$C$10))+$H811*SIN(RADIANS('13_시나리오비교'!$B$10))*COS(RADIANS('13_시나리오비교'!$C$10))+$I811*COS(RADIANS('13_시나리오비교'!$B$10))),0)</f>
        <v/>
      </c>
      <c r="V811" s="80">
        <f>IF($I811&gt;0,MAX(0,$G811*SIN(RADIANS('13_시나리오비교'!$B$11))*SIN(RADIANS('13_시나리오비교'!$C$11))+$H811*SIN(RADIANS('13_시나리오비교'!$B$11))*COS(RADIANS('13_시나리오비교'!$C$11))+$I811*COS(RADIANS('13_시나리오비교'!$B$11))),0)</f>
        <v/>
      </c>
      <c r="W811" s="80">
        <f>IF($I811&gt;0,MAX(0,$G811*SIN(RADIANS('13_시나리오비교'!$B$12))*SIN(RADIANS('13_시나리오비교'!$C$12))+$H811*SIN(RADIANS('13_시나리오비교'!$B$12))*COS(RADIANS('13_시나리오비교'!$C$12))+$I811*COS(RADIANS('13_시나리오비교'!$B$12))),0)</f>
        <v/>
      </c>
      <c r="X811" s="80">
        <f>IF($I811&gt;0,MAX(0,$G811*SIN(RADIANS('13_시나리오비교'!$B$13))*SIN(RADIANS('13_시나리오비교'!$C$13))+$H811*SIN(RADIANS('13_시나리오비교'!$B$13))*COS(RADIANS('13_시나리오비교'!$C$13))+$I811*COS(RADIANS('13_시나리오비교'!$B$13))),0)</f>
        <v/>
      </c>
      <c r="Y811" s="80">
        <f>IF($I811&gt;0,MAX(0,$G811*SIN(RADIANS('13_시나리오비교'!$B$14))*SIN(RADIANS('13_시나리오비교'!$C$14))+$H811*SIN(RADIANS('13_시나리오비교'!$B$14))*COS(RADIANS('13_시나리오비교'!$C$14))+$I811*COS(RADIANS('13_시나리오비교'!$B$14))),0)</f>
        <v/>
      </c>
    </row>
    <row r="812" hidden="1" outlineLevel="1">
      <c r="A812" s="79" t="n">
        <v>9</v>
      </c>
      <c r="B812" s="79" t="n">
        <v>24</v>
      </c>
      <c r="C812" s="80">
        <f>(B812-0.5)*'14_지역·상수'!$H$6</f>
        <v/>
      </c>
      <c r="D812" s="79" t="n">
        <v>258</v>
      </c>
      <c r="E812" s="80">
        <f>INDEX($C$4:$C$15,MATCH(A812,$A$4:$A$15,0))</f>
        <v/>
      </c>
      <c r="F812" s="80">
        <f>15*(C812-12)</f>
        <v/>
      </c>
      <c r="G812" s="80">
        <f>-COS(RADIANS(E812))*SIN(RADIANS(F812))</f>
        <v/>
      </c>
      <c r="H812" s="80">
        <f>COS(RADIANS('11_발전량_모델'!$B$17))*SIN(RADIANS(E812))-SIN(RADIANS('11_발전량_모델'!$B$17))*COS(RADIANS(E812))*COS(RADIANS(F812))</f>
        <v/>
      </c>
      <c r="I812" s="80">
        <f>SIN(RADIANS('11_발전량_모델'!$B$17))*SIN(RADIANS(E812))+COS(RADIANS('11_발전량_모델'!$B$17))*COS(RADIANS(E812))*COS(RADIANS(F812))</f>
        <v/>
      </c>
      <c r="J812" s="80">
        <f>SIN(RADIANS('11_발전량_모델'!$B$7))*SIN(RADIANS('11_발전량_모델'!$B$8))</f>
        <v/>
      </c>
      <c r="K812" s="80">
        <f>SIN(RADIANS('11_발전량_모델'!$B$7))*COS(RADIANS('11_발전량_모델'!$B$8))</f>
        <v/>
      </c>
      <c r="L812" s="80">
        <f>COS(RADIANS('11_발전량_모델'!$B$7))</f>
        <v/>
      </c>
      <c r="M812" s="80">
        <f>G812*J812+H812*K812+I812*L812</f>
        <v/>
      </c>
      <c r="N812" s="80">
        <f>MAX(0,I812)</f>
        <v/>
      </c>
      <c r="O812" s="80">
        <f>IF(I812&gt;0,MAX(0,M812),0)</f>
        <v/>
      </c>
      <c r="P812" s="80">
        <f>IF($I812&gt;0,MAX(0,$G812*SIN(RADIANS('13_시나리오비교'!$B$5))*SIN(RADIANS('13_시나리오비교'!$C$5))+$H812*SIN(RADIANS('13_시나리오비교'!$B$5))*COS(RADIANS('13_시나리오비교'!$C$5))+$I812*COS(RADIANS('13_시나리오비교'!$B$5))),0)</f>
        <v/>
      </c>
      <c r="Q812" s="80">
        <f>IF($I812&gt;0,MAX(0,$G812*SIN(RADIANS('13_시나리오비교'!$B$6))*SIN(RADIANS('13_시나리오비교'!$C$6))+$H812*SIN(RADIANS('13_시나리오비교'!$B$6))*COS(RADIANS('13_시나리오비교'!$C$6))+$I812*COS(RADIANS('13_시나리오비교'!$B$6))),0)</f>
        <v/>
      </c>
      <c r="R812" s="80">
        <f>IF($I812&gt;0,MAX(0,$G812*SIN(RADIANS('13_시나리오비교'!$B$7))*SIN(RADIANS('13_시나리오비교'!$C$7))+$H812*SIN(RADIANS('13_시나리오비교'!$B$7))*COS(RADIANS('13_시나리오비교'!$C$7))+$I812*COS(RADIANS('13_시나리오비교'!$B$7))),0)</f>
        <v/>
      </c>
      <c r="S812" s="80">
        <f>IF($I812&gt;0,MAX(0,$G812*SIN(RADIANS('13_시나리오비교'!$B$8))*SIN(RADIANS('13_시나리오비교'!$C$8))+$H812*SIN(RADIANS('13_시나리오비교'!$B$8))*COS(RADIANS('13_시나리오비교'!$C$8))+$I812*COS(RADIANS('13_시나리오비교'!$B$8))),0)</f>
        <v/>
      </c>
      <c r="T812" s="80">
        <f>IF($I812&gt;0,MAX(0,$G812*SIN(RADIANS('13_시나리오비교'!$B$9))*SIN(RADIANS('13_시나리오비교'!$C$9))+$H812*SIN(RADIANS('13_시나리오비교'!$B$9))*COS(RADIANS('13_시나리오비교'!$C$9))+$I812*COS(RADIANS('13_시나리오비교'!$B$9))),0)</f>
        <v/>
      </c>
      <c r="U812" s="80">
        <f>IF($I812&gt;0,MAX(0,$G812*SIN(RADIANS('13_시나리오비교'!$B$10))*SIN(RADIANS('13_시나리오비교'!$C$10))+$H812*SIN(RADIANS('13_시나리오비교'!$B$10))*COS(RADIANS('13_시나리오비교'!$C$10))+$I812*COS(RADIANS('13_시나리오비교'!$B$10))),0)</f>
        <v/>
      </c>
      <c r="V812" s="80">
        <f>IF($I812&gt;0,MAX(0,$G812*SIN(RADIANS('13_시나리오비교'!$B$11))*SIN(RADIANS('13_시나리오비교'!$C$11))+$H812*SIN(RADIANS('13_시나리오비교'!$B$11))*COS(RADIANS('13_시나리오비교'!$C$11))+$I812*COS(RADIANS('13_시나리오비교'!$B$11))),0)</f>
        <v/>
      </c>
      <c r="W812" s="80">
        <f>IF($I812&gt;0,MAX(0,$G812*SIN(RADIANS('13_시나리오비교'!$B$12))*SIN(RADIANS('13_시나리오비교'!$C$12))+$H812*SIN(RADIANS('13_시나리오비교'!$B$12))*COS(RADIANS('13_시나리오비교'!$C$12))+$I812*COS(RADIANS('13_시나리오비교'!$B$12))),0)</f>
        <v/>
      </c>
      <c r="X812" s="80">
        <f>IF($I812&gt;0,MAX(0,$G812*SIN(RADIANS('13_시나리오비교'!$B$13))*SIN(RADIANS('13_시나리오비교'!$C$13))+$H812*SIN(RADIANS('13_시나리오비교'!$B$13))*COS(RADIANS('13_시나리오비교'!$C$13))+$I812*COS(RADIANS('13_시나리오비교'!$B$13))),0)</f>
        <v/>
      </c>
      <c r="Y812" s="80">
        <f>IF($I812&gt;0,MAX(0,$G812*SIN(RADIANS('13_시나리오비교'!$B$14))*SIN(RADIANS('13_시나리오비교'!$C$14))+$H812*SIN(RADIANS('13_시나리오비교'!$B$14))*COS(RADIANS('13_시나리오비교'!$C$14))+$I812*COS(RADIANS('13_시나리오비교'!$B$14))),0)</f>
        <v/>
      </c>
    </row>
    <row r="813" hidden="1" outlineLevel="1">
      <c r="A813" s="79" t="n">
        <v>9</v>
      </c>
      <c r="B813" s="79" t="n">
        <v>25</v>
      </c>
      <c r="C813" s="80">
        <f>(B813-0.5)*'14_지역·상수'!$H$6</f>
        <v/>
      </c>
      <c r="D813" s="79" t="n">
        <v>258</v>
      </c>
      <c r="E813" s="80">
        <f>INDEX($C$4:$C$15,MATCH(A813,$A$4:$A$15,0))</f>
        <v/>
      </c>
      <c r="F813" s="80">
        <f>15*(C813-12)</f>
        <v/>
      </c>
      <c r="G813" s="80">
        <f>-COS(RADIANS(E813))*SIN(RADIANS(F813))</f>
        <v/>
      </c>
      <c r="H813" s="80">
        <f>COS(RADIANS('11_발전량_모델'!$B$17))*SIN(RADIANS(E813))-SIN(RADIANS('11_발전량_모델'!$B$17))*COS(RADIANS(E813))*COS(RADIANS(F813))</f>
        <v/>
      </c>
      <c r="I813" s="80">
        <f>SIN(RADIANS('11_발전량_모델'!$B$17))*SIN(RADIANS(E813))+COS(RADIANS('11_발전량_모델'!$B$17))*COS(RADIANS(E813))*COS(RADIANS(F813))</f>
        <v/>
      </c>
      <c r="J813" s="80">
        <f>SIN(RADIANS('11_발전량_모델'!$B$7))*SIN(RADIANS('11_발전량_모델'!$B$8))</f>
        <v/>
      </c>
      <c r="K813" s="80">
        <f>SIN(RADIANS('11_발전량_모델'!$B$7))*COS(RADIANS('11_발전량_모델'!$B$8))</f>
        <v/>
      </c>
      <c r="L813" s="80">
        <f>COS(RADIANS('11_발전량_모델'!$B$7))</f>
        <v/>
      </c>
      <c r="M813" s="80">
        <f>G813*J813+H813*K813+I813*L813</f>
        <v/>
      </c>
      <c r="N813" s="80">
        <f>MAX(0,I813)</f>
        <v/>
      </c>
      <c r="O813" s="80">
        <f>IF(I813&gt;0,MAX(0,M813),0)</f>
        <v/>
      </c>
      <c r="P813" s="80">
        <f>IF($I813&gt;0,MAX(0,$G813*SIN(RADIANS('13_시나리오비교'!$B$5))*SIN(RADIANS('13_시나리오비교'!$C$5))+$H813*SIN(RADIANS('13_시나리오비교'!$B$5))*COS(RADIANS('13_시나리오비교'!$C$5))+$I813*COS(RADIANS('13_시나리오비교'!$B$5))),0)</f>
        <v/>
      </c>
      <c r="Q813" s="80">
        <f>IF($I813&gt;0,MAX(0,$G813*SIN(RADIANS('13_시나리오비교'!$B$6))*SIN(RADIANS('13_시나리오비교'!$C$6))+$H813*SIN(RADIANS('13_시나리오비교'!$B$6))*COS(RADIANS('13_시나리오비교'!$C$6))+$I813*COS(RADIANS('13_시나리오비교'!$B$6))),0)</f>
        <v/>
      </c>
      <c r="R813" s="80">
        <f>IF($I813&gt;0,MAX(0,$G813*SIN(RADIANS('13_시나리오비교'!$B$7))*SIN(RADIANS('13_시나리오비교'!$C$7))+$H813*SIN(RADIANS('13_시나리오비교'!$B$7))*COS(RADIANS('13_시나리오비교'!$C$7))+$I813*COS(RADIANS('13_시나리오비교'!$B$7))),0)</f>
        <v/>
      </c>
      <c r="S813" s="80">
        <f>IF($I813&gt;0,MAX(0,$G813*SIN(RADIANS('13_시나리오비교'!$B$8))*SIN(RADIANS('13_시나리오비교'!$C$8))+$H813*SIN(RADIANS('13_시나리오비교'!$B$8))*COS(RADIANS('13_시나리오비교'!$C$8))+$I813*COS(RADIANS('13_시나리오비교'!$B$8))),0)</f>
        <v/>
      </c>
      <c r="T813" s="80">
        <f>IF($I813&gt;0,MAX(0,$G813*SIN(RADIANS('13_시나리오비교'!$B$9))*SIN(RADIANS('13_시나리오비교'!$C$9))+$H813*SIN(RADIANS('13_시나리오비교'!$B$9))*COS(RADIANS('13_시나리오비교'!$C$9))+$I813*COS(RADIANS('13_시나리오비교'!$B$9))),0)</f>
        <v/>
      </c>
      <c r="U813" s="80">
        <f>IF($I813&gt;0,MAX(0,$G813*SIN(RADIANS('13_시나리오비교'!$B$10))*SIN(RADIANS('13_시나리오비교'!$C$10))+$H813*SIN(RADIANS('13_시나리오비교'!$B$10))*COS(RADIANS('13_시나리오비교'!$C$10))+$I813*COS(RADIANS('13_시나리오비교'!$B$10))),0)</f>
        <v/>
      </c>
      <c r="V813" s="80">
        <f>IF($I813&gt;0,MAX(0,$G813*SIN(RADIANS('13_시나리오비교'!$B$11))*SIN(RADIANS('13_시나리오비교'!$C$11))+$H813*SIN(RADIANS('13_시나리오비교'!$B$11))*COS(RADIANS('13_시나리오비교'!$C$11))+$I813*COS(RADIANS('13_시나리오비교'!$B$11))),0)</f>
        <v/>
      </c>
      <c r="W813" s="80">
        <f>IF($I813&gt;0,MAX(0,$G813*SIN(RADIANS('13_시나리오비교'!$B$12))*SIN(RADIANS('13_시나리오비교'!$C$12))+$H813*SIN(RADIANS('13_시나리오비교'!$B$12))*COS(RADIANS('13_시나리오비교'!$C$12))+$I813*COS(RADIANS('13_시나리오비교'!$B$12))),0)</f>
        <v/>
      </c>
      <c r="X813" s="80">
        <f>IF($I813&gt;0,MAX(0,$G813*SIN(RADIANS('13_시나리오비교'!$B$13))*SIN(RADIANS('13_시나리오비교'!$C$13))+$H813*SIN(RADIANS('13_시나리오비교'!$B$13))*COS(RADIANS('13_시나리오비교'!$C$13))+$I813*COS(RADIANS('13_시나리오비교'!$B$13))),0)</f>
        <v/>
      </c>
      <c r="Y813" s="80">
        <f>IF($I813&gt;0,MAX(0,$G813*SIN(RADIANS('13_시나리오비교'!$B$14))*SIN(RADIANS('13_시나리오비교'!$C$14))+$H813*SIN(RADIANS('13_시나리오비교'!$B$14))*COS(RADIANS('13_시나리오비교'!$C$14))+$I813*COS(RADIANS('13_시나리오비교'!$B$14))),0)</f>
        <v/>
      </c>
    </row>
    <row r="814" hidden="1" outlineLevel="1">
      <c r="A814" s="79" t="n">
        <v>9</v>
      </c>
      <c r="B814" s="79" t="n">
        <v>26</v>
      </c>
      <c r="C814" s="80">
        <f>(B814-0.5)*'14_지역·상수'!$H$6</f>
        <v/>
      </c>
      <c r="D814" s="79" t="n">
        <v>258</v>
      </c>
      <c r="E814" s="80">
        <f>INDEX($C$4:$C$15,MATCH(A814,$A$4:$A$15,0))</f>
        <v/>
      </c>
      <c r="F814" s="80">
        <f>15*(C814-12)</f>
        <v/>
      </c>
      <c r="G814" s="80">
        <f>-COS(RADIANS(E814))*SIN(RADIANS(F814))</f>
        <v/>
      </c>
      <c r="H814" s="80">
        <f>COS(RADIANS('11_발전량_모델'!$B$17))*SIN(RADIANS(E814))-SIN(RADIANS('11_발전량_모델'!$B$17))*COS(RADIANS(E814))*COS(RADIANS(F814))</f>
        <v/>
      </c>
      <c r="I814" s="80">
        <f>SIN(RADIANS('11_발전량_모델'!$B$17))*SIN(RADIANS(E814))+COS(RADIANS('11_발전량_모델'!$B$17))*COS(RADIANS(E814))*COS(RADIANS(F814))</f>
        <v/>
      </c>
      <c r="J814" s="80">
        <f>SIN(RADIANS('11_발전량_모델'!$B$7))*SIN(RADIANS('11_발전량_모델'!$B$8))</f>
        <v/>
      </c>
      <c r="K814" s="80">
        <f>SIN(RADIANS('11_발전량_모델'!$B$7))*COS(RADIANS('11_발전량_모델'!$B$8))</f>
        <v/>
      </c>
      <c r="L814" s="80">
        <f>COS(RADIANS('11_발전량_모델'!$B$7))</f>
        <v/>
      </c>
      <c r="M814" s="80">
        <f>G814*J814+H814*K814+I814*L814</f>
        <v/>
      </c>
      <c r="N814" s="80">
        <f>MAX(0,I814)</f>
        <v/>
      </c>
      <c r="O814" s="80">
        <f>IF(I814&gt;0,MAX(0,M814),0)</f>
        <v/>
      </c>
      <c r="P814" s="80">
        <f>IF($I814&gt;0,MAX(0,$G814*SIN(RADIANS('13_시나리오비교'!$B$5))*SIN(RADIANS('13_시나리오비교'!$C$5))+$H814*SIN(RADIANS('13_시나리오비교'!$B$5))*COS(RADIANS('13_시나리오비교'!$C$5))+$I814*COS(RADIANS('13_시나리오비교'!$B$5))),0)</f>
        <v/>
      </c>
      <c r="Q814" s="80">
        <f>IF($I814&gt;0,MAX(0,$G814*SIN(RADIANS('13_시나리오비교'!$B$6))*SIN(RADIANS('13_시나리오비교'!$C$6))+$H814*SIN(RADIANS('13_시나리오비교'!$B$6))*COS(RADIANS('13_시나리오비교'!$C$6))+$I814*COS(RADIANS('13_시나리오비교'!$B$6))),0)</f>
        <v/>
      </c>
      <c r="R814" s="80">
        <f>IF($I814&gt;0,MAX(0,$G814*SIN(RADIANS('13_시나리오비교'!$B$7))*SIN(RADIANS('13_시나리오비교'!$C$7))+$H814*SIN(RADIANS('13_시나리오비교'!$B$7))*COS(RADIANS('13_시나리오비교'!$C$7))+$I814*COS(RADIANS('13_시나리오비교'!$B$7))),0)</f>
        <v/>
      </c>
      <c r="S814" s="80">
        <f>IF($I814&gt;0,MAX(0,$G814*SIN(RADIANS('13_시나리오비교'!$B$8))*SIN(RADIANS('13_시나리오비교'!$C$8))+$H814*SIN(RADIANS('13_시나리오비교'!$B$8))*COS(RADIANS('13_시나리오비교'!$C$8))+$I814*COS(RADIANS('13_시나리오비교'!$B$8))),0)</f>
        <v/>
      </c>
      <c r="T814" s="80">
        <f>IF($I814&gt;0,MAX(0,$G814*SIN(RADIANS('13_시나리오비교'!$B$9))*SIN(RADIANS('13_시나리오비교'!$C$9))+$H814*SIN(RADIANS('13_시나리오비교'!$B$9))*COS(RADIANS('13_시나리오비교'!$C$9))+$I814*COS(RADIANS('13_시나리오비교'!$B$9))),0)</f>
        <v/>
      </c>
      <c r="U814" s="80">
        <f>IF($I814&gt;0,MAX(0,$G814*SIN(RADIANS('13_시나리오비교'!$B$10))*SIN(RADIANS('13_시나리오비교'!$C$10))+$H814*SIN(RADIANS('13_시나리오비교'!$B$10))*COS(RADIANS('13_시나리오비교'!$C$10))+$I814*COS(RADIANS('13_시나리오비교'!$B$10))),0)</f>
        <v/>
      </c>
      <c r="V814" s="80">
        <f>IF($I814&gt;0,MAX(0,$G814*SIN(RADIANS('13_시나리오비교'!$B$11))*SIN(RADIANS('13_시나리오비교'!$C$11))+$H814*SIN(RADIANS('13_시나리오비교'!$B$11))*COS(RADIANS('13_시나리오비교'!$C$11))+$I814*COS(RADIANS('13_시나리오비교'!$B$11))),0)</f>
        <v/>
      </c>
      <c r="W814" s="80">
        <f>IF($I814&gt;0,MAX(0,$G814*SIN(RADIANS('13_시나리오비교'!$B$12))*SIN(RADIANS('13_시나리오비교'!$C$12))+$H814*SIN(RADIANS('13_시나리오비교'!$B$12))*COS(RADIANS('13_시나리오비교'!$C$12))+$I814*COS(RADIANS('13_시나리오비교'!$B$12))),0)</f>
        <v/>
      </c>
      <c r="X814" s="80">
        <f>IF($I814&gt;0,MAX(0,$G814*SIN(RADIANS('13_시나리오비교'!$B$13))*SIN(RADIANS('13_시나리오비교'!$C$13))+$H814*SIN(RADIANS('13_시나리오비교'!$B$13))*COS(RADIANS('13_시나리오비교'!$C$13))+$I814*COS(RADIANS('13_시나리오비교'!$B$13))),0)</f>
        <v/>
      </c>
      <c r="Y814" s="80">
        <f>IF($I814&gt;0,MAX(0,$G814*SIN(RADIANS('13_시나리오비교'!$B$14))*SIN(RADIANS('13_시나리오비교'!$C$14))+$H814*SIN(RADIANS('13_시나리오비교'!$B$14))*COS(RADIANS('13_시나리오비교'!$C$14))+$I814*COS(RADIANS('13_시나리오비교'!$B$14))),0)</f>
        <v/>
      </c>
    </row>
    <row r="815" hidden="1" outlineLevel="1">
      <c r="A815" s="79" t="n">
        <v>9</v>
      </c>
      <c r="B815" s="79" t="n">
        <v>27</v>
      </c>
      <c r="C815" s="80">
        <f>(B815-0.5)*'14_지역·상수'!$H$6</f>
        <v/>
      </c>
      <c r="D815" s="79" t="n">
        <v>258</v>
      </c>
      <c r="E815" s="80">
        <f>INDEX($C$4:$C$15,MATCH(A815,$A$4:$A$15,0))</f>
        <v/>
      </c>
      <c r="F815" s="80">
        <f>15*(C815-12)</f>
        <v/>
      </c>
      <c r="G815" s="80">
        <f>-COS(RADIANS(E815))*SIN(RADIANS(F815))</f>
        <v/>
      </c>
      <c r="H815" s="80">
        <f>COS(RADIANS('11_발전량_모델'!$B$17))*SIN(RADIANS(E815))-SIN(RADIANS('11_발전량_모델'!$B$17))*COS(RADIANS(E815))*COS(RADIANS(F815))</f>
        <v/>
      </c>
      <c r="I815" s="80">
        <f>SIN(RADIANS('11_발전량_모델'!$B$17))*SIN(RADIANS(E815))+COS(RADIANS('11_발전량_모델'!$B$17))*COS(RADIANS(E815))*COS(RADIANS(F815))</f>
        <v/>
      </c>
      <c r="J815" s="80">
        <f>SIN(RADIANS('11_발전량_모델'!$B$7))*SIN(RADIANS('11_발전량_모델'!$B$8))</f>
        <v/>
      </c>
      <c r="K815" s="80">
        <f>SIN(RADIANS('11_발전량_모델'!$B$7))*COS(RADIANS('11_발전량_모델'!$B$8))</f>
        <v/>
      </c>
      <c r="L815" s="80">
        <f>COS(RADIANS('11_발전량_모델'!$B$7))</f>
        <v/>
      </c>
      <c r="M815" s="80">
        <f>G815*J815+H815*K815+I815*L815</f>
        <v/>
      </c>
      <c r="N815" s="80">
        <f>MAX(0,I815)</f>
        <v/>
      </c>
      <c r="O815" s="80">
        <f>IF(I815&gt;0,MAX(0,M815),0)</f>
        <v/>
      </c>
      <c r="P815" s="80">
        <f>IF($I815&gt;0,MAX(0,$G815*SIN(RADIANS('13_시나리오비교'!$B$5))*SIN(RADIANS('13_시나리오비교'!$C$5))+$H815*SIN(RADIANS('13_시나리오비교'!$B$5))*COS(RADIANS('13_시나리오비교'!$C$5))+$I815*COS(RADIANS('13_시나리오비교'!$B$5))),0)</f>
        <v/>
      </c>
      <c r="Q815" s="80">
        <f>IF($I815&gt;0,MAX(0,$G815*SIN(RADIANS('13_시나리오비교'!$B$6))*SIN(RADIANS('13_시나리오비교'!$C$6))+$H815*SIN(RADIANS('13_시나리오비교'!$B$6))*COS(RADIANS('13_시나리오비교'!$C$6))+$I815*COS(RADIANS('13_시나리오비교'!$B$6))),0)</f>
        <v/>
      </c>
      <c r="R815" s="80">
        <f>IF($I815&gt;0,MAX(0,$G815*SIN(RADIANS('13_시나리오비교'!$B$7))*SIN(RADIANS('13_시나리오비교'!$C$7))+$H815*SIN(RADIANS('13_시나리오비교'!$B$7))*COS(RADIANS('13_시나리오비교'!$C$7))+$I815*COS(RADIANS('13_시나리오비교'!$B$7))),0)</f>
        <v/>
      </c>
      <c r="S815" s="80">
        <f>IF($I815&gt;0,MAX(0,$G815*SIN(RADIANS('13_시나리오비교'!$B$8))*SIN(RADIANS('13_시나리오비교'!$C$8))+$H815*SIN(RADIANS('13_시나리오비교'!$B$8))*COS(RADIANS('13_시나리오비교'!$C$8))+$I815*COS(RADIANS('13_시나리오비교'!$B$8))),0)</f>
        <v/>
      </c>
      <c r="T815" s="80">
        <f>IF($I815&gt;0,MAX(0,$G815*SIN(RADIANS('13_시나리오비교'!$B$9))*SIN(RADIANS('13_시나리오비교'!$C$9))+$H815*SIN(RADIANS('13_시나리오비교'!$B$9))*COS(RADIANS('13_시나리오비교'!$C$9))+$I815*COS(RADIANS('13_시나리오비교'!$B$9))),0)</f>
        <v/>
      </c>
      <c r="U815" s="80">
        <f>IF($I815&gt;0,MAX(0,$G815*SIN(RADIANS('13_시나리오비교'!$B$10))*SIN(RADIANS('13_시나리오비교'!$C$10))+$H815*SIN(RADIANS('13_시나리오비교'!$B$10))*COS(RADIANS('13_시나리오비교'!$C$10))+$I815*COS(RADIANS('13_시나리오비교'!$B$10))),0)</f>
        <v/>
      </c>
      <c r="V815" s="80">
        <f>IF($I815&gt;0,MAX(0,$G815*SIN(RADIANS('13_시나리오비교'!$B$11))*SIN(RADIANS('13_시나리오비교'!$C$11))+$H815*SIN(RADIANS('13_시나리오비교'!$B$11))*COS(RADIANS('13_시나리오비교'!$C$11))+$I815*COS(RADIANS('13_시나리오비교'!$B$11))),0)</f>
        <v/>
      </c>
      <c r="W815" s="80">
        <f>IF($I815&gt;0,MAX(0,$G815*SIN(RADIANS('13_시나리오비교'!$B$12))*SIN(RADIANS('13_시나리오비교'!$C$12))+$H815*SIN(RADIANS('13_시나리오비교'!$B$12))*COS(RADIANS('13_시나리오비교'!$C$12))+$I815*COS(RADIANS('13_시나리오비교'!$B$12))),0)</f>
        <v/>
      </c>
      <c r="X815" s="80">
        <f>IF($I815&gt;0,MAX(0,$G815*SIN(RADIANS('13_시나리오비교'!$B$13))*SIN(RADIANS('13_시나리오비교'!$C$13))+$H815*SIN(RADIANS('13_시나리오비교'!$B$13))*COS(RADIANS('13_시나리오비교'!$C$13))+$I815*COS(RADIANS('13_시나리오비교'!$B$13))),0)</f>
        <v/>
      </c>
      <c r="Y815" s="80">
        <f>IF($I815&gt;0,MAX(0,$G815*SIN(RADIANS('13_시나리오비교'!$B$14))*SIN(RADIANS('13_시나리오비교'!$C$14))+$H815*SIN(RADIANS('13_시나리오비교'!$B$14))*COS(RADIANS('13_시나리오비교'!$C$14))+$I815*COS(RADIANS('13_시나리오비교'!$B$14))),0)</f>
        <v/>
      </c>
    </row>
    <row r="816" hidden="1" outlineLevel="1">
      <c r="A816" s="79" t="n">
        <v>9</v>
      </c>
      <c r="B816" s="79" t="n">
        <v>28</v>
      </c>
      <c r="C816" s="80">
        <f>(B816-0.5)*'14_지역·상수'!$H$6</f>
        <v/>
      </c>
      <c r="D816" s="79" t="n">
        <v>258</v>
      </c>
      <c r="E816" s="80">
        <f>INDEX($C$4:$C$15,MATCH(A816,$A$4:$A$15,0))</f>
        <v/>
      </c>
      <c r="F816" s="80">
        <f>15*(C816-12)</f>
        <v/>
      </c>
      <c r="G816" s="80">
        <f>-COS(RADIANS(E816))*SIN(RADIANS(F816))</f>
        <v/>
      </c>
      <c r="H816" s="80">
        <f>COS(RADIANS('11_발전량_모델'!$B$17))*SIN(RADIANS(E816))-SIN(RADIANS('11_발전량_모델'!$B$17))*COS(RADIANS(E816))*COS(RADIANS(F816))</f>
        <v/>
      </c>
      <c r="I816" s="80">
        <f>SIN(RADIANS('11_발전량_모델'!$B$17))*SIN(RADIANS(E816))+COS(RADIANS('11_발전량_모델'!$B$17))*COS(RADIANS(E816))*COS(RADIANS(F816))</f>
        <v/>
      </c>
      <c r="J816" s="80">
        <f>SIN(RADIANS('11_발전량_모델'!$B$7))*SIN(RADIANS('11_발전량_모델'!$B$8))</f>
        <v/>
      </c>
      <c r="K816" s="80">
        <f>SIN(RADIANS('11_발전량_모델'!$B$7))*COS(RADIANS('11_발전량_모델'!$B$8))</f>
        <v/>
      </c>
      <c r="L816" s="80">
        <f>COS(RADIANS('11_발전량_모델'!$B$7))</f>
        <v/>
      </c>
      <c r="M816" s="80">
        <f>G816*J816+H816*K816+I816*L816</f>
        <v/>
      </c>
      <c r="N816" s="80">
        <f>MAX(0,I816)</f>
        <v/>
      </c>
      <c r="O816" s="80">
        <f>IF(I816&gt;0,MAX(0,M816),0)</f>
        <v/>
      </c>
      <c r="P816" s="80">
        <f>IF($I816&gt;0,MAX(0,$G816*SIN(RADIANS('13_시나리오비교'!$B$5))*SIN(RADIANS('13_시나리오비교'!$C$5))+$H816*SIN(RADIANS('13_시나리오비교'!$B$5))*COS(RADIANS('13_시나리오비교'!$C$5))+$I816*COS(RADIANS('13_시나리오비교'!$B$5))),0)</f>
        <v/>
      </c>
      <c r="Q816" s="80">
        <f>IF($I816&gt;0,MAX(0,$G816*SIN(RADIANS('13_시나리오비교'!$B$6))*SIN(RADIANS('13_시나리오비교'!$C$6))+$H816*SIN(RADIANS('13_시나리오비교'!$B$6))*COS(RADIANS('13_시나리오비교'!$C$6))+$I816*COS(RADIANS('13_시나리오비교'!$B$6))),0)</f>
        <v/>
      </c>
      <c r="R816" s="80">
        <f>IF($I816&gt;0,MAX(0,$G816*SIN(RADIANS('13_시나리오비교'!$B$7))*SIN(RADIANS('13_시나리오비교'!$C$7))+$H816*SIN(RADIANS('13_시나리오비교'!$B$7))*COS(RADIANS('13_시나리오비교'!$C$7))+$I816*COS(RADIANS('13_시나리오비교'!$B$7))),0)</f>
        <v/>
      </c>
      <c r="S816" s="80">
        <f>IF($I816&gt;0,MAX(0,$G816*SIN(RADIANS('13_시나리오비교'!$B$8))*SIN(RADIANS('13_시나리오비교'!$C$8))+$H816*SIN(RADIANS('13_시나리오비교'!$B$8))*COS(RADIANS('13_시나리오비교'!$C$8))+$I816*COS(RADIANS('13_시나리오비교'!$B$8))),0)</f>
        <v/>
      </c>
      <c r="T816" s="80">
        <f>IF($I816&gt;0,MAX(0,$G816*SIN(RADIANS('13_시나리오비교'!$B$9))*SIN(RADIANS('13_시나리오비교'!$C$9))+$H816*SIN(RADIANS('13_시나리오비교'!$B$9))*COS(RADIANS('13_시나리오비교'!$C$9))+$I816*COS(RADIANS('13_시나리오비교'!$B$9))),0)</f>
        <v/>
      </c>
      <c r="U816" s="80">
        <f>IF($I816&gt;0,MAX(0,$G816*SIN(RADIANS('13_시나리오비교'!$B$10))*SIN(RADIANS('13_시나리오비교'!$C$10))+$H816*SIN(RADIANS('13_시나리오비교'!$B$10))*COS(RADIANS('13_시나리오비교'!$C$10))+$I816*COS(RADIANS('13_시나리오비교'!$B$10))),0)</f>
        <v/>
      </c>
      <c r="V816" s="80">
        <f>IF($I816&gt;0,MAX(0,$G816*SIN(RADIANS('13_시나리오비교'!$B$11))*SIN(RADIANS('13_시나리오비교'!$C$11))+$H816*SIN(RADIANS('13_시나리오비교'!$B$11))*COS(RADIANS('13_시나리오비교'!$C$11))+$I816*COS(RADIANS('13_시나리오비교'!$B$11))),0)</f>
        <v/>
      </c>
      <c r="W816" s="80">
        <f>IF($I816&gt;0,MAX(0,$G816*SIN(RADIANS('13_시나리오비교'!$B$12))*SIN(RADIANS('13_시나리오비교'!$C$12))+$H816*SIN(RADIANS('13_시나리오비교'!$B$12))*COS(RADIANS('13_시나리오비교'!$C$12))+$I816*COS(RADIANS('13_시나리오비교'!$B$12))),0)</f>
        <v/>
      </c>
      <c r="X816" s="80">
        <f>IF($I816&gt;0,MAX(0,$G816*SIN(RADIANS('13_시나리오비교'!$B$13))*SIN(RADIANS('13_시나리오비교'!$C$13))+$H816*SIN(RADIANS('13_시나리오비교'!$B$13))*COS(RADIANS('13_시나리오비교'!$C$13))+$I816*COS(RADIANS('13_시나리오비교'!$B$13))),0)</f>
        <v/>
      </c>
      <c r="Y816" s="80">
        <f>IF($I816&gt;0,MAX(0,$G816*SIN(RADIANS('13_시나리오비교'!$B$14))*SIN(RADIANS('13_시나리오비교'!$C$14))+$H816*SIN(RADIANS('13_시나리오비교'!$B$14))*COS(RADIANS('13_시나리오비교'!$C$14))+$I816*COS(RADIANS('13_시나리오비교'!$B$14))),0)</f>
        <v/>
      </c>
    </row>
    <row r="817" hidden="1" outlineLevel="1">
      <c r="A817" s="79" t="n">
        <v>9</v>
      </c>
      <c r="B817" s="79" t="n">
        <v>29</v>
      </c>
      <c r="C817" s="80">
        <f>(B817-0.5)*'14_지역·상수'!$H$6</f>
        <v/>
      </c>
      <c r="D817" s="79" t="n">
        <v>258</v>
      </c>
      <c r="E817" s="80">
        <f>INDEX($C$4:$C$15,MATCH(A817,$A$4:$A$15,0))</f>
        <v/>
      </c>
      <c r="F817" s="80">
        <f>15*(C817-12)</f>
        <v/>
      </c>
      <c r="G817" s="80">
        <f>-COS(RADIANS(E817))*SIN(RADIANS(F817))</f>
        <v/>
      </c>
      <c r="H817" s="80">
        <f>COS(RADIANS('11_발전량_모델'!$B$17))*SIN(RADIANS(E817))-SIN(RADIANS('11_발전량_모델'!$B$17))*COS(RADIANS(E817))*COS(RADIANS(F817))</f>
        <v/>
      </c>
      <c r="I817" s="80">
        <f>SIN(RADIANS('11_발전량_모델'!$B$17))*SIN(RADIANS(E817))+COS(RADIANS('11_발전량_모델'!$B$17))*COS(RADIANS(E817))*COS(RADIANS(F817))</f>
        <v/>
      </c>
      <c r="J817" s="80">
        <f>SIN(RADIANS('11_발전량_모델'!$B$7))*SIN(RADIANS('11_발전량_모델'!$B$8))</f>
        <v/>
      </c>
      <c r="K817" s="80">
        <f>SIN(RADIANS('11_발전량_모델'!$B$7))*COS(RADIANS('11_발전량_모델'!$B$8))</f>
        <v/>
      </c>
      <c r="L817" s="80">
        <f>COS(RADIANS('11_발전량_모델'!$B$7))</f>
        <v/>
      </c>
      <c r="M817" s="80">
        <f>G817*J817+H817*K817+I817*L817</f>
        <v/>
      </c>
      <c r="N817" s="80">
        <f>MAX(0,I817)</f>
        <v/>
      </c>
      <c r="O817" s="80">
        <f>IF(I817&gt;0,MAX(0,M817),0)</f>
        <v/>
      </c>
      <c r="P817" s="80">
        <f>IF($I817&gt;0,MAX(0,$G817*SIN(RADIANS('13_시나리오비교'!$B$5))*SIN(RADIANS('13_시나리오비교'!$C$5))+$H817*SIN(RADIANS('13_시나리오비교'!$B$5))*COS(RADIANS('13_시나리오비교'!$C$5))+$I817*COS(RADIANS('13_시나리오비교'!$B$5))),0)</f>
        <v/>
      </c>
      <c r="Q817" s="80">
        <f>IF($I817&gt;0,MAX(0,$G817*SIN(RADIANS('13_시나리오비교'!$B$6))*SIN(RADIANS('13_시나리오비교'!$C$6))+$H817*SIN(RADIANS('13_시나리오비교'!$B$6))*COS(RADIANS('13_시나리오비교'!$C$6))+$I817*COS(RADIANS('13_시나리오비교'!$B$6))),0)</f>
        <v/>
      </c>
      <c r="R817" s="80">
        <f>IF($I817&gt;0,MAX(0,$G817*SIN(RADIANS('13_시나리오비교'!$B$7))*SIN(RADIANS('13_시나리오비교'!$C$7))+$H817*SIN(RADIANS('13_시나리오비교'!$B$7))*COS(RADIANS('13_시나리오비교'!$C$7))+$I817*COS(RADIANS('13_시나리오비교'!$B$7))),0)</f>
        <v/>
      </c>
      <c r="S817" s="80">
        <f>IF($I817&gt;0,MAX(0,$G817*SIN(RADIANS('13_시나리오비교'!$B$8))*SIN(RADIANS('13_시나리오비교'!$C$8))+$H817*SIN(RADIANS('13_시나리오비교'!$B$8))*COS(RADIANS('13_시나리오비교'!$C$8))+$I817*COS(RADIANS('13_시나리오비교'!$B$8))),0)</f>
        <v/>
      </c>
      <c r="T817" s="80">
        <f>IF($I817&gt;0,MAX(0,$G817*SIN(RADIANS('13_시나리오비교'!$B$9))*SIN(RADIANS('13_시나리오비교'!$C$9))+$H817*SIN(RADIANS('13_시나리오비교'!$B$9))*COS(RADIANS('13_시나리오비교'!$C$9))+$I817*COS(RADIANS('13_시나리오비교'!$B$9))),0)</f>
        <v/>
      </c>
      <c r="U817" s="80">
        <f>IF($I817&gt;0,MAX(0,$G817*SIN(RADIANS('13_시나리오비교'!$B$10))*SIN(RADIANS('13_시나리오비교'!$C$10))+$H817*SIN(RADIANS('13_시나리오비교'!$B$10))*COS(RADIANS('13_시나리오비교'!$C$10))+$I817*COS(RADIANS('13_시나리오비교'!$B$10))),0)</f>
        <v/>
      </c>
      <c r="V817" s="80">
        <f>IF($I817&gt;0,MAX(0,$G817*SIN(RADIANS('13_시나리오비교'!$B$11))*SIN(RADIANS('13_시나리오비교'!$C$11))+$H817*SIN(RADIANS('13_시나리오비교'!$B$11))*COS(RADIANS('13_시나리오비교'!$C$11))+$I817*COS(RADIANS('13_시나리오비교'!$B$11))),0)</f>
        <v/>
      </c>
      <c r="W817" s="80">
        <f>IF($I817&gt;0,MAX(0,$G817*SIN(RADIANS('13_시나리오비교'!$B$12))*SIN(RADIANS('13_시나리오비교'!$C$12))+$H817*SIN(RADIANS('13_시나리오비교'!$B$12))*COS(RADIANS('13_시나리오비교'!$C$12))+$I817*COS(RADIANS('13_시나리오비교'!$B$12))),0)</f>
        <v/>
      </c>
      <c r="X817" s="80">
        <f>IF($I817&gt;0,MAX(0,$G817*SIN(RADIANS('13_시나리오비교'!$B$13))*SIN(RADIANS('13_시나리오비교'!$C$13))+$H817*SIN(RADIANS('13_시나리오비교'!$B$13))*COS(RADIANS('13_시나리오비교'!$C$13))+$I817*COS(RADIANS('13_시나리오비교'!$B$13))),0)</f>
        <v/>
      </c>
      <c r="Y817" s="80">
        <f>IF($I817&gt;0,MAX(0,$G817*SIN(RADIANS('13_시나리오비교'!$B$14))*SIN(RADIANS('13_시나리오비교'!$C$14))+$H817*SIN(RADIANS('13_시나리오비교'!$B$14))*COS(RADIANS('13_시나리오비교'!$C$14))+$I817*COS(RADIANS('13_시나리오비교'!$B$14))),0)</f>
        <v/>
      </c>
    </row>
    <row r="818" hidden="1" outlineLevel="1">
      <c r="A818" s="79" t="n">
        <v>9</v>
      </c>
      <c r="B818" s="79" t="n">
        <v>30</v>
      </c>
      <c r="C818" s="80">
        <f>(B818-0.5)*'14_지역·상수'!$H$6</f>
        <v/>
      </c>
      <c r="D818" s="79" t="n">
        <v>258</v>
      </c>
      <c r="E818" s="80">
        <f>INDEX($C$4:$C$15,MATCH(A818,$A$4:$A$15,0))</f>
        <v/>
      </c>
      <c r="F818" s="80">
        <f>15*(C818-12)</f>
        <v/>
      </c>
      <c r="G818" s="80">
        <f>-COS(RADIANS(E818))*SIN(RADIANS(F818))</f>
        <v/>
      </c>
      <c r="H818" s="80">
        <f>COS(RADIANS('11_발전량_모델'!$B$17))*SIN(RADIANS(E818))-SIN(RADIANS('11_발전량_모델'!$B$17))*COS(RADIANS(E818))*COS(RADIANS(F818))</f>
        <v/>
      </c>
      <c r="I818" s="80">
        <f>SIN(RADIANS('11_발전량_모델'!$B$17))*SIN(RADIANS(E818))+COS(RADIANS('11_발전량_모델'!$B$17))*COS(RADIANS(E818))*COS(RADIANS(F818))</f>
        <v/>
      </c>
      <c r="J818" s="80">
        <f>SIN(RADIANS('11_발전량_모델'!$B$7))*SIN(RADIANS('11_발전량_모델'!$B$8))</f>
        <v/>
      </c>
      <c r="K818" s="80">
        <f>SIN(RADIANS('11_발전량_모델'!$B$7))*COS(RADIANS('11_발전량_모델'!$B$8))</f>
        <v/>
      </c>
      <c r="L818" s="80">
        <f>COS(RADIANS('11_발전량_모델'!$B$7))</f>
        <v/>
      </c>
      <c r="M818" s="80">
        <f>G818*J818+H818*K818+I818*L818</f>
        <v/>
      </c>
      <c r="N818" s="80">
        <f>MAX(0,I818)</f>
        <v/>
      </c>
      <c r="O818" s="80">
        <f>IF(I818&gt;0,MAX(0,M818),0)</f>
        <v/>
      </c>
      <c r="P818" s="80">
        <f>IF($I818&gt;0,MAX(0,$G818*SIN(RADIANS('13_시나리오비교'!$B$5))*SIN(RADIANS('13_시나리오비교'!$C$5))+$H818*SIN(RADIANS('13_시나리오비교'!$B$5))*COS(RADIANS('13_시나리오비교'!$C$5))+$I818*COS(RADIANS('13_시나리오비교'!$B$5))),0)</f>
        <v/>
      </c>
      <c r="Q818" s="80">
        <f>IF($I818&gt;0,MAX(0,$G818*SIN(RADIANS('13_시나리오비교'!$B$6))*SIN(RADIANS('13_시나리오비교'!$C$6))+$H818*SIN(RADIANS('13_시나리오비교'!$B$6))*COS(RADIANS('13_시나리오비교'!$C$6))+$I818*COS(RADIANS('13_시나리오비교'!$B$6))),0)</f>
        <v/>
      </c>
      <c r="R818" s="80">
        <f>IF($I818&gt;0,MAX(0,$G818*SIN(RADIANS('13_시나리오비교'!$B$7))*SIN(RADIANS('13_시나리오비교'!$C$7))+$H818*SIN(RADIANS('13_시나리오비교'!$B$7))*COS(RADIANS('13_시나리오비교'!$C$7))+$I818*COS(RADIANS('13_시나리오비교'!$B$7))),0)</f>
        <v/>
      </c>
      <c r="S818" s="80">
        <f>IF($I818&gt;0,MAX(0,$G818*SIN(RADIANS('13_시나리오비교'!$B$8))*SIN(RADIANS('13_시나리오비교'!$C$8))+$H818*SIN(RADIANS('13_시나리오비교'!$B$8))*COS(RADIANS('13_시나리오비교'!$C$8))+$I818*COS(RADIANS('13_시나리오비교'!$B$8))),0)</f>
        <v/>
      </c>
      <c r="T818" s="80">
        <f>IF($I818&gt;0,MAX(0,$G818*SIN(RADIANS('13_시나리오비교'!$B$9))*SIN(RADIANS('13_시나리오비교'!$C$9))+$H818*SIN(RADIANS('13_시나리오비교'!$B$9))*COS(RADIANS('13_시나리오비교'!$C$9))+$I818*COS(RADIANS('13_시나리오비교'!$B$9))),0)</f>
        <v/>
      </c>
      <c r="U818" s="80">
        <f>IF($I818&gt;0,MAX(0,$G818*SIN(RADIANS('13_시나리오비교'!$B$10))*SIN(RADIANS('13_시나리오비교'!$C$10))+$H818*SIN(RADIANS('13_시나리오비교'!$B$10))*COS(RADIANS('13_시나리오비교'!$C$10))+$I818*COS(RADIANS('13_시나리오비교'!$B$10))),0)</f>
        <v/>
      </c>
      <c r="V818" s="80">
        <f>IF($I818&gt;0,MAX(0,$G818*SIN(RADIANS('13_시나리오비교'!$B$11))*SIN(RADIANS('13_시나리오비교'!$C$11))+$H818*SIN(RADIANS('13_시나리오비교'!$B$11))*COS(RADIANS('13_시나리오비교'!$C$11))+$I818*COS(RADIANS('13_시나리오비교'!$B$11))),0)</f>
        <v/>
      </c>
      <c r="W818" s="80">
        <f>IF($I818&gt;0,MAX(0,$G818*SIN(RADIANS('13_시나리오비교'!$B$12))*SIN(RADIANS('13_시나리오비교'!$C$12))+$H818*SIN(RADIANS('13_시나리오비교'!$B$12))*COS(RADIANS('13_시나리오비교'!$C$12))+$I818*COS(RADIANS('13_시나리오비교'!$B$12))),0)</f>
        <v/>
      </c>
      <c r="X818" s="80">
        <f>IF($I818&gt;0,MAX(0,$G818*SIN(RADIANS('13_시나리오비교'!$B$13))*SIN(RADIANS('13_시나리오비교'!$C$13))+$H818*SIN(RADIANS('13_시나리오비교'!$B$13))*COS(RADIANS('13_시나리오비교'!$C$13))+$I818*COS(RADIANS('13_시나리오비교'!$B$13))),0)</f>
        <v/>
      </c>
      <c r="Y818" s="80">
        <f>IF($I818&gt;0,MAX(0,$G818*SIN(RADIANS('13_시나리오비교'!$B$14))*SIN(RADIANS('13_시나리오비교'!$C$14))+$H818*SIN(RADIANS('13_시나리오비교'!$B$14))*COS(RADIANS('13_시나리오비교'!$C$14))+$I818*COS(RADIANS('13_시나리오비교'!$B$14))),0)</f>
        <v/>
      </c>
    </row>
    <row r="819" hidden="1" outlineLevel="1">
      <c r="A819" s="79" t="n">
        <v>9</v>
      </c>
      <c r="B819" s="79" t="n">
        <v>31</v>
      </c>
      <c r="C819" s="80">
        <f>(B819-0.5)*'14_지역·상수'!$H$6</f>
        <v/>
      </c>
      <c r="D819" s="79" t="n">
        <v>258</v>
      </c>
      <c r="E819" s="80">
        <f>INDEX($C$4:$C$15,MATCH(A819,$A$4:$A$15,0))</f>
        <v/>
      </c>
      <c r="F819" s="80">
        <f>15*(C819-12)</f>
        <v/>
      </c>
      <c r="G819" s="80">
        <f>-COS(RADIANS(E819))*SIN(RADIANS(F819))</f>
        <v/>
      </c>
      <c r="H819" s="80">
        <f>COS(RADIANS('11_발전량_모델'!$B$17))*SIN(RADIANS(E819))-SIN(RADIANS('11_발전량_모델'!$B$17))*COS(RADIANS(E819))*COS(RADIANS(F819))</f>
        <v/>
      </c>
      <c r="I819" s="80">
        <f>SIN(RADIANS('11_발전량_모델'!$B$17))*SIN(RADIANS(E819))+COS(RADIANS('11_발전량_모델'!$B$17))*COS(RADIANS(E819))*COS(RADIANS(F819))</f>
        <v/>
      </c>
      <c r="J819" s="80">
        <f>SIN(RADIANS('11_발전량_모델'!$B$7))*SIN(RADIANS('11_발전량_모델'!$B$8))</f>
        <v/>
      </c>
      <c r="K819" s="80">
        <f>SIN(RADIANS('11_발전량_모델'!$B$7))*COS(RADIANS('11_발전량_모델'!$B$8))</f>
        <v/>
      </c>
      <c r="L819" s="80">
        <f>COS(RADIANS('11_발전량_모델'!$B$7))</f>
        <v/>
      </c>
      <c r="M819" s="80">
        <f>G819*J819+H819*K819+I819*L819</f>
        <v/>
      </c>
      <c r="N819" s="80">
        <f>MAX(0,I819)</f>
        <v/>
      </c>
      <c r="O819" s="80">
        <f>IF(I819&gt;0,MAX(0,M819),0)</f>
        <v/>
      </c>
      <c r="P819" s="80">
        <f>IF($I819&gt;0,MAX(0,$G819*SIN(RADIANS('13_시나리오비교'!$B$5))*SIN(RADIANS('13_시나리오비교'!$C$5))+$H819*SIN(RADIANS('13_시나리오비교'!$B$5))*COS(RADIANS('13_시나리오비교'!$C$5))+$I819*COS(RADIANS('13_시나리오비교'!$B$5))),0)</f>
        <v/>
      </c>
      <c r="Q819" s="80">
        <f>IF($I819&gt;0,MAX(0,$G819*SIN(RADIANS('13_시나리오비교'!$B$6))*SIN(RADIANS('13_시나리오비교'!$C$6))+$H819*SIN(RADIANS('13_시나리오비교'!$B$6))*COS(RADIANS('13_시나리오비교'!$C$6))+$I819*COS(RADIANS('13_시나리오비교'!$B$6))),0)</f>
        <v/>
      </c>
      <c r="R819" s="80">
        <f>IF($I819&gt;0,MAX(0,$G819*SIN(RADIANS('13_시나리오비교'!$B$7))*SIN(RADIANS('13_시나리오비교'!$C$7))+$H819*SIN(RADIANS('13_시나리오비교'!$B$7))*COS(RADIANS('13_시나리오비교'!$C$7))+$I819*COS(RADIANS('13_시나리오비교'!$B$7))),0)</f>
        <v/>
      </c>
      <c r="S819" s="80">
        <f>IF($I819&gt;0,MAX(0,$G819*SIN(RADIANS('13_시나리오비교'!$B$8))*SIN(RADIANS('13_시나리오비교'!$C$8))+$H819*SIN(RADIANS('13_시나리오비교'!$B$8))*COS(RADIANS('13_시나리오비교'!$C$8))+$I819*COS(RADIANS('13_시나리오비교'!$B$8))),0)</f>
        <v/>
      </c>
      <c r="T819" s="80">
        <f>IF($I819&gt;0,MAX(0,$G819*SIN(RADIANS('13_시나리오비교'!$B$9))*SIN(RADIANS('13_시나리오비교'!$C$9))+$H819*SIN(RADIANS('13_시나리오비교'!$B$9))*COS(RADIANS('13_시나리오비교'!$C$9))+$I819*COS(RADIANS('13_시나리오비교'!$B$9))),0)</f>
        <v/>
      </c>
      <c r="U819" s="80">
        <f>IF($I819&gt;0,MAX(0,$G819*SIN(RADIANS('13_시나리오비교'!$B$10))*SIN(RADIANS('13_시나리오비교'!$C$10))+$H819*SIN(RADIANS('13_시나리오비교'!$B$10))*COS(RADIANS('13_시나리오비교'!$C$10))+$I819*COS(RADIANS('13_시나리오비교'!$B$10))),0)</f>
        <v/>
      </c>
      <c r="V819" s="80">
        <f>IF($I819&gt;0,MAX(0,$G819*SIN(RADIANS('13_시나리오비교'!$B$11))*SIN(RADIANS('13_시나리오비교'!$C$11))+$H819*SIN(RADIANS('13_시나리오비교'!$B$11))*COS(RADIANS('13_시나리오비교'!$C$11))+$I819*COS(RADIANS('13_시나리오비교'!$B$11))),0)</f>
        <v/>
      </c>
      <c r="W819" s="80">
        <f>IF($I819&gt;0,MAX(0,$G819*SIN(RADIANS('13_시나리오비교'!$B$12))*SIN(RADIANS('13_시나리오비교'!$C$12))+$H819*SIN(RADIANS('13_시나리오비교'!$B$12))*COS(RADIANS('13_시나리오비교'!$C$12))+$I819*COS(RADIANS('13_시나리오비교'!$B$12))),0)</f>
        <v/>
      </c>
      <c r="X819" s="80">
        <f>IF($I819&gt;0,MAX(0,$G819*SIN(RADIANS('13_시나리오비교'!$B$13))*SIN(RADIANS('13_시나리오비교'!$C$13))+$H819*SIN(RADIANS('13_시나리오비교'!$B$13))*COS(RADIANS('13_시나리오비교'!$C$13))+$I819*COS(RADIANS('13_시나리오비교'!$B$13))),0)</f>
        <v/>
      </c>
      <c r="Y819" s="80">
        <f>IF($I819&gt;0,MAX(0,$G819*SIN(RADIANS('13_시나리오비교'!$B$14))*SIN(RADIANS('13_시나리오비교'!$C$14))+$H819*SIN(RADIANS('13_시나리오비교'!$B$14))*COS(RADIANS('13_시나리오비교'!$C$14))+$I819*COS(RADIANS('13_시나리오비교'!$B$14))),0)</f>
        <v/>
      </c>
    </row>
    <row r="820" hidden="1" outlineLevel="1">
      <c r="A820" s="79" t="n">
        <v>9</v>
      </c>
      <c r="B820" s="79" t="n">
        <v>32</v>
      </c>
      <c r="C820" s="80">
        <f>(B820-0.5)*'14_지역·상수'!$H$6</f>
        <v/>
      </c>
      <c r="D820" s="79" t="n">
        <v>258</v>
      </c>
      <c r="E820" s="80">
        <f>INDEX($C$4:$C$15,MATCH(A820,$A$4:$A$15,0))</f>
        <v/>
      </c>
      <c r="F820" s="80">
        <f>15*(C820-12)</f>
        <v/>
      </c>
      <c r="G820" s="80">
        <f>-COS(RADIANS(E820))*SIN(RADIANS(F820))</f>
        <v/>
      </c>
      <c r="H820" s="80">
        <f>COS(RADIANS('11_발전량_모델'!$B$17))*SIN(RADIANS(E820))-SIN(RADIANS('11_발전량_모델'!$B$17))*COS(RADIANS(E820))*COS(RADIANS(F820))</f>
        <v/>
      </c>
      <c r="I820" s="80">
        <f>SIN(RADIANS('11_발전량_모델'!$B$17))*SIN(RADIANS(E820))+COS(RADIANS('11_발전량_모델'!$B$17))*COS(RADIANS(E820))*COS(RADIANS(F820))</f>
        <v/>
      </c>
      <c r="J820" s="80">
        <f>SIN(RADIANS('11_발전량_모델'!$B$7))*SIN(RADIANS('11_발전량_모델'!$B$8))</f>
        <v/>
      </c>
      <c r="K820" s="80">
        <f>SIN(RADIANS('11_발전량_모델'!$B$7))*COS(RADIANS('11_발전량_모델'!$B$8))</f>
        <v/>
      </c>
      <c r="L820" s="80">
        <f>COS(RADIANS('11_발전량_모델'!$B$7))</f>
        <v/>
      </c>
      <c r="M820" s="80">
        <f>G820*J820+H820*K820+I820*L820</f>
        <v/>
      </c>
      <c r="N820" s="80">
        <f>MAX(0,I820)</f>
        <v/>
      </c>
      <c r="O820" s="80">
        <f>IF(I820&gt;0,MAX(0,M820),0)</f>
        <v/>
      </c>
      <c r="P820" s="80">
        <f>IF($I820&gt;0,MAX(0,$G820*SIN(RADIANS('13_시나리오비교'!$B$5))*SIN(RADIANS('13_시나리오비교'!$C$5))+$H820*SIN(RADIANS('13_시나리오비교'!$B$5))*COS(RADIANS('13_시나리오비교'!$C$5))+$I820*COS(RADIANS('13_시나리오비교'!$B$5))),0)</f>
        <v/>
      </c>
      <c r="Q820" s="80">
        <f>IF($I820&gt;0,MAX(0,$G820*SIN(RADIANS('13_시나리오비교'!$B$6))*SIN(RADIANS('13_시나리오비교'!$C$6))+$H820*SIN(RADIANS('13_시나리오비교'!$B$6))*COS(RADIANS('13_시나리오비교'!$C$6))+$I820*COS(RADIANS('13_시나리오비교'!$B$6))),0)</f>
        <v/>
      </c>
      <c r="R820" s="80">
        <f>IF($I820&gt;0,MAX(0,$G820*SIN(RADIANS('13_시나리오비교'!$B$7))*SIN(RADIANS('13_시나리오비교'!$C$7))+$H820*SIN(RADIANS('13_시나리오비교'!$B$7))*COS(RADIANS('13_시나리오비교'!$C$7))+$I820*COS(RADIANS('13_시나리오비교'!$B$7))),0)</f>
        <v/>
      </c>
      <c r="S820" s="80">
        <f>IF($I820&gt;0,MAX(0,$G820*SIN(RADIANS('13_시나리오비교'!$B$8))*SIN(RADIANS('13_시나리오비교'!$C$8))+$H820*SIN(RADIANS('13_시나리오비교'!$B$8))*COS(RADIANS('13_시나리오비교'!$C$8))+$I820*COS(RADIANS('13_시나리오비교'!$B$8))),0)</f>
        <v/>
      </c>
      <c r="T820" s="80">
        <f>IF($I820&gt;0,MAX(0,$G820*SIN(RADIANS('13_시나리오비교'!$B$9))*SIN(RADIANS('13_시나리오비교'!$C$9))+$H820*SIN(RADIANS('13_시나리오비교'!$B$9))*COS(RADIANS('13_시나리오비교'!$C$9))+$I820*COS(RADIANS('13_시나리오비교'!$B$9))),0)</f>
        <v/>
      </c>
      <c r="U820" s="80">
        <f>IF($I820&gt;0,MAX(0,$G820*SIN(RADIANS('13_시나리오비교'!$B$10))*SIN(RADIANS('13_시나리오비교'!$C$10))+$H820*SIN(RADIANS('13_시나리오비교'!$B$10))*COS(RADIANS('13_시나리오비교'!$C$10))+$I820*COS(RADIANS('13_시나리오비교'!$B$10))),0)</f>
        <v/>
      </c>
      <c r="V820" s="80">
        <f>IF($I820&gt;0,MAX(0,$G820*SIN(RADIANS('13_시나리오비교'!$B$11))*SIN(RADIANS('13_시나리오비교'!$C$11))+$H820*SIN(RADIANS('13_시나리오비교'!$B$11))*COS(RADIANS('13_시나리오비교'!$C$11))+$I820*COS(RADIANS('13_시나리오비교'!$B$11))),0)</f>
        <v/>
      </c>
      <c r="W820" s="80">
        <f>IF($I820&gt;0,MAX(0,$G820*SIN(RADIANS('13_시나리오비교'!$B$12))*SIN(RADIANS('13_시나리오비교'!$C$12))+$H820*SIN(RADIANS('13_시나리오비교'!$B$12))*COS(RADIANS('13_시나리오비교'!$C$12))+$I820*COS(RADIANS('13_시나리오비교'!$B$12))),0)</f>
        <v/>
      </c>
      <c r="X820" s="80">
        <f>IF($I820&gt;0,MAX(0,$G820*SIN(RADIANS('13_시나리오비교'!$B$13))*SIN(RADIANS('13_시나리오비교'!$C$13))+$H820*SIN(RADIANS('13_시나리오비교'!$B$13))*COS(RADIANS('13_시나리오비교'!$C$13))+$I820*COS(RADIANS('13_시나리오비교'!$B$13))),0)</f>
        <v/>
      </c>
      <c r="Y820" s="80">
        <f>IF($I820&gt;0,MAX(0,$G820*SIN(RADIANS('13_시나리오비교'!$B$14))*SIN(RADIANS('13_시나리오비교'!$C$14))+$H820*SIN(RADIANS('13_시나리오비교'!$B$14))*COS(RADIANS('13_시나리오비교'!$C$14))+$I820*COS(RADIANS('13_시나리오비교'!$B$14))),0)</f>
        <v/>
      </c>
    </row>
    <row r="821" hidden="1" outlineLevel="1">
      <c r="A821" s="79" t="n">
        <v>9</v>
      </c>
      <c r="B821" s="79" t="n">
        <v>33</v>
      </c>
      <c r="C821" s="80">
        <f>(B821-0.5)*'14_지역·상수'!$H$6</f>
        <v/>
      </c>
      <c r="D821" s="79" t="n">
        <v>258</v>
      </c>
      <c r="E821" s="80">
        <f>INDEX($C$4:$C$15,MATCH(A821,$A$4:$A$15,0))</f>
        <v/>
      </c>
      <c r="F821" s="80">
        <f>15*(C821-12)</f>
        <v/>
      </c>
      <c r="G821" s="80">
        <f>-COS(RADIANS(E821))*SIN(RADIANS(F821))</f>
        <v/>
      </c>
      <c r="H821" s="80">
        <f>COS(RADIANS('11_발전량_모델'!$B$17))*SIN(RADIANS(E821))-SIN(RADIANS('11_발전량_모델'!$B$17))*COS(RADIANS(E821))*COS(RADIANS(F821))</f>
        <v/>
      </c>
      <c r="I821" s="80">
        <f>SIN(RADIANS('11_발전량_모델'!$B$17))*SIN(RADIANS(E821))+COS(RADIANS('11_발전량_모델'!$B$17))*COS(RADIANS(E821))*COS(RADIANS(F821))</f>
        <v/>
      </c>
      <c r="J821" s="80">
        <f>SIN(RADIANS('11_발전량_모델'!$B$7))*SIN(RADIANS('11_발전량_모델'!$B$8))</f>
        <v/>
      </c>
      <c r="K821" s="80">
        <f>SIN(RADIANS('11_발전량_모델'!$B$7))*COS(RADIANS('11_발전량_모델'!$B$8))</f>
        <v/>
      </c>
      <c r="L821" s="80">
        <f>COS(RADIANS('11_발전량_모델'!$B$7))</f>
        <v/>
      </c>
      <c r="M821" s="80">
        <f>G821*J821+H821*K821+I821*L821</f>
        <v/>
      </c>
      <c r="N821" s="80">
        <f>MAX(0,I821)</f>
        <v/>
      </c>
      <c r="O821" s="80">
        <f>IF(I821&gt;0,MAX(0,M821),0)</f>
        <v/>
      </c>
      <c r="P821" s="80">
        <f>IF($I821&gt;0,MAX(0,$G821*SIN(RADIANS('13_시나리오비교'!$B$5))*SIN(RADIANS('13_시나리오비교'!$C$5))+$H821*SIN(RADIANS('13_시나리오비교'!$B$5))*COS(RADIANS('13_시나리오비교'!$C$5))+$I821*COS(RADIANS('13_시나리오비교'!$B$5))),0)</f>
        <v/>
      </c>
      <c r="Q821" s="80">
        <f>IF($I821&gt;0,MAX(0,$G821*SIN(RADIANS('13_시나리오비교'!$B$6))*SIN(RADIANS('13_시나리오비교'!$C$6))+$H821*SIN(RADIANS('13_시나리오비교'!$B$6))*COS(RADIANS('13_시나리오비교'!$C$6))+$I821*COS(RADIANS('13_시나리오비교'!$B$6))),0)</f>
        <v/>
      </c>
      <c r="R821" s="80">
        <f>IF($I821&gt;0,MAX(0,$G821*SIN(RADIANS('13_시나리오비교'!$B$7))*SIN(RADIANS('13_시나리오비교'!$C$7))+$H821*SIN(RADIANS('13_시나리오비교'!$B$7))*COS(RADIANS('13_시나리오비교'!$C$7))+$I821*COS(RADIANS('13_시나리오비교'!$B$7))),0)</f>
        <v/>
      </c>
      <c r="S821" s="80">
        <f>IF($I821&gt;0,MAX(0,$G821*SIN(RADIANS('13_시나리오비교'!$B$8))*SIN(RADIANS('13_시나리오비교'!$C$8))+$H821*SIN(RADIANS('13_시나리오비교'!$B$8))*COS(RADIANS('13_시나리오비교'!$C$8))+$I821*COS(RADIANS('13_시나리오비교'!$B$8))),0)</f>
        <v/>
      </c>
      <c r="T821" s="80">
        <f>IF($I821&gt;0,MAX(0,$G821*SIN(RADIANS('13_시나리오비교'!$B$9))*SIN(RADIANS('13_시나리오비교'!$C$9))+$H821*SIN(RADIANS('13_시나리오비교'!$B$9))*COS(RADIANS('13_시나리오비교'!$C$9))+$I821*COS(RADIANS('13_시나리오비교'!$B$9))),0)</f>
        <v/>
      </c>
      <c r="U821" s="80">
        <f>IF($I821&gt;0,MAX(0,$G821*SIN(RADIANS('13_시나리오비교'!$B$10))*SIN(RADIANS('13_시나리오비교'!$C$10))+$H821*SIN(RADIANS('13_시나리오비교'!$B$10))*COS(RADIANS('13_시나리오비교'!$C$10))+$I821*COS(RADIANS('13_시나리오비교'!$B$10))),0)</f>
        <v/>
      </c>
      <c r="V821" s="80">
        <f>IF($I821&gt;0,MAX(0,$G821*SIN(RADIANS('13_시나리오비교'!$B$11))*SIN(RADIANS('13_시나리오비교'!$C$11))+$H821*SIN(RADIANS('13_시나리오비교'!$B$11))*COS(RADIANS('13_시나리오비교'!$C$11))+$I821*COS(RADIANS('13_시나리오비교'!$B$11))),0)</f>
        <v/>
      </c>
      <c r="W821" s="80">
        <f>IF($I821&gt;0,MAX(0,$G821*SIN(RADIANS('13_시나리오비교'!$B$12))*SIN(RADIANS('13_시나리오비교'!$C$12))+$H821*SIN(RADIANS('13_시나리오비교'!$B$12))*COS(RADIANS('13_시나리오비교'!$C$12))+$I821*COS(RADIANS('13_시나리오비교'!$B$12))),0)</f>
        <v/>
      </c>
      <c r="X821" s="80">
        <f>IF($I821&gt;0,MAX(0,$G821*SIN(RADIANS('13_시나리오비교'!$B$13))*SIN(RADIANS('13_시나리오비교'!$C$13))+$H821*SIN(RADIANS('13_시나리오비교'!$B$13))*COS(RADIANS('13_시나리오비교'!$C$13))+$I821*COS(RADIANS('13_시나리오비교'!$B$13))),0)</f>
        <v/>
      </c>
      <c r="Y821" s="80">
        <f>IF($I821&gt;0,MAX(0,$G821*SIN(RADIANS('13_시나리오비교'!$B$14))*SIN(RADIANS('13_시나리오비교'!$C$14))+$H821*SIN(RADIANS('13_시나리오비교'!$B$14))*COS(RADIANS('13_시나리오비교'!$C$14))+$I821*COS(RADIANS('13_시나리오비교'!$B$14))),0)</f>
        <v/>
      </c>
    </row>
    <row r="822" hidden="1" outlineLevel="1">
      <c r="A822" s="79" t="n">
        <v>9</v>
      </c>
      <c r="B822" s="79" t="n">
        <v>34</v>
      </c>
      <c r="C822" s="80">
        <f>(B822-0.5)*'14_지역·상수'!$H$6</f>
        <v/>
      </c>
      <c r="D822" s="79" t="n">
        <v>258</v>
      </c>
      <c r="E822" s="80">
        <f>INDEX($C$4:$C$15,MATCH(A822,$A$4:$A$15,0))</f>
        <v/>
      </c>
      <c r="F822" s="80">
        <f>15*(C822-12)</f>
        <v/>
      </c>
      <c r="G822" s="80">
        <f>-COS(RADIANS(E822))*SIN(RADIANS(F822))</f>
        <v/>
      </c>
      <c r="H822" s="80">
        <f>COS(RADIANS('11_발전량_모델'!$B$17))*SIN(RADIANS(E822))-SIN(RADIANS('11_발전량_모델'!$B$17))*COS(RADIANS(E822))*COS(RADIANS(F822))</f>
        <v/>
      </c>
      <c r="I822" s="80">
        <f>SIN(RADIANS('11_발전량_모델'!$B$17))*SIN(RADIANS(E822))+COS(RADIANS('11_발전량_모델'!$B$17))*COS(RADIANS(E822))*COS(RADIANS(F822))</f>
        <v/>
      </c>
      <c r="J822" s="80">
        <f>SIN(RADIANS('11_발전량_모델'!$B$7))*SIN(RADIANS('11_발전량_모델'!$B$8))</f>
        <v/>
      </c>
      <c r="K822" s="80">
        <f>SIN(RADIANS('11_발전량_모델'!$B$7))*COS(RADIANS('11_발전량_모델'!$B$8))</f>
        <v/>
      </c>
      <c r="L822" s="80">
        <f>COS(RADIANS('11_발전량_모델'!$B$7))</f>
        <v/>
      </c>
      <c r="M822" s="80">
        <f>G822*J822+H822*K822+I822*L822</f>
        <v/>
      </c>
      <c r="N822" s="80">
        <f>MAX(0,I822)</f>
        <v/>
      </c>
      <c r="O822" s="80">
        <f>IF(I822&gt;0,MAX(0,M822),0)</f>
        <v/>
      </c>
      <c r="P822" s="80">
        <f>IF($I822&gt;0,MAX(0,$G822*SIN(RADIANS('13_시나리오비교'!$B$5))*SIN(RADIANS('13_시나리오비교'!$C$5))+$H822*SIN(RADIANS('13_시나리오비교'!$B$5))*COS(RADIANS('13_시나리오비교'!$C$5))+$I822*COS(RADIANS('13_시나리오비교'!$B$5))),0)</f>
        <v/>
      </c>
      <c r="Q822" s="80">
        <f>IF($I822&gt;0,MAX(0,$G822*SIN(RADIANS('13_시나리오비교'!$B$6))*SIN(RADIANS('13_시나리오비교'!$C$6))+$H822*SIN(RADIANS('13_시나리오비교'!$B$6))*COS(RADIANS('13_시나리오비교'!$C$6))+$I822*COS(RADIANS('13_시나리오비교'!$B$6))),0)</f>
        <v/>
      </c>
      <c r="R822" s="80">
        <f>IF($I822&gt;0,MAX(0,$G822*SIN(RADIANS('13_시나리오비교'!$B$7))*SIN(RADIANS('13_시나리오비교'!$C$7))+$H822*SIN(RADIANS('13_시나리오비교'!$B$7))*COS(RADIANS('13_시나리오비교'!$C$7))+$I822*COS(RADIANS('13_시나리오비교'!$B$7))),0)</f>
        <v/>
      </c>
      <c r="S822" s="80">
        <f>IF($I822&gt;0,MAX(0,$G822*SIN(RADIANS('13_시나리오비교'!$B$8))*SIN(RADIANS('13_시나리오비교'!$C$8))+$H822*SIN(RADIANS('13_시나리오비교'!$B$8))*COS(RADIANS('13_시나리오비교'!$C$8))+$I822*COS(RADIANS('13_시나리오비교'!$B$8))),0)</f>
        <v/>
      </c>
      <c r="T822" s="80">
        <f>IF($I822&gt;0,MAX(0,$G822*SIN(RADIANS('13_시나리오비교'!$B$9))*SIN(RADIANS('13_시나리오비교'!$C$9))+$H822*SIN(RADIANS('13_시나리오비교'!$B$9))*COS(RADIANS('13_시나리오비교'!$C$9))+$I822*COS(RADIANS('13_시나리오비교'!$B$9))),0)</f>
        <v/>
      </c>
      <c r="U822" s="80">
        <f>IF($I822&gt;0,MAX(0,$G822*SIN(RADIANS('13_시나리오비교'!$B$10))*SIN(RADIANS('13_시나리오비교'!$C$10))+$H822*SIN(RADIANS('13_시나리오비교'!$B$10))*COS(RADIANS('13_시나리오비교'!$C$10))+$I822*COS(RADIANS('13_시나리오비교'!$B$10))),0)</f>
        <v/>
      </c>
      <c r="V822" s="80">
        <f>IF($I822&gt;0,MAX(0,$G822*SIN(RADIANS('13_시나리오비교'!$B$11))*SIN(RADIANS('13_시나리오비교'!$C$11))+$H822*SIN(RADIANS('13_시나리오비교'!$B$11))*COS(RADIANS('13_시나리오비교'!$C$11))+$I822*COS(RADIANS('13_시나리오비교'!$B$11))),0)</f>
        <v/>
      </c>
      <c r="W822" s="80">
        <f>IF($I822&gt;0,MAX(0,$G822*SIN(RADIANS('13_시나리오비교'!$B$12))*SIN(RADIANS('13_시나리오비교'!$C$12))+$H822*SIN(RADIANS('13_시나리오비교'!$B$12))*COS(RADIANS('13_시나리오비교'!$C$12))+$I822*COS(RADIANS('13_시나리오비교'!$B$12))),0)</f>
        <v/>
      </c>
      <c r="X822" s="80">
        <f>IF($I822&gt;0,MAX(0,$G822*SIN(RADIANS('13_시나리오비교'!$B$13))*SIN(RADIANS('13_시나리오비교'!$C$13))+$H822*SIN(RADIANS('13_시나리오비교'!$B$13))*COS(RADIANS('13_시나리오비교'!$C$13))+$I822*COS(RADIANS('13_시나리오비교'!$B$13))),0)</f>
        <v/>
      </c>
      <c r="Y822" s="80">
        <f>IF($I822&gt;0,MAX(0,$G822*SIN(RADIANS('13_시나리오비교'!$B$14))*SIN(RADIANS('13_시나리오비교'!$C$14))+$H822*SIN(RADIANS('13_시나리오비교'!$B$14))*COS(RADIANS('13_시나리오비교'!$C$14))+$I822*COS(RADIANS('13_시나리오비교'!$B$14))),0)</f>
        <v/>
      </c>
    </row>
    <row r="823" hidden="1" outlineLevel="1">
      <c r="A823" s="79" t="n">
        <v>9</v>
      </c>
      <c r="B823" s="79" t="n">
        <v>35</v>
      </c>
      <c r="C823" s="80">
        <f>(B823-0.5)*'14_지역·상수'!$H$6</f>
        <v/>
      </c>
      <c r="D823" s="79" t="n">
        <v>258</v>
      </c>
      <c r="E823" s="80">
        <f>INDEX($C$4:$C$15,MATCH(A823,$A$4:$A$15,0))</f>
        <v/>
      </c>
      <c r="F823" s="80">
        <f>15*(C823-12)</f>
        <v/>
      </c>
      <c r="G823" s="80">
        <f>-COS(RADIANS(E823))*SIN(RADIANS(F823))</f>
        <v/>
      </c>
      <c r="H823" s="80">
        <f>COS(RADIANS('11_발전량_모델'!$B$17))*SIN(RADIANS(E823))-SIN(RADIANS('11_발전량_모델'!$B$17))*COS(RADIANS(E823))*COS(RADIANS(F823))</f>
        <v/>
      </c>
      <c r="I823" s="80">
        <f>SIN(RADIANS('11_발전량_모델'!$B$17))*SIN(RADIANS(E823))+COS(RADIANS('11_발전량_모델'!$B$17))*COS(RADIANS(E823))*COS(RADIANS(F823))</f>
        <v/>
      </c>
      <c r="J823" s="80">
        <f>SIN(RADIANS('11_발전량_모델'!$B$7))*SIN(RADIANS('11_발전량_모델'!$B$8))</f>
        <v/>
      </c>
      <c r="K823" s="80">
        <f>SIN(RADIANS('11_발전량_모델'!$B$7))*COS(RADIANS('11_발전량_모델'!$B$8))</f>
        <v/>
      </c>
      <c r="L823" s="80">
        <f>COS(RADIANS('11_발전량_모델'!$B$7))</f>
        <v/>
      </c>
      <c r="M823" s="80">
        <f>G823*J823+H823*K823+I823*L823</f>
        <v/>
      </c>
      <c r="N823" s="80">
        <f>MAX(0,I823)</f>
        <v/>
      </c>
      <c r="O823" s="80">
        <f>IF(I823&gt;0,MAX(0,M823),0)</f>
        <v/>
      </c>
      <c r="P823" s="80">
        <f>IF($I823&gt;0,MAX(0,$G823*SIN(RADIANS('13_시나리오비교'!$B$5))*SIN(RADIANS('13_시나리오비교'!$C$5))+$H823*SIN(RADIANS('13_시나리오비교'!$B$5))*COS(RADIANS('13_시나리오비교'!$C$5))+$I823*COS(RADIANS('13_시나리오비교'!$B$5))),0)</f>
        <v/>
      </c>
      <c r="Q823" s="80">
        <f>IF($I823&gt;0,MAX(0,$G823*SIN(RADIANS('13_시나리오비교'!$B$6))*SIN(RADIANS('13_시나리오비교'!$C$6))+$H823*SIN(RADIANS('13_시나리오비교'!$B$6))*COS(RADIANS('13_시나리오비교'!$C$6))+$I823*COS(RADIANS('13_시나리오비교'!$B$6))),0)</f>
        <v/>
      </c>
      <c r="R823" s="80">
        <f>IF($I823&gt;0,MAX(0,$G823*SIN(RADIANS('13_시나리오비교'!$B$7))*SIN(RADIANS('13_시나리오비교'!$C$7))+$H823*SIN(RADIANS('13_시나리오비교'!$B$7))*COS(RADIANS('13_시나리오비교'!$C$7))+$I823*COS(RADIANS('13_시나리오비교'!$B$7))),0)</f>
        <v/>
      </c>
      <c r="S823" s="80">
        <f>IF($I823&gt;0,MAX(0,$G823*SIN(RADIANS('13_시나리오비교'!$B$8))*SIN(RADIANS('13_시나리오비교'!$C$8))+$H823*SIN(RADIANS('13_시나리오비교'!$B$8))*COS(RADIANS('13_시나리오비교'!$C$8))+$I823*COS(RADIANS('13_시나리오비교'!$B$8))),0)</f>
        <v/>
      </c>
      <c r="T823" s="80">
        <f>IF($I823&gt;0,MAX(0,$G823*SIN(RADIANS('13_시나리오비교'!$B$9))*SIN(RADIANS('13_시나리오비교'!$C$9))+$H823*SIN(RADIANS('13_시나리오비교'!$B$9))*COS(RADIANS('13_시나리오비교'!$C$9))+$I823*COS(RADIANS('13_시나리오비교'!$B$9))),0)</f>
        <v/>
      </c>
      <c r="U823" s="80">
        <f>IF($I823&gt;0,MAX(0,$G823*SIN(RADIANS('13_시나리오비교'!$B$10))*SIN(RADIANS('13_시나리오비교'!$C$10))+$H823*SIN(RADIANS('13_시나리오비교'!$B$10))*COS(RADIANS('13_시나리오비교'!$C$10))+$I823*COS(RADIANS('13_시나리오비교'!$B$10))),0)</f>
        <v/>
      </c>
      <c r="V823" s="80">
        <f>IF($I823&gt;0,MAX(0,$G823*SIN(RADIANS('13_시나리오비교'!$B$11))*SIN(RADIANS('13_시나리오비교'!$C$11))+$H823*SIN(RADIANS('13_시나리오비교'!$B$11))*COS(RADIANS('13_시나리오비교'!$C$11))+$I823*COS(RADIANS('13_시나리오비교'!$B$11))),0)</f>
        <v/>
      </c>
      <c r="W823" s="80">
        <f>IF($I823&gt;0,MAX(0,$G823*SIN(RADIANS('13_시나리오비교'!$B$12))*SIN(RADIANS('13_시나리오비교'!$C$12))+$H823*SIN(RADIANS('13_시나리오비교'!$B$12))*COS(RADIANS('13_시나리오비교'!$C$12))+$I823*COS(RADIANS('13_시나리오비교'!$B$12))),0)</f>
        <v/>
      </c>
      <c r="X823" s="80">
        <f>IF($I823&gt;0,MAX(0,$G823*SIN(RADIANS('13_시나리오비교'!$B$13))*SIN(RADIANS('13_시나리오비교'!$C$13))+$H823*SIN(RADIANS('13_시나리오비교'!$B$13))*COS(RADIANS('13_시나리오비교'!$C$13))+$I823*COS(RADIANS('13_시나리오비교'!$B$13))),0)</f>
        <v/>
      </c>
      <c r="Y823" s="80">
        <f>IF($I823&gt;0,MAX(0,$G823*SIN(RADIANS('13_시나리오비교'!$B$14))*SIN(RADIANS('13_시나리오비교'!$C$14))+$H823*SIN(RADIANS('13_시나리오비교'!$B$14))*COS(RADIANS('13_시나리오비교'!$C$14))+$I823*COS(RADIANS('13_시나리오비교'!$B$14))),0)</f>
        <v/>
      </c>
    </row>
    <row r="824" hidden="1" outlineLevel="1">
      <c r="A824" s="79" t="n">
        <v>9</v>
      </c>
      <c r="B824" s="79" t="n">
        <v>36</v>
      </c>
      <c r="C824" s="80">
        <f>(B824-0.5)*'14_지역·상수'!$H$6</f>
        <v/>
      </c>
      <c r="D824" s="79" t="n">
        <v>258</v>
      </c>
      <c r="E824" s="80">
        <f>INDEX($C$4:$C$15,MATCH(A824,$A$4:$A$15,0))</f>
        <v/>
      </c>
      <c r="F824" s="80">
        <f>15*(C824-12)</f>
        <v/>
      </c>
      <c r="G824" s="80">
        <f>-COS(RADIANS(E824))*SIN(RADIANS(F824))</f>
        <v/>
      </c>
      <c r="H824" s="80">
        <f>COS(RADIANS('11_발전량_모델'!$B$17))*SIN(RADIANS(E824))-SIN(RADIANS('11_발전량_모델'!$B$17))*COS(RADIANS(E824))*COS(RADIANS(F824))</f>
        <v/>
      </c>
      <c r="I824" s="80">
        <f>SIN(RADIANS('11_발전량_모델'!$B$17))*SIN(RADIANS(E824))+COS(RADIANS('11_발전량_모델'!$B$17))*COS(RADIANS(E824))*COS(RADIANS(F824))</f>
        <v/>
      </c>
      <c r="J824" s="80">
        <f>SIN(RADIANS('11_발전량_모델'!$B$7))*SIN(RADIANS('11_발전량_모델'!$B$8))</f>
        <v/>
      </c>
      <c r="K824" s="80">
        <f>SIN(RADIANS('11_발전량_모델'!$B$7))*COS(RADIANS('11_발전량_모델'!$B$8))</f>
        <v/>
      </c>
      <c r="L824" s="80">
        <f>COS(RADIANS('11_발전량_모델'!$B$7))</f>
        <v/>
      </c>
      <c r="M824" s="80">
        <f>G824*J824+H824*K824+I824*L824</f>
        <v/>
      </c>
      <c r="N824" s="80">
        <f>MAX(0,I824)</f>
        <v/>
      </c>
      <c r="O824" s="80">
        <f>IF(I824&gt;0,MAX(0,M824),0)</f>
        <v/>
      </c>
      <c r="P824" s="80">
        <f>IF($I824&gt;0,MAX(0,$G824*SIN(RADIANS('13_시나리오비교'!$B$5))*SIN(RADIANS('13_시나리오비교'!$C$5))+$H824*SIN(RADIANS('13_시나리오비교'!$B$5))*COS(RADIANS('13_시나리오비교'!$C$5))+$I824*COS(RADIANS('13_시나리오비교'!$B$5))),0)</f>
        <v/>
      </c>
      <c r="Q824" s="80">
        <f>IF($I824&gt;0,MAX(0,$G824*SIN(RADIANS('13_시나리오비교'!$B$6))*SIN(RADIANS('13_시나리오비교'!$C$6))+$H824*SIN(RADIANS('13_시나리오비교'!$B$6))*COS(RADIANS('13_시나리오비교'!$C$6))+$I824*COS(RADIANS('13_시나리오비교'!$B$6))),0)</f>
        <v/>
      </c>
      <c r="R824" s="80">
        <f>IF($I824&gt;0,MAX(0,$G824*SIN(RADIANS('13_시나리오비교'!$B$7))*SIN(RADIANS('13_시나리오비교'!$C$7))+$H824*SIN(RADIANS('13_시나리오비교'!$B$7))*COS(RADIANS('13_시나리오비교'!$C$7))+$I824*COS(RADIANS('13_시나리오비교'!$B$7))),0)</f>
        <v/>
      </c>
      <c r="S824" s="80">
        <f>IF($I824&gt;0,MAX(0,$G824*SIN(RADIANS('13_시나리오비교'!$B$8))*SIN(RADIANS('13_시나리오비교'!$C$8))+$H824*SIN(RADIANS('13_시나리오비교'!$B$8))*COS(RADIANS('13_시나리오비교'!$C$8))+$I824*COS(RADIANS('13_시나리오비교'!$B$8))),0)</f>
        <v/>
      </c>
      <c r="T824" s="80">
        <f>IF($I824&gt;0,MAX(0,$G824*SIN(RADIANS('13_시나리오비교'!$B$9))*SIN(RADIANS('13_시나리오비교'!$C$9))+$H824*SIN(RADIANS('13_시나리오비교'!$B$9))*COS(RADIANS('13_시나리오비교'!$C$9))+$I824*COS(RADIANS('13_시나리오비교'!$B$9))),0)</f>
        <v/>
      </c>
      <c r="U824" s="80">
        <f>IF($I824&gt;0,MAX(0,$G824*SIN(RADIANS('13_시나리오비교'!$B$10))*SIN(RADIANS('13_시나리오비교'!$C$10))+$H824*SIN(RADIANS('13_시나리오비교'!$B$10))*COS(RADIANS('13_시나리오비교'!$C$10))+$I824*COS(RADIANS('13_시나리오비교'!$B$10))),0)</f>
        <v/>
      </c>
      <c r="V824" s="80">
        <f>IF($I824&gt;0,MAX(0,$G824*SIN(RADIANS('13_시나리오비교'!$B$11))*SIN(RADIANS('13_시나리오비교'!$C$11))+$H824*SIN(RADIANS('13_시나리오비교'!$B$11))*COS(RADIANS('13_시나리오비교'!$C$11))+$I824*COS(RADIANS('13_시나리오비교'!$B$11))),0)</f>
        <v/>
      </c>
      <c r="W824" s="80">
        <f>IF($I824&gt;0,MAX(0,$G824*SIN(RADIANS('13_시나리오비교'!$B$12))*SIN(RADIANS('13_시나리오비교'!$C$12))+$H824*SIN(RADIANS('13_시나리오비교'!$B$12))*COS(RADIANS('13_시나리오비교'!$C$12))+$I824*COS(RADIANS('13_시나리오비교'!$B$12))),0)</f>
        <v/>
      </c>
      <c r="X824" s="80">
        <f>IF($I824&gt;0,MAX(0,$G824*SIN(RADIANS('13_시나리오비교'!$B$13))*SIN(RADIANS('13_시나리오비교'!$C$13))+$H824*SIN(RADIANS('13_시나리오비교'!$B$13))*COS(RADIANS('13_시나리오비교'!$C$13))+$I824*COS(RADIANS('13_시나리오비교'!$B$13))),0)</f>
        <v/>
      </c>
      <c r="Y824" s="80">
        <f>IF($I824&gt;0,MAX(0,$G824*SIN(RADIANS('13_시나리오비교'!$B$14))*SIN(RADIANS('13_시나리오비교'!$C$14))+$H824*SIN(RADIANS('13_시나리오비교'!$B$14))*COS(RADIANS('13_시나리오비교'!$C$14))+$I824*COS(RADIANS('13_시나리오비교'!$B$14))),0)</f>
        <v/>
      </c>
    </row>
    <row r="825" hidden="1" outlineLevel="1">
      <c r="A825" s="79" t="n">
        <v>9</v>
      </c>
      <c r="B825" s="79" t="n">
        <v>37</v>
      </c>
      <c r="C825" s="80">
        <f>(B825-0.5)*'14_지역·상수'!$H$6</f>
        <v/>
      </c>
      <c r="D825" s="79" t="n">
        <v>258</v>
      </c>
      <c r="E825" s="80">
        <f>INDEX($C$4:$C$15,MATCH(A825,$A$4:$A$15,0))</f>
        <v/>
      </c>
      <c r="F825" s="80">
        <f>15*(C825-12)</f>
        <v/>
      </c>
      <c r="G825" s="80">
        <f>-COS(RADIANS(E825))*SIN(RADIANS(F825))</f>
        <v/>
      </c>
      <c r="H825" s="80">
        <f>COS(RADIANS('11_발전량_모델'!$B$17))*SIN(RADIANS(E825))-SIN(RADIANS('11_발전량_모델'!$B$17))*COS(RADIANS(E825))*COS(RADIANS(F825))</f>
        <v/>
      </c>
      <c r="I825" s="80">
        <f>SIN(RADIANS('11_발전량_모델'!$B$17))*SIN(RADIANS(E825))+COS(RADIANS('11_발전량_모델'!$B$17))*COS(RADIANS(E825))*COS(RADIANS(F825))</f>
        <v/>
      </c>
      <c r="J825" s="80">
        <f>SIN(RADIANS('11_발전량_모델'!$B$7))*SIN(RADIANS('11_발전량_모델'!$B$8))</f>
        <v/>
      </c>
      <c r="K825" s="80">
        <f>SIN(RADIANS('11_발전량_모델'!$B$7))*COS(RADIANS('11_발전량_모델'!$B$8))</f>
        <v/>
      </c>
      <c r="L825" s="80">
        <f>COS(RADIANS('11_발전량_모델'!$B$7))</f>
        <v/>
      </c>
      <c r="M825" s="80">
        <f>G825*J825+H825*K825+I825*L825</f>
        <v/>
      </c>
      <c r="N825" s="80">
        <f>MAX(0,I825)</f>
        <v/>
      </c>
      <c r="O825" s="80">
        <f>IF(I825&gt;0,MAX(0,M825),0)</f>
        <v/>
      </c>
      <c r="P825" s="80">
        <f>IF($I825&gt;0,MAX(0,$G825*SIN(RADIANS('13_시나리오비교'!$B$5))*SIN(RADIANS('13_시나리오비교'!$C$5))+$H825*SIN(RADIANS('13_시나리오비교'!$B$5))*COS(RADIANS('13_시나리오비교'!$C$5))+$I825*COS(RADIANS('13_시나리오비교'!$B$5))),0)</f>
        <v/>
      </c>
      <c r="Q825" s="80">
        <f>IF($I825&gt;0,MAX(0,$G825*SIN(RADIANS('13_시나리오비교'!$B$6))*SIN(RADIANS('13_시나리오비교'!$C$6))+$H825*SIN(RADIANS('13_시나리오비교'!$B$6))*COS(RADIANS('13_시나리오비교'!$C$6))+$I825*COS(RADIANS('13_시나리오비교'!$B$6))),0)</f>
        <v/>
      </c>
      <c r="R825" s="80">
        <f>IF($I825&gt;0,MAX(0,$G825*SIN(RADIANS('13_시나리오비교'!$B$7))*SIN(RADIANS('13_시나리오비교'!$C$7))+$H825*SIN(RADIANS('13_시나리오비교'!$B$7))*COS(RADIANS('13_시나리오비교'!$C$7))+$I825*COS(RADIANS('13_시나리오비교'!$B$7))),0)</f>
        <v/>
      </c>
      <c r="S825" s="80">
        <f>IF($I825&gt;0,MAX(0,$G825*SIN(RADIANS('13_시나리오비교'!$B$8))*SIN(RADIANS('13_시나리오비교'!$C$8))+$H825*SIN(RADIANS('13_시나리오비교'!$B$8))*COS(RADIANS('13_시나리오비교'!$C$8))+$I825*COS(RADIANS('13_시나리오비교'!$B$8))),0)</f>
        <v/>
      </c>
      <c r="T825" s="80">
        <f>IF($I825&gt;0,MAX(0,$G825*SIN(RADIANS('13_시나리오비교'!$B$9))*SIN(RADIANS('13_시나리오비교'!$C$9))+$H825*SIN(RADIANS('13_시나리오비교'!$B$9))*COS(RADIANS('13_시나리오비교'!$C$9))+$I825*COS(RADIANS('13_시나리오비교'!$B$9))),0)</f>
        <v/>
      </c>
      <c r="U825" s="80">
        <f>IF($I825&gt;0,MAX(0,$G825*SIN(RADIANS('13_시나리오비교'!$B$10))*SIN(RADIANS('13_시나리오비교'!$C$10))+$H825*SIN(RADIANS('13_시나리오비교'!$B$10))*COS(RADIANS('13_시나리오비교'!$C$10))+$I825*COS(RADIANS('13_시나리오비교'!$B$10))),0)</f>
        <v/>
      </c>
      <c r="V825" s="80">
        <f>IF($I825&gt;0,MAX(0,$G825*SIN(RADIANS('13_시나리오비교'!$B$11))*SIN(RADIANS('13_시나리오비교'!$C$11))+$H825*SIN(RADIANS('13_시나리오비교'!$B$11))*COS(RADIANS('13_시나리오비교'!$C$11))+$I825*COS(RADIANS('13_시나리오비교'!$B$11))),0)</f>
        <v/>
      </c>
      <c r="W825" s="80">
        <f>IF($I825&gt;0,MAX(0,$G825*SIN(RADIANS('13_시나리오비교'!$B$12))*SIN(RADIANS('13_시나리오비교'!$C$12))+$H825*SIN(RADIANS('13_시나리오비교'!$B$12))*COS(RADIANS('13_시나리오비교'!$C$12))+$I825*COS(RADIANS('13_시나리오비교'!$B$12))),0)</f>
        <v/>
      </c>
      <c r="X825" s="80">
        <f>IF($I825&gt;0,MAX(0,$G825*SIN(RADIANS('13_시나리오비교'!$B$13))*SIN(RADIANS('13_시나리오비교'!$C$13))+$H825*SIN(RADIANS('13_시나리오비교'!$B$13))*COS(RADIANS('13_시나리오비교'!$C$13))+$I825*COS(RADIANS('13_시나리오비교'!$B$13))),0)</f>
        <v/>
      </c>
      <c r="Y825" s="80">
        <f>IF($I825&gt;0,MAX(0,$G825*SIN(RADIANS('13_시나리오비교'!$B$14))*SIN(RADIANS('13_시나리오비교'!$C$14))+$H825*SIN(RADIANS('13_시나리오비교'!$B$14))*COS(RADIANS('13_시나리오비교'!$C$14))+$I825*COS(RADIANS('13_시나리오비교'!$B$14))),0)</f>
        <v/>
      </c>
    </row>
    <row r="826" hidden="1" outlineLevel="1">
      <c r="A826" s="79" t="n">
        <v>9</v>
      </c>
      <c r="B826" s="79" t="n">
        <v>38</v>
      </c>
      <c r="C826" s="80">
        <f>(B826-0.5)*'14_지역·상수'!$H$6</f>
        <v/>
      </c>
      <c r="D826" s="79" t="n">
        <v>258</v>
      </c>
      <c r="E826" s="80">
        <f>INDEX($C$4:$C$15,MATCH(A826,$A$4:$A$15,0))</f>
        <v/>
      </c>
      <c r="F826" s="80">
        <f>15*(C826-12)</f>
        <v/>
      </c>
      <c r="G826" s="80">
        <f>-COS(RADIANS(E826))*SIN(RADIANS(F826))</f>
        <v/>
      </c>
      <c r="H826" s="80">
        <f>COS(RADIANS('11_발전량_모델'!$B$17))*SIN(RADIANS(E826))-SIN(RADIANS('11_발전량_모델'!$B$17))*COS(RADIANS(E826))*COS(RADIANS(F826))</f>
        <v/>
      </c>
      <c r="I826" s="80">
        <f>SIN(RADIANS('11_발전량_모델'!$B$17))*SIN(RADIANS(E826))+COS(RADIANS('11_발전량_모델'!$B$17))*COS(RADIANS(E826))*COS(RADIANS(F826))</f>
        <v/>
      </c>
      <c r="J826" s="80">
        <f>SIN(RADIANS('11_발전량_모델'!$B$7))*SIN(RADIANS('11_발전량_모델'!$B$8))</f>
        <v/>
      </c>
      <c r="K826" s="80">
        <f>SIN(RADIANS('11_발전량_모델'!$B$7))*COS(RADIANS('11_발전량_모델'!$B$8))</f>
        <v/>
      </c>
      <c r="L826" s="80">
        <f>COS(RADIANS('11_발전량_모델'!$B$7))</f>
        <v/>
      </c>
      <c r="M826" s="80">
        <f>G826*J826+H826*K826+I826*L826</f>
        <v/>
      </c>
      <c r="N826" s="80">
        <f>MAX(0,I826)</f>
        <v/>
      </c>
      <c r="O826" s="80">
        <f>IF(I826&gt;0,MAX(0,M826),0)</f>
        <v/>
      </c>
      <c r="P826" s="80">
        <f>IF($I826&gt;0,MAX(0,$G826*SIN(RADIANS('13_시나리오비교'!$B$5))*SIN(RADIANS('13_시나리오비교'!$C$5))+$H826*SIN(RADIANS('13_시나리오비교'!$B$5))*COS(RADIANS('13_시나리오비교'!$C$5))+$I826*COS(RADIANS('13_시나리오비교'!$B$5))),0)</f>
        <v/>
      </c>
      <c r="Q826" s="80">
        <f>IF($I826&gt;0,MAX(0,$G826*SIN(RADIANS('13_시나리오비교'!$B$6))*SIN(RADIANS('13_시나리오비교'!$C$6))+$H826*SIN(RADIANS('13_시나리오비교'!$B$6))*COS(RADIANS('13_시나리오비교'!$C$6))+$I826*COS(RADIANS('13_시나리오비교'!$B$6))),0)</f>
        <v/>
      </c>
      <c r="R826" s="80">
        <f>IF($I826&gt;0,MAX(0,$G826*SIN(RADIANS('13_시나리오비교'!$B$7))*SIN(RADIANS('13_시나리오비교'!$C$7))+$H826*SIN(RADIANS('13_시나리오비교'!$B$7))*COS(RADIANS('13_시나리오비교'!$C$7))+$I826*COS(RADIANS('13_시나리오비교'!$B$7))),0)</f>
        <v/>
      </c>
      <c r="S826" s="80">
        <f>IF($I826&gt;0,MAX(0,$G826*SIN(RADIANS('13_시나리오비교'!$B$8))*SIN(RADIANS('13_시나리오비교'!$C$8))+$H826*SIN(RADIANS('13_시나리오비교'!$B$8))*COS(RADIANS('13_시나리오비교'!$C$8))+$I826*COS(RADIANS('13_시나리오비교'!$B$8))),0)</f>
        <v/>
      </c>
      <c r="T826" s="80">
        <f>IF($I826&gt;0,MAX(0,$G826*SIN(RADIANS('13_시나리오비교'!$B$9))*SIN(RADIANS('13_시나리오비교'!$C$9))+$H826*SIN(RADIANS('13_시나리오비교'!$B$9))*COS(RADIANS('13_시나리오비교'!$C$9))+$I826*COS(RADIANS('13_시나리오비교'!$B$9))),0)</f>
        <v/>
      </c>
      <c r="U826" s="80">
        <f>IF($I826&gt;0,MAX(0,$G826*SIN(RADIANS('13_시나리오비교'!$B$10))*SIN(RADIANS('13_시나리오비교'!$C$10))+$H826*SIN(RADIANS('13_시나리오비교'!$B$10))*COS(RADIANS('13_시나리오비교'!$C$10))+$I826*COS(RADIANS('13_시나리오비교'!$B$10))),0)</f>
        <v/>
      </c>
      <c r="V826" s="80">
        <f>IF($I826&gt;0,MAX(0,$G826*SIN(RADIANS('13_시나리오비교'!$B$11))*SIN(RADIANS('13_시나리오비교'!$C$11))+$H826*SIN(RADIANS('13_시나리오비교'!$B$11))*COS(RADIANS('13_시나리오비교'!$C$11))+$I826*COS(RADIANS('13_시나리오비교'!$B$11))),0)</f>
        <v/>
      </c>
      <c r="W826" s="80">
        <f>IF($I826&gt;0,MAX(0,$G826*SIN(RADIANS('13_시나리오비교'!$B$12))*SIN(RADIANS('13_시나리오비교'!$C$12))+$H826*SIN(RADIANS('13_시나리오비교'!$B$12))*COS(RADIANS('13_시나리오비교'!$C$12))+$I826*COS(RADIANS('13_시나리오비교'!$B$12))),0)</f>
        <v/>
      </c>
      <c r="X826" s="80">
        <f>IF($I826&gt;0,MAX(0,$G826*SIN(RADIANS('13_시나리오비교'!$B$13))*SIN(RADIANS('13_시나리오비교'!$C$13))+$H826*SIN(RADIANS('13_시나리오비교'!$B$13))*COS(RADIANS('13_시나리오비교'!$C$13))+$I826*COS(RADIANS('13_시나리오비교'!$B$13))),0)</f>
        <v/>
      </c>
      <c r="Y826" s="80">
        <f>IF($I826&gt;0,MAX(0,$G826*SIN(RADIANS('13_시나리오비교'!$B$14))*SIN(RADIANS('13_시나리오비교'!$C$14))+$H826*SIN(RADIANS('13_시나리오비교'!$B$14))*COS(RADIANS('13_시나리오비교'!$C$14))+$I826*COS(RADIANS('13_시나리오비교'!$B$14))),0)</f>
        <v/>
      </c>
    </row>
    <row r="827" hidden="1" outlineLevel="1">
      <c r="A827" s="79" t="n">
        <v>9</v>
      </c>
      <c r="B827" s="79" t="n">
        <v>39</v>
      </c>
      <c r="C827" s="80">
        <f>(B827-0.5)*'14_지역·상수'!$H$6</f>
        <v/>
      </c>
      <c r="D827" s="79" t="n">
        <v>258</v>
      </c>
      <c r="E827" s="80">
        <f>INDEX($C$4:$C$15,MATCH(A827,$A$4:$A$15,0))</f>
        <v/>
      </c>
      <c r="F827" s="80">
        <f>15*(C827-12)</f>
        <v/>
      </c>
      <c r="G827" s="80">
        <f>-COS(RADIANS(E827))*SIN(RADIANS(F827))</f>
        <v/>
      </c>
      <c r="H827" s="80">
        <f>COS(RADIANS('11_발전량_모델'!$B$17))*SIN(RADIANS(E827))-SIN(RADIANS('11_발전량_모델'!$B$17))*COS(RADIANS(E827))*COS(RADIANS(F827))</f>
        <v/>
      </c>
      <c r="I827" s="80">
        <f>SIN(RADIANS('11_발전량_모델'!$B$17))*SIN(RADIANS(E827))+COS(RADIANS('11_발전량_모델'!$B$17))*COS(RADIANS(E827))*COS(RADIANS(F827))</f>
        <v/>
      </c>
      <c r="J827" s="80">
        <f>SIN(RADIANS('11_발전량_모델'!$B$7))*SIN(RADIANS('11_발전량_모델'!$B$8))</f>
        <v/>
      </c>
      <c r="K827" s="80">
        <f>SIN(RADIANS('11_발전량_모델'!$B$7))*COS(RADIANS('11_발전량_모델'!$B$8))</f>
        <v/>
      </c>
      <c r="L827" s="80">
        <f>COS(RADIANS('11_발전량_모델'!$B$7))</f>
        <v/>
      </c>
      <c r="M827" s="80">
        <f>G827*J827+H827*K827+I827*L827</f>
        <v/>
      </c>
      <c r="N827" s="80">
        <f>MAX(0,I827)</f>
        <v/>
      </c>
      <c r="O827" s="80">
        <f>IF(I827&gt;0,MAX(0,M827),0)</f>
        <v/>
      </c>
      <c r="P827" s="80">
        <f>IF($I827&gt;0,MAX(0,$G827*SIN(RADIANS('13_시나리오비교'!$B$5))*SIN(RADIANS('13_시나리오비교'!$C$5))+$H827*SIN(RADIANS('13_시나리오비교'!$B$5))*COS(RADIANS('13_시나리오비교'!$C$5))+$I827*COS(RADIANS('13_시나리오비교'!$B$5))),0)</f>
        <v/>
      </c>
      <c r="Q827" s="80">
        <f>IF($I827&gt;0,MAX(0,$G827*SIN(RADIANS('13_시나리오비교'!$B$6))*SIN(RADIANS('13_시나리오비교'!$C$6))+$H827*SIN(RADIANS('13_시나리오비교'!$B$6))*COS(RADIANS('13_시나리오비교'!$C$6))+$I827*COS(RADIANS('13_시나리오비교'!$B$6))),0)</f>
        <v/>
      </c>
      <c r="R827" s="80">
        <f>IF($I827&gt;0,MAX(0,$G827*SIN(RADIANS('13_시나리오비교'!$B$7))*SIN(RADIANS('13_시나리오비교'!$C$7))+$H827*SIN(RADIANS('13_시나리오비교'!$B$7))*COS(RADIANS('13_시나리오비교'!$C$7))+$I827*COS(RADIANS('13_시나리오비교'!$B$7))),0)</f>
        <v/>
      </c>
      <c r="S827" s="80">
        <f>IF($I827&gt;0,MAX(0,$G827*SIN(RADIANS('13_시나리오비교'!$B$8))*SIN(RADIANS('13_시나리오비교'!$C$8))+$H827*SIN(RADIANS('13_시나리오비교'!$B$8))*COS(RADIANS('13_시나리오비교'!$C$8))+$I827*COS(RADIANS('13_시나리오비교'!$B$8))),0)</f>
        <v/>
      </c>
      <c r="T827" s="80">
        <f>IF($I827&gt;0,MAX(0,$G827*SIN(RADIANS('13_시나리오비교'!$B$9))*SIN(RADIANS('13_시나리오비교'!$C$9))+$H827*SIN(RADIANS('13_시나리오비교'!$B$9))*COS(RADIANS('13_시나리오비교'!$C$9))+$I827*COS(RADIANS('13_시나리오비교'!$B$9))),0)</f>
        <v/>
      </c>
      <c r="U827" s="80">
        <f>IF($I827&gt;0,MAX(0,$G827*SIN(RADIANS('13_시나리오비교'!$B$10))*SIN(RADIANS('13_시나리오비교'!$C$10))+$H827*SIN(RADIANS('13_시나리오비교'!$B$10))*COS(RADIANS('13_시나리오비교'!$C$10))+$I827*COS(RADIANS('13_시나리오비교'!$B$10))),0)</f>
        <v/>
      </c>
      <c r="V827" s="80">
        <f>IF($I827&gt;0,MAX(0,$G827*SIN(RADIANS('13_시나리오비교'!$B$11))*SIN(RADIANS('13_시나리오비교'!$C$11))+$H827*SIN(RADIANS('13_시나리오비교'!$B$11))*COS(RADIANS('13_시나리오비교'!$C$11))+$I827*COS(RADIANS('13_시나리오비교'!$B$11))),0)</f>
        <v/>
      </c>
      <c r="W827" s="80">
        <f>IF($I827&gt;0,MAX(0,$G827*SIN(RADIANS('13_시나리오비교'!$B$12))*SIN(RADIANS('13_시나리오비교'!$C$12))+$H827*SIN(RADIANS('13_시나리오비교'!$B$12))*COS(RADIANS('13_시나리오비교'!$C$12))+$I827*COS(RADIANS('13_시나리오비교'!$B$12))),0)</f>
        <v/>
      </c>
      <c r="X827" s="80">
        <f>IF($I827&gt;0,MAX(0,$G827*SIN(RADIANS('13_시나리오비교'!$B$13))*SIN(RADIANS('13_시나리오비교'!$C$13))+$H827*SIN(RADIANS('13_시나리오비교'!$B$13))*COS(RADIANS('13_시나리오비교'!$C$13))+$I827*COS(RADIANS('13_시나리오비교'!$B$13))),0)</f>
        <v/>
      </c>
      <c r="Y827" s="80">
        <f>IF($I827&gt;0,MAX(0,$G827*SIN(RADIANS('13_시나리오비교'!$B$14))*SIN(RADIANS('13_시나리오비교'!$C$14))+$H827*SIN(RADIANS('13_시나리오비교'!$B$14))*COS(RADIANS('13_시나리오비교'!$C$14))+$I827*COS(RADIANS('13_시나리오비교'!$B$14))),0)</f>
        <v/>
      </c>
    </row>
    <row r="828" hidden="1" outlineLevel="1">
      <c r="A828" s="79" t="n">
        <v>9</v>
      </c>
      <c r="B828" s="79" t="n">
        <v>40</v>
      </c>
      <c r="C828" s="80">
        <f>(B828-0.5)*'14_지역·상수'!$H$6</f>
        <v/>
      </c>
      <c r="D828" s="79" t="n">
        <v>258</v>
      </c>
      <c r="E828" s="80">
        <f>INDEX($C$4:$C$15,MATCH(A828,$A$4:$A$15,0))</f>
        <v/>
      </c>
      <c r="F828" s="80">
        <f>15*(C828-12)</f>
        <v/>
      </c>
      <c r="G828" s="80">
        <f>-COS(RADIANS(E828))*SIN(RADIANS(F828))</f>
        <v/>
      </c>
      <c r="H828" s="80">
        <f>COS(RADIANS('11_발전량_모델'!$B$17))*SIN(RADIANS(E828))-SIN(RADIANS('11_발전량_모델'!$B$17))*COS(RADIANS(E828))*COS(RADIANS(F828))</f>
        <v/>
      </c>
      <c r="I828" s="80">
        <f>SIN(RADIANS('11_발전량_모델'!$B$17))*SIN(RADIANS(E828))+COS(RADIANS('11_발전량_모델'!$B$17))*COS(RADIANS(E828))*COS(RADIANS(F828))</f>
        <v/>
      </c>
      <c r="J828" s="80">
        <f>SIN(RADIANS('11_발전량_모델'!$B$7))*SIN(RADIANS('11_발전량_모델'!$B$8))</f>
        <v/>
      </c>
      <c r="K828" s="80">
        <f>SIN(RADIANS('11_발전량_모델'!$B$7))*COS(RADIANS('11_발전량_모델'!$B$8))</f>
        <v/>
      </c>
      <c r="L828" s="80">
        <f>COS(RADIANS('11_발전량_모델'!$B$7))</f>
        <v/>
      </c>
      <c r="M828" s="80">
        <f>G828*J828+H828*K828+I828*L828</f>
        <v/>
      </c>
      <c r="N828" s="80">
        <f>MAX(0,I828)</f>
        <v/>
      </c>
      <c r="O828" s="80">
        <f>IF(I828&gt;0,MAX(0,M828),0)</f>
        <v/>
      </c>
      <c r="P828" s="80">
        <f>IF($I828&gt;0,MAX(0,$G828*SIN(RADIANS('13_시나리오비교'!$B$5))*SIN(RADIANS('13_시나리오비교'!$C$5))+$H828*SIN(RADIANS('13_시나리오비교'!$B$5))*COS(RADIANS('13_시나리오비교'!$C$5))+$I828*COS(RADIANS('13_시나리오비교'!$B$5))),0)</f>
        <v/>
      </c>
      <c r="Q828" s="80">
        <f>IF($I828&gt;0,MAX(0,$G828*SIN(RADIANS('13_시나리오비교'!$B$6))*SIN(RADIANS('13_시나리오비교'!$C$6))+$H828*SIN(RADIANS('13_시나리오비교'!$B$6))*COS(RADIANS('13_시나리오비교'!$C$6))+$I828*COS(RADIANS('13_시나리오비교'!$B$6))),0)</f>
        <v/>
      </c>
      <c r="R828" s="80">
        <f>IF($I828&gt;0,MAX(0,$G828*SIN(RADIANS('13_시나리오비교'!$B$7))*SIN(RADIANS('13_시나리오비교'!$C$7))+$H828*SIN(RADIANS('13_시나리오비교'!$B$7))*COS(RADIANS('13_시나리오비교'!$C$7))+$I828*COS(RADIANS('13_시나리오비교'!$B$7))),0)</f>
        <v/>
      </c>
      <c r="S828" s="80">
        <f>IF($I828&gt;0,MAX(0,$G828*SIN(RADIANS('13_시나리오비교'!$B$8))*SIN(RADIANS('13_시나리오비교'!$C$8))+$H828*SIN(RADIANS('13_시나리오비교'!$B$8))*COS(RADIANS('13_시나리오비교'!$C$8))+$I828*COS(RADIANS('13_시나리오비교'!$B$8))),0)</f>
        <v/>
      </c>
      <c r="T828" s="80">
        <f>IF($I828&gt;0,MAX(0,$G828*SIN(RADIANS('13_시나리오비교'!$B$9))*SIN(RADIANS('13_시나리오비교'!$C$9))+$H828*SIN(RADIANS('13_시나리오비교'!$B$9))*COS(RADIANS('13_시나리오비교'!$C$9))+$I828*COS(RADIANS('13_시나리오비교'!$B$9))),0)</f>
        <v/>
      </c>
      <c r="U828" s="80">
        <f>IF($I828&gt;0,MAX(0,$G828*SIN(RADIANS('13_시나리오비교'!$B$10))*SIN(RADIANS('13_시나리오비교'!$C$10))+$H828*SIN(RADIANS('13_시나리오비교'!$B$10))*COS(RADIANS('13_시나리오비교'!$C$10))+$I828*COS(RADIANS('13_시나리오비교'!$B$10))),0)</f>
        <v/>
      </c>
      <c r="V828" s="80">
        <f>IF($I828&gt;0,MAX(0,$G828*SIN(RADIANS('13_시나리오비교'!$B$11))*SIN(RADIANS('13_시나리오비교'!$C$11))+$H828*SIN(RADIANS('13_시나리오비교'!$B$11))*COS(RADIANS('13_시나리오비교'!$C$11))+$I828*COS(RADIANS('13_시나리오비교'!$B$11))),0)</f>
        <v/>
      </c>
      <c r="W828" s="80">
        <f>IF($I828&gt;0,MAX(0,$G828*SIN(RADIANS('13_시나리오비교'!$B$12))*SIN(RADIANS('13_시나리오비교'!$C$12))+$H828*SIN(RADIANS('13_시나리오비교'!$B$12))*COS(RADIANS('13_시나리오비교'!$C$12))+$I828*COS(RADIANS('13_시나리오비교'!$B$12))),0)</f>
        <v/>
      </c>
      <c r="X828" s="80">
        <f>IF($I828&gt;0,MAX(0,$G828*SIN(RADIANS('13_시나리오비교'!$B$13))*SIN(RADIANS('13_시나리오비교'!$C$13))+$H828*SIN(RADIANS('13_시나리오비교'!$B$13))*COS(RADIANS('13_시나리오비교'!$C$13))+$I828*COS(RADIANS('13_시나리오비교'!$B$13))),0)</f>
        <v/>
      </c>
      <c r="Y828" s="80">
        <f>IF($I828&gt;0,MAX(0,$G828*SIN(RADIANS('13_시나리오비교'!$B$14))*SIN(RADIANS('13_시나리오비교'!$C$14))+$H828*SIN(RADIANS('13_시나리오비교'!$B$14))*COS(RADIANS('13_시나리오비교'!$C$14))+$I828*COS(RADIANS('13_시나리오비교'!$B$14))),0)</f>
        <v/>
      </c>
    </row>
    <row r="829" hidden="1" outlineLevel="1">
      <c r="A829" s="79" t="n">
        <v>9</v>
      </c>
      <c r="B829" s="79" t="n">
        <v>41</v>
      </c>
      <c r="C829" s="80">
        <f>(B829-0.5)*'14_지역·상수'!$H$6</f>
        <v/>
      </c>
      <c r="D829" s="79" t="n">
        <v>258</v>
      </c>
      <c r="E829" s="80">
        <f>INDEX($C$4:$C$15,MATCH(A829,$A$4:$A$15,0))</f>
        <v/>
      </c>
      <c r="F829" s="80">
        <f>15*(C829-12)</f>
        <v/>
      </c>
      <c r="G829" s="80">
        <f>-COS(RADIANS(E829))*SIN(RADIANS(F829))</f>
        <v/>
      </c>
      <c r="H829" s="80">
        <f>COS(RADIANS('11_발전량_모델'!$B$17))*SIN(RADIANS(E829))-SIN(RADIANS('11_발전량_모델'!$B$17))*COS(RADIANS(E829))*COS(RADIANS(F829))</f>
        <v/>
      </c>
      <c r="I829" s="80">
        <f>SIN(RADIANS('11_발전량_모델'!$B$17))*SIN(RADIANS(E829))+COS(RADIANS('11_발전량_모델'!$B$17))*COS(RADIANS(E829))*COS(RADIANS(F829))</f>
        <v/>
      </c>
      <c r="J829" s="80">
        <f>SIN(RADIANS('11_발전량_모델'!$B$7))*SIN(RADIANS('11_발전량_모델'!$B$8))</f>
        <v/>
      </c>
      <c r="K829" s="80">
        <f>SIN(RADIANS('11_발전량_모델'!$B$7))*COS(RADIANS('11_발전량_모델'!$B$8))</f>
        <v/>
      </c>
      <c r="L829" s="80">
        <f>COS(RADIANS('11_발전량_모델'!$B$7))</f>
        <v/>
      </c>
      <c r="M829" s="80">
        <f>G829*J829+H829*K829+I829*L829</f>
        <v/>
      </c>
      <c r="N829" s="80">
        <f>MAX(0,I829)</f>
        <v/>
      </c>
      <c r="O829" s="80">
        <f>IF(I829&gt;0,MAX(0,M829),0)</f>
        <v/>
      </c>
      <c r="P829" s="80">
        <f>IF($I829&gt;0,MAX(0,$G829*SIN(RADIANS('13_시나리오비교'!$B$5))*SIN(RADIANS('13_시나리오비교'!$C$5))+$H829*SIN(RADIANS('13_시나리오비교'!$B$5))*COS(RADIANS('13_시나리오비교'!$C$5))+$I829*COS(RADIANS('13_시나리오비교'!$B$5))),0)</f>
        <v/>
      </c>
      <c r="Q829" s="80">
        <f>IF($I829&gt;0,MAX(0,$G829*SIN(RADIANS('13_시나리오비교'!$B$6))*SIN(RADIANS('13_시나리오비교'!$C$6))+$H829*SIN(RADIANS('13_시나리오비교'!$B$6))*COS(RADIANS('13_시나리오비교'!$C$6))+$I829*COS(RADIANS('13_시나리오비교'!$B$6))),0)</f>
        <v/>
      </c>
      <c r="R829" s="80">
        <f>IF($I829&gt;0,MAX(0,$G829*SIN(RADIANS('13_시나리오비교'!$B$7))*SIN(RADIANS('13_시나리오비교'!$C$7))+$H829*SIN(RADIANS('13_시나리오비교'!$B$7))*COS(RADIANS('13_시나리오비교'!$C$7))+$I829*COS(RADIANS('13_시나리오비교'!$B$7))),0)</f>
        <v/>
      </c>
      <c r="S829" s="80">
        <f>IF($I829&gt;0,MAX(0,$G829*SIN(RADIANS('13_시나리오비교'!$B$8))*SIN(RADIANS('13_시나리오비교'!$C$8))+$H829*SIN(RADIANS('13_시나리오비교'!$B$8))*COS(RADIANS('13_시나리오비교'!$C$8))+$I829*COS(RADIANS('13_시나리오비교'!$B$8))),0)</f>
        <v/>
      </c>
      <c r="T829" s="80">
        <f>IF($I829&gt;0,MAX(0,$G829*SIN(RADIANS('13_시나리오비교'!$B$9))*SIN(RADIANS('13_시나리오비교'!$C$9))+$H829*SIN(RADIANS('13_시나리오비교'!$B$9))*COS(RADIANS('13_시나리오비교'!$C$9))+$I829*COS(RADIANS('13_시나리오비교'!$B$9))),0)</f>
        <v/>
      </c>
      <c r="U829" s="80">
        <f>IF($I829&gt;0,MAX(0,$G829*SIN(RADIANS('13_시나리오비교'!$B$10))*SIN(RADIANS('13_시나리오비교'!$C$10))+$H829*SIN(RADIANS('13_시나리오비교'!$B$10))*COS(RADIANS('13_시나리오비교'!$C$10))+$I829*COS(RADIANS('13_시나리오비교'!$B$10))),0)</f>
        <v/>
      </c>
      <c r="V829" s="80">
        <f>IF($I829&gt;0,MAX(0,$G829*SIN(RADIANS('13_시나리오비교'!$B$11))*SIN(RADIANS('13_시나리오비교'!$C$11))+$H829*SIN(RADIANS('13_시나리오비교'!$B$11))*COS(RADIANS('13_시나리오비교'!$C$11))+$I829*COS(RADIANS('13_시나리오비교'!$B$11))),0)</f>
        <v/>
      </c>
      <c r="W829" s="80">
        <f>IF($I829&gt;0,MAX(0,$G829*SIN(RADIANS('13_시나리오비교'!$B$12))*SIN(RADIANS('13_시나리오비교'!$C$12))+$H829*SIN(RADIANS('13_시나리오비교'!$B$12))*COS(RADIANS('13_시나리오비교'!$C$12))+$I829*COS(RADIANS('13_시나리오비교'!$B$12))),0)</f>
        <v/>
      </c>
      <c r="X829" s="80">
        <f>IF($I829&gt;0,MAX(0,$G829*SIN(RADIANS('13_시나리오비교'!$B$13))*SIN(RADIANS('13_시나리오비교'!$C$13))+$H829*SIN(RADIANS('13_시나리오비교'!$B$13))*COS(RADIANS('13_시나리오비교'!$C$13))+$I829*COS(RADIANS('13_시나리오비교'!$B$13))),0)</f>
        <v/>
      </c>
      <c r="Y829" s="80">
        <f>IF($I829&gt;0,MAX(0,$G829*SIN(RADIANS('13_시나리오비교'!$B$14))*SIN(RADIANS('13_시나리오비교'!$C$14))+$H829*SIN(RADIANS('13_시나리오비교'!$B$14))*COS(RADIANS('13_시나리오비교'!$C$14))+$I829*COS(RADIANS('13_시나리오비교'!$B$14))),0)</f>
        <v/>
      </c>
    </row>
    <row r="830" hidden="1" outlineLevel="1">
      <c r="A830" s="79" t="n">
        <v>9</v>
      </c>
      <c r="B830" s="79" t="n">
        <v>42</v>
      </c>
      <c r="C830" s="80">
        <f>(B830-0.5)*'14_지역·상수'!$H$6</f>
        <v/>
      </c>
      <c r="D830" s="79" t="n">
        <v>258</v>
      </c>
      <c r="E830" s="80">
        <f>INDEX($C$4:$C$15,MATCH(A830,$A$4:$A$15,0))</f>
        <v/>
      </c>
      <c r="F830" s="80">
        <f>15*(C830-12)</f>
        <v/>
      </c>
      <c r="G830" s="80">
        <f>-COS(RADIANS(E830))*SIN(RADIANS(F830))</f>
        <v/>
      </c>
      <c r="H830" s="80">
        <f>COS(RADIANS('11_발전량_모델'!$B$17))*SIN(RADIANS(E830))-SIN(RADIANS('11_발전량_모델'!$B$17))*COS(RADIANS(E830))*COS(RADIANS(F830))</f>
        <v/>
      </c>
      <c r="I830" s="80">
        <f>SIN(RADIANS('11_발전량_모델'!$B$17))*SIN(RADIANS(E830))+COS(RADIANS('11_발전량_모델'!$B$17))*COS(RADIANS(E830))*COS(RADIANS(F830))</f>
        <v/>
      </c>
      <c r="J830" s="80">
        <f>SIN(RADIANS('11_발전량_모델'!$B$7))*SIN(RADIANS('11_발전량_모델'!$B$8))</f>
        <v/>
      </c>
      <c r="K830" s="80">
        <f>SIN(RADIANS('11_발전량_모델'!$B$7))*COS(RADIANS('11_발전량_모델'!$B$8))</f>
        <v/>
      </c>
      <c r="L830" s="80">
        <f>COS(RADIANS('11_발전량_모델'!$B$7))</f>
        <v/>
      </c>
      <c r="M830" s="80">
        <f>G830*J830+H830*K830+I830*L830</f>
        <v/>
      </c>
      <c r="N830" s="80">
        <f>MAX(0,I830)</f>
        <v/>
      </c>
      <c r="O830" s="80">
        <f>IF(I830&gt;0,MAX(0,M830),0)</f>
        <v/>
      </c>
      <c r="P830" s="80">
        <f>IF($I830&gt;0,MAX(0,$G830*SIN(RADIANS('13_시나리오비교'!$B$5))*SIN(RADIANS('13_시나리오비교'!$C$5))+$H830*SIN(RADIANS('13_시나리오비교'!$B$5))*COS(RADIANS('13_시나리오비교'!$C$5))+$I830*COS(RADIANS('13_시나리오비교'!$B$5))),0)</f>
        <v/>
      </c>
      <c r="Q830" s="80">
        <f>IF($I830&gt;0,MAX(0,$G830*SIN(RADIANS('13_시나리오비교'!$B$6))*SIN(RADIANS('13_시나리오비교'!$C$6))+$H830*SIN(RADIANS('13_시나리오비교'!$B$6))*COS(RADIANS('13_시나리오비교'!$C$6))+$I830*COS(RADIANS('13_시나리오비교'!$B$6))),0)</f>
        <v/>
      </c>
      <c r="R830" s="80">
        <f>IF($I830&gt;0,MAX(0,$G830*SIN(RADIANS('13_시나리오비교'!$B$7))*SIN(RADIANS('13_시나리오비교'!$C$7))+$H830*SIN(RADIANS('13_시나리오비교'!$B$7))*COS(RADIANS('13_시나리오비교'!$C$7))+$I830*COS(RADIANS('13_시나리오비교'!$B$7))),0)</f>
        <v/>
      </c>
      <c r="S830" s="80">
        <f>IF($I830&gt;0,MAX(0,$G830*SIN(RADIANS('13_시나리오비교'!$B$8))*SIN(RADIANS('13_시나리오비교'!$C$8))+$H830*SIN(RADIANS('13_시나리오비교'!$B$8))*COS(RADIANS('13_시나리오비교'!$C$8))+$I830*COS(RADIANS('13_시나리오비교'!$B$8))),0)</f>
        <v/>
      </c>
      <c r="T830" s="80">
        <f>IF($I830&gt;0,MAX(0,$G830*SIN(RADIANS('13_시나리오비교'!$B$9))*SIN(RADIANS('13_시나리오비교'!$C$9))+$H830*SIN(RADIANS('13_시나리오비교'!$B$9))*COS(RADIANS('13_시나리오비교'!$C$9))+$I830*COS(RADIANS('13_시나리오비교'!$B$9))),0)</f>
        <v/>
      </c>
      <c r="U830" s="80">
        <f>IF($I830&gt;0,MAX(0,$G830*SIN(RADIANS('13_시나리오비교'!$B$10))*SIN(RADIANS('13_시나리오비교'!$C$10))+$H830*SIN(RADIANS('13_시나리오비교'!$B$10))*COS(RADIANS('13_시나리오비교'!$C$10))+$I830*COS(RADIANS('13_시나리오비교'!$B$10))),0)</f>
        <v/>
      </c>
      <c r="V830" s="80">
        <f>IF($I830&gt;0,MAX(0,$G830*SIN(RADIANS('13_시나리오비교'!$B$11))*SIN(RADIANS('13_시나리오비교'!$C$11))+$H830*SIN(RADIANS('13_시나리오비교'!$B$11))*COS(RADIANS('13_시나리오비교'!$C$11))+$I830*COS(RADIANS('13_시나리오비교'!$B$11))),0)</f>
        <v/>
      </c>
      <c r="W830" s="80">
        <f>IF($I830&gt;0,MAX(0,$G830*SIN(RADIANS('13_시나리오비교'!$B$12))*SIN(RADIANS('13_시나리오비교'!$C$12))+$H830*SIN(RADIANS('13_시나리오비교'!$B$12))*COS(RADIANS('13_시나리오비교'!$C$12))+$I830*COS(RADIANS('13_시나리오비교'!$B$12))),0)</f>
        <v/>
      </c>
      <c r="X830" s="80">
        <f>IF($I830&gt;0,MAX(0,$G830*SIN(RADIANS('13_시나리오비교'!$B$13))*SIN(RADIANS('13_시나리오비교'!$C$13))+$H830*SIN(RADIANS('13_시나리오비교'!$B$13))*COS(RADIANS('13_시나리오비교'!$C$13))+$I830*COS(RADIANS('13_시나리오비교'!$B$13))),0)</f>
        <v/>
      </c>
      <c r="Y830" s="80">
        <f>IF($I830&gt;0,MAX(0,$G830*SIN(RADIANS('13_시나리오비교'!$B$14))*SIN(RADIANS('13_시나리오비교'!$C$14))+$H830*SIN(RADIANS('13_시나리오비교'!$B$14))*COS(RADIANS('13_시나리오비교'!$C$14))+$I830*COS(RADIANS('13_시나리오비교'!$B$14))),0)</f>
        <v/>
      </c>
    </row>
    <row r="831" hidden="1" outlineLevel="1">
      <c r="A831" s="79" t="n">
        <v>9</v>
      </c>
      <c r="B831" s="79" t="n">
        <v>43</v>
      </c>
      <c r="C831" s="80">
        <f>(B831-0.5)*'14_지역·상수'!$H$6</f>
        <v/>
      </c>
      <c r="D831" s="79" t="n">
        <v>258</v>
      </c>
      <c r="E831" s="80">
        <f>INDEX($C$4:$C$15,MATCH(A831,$A$4:$A$15,0))</f>
        <v/>
      </c>
      <c r="F831" s="80">
        <f>15*(C831-12)</f>
        <v/>
      </c>
      <c r="G831" s="80">
        <f>-COS(RADIANS(E831))*SIN(RADIANS(F831))</f>
        <v/>
      </c>
      <c r="H831" s="80">
        <f>COS(RADIANS('11_발전량_모델'!$B$17))*SIN(RADIANS(E831))-SIN(RADIANS('11_발전량_모델'!$B$17))*COS(RADIANS(E831))*COS(RADIANS(F831))</f>
        <v/>
      </c>
      <c r="I831" s="80">
        <f>SIN(RADIANS('11_발전량_모델'!$B$17))*SIN(RADIANS(E831))+COS(RADIANS('11_발전량_모델'!$B$17))*COS(RADIANS(E831))*COS(RADIANS(F831))</f>
        <v/>
      </c>
      <c r="J831" s="80">
        <f>SIN(RADIANS('11_발전량_모델'!$B$7))*SIN(RADIANS('11_발전량_모델'!$B$8))</f>
        <v/>
      </c>
      <c r="K831" s="80">
        <f>SIN(RADIANS('11_발전량_모델'!$B$7))*COS(RADIANS('11_발전량_모델'!$B$8))</f>
        <v/>
      </c>
      <c r="L831" s="80">
        <f>COS(RADIANS('11_발전량_모델'!$B$7))</f>
        <v/>
      </c>
      <c r="M831" s="80">
        <f>G831*J831+H831*K831+I831*L831</f>
        <v/>
      </c>
      <c r="N831" s="80">
        <f>MAX(0,I831)</f>
        <v/>
      </c>
      <c r="O831" s="80">
        <f>IF(I831&gt;0,MAX(0,M831),0)</f>
        <v/>
      </c>
      <c r="P831" s="80">
        <f>IF($I831&gt;0,MAX(0,$G831*SIN(RADIANS('13_시나리오비교'!$B$5))*SIN(RADIANS('13_시나리오비교'!$C$5))+$H831*SIN(RADIANS('13_시나리오비교'!$B$5))*COS(RADIANS('13_시나리오비교'!$C$5))+$I831*COS(RADIANS('13_시나리오비교'!$B$5))),0)</f>
        <v/>
      </c>
      <c r="Q831" s="80">
        <f>IF($I831&gt;0,MAX(0,$G831*SIN(RADIANS('13_시나리오비교'!$B$6))*SIN(RADIANS('13_시나리오비교'!$C$6))+$H831*SIN(RADIANS('13_시나리오비교'!$B$6))*COS(RADIANS('13_시나리오비교'!$C$6))+$I831*COS(RADIANS('13_시나리오비교'!$B$6))),0)</f>
        <v/>
      </c>
      <c r="R831" s="80">
        <f>IF($I831&gt;0,MAX(0,$G831*SIN(RADIANS('13_시나리오비교'!$B$7))*SIN(RADIANS('13_시나리오비교'!$C$7))+$H831*SIN(RADIANS('13_시나리오비교'!$B$7))*COS(RADIANS('13_시나리오비교'!$C$7))+$I831*COS(RADIANS('13_시나리오비교'!$B$7))),0)</f>
        <v/>
      </c>
      <c r="S831" s="80">
        <f>IF($I831&gt;0,MAX(0,$G831*SIN(RADIANS('13_시나리오비교'!$B$8))*SIN(RADIANS('13_시나리오비교'!$C$8))+$H831*SIN(RADIANS('13_시나리오비교'!$B$8))*COS(RADIANS('13_시나리오비교'!$C$8))+$I831*COS(RADIANS('13_시나리오비교'!$B$8))),0)</f>
        <v/>
      </c>
      <c r="T831" s="80">
        <f>IF($I831&gt;0,MAX(0,$G831*SIN(RADIANS('13_시나리오비교'!$B$9))*SIN(RADIANS('13_시나리오비교'!$C$9))+$H831*SIN(RADIANS('13_시나리오비교'!$B$9))*COS(RADIANS('13_시나리오비교'!$C$9))+$I831*COS(RADIANS('13_시나리오비교'!$B$9))),0)</f>
        <v/>
      </c>
      <c r="U831" s="80">
        <f>IF($I831&gt;0,MAX(0,$G831*SIN(RADIANS('13_시나리오비교'!$B$10))*SIN(RADIANS('13_시나리오비교'!$C$10))+$H831*SIN(RADIANS('13_시나리오비교'!$B$10))*COS(RADIANS('13_시나리오비교'!$C$10))+$I831*COS(RADIANS('13_시나리오비교'!$B$10))),0)</f>
        <v/>
      </c>
      <c r="V831" s="80">
        <f>IF($I831&gt;0,MAX(0,$G831*SIN(RADIANS('13_시나리오비교'!$B$11))*SIN(RADIANS('13_시나리오비교'!$C$11))+$H831*SIN(RADIANS('13_시나리오비교'!$B$11))*COS(RADIANS('13_시나리오비교'!$C$11))+$I831*COS(RADIANS('13_시나리오비교'!$B$11))),0)</f>
        <v/>
      </c>
      <c r="W831" s="80">
        <f>IF($I831&gt;0,MAX(0,$G831*SIN(RADIANS('13_시나리오비교'!$B$12))*SIN(RADIANS('13_시나리오비교'!$C$12))+$H831*SIN(RADIANS('13_시나리오비교'!$B$12))*COS(RADIANS('13_시나리오비교'!$C$12))+$I831*COS(RADIANS('13_시나리오비교'!$B$12))),0)</f>
        <v/>
      </c>
      <c r="X831" s="80">
        <f>IF($I831&gt;0,MAX(0,$G831*SIN(RADIANS('13_시나리오비교'!$B$13))*SIN(RADIANS('13_시나리오비교'!$C$13))+$H831*SIN(RADIANS('13_시나리오비교'!$B$13))*COS(RADIANS('13_시나리오비교'!$C$13))+$I831*COS(RADIANS('13_시나리오비교'!$B$13))),0)</f>
        <v/>
      </c>
      <c r="Y831" s="80">
        <f>IF($I831&gt;0,MAX(0,$G831*SIN(RADIANS('13_시나리오비교'!$B$14))*SIN(RADIANS('13_시나리오비교'!$C$14))+$H831*SIN(RADIANS('13_시나리오비교'!$B$14))*COS(RADIANS('13_시나리오비교'!$C$14))+$I831*COS(RADIANS('13_시나리오비교'!$B$14))),0)</f>
        <v/>
      </c>
    </row>
    <row r="832" hidden="1" outlineLevel="1">
      <c r="A832" s="79" t="n">
        <v>9</v>
      </c>
      <c r="B832" s="79" t="n">
        <v>44</v>
      </c>
      <c r="C832" s="80">
        <f>(B832-0.5)*'14_지역·상수'!$H$6</f>
        <v/>
      </c>
      <c r="D832" s="79" t="n">
        <v>258</v>
      </c>
      <c r="E832" s="80">
        <f>INDEX($C$4:$C$15,MATCH(A832,$A$4:$A$15,0))</f>
        <v/>
      </c>
      <c r="F832" s="80">
        <f>15*(C832-12)</f>
        <v/>
      </c>
      <c r="G832" s="80">
        <f>-COS(RADIANS(E832))*SIN(RADIANS(F832))</f>
        <v/>
      </c>
      <c r="H832" s="80">
        <f>COS(RADIANS('11_발전량_모델'!$B$17))*SIN(RADIANS(E832))-SIN(RADIANS('11_발전량_모델'!$B$17))*COS(RADIANS(E832))*COS(RADIANS(F832))</f>
        <v/>
      </c>
      <c r="I832" s="80">
        <f>SIN(RADIANS('11_발전량_모델'!$B$17))*SIN(RADIANS(E832))+COS(RADIANS('11_발전량_모델'!$B$17))*COS(RADIANS(E832))*COS(RADIANS(F832))</f>
        <v/>
      </c>
      <c r="J832" s="80">
        <f>SIN(RADIANS('11_발전량_모델'!$B$7))*SIN(RADIANS('11_발전량_모델'!$B$8))</f>
        <v/>
      </c>
      <c r="K832" s="80">
        <f>SIN(RADIANS('11_발전량_모델'!$B$7))*COS(RADIANS('11_발전량_모델'!$B$8))</f>
        <v/>
      </c>
      <c r="L832" s="80">
        <f>COS(RADIANS('11_발전량_모델'!$B$7))</f>
        <v/>
      </c>
      <c r="M832" s="80">
        <f>G832*J832+H832*K832+I832*L832</f>
        <v/>
      </c>
      <c r="N832" s="80">
        <f>MAX(0,I832)</f>
        <v/>
      </c>
      <c r="O832" s="80">
        <f>IF(I832&gt;0,MAX(0,M832),0)</f>
        <v/>
      </c>
      <c r="P832" s="80">
        <f>IF($I832&gt;0,MAX(0,$G832*SIN(RADIANS('13_시나리오비교'!$B$5))*SIN(RADIANS('13_시나리오비교'!$C$5))+$H832*SIN(RADIANS('13_시나리오비교'!$B$5))*COS(RADIANS('13_시나리오비교'!$C$5))+$I832*COS(RADIANS('13_시나리오비교'!$B$5))),0)</f>
        <v/>
      </c>
      <c r="Q832" s="80">
        <f>IF($I832&gt;0,MAX(0,$G832*SIN(RADIANS('13_시나리오비교'!$B$6))*SIN(RADIANS('13_시나리오비교'!$C$6))+$H832*SIN(RADIANS('13_시나리오비교'!$B$6))*COS(RADIANS('13_시나리오비교'!$C$6))+$I832*COS(RADIANS('13_시나리오비교'!$B$6))),0)</f>
        <v/>
      </c>
      <c r="R832" s="80">
        <f>IF($I832&gt;0,MAX(0,$G832*SIN(RADIANS('13_시나리오비교'!$B$7))*SIN(RADIANS('13_시나리오비교'!$C$7))+$H832*SIN(RADIANS('13_시나리오비교'!$B$7))*COS(RADIANS('13_시나리오비교'!$C$7))+$I832*COS(RADIANS('13_시나리오비교'!$B$7))),0)</f>
        <v/>
      </c>
      <c r="S832" s="80">
        <f>IF($I832&gt;0,MAX(0,$G832*SIN(RADIANS('13_시나리오비교'!$B$8))*SIN(RADIANS('13_시나리오비교'!$C$8))+$H832*SIN(RADIANS('13_시나리오비교'!$B$8))*COS(RADIANS('13_시나리오비교'!$C$8))+$I832*COS(RADIANS('13_시나리오비교'!$B$8))),0)</f>
        <v/>
      </c>
      <c r="T832" s="80">
        <f>IF($I832&gt;0,MAX(0,$G832*SIN(RADIANS('13_시나리오비교'!$B$9))*SIN(RADIANS('13_시나리오비교'!$C$9))+$H832*SIN(RADIANS('13_시나리오비교'!$B$9))*COS(RADIANS('13_시나리오비교'!$C$9))+$I832*COS(RADIANS('13_시나리오비교'!$B$9))),0)</f>
        <v/>
      </c>
      <c r="U832" s="80">
        <f>IF($I832&gt;0,MAX(0,$G832*SIN(RADIANS('13_시나리오비교'!$B$10))*SIN(RADIANS('13_시나리오비교'!$C$10))+$H832*SIN(RADIANS('13_시나리오비교'!$B$10))*COS(RADIANS('13_시나리오비교'!$C$10))+$I832*COS(RADIANS('13_시나리오비교'!$B$10))),0)</f>
        <v/>
      </c>
      <c r="V832" s="80">
        <f>IF($I832&gt;0,MAX(0,$G832*SIN(RADIANS('13_시나리오비교'!$B$11))*SIN(RADIANS('13_시나리오비교'!$C$11))+$H832*SIN(RADIANS('13_시나리오비교'!$B$11))*COS(RADIANS('13_시나리오비교'!$C$11))+$I832*COS(RADIANS('13_시나리오비교'!$B$11))),0)</f>
        <v/>
      </c>
      <c r="W832" s="80">
        <f>IF($I832&gt;0,MAX(0,$G832*SIN(RADIANS('13_시나리오비교'!$B$12))*SIN(RADIANS('13_시나리오비교'!$C$12))+$H832*SIN(RADIANS('13_시나리오비교'!$B$12))*COS(RADIANS('13_시나리오비교'!$C$12))+$I832*COS(RADIANS('13_시나리오비교'!$B$12))),0)</f>
        <v/>
      </c>
      <c r="X832" s="80">
        <f>IF($I832&gt;0,MAX(0,$G832*SIN(RADIANS('13_시나리오비교'!$B$13))*SIN(RADIANS('13_시나리오비교'!$C$13))+$H832*SIN(RADIANS('13_시나리오비교'!$B$13))*COS(RADIANS('13_시나리오비교'!$C$13))+$I832*COS(RADIANS('13_시나리오비교'!$B$13))),0)</f>
        <v/>
      </c>
      <c r="Y832" s="80">
        <f>IF($I832&gt;0,MAX(0,$G832*SIN(RADIANS('13_시나리오비교'!$B$14))*SIN(RADIANS('13_시나리오비교'!$C$14))+$H832*SIN(RADIANS('13_시나리오비교'!$B$14))*COS(RADIANS('13_시나리오비교'!$C$14))+$I832*COS(RADIANS('13_시나리오비교'!$B$14))),0)</f>
        <v/>
      </c>
    </row>
    <row r="833" hidden="1" outlineLevel="1">
      <c r="A833" s="79" t="n">
        <v>9</v>
      </c>
      <c r="B833" s="79" t="n">
        <v>45</v>
      </c>
      <c r="C833" s="80">
        <f>(B833-0.5)*'14_지역·상수'!$H$6</f>
        <v/>
      </c>
      <c r="D833" s="79" t="n">
        <v>258</v>
      </c>
      <c r="E833" s="80">
        <f>INDEX($C$4:$C$15,MATCH(A833,$A$4:$A$15,0))</f>
        <v/>
      </c>
      <c r="F833" s="80">
        <f>15*(C833-12)</f>
        <v/>
      </c>
      <c r="G833" s="80">
        <f>-COS(RADIANS(E833))*SIN(RADIANS(F833))</f>
        <v/>
      </c>
      <c r="H833" s="80">
        <f>COS(RADIANS('11_발전량_모델'!$B$17))*SIN(RADIANS(E833))-SIN(RADIANS('11_발전량_모델'!$B$17))*COS(RADIANS(E833))*COS(RADIANS(F833))</f>
        <v/>
      </c>
      <c r="I833" s="80">
        <f>SIN(RADIANS('11_발전량_모델'!$B$17))*SIN(RADIANS(E833))+COS(RADIANS('11_발전량_모델'!$B$17))*COS(RADIANS(E833))*COS(RADIANS(F833))</f>
        <v/>
      </c>
      <c r="J833" s="80">
        <f>SIN(RADIANS('11_발전량_모델'!$B$7))*SIN(RADIANS('11_발전량_모델'!$B$8))</f>
        <v/>
      </c>
      <c r="K833" s="80">
        <f>SIN(RADIANS('11_발전량_모델'!$B$7))*COS(RADIANS('11_발전량_모델'!$B$8))</f>
        <v/>
      </c>
      <c r="L833" s="80">
        <f>COS(RADIANS('11_발전량_모델'!$B$7))</f>
        <v/>
      </c>
      <c r="M833" s="80">
        <f>G833*J833+H833*K833+I833*L833</f>
        <v/>
      </c>
      <c r="N833" s="80">
        <f>MAX(0,I833)</f>
        <v/>
      </c>
      <c r="O833" s="80">
        <f>IF(I833&gt;0,MAX(0,M833),0)</f>
        <v/>
      </c>
      <c r="P833" s="80">
        <f>IF($I833&gt;0,MAX(0,$G833*SIN(RADIANS('13_시나리오비교'!$B$5))*SIN(RADIANS('13_시나리오비교'!$C$5))+$H833*SIN(RADIANS('13_시나리오비교'!$B$5))*COS(RADIANS('13_시나리오비교'!$C$5))+$I833*COS(RADIANS('13_시나리오비교'!$B$5))),0)</f>
        <v/>
      </c>
      <c r="Q833" s="80">
        <f>IF($I833&gt;0,MAX(0,$G833*SIN(RADIANS('13_시나리오비교'!$B$6))*SIN(RADIANS('13_시나리오비교'!$C$6))+$H833*SIN(RADIANS('13_시나리오비교'!$B$6))*COS(RADIANS('13_시나리오비교'!$C$6))+$I833*COS(RADIANS('13_시나리오비교'!$B$6))),0)</f>
        <v/>
      </c>
      <c r="R833" s="80">
        <f>IF($I833&gt;0,MAX(0,$G833*SIN(RADIANS('13_시나리오비교'!$B$7))*SIN(RADIANS('13_시나리오비교'!$C$7))+$H833*SIN(RADIANS('13_시나리오비교'!$B$7))*COS(RADIANS('13_시나리오비교'!$C$7))+$I833*COS(RADIANS('13_시나리오비교'!$B$7))),0)</f>
        <v/>
      </c>
      <c r="S833" s="80">
        <f>IF($I833&gt;0,MAX(0,$G833*SIN(RADIANS('13_시나리오비교'!$B$8))*SIN(RADIANS('13_시나리오비교'!$C$8))+$H833*SIN(RADIANS('13_시나리오비교'!$B$8))*COS(RADIANS('13_시나리오비교'!$C$8))+$I833*COS(RADIANS('13_시나리오비교'!$B$8))),0)</f>
        <v/>
      </c>
      <c r="T833" s="80">
        <f>IF($I833&gt;0,MAX(0,$G833*SIN(RADIANS('13_시나리오비교'!$B$9))*SIN(RADIANS('13_시나리오비교'!$C$9))+$H833*SIN(RADIANS('13_시나리오비교'!$B$9))*COS(RADIANS('13_시나리오비교'!$C$9))+$I833*COS(RADIANS('13_시나리오비교'!$B$9))),0)</f>
        <v/>
      </c>
      <c r="U833" s="80">
        <f>IF($I833&gt;0,MAX(0,$G833*SIN(RADIANS('13_시나리오비교'!$B$10))*SIN(RADIANS('13_시나리오비교'!$C$10))+$H833*SIN(RADIANS('13_시나리오비교'!$B$10))*COS(RADIANS('13_시나리오비교'!$C$10))+$I833*COS(RADIANS('13_시나리오비교'!$B$10))),0)</f>
        <v/>
      </c>
      <c r="V833" s="80">
        <f>IF($I833&gt;0,MAX(0,$G833*SIN(RADIANS('13_시나리오비교'!$B$11))*SIN(RADIANS('13_시나리오비교'!$C$11))+$H833*SIN(RADIANS('13_시나리오비교'!$B$11))*COS(RADIANS('13_시나리오비교'!$C$11))+$I833*COS(RADIANS('13_시나리오비교'!$B$11))),0)</f>
        <v/>
      </c>
      <c r="W833" s="80">
        <f>IF($I833&gt;0,MAX(0,$G833*SIN(RADIANS('13_시나리오비교'!$B$12))*SIN(RADIANS('13_시나리오비교'!$C$12))+$H833*SIN(RADIANS('13_시나리오비교'!$B$12))*COS(RADIANS('13_시나리오비교'!$C$12))+$I833*COS(RADIANS('13_시나리오비교'!$B$12))),0)</f>
        <v/>
      </c>
      <c r="X833" s="80">
        <f>IF($I833&gt;0,MAX(0,$G833*SIN(RADIANS('13_시나리오비교'!$B$13))*SIN(RADIANS('13_시나리오비교'!$C$13))+$H833*SIN(RADIANS('13_시나리오비교'!$B$13))*COS(RADIANS('13_시나리오비교'!$C$13))+$I833*COS(RADIANS('13_시나리오비교'!$B$13))),0)</f>
        <v/>
      </c>
      <c r="Y833" s="80">
        <f>IF($I833&gt;0,MAX(0,$G833*SIN(RADIANS('13_시나리오비교'!$B$14))*SIN(RADIANS('13_시나리오비교'!$C$14))+$H833*SIN(RADIANS('13_시나리오비교'!$B$14))*COS(RADIANS('13_시나리오비교'!$C$14))+$I833*COS(RADIANS('13_시나리오비교'!$B$14))),0)</f>
        <v/>
      </c>
    </row>
    <row r="834" hidden="1" outlineLevel="1">
      <c r="A834" s="79" t="n">
        <v>9</v>
      </c>
      <c r="B834" s="79" t="n">
        <v>46</v>
      </c>
      <c r="C834" s="80">
        <f>(B834-0.5)*'14_지역·상수'!$H$6</f>
        <v/>
      </c>
      <c r="D834" s="79" t="n">
        <v>258</v>
      </c>
      <c r="E834" s="80">
        <f>INDEX($C$4:$C$15,MATCH(A834,$A$4:$A$15,0))</f>
        <v/>
      </c>
      <c r="F834" s="80">
        <f>15*(C834-12)</f>
        <v/>
      </c>
      <c r="G834" s="80">
        <f>-COS(RADIANS(E834))*SIN(RADIANS(F834))</f>
        <v/>
      </c>
      <c r="H834" s="80">
        <f>COS(RADIANS('11_발전량_모델'!$B$17))*SIN(RADIANS(E834))-SIN(RADIANS('11_발전량_모델'!$B$17))*COS(RADIANS(E834))*COS(RADIANS(F834))</f>
        <v/>
      </c>
      <c r="I834" s="80">
        <f>SIN(RADIANS('11_발전량_모델'!$B$17))*SIN(RADIANS(E834))+COS(RADIANS('11_발전량_모델'!$B$17))*COS(RADIANS(E834))*COS(RADIANS(F834))</f>
        <v/>
      </c>
      <c r="J834" s="80">
        <f>SIN(RADIANS('11_발전량_모델'!$B$7))*SIN(RADIANS('11_발전량_모델'!$B$8))</f>
        <v/>
      </c>
      <c r="K834" s="80">
        <f>SIN(RADIANS('11_발전량_모델'!$B$7))*COS(RADIANS('11_발전량_모델'!$B$8))</f>
        <v/>
      </c>
      <c r="L834" s="80">
        <f>COS(RADIANS('11_발전량_모델'!$B$7))</f>
        <v/>
      </c>
      <c r="M834" s="80">
        <f>G834*J834+H834*K834+I834*L834</f>
        <v/>
      </c>
      <c r="N834" s="80">
        <f>MAX(0,I834)</f>
        <v/>
      </c>
      <c r="O834" s="80">
        <f>IF(I834&gt;0,MAX(0,M834),0)</f>
        <v/>
      </c>
      <c r="P834" s="80">
        <f>IF($I834&gt;0,MAX(0,$G834*SIN(RADIANS('13_시나리오비교'!$B$5))*SIN(RADIANS('13_시나리오비교'!$C$5))+$H834*SIN(RADIANS('13_시나리오비교'!$B$5))*COS(RADIANS('13_시나리오비교'!$C$5))+$I834*COS(RADIANS('13_시나리오비교'!$B$5))),0)</f>
        <v/>
      </c>
      <c r="Q834" s="80">
        <f>IF($I834&gt;0,MAX(0,$G834*SIN(RADIANS('13_시나리오비교'!$B$6))*SIN(RADIANS('13_시나리오비교'!$C$6))+$H834*SIN(RADIANS('13_시나리오비교'!$B$6))*COS(RADIANS('13_시나리오비교'!$C$6))+$I834*COS(RADIANS('13_시나리오비교'!$B$6))),0)</f>
        <v/>
      </c>
      <c r="R834" s="80">
        <f>IF($I834&gt;0,MAX(0,$G834*SIN(RADIANS('13_시나리오비교'!$B$7))*SIN(RADIANS('13_시나리오비교'!$C$7))+$H834*SIN(RADIANS('13_시나리오비교'!$B$7))*COS(RADIANS('13_시나리오비교'!$C$7))+$I834*COS(RADIANS('13_시나리오비교'!$B$7))),0)</f>
        <v/>
      </c>
      <c r="S834" s="80">
        <f>IF($I834&gt;0,MAX(0,$G834*SIN(RADIANS('13_시나리오비교'!$B$8))*SIN(RADIANS('13_시나리오비교'!$C$8))+$H834*SIN(RADIANS('13_시나리오비교'!$B$8))*COS(RADIANS('13_시나리오비교'!$C$8))+$I834*COS(RADIANS('13_시나리오비교'!$B$8))),0)</f>
        <v/>
      </c>
      <c r="T834" s="80">
        <f>IF($I834&gt;0,MAX(0,$G834*SIN(RADIANS('13_시나리오비교'!$B$9))*SIN(RADIANS('13_시나리오비교'!$C$9))+$H834*SIN(RADIANS('13_시나리오비교'!$B$9))*COS(RADIANS('13_시나리오비교'!$C$9))+$I834*COS(RADIANS('13_시나리오비교'!$B$9))),0)</f>
        <v/>
      </c>
      <c r="U834" s="80">
        <f>IF($I834&gt;0,MAX(0,$G834*SIN(RADIANS('13_시나리오비교'!$B$10))*SIN(RADIANS('13_시나리오비교'!$C$10))+$H834*SIN(RADIANS('13_시나리오비교'!$B$10))*COS(RADIANS('13_시나리오비교'!$C$10))+$I834*COS(RADIANS('13_시나리오비교'!$B$10))),0)</f>
        <v/>
      </c>
      <c r="V834" s="80">
        <f>IF($I834&gt;0,MAX(0,$G834*SIN(RADIANS('13_시나리오비교'!$B$11))*SIN(RADIANS('13_시나리오비교'!$C$11))+$H834*SIN(RADIANS('13_시나리오비교'!$B$11))*COS(RADIANS('13_시나리오비교'!$C$11))+$I834*COS(RADIANS('13_시나리오비교'!$B$11))),0)</f>
        <v/>
      </c>
      <c r="W834" s="80">
        <f>IF($I834&gt;0,MAX(0,$G834*SIN(RADIANS('13_시나리오비교'!$B$12))*SIN(RADIANS('13_시나리오비교'!$C$12))+$H834*SIN(RADIANS('13_시나리오비교'!$B$12))*COS(RADIANS('13_시나리오비교'!$C$12))+$I834*COS(RADIANS('13_시나리오비교'!$B$12))),0)</f>
        <v/>
      </c>
      <c r="X834" s="80">
        <f>IF($I834&gt;0,MAX(0,$G834*SIN(RADIANS('13_시나리오비교'!$B$13))*SIN(RADIANS('13_시나리오비교'!$C$13))+$H834*SIN(RADIANS('13_시나리오비교'!$B$13))*COS(RADIANS('13_시나리오비교'!$C$13))+$I834*COS(RADIANS('13_시나리오비교'!$B$13))),0)</f>
        <v/>
      </c>
      <c r="Y834" s="80">
        <f>IF($I834&gt;0,MAX(0,$G834*SIN(RADIANS('13_시나리오비교'!$B$14))*SIN(RADIANS('13_시나리오비교'!$C$14))+$H834*SIN(RADIANS('13_시나리오비교'!$B$14))*COS(RADIANS('13_시나리오비교'!$C$14))+$I834*COS(RADIANS('13_시나리오비교'!$B$14))),0)</f>
        <v/>
      </c>
    </row>
    <row r="835" hidden="1" outlineLevel="1">
      <c r="A835" s="79" t="n">
        <v>9</v>
      </c>
      <c r="B835" s="79" t="n">
        <v>47</v>
      </c>
      <c r="C835" s="80">
        <f>(B835-0.5)*'14_지역·상수'!$H$6</f>
        <v/>
      </c>
      <c r="D835" s="79" t="n">
        <v>258</v>
      </c>
      <c r="E835" s="80">
        <f>INDEX($C$4:$C$15,MATCH(A835,$A$4:$A$15,0))</f>
        <v/>
      </c>
      <c r="F835" s="80">
        <f>15*(C835-12)</f>
        <v/>
      </c>
      <c r="G835" s="80">
        <f>-COS(RADIANS(E835))*SIN(RADIANS(F835))</f>
        <v/>
      </c>
      <c r="H835" s="80">
        <f>COS(RADIANS('11_발전량_모델'!$B$17))*SIN(RADIANS(E835))-SIN(RADIANS('11_발전량_모델'!$B$17))*COS(RADIANS(E835))*COS(RADIANS(F835))</f>
        <v/>
      </c>
      <c r="I835" s="80">
        <f>SIN(RADIANS('11_발전량_모델'!$B$17))*SIN(RADIANS(E835))+COS(RADIANS('11_발전량_모델'!$B$17))*COS(RADIANS(E835))*COS(RADIANS(F835))</f>
        <v/>
      </c>
      <c r="J835" s="80">
        <f>SIN(RADIANS('11_발전량_모델'!$B$7))*SIN(RADIANS('11_발전량_모델'!$B$8))</f>
        <v/>
      </c>
      <c r="K835" s="80">
        <f>SIN(RADIANS('11_발전량_모델'!$B$7))*COS(RADIANS('11_발전량_모델'!$B$8))</f>
        <v/>
      </c>
      <c r="L835" s="80">
        <f>COS(RADIANS('11_발전량_모델'!$B$7))</f>
        <v/>
      </c>
      <c r="M835" s="80">
        <f>G835*J835+H835*K835+I835*L835</f>
        <v/>
      </c>
      <c r="N835" s="80">
        <f>MAX(0,I835)</f>
        <v/>
      </c>
      <c r="O835" s="80">
        <f>IF(I835&gt;0,MAX(0,M835),0)</f>
        <v/>
      </c>
      <c r="P835" s="80">
        <f>IF($I835&gt;0,MAX(0,$G835*SIN(RADIANS('13_시나리오비교'!$B$5))*SIN(RADIANS('13_시나리오비교'!$C$5))+$H835*SIN(RADIANS('13_시나리오비교'!$B$5))*COS(RADIANS('13_시나리오비교'!$C$5))+$I835*COS(RADIANS('13_시나리오비교'!$B$5))),0)</f>
        <v/>
      </c>
      <c r="Q835" s="80">
        <f>IF($I835&gt;0,MAX(0,$G835*SIN(RADIANS('13_시나리오비교'!$B$6))*SIN(RADIANS('13_시나리오비교'!$C$6))+$H835*SIN(RADIANS('13_시나리오비교'!$B$6))*COS(RADIANS('13_시나리오비교'!$C$6))+$I835*COS(RADIANS('13_시나리오비교'!$B$6))),0)</f>
        <v/>
      </c>
      <c r="R835" s="80">
        <f>IF($I835&gt;0,MAX(0,$G835*SIN(RADIANS('13_시나리오비교'!$B$7))*SIN(RADIANS('13_시나리오비교'!$C$7))+$H835*SIN(RADIANS('13_시나리오비교'!$B$7))*COS(RADIANS('13_시나리오비교'!$C$7))+$I835*COS(RADIANS('13_시나리오비교'!$B$7))),0)</f>
        <v/>
      </c>
      <c r="S835" s="80">
        <f>IF($I835&gt;0,MAX(0,$G835*SIN(RADIANS('13_시나리오비교'!$B$8))*SIN(RADIANS('13_시나리오비교'!$C$8))+$H835*SIN(RADIANS('13_시나리오비교'!$B$8))*COS(RADIANS('13_시나리오비교'!$C$8))+$I835*COS(RADIANS('13_시나리오비교'!$B$8))),0)</f>
        <v/>
      </c>
      <c r="T835" s="80">
        <f>IF($I835&gt;0,MAX(0,$G835*SIN(RADIANS('13_시나리오비교'!$B$9))*SIN(RADIANS('13_시나리오비교'!$C$9))+$H835*SIN(RADIANS('13_시나리오비교'!$B$9))*COS(RADIANS('13_시나리오비교'!$C$9))+$I835*COS(RADIANS('13_시나리오비교'!$B$9))),0)</f>
        <v/>
      </c>
      <c r="U835" s="80">
        <f>IF($I835&gt;0,MAX(0,$G835*SIN(RADIANS('13_시나리오비교'!$B$10))*SIN(RADIANS('13_시나리오비교'!$C$10))+$H835*SIN(RADIANS('13_시나리오비교'!$B$10))*COS(RADIANS('13_시나리오비교'!$C$10))+$I835*COS(RADIANS('13_시나리오비교'!$B$10))),0)</f>
        <v/>
      </c>
      <c r="V835" s="80">
        <f>IF($I835&gt;0,MAX(0,$G835*SIN(RADIANS('13_시나리오비교'!$B$11))*SIN(RADIANS('13_시나리오비교'!$C$11))+$H835*SIN(RADIANS('13_시나리오비교'!$B$11))*COS(RADIANS('13_시나리오비교'!$C$11))+$I835*COS(RADIANS('13_시나리오비교'!$B$11))),0)</f>
        <v/>
      </c>
      <c r="W835" s="80">
        <f>IF($I835&gt;0,MAX(0,$G835*SIN(RADIANS('13_시나리오비교'!$B$12))*SIN(RADIANS('13_시나리오비교'!$C$12))+$H835*SIN(RADIANS('13_시나리오비교'!$B$12))*COS(RADIANS('13_시나리오비교'!$C$12))+$I835*COS(RADIANS('13_시나리오비교'!$B$12))),0)</f>
        <v/>
      </c>
      <c r="X835" s="80">
        <f>IF($I835&gt;0,MAX(0,$G835*SIN(RADIANS('13_시나리오비교'!$B$13))*SIN(RADIANS('13_시나리오비교'!$C$13))+$H835*SIN(RADIANS('13_시나리오비교'!$B$13))*COS(RADIANS('13_시나리오비교'!$C$13))+$I835*COS(RADIANS('13_시나리오비교'!$B$13))),0)</f>
        <v/>
      </c>
      <c r="Y835" s="80">
        <f>IF($I835&gt;0,MAX(0,$G835*SIN(RADIANS('13_시나리오비교'!$B$14))*SIN(RADIANS('13_시나리오비교'!$C$14))+$H835*SIN(RADIANS('13_시나리오비교'!$B$14))*COS(RADIANS('13_시나리오비교'!$C$14))+$I835*COS(RADIANS('13_시나리오비교'!$B$14))),0)</f>
        <v/>
      </c>
    </row>
    <row r="836" hidden="1" outlineLevel="1">
      <c r="A836" s="79" t="n">
        <v>9</v>
      </c>
      <c r="B836" s="79" t="n">
        <v>48</v>
      </c>
      <c r="C836" s="80">
        <f>(B836-0.5)*'14_지역·상수'!$H$6</f>
        <v/>
      </c>
      <c r="D836" s="79" t="n">
        <v>258</v>
      </c>
      <c r="E836" s="80">
        <f>INDEX($C$4:$C$15,MATCH(A836,$A$4:$A$15,0))</f>
        <v/>
      </c>
      <c r="F836" s="80">
        <f>15*(C836-12)</f>
        <v/>
      </c>
      <c r="G836" s="80">
        <f>-COS(RADIANS(E836))*SIN(RADIANS(F836))</f>
        <v/>
      </c>
      <c r="H836" s="80">
        <f>COS(RADIANS('11_발전량_모델'!$B$17))*SIN(RADIANS(E836))-SIN(RADIANS('11_발전량_모델'!$B$17))*COS(RADIANS(E836))*COS(RADIANS(F836))</f>
        <v/>
      </c>
      <c r="I836" s="80">
        <f>SIN(RADIANS('11_발전량_모델'!$B$17))*SIN(RADIANS(E836))+COS(RADIANS('11_발전량_모델'!$B$17))*COS(RADIANS(E836))*COS(RADIANS(F836))</f>
        <v/>
      </c>
      <c r="J836" s="80">
        <f>SIN(RADIANS('11_발전량_모델'!$B$7))*SIN(RADIANS('11_발전량_모델'!$B$8))</f>
        <v/>
      </c>
      <c r="K836" s="80">
        <f>SIN(RADIANS('11_발전량_모델'!$B$7))*COS(RADIANS('11_발전량_모델'!$B$8))</f>
        <v/>
      </c>
      <c r="L836" s="80">
        <f>COS(RADIANS('11_발전량_모델'!$B$7))</f>
        <v/>
      </c>
      <c r="M836" s="80">
        <f>G836*J836+H836*K836+I836*L836</f>
        <v/>
      </c>
      <c r="N836" s="80">
        <f>MAX(0,I836)</f>
        <v/>
      </c>
      <c r="O836" s="80">
        <f>IF(I836&gt;0,MAX(0,M836),0)</f>
        <v/>
      </c>
      <c r="P836" s="80">
        <f>IF($I836&gt;0,MAX(0,$G836*SIN(RADIANS('13_시나리오비교'!$B$5))*SIN(RADIANS('13_시나리오비교'!$C$5))+$H836*SIN(RADIANS('13_시나리오비교'!$B$5))*COS(RADIANS('13_시나리오비교'!$C$5))+$I836*COS(RADIANS('13_시나리오비교'!$B$5))),0)</f>
        <v/>
      </c>
      <c r="Q836" s="80">
        <f>IF($I836&gt;0,MAX(0,$G836*SIN(RADIANS('13_시나리오비교'!$B$6))*SIN(RADIANS('13_시나리오비교'!$C$6))+$H836*SIN(RADIANS('13_시나리오비교'!$B$6))*COS(RADIANS('13_시나리오비교'!$C$6))+$I836*COS(RADIANS('13_시나리오비교'!$B$6))),0)</f>
        <v/>
      </c>
      <c r="R836" s="80">
        <f>IF($I836&gt;0,MAX(0,$G836*SIN(RADIANS('13_시나리오비교'!$B$7))*SIN(RADIANS('13_시나리오비교'!$C$7))+$H836*SIN(RADIANS('13_시나리오비교'!$B$7))*COS(RADIANS('13_시나리오비교'!$C$7))+$I836*COS(RADIANS('13_시나리오비교'!$B$7))),0)</f>
        <v/>
      </c>
      <c r="S836" s="80">
        <f>IF($I836&gt;0,MAX(0,$G836*SIN(RADIANS('13_시나리오비교'!$B$8))*SIN(RADIANS('13_시나리오비교'!$C$8))+$H836*SIN(RADIANS('13_시나리오비교'!$B$8))*COS(RADIANS('13_시나리오비교'!$C$8))+$I836*COS(RADIANS('13_시나리오비교'!$B$8))),0)</f>
        <v/>
      </c>
      <c r="T836" s="80">
        <f>IF($I836&gt;0,MAX(0,$G836*SIN(RADIANS('13_시나리오비교'!$B$9))*SIN(RADIANS('13_시나리오비교'!$C$9))+$H836*SIN(RADIANS('13_시나리오비교'!$B$9))*COS(RADIANS('13_시나리오비교'!$C$9))+$I836*COS(RADIANS('13_시나리오비교'!$B$9))),0)</f>
        <v/>
      </c>
      <c r="U836" s="80">
        <f>IF($I836&gt;0,MAX(0,$G836*SIN(RADIANS('13_시나리오비교'!$B$10))*SIN(RADIANS('13_시나리오비교'!$C$10))+$H836*SIN(RADIANS('13_시나리오비교'!$B$10))*COS(RADIANS('13_시나리오비교'!$C$10))+$I836*COS(RADIANS('13_시나리오비교'!$B$10))),0)</f>
        <v/>
      </c>
      <c r="V836" s="80">
        <f>IF($I836&gt;0,MAX(0,$G836*SIN(RADIANS('13_시나리오비교'!$B$11))*SIN(RADIANS('13_시나리오비교'!$C$11))+$H836*SIN(RADIANS('13_시나리오비교'!$B$11))*COS(RADIANS('13_시나리오비교'!$C$11))+$I836*COS(RADIANS('13_시나리오비교'!$B$11))),0)</f>
        <v/>
      </c>
      <c r="W836" s="80">
        <f>IF($I836&gt;0,MAX(0,$G836*SIN(RADIANS('13_시나리오비교'!$B$12))*SIN(RADIANS('13_시나리오비교'!$C$12))+$H836*SIN(RADIANS('13_시나리오비교'!$B$12))*COS(RADIANS('13_시나리오비교'!$C$12))+$I836*COS(RADIANS('13_시나리오비교'!$B$12))),0)</f>
        <v/>
      </c>
      <c r="X836" s="80">
        <f>IF($I836&gt;0,MAX(0,$G836*SIN(RADIANS('13_시나리오비교'!$B$13))*SIN(RADIANS('13_시나리오비교'!$C$13))+$H836*SIN(RADIANS('13_시나리오비교'!$B$13))*COS(RADIANS('13_시나리오비교'!$C$13))+$I836*COS(RADIANS('13_시나리오비교'!$B$13))),0)</f>
        <v/>
      </c>
      <c r="Y836" s="80">
        <f>IF($I836&gt;0,MAX(0,$G836*SIN(RADIANS('13_시나리오비교'!$B$14))*SIN(RADIANS('13_시나리오비교'!$C$14))+$H836*SIN(RADIANS('13_시나리오비교'!$B$14))*COS(RADIANS('13_시나리오비교'!$C$14))+$I836*COS(RADIANS('13_시나리오비교'!$B$14))),0)</f>
        <v/>
      </c>
    </row>
    <row r="837" hidden="1" outlineLevel="1">
      <c r="A837" s="79" t="n">
        <v>9</v>
      </c>
      <c r="B837" s="79" t="n">
        <v>49</v>
      </c>
      <c r="C837" s="80">
        <f>(B837-0.5)*'14_지역·상수'!$H$6</f>
        <v/>
      </c>
      <c r="D837" s="79" t="n">
        <v>258</v>
      </c>
      <c r="E837" s="80">
        <f>INDEX($C$4:$C$15,MATCH(A837,$A$4:$A$15,0))</f>
        <v/>
      </c>
      <c r="F837" s="80">
        <f>15*(C837-12)</f>
        <v/>
      </c>
      <c r="G837" s="80">
        <f>-COS(RADIANS(E837))*SIN(RADIANS(F837))</f>
        <v/>
      </c>
      <c r="H837" s="80">
        <f>COS(RADIANS('11_발전량_모델'!$B$17))*SIN(RADIANS(E837))-SIN(RADIANS('11_발전량_모델'!$B$17))*COS(RADIANS(E837))*COS(RADIANS(F837))</f>
        <v/>
      </c>
      <c r="I837" s="80">
        <f>SIN(RADIANS('11_발전량_모델'!$B$17))*SIN(RADIANS(E837))+COS(RADIANS('11_발전량_모델'!$B$17))*COS(RADIANS(E837))*COS(RADIANS(F837))</f>
        <v/>
      </c>
      <c r="J837" s="80">
        <f>SIN(RADIANS('11_발전량_모델'!$B$7))*SIN(RADIANS('11_발전량_모델'!$B$8))</f>
        <v/>
      </c>
      <c r="K837" s="80">
        <f>SIN(RADIANS('11_발전량_모델'!$B$7))*COS(RADIANS('11_발전량_모델'!$B$8))</f>
        <v/>
      </c>
      <c r="L837" s="80">
        <f>COS(RADIANS('11_발전량_모델'!$B$7))</f>
        <v/>
      </c>
      <c r="M837" s="80">
        <f>G837*J837+H837*K837+I837*L837</f>
        <v/>
      </c>
      <c r="N837" s="80">
        <f>MAX(0,I837)</f>
        <v/>
      </c>
      <c r="O837" s="80">
        <f>IF(I837&gt;0,MAX(0,M837),0)</f>
        <v/>
      </c>
      <c r="P837" s="80">
        <f>IF($I837&gt;0,MAX(0,$G837*SIN(RADIANS('13_시나리오비교'!$B$5))*SIN(RADIANS('13_시나리오비교'!$C$5))+$H837*SIN(RADIANS('13_시나리오비교'!$B$5))*COS(RADIANS('13_시나리오비교'!$C$5))+$I837*COS(RADIANS('13_시나리오비교'!$B$5))),0)</f>
        <v/>
      </c>
      <c r="Q837" s="80">
        <f>IF($I837&gt;0,MAX(0,$G837*SIN(RADIANS('13_시나리오비교'!$B$6))*SIN(RADIANS('13_시나리오비교'!$C$6))+$H837*SIN(RADIANS('13_시나리오비교'!$B$6))*COS(RADIANS('13_시나리오비교'!$C$6))+$I837*COS(RADIANS('13_시나리오비교'!$B$6))),0)</f>
        <v/>
      </c>
      <c r="R837" s="80">
        <f>IF($I837&gt;0,MAX(0,$G837*SIN(RADIANS('13_시나리오비교'!$B$7))*SIN(RADIANS('13_시나리오비교'!$C$7))+$H837*SIN(RADIANS('13_시나리오비교'!$B$7))*COS(RADIANS('13_시나리오비교'!$C$7))+$I837*COS(RADIANS('13_시나리오비교'!$B$7))),0)</f>
        <v/>
      </c>
      <c r="S837" s="80">
        <f>IF($I837&gt;0,MAX(0,$G837*SIN(RADIANS('13_시나리오비교'!$B$8))*SIN(RADIANS('13_시나리오비교'!$C$8))+$H837*SIN(RADIANS('13_시나리오비교'!$B$8))*COS(RADIANS('13_시나리오비교'!$C$8))+$I837*COS(RADIANS('13_시나리오비교'!$B$8))),0)</f>
        <v/>
      </c>
      <c r="T837" s="80">
        <f>IF($I837&gt;0,MAX(0,$G837*SIN(RADIANS('13_시나리오비교'!$B$9))*SIN(RADIANS('13_시나리오비교'!$C$9))+$H837*SIN(RADIANS('13_시나리오비교'!$B$9))*COS(RADIANS('13_시나리오비교'!$C$9))+$I837*COS(RADIANS('13_시나리오비교'!$B$9))),0)</f>
        <v/>
      </c>
      <c r="U837" s="80">
        <f>IF($I837&gt;0,MAX(0,$G837*SIN(RADIANS('13_시나리오비교'!$B$10))*SIN(RADIANS('13_시나리오비교'!$C$10))+$H837*SIN(RADIANS('13_시나리오비교'!$B$10))*COS(RADIANS('13_시나리오비교'!$C$10))+$I837*COS(RADIANS('13_시나리오비교'!$B$10))),0)</f>
        <v/>
      </c>
      <c r="V837" s="80">
        <f>IF($I837&gt;0,MAX(0,$G837*SIN(RADIANS('13_시나리오비교'!$B$11))*SIN(RADIANS('13_시나리오비교'!$C$11))+$H837*SIN(RADIANS('13_시나리오비교'!$B$11))*COS(RADIANS('13_시나리오비교'!$C$11))+$I837*COS(RADIANS('13_시나리오비교'!$B$11))),0)</f>
        <v/>
      </c>
      <c r="W837" s="80">
        <f>IF($I837&gt;0,MAX(0,$G837*SIN(RADIANS('13_시나리오비교'!$B$12))*SIN(RADIANS('13_시나리오비교'!$C$12))+$H837*SIN(RADIANS('13_시나리오비교'!$B$12))*COS(RADIANS('13_시나리오비교'!$C$12))+$I837*COS(RADIANS('13_시나리오비교'!$B$12))),0)</f>
        <v/>
      </c>
      <c r="X837" s="80">
        <f>IF($I837&gt;0,MAX(0,$G837*SIN(RADIANS('13_시나리오비교'!$B$13))*SIN(RADIANS('13_시나리오비교'!$C$13))+$H837*SIN(RADIANS('13_시나리오비교'!$B$13))*COS(RADIANS('13_시나리오비교'!$C$13))+$I837*COS(RADIANS('13_시나리오비교'!$B$13))),0)</f>
        <v/>
      </c>
      <c r="Y837" s="80">
        <f>IF($I837&gt;0,MAX(0,$G837*SIN(RADIANS('13_시나리오비교'!$B$14))*SIN(RADIANS('13_시나리오비교'!$C$14))+$H837*SIN(RADIANS('13_시나리오비교'!$B$14))*COS(RADIANS('13_시나리오비교'!$C$14))+$I837*COS(RADIANS('13_시나리오비교'!$B$14))),0)</f>
        <v/>
      </c>
    </row>
    <row r="838" hidden="1" outlineLevel="1">
      <c r="A838" s="79" t="n">
        <v>9</v>
      </c>
      <c r="B838" s="79" t="n">
        <v>50</v>
      </c>
      <c r="C838" s="80">
        <f>(B838-0.5)*'14_지역·상수'!$H$6</f>
        <v/>
      </c>
      <c r="D838" s="79" t="n">
        <v>258</v>
      </c>
      <c r="E838" s="80">
        <f>INDEX($C$4:$C$15,MATCH(A838,$A$4:$A$15,0))</f>
        <v/>
      </c>
      <c r="F838" s="80">
        <f>15*(C838-12)</f>
        <v/>
      </c>
      <c r="G838" s="80">
        <f>-COS(RADIANS(E838))*SIN(RADIANS(F838))</f>
        <v/>
      </c>
      <c r="H838" s="80">
        <f>COS(RADIANS('11_발전량_모델'!$B$17))*SIN(RADIANS(E838))-SIN(RADIANS('11_발전량_모델'!$B$17))*COS(RADIANS(E838))*COS(RADIANS(F838))</f>
        <v/>
      </c>
      <c r="I838" s="80">
        <f>SIN(RADIANS('11_발전량_모델'!$B$17))*SIN(RADIANS(E838))+COS(RADIANS('11_발전량_모델'!$B$17))*COS(RADIANS(E838))*COS(RADIANS(F838))</f>
        <v/>
      </c>
      <c r="J838" s="80">
        <f>SIN(RADIANS('11_발전량_모델'!$B$7))*SIN(RADIANS('11_발전량_모델'!$B$8))</f>
        <v/>
      </c>
      <c r="K838" s="80">
        <f>SIN(RADIANS('11_발전량_모델'!$B$7))*COS(RADIANS('11_발전량_모델'!$B$8))</f>
        <v/>
      </c>
      <c r="L838" s="80">
        <f>COS(RADIANS('11_발전량_모델'!$B$7))</f>
        <v/>
      </c>
      <c r="M838" s="80">
        <f>G838*J838+H838*K838+I838*L838</f>
        <v/>
      </c>
      <c r="N838" s="80">
        <f>MAX(0,I838)</f>
        <v/>
      </c>
      <c r="O838" s="80">
        <f>IF(I838&gt;0,MAX(0,M838),0)</f>
        <v/>
      </c>
      <c r="P838" s="80">
        <f>IF($I838&gt;0,MAX(0,$G838*SIN(RADIANS('13_시나리오비교'!$B$5))*SIN(RADIANS('13_시나리오비교'!$C$5))+$H838*SIN(RADIANS('13_시나리오비교'!$B$5))*COS(RADIANS('13_시나리오비교'!$C$5))+$I838*COS(RADIANS('13_시나리오비교'!$B$5))),0)</f>
        <v/>
      </c>
      <c r="Q838" s="80">
        <f>IF($I838&gt;0,MAX(0,$G838*SIN(RADIANS('13_시나리오비교'!$B$6))*SIN(RADIANS('13_시나리오비교'!$C$6))+$H838*SIN(RADIANS('13_시나리오비교'!$B$6))*COS(RADIANS('13_시나리오비교'!$C$6))+$I838*COS(RADIANS('13_시나리오비교'!$B$6))),0)</f>
        <v/>
      </c>
      <c r="R838" s="80">
        <f>IF($I838&gt;0,MAX(0,$G838*SIN(RADIANS('13_시나리오비교'!$B$7))*SIN(RADIANS('13_시나리오비교'!$C$7))+$H838*SIN(RADIANS('13_시나리오비교'!$B$7))*COS(RADIANS('13_시나리오비교'!$C$7))+$I838*COS(RADIANS('13_시나리오비교'!$B$7))),0)</f>
        <v/>
      </c>
      <c r="S838" s="80">
        <f>IF($I838&gt;0,MAX(0,$G838*SIN(RADIANS('13_시나리오비교'!$B$8))*SIN(RADIANS('13_시나리오비교'!$C$8))+$H838*SIN(RADIANS('13_시나리오비교'!$B$8))*COS(RADIANS('13_시나리오비교'!$C$8))+$I838*COS(RADIANS('13_시나리오비교'!$B$8))),0)</f>
        <v/>
      </c>
      <c r="T838" s="80">
        <f>IF($I838&gt;0,MAX(0,$G838*SIN(RADIANS('13_시나리오비교'!$B$9))*SIN(RADIANS('13_시나리오비교'!$C$9))+$H838*SIN(RADIANS('13_시나리오비교'!$B$9))*COS(RADIANS('13_시나리오비교'!$C$9))+$I838*COS(RADIANS('13_시나리오비교'!$B$9))),0)</f>
        <v/>
      </c>
      <c r="U838" s="80">
        <f>IF($I838&gt;0,MAX(0,$G838*SIN(RADIANS('13_시나리오비교'!$B$10))*SIN(RADIANS('13_시나리오비교'!$C$10))+$H838*SIN(RADIANS('13_시나리오비교'!$B$10))*COS(RADIANS('13_시나리오비교'!$C$10))+$I838*COS(RADIANS('13_시나리오비교'!$B$10))),0)</f>
        <v/>
      </c>
      <c r="V838" s="80">
        <f>IF($I838&gt;0,MAX(0,$G838*SIN(RADIANS('13_시나리오비교'!$B$11))*SIN(RADIANS('13_시나리오비교'!$C$11))+$H838*SIN(RADIANS('13_시나리오비교'!$B$11))*COS(RADIANS('13_시나리오비교'!$C$11))+$I838*COS(RADIANS('13_시나리오비교'!$B$11))),0)</f>
        <v/>
      </c>
      <c r="W838" s="80">
        <f>IF($I838&gt;0,MAX(0,$G838*SIN(RADIANS('13_시나리오비교'!$B$12))*SIN(RADIANS('13_시나리오비교'!$C$12))+$H838*SIN(RADIANS('13_시나리오비교'!$B$12))*COS(RADIANS('13_시나리오비교'!$C$12))+$I838*COS(RADIANS('13_시나리오비교'!$B$12))),0)</f>
        <v/>
      </c>
      <c r="X838" s="80">
        <f>IF($I838&gt;0,MAX(0,$G838*SIN(RADIANS('13_시나리오비교'!$B$13))*SIN(RADIANS('13_시나리오비교'!$C$13))+$H838*SIN(RADIANS('13_시나리오비교'!$B$13))*COS(RADIANS('13_시나리오비교'!$C$13))+$I838*COS(RADIANS('13_시나리오비교'!$B$13))),0)</f>
        <v/>
      </c>
      <c r="Y838" s="80">
        <f>IF($I838&gt;0,MAX(0,$G838*SIN(RADIANS('13_시나리오비교'!$B$14))*SIN(RADIANS('13_시나리오비교'!$C$14))+$H838*SIN(RADIANS('13_시나리오비교'!$B$14))*COS(RADIANS('13_시나리오비교'!$C$14))+$I838*COS(RADIANS('13_시나리오비교'!$B$14))),0)</f>
        <v/>
      </c>
    </row>
    <row r="839" hidden="1" outlineLevel="1">
      <c r="A839" s="79" t="n">
        <v>9</v>
      </c>
      <c r="B839" s="79" t="n">
        <v>51</v>
      </c>
      <c r="C839" s="80">
        <f>(B839-0.5)*'14_지역·상수'!$H$6</f>
        <v/>
      </c>
      <c r="D839" s="79" t="n">
        <v>258</v>
      </c>
      <c r="E839" s="80">
        <f>INDEX($C$4:$C$15,MATCH(A839,$A$4:$A$15,0))</f>
        <v/>
      </c>
      <c r="F839" s="80">
        <f>15*(C839-12)</f>
        <v/>
      </c>
      <c r="G839" s="80">
        <f>-COS(RADIANS(E839))*SIN(RADIANS(F839))</f>
        <v/>
      </c>
      <c r="H839" s="80">
        <f>COS(RADIANS('11_발전량_모델'!$B$17))*SIN(RADIANS(E839))-SIN(RADIANS('11_발전량_모델'!$B$17))*COS(RADIANS(E839))*COS(RADIANS(F839))</f>
        <v/>
      </c>
      <c r="I839" s="80">
        <f>SIN(RADIANS('11_발전량_모델'!$B$17))*SIN(RADIANS(E839))+COS(RADIANS('11_발전량_모델'!$B$17))*COS(RADIANS(E839))*COS(RADIANS(F839))</f>
        <v/>
      </c>
      <c r="J839" s="80">
        <f>SIN(RADIANS('11_발전량_모델'!$B$7))*SIN(RADIANS('11_발전량_모델'!$B$8))</f>
        <v/>
      </c>
      <c r="K839" s="80">
        <f>SIN(RADIANS('11_발전량_모델'!$B$7))*COS(RADIANS('11_발전량_모델'!$B$8))</f>
        <v/>
      </c>
      <c r="L839" s="80">
        <f>COS(RADIANS('11_발전량_모델'!$B$7))</f>
        <v/>
      </c>
      <c r="M839" s="80">
        <f>G839*J839+H839*K839+I839*L839</f>
        <v/>
      </c>
      <c r="N839" s="80">
        <f>MAX(0,I839)</f>
        <v/>
      </c>
      <c r="O839" s="80">
        <f>IF(I839&gt;0,MAX(0,M839),0)</f>
        <v/>
      </c>
      <c r="P839" s="80">
        <f>IF($I839&gt;0,MAX(0,$G839*SIN(RADIANS('13_시나리오비교'!$B$5))*SIN(RADIANS('13_시나리오비교'!$C$5))+$H839*SIN(RADIANS('13_시나리오비교'!$B$5))*COS(RADIANS('13_시나리오비교'!$C$5))+$I839*COS(RADIANS('13_시나리오비교'!$B$5))),0)</f>
        <v/>
      </c>
      <c r="Q839" s="80">
        <f>IF($I839&gt;0,MAX(0,$G839*SIN(RADIANS('13_시나리오비교'!$B$6))*SIN(RADIANS('13_시나리오비교'!$C$6))+$H839*SIN(RADIANS('13_시나리오비교'!$B$6))*COS(RADIANS('13_시나리오비교'!$C$6))+$I839*COS(RADIANS('13_시나리오비교'!$B$6))),0)</f>
        <v/>
      </c>
      <c r="R839" s="80">
        <f>IF($I839&gt;0,MAX(0,$G839*SIN(RADIANS('13_시나리오비교'!$B$7))*SIN(RADIANS('13_시나리오비교'!$C$7))+$H839*SIN(RADIANS('13_시나리오비교'!$B$7))*COS(RADIANS('13_시나리오비교'!$C$7))+$I839*COS(RADIANS('13_시나리오비교'!$B$7))),0)</f>
        <v/>
      </c>
      <c r="S839" s="80">
        <f>IF($I839&gt;0,MAX(0,$G839*SIN(RADIANS('13_시나리오비교'!$B$8))*SIN(RADIANS('13_시나리오비교'!$C$8))+$H839*SIN(RADIANS('13_시나리오비교'!$B$8))*COS(RADIANS('13_시나리오비교'!$C$8))+$I839*COS(RADIANS('13_시나리오비교'!$B$8))),0)</f>
        <v/>
      </c>
      <c r="T839" s="80">
        <f>IF($I839&gt;0,MAX(0,$G839*SIN(RADIANS('13_시나리오비교'!$B$9))*SIN(RADIANS('13_시나리오비교'!$C$9))+$H839*SIN(RADIANS('13_시나리오비교'!$B$9))*COS(RADIANS('13_시나리오비교'!$C$9))+$I839*COS(RADIANS('13_시나리오비교'!$B$9))),0)</f>
        <v/>
      </c>
      <c r="U839" s="80">
        <f>IF($I839&gt;0,MAX(0,$G839*SIN(RADIANS('13_시나리오비교'!$B$10))*SIN(RADIANS('13_시나리오비교'!$C$10))+$H839*SIN(RADIANS('13_시나리오비교'!$B$10))*COS(RADIANS('13_시나리오비교'!$C$10))+$I839*COS(RADIANS('13_시나리오비교'!$B$10))),0)</f>
        <v/>
      </c>
      <c r="V839" s="80">
        <f>IF($I839&gt;0,MAX(0,$G839*SIN(RADIANS('13_시나리오비교'!$B$11))*SIN(RADIANS('13_시나리오비교'!$C$11))+$H839*SIN(RADIANS('13_시나리오비교'!$B$11))*COS(RADIANS('13_시나리오비교'!$C$11))+$I839*COS(RADIANS('13_시나리오비교'!$B$11))),0)</f>
        <v/>
      </c>
      <c r="W839" s="80">
        <f>IF($I839&gt;0,MAX(0,$G839*SIN(RADIANS('13_시나리오비교'!$B$12))*SIN(RADIANS('13_시나리오비교'!$C$12))+$H839*SIN(RADIANS('13_시나리오비교'!$B$12))*COS(RADIANS('13_시나리오비교'!$C$12))+$I839*COS(RADIANS('13_시나리오비교'!$B$12))),0)</f>
        <v/>
      </c>
      <c r="X839" s="80">
        <f>IF($I839&gt;0,MAX(0,$G839*SIN(RADIANS('13_시나리오비교'!$B$13))*SIN(RADIANS('13_시나리오비교'!$C$13))+$H839*SIN(RADIANS('13_시나리오비교'!$B$13))*COS(RADIANS('13_시나리오비교'!$C$13))+$I839*COS(RADIANS('13_시나리오비교'!$B$13))),0)</f>
        <v/>
      </c>
      <c r="Y839" s="80">
        <f>IF($I839&gt;0,MAX(0,$G839*SIN(RADIANS('13_시나리오비교'!$B$14))*SIN(RADIANS('13_시나리오비교'!$C$14))+$H839*SIN(RADIANS('13_시나리오비교'!$B$14))*COS(RADIANS('13_시나리오비교'!$C$14))+$I839*COS(RADIANS('13_시나리오비교'!$B$14))),0)</f>
        <v/>
      </c>
    </row>
    <row r="840" hidden="1" outlineLevel="1">
      <c r="A840" s="79" t="n">
        <v>9</v>
      </c>
      <c r="B840" s="79" t="n">
        <v>52</v>
      </c>
      <c r="C840" s="80">
        <f>(B840-0.5)*'14_지역·상수'!$H$6</f>
        <v/>
      </c>
      <c r="D840" s="79" t="n">
        <v>258</v>
      </c>
      <c r="E840" s="80">
        <f>INDEX($C$4:$C$15,MATCH(A840,$A$4:$A$15,0))</f>
        <v/>
      </c>
      <c r="F840" s="80">
        <f>15*(C840-12)</f>
        <v/>
      </c>
      <c r="G840" s="80">
        <f>-COS(RADIANS(E840))*SIN(RADIANS(F840))</f>
        <v/>
      </c>
      <c r="H840" s="80">
        <f>COS(RADIANS('11_발전량_모델'!$B$17))*SIN(RADIANS(E840))-SIN(RADIANS('11_발전량_모델'!$B$17))*COS(RADIANS(E840))*COS(RADIANS(F840))</f>
        <v/>
      </c>
      <c r="I840" s="80">
        <f>SIN(RADIANS('11_발전량_모델'!$B$17))*SIN(RADIANS(E840))+COS(RADIANS('11_발전량_모델'!$B$17))*COS(RADIANS(E840))*COS(RADIANS(F840))</f>
        <v/>
      </c>
      <c r="J840" s="80">
        <f>SIN(RADIANS('11_발전량_모델'!$B$7))*SIN(RADIANS('11_발전량_모델'!$B$8))</f>
        <v/>
      </c>
      <c r="K840" s="80">
        <f>SIN(RADIANS('11_발전량_모델'!$B$7))*COS(RADIANS('11_발전량_모델'!$B$8))</f>
        <v/>
      </c>
      <c r="L840" s="80">
        <f>COS(RADIANS('11_발전량_모델'!$B$7))</f>
        <v/>
      </c>
      <c r="M840" s="80">
        <f>G840*J840+H840*K840+I840*L840</f>
        <v/>
      </c>
      <c r="N840" s="80">
        <f>MAX(0,I840)</f>
        <v/>
      </c>
      <c r="O840" s="80">
        <f>IF(I840&gt;0,MAX(0,M840),0)</f>
        <v/>
      </c>
      <c r="P840" s="80">
        <f>IF($I840&gt;0,MAX(0,$G840*SIN(RADIANS('13_시나리오비교'!$B$5))*SIN(RADIANS('13_시나리오비교'!$C$5))+$H840*SIN(RADIANS('13_시나리오비교'!$B$5))*COS(RADIANS('13_시나리오비교'!$C$5))+$I840*COS(RADIANS('13_시나리오비교'!$B$5))),0)</f>
        <v/>
      </c>
      <c r="Q840" s="80">
        <f>IF($I840&gt;0,MAX(0,$G840*SIN(RADIANS('13_시나리오비교'!$B$6))*SIN(RADIANS('13_시나리오비교'!$C$6))+$H840*SIN(RADIANS('13_시나리오비교'!$B$6))*COS(RADIANS('13_시나리오비교'!$C$6))+$I840*COS(RADIANS('13_시나리오비교'!$B$6))),0)</f>
        <v/>
      </c>
      <c r="R840" s="80">
        <f>IF($I840&gt;0,MAX(0,$G840*SIN(RADIANS('13_시나리오비교'!$B$7))*SIN(RADIANS('13_시나리오비교'!$C$7))+$H840*SIN(RADIANS('13_시나리오비교'!$B$7))*COS(RADIANS('13_시나리오비교'!$C$7))+$I840*COS(RADIANS('13_시나리오비교'!$B$7))),0)</f>
        <v/>
      </c>
      <c r="S840" s="80">
        <f>IF($I840&gt;0,MAX(0,$G840*SIN(RADIANS('13_시나리오비교'!$B$8))*SIN(RADIANS('13_시나리오비교'!$C$8))+$H840*SIN(RADIANS('13_시나리오비교'!$B$8))*COS(RADIANS('13_시나리오비교'!$C$8))+$I840*COS(RADIANS('13_시나리오비교'!$B$8))),0)</f>
        <v/>
      </c>
      <c r="T840" s="80">
        <f>IF($I840&gt;0,MAX(0,$G840*SIN(RADIANS('13_시나리오비교'!$B$9))*SIN(RADIANS('13_시나리오비교'!$C$9))+$H840*SIN(RADIANS('13_시나리오비교'!$B$9))*COS(RADIANS('13_시나리오비교'!$C$9))+$I840*COS(RADIANS('13_시나리오비교'!$B$9))),0)</f>
        <v/>
      </c>
      <c r="U840" s="80">
        <f>IF($I840&gt;0,MAX(0,$G840*SIN(RADIANS('13_시나리오비교'!$B$10))*SIN(RADIANS('13_시나리오비교'!$C$10))+$H840*SIN(RADIANS('13_시나리오비교'!$B$10))*COS(RADIANS('13_시나리오비교'!$C$10))+$I840*COS(RADIANS('13_시나리오비교'!$B$10))),0)</f>
        <v/>
      </c>
      <c r="V840" s="80">
        <f>IF($I840&gt;0,MAX(0,$G840*SIN(RADIANS('13_시나리오비교'!$B$11))*SIN(RADIANS('13_시나리오비교'!$C$11))+$H840*SIN(RADIANS('13_시나리오비교'!$B$11))*COS(RADIANS('13_시나리오비교'!$C$11))+$I840*COS(RADIANS('13_시나리오비교'!$B$11))),0)</f>
        <v/>
      </c>
      <c r="W840" s="80">
        <f>IF($I840&gt;0,MAX(0,$G840*SIN(RADIANS('13_시나리오비교'!$B$12))*SIN(RADIANS('13_시나리오비교'!$C$12))+$H840*SIN(RADIANS('13_시나리오비교'!$B$12))*COS(RADIANS('13_시나리오비교'!$C$12))+$I840*COS(RADIANS('13_시나리오비교'!$B$12))),0)</f>
        <v/>
      </c>
      <c r="X840" s="80">
        <f>IF($I840&gt;0,MAX(0,$G840*SIN(RADIANS('13_시나리오비교'!$B$13))*SIN(RADIANS('13_시나리오비교'!$C$13))+$H840*SIN(RADIANS('13_시나리오비교'!$B$13))*COS(RADIANS('13_시나리오비교'!$C$13))+$I840*COS(RADIANS('13_시나리오비교'!$B$13))),0)</f>
        <v/>
      </c>
      <c r="Y840" s="80">
        <f>IF($I840&gt;0,MAX(0,$G840*SIN(RADIANS('13_시나리오비교'!$B$14))*SIN(RADIANS('13_시나리오비교'!$C$14))+$H840*SIN(RADIANS('13_시나리오비교'!$B$14))*COS(RADIANS('13_시나리오비교'!$C$14))+$I840*COS(RADIANS('13_시나리오비교'!$B$14))),0)</f>
        <v/>
      </c>
    </row>
    <row r="841" hidden="1" outlineLevel="1">
      <c r="A841" s="79" t="n">
        <v>9</v>
      </c>
      <c r="B841" s="79" t="n">
        <v>53</v>
      </c>
      <c r="C841" s="80">
        <f>(B841-0.5)*'14_지역·상수'!$H$6</f>
        <v/>
      </c>
      <c r="D841" s="79" t="n">
        <v>258</v>
      </c>
      <c r="E841" s="80">
        <f>INDEX($C$4:$C$15,MATCH(A841,$A$4:$A$15,0))</f>
        <v/>
      </c>
      <c r="F841" s="80">
        <f>15*(C841-12)</f>
        <v/>
      </c>
      <c r="G841" s="80">
        <f>-COS(RADIANS(E841))*SIN(RADIANS(F841))</f>
        <v/>
      </c>
      <c r="H841" s="80">
        <f>COS(RADIANS('11_발전량_모델'!$B$17))*SIN(RADIANS(E841))-SIN(RADIANS('11_발전량_모델'!$B$17))*COS(RADIANS(E841))*COS(RADIANS(F841))</f>
        <v/>
      </c>
      <c r="I841" s="80">
        <f>SIN(RADIANS('11_발전량_모델'!$B$17))*SIN(RADIANS(E841))+COS(RADIANS('11_발전량_모델'!$B$17))*COS(RADIANS(E841))*COS(RADIANS(F841))</f>
        <v/>
      </c>
      <c r="J841" s="80">
        <f>SIN(RADIANS('11_발전량_모델'!$B$7))*SIN(RADIANS('11_발전량_모델'!$B$8))</f>
        <v/>
      </c>
      <c r="K841" s="80">
        <f>SIN(RADIANS('11_발전량_모델'!$B$7))*COS(RADIANS('11_발전량_모델'!$B$8))</f>
        <v/>
      </c>
      <c r="L841" s="80">
        <f>COS(RADIANS('11_발전량_모델'!$B$7))</f>
        <v/>
      </c>
      <c r="M841" s="80">
        <f>G841*J841+H841*K841+I841*L841</f>
        <v/>
      </c>
      <c r="N841" s="80">
        <f>MAX(0,I841)</f>
        <v/>
      </c>
      <c r="O841" s="80">
        <f>IF(I841&gt;0,MAX(0,M841),0)</f>
        <v/>
      </c>
      <c r="P841" s="80">
        <f>IF($I841&gt;0,MAX(0,$G841*SIN(RADIANS('13_시나리오비교'!$B$5))*SIN(RADIANS('13_시나리오비교'!$C$5))+$H841*SIN(RADIANS('13_시나리오비교'!$B$5))*COS(RADIANS('13_시나리오비교'!$C$5))+$I841*COS(RADIANS('13_시나리오비교'!$B$5))),0)</f>
        <v/>
      </c>
      <c r="Q841" s="80">
        <f>IF($I841&gt;0,MAX(0,$G841*SIN(RADIANS('13_시나리오비교'!$B$6))*SIN(RADIANS('13_시나리오비교'!$C$6))+$H841*SIN(RADIANS('13_시나리오비교'!$B$6))*COS(RADIANS('13_시나리오비교'!$C$6))+$I841*COS(RADIANS('13_시나리오비교'!$B$6))),0)</f>
        <v/>
      </c>
      <c r="R841" s="80">
        <f>IF($I841&gt;0,MAX(0,$G841*SIN(RADIANS('13_시나리오비교'!$B$7))*SIN(RADIANS('13_시나리오비교'!$C$7))+$H841*SIN(RADIANS('13_시나리오비교'!$B$7))*COS(RADIANS('13_시나리오비교'!$C$7))+$I841*COS(RADIANS('13_시나리오비교'!$B$7))),0)</f>
        <v/>
      </c>
      <c r="S841" s="80">
        <f>IF($I841&gt;0,MAX(0,$G841*SIN(RADIANS('13_시나리오비교'!$B$8))*SIN(RADIANS('13_시나리오비교'!$C$8))+$H841*SIN(RADIANS('13_시나리오비교'!$B$8))*COS(RADIANS('13_시나리오비교'!$C$8))+$I841*COS(RADIANS('13_시나리오비교'!$B$8))),0)</f>
        <v/>
      </c>
      <c r="T841" s="80">
        <f>IF($I841&gt;0,MAX(0,$G841*SIN(RADIANS('13_시나리오비교'!$B$9))*SIN(RADIANS('13_시나리오비교'!$C$9))+$H841*SIN(RADIANS('13_시나리오비교'!$B$9))*COS(RADIANS('13_시나리오비교'!$C$9))+$I841*COS(RADIANS('13_시나리오비교'!$B$9))),0)</f>
        <v/>
      </c>
      <c r="U841" s="80">
        <f>IF($I841&gt;0,MAX(0,$G841*SIN(RADIANS('13_시나리오비교'!$B$10))*SIN(RADIANS('13_시나리오비교'!$C$10))+$H841*SIN(RADIANS('13_시나리오비교'!$B$10))*COS(RADIANS('13_시나리오비교'!$C$10))+$I841*COS(RADIANS('13_시나리오비교'!$B$10))),0)</f>
        <v/>
      </c>
      <c r="V841" s="80">
        <f>IF($I841&gt;0,MAX(0,$G841*SIN(RADIANS('13_시나리오비교'!$B$11))*SIN(RADIANS('13_시나리오비교'!$C$11))+$H841*SIN(RADIANS('13_시나리오비교'!$B$11))*COS(RADIANS('13_시나리오비교'!$C$11))+$I841*COS(RADIANS('13_시나리오비교'!$B$11))),0)</f>
        <v/>
      </c>
      <c r="W841" s="80">
        <f>IF($I841&gt;0,MAX(0,$G841*SIN(RADIANS('13_시나리오비교'!$B$12))*SIN(RADIANS('13_시나리오비교'!$C$12))+$H841*SIN(RADIANS('13_시나리오비교'!$B$12))*COS(RADIANS('13_시나리오비교'!$C$12))+$I841*COS(RADIANS('13_시나리오비교'!$B$12))),0)</f>
        <v/>
      </c>
      <c r="X841" s="80">
        <f>IF($I841&gt;0,MAX(0,$G841*SIN(RADIANS('13_시나리오비교'!$B$13))*SIN(RADIANS('13_시나리오비교'!$C$13))+$H841*SIN(RADIANS('13_시나리오비교'!$B$13))*COS(RADIANS('13_시나리오비교'!$C$13))+$I841*COS(RADIANS('13_시나리오비교'!$B$13))),0)</f>
        <v/>
      </c>
      <c r="Y841" s="80">
        <f>IF($I841&gt;0,MAX(0,$G841*SIN(RADIANS('13_시나리오비교'!$B$14))*SIN(RADIANS('13_시나리오비교'!$C$14))+$H841*SIN(RADIANS('13_시나리오비교'!$B$14))*COS(RADIANS('13_시나리오비교'!$C$14))+$I841*COS(RADIANS('13_시나리오비교'!$B$14))),0)</f>
        <v/>
      </c>
    </row>
    <row r="842" hidden="1" outlineLevel="1">
      <c r="A842" s="79" t="n">
        <v>9</v>
      </c>
      <c r="B842" s="79" t="n">
        <v>54</v>
      </c>
      <c r="C842" s="80">
        <f>(B842-0.5)*'14_지역·상수'!$H$6</f>
        <v/>
      </c>
      <c r="D842" s="79" t="n">
        <v>258</v>
      </c>
      <c r="E842" s="80">
        <f>INDEX($C$4:$C$15,MATCH(A842,$A$4:$A$15,0))</f>
        <v/>
      </c>
      <c r="F842" s="80">
        <f>15*(C842-12)</f>
        <v/>
      </c>
      <c r="G842" s="80">
        <f>-COS(RADIANS(E842))*SIN(RADIANS(F842))</f>
        <v/>
      </c>
      <c r="H842" s="80">
        <f>COS(RADIANS('11_발전량_모델'!$B$17))*SIN(RADIANS(E842))-SIN(RADIANS('11_발전량_모델'!$B$17))*COS(RADIANS(E842))*COS(RADIANS(F842))</f>
        <v/>
      </c>
      <c r="I842" s="80">
        <f>SIN(RADIANS('11_발전량_모델'!$B$17))*SIN(RADIANS(E842))+COS(RADIANS('11_발전량_모델'!$B$17))*COS(RADIANS(E842))*COS(RADIANS(F842))</f>
        <v/>
      </c>
      <c r="J842" s="80">
        <f>SIN(RADIANS('11_발전량_모델'!$B$7))*SIN(RADIANS('11_발전량_모델'!$B$8))</f>
        <v/>
      </c>
      <c r="K842" s="80">
        <f>SIN(RADIANS('11_발전량_모델'!$B$7))*COS(RADIANS('11_발전량_모델'!$B$8))</f>
        <v/>
      </c>
      <c r="L842" s="80">
        <f>COS(RADIANS('11_발전량_모델'!$B$7))</f>
        <v/>
      </c>
      <c r="M842" s="80">
        <f>G842*J842+H842*K842+I842*L842</f>
        <v/>
      </c>
      <c r="N842" s="80">
        <f>MAX(0,I842)</f>
        <v/>
      </c>
      <c r="O842" s="80">
        <f>IF(I842&gt;0,MAX(0,M842),0)</f>
        <v/>
      </c>
      <c r="P842" s="80">
        <f>IF($I842&gt;0,MAX(0,$G842*SIN(RADIANS('13_시나리오비교'!$B$5))*SIN(RADIANS('13_시나리오비교'!$C$5))+$H842*SIN(RADIANS('13_시나리오비교'!$B$5))*COS(RADIANS('13_시나리오비교'!$C$5))+$I842*COS(RADIANS('13_시나리오비교'!$B$5))),0)</f>
        <v/>
      </c>
      <c r="Q842" s="80">
        <f>IF($I842&gt;0,MAX(0,$G842*SIN(RADIANS('13_시나리오비교'!$B$6))*SIN(RADIANS('13_시나리오비교'!$C$6))+$H842*SIN(RADIANS('13_시나리오비교'!$B$6))*COS(RADIANS('13_시나리오비교'!$C$6))+$I842*COS(RADIANS('13_시나리오비교'!$B$6))),0)</f>
        <v/>
      </c>
      <c r="R842" s="80">
        <f>IF($I842&gt;0,MAX(0,$G842*SIN(RADIANS('13_시나리오비교'!$B$7))*SIN(RADIANS('13_시나리오비교'!$C$7))+$H842*SIN(RADIANS('13_시나리오비교'!$B$7))*COS(RADIANS('13_시나리오비교'!$C$7))+$I842*COS(RADIANS('13_시나리오비교'!$B$7))),0)</f>
        <v/>
      </c>
      <c r="S842" s="80">
        <f>IF($I842&gt;0,MAX(0,$G842*SIN(RADIANS('13_시나리오비교'!$B$8))*SIN(RADIANS('13_시나리오비교'!$C$8))+$H842*SIN(RADIANS('13_시나리오비교'!$B$8))*COS(RADIANS('13_시나리오비교'!$C$8))+$I842*COS(RADIANS('13_시나리오비교'!$B$8))),0)</f>
        <v/>
      </c>
      <c r="T842" s="80">
        <f>IF($I842&gt;0,MAX(0,$G842*SIN(RADIANS('13_시나리오비교'!$B$9))*SIN(RADIANS('13_시나리오비교'!$C$9))+$H842*SIN(RADIANS('13_시나리오비교'!$B$9))*COS(RADIANS('13_시나리오비교'!$C$9))+$I842*COS(RADIANS('13_시나리오비교'!$B$9))),0)</f>
        <v/>
      </c>
      <c r="U842" s="80">
        <f>IF($I842&gt;0,MAX(0,$G842*SIN(RADIANS('13_시나리오비교'!$B$10))*SIN(RADIANS('13_시나리오비교'!$C$10))+$H842*SIN(RADIANS('13_시나리오비교'!$B$10))*COS(RADIANS('13_시나리오비교'!$C$10))+$I842*COS(RADIANS('13_시나리오비교'!$B$10))),0)</f>
        <v/>
      </c>
      <c r="V842" s="80">
        <f>IF($I842&gt;0,MAX(0,$G842*SIN(RADIANS('13_시나리오비교'!$B$11))*SIN(RADIANS('13_시나리오비교'!$C$11))+$H842*SIN(RADIANS('13_시나리오비교'!$B$11))*COS(RADIANS('13_시나리오비교'!$C$11))+$I842*COS(RADIANS('13_시나리오비교'!$B$11))),0)</f>
        <v/>
      </c>
      <c r="W842" s="80">
        <f>IF($I842&gt;0,MAX(0,$G842*SIN(RADIANS('13_시나리오비교'!$B$12))*SIN(RADIANS('13_시나리오비교'!$C$12))+$H842*SIN(RADIANS('13_시나리오비교'!$B$12))*COS(RADIANS('13_시나리오비교'!$C$12))+$I842*COS(RADIANS('13_시나리오비교'!$B$12))),0)</f>
        <v/>
      </c>
      <c r="X842" s="80">
        <f>IF($I842&gt;0,MAX(0,$G842*SIN(RADIANS('13_시나리오비교'!$B$13))*SIN(RADIANS('13_시나리오비교'!$C$13))+$H842*SIN(RADIANS('13_시나리오비교'!$B$13))*COS(RADIANS('13_시나리오비교'!$C$13))+$I842*COS(RADIANS('13_시나리오비교'!$B$13))),0)</f>
        <v/>
      </c>
      <c r="Y842" s="80">
        <f>IF($I842&gt;0,MAX(0,$G842*SIN(RADIANS('13_시나리오비교'!$B$14))*SIN(RADIANS('13_시나리오비교'!$C$14))+$H842*SIN(RADIANS('13_시나리오비교'!$B$14))*COS(RADIANS('13_시나리오비교'!$C$14))+$I842*COS(RADIANS('13_시나리오비교'!$B$14))),0)</f>
        <v/>
      </c>
    </row>
    <row r="843" hidden="1" outlineLevel="1">
      <c r="A843" s="79" t="n">
        <v>9</v>
      </c>
      <c r="B843" s="79" t="n">
        <v>55</v>
      </c>
      <c r="C843" s="80">
        <f>(B843-0.5)*'14_지역·상수'!$H$6</f>
        <v/>
      </c>
      <c r="D843" s="79" t="n">
        <v>258</v>
      </c>
      <c r="E843" s="80">
        <f>INDEX($C$4:$C$15,MATCH(A843,$A$4:$A$15,0))</f>
        <v/>
      </c>
      <c r="F843" s="80">
        <f>15*(C843-12)</f>
        <v/>
      </c>
      <c r="G843" s="80">
        <f>-COS(RADIANS(E843))*SIN(RADIANS(F843))</f>
        <v/>
      </c>
      <c r="H843" s="80">
        <f>COS(RADIANS('11_발전량_모델'!$B$17))*SIN(RADIANS(E843))-SIN(RADIANS('11_발전량_모델'!$B$17))*COS(RADIANS(E843))*COS(RADIANS(F843))</f>
        <v/>
      </c>
      <c r="I843" s="80">
        <f>SIN(RADIANS('11_발전량_모델'!$B$17))*SIN(RADIANS(E843))+COS(RADIANS('11_발전량_모델'!$B$17))*COS(RADIANS(E843))*COS(RADIANS(F843))</f>
        <v/>
      </c>
      <c r="J843" s="80">
        <f>SIN(RADIANS('11_발전량_모델'!$B$7))*SIN(RADIANS('11_발전량_모델'!$B$8))</f>
        <v/>
      </c>
      <c r="K843" s="80">
        <f>SIN(RADIANS('11_발전량_모델'!$B$7))*COS(RADIANS('11_발전량_모델'!$B$8))</f>
        <v/>
      </c>
      <c r="L843" s="80">
        <f>COS(RADIANS('11_발전량_모델'!$B$7))</f>
        <v/>
      </c>
      <c r="M843" s="80">
        <f>G843*J843+H843*K843+I843*L843</f>
        <v/>
      </c>
      <c r="N843" s="80">
        <f>MAX(0,I843)</f>
        <v/>
      </c>
      <c r="O843" s="80">
        <f>IF(I843&gt;0,MAX(0,M843),0)</f>
        <v/>
      </c>
      <c r="P843" s="80">
        <f>IF($I843&gt;0,MAX(0,$G843*SIN(RADIANS('13_시나리오비교'!$B$5))*SIN(RADIANS('13_시나리오비교'!$C$5))+$H843*SIN(RADIANS('13_시나리오비교'!$B$5))*COS(RADIANS('13_시나리오비교'!$C$5))+$I843*COS(RADIANS('13_시나리오비교'!$B$5))),0)</f>
        <v/>
      </c>
      <c r="Q843" s="80">
        <f>IF($I843&gt;0,MAX(0,$G843*SIN(RADIANS('13_시나리오비교'!$B$6))*SIN(RADIANS('13_시나리오비교'!$C$6))+$H843*SIN(RADIANS('13_시나리오비교'!$B$6))*COS(RADIANS('13_시나리오비교'!$C$6))+$I843*COS(RADIANS('13_시나리오비교'!$B$6))),0)</f>
        <v/>
      </c>
      <c r="R843" s="80">
        <f>IF($I843&gt;0,MAX(0,$G843*SIN(RADIANS('13_시나리오비교'!$B$7))*SIN(RADIANS('13_시나리오비교'!$C$7))+$H843*SIN(RADIANS('13_시나리오비교'!$B$7))*COS(RADIANS('13_시나리오비교'!$C$7))+$I843*COS(RADIANS('13_시나리오비교'!$B$7))),0)</f>
        <v/>
      </c>
      <c r="S843" s="80">
        <f>IF($I843&gt;0,MAX(0,$G843*SIN(RADIANS('13_시나리오비교'!$B$8))*SIN(RADIANS('13_시나리오비교'!$C$8))+$H843*SIN(RADIANS('13_시나리오비교'!$B$8))*COS(RADIANS('13_시나리오비교'!$C$8))+$I843*COS(RADIANS('13_시나리오비교'!$B$8))),0)</f>
        <v/>
      </c>
      <c r="T843" s="80">
        <f>IF($I843&gt;0,MAX(0,$G843*SIN(RADIANS('13_시나리오비교'!$B$9))*SIN(RADIANS('13_시나리오비교'!$C$9))+$H843*SIN(RADIANS('13_시나리오비교'!$B$9))*COS(RADIANS('13_시나리오비교'!$C$9))+$I843*COS(RADIANS('13_시나리오비교'!$B$9))),0)</f>
        <v/>
      </c>
      <c r="U843" s="80">
        <f>IF($I843&gt;0,MAX(0,$G843*SIN(RADIANS('13_시나리오비교'!$B$10))*SIN(RADIANS('13_시나리오비교'!$C$10))+$H843*SIN(RADIANS('13_시나리오비교'!$B$10))*COS(RADIANS('13_시나리오비교'!$C$10))+$I843*COS(RADIANS('13_시나리오비교'!$B$10))),0)</f>
        <v/>
      </c>
      <c r="V843" s="80">
        <f>IF($I843&gt;0,MAX(0,$G843*SIN(RADIANS('13_시나리오비교'!$B$11))*SIN(RADIANS('13_시나리오비교'!$C$11))+$H843*SIN(RADIANS('13_시나리오비교'!$B$11))*COS(RADIANS('13_시나리오비교'!$C$11))+$I843*COS(RADIANS('13_시나리오비교'!$B$11))),0)</f>
        <v/>
      </c>
      <c r="W843" s="80">
        <f>IF($I843&gt;0,MAX(0,$G843*SIN(RADIANS('13_시나리오비교'!$B$12))*SIN(RADIANS('13_시나리오비교'!$C$12))+$H843*SIN(RADIANS('13_시나리오비교'!$B$12))*COS(RADIANS('13_시나리오비교'!$C$12))+$I843*COS(RADIANS('13_시나리오비교'!$B$12))),0)</f>
        <v/>
      </c>
      <c r="X843" s="80">
        <f>IF($I843&gt;0,MAX(0,$G843*SIN(RADIANS('13_시나리오비교'!$B$13))*SIN(RADIANS('13_시나리오비교'!$C$13))+$H843*SIN(RADIANS('13_시나리오비교'!$B$13))*COS(RADIANS('13_시나리오비교'!$C$13))+$I843*COS(RADIANS('13_시나리오비교'!$B$13))),0)</f>
        <v/>
      </c>
      <c r="Y843" s="80">
        <f>IF($I843&gt;0,MAX(0,$G843*SIN(RADIANS('13_시나리오비교'!$B$14))*SIN(RADIANS('13_시나리오비교'!$C$14))+$H843*SIN(RADIANS('13_시나리오비교'!$B$14))*COS(RADIANS('13_시나리오비교'!$C$14))+$I843*COS(RADIANS('13_시나리오비교'!$B$14))),0)</f>
        <v/>
      </c>
    </row>
    <row r="844" hidden="1" outlineLevel="1">
      <c r="A844" s="79" t="n">
        <v>9</v>
      </c>
      <c r="B844" s="79" t="n">
        <v>56</v>
      </c>
      <c r="C844" s="80">
        <f>(B844-0.5)*'14_지역·상수'!$H$6</f>
        <v/>
      </c>
      <c r="D844" s="79" t="n">
        <v>258</v>
      </c>
      <c r="E844" s="80">
        <f>INDEX($C$4:$C$15,MATCH(A844,$A$4:$A$15,0))</f>
        <v/>
      </c>
      <c r="F844" s="80">
        <f>15*(C844-12)</f>
        <v/>
      </c>
      <c r="G844" s="80">
        <f>-COS(RADIANS(E844))*SIN(RADIANS(F844))</f>
        <v/>
      </c>
      <c r="H844" s="80">
        <f>COS(RADIANS('11_발전량_모델'!$B$17))*SIN(RADIANS(E844))-SIN(RADIANS('11_발전량_모델'!$B$17))*COS(RADIANS(E844))*COS(RADIANS(F844))</f>
        <v/>
      </c>
      <c r="I844" s="80">
        <f>SIN(RADIANS('11_발전량_모델'!$B$17))*SIN(RADIANS(E844))+COS(RADIANS('11_발전량_모델'!$B$17))*COS(RADIANS(E844))*COS(RADIANS(F844))</f>
        <v/>
      </c>
      <c r="J844" s="80">
        <f>SIN(RADIANS('11_발전량_모델'!$B$7))*SIN(RADIANS('11_발전량_모델'!$B$8))</f>
        <v/>
      </c>
      <c r="K844" s="80">
        <f>SIN(RADIANS('11_발전량_모델'!$B$7))*COS(RADIANS('11_발전량_모델'!$B$8))</f>
        <v/>
      </c>
      <c r="L844" s="80">
        <f>COS(RADIANS('11_발전량_모델'!$B$7))</f>
        <v/>
      </c>
      <c r="M844" s="80">
        <f>G844*J844+H844*K844+I844*L844</f>
        <v/>
      </c>
      <c r="N844" s="80">
        <f>MAX(0,I844)</f>
        <v/>
      </c>
      <c r="O844" s="80">
        <f>IF(I844&gt;0,MAX(0,M844),0)</f>
        <v/>
      </c>
      <c r="P844" s="80">
        <f>IF($I844&gt;0,MAX(0,$G844*SIN(RADIANS('13_시나리오비교'!$B$5))*SIN(RADIANS('13_시나리오비교'!$C$5))+$H844*SIN(RADIANS('13_시나리오비교'!$B$5))*COS(RADIANS('13_시나리오비교'!$C$5))+$I844*COS(RADIANS('13_시나리오비교'!$B$5))),0)</f>
        <v/>
      </c>
      <c r="Q844" s="80">
        <f>IF($I844&gt;0,MAX(0,$G844*SIN(RADIANS('13_시나리오비교'!$B$6))*SIN(RADIANS('13_시나리오비교'!$C$6))+$H844*SIN(RADIANS('13_시나리오비교'!$B$6))*COS(RADIANS('13_시나리오비교'!$C$6))+$I844*COS(RADIANS('13_시나리오비교'!$B$6))),0)</f>
        <v/>
      </c>
      <c r="R844" s="80">
        <f>IF($I844&gt;0,MAX(0,$G844*SIN(RADIANS('13_시나리오비교'!$B$7))*SIN(RADIANS('13_시나리오비교'!$C$7))+$H844*SIN(RADIANS('13_시나리오비교'!$B$7))*COS(RADIANS('13_시나리오비교'!$C$7))+$I844*COS(RADIANS('13_시나리오비교'!$B$7))),0)</f>
        <v/>
      </c>
      <c r="S844" s="80">
        <f>IF($I844&gt;0,MAX(0,$G844*SIN(RADIANS('13_시나리오비교'!$B$8))*SIN(RADIANS('13_시나리오비교'!$C$8))+$H844*SIN(RADIANS('13_시나리오비교'!$B$8))*COS(RADIANS('13_시나리오비교'!$C$8))+$I844*COS(RADIANS('13_시나리오비교'!$B$8))),0)</f>
        <v/>
      </c>
      <c r="T844" s="80">
        <f>IF($I844&gt;0,MAX(0,$G844*SIN(RADIANS('13_시나리오비교'!$B$9))*SIN(RADIANS('13_시나리오비교'!$C$9))+$H844*SIN(RADIANS('13_시나리오비교'!$B$9))*COS(RADIANS('13_시나리오비교'!$C$9))+$I844*COS(RADIANS('13_시나리오비교'!$B$9))),0)</f>
        <v/>
      </c>
      <c r="U844" s="80">
        <f>IF($I844&gt;0,MAX(0,$G844*SIN(RADIANS('13_시나리오비교'!$B$10))*SIN(RADIANS('13_시나리오비교'!$C$10))+$H844*SIN(RADIANS('13_시나리오비교'!$B$10))*COS(RADIANS('13_시나리오비교'!$C$10))+$I844*COS(RADIANS('13_시나리오비교'!$B$10))),0)</f>
        <v/>
      </c>
      <c r="V844" s="80">
        <f>IF($I844&gt;0,MAX(0,$G844*SIN(RADIANS('13_시나리오비교'!$B$11))*SIN(RADIANS('13_시나리오비교'!$C$11))+$H844*SIN(RADIANS('13_시나리오비교'!$B$11))*COS(RADIANS('13_시나리오비교'!$C$11))+$I844*COS(RADIANS('13_시나리오비교'!$B$11))),0)</f>
        <v/>
      </c>
      <c r="W844" s="80">
        <f>IF($I844&gt;0,MAX(0,$G844*SIN(RADIANS('13_시나리오비교'!$B$12))*SIN(RADIANS('13_시나리오비교'!$C$12))+$H844*SIN(RADIANS('13_시나리오비교'!$B$12))*COS(RADIANS('13_시나리오비교'!$C$12))+$I844*COS(RADIANS('13_시나리오비교'!$B$12))),0)</f>
        <v/>
      </c>
      <c r="X844" s="80">
        <f>IF($I844&gt;0,MAX(0,$G844*SIN(RADIANS('13_시나리오비교'!$B$13))*SIN(RADIANS('13_시나리오비교'!$C$13))+$H844*SIN(RADIANS('13_시나리오비교'!$B$13))*COS(RADIANS('13_시나리오비교'!$C$13))+$I844*COS(RADIANS('13_시나리오비교'!$B$13))),0)</f>
        <v/>
      </c>
      <c r="Y844" s="80">
        <f>IF($I844&gt;0,MAX(0,$G844*SIN(RADIANS('13_시나리오비교'!$B$14))*SIN(RADIANS('13_시나리오비교'!$C$14))+$H844*SIN(RADIANS('13_시나리오비교'!$B$14))*COS(RADIANS('13_시나리오비교'!$C$14))+$I844*COS(RADIANS('13_시나리오비교'!$B$14))),0)</f>
        <v/>
      </c>
    </row>
    <row r="845" hidden="1" outlineLevel="1">
      <c r="A845" s="79" t="n">
        <v>9</v>
      </c>
      <c r="B845" s="79" t="n">
        <v>57</v>
      </c>
      <c r="C845" s="80">
        <f>(B845-0.5)*'14_지역·상수'!$H$6</f>
        <v/>
      </c>
      <c r="D845" s="79" t="n">
        <v>258</v>
      </c>
      <c r="E845" s="80">
        <f>INDEX($C$4:$C$15,MATCH(A845,$A$4:$A$15,0))</f>
        <v/>
      </c>
      <c r="F845" s="80">
        <f>15*(C845-12)</f>
        <v/>
      </c>
      <c r="G845" s="80">
        <f>-COS(RADIANS(E845))*SIN(RADIANS(F845))</f>
        <v/>
      </c>
      <c r="H845" s="80">
        <f>COS(RADIANS('11_발전량_모델'!$B$17))*SIN(RADIANS(E845))-SIN(RADIANS('11_발전량_모델'!$B$17))*COS(RADIANS(E845))*COS(RADIANS(F845))</f>
        <v/>
      </c>
      <c r="I845" s="80">
        <f>SIN(RADIANS('11_발전량_모델'!$B$17))*SIN(RADIANS(E845))+COS(RADIANS('11_발전량_모델'!$B$17))*COS(RADIANS(E845))*COS(RADIANS(F845))</f>
        <v/>
      </c>
      <c r="J845" s="80">
        <f>SIN(RADIANS('11_발전량_모델'!$B$7))*SIN(RADIANS('11_발전량_모델'!$B$8))</f>
        <v/>
      </c>
      <c r="K845" s="80">
        <f>SIN(RADIANS('11_발전량_모델'!$B$7))*COS(RADIANS('11_발전량_모델'!$B$8))</f>
        <v/>
      </c>
      <c r="L845" s="80">
        <f>COS(RADIANS('11_발전량_모델'!$B$7))</f>
        <v/>
      </c>
      <c r="M845" s="80">
        <f>G845*J845+H845*K845+I845*L845</f>
        <v/>
      </c>
      <c r="N845" s="80">
        <f>MAX(0,I845)</f>
        <v/>
      </c>
      <c r="O845" s="80">
        <f>IF(I845&gt;0,MAX(0,M845),0)</f>
        <v/>
      </c>
      <c r="P845" s="80">
        <f>IF($I845&gt;0,MAX(0,$G845*SIN(RADIANS('13_시나리오비교'!$B$5))*SIN(RADIANS('13_시나리오비교'!$C$5))+$H845*SIN(RADIANS('13_시나리오비교'!$B$5))*COS(RADIANS('13_시나리오비교'!$C$5))+$I845*COS(RADIANS('13_시나리오비교'!$B$5))),0)</f>
        <v/>
      </c>
      <c r="Q845" s="80">
        <f>IF($I845&gt;0,MAX(0,$G845*SIN(RADIANS('13_시나리오비교'!$B$6))*SIN(RADIANS('13_시나리오비교'!$C$6))+$H845*SIN(RADIANS('13_시나리오비교'!$B$6))*COS(RADIANS('13_시나리오비교'!$C$6))+$I845*COS(RADIANS('13_시나리오비교'!$B$6))),0)</f>
        <v/>
      </c>
      <c r="R845" s="80">
        <f>IF($I845&gt;0,MAX(0,$G845*SIN(RADIANS('13_시나리오비교'!$B$7))*SIN(RADIANS('13_시나리오비교'!$C$7))+$H845*SIN(RADIANS('13_시나리오비교'!$B$7))*COS(RADIANS('13_시나리오비교'!$C$7))+$I845*COS(RADIANS('13_시나리오비교'!$B$7))),0)</f>
        <v/>
      </c>
      <c r="S845" s="80">
        <f>IF($I845&gt;0,MAX(0,$G845*SIN(RADIANS('13_시나리오비교'!$B$8))*SIN(RADIANS('13_시나리오비교'!$C$8))+$H845*SIN(RADIANS('13_시나리오비교'!$B$8))*COS(RADIANS('13_시나리오비교'!$C$8))+$I845*COS(RADIANS('13_시나리오비교'!$B$8))),0)</f>
        <v/>
      </c>
      <c r="T845" s="80">
        <f>IF($I845&gt;0,MAX(0,$G845*SIN(RADIANS('13_시나리오비교'!$B$9))*SIN(RADIANS('13_시나리오비교'!$C$9))+$H845*SIN(RADIANS('13_시나리오비교'!$B$9))*COS(RADIANS('13_시나리오비교'!$C$9))+$I845*COS(RADIANS('13_시나리오비교'!$B$9))),0)</f>
        <v/>
      </c>
      <c r="U845" s="80">
        <f>IF($I845&gt;0,MAX(0,$G845*SIN(RADIANS('13_시나리오비교'!$B$10))*SIN(RADIANS('13_시나리오비교'!$C$10))+$H845*SIN(RADIANS('13_시나리오비교'!$B$10))*COS(RADIANS('13_시나리오비교'!$C$10))+$I845*COS(RADIANS('13_시나리오비교'!$B$10))),0)</f>
        <v/>
      </c>
      <c r="V845" s="80">
        <f>IF($I845&gt;0,MAX(0,$G845*SIN(RADIANS('13_시나리오비교'!$B$11))*SIN(RADIANS('13_시나리오비교'!$C$11))+$H845*SIN(RADIANS('13_시나리오비교'!$B$11))*COS(RADIANS('13_시나리오비교'!$C$11))+$I845*COS(RADIANS('13_시나리오비교'!$B$11))),0)</f>
        <v/>
      </c>
      <c r="W845" s="80">
        <f>IF($I845&gt;0,MAX(0,$G845*SIN(RADIANS('13_시나리오비교'!$B$12))*SIN(RADIANS('13_시나리오비교'!$C$12))+$H845*SIN(RADIANS('13_시나리오비교'!$B$12))*COS(RADIANS('13_시나리오비교'!$C$12))+$I845*COS(RADIANS('13_시나리오비교'!$B$12))),0)</f>
        <v/>
      </c>
      <c r="X845" s="80">
        <f>IF($I845&gt;0,MAX(0,$G845*SIN(RADIANS('13_시나리오비교'!$B$13))*SIN(RADIANS('13_시나리오비교'!$C$13))+$H845*SIN(RADIANS('13_시나리오비교'!$B$13))*COS(RADIANS('13_시나리오비교'!$C$13))+$I845*COS(RADIANS('13_시나리오비교'!$B$13))),0)</f>
        <v/>
      </c>
      <c r="Y845" s="80">
        <f>IF($I845&gt;0,MAX(0,$G845*SIN(RADIANS('13_시나리오비교'!$B$14))*SIN(RADIANS('13_시나리오비교'!$C$14))+$H845*SIN(RADIANS('13_시나리오비교'!$B$14))*COS(RADIANS('13_시나리오비교'!$C$14))+$I845*COS(RADIANS('13_시나리오비교'!$B$14))),0)</f>
        <v/>
      </c>
    </row>
    <row r="846" hidden="1" outlineLevel="1">
      <c r="A846" s="79" t="n">
        <v>9</v>
      </c>
      <c r="B846" s="79" t="n">
        <v>58</v>
      </c>
      <c r="C846" s="80">
        <f>(B846-0.5)*'14_지역·상수'!$H$6</f>
        <v/>
      </c>
      <c r="D846" s="79" t="n">
        <v>258</v>
      </c>
      <c r="E846" s="80">
        <f>INDEX($C$4:$C$15,MATCH(A846,$A$4:$A$15,0))</f>
        <v/>
      </c>
      <c r="F846" s="80">
        <f>15*(C846-12)</f>
        <v/>
      </c>
      <c r="G846" s="80">
        <f>-COS(RADIANS(E846))*SIN(RADIANS(F846))</f>
        <v/>
      </c>
      <c r="H846" s="80">
        <f>COS(RADIANS('11_발전량_모델'!$B$17))*SIN(RADIANS(E846))-SIN(RADIANS('11_발전량_모델'!$B$17))*COS(RADIANS(E846))*COS(RADIANS(F846))</f>
        <v/>
      </c>
      <c r="I846" s="80">
        <f>SIN(RADIANS('11_발전량_모델'!$B$17))*SIN(RADIANS(E846))+COS(RADIANS('11_발전량_모델'!$B$17))*COS(RADIANS(E846))*COS(RADIANS(F846))</f>
        <v/>
      </c>
      <c r="J846" s="80">
        <f>SIN(RADIANS('11_발전량_모델'!$B$7))*SIN(RADIANS('11_발전량_모델'!$B$8))</f>
        <v/>
      </c>
      <c r="K846" s="80">
        <f>SIN(RADIANS('11_발전량_모델'!$B$7))*COS(RADIANS('11_발전량_모델'!$B$8))</f>
        <v/>
      </c>
      <c r="L846" s="80">
        <f>COS(RADIANS('11_발전량_모델'!$B$7))</f>
        <v/>
      </c>
      <c r="M846" s="80">
        <f>G846*J846+H846*K846+I846*L846</f>
        <v/>
      </c>
      <c r="N846" s="80">
        <f>MAX(0,I846)</f>
        <v/>
      </c>
      <c r="O846" s="80">
        <f>IF(I846&gt;0,MAX(0,M846),0)</f>
        <v/>
      </c>
      <c r="P846" s="80">
        <f>IF($I846&gt;0,MAX(0,$G846*SIN(RADIANS('13_시나리오비교'!$B$5))*SIN(RADIANS('13_시나리오비교'!$C$5))+$H846*SIN(RADIANS('13_시나리오비교'!$B$5))*COS(RADIANS('13_시나리오비교'!$C$5))+$I846*COS(RADIANS('13_시나리오비교'!$B$5))),0)</f>
        <v/>
      </c>
      <c r="Q846" s="80">
        <f>IF($I846&gt;0,MAX(0,$G846*SIN(RADIANS('13_시나리오비교'!$B$6))*SIN(RADIANS('13_시나리오비교'!$C$6))+$H846*SIN(RADIANS('13_시나리오비교'!$B$6))*COS(RADIANS('13_시나리오비교'!$C$6))+$I846*COS(RADIANS('13_시나리오비교'!$B$6))),0)</f>
        <v/>
      </c>
      <c r="R846" s="80">
        <f>IF($I846&gt;0,MAX(0,$G846*SIN(RADIANS('13_시나리오비교'!$B$7))*SIN(RADIANS('13_시나리오비교'!$C$7))+$H846*SIN(RADIANS('13_시나리오비교'!$B$7))*COS(RADIANS('13_시나리오비교'!$C$7))+$I846*COS(RADIANS('13_시나리오비교'!$B$7))),0)</f>
        <v/>
      </c>
      <c r="S846" s="80">
        <f>IF($I846&gt;0,MAX(0,$G846*SIN(RADIANS('13_시나리오비교'!$B$8))*SIN(RADIANS('13_시나리오비교'!$C$8))+$H846*SIN(RADIANS('13_시나리오비교'!$B$8))*COS(RADIANS('13_시나리오비교'!$C$8))+$I846*COS(RADIANS('13_시나리오비교'!$B$8))),0)</f>
        <v/>
      </c>
      <c r="T846" s="80">
        <f>IF($I846&gt;0,MAX(0,$G846*SIN(RADIANS('13_시나리오비교'!$B$9))*SIN(RADIANS('13_시나리오비교'!$C$9))+$H846*SIN(RADIANS('13_시나리오비교'!$B$9))*COS(RADIANS('13_시나리오비교'!$C$9))+$I846*COS(RADIANS('13_시나리오비교'!$B$9))),0)</f>
        <v/>
      </c>
      <c r="U846" s="80">
        <f>IF($I846&gt;0,MAX(0,$G846*SIN(RADIANS('13_시나리오비교'!$B$10))*SIN(RADIANS('13_시나리오비교'!$C$10))+$H846*SIN(RADIANS('13_시나리오비교'!$B$10))*COS(RADIANS('13_시나리오비교'!$C$10))+$I846*COS(RADIANS('13_시나리오비교'!$B$10))),0)</f>
        <v/>
      </c>
      <c r="V846" s="80">
        <f>IF($I846&gt;0,MAX(0,$G846*SIN(RADIANS('13_시나리오비교'!$B$11))*SIN(RADIANS('13_시나리오비교'!$C$11))+$H846*SIN(RADIANS('13_시나리오비교'!$B$11))*COS(RADIANS('13_시나리오비교'!$C$11))+$I846*COS(RADIANS('13_시나리오비교'!$B$11))),0)</f>
        <v/>
      </c>
      <c r="W846" s="80">
        <f>IF($I846&gt;0,MAX(0,$G846*SIN(RADIANS('13_시나리오비교'!$B$12))*SIN(RADIANS('13_시나리오비교'!$C$12))+$H846*SIN(RADIANS('13_시나리오비교'!$B$12))*COS(RADIANS('13_시나리오비교'!$C$12))+$I846*COS(RADIANS('13_시나리오비교'!$B$12))),0)</f>
        <v/>
      </c>
      <c r="X846" s="80">
        <f>IF($I846&gt;0,MAX(0,$G846*SIN(RADIANS('13_시나리오비교'!$B$13))*SIN(RADIANS('13_시나리오비교'!$C$13))+$H846*SIN(RADIANS('13_시나리오비교'!$B$13))*COS(RADIANS('13_시나리오비교'!$C$13))+$I846*COS(RADIANS('13_시나리오비교'!$B$13))),0)</f>
        <v/>
      </c>
      <c r="Y846" s="80">
        <f>IF($I846&gt;0,MAX(0,$G846*SIN(RADIANS('13_시나리오비교'!$B$14))*SIN(RADIANS('13_시나리오비교'!$C$14))+$H846*SIN(RADIANS('13_시나리오비교'!$B$14))*COS(RADIANS('13_시나리오비교'!$C$14))+$I846*COS(RADIANS('13_시나리오비교'!$B$14))),0)</f>
        <v/>
      </c>
    </row>
    <row r="847" hidden="1" outlineLevel="1">
      <c r="A847" s="79" t="n">
        <v>9</v>
      </c>
      <c r="B847" s="79" t="n">
        <v>59</v>
      </c>
      <c r="C847" s="80">
        <f>(B847-0.5)*'14_지역·상수'!$H$6</f>
        <v/>
      </c>
      <c r="D847" s="79" t="n">
        <v>258</v>
      </c>
      <c r="E847" s="80">
        <f>INDEX($C$4:$C$15,MATCH(A847,$A$4:$A$15,0))</f>
        <v/>
      </c>
      <c r="F847" s="80">
        <f>15*(C847-12)</f>
        <v/>
      </c>
      <c r="G847" s="80">
        <f>-COS(RADIANS(E847))*SIN(RADIANS(F847))</f>
        <v/>
      </c>
      <c r="H847" s="80">
        <f>COS(RADIANS('11_발전량_모델'!$B$17))*SIN(RADIANS(E847))-SIN(RADIANS('11_발전량_모델'!$B$17))*COS(RADIANS(E847))*COS(RADIANS(F847))</f>
        <v/>
      </c>
      <c r="I847" s="80">
        <f>SIN(RADIANS('11_발전량_모델'!$B$17))*SIN(RADIANS(E847))+COS(RADIANS('11_발전량_모델'!$B$17))*COS(RADIANS(E847))*COS(RADIANS(F847))</f>
        <v/>
      </c>
      <c r="J847" s="80">
        <f>SIN(RADIANS('11_발전량_모델'!$B$7))*SIN(RADIANS('11_발전량_모델'!$B$8))</f>
        <v/>
      </c>
      <c r="K847" s="80">
        <f>SIN(RADIANS('11_발전량_모델'!$B$7))*COS(RADIANS('11_발전량_모델'!$B$8))</f>
        <v/>
      </c>
      <c r="L847" s="80">
        <f>COS(RADIANS('11_발전량_모델'!$B$7))</f>
        <v/>
      </c>
      <c r="M847" s="80">
        <f>G847*J847+H847*K847+I847*L847</f>
        <v/>
      </c>
      <c r="N847" s="80">
        <f>MAX(0,I847)</f>
        <v/>
      </c>
      <c r="O847" s="80">
        <f>IF(I847&gt;0,MAX(0,M847),0)</f>
        <v/>
      </c>
      <c r="P847" s="80">
        <f>IF($I847&gt;0,MAX(0,$G847*SIN(RADIANS('13_시나리오비교'!$B$5))*SIN(RADIANS('13_시나리오비교'!$C$5))+$H847*SIN(RADIANS('13_시나리오비교'!$B$5))*COS(RADIANS('13_시나리오비교'!$C$5))+$I847*COS(RADIANS('13_시나리오비교'!$B$5))),0)</f>
        <v/>
      </c>
      <c r="Q847" s="80">
        <f>IF($I847&gt;0,MAX(0,$G847*SIN(RADIANS('13_시나리오비교'!$B$6))*SIN(RADIANS('13_시나리오비교'!$C$6))+$H847*SIN(RADIANS('13_시나리오비교'!$B$6))*COS(RADIANS('13_시나리오비교'!$C$6))+$I847*COS(RADIANS('13_시나리오비교'!$B$6))),0)</f>
        <v/>
      </c>
      <c r="R847" s="80">
        <f>IF($I847&gt;0,MAX(0,$G847*SIN(RADIANS('13_시나리오비교'!$B$7))*SIN(RADIANS('13_시나리오비교'!$C$7))+$H847*SIN(RADIANS('13_시나리오비교'!$B$7))*COS(RADIANS('13_시나리오비교'!$C$7))+$I847*COS(RADIANS('13_시나리오비교'!$B$7))),0)</f>
        <v/>
      </c>
      <c r="S847" s="80">
        <f>IF($I847&gt;0,MAX(0,$G847*SIN(RADIANS('13_시나리오비교'!$B$8))*SIN(RADIANS('13_시나리오비교'!$C$8))+$H847*SIN(RADIANS('13_시나리오비교'!$B$8))*COS(RADIANS('13_시나리오비교'!$C$8))+$I847*COS(RADIANS('13_시나리오비교'!$B$8))),0)</f>
        <v/>
      </c>
      <c r="T847" s="80">
        <f>IF($I847&gt;0,MAX(0,$G847*SIN(RADIANS('13_시나리오비교'!$B$9))*SIN(RADIANS('13_시나리오비교'!$C$9))+$H847*SIN(RADIANS('13_시나리오비교'!$B$9))*COS(RADIANS('13_시나리오비교'!$C$9))+$I847*COS(RADIANS('13_시나리오비교'!$B$9))),0)</f>
        <v/>
      </c>
      <c r="U847" s="80">
        <f>IF($I847&gt;0,MAX(0,$G847*SIN(RADIANS('13_시나리오비교'!$B$10))*SIN(RADIANS('13_시나리오비교'!$C$10))+$H847*SIN(RADIANS('13_시나리오비교'!$B$10))*COS(RADIANS('13_시나리오비교'!$C$10))+$I847*COS(RADIANS('13_시나리오비교'!$B$10))),0)</f>
        <v/>
      </c>
      <c r="V847" s="80">
        <f>IF($I847&gt;0,MAX(0,$G847*SIN(RADIANS('13_시나리오비교'!$B$11))*SIN(RADIANS('13_시나리오비교'!$C$11))+$H847*SIN(RADIANS('13_시나리오비교'!$B$11))*COS(RADIANS('13_시나리오비교'!$C$11))+$I847*COS(RADIANS('13_시나리오비교'!$B$11))),0)</f>
        <v/>
      </c>
      <c r="W847" s="80">
        <f>IF($I847&gt;0,MAX(0,$G847*SIN(RADIANS('13_시나리오비교'!$B$12))*SIN(RADIANS('13_시나리오비교'!$C$12))+$H847*SIN(RADIANS('13_시나리오비교'!$B$12))*COS(RADIANS('13_시나리오비교'!$C$12))+$I847*COS(RADIANS('13_시나리오비교'!$B$12))),0)</f>
        <v/>
      </c>
      <c r="X847" s="80">
        <f>IF($I847&gt;0,MAX(0,$G847*SIN(RADIANS('13_시나리오비교'!$B$13))*SIN(RADIANS('13_시나리오비교'!$C$13))+$H847*SIN(RADIANS('13_시나리오비교'!$B$13))*COS(RADIANS('13_시나리오비교'!$C$13))+$I847*COS(RADIANS('13_시나리오비교'!$B$13))),0)</f>
        <v/>
      </c>
      <c r="Y847" s="80">
        <f>IF($I847&gt;0,MAX(0,$G847*SIN(RADIANS('13_시나리오비교'!$B$14))*SIN(RADIANS('13_시나리오비교'!$C$14))+$H847*SIN(RADIANS('13_시나리오비교'!$B$14))*COS(RADIANS('13_시나리오비교'!$C$14))+$I847*COS(RADIANS('13_시나리오비교'!$B$14))),0)</f>
        <v/>
      </c>
    </row>
    <row r="848" hidden="1" outlineLevel="1">
      <c r="A848" s="79" t="n">
        <v>9</v>
      </c>
      <c r="B848" s="79" t="n">
        <v>60</v>
      </c>
      <c r="C848" s="80">
        <f>(B848-0.5)*'14_지역·상수'!$H$6</f>
        <v/>
      </c>
      <c r="D848" s="79" t="n">
        <v>258</v>
      </c>
      <c r="E848" s="80">
        <f>INDEX($C$4:$C$15,MATCH(A848,$A$4:$A$15,0))</f>
        <v/>
      </c>
      <c r="F848" s="80">
        <f>15*(C848-12)</f>
        <v/>
      </c>
      <c r="G848" s="80">
        <f>-COS(RADIANS(E848))*SIN(RADIANS(F848))</f>
        <v/>
      </c>
      <c r="H848" s="80">
        <f>COS(RADIANS('11_발전량_모델'!$B$17))*SIN(RADIANS(E848))-SIN(RADIANS('11_발전량_모델'!$B$17))*COS(RADIANS(E848))*COS(RADIANS(F848))</f>
        <v/>
      </c>
      <c r="I848" s="80">
        <f>SIN(RADIANS('11_발전량_모델'!$B$17))*SIN(RADIANS(E848))+COS(RADIANS('11_발전량_모델'!$B$17))*COS(RADIANS(E848))*COS(RADIANS(F848))</f>
        <v/>
      </c>
      <c r="J848" s="80">
        <f>SIN(RADIANS('11_발전량_모델'!$B$7))*SIN(RADIANS('11_발전량_모델'!$B$8))</f>
        <v/>
      </c>
      <c r="K848" s="80">
        <f>SIN(RADIANS('11_발전량_모델'!$B$7))*COS(RADIANS('11_발전량_모델'!$B$8))</f>
        <v/>
      </c>
      <c r="L848" s="80">
        <f>COS(RADIANS('11_발전량_모델'!$B$7))</f>
        <v/>
      </c>
      <c r="M848" s="80">
        <f>G848*J848+H848*K848+I848*L848</f>
        <v/>
      </c>
      <c r="N848" s="80">
        <f>MAX(0,I848)</f>
        <v/>
      </c>
      <c r="O848" s="80">
        <f>IF(I848&gt;0,MAX(0,M848),0)</f>
        <v/>
      </c>
      <c r="P848" s="80">
        <f>IF($I848&gt;0,MAX(0,$G848*SIN(RADIANS('13_시나리오비교'!$B$5))*SIN(RADIANS('13_시나리오비교'!$C$5))+$H848*SIN(RADIANS('13_시나리오비교'!$B$5))*COS(RADIANS('13_시나리오비교'!$C$5))+$I848*COS(RADIANS('13_시나리오비교'!$B$5))),0)</f>
        <v/>
      </c>
      <c r="Q848" s="80">
        <f>IF($I848&gt;0,MAX(0,$G848*SIN(RADIANS('13_시나리오비교'!$B$6))*SIN(RADIANS('13_시나리오비교'!$C$6))+$H848*SIN(RADIANS('13_시나리오비교'!$B$6))*COS(RADIANS('13_시나리오비교'!$C$6))+$I848*COS(RADIANS('13_시나리오비교'!$B$6))),0)</f>
        <v/>
      </c>
      <c r="R848" s="80">
        <f>IF($I848&gt;0,MAX(0,$G848*SIN(RADIANS('13_시나리오비교'!$B$7))*SIN(RADIANS('13_시나리오비교'!$C$7))+$H848*SIN(RADIANS('13_시나리오비교'!$B$7))*COS(RADIANS('13_시나리오비교'!$C$7))+$I848*COS(RADIANS('13_시나리오비교'!$B$7))),0)</f>
        <v/>
      </c>
      <c r="S848" s="80">
        <f>IF($I848&gt;0,MAX(0,$G848*SIN(RADIANS('13_시나리오비교'!$B$8))*SIN(RADIANS('13_시나리오비교'!$C$8))+$H848*SIN(RADIANS('13_시나리오비교'!$B$8))*COS(RADIANS('13_시나리오비교'!$C$8))+$I848*COS(RADIANS('13_시나리오비교'!$B$8))),0)</f>
        <v/>
      </c>
      <c r="T848" s="80">
        <f>IF($I848&gt;0,MAX(0,$G848*SIN(RADIANS('13_시나리오비교'!$B$9))*SIN(RADIANS('13_시나리오비교'!$C$9))+$H848*SIN(RADIANS('13_시나리오비교'!$B$9))*COS(RADIANS('13_시나리오비교'!$C$9))+$I848*COS(RADIANS('13_시나리오비교'!$B$9))),0)</f>
        <v/>
      </c>
      <c r="U848" s="80">
        <f>IF($I848&gt;0,MAX(0,$G848*SIN(RADIANS('13_시나리오비교'!$B$10))*SIN(RADIANS('13_시나리오비교'!$C$10))+$H848*SIN(RADIANS('13_시나리오비교'!$B$10))*COS(RADIANS('13_시나리오비교'!$C$10))+$I848*COS(RADIANS('13_시나리오비교'!$B$10))),0)</f>
        <v/>
      </c>
      <c r="V848" s="80">
        <f>IF($I848&gt;0,MAX(0,$G848*SIN(RADIANS('13_시나리오비교'!$B$11))*SIN(RADIANS('13_시나리오비교'!$C$11))+$H848*SIN(RADIANS('13_시나리오비교'!$B$11))*COS(RADIANS('13_시나리오비교'!$C$11))+$I848*COS(RADIANS('13_시나리오비교'!$B$11))),0)</f>
        <v/>
      </c>
      <c r="W848" s="80">
        <f>IF($I848&gt;0,MAX(0,$G848*SIN(RADIANS('13_시나리오비교'!$B$12))*SIN(RADIANS('13_시나리오비교'!$C$12))+$H848*SIN(RADIANS('13_시나리오비교'!$B$12))*COS(RADIANS('13_시나리오비교'!$C$12))+$I848*COS(RADIANS('13_시나리오비교'!$B$12))),0)</f>
        <v/>
      </c>
      <c r="X848" s="80">
        <f>IF($I848&gt;0,MAX(0,$G848*SIN(RADIANS('13_시나리오비교'!$B$13))*SIN(RADIANS('13_시나리오비교'!$C$13))+$H848*SIN(RADIANS('13_시나리오비교'!$B$13))*COS(RADIANS('13_시나리오비교'!$C$13))+$I848*COS(RADIANS('13_시나리오비교'!$B$13))),0)</f>
        <v/>
      </c>
      <c r="Y848" s="80">
        <f>IF($I848&gt;0,MAX(0,$G848*SIN(RADIANS('13_시나리오비교'!$B$14))*SIN(RADIANS('13_시나리오비교'!$C$14))+$H848*SIN(RADIANS('13_시나리오비교'!$B$14))*COS(RADIANS('13_시나리오비교'!$C$14))+$I848*COS(RADIANS('13_시나리오비교'!$B$14))),0)</f>
        <v/>
      </c>
    </row>
    <row r="849" hidden="1" outlineLevel="1">
      <c r="A849" s="79" t="n">
        <v>9</v>
      </c>
      <c r="B849" s="79" t="n">
        <v>61</v>
      </c>
      <c r="C849" s="80">
        <f>(B849-0.5)*'14_지역·상수'!$H$6</f>
        <v/>
      </c>
      <c r="D849" s="79" t="n">
        <v>258</v>
      </c>
      <c r="E849" s="80">
        <f>INDEX($C$4:$C$15,MATCH(A849,$A$4:$A$15,0))</f>
        <v/>
      </c>
      <c r="F849" s="80">
        <f>15*(C849-12)</f>
        <v/>
      </c>
      <c r="G849" s="80">
        <f>-COS(RADIANS(E849))*SIN(RADIANS(F849))</f>
        <v/>
      </c>
      <c r="H849" s="80">
        <f>COS(RADIANS('11_발전량_모델'!$B$17))*SIN(RADIANS(E849))-SIN(RADIANS('11_발전량_모델'!$B$17))*COS(RADIANS(E849))*COS(RADIANS(F849))</f>
        <v/>
      </c>
      <c r="I849" s="80">
        <f>SIN(RADIANS('11_발전량_모델'!$B$17))*SIN(RADIANS(E849))+COS(RADIANS('11_발전량_모델'!$B$17))*COS(RADIANS(E849))*COS(RADIANS(F849))</f>
        <v/>
      </c>
      <c r="J849" s="80">
        <f>SIN(RADIANS('11_발전량_모델'!$B$7))*SIN(RADIANS('11_발전량_모델'!$B$8))</f>
        <v/>
      </c>
      <c r="K849" s="80">
        <f>SIN(RADIANS('11_발전량_모델'!$B$7))*COS(RADIANS('11_발전량_모델'!$B$8))</f>
        <v/>
      </c>
      <c r="L849" s="80">
        <f>COS(RADIANS('11_발전량_모델'!$B$7))</f>
        <v/>
      </c>
      <c r="M849" s="80">
        <f>G849*J849+H849*K849+I849*L849</f>
        <v/>
      </c>
      <c r="N849" s="80">
        <f>MAX(0,I849)</f>
        <v/>
      </c>
      <c r="O849" s="80">
        <f>IF(I849&gt;0,MAX(0,M849),0)</f>
        <v/>
      </c>
      <c r="P849" s="80">
        <f>IF($I849&gt;0,MAX(0,$G849*SIN(RADIANS('13_시나리오비교'!$B$5))*SIN(RADIANS('13_시나리오비교'!$C$5))+$H849*SIN(RADIANS('13_시나리오비교'!$B$5))*COS(RADIANS('13_시나리오비교'!$C$5))+$I849*COS(RADIANS('13_시나리오비교'!$B$5))),0)</f>
        <v/>
      </c>
      <c r="Q849" s="80">
        <f>IF($I849&gt;0,MAX(0,$G849*SIN(RADIANS('13_시나리오비교'!$B$6))*SIN(RADIANS('13_시나리오비교'!$C$6))+$H849*SIN(RADIANS('13_시나리오비교'!$B$6))*COS(RADIANS('13_시나리오비교'!$C$6))+$I849*COS(RADIANS('13_시나리오비교'!$B$6))),0)</f>
        <v/>
      </c>
      <c r="R849" s="80">
        <f>IF($I849&gt;0,MAX(0,$G849*SIN(RADIANS('13_시나리오비교'!$B$7))*SIN(RADIANS('13_시나리오비교'!$C$7))+$H849*SIN(RADIANS('13_시나리오비교'!$B$7))*COS(RADIANS('13_시나리오비교'!$C$7))+$I849*COS(RADIANS('13_시나리오비교'!$B$7))),0)</f>
        <v/>
      </c>
      <c r="S849" s="80">
        <f>IF($I849&gt;0,MAX(0,$G849*SIN(RADIANS('13_시나리오비교'!$B$8))*SIN(RADIANS('13_시나리오비교'!$C$8))+$H849*SIN(RADIANS('13_시나리오비교'!$B$8))*COS(RADIANS('13_시나리오비교'!$C$8))+$I849*COS(RADIANS('13_시나리오비교'!$B$8))),0)</f>
        <v/>
      </c>
      <c r="T849" s="80">
        <f>IF($I849&gt;0,MAX(0,$G849*SIN(RADIANS('13_시나리오비교'!$B$9))*SIN(RADIANS('13_시나리오비교'!$C$9))+$H849*SIN(RADIANS('13_시나리오비교'!$B$9))*COS(RADIANS('13_시나리오비교'!$C$9))+$I849*COS(RADIANS('13_시나리오비교'!$B$9))),0)</f>
        <v/>
      </c>
      <c r="U849" s="80">
        <f>IF($I849&gt;0,MAX(0,$G849*SIN(RADIANS('13_시나리오비교'!$B$10))*SIN(RADIANS('13_시나리오비교'!$C$10))+$H849*SIN(RADIANS('13_시나리오비교'!$B$10))*COS(RADIANS('13_시나리오비교'!$C$10))+$I849*COS(RADIANS('13_시나리오비교'!$B$10))),0)</f>
        <v/>
      </c>
      <c r="V849" s="80">
        <f>IF($I849&gt;0,MAX(0,$G849*SIN(RADIANS('13_시나리오비교'!$B$11))*SIN(RADIANS('13_시나리오비교'!$C$11))+$H849*SIN(RADIANS('13_시나리오비교'!$B$11))*COS(RADIANS('13_시나리오비교'!$C$11))+$I849*COS(RADIANS('13_시나리오비교'!$B$11))),0)</f>
        <v/>
      </c>
      <c r="W849" s="80">
        <f>IF($I849&gt;0,MAX(0,$G849*SIN(RADIANS('13_시나리오비교'!$B$12))*SIN(RADIANS('13_시나리오비교'!$C$12))+$H849*SIN(RADIANS('13_시나리오비교'!$B$12))*COS(RADIANS('13_시나리오비교'!$C$12))+$I849*COS(RADIANS('13_시나리오비교'!$B$12))),0)</f>
        <v/>
      </c>
      <c r="X849" s="80">
        <f>IF($I849&gt;0,MAX(0,$G849*SIN(RADIANS('13_시나리오비교'!$B$13))*SIN(RADIANS('13_시나리오비교'!$C$13))+$H849*SIN(RADIANS('13_시나리오비교'!$B$13))*COS(RADIANS('13_시나리오비교'!$C$13))+$I849*COS(RADIANS('13_시나리오비교'!$B$13))),0)</f>
        <v/>
      </c>
      <c r="Y849" s="80">
        <f>IF($I849&gt;0,MAX(0,$G849*SIN(RADIANS('13_시나리오비교'!$B$14))*SIN(RADIANS('13_시나리오비교'!$C$14))+$H849*SIN(RADIANS('13_시나리오비교'!$B$14))*COS(RADIANS('13_시나리오비교'!$C$14))+$I849*COS(RADIANS('13_시나리오비교'!$B$14))),0)</f>
        <v/>
      </c>
    </row>
    <row r="850" hidden="1" outlineLevel="1">
      <c r="A850" s="79" t="n">
        <v>9</v>
      </c>
      <c r="B850" s="79" t="n">
        <v>62</v>
      </c>
      <c r="C850" s="80">
        <f>(B850-0.5)*'14_지역·상수'!$H$6</f>
        <v/>
      </c>
      <c r="D850" s="79" t="n">
        <v>258</v>
      </c>
      <c r="E850" s="80">
        <f>INDEX($C$4:$C$15,MATCH(A850,$A$4:$A$15,0))</f>
        <v/>
      </c>
      <c r="F850" s="80">
        <f>15*(C850-12)</f>
        <v/>
      </c>
      <c r="G850" s="80">
        <f>-COS(RADIANS(E850))*SIN(RADIANS(F850))</f>
        <v/>
      </c>
      <c r="H850" s="80">
        <f>COS(RADIANS('11_발전량_모델'!$B$17))*SIN(RADIANS(E850))-SIN(RADIANS('11_발전량_모델'!$B$17))*COS(RADIANS(E850))*COS(RADIANS(F850))</f>
        <v/>
      </c>
      <c r="I850" s="80">
        <f>SIN(RADIANS('11_발전량_모델'!$B$17))*SIN(RADIANS(E850))+COS(RADIANS('11_발전량_모델'!$B$17))*COS(RADIANS(E850))*COS(RADIANS(F850))</f>
        <v/>
      </c>
      <c r="J850" s="80">
        <f>SIN(RADIANS('11_발전량_모델'!$B$7))*SIN(RADIANS('11_발전량_모델'!$B$8))</f>
        <v/>
      </c>
      <c r="K850" s="80">
        <f>SIN(RADIANS('11_발전량_모델'!$B$7))*COS(RADIANS('11_발전량_모델'!$B$8))</f>
        <v/>
      </c>
      <c r="L850" s="80">
        <f>COS(RADIANS('11_발전량_모델'!$B$7))</f>
        <v/>
      </c>
      <c r="M850" s="80">
        <f>G850*J850+H850*K850+I850*L850</f>
        <v/>
      </c>
      <c r="N850" s="80">
        <f>MAX(0,I850)</f>
        <v/>
      </c>
      <c r="O850" s="80">
        <f>IF(I850&gt;0,MAX(0,M850),0)</f>
        <v/>
      </c>
      <c r="P850" s="80">
        <f>IF($I850&gt;0,MAX(0,$G850*SIN(RADIANS('13_시나리오비교'!$B$5))*SIN(RADIANS('13_시나리오비교'!$C$5))+$H850*SIN(RADIANS('13_시나리오비교'!$B$5))*COS(RADIANS('13_시나리오비교'!$C$5))+$I850*COS(RADIANS('13_시나리오비교'!$B$5))),0)</f>
        <v/>
      </c>
      <c r="Q850" s="80">
        <f>IF($I850&gt;0,MAX(0,$G850*SIN(RADIANS('13_시나리오비교'!$B$6))*SIN(RADIANS('13_시나리오비교'!$C$6))+$H850*SIN(RADIANS('13_시나리오비교'!$B$6))*COS(RADIANS('13_시나리오비교'!$C$6))+$I850*COS(RADIANS('13_시나리오비교'!$B$6))),0)</f>
        <v/>
      </c>
      <c r="R850" s="80">
        <f>IF($I850&gt;0,MAX(0,$G850*SIN(RADIANS('13_시나리오비교'!$B$7))*SIN(RADIANS('13_시나리오비교'!$C$7))+$H850*SIN(RADIANS('13_시나리오비교'!$B$7))*COS(RADIANS('13_시나리오비교'!$C$7))+$I850*COS(RADIANS('13_시나리오비교'!$B$7))),0)</f>
        <v/>
      </c>
      <c r="S850" s="80">
        <f>IF($I850&gt;0,MAX(0,$G850*SIN(RADIANS('13_시나리오비교'!$B$8))*SIN(RADIANS('13_시나리오비교'!$C$8))+$H850*SIN(RADIANS('13_시나리오비교'!$B$8))*COS(RADIANS('13_시나리오비교'!$C$8))+$I850*COS(RADIANS('13_시나리오비교'!$B$8))),0)</f>
        <v/>
      </c>
      <c r="T850" s="80">
        <f>IF($I850&gt;0,MAX(0,$G850*SIN(RADIANS('13_시나리오비교'!$B$9))*SIN(RADIANS('13_시나리오비교'!$C$9))+$H850*SIN(RADIANS('13_시나리오비교'!$B$9))*COS(RADIANS('13_시나리오비교'!$C$9))+$I850*COS(RADIANS('13_시나리오비교'!$B$9))),0)</f>
        <v/>
      </c>
      <c r="U850" s="80">
        <f>IF($I850&gt;0,MAX(0,$G850*SIN(RADIANS('13_시나리오비교'!$B$10))*SIN(RADIANS('13_시나리오비교'!$C$10))+$H850*SIN(RADIANS('13_시나리오비교'!$B$10))*COS(RADIANS('13_시나리오비교'!$C$10))+$I850*COS(RADIANS('13_시나리오비교'!$B$10))),0)</f>
        <v/>
      </c>
      <c r="V850" s="80">
        <f>IF($I850&gt;0,MAX(0,$G850*SIN(RADIANS('13_시나리오비교'!$B$11))*SIN(RADIANS('13_시나리오비교'!$C$11))+$H850*SIN(RADIANS('13_시나리오비교'!$B$11))*COS(RADIANS('13_시나리오비교'!$C$11))+$I850*COS(RADIANS('13_시나리오비교'!$B$11))),0)</f>
        <v/>
      </c>
      <c r="W850" s="80">
        <f>IF($I850&gt;0,MAX(0,$G850*SIN(RADIANS('13_시나리오비교'!$B$12))*SIN(RADIANS('13_시나리오비교'!$C$12))+$H850*SIN(RADIANS('13_시나리오비교'!$B$12))*COS(RADIANS('13_시나리오비교'!$C$12))+$I850*COS(RADIANS('13_시나리오비교'!$B$12))),0)</f>
        <v/>
      </c>
      <c r="X850" s="80">
        <f>IF($I850&gt;0,MAX(0,$G850*SIN(RADIANS('13_시나리오비교'!$B$13))*SIN(RADIANS('13_시나리오비교'!$C$13))+$H850*SIN(RADIANS('13_시나리오비교'!$B$13))*COS(RADIANS('13_시나리오비교'!$C$13))+$I850*COS(RADIANS('13_시나리오비교'!$B$13))),0)</f>
        <v/>
      </c>
      <c r="Y850" s="80">
        <f>IF($I850&gt;0,MAX(0,$G850*SIN(RADIANS('13_시나리오비교'!$B$14))*SIN(RADIANS('13_시나리오비교'!$C$14))+$H850*SIN(RADIANS('13_시나리오비교'!$B$14))*COS(RADIANS('13_시나리오비교'!$C$14))+$I850*COS(RADIANS('13_시나리오비교'!$B$14))),0)</f>
        <v/>
      </c>
    </row>
    <row r="851" hidden="1" outlineLevel="1">
      <c r="A851" s="79" t="n">
        <v>9</v>
      </c>
      <c r="B851" s="79" t="n">
        <v>63</v>
      </c>
      <c r="C851" s="80">
        <f>(B851-0.5)*'14_지역·상수'!$H$6</f>
        <v/>
      </c>
      <c r="D851" s="79" t="n">
        <v>258</v>
      </c>
      <c r="E851" s="80">
        <f>INDEX($C$4:$C$15,MATCH(A851,$A$4:$A$15,0))</f>
        <v/>
      </c>
      <c r="F851" s="80">
        <f>15*(C851-12)</f>
        <v/>
      </c>
      <c r="G851" s="80">
        <f>-COS(RADIANS(E851))*SIN(RADIANS(F851))</f>
        <v/>
      </c>
      <c r="H851" s="80">
        <f>COS(RADIANS('11_발전량_모델'!$B$17))*SIN(RADIANS(E851))-SIN(RADIANS('11_발전량_모델'!$B$17))*COS(RADIANS(E851))*COS(RADIANS(F851))</f>
        <v/>
      </c>
      <c r="I851" s="80">
        <f>SIN(RADIANS('11_발전량_모델'!$B$17))*SIN(RADIANS(E851))+COS(RADIANS('11_발전량_모델'!$B$17))*COS(RADIANS(E851))*COS(RADIANS(F851))</f>
        <v/>
      </c>
      <c r="J851" s="80">
        <f>SIN(RADIANS('11_발전량_모델'!$B$7))*SIN(RADIANS('11_발전량_모델'!$B$8))</f>
        <v/>
      </c>
      <c r="K851" s="80">
        <f>SIN(RADIANS('11_발전량_모델'!$B$7))*COS(RADIANS('11_발전량_모델'!$B$8))</f>
        <v/>
      </c>
      <c r="L851" s="80">
        <f>COS(RADIANS('11_발전량_모델'!$B$7))</f>
        <v/>
      </c>
      <c r="M851" s="80">
        <f>G851*J851+H851*K851+I851*L851</f>
        <v/>
      </c>
      <c r="N851" s="80">
        <f>MAX(0,I851)</f>
        <v/>
      </c>
      <c r="O851" s="80">
        <f>IF(I851&gt;0,MAX(0,M851),0)</f>
        <v/>
      </c>
      <c r="P851" s="80">
        <f>IF($I851&gt;0,MAX(0,$G851*SIN(RADIANS('13_시나리오비교'!$B$5))*SIN(RADIANS('13_시나리오비교'!$C$5))+$H851*SIN(RADIANS('13_시나리오비교'!$B$5))*COS(RADIANS('13_시나리오비교'!$C$5))+$I851*COS(RADIANS('13_시나리오비교'!$B$5))),0)</f>
        <v/>
      </c>
      <c r="Q851" s="80">
        <f>IF($I851&gt;0,MAX(0,$G851*SIN(RADIANS('13_시나리오비교'!$B$6))*SIN(RADIANS('13_시나리오비교'!$C$6))+$H851*SIN(RADIANS('13_시나리오비교'!$B$6))*COS(RADIANS('13_시나리오비교'!$C$6))+$I851*COS(RADIANS('13_시나리오비교'!$B$6))),0)</f>
        <v/>
      </c>
      <c r="R851" s="80">
        <f>IF($I851&gt;0,MAX(0,$G851*SIN(RADIANS('13_시나리오비교'!$B$7))*SIN(RADIANS('13_시나리오비교'!$C$7))+$H851*SIN(RADIANS('13_시나리오비교'!$B$7))*COS(RADIANS('13_시나리오비교'!$C$7))+$I851*COS(RADIANS('13_시나리오비교'!$B$7))),0)</f>
        <v/>
      </c>
      <c r="S851" s="80">
        <f>IF($I851&gt;0,MAX(0,$G851*SIN(RADIANS('13_시나리오비교'!$B$8))*SIN(RADIANS('13_시나리오비교'!$C$8))+$H851*SIN(RADIANS('13_시나리오비교'!$B$8))*COS(RADIANS('13_시나리오비교'!$C$8))+$I851*COS(RADIANS('13_시나리오비교'!$B$8))),0)</f>
        <v/>
      </c>
      <c r="T851" s="80">
        <f>IF($I851&gt;0,MAX(0,$G851*SIN(RADIANS('13_시나리오비교'!$B$9))*SIN(RADIANS('13_시나리오비교'!$C$9))+$H851*SIN(RADIANS('13_시나리오비교'!$B$9))*COS(RADIANS('13_시나리오비교'!$C$9))+$I851*COS(RADIANS('13_시나리오비교'!$B$9))),0)</f>
        <v/>
      </c>
      <c r="U851" s="80">
        <f>IF($I851&gt;0,MAX(0,$G851*SIN(RADIANS('13_시나리오비교'!$B$10))*SIN(RADIANS('13_시나리오비교'!$C$10))+$H851*SIN(RADIANS('13_시나리오비교'!$B$10))*COS(RADIANS('13_시나리오비교'!$C$10))+$I851*COS(RADIANS('13_시나리오비교'!$B$10))),0)</f>
        <v/>
      </c>
      <c r="V851" s="80">
        <f>IF($I851&gt;0,MAX(0,$G851*SIN(RADIANS('13_시나리오비교'!$B$11))*SIN(RADIANS('13_시나리오비교'!$C$11))+$H851*SIN(RADIANS('13_시나리오비교'!$B$11))*COS(RADIANS('13_시나리오비교'!$C$11))+$I851*COS(RADIANS('13_시나리오비교'!$B$11))),0)</f>
        <v/>
      </c>
      <c r="W851" s="80">
        <f>IF($I851&gt;0,MAX(0,$G851*SIN(RADIANS('13_시나리오비교'!$B$12))*SIN(RADIANS('13_시나리오비교'!$C$12))+$H851*SIN(RADIANS('13_시나리오비교'!$B$12))*COS(RADIANS('13_시나리오비교'!$C$12))+$I851*COS(RADIANS('13_시나리오비교'!$B$12))),0)</f>
        <v/>
      </c>
      <c r="X851" s="80">
        <f>IF($I851&gt;0,MAX(0,$G851*SIN(RADIANS('13_시나리오비교'!$B$13))*SIN(RADIANS('13_시나리오비교'!$C$13))+$H851*SIN(RADIANS('13_시나리오비교'!$B$13))*COS(RADIANS('13_시나리오비교'!$C$13))+$I851*COS(RADIANS('13_시나리오비교'!$B$13))),0)</f>
        <v/>
      </c>
      <c r="Y851" s="80">
        <f>IF($I851&gt;0,MAX(0,$G851*SIN(RADIANS('13_시나리오비교'!$B$14))*SIN(RADIANS('13_시나리오비교'!$C$14))+$H851*SIN(RADIANS('13_시나리오비교'!$B$14))*COS(RADIANS('13_시나리오비교'!$C$14))+$I851*COS(RADIANS('13_시나리오비교'!$B$14))),0)</f>
        <v/>
      </c>
    </row>
    <row r="852" hidden="1" outlineLevel="1">
      <c r="A852" s="79" t="n">
        <v>9</v>
      </c>
      <c r="B852" s="79" t="n">
        <v>64</v>
      </c>
      <c r="C852" s="80">
        <f>(B852-0.5)*'14_지역·상수'!$H$6</f>
        <v/>
      </c>
      <c r="D852" s="79" t="n">
        <v>258</v>
      </c>
      <c r="E852" s="80">
        <f>INDEX($C$4:$C$15,MATCH(A852,$A$4:$A$15,0))</f>
        <v/>
      </c>
      <c r="F852" s="80">
        <f>15*(C852-12)</f>
        <v/>
      </c>
      <c r="G852" s="80">
        <f>-COS(RADIANS(E852))*SIN(RADIANS(F852))</f>
        <v/>
      </c>
      <c r="H852" s="80">
        <f>COS(RADIANS('11_발전량_모델'!$B$17))*SIN(RADIANS(E852))-SIN(RADIANS('11_발전량_모델'!$B$17))*COS(RADIANS(E852))*COS(RADIANS(F852))</f>
        <v/>
      </c>
      <c r="I852" s="80">
        <f>SIN(RADIANS('11_발전량_모델'!$B$17))*SIN(RADIANS(E852))+COS(RADIANS('11_발전량_모델'!$B$17))*COS(RADIANS(E852))*COS(RADIANS(F852))</f>
        <v/>
      </c>
      <c r="J852" s="80">
        <f>SIN(RADIANS('11_발전량_모델'!$B$7))*SIN(RADIANS('11_발전량_모델'!$B$8))</f>
        <v/>
      </c>
      <c r="K852" s="80">
        <f>SIN(RADIANS('11_발전량_모델'!$B$7))*COS(RADIANS('11_발전량_모델'!$B$8))</f>
        <v/>
      </c>
      <c r="L852" s="80">
        <f>COS(RADIANS('11_발전량_모델'!$B$7))</f>
        <v/>
      </c>
      <c r="M852" s="80">
        <f>G852*J852+H852*K852+I852*L852</f>
        <v/>
      </c>
      <c r="N852" s="80">
        <f>MAX(0,I852)</f>
        <v/>
      </c>
      <c r="O852" s="80">
        <f>IF(I852&gt;0,MAX(0,M852),0)</f>
        <v/>
      </c>
      <c r="P852" s="80">
        <f>IF($I852&gt;0,MAX(0,$G852*SIN(RADIANS('13_시나리오비교'!$B$5))*SIN(RADIANS('13_시나리오비교'!$C$5))+$H852*SIN(RADIANS('13_시나리오비교'!$B$5))*COS(RADIANS('13_시나리오비교'!$C$5))+$I852*COS(RADIANS('13_시나리오비교'!$B$5))),0)</f>
        <v/>
      </c>
      <c r="Q852" s="80">
        <f>IF($I852&gt;0,MAX(0,$G852*SIN(RADIANS('13_시나리오비교'!$B$6))*SIN(RADIANS('13_시나리오비교'!$C$6))+$H852*SIN(RADIANS('13_시나리오비교'!$B$6))*COS(RADIANS('13_시나리오비교'!$C$6))+$I852*COS(RADIANS('13_시나리오비교'!$B$6))),0)</f>
        <v/>
      </c>
      <c r="R852" s="80">
        <f>IF($I852&gt;0,MAX(0,$G852*SIN(RADIANS('13_시나리오비교'!$B$7))*SIN(RADIANS('13_시나리오비교'!$C$7))+$H852*SIN(RADIANS('13_시나리오비교'!$B$7))*COS(RADIANS('13_시나리오비교'!$C$7))+$I852*COS(RADIANS('13_시나리오비교'!$B$7))),0)</f>
        <v/>
      </c>
      <c r="S852" s="80">
        <f>IF($I852&gt;0,MAX(0,$G852*SIN(RADIANS('13_시나리오비교'!$B$8))*SIN(RADIANS('13_시나리오비교'!$C$8))+$H852*SIN(RADIANS('13_시나리오비교'!$B$8))*COS(RADIANS('13_시나리오비교'!$C$8))+$I852*COS(RADIANS('13_시나리오비교'!$B$8))),0)</f>
        <v/>
      </c>
      <c r="T852" s="80">
        <f>IF($I852&gt;0,MAX(0,$G852*SIN(RADIANS('13_시나리오비교'!$B$9))*SIN(RADIANS('13_시나리오비교'!$C$9))+$H852*SIN(RADIANS('13_시나리오비교'!$B$9))*COS(RADIANS('13_시나리오비교'!$C$9))+$I852*COS(RADIANS('13_시나리오비교'!$B$9))),0)</f>
        <v/>
      </c>
      <c r="U852" s="80">
        <f>IF($I852&gt;0,MAX(0,$G852*SIN(RADIANS('13_시나리오비교'!$B$10))*SIN(RADIANS('13_시나리오비교'!$C$10))+$H852*SIN(RADIANS('13_시나리오비교'!$B$10))*COS(RADIANS('13_시나리오비교'!$C$10))+$I852*COS(RADIANS('13_시나리오비교'!$B$10))),0)</f>
        <v/>
      </c>
      <c r="V852" s="80">
        <f>IF($I852&gt;0,MAX(0,$G852*SIN(RADIANS('13_시나리오비교'!$B$11))*SIN(RADIANS('13_시나리오비교'!$C$11))+$H852*SIN(RADIANS('13_시나리오비교'!$B$11))*COS(RADIANS('13_시나리오비교'!$C$11))+$I852*COS(RADIANS('13_시나리오비교'!$B$11))),0)</f>
        <v/>
      </c>
      <c r="W852" s="80">
        <f>IF($I852&gt;0,MAX(0,$G852*SIN(RADIANS('13_시나리오비교'!$B$12))*SIN(RADIANS('13_시나리오비교'!$C$12))+$H852*SIN(RADIANS('13_시나리오비교'!$B$12))*COS(RADIANS('13_시나리오비교'!$C$12))+$I852*COS(RADIANS('13_시나리오비교'!$B$12))),0)</f>
        <v/>
      </c>
      <c r="X852" s="80">
        <f>IF($I852&gt;0,MAX(0,$G852*SIN(RADIANS('13_시나리오비교'!$B$13))*SIN(RADIANS('13_시나리오비교'!$C$13))+$H852*SIN(RADIANS('13_시나리오비교'!$B$13))*COS(RADIANS('13_시나리오비교'!$C$13))+$I852*COS(RADIANS('13_시나리오비교'!$B$13))),0)</f>
        <v/>
      </c>
      <c r="Y852" s="80">
        <f>IF($I852&gt;0,MAX(0,$G852*SIN(RADIANS('13_시나리오비교'!$B$14))*SIN(RADIANS('13_시나리오비교'!$C$14))+$H852*SIN(RADIANS('13_시나리오비교'!$B$14))*COS(RADIANS('13_시나리오비교'!$C$14))+$I852*COS(RADIANS('13_시나리오비교'!$B$14))),0)</f>
        <v/>
      </c>
    </row>
    <row r="853" hidden="1" outlineLevel="1">
      <c r="A853" s="79" t="n">
        <v>9</v>
      </c>
      <c r="B853" s="79" t="n">
        <v>65</v>
      </c>
      <c r="C853" s="80">
        <f>(B853-0.5)*'14_지역·상수'!$H$6</f>
        <v/>
      </c>
      <c r="D853" s="79" t="n">
        <v>258</v>
      </c>
      <c r="E853" s="80">
        <f>INDEX($C$4:$C$15,MATCH(A853,$A$4:$A$15,0))</f>
        <v/>
      </c>
      <c r="F853" s="80">
        <f>15*(C853-12)</f>
        <v/>
      </c>
      <c r="G853" s="80">
        <f>-COS(RADIANS(E853))*SIN(RADIANS(F853))</f>
        <v/>
      </c>
      <c r="H853" s="80">
        <f>COS(RADIANS('11_발전량_모델'!$B$17))*SIN(RADIANS(E853))-SIN(RADIANS('11_발전량_모델'!$B$17))*COS(RADIANS(E853))*COS(RADIANS(F853))</f>
        <v/>
      </c>
      <c r="I853" s="80">
        <f>SIN(RADIANS('11_발전량_모델'!$B$17))*SIN(RADIANS(E853))+COS(RADIANS('11_발전량_모델'!$B$17))*COS(RADIANS(E853))*COS(RADIANS(F853))</f>
        <v/>
      </c>
      <c r="J853" s="80">
        <f>SIN(RADIANS('11_발전량_모델'!$B$7))*SIN(RADIANS('11_발전량_모델'!$B$8))</f>
        <v/>
      </c>
      <c r="K853" s="80">
        <f>SIN(RADIANS('11_발전량_모델'!$B$7))*COS(RADIANS('11_발전량_모델'!$B$8))</f>
        <v/>
      </c>
      <c r="L853" s="80">
        <f>COS(RADIANS('11_발전량_모델'!$B$7))</f>
        <v/>
      </c>
      <c r="M853" s="80">
        <f>G853*J853+H853*K853+I853*L853</f>
        <v/>
      </c>
      <c r="N853" s="80">
        <f>MAX(0,I853)</f>
        <v/>
      </c>
      <c r="O853" s="80">
        <f>IF(I853&gt;0,MAX(0,M853),0)</f>
        <v/>
      </c>
      <c r="P853" s="80">
        <f>IF($I853&gt;0,MAX(0,$G853*SIN(RADIANS('13_시나리오비교'!$B$5))*SIN(RADIANS('13_시나리오비교'!$C$5))+$H853*SIN(RADIANS('13_시나리오비교'!$B$5))*COS(RADIANS('13_시나리오비교'!$C$5))+$I853*COS(RADIANS('13_시나리오비교'!$B$5))),0)</f>
        <v/>
      </c>
      <c r="Q853" s="80">
        <f>IF($I853&gt;0,MAX(0,$G853*SIN(RADIANS('13_시나리오비교'!$B$6))*SIN(RADIANS('13_시나리오비교'!$C$6))+$H853*SIN(RADIANS('13_시나리오비교'!$B$6))*COS(RADIANS('13_시나리오비교'!$C$6))+$I853*COS(RADIANS('13_시나리오비교'!$B$6))),0)</f>
        <v/>
      </c>
      <c r="R853" s="80">
        <f>IF($I853&gt;0,MAX(0,$G853*SIN(RADIANS('13_시나리오비교'!$B$7))*SIN(RADIANS('13_시나리오비교'!$C$7))+$H853*SIN(RADIANS('13_시나리오비교'!$B$7))*COS(RADIANS('13_시나리오비교'!$C$7))+$I853*COS(RADIANS('13_시나리오비교'!$B$7))),0)</f>
        <v/>
      </c>
      <c r="S853" s="80">
        <f>IF($I853&gt;0,MAX(0,$G853*SIN(RADIANS('13_시나리오비교'!$B$8))*SIN(RADIANS('13_시나리오비교'!$C$8))+$H853*SIN(RADIANS('13_시나리오비교'!$B$8))*COS(RADIANS('13_시나리오비교'!$C$8))+$I853*COS(RADIANS('13_시나리오비교'!$B$8))),0)</f>
        <v/>
      </c>
      <c r="T853" s="80">
        <f>IF($I853&gt;0,MAX(0,$G853*SIN(RADIANS('13_시나리오비교'!$B$9))*SIN(RADIANS('13_시나리오비교'!$C$9))+$H853*SIN(RADIANS('13_시나리오비교'!$B$9))*COS(RADIANS('13_시나리오비교'!$C$9))+$I853*COS(RADIANS('13_시나리오비교'!$B$9))),0)</f>
        <v/>
      </c>
      <c r="U853" s="80">
        <f>IF($I853&gt;0,MAX(0,$G853*SIN(RADIANS('13_시나리오비교'!$B$10))*SIN(RADIANS('13_시나리오비교'!$C$10))+$H853*SIN(RADIANS('13_시나리오비교'!$B$10))*COS(RADIANS('13_시나리오비교'!$C$10))+$I853*COS(RADIANS('13_시나리오비교'!$B$10))),0)</f>
        <v/>
      </c>
      <c r="V853" s="80">
        <f>IF($I853&gt;0,MAX(0,$G853*SIN(RADIANS('13_시나리오비교'!$B$11))*SIN(RADIANS('13_시나리오비교'!$C$11))+$H853*SIN(RADIANS('13_시나리오비교'!$B$11))*COS(RADIANS('13_시나리오비교'!$C$11))+$I853*COS(RADIANS('13_시나리오비교'!$B$11))),0)</f>
        <v/>
      </c>
      <c r="W853" s="80">
        <f>IF($I853&gt;0,MAX(0,$G853*SIN(RADIANS('13_시나리오비교'!$B$12))*SIN(RADIANS('13_시나리오비교'!$C$12))+$H853*SIN(RADIANS('13_시나리오비교'!$B$12))*COS(RADIANS('13_시나리오비교'!$C$12))+$I853*COS(RADIANS('13_시나리오비교'!$B$12))),0)</f>
        <v/>
      </c>
      <c r="X853" s="80">
        <f>IF($I853&gt;0,MAX(0,$G853*SIN(RADIANS('13_시나리오비교'!$B$13))*SIN(RADIANS('13_시나리오비교'!$C$13))+$H853*SIN(RADIANS('13_시나리오비교'!$B$13))*COS(RADIANS('13_시나리오비교'!$C$13))+$I853*COS(RADIANS('13_시나리오비교'!$B$13))),0)</f>
        <v/>
      </c>
      <c r="Y853" s="80">
        <f>IF($I853&gt;0,MAX(0,$G853*SIN(RADIANS('13_시나리오비교'!$B$14))*SIN(RADIANS('13_시나리오비교'!$C$14))+$H853*SIN(RADIANS('13_시나리오비교'!$B$14))*COS(RADIANS('13_시나리오비교'!$C$14))+$I853*COS(RADIANS('13_시나리오비교'!$B$14))),0)</f>
        <v/>
      </c>
    </row>
    <row r="854" hidden="1" outlineLevel="1">
      <c r="A854" s="79" t="n">
        <v>9</v>
      </c>
      <c r="B854" s="79" t="n">
        <v>66</v>
      </c>
      <c r="C854" s="80">
        <f>(B854-0.5)*'14_지역·상수'!$H$6</f>
        <v/>
      </c>
      <c r="D854" s="79" t="n">
        <v>258</v>
      </c>
      <c r="E854" s="80">
        <f>INDEX($C$4:$C$15,MATCH(A854,$A$4:$A$15,0))</f>
        <v/>
      </c>
      <c r="F854" s="80">
        <f>15*(C854-12)</f>
        <v/>
      </c>
      <c r="G854" s="80">
        <f>-COS(RADIANS(E854))*SIN(RADIANS(F854))</f>
        <v/>
      </c>
      <c r="H854" s="80">
        <f>COS(RADIANS('11_발전량_모델'!$B$17))*SIN(RADIANS(E854))-SIN(RADIANS('11_발전량_모델'!$B$17))*COS(RADIANS(E854))*COS(RADIANS(F854))</f>
        <v/>
      </c>
      <c r="I854" s="80">
        <f>SIN(RADIANS('11_발전량_모델'!$B$17))*SIN(RADIANS(E854))+COS(RADIANS('11_발전량_모델'!$B$17))*COS(RADIANS(E854))*COS(RADIANS(F854))</f>
        <v/>
      </c>
      <c r="J854" s="80">
        <f>SIN(RADIANS('11_발전량_모델'!$B$7))*SIN(RADIANS('11_발전량_모델'!$B$8))</f>
        <v/>
      </c>
      <c r="K854" s="80">
        <f>SIN(RADIANS('11_발전량_모델'!$B$7))*COS(RADIANS('11_발전량_모델'!$B$8))</f>
        <v/>
      </c>
      <c r="L854" s="80">
        <f>COS(RADIANS('11_발전량_모델'!$B$7))</f>
        <v/>
      </c>
      <c r="M854" s="80">
        <f>G854*J854+H854*K854+I854*L854</f>
        <v/>
      </c>
      <c r="N854" s="80">
        <f>MAX(0,I854)</f>
        <v/>
      </c>
      <c r="O854" s="80">
        <f>IF(I854&gt;0,MAX(0,M854),0)</f>
        <v/>
      </c>
      <c r="P854" s="80">
        <f>IF($I854&gt;0,MAX(0,$G854*SIN(RADIANS('13_시나리오비교'!$B$5))*SIN(RADIANS('13_시나리오비교'!$C$5))+$H854*SIN(RADIANS('13_시나리오비교'!$B$5))*COS(RADIANS('13_시나리오비교'!$C$5))+$I854*COS(RADIANS('13_시나리오비교'!$B$5))),0)</f>
        <v/>
      </c>
      <c r="Q854" s="80">
        <f>IF($I854&gt;0,MAX(0,$G854*SIN(RADIANS('13_시나리오비교'!$B$6))*SIN(RADIANS('13_시나리오비교'!$C$6))+$H854*SIN(RADIANS('13_시나리오비교'!$B$6))*COS(RADIANS('13_시나리오비교'!$C$6))+$I854*COS(RADIANS('13_시나리오비교'!$B$6))),0)</f>
        <v/>
      </c>
      <c r="R854" s="80">
        <f>IF($I854&gt;0,MAX(0,$G854*SIN(RADIANS('13_시나리오비교'!$B$7))*SIN(RADIANS('13_시나리오비교'!$C$7))+$H854*SIN(RADIANS('13_시나리오비교'!$B$7))*COS(RADIANS('13_시나리오비교'!$C$7))+$I854*COS(RADIANS('13_시나리오비교'!$B$7))),0)</f>
        <v/>
      </c>
      <c r="S854" s="80">
        <f>IF($I854&gt;0,MAX(0,$G854*SIN(RADIANS('13_시나리오비교'!$B$8))*SIN(RADIANS('13_시나리오비교'!$C$8))+$H854*SIN(RADIANS('13_시나리오비교'!$B$8))*COS(RADIANS('13_시나리오비교'!$C$8))+$I854*COS(RADIANS('13_시나리오비교'!$B$8))),0)</f>
        <v/>
      </c>
      <c r="T854" s="80">
        <f>IF($I854&gt;0,MAX(0,$G854*SIN(RADIANS('13_시나리오비교'!$B$9))*SIN(RADIANS('13_시나리오비교'!$C$9))+$H854*SIN(RADIANS('13_시나리오비교'!$B$9))*COS(RADIANS('13_시나리오비교'!$C$9))+$I854*COS(RADIANS('13_시나리오비교'!$B$9))),0)</f>
        <v/>
      </c>
      <c r="U854" s="80">
        <f>IF($I854&gt;0,MAX(0,$G854*SIN(RADIANS('13_시나리오비교'!$B$10))*SIN(RADIANS('13_시나리오비교'!$C$10))+$H854*SIN(RADIANS('13_시나리오비교'!$B$10))*COS(RADIANS('13_시나리오비교'!$C$10))+$I854*COS(RADIANS('13_시나리오비교'!$B$10))),0)</f>
        <v/>
      </c>
      <c r="V854" s="80">
        <f>IF($I854&gt;0,MAX(0,$G854*SIN(RADIANS('13_시나리오비교'!$B$11))*SIN(RADIANS('13_시나리오비교'!$C$11))+$H854*SIN(RADIANS('13_시나리오비교'!$B$11))*COS(RADIANS('13_시나리오비교'!$C$11))+$I854*COS(RADIANS('13_시나리오비교'!$B$11))),0)</f>
        <v/>
      </c>
      <c r="W854" s="80">
        <f>IF($I854&gt;0,MAX(0,$G854*SIN(RADIANS('13_시나리오비교'!$B$12))*SIN(RADIANS('13_시나리오비교'!$C$12))+$H854*SIN(RADIANS('13_시나리오비교'!$B$12))*COS(RADIANS('13_시나리오비교'!$C$12))+$I854*COS(RADIANS('13_시나리오비교'!$B$12))),0)</f>
        <v/>
      </c>
      <c r="X854" s="80">
        <f>IF($I854&gt;0,MAX(0,$G854*SIN(RADIANS('13_시나리오비교'!$B$13))*SIN(RADIANS('13_시나리오비교'!$C$13))+$H854*SIN(RADIANS('13_시나리오비교'!$B$13))*COS(RADIANS('13_시나리오비교'!$C$13))+$I854*COS(RADIANS('13_시나리오비교'!$B$13))),0)</f>
        <v/>
      </c>
      <c r="Y854" s="80">
        <f>IF($I854&gt;0,MAX(0,$G854*SIN(RADIANS('13_시나리오비교'!$B$14))*SIN(RADIANS('13_시나리오비교'!$C$14))+$H854*SIN(RADIANS('13_시나리오비교'!$B$14))*COS(RADIANS('13_시나리오비교'!$C$14))+$I854*COS(RADIANS('13_시나리오비교'!$B$14))),0)</f>
        <v/>
      </c>
    </row>
    <row r="855" hidden="1" outlineLevel="1">
      <c r="A855" s="79" t="n">
        <v>9</v>
      </c>
      <c r="B855" s="79" t="n">
        <v>67</v>
      </c>
      <c r="C855" s="80">
        <f>(B855-0.5)*'14_지역·상수'!$H$6</f>
        <v/>
      </c>
      <c r="D855" s="79" t="n">
        <v>258</v>
      </c>
      <c r="E855" s="80">
        <f>INDEX($C$4:$C$15,MATCH(A855,$A$4:$A$15,0))</f>
        <v/>
      </c>
      <c r="F855" s="80">
        <f>15*(C855-12)</f>
        <v/>
      </c>
      <c r="G855" s="80">
        <f>-COS(RADIANS(E855))*SIN(RADIANS(F855))</f>
        <v/>
      </c>
      <c r="H855" s="80">
        <f>COS(RADIANS('11_발전량_모델'!$B$17))*SIN(RADIANS(E855))-SIN(RADIANS('11_발전량_모델'!$B$17))*COS(RADIANS(E855))*COS(RADIANS(F855))</f>
        <v/>
      </c>
      <c r="I855" s="80">
        <f>SIN(RADIANS('11_발전량_모델'!$B$17))*SIN(RADIANS(E855))+COS(RADIANS('11_발전량_모델'!$B$17))*COS(RADIANS(E855))*COS(RADIANS(F855))</f>
        <v/>
      </c>
      <c r="J855" s="80">
        <f>SIN(RADIANS('11_발전량_모델'!$B$7))*SIN(RADIANS('11_발전량_모델'!$B$8))</f>
        <v/>
      </c>
      <c r="K855" s="80">
        <f>SIN(RADIANS('11_발전량_모델'!$B$7))*COS(RADIANS('11_발전량_모델'!$B$8))</f>
        <v/>
      </c>
      <c r="L855" s="80">
        <f>COS(RADIANS('11_발전량_모델'!$B$7))</f>
        <v/>
      </c>
      <c r="M855" s="80">
        <f>G855*J855+H855*K855+I855*L855</f>
        <v/>
      </c>
      <c r="N855" s="80">
        <f>MAX(0,I855)</f>
        <v/>
      </c>
      <c r="O855" s="80">
        <f>IF(I855&gt;0,MAX(0,M855),0)</f>
        <v/>
      </c>
      <c r="P855" s="80">
        <f>IF($I855&gt;0,MAX(0,$G855*SIN(RADIANS('13_시나리오비교'!$B$5))*SIN(RADIANS('13_시나리오비교'!$C$5))+$H855*SIN(RADIANS('13_시나리오비교'!$B$5))*COS(RADIANS('13_시나리오비교'!$C$5))+$I855*COS(RADIANS('13_시나리오비교'!$B$5))),0)</f>
        <v/>
      </c>
      <c r="Q855" s="80">
        <f>IF($I855&gt;0,MAX(0,$G855*SIN(RADIANS('13_시나리오비교'!$B$6))*SIN(RADIANS('13_시나리오비교'!$C$6))+$H855*SIN(RADIANS('13_시나리오비교'!$B$6))*COS(RADIANS('13_시나리오비교'!$C$6))+$I855*COS(RADIANS('13_시나리오비교'!$B$6))),0)</f>
        <v/>
      </c>
      <c r="R855" s="80">
        <f>IF($I855&gt;0,MAX(0,$G855*SIN(RADIANS('13_시나리오비교'!$B$7))*SIN(RADIANS('13_시나리오비교'!$C$7))+$H855*SIN(RADIANS('13_시나리오비교'!$B$7))*COS(RADIANS('13_시나리오비교'!$C$7))+$I855*COS(RADIANS('13_시나리오비교'!$B$7))),0)</f>
        <v/>
      </c>
      <c r="S855" s="80">
        <f>IF($I855&gt;0,MAX(0,$G855*SIN(RADIANS('13_시나리오비교'!$B$8))*SIN(RADIANS('13_시나리오비교'!$C$8))+$H855*SIN(RADIANS('13_시나리오비교'!$B$8))*COS(RADIANS('13_시나리오비교'!$C$8))+$I855*COS(RADIANS('13_시나리오비교'!$B$8))),0)</f>
        <v/>
      </c>
      <c r="T855" s="80">
        <f>IF($I855&gt;0,MAX(0,$G855*SIN(RADIANS('13_시나리오비교'!$B$9))*SIN(RADIANS('13_시나리오비교'!$C$9))+$H855*SIN(RADIANS('13_시나리오비교'!$B$9))*COS(RADIANS('13_시나리오비교'!$C$9))+$I855*COS(RADIANS('13_시나리오비교'!$B$9))),0)</f>
        <v/>
      </c>
      <c r="U855" s="80">
        <f>IF($I855&gt;0,MAX(0,$G855*SIN(RADIANS('13_시나리오비교'!$B$10))*SIN(RADIANS('13_시나리오비교'!$C$10))+$H855*SIN(RADIANS('13_시나리오비교'!$B$10))*COS(RADIANS('13_시나리오비교'!$C$10))+$I855*COS(RADIANS('13_시나리오비교'!$B$10))),0)</f>
        <v/>
      </c>
      <c r="V855" s="80">
        <f>IF($I855&gt;0,MAX(0,$G855*SIN(RADIANS('13_시나리오비교'!$B$11))*SIN(RADIANS('13_시나리오비교'!$C$11))+$H855*SIN(RADIANS('13_시나리오비교'!$B$11))*COS(RADIANS('13_시나리오비교'!$C$11))+$I855*COS(RADIANS('13_시나리오비교'!$B$11))),0)</f>
        <v/>
      </c>
      <c r="W855" s="80">
        <f>IF($I855&gt;0,MAX(0,$G855*SIN(RADIANS('13_시나리오비교'!$B$12))*SIN(RADIANS('13_시나리오비교'!$C$12))+$H855*SIN(RADIANS('13_시나리오비교'!$B$12))*COS(RADIANS('13_시나리오비교'!$C$12))+$I855*COS(RADIANS('13_시나리오비교'!$B$12))),0)</f>
        <v/>
      </c>
      <c r="X855" s="80">
        <f>IF($I855&gt;0,MAX(0,$G855*SIN(RADIANS('13_시나리오비교'!$B$13))*SIN(RADIANS('13_시나리오비교'!$C$13))+$H855*SIN(RADIANS('13_시나리오비교'!$B$13))*COS(RADIANS('13_시나리오비교'!$C$13))+$I855*COS(RADIANS('13_시나리오비교'!$B$13))),0)</f>
        <v/>
      </c>
      <c r="Y855" s="80">
        <f>IF($I855&gt;0,MAX(0,$G855*SIN(RADIANS('13_시나리오비교'!$B$14))*SIN(RADIANS('13_시나리오비교'!$C$14))+$H855*SIN(RADIANS('13_시나리오비교'!$B$14))*COS(RADIANS('13_시나리오비교'!$C$14))+$I855*COS(RADIANS('13_시나리오비교'!$B$14))),0)</f>
        <v/>
      </c>
    </row>
    <row r="856" hidden="1" outlineLevel="1">
      <c r="A856" s="79" t="n">
        <v>9</v>
      </c>
      <c r="B856" s="79" t="n">
        <v>68</v>
      </c>
      <c r="C856" s="80">
        <f>(B856-0.5)*'14_지역·상수'!$H$6</f>
        <v/>
      </c>
      <c r="D856" s="79" t="n">
        <v>258</v>
      </c>
      <c r="E856" s="80">
        <f>INDEX($C$4:$C$15,MATCH(A856,$A$4:$A$15,0))</f>
        <v/>
      </c>
      <c r="F856" s="80">
        <f>15*(C856-12)</f>
        <v/>
      </c>
      <c r="G856" s="80">
        <f>-COS(RADIANS(E856))*SIN(RADIANS(F856))</f>
        <v/>
      </c>
      <c r="H856" s="80">
        <f>COS(RADIANS('11_발전량_모델'!$B$17))*SIN(RADIANS(E856))-SIN(RADIANS('11_발전량_모델'!$B$17))*COS(RADIANS(E856))*COS(RADIANS(F856))</f>
        <v/>
      </c>
      <c r="I856" s="80">
        <f>SIN(RADIANS('11_발전량_모델'!$B$17))*SIN(RADIANS(E856))+COS(RADIANS('11_발전량_모델'!$B$17))*COS(RADIANS(E856))*COS(RADIANS(F856))</f>
        <v/>
      </c>
      <c r="J856" s="80">
        <f>SIN(RADIANS('11_발전량_모델'!$B$7))*SIN(RADIANS('11_발전량_모델'!$B$8))</f>
        <v/>
      </c>
      <c r="K856" s="80">
        <f>SIN(RADIANS('11_발전량_모델'!$B$7))*COS(RADIANS('11_발전량_모델'!$B$8))</f>
        <v/>
      </c>
      <c r="L856" s="80">
        <f>COS(RADIANS('11_발전량_모델'!$B$7))</f>
        <v/>
      </c>
      <c r="M856" s="80">
        <f>G856*J856+H856*K856+I856*L856</f>
        <v/>
      </c>
      <c r="N856" s="80">
        <f>MAX(0,I856)</f>
        <v/>
      </c>
      <c r="O856" s="80">
        <f>IF(I856&gt;0,MAX(0,M856),0)</f>
        <v/>
      </c>
      <c r="P856" s="80">
        <f>IF($I856&gt;0,MAX(0,$G856*SIN(RADIANS('13_시나리오비교'!$B$5))*SIN(RADIANS('13_시나리오비교'!$C$5))+$H856*SIN(RADIANS('13_시나리오비교'!$B$5))*COS(RADIANS('13_시나리오비교'!$C$5))+$I856*COS(RADIANS('13_시나리오비교'!$B$5))),0)</f>
        <v/>
      </c>
      <c r="Q856" s="80">
        <f>IF($I856&gt;0,MAX(0,$G856*SIN(RADIANS('13_시나리오비교'!$B$6))*SIN(RADIANS('13_시나리오비교'!$C$6))+$H856*SIN(RADIANS('13_시나리오비교'!$B$6))*COS(RADIANS('13_시나리오비교'!$C$6))+$I856*COS(RADIANS('13_시나리오비교'!$B$6))),0)</f>
        <v/>
      </c>
      <c r="R856" s="80">
        <f>IF($I856&gt;0,MAX(0,$G856*SIN(RADIANS('13_시나리오비교'!$B$7))*SIN(RADIANS('13_시나리오비교'!$C$7))+$H856*SIN(RADIANS('13_시나리오비교'!$B$7))*COS(RADIANS('13_시나리오비교'!$C$7))+$I856*COS(RADIANS('13_시나리오비교'!$B$7))),0)</f>
        <v/>
      </c>
      <c r="S856" s="80">
        <f>IF($I856&gt;0,MAX(0,$G856*SIN(RADIANS('13_시나리오비교'!$B$8))*SIN(RADIANS('13_시나리오비교'!$C$8))+$H856*SIN(RADIANS('13_시나리오비교'!$B$8))*COS(RADIANS('13_시나리오비교'!$C$8))+$I856*COS(RADIANS('13_시나리오비교'!$B$8))),0)</f>
        <v/>
      </c>
      <c r="T856" s="80">
        <f>IF($I856&gt;0,MAX(0,$G856*SIN(RADIANS('13_시나리오비교'!$B$9))*SIN(RADIANS('13_시나리오비교'!$C$9))+$H856*SIN(RADIANS('13_시나리오비교'!$B$9))*COS(RADIANS('13_시나리오비교'!$C$9))+$I856*COS(RADIANS('13_시나리오비교'!$B$9))),0)</f>
        <v/>
      </c>
      <c r="U856" s="80">
        <f>IF($I856&gt;0,MAX(0,$G856*SIN(RADIANS('13_시나리오비교'!$B$10))*SIN(RADIANS('13_시나리오비교'!$C$10))+$H856*SIN(RADIANS('13_시나리오비교'!$B$10))*COS(RADIANS('13_시나리오비교'!$C$10))+$I856*COS(RADIANS('13_시나리오비교'!$B$10))),0)</f>
        <v/>
      </c>
      <c r="V856" s="80">
        <f>IF($I856&gt;0,MAX(0,$G856*SIN(RADIANS('13_시나리오비교'!$B$11))*SIN(RADIANS('13_시나리오비교'!$C$11))+$H856*SIN(RADIANS('13_시나리오비교'!$B$11))*COS(RADIANS('13_시나리오비교'!$C$11))+$I856*COS(RADIANS('13_시나리오비교'!$B$11))),0)</f>
        <v/>
      </c>
      <c r="W856" s="80">
        <f>IF($I856&gt;0,MAX(0,$G856*SIN(RADIANS('13_시나리오비교'!$B$12))*SIN(RADIANS('13_시나리오비교'!$C$12))+$H856*SIN(RADIANS('13_시나리오비교'!$B$12))*COS(RADIANS('13_시나리오비교'!$C$12))+$I856*COS(RADIANS('13_시나리오비교'!$B$12))),0)</f>
        <v/>
      </c>
      <c r="X856" s="80">
        <f>IF($I856&gt;0,MAX(0,$G856*SIN(RADIANS('13_시나리오비교'!$B$13))*SIN(RADIANS('13_시나리오비교'!$C$13))+$H856*SIN(RADIANS('13_시나리오비교'!$B$13))*COS(RADIANS('13_시나리오비교'!$C$13))+$I856*COS(RADIANS('13_시나리오비교'!$B$13))),0)</f>
        <v/>
      </c>
      <c r="Y856" s="80">
        <f>IF($I856&gt;0,MAX(0,$G856*SIN(RADIANS('13_시나리오비교'!$B$14))*SIN(RADIANS('13_시나리오비교'!$C$14))+$H856*SIN(RADIANS('13_시나리오비교'!$B$14))*COS(RADIANS('13_시나리오비교'!$C$14))+$I856*COS(RADIANS('13_시나리오비교'!$B$14))),0)</f>
        <v/>
      </c>
    </row>
    <row r="857" hidden="1" outlineLevel="1">
      <c r="A857" s="79" t="n">
        <v>9</v>
      </c>
      <c r="B857" s="79" t="n">
        <v>69</v>
      </c>
      <c r="C857" s="80">
        <f>(B857-0.5)*'14_지역·상수'!$H$6</f>
        <v/>
      </c>
      <c r="D857" s="79" t="n">
        <v>258</v>
      </c>
      <c r="E857" s="80">
        <f>INDEX($C$4:$C$15,MATCH(A857,$A$4:$A$15,0))</f>
        <v/>
      </c>
      <c r="F857" s="80">
        <f>15*(C857-12)</f>
        <v/>
      </c>
      <c r="G857" s="80">
        <f>-COS(RADIANS(E857))*SIN(RADIANS(F857))</f>
        <v/>
      </c>
      <c r="H857" s="80">
        <f>COS(RADIANS('11_발전량_모델'!$B$17))*SIN(RADIANS(E857))-SIN(RADIANS('11_발전량_모델'!$B$17))*COS(RADIANS(E857))*COS(RADIANS(F857))</f>
        <v/>
      </c>
      <c r="I857" s="80">
        <f>SIN(RADIANS('11_발전량_모델'!$B$17))*SIN(RADIANS(E857))+COS(RADIANS('11_발전량_모델'!$B$17))*COS(RADIANS(E857))*COS(RADIANS(F857))</f>
        <v/>
      </c>
      <c r="J857" s="80">
        <f>SIN(RADIANS('11_발전량_모델'!$B$7))*SIN(RADIANS('11_발전량_모델'!$B$8))</f>
        <v/>
      </c>
      <c r="K857" s="80">
        <f>SIN(RADIANS('11_발전량_모델'!$B$7))*COS(RADIANS('11_발전량_모델'!$B$8))</f>
        <v/>
      </c>
      <c r="L857" s="80">
        <f>COS(RADIANS('11_발전량_모델'!$B$7))</f>
        <v/>
      </c>
      <c r="M857" s="80">
        <f>G857*J857+H857*K857+I857*L857</f>
        <v/>
      </c>
      <c r="N857" s="80">
        <f>MAX(0,I857)</f>
        <v/>
      </c>
      <c r="O857" s="80">
        <f>IF(I857&gt;0,MAX(0,M857),0)</f>
        <v/>
      </c>
      <c r="P857" s="80">
        <f>IF($I857&gt;0,MAX(0,$G857*SIN(RADIANS('13_시나리오비교'!$B$5))*SIN(RADIANS('13_시나리오비교'!$C$5))+$H857*SIN(RADIANS('13_시나리오비교'!$B$5))*COS(RADIANS('13_시나리오비교'!$C$5))+$I857*COS(RADIANS('13_시나리오비교'!$B$5))),0)</f>
        <v/>
      </c>
      <c r="Q857" s="80">
        <f>IF($I857&gt;0,MAX(0,$G857*SIN(RADIANS('13_시나리오비교'!$B$6))*SIN(RADIANS('13_시나리오비교'!$C$6))+$H857*SIN(RADIANS('13_시나리오비교'!$B$6))*COS(RADIANS('13_시나리오비교'!$C$6))+$I857*COS(RADIANS('13_시나리오비교'!$B$6))),0)</f>
        <v/>
      </c>
      <c r="R857" s="80">
        <f>IF($I857&gt;0,MAX(0,$G857*SIN(RADIANS('13_시나리오비교'!$B$7))*SIN(RADIANS('13_시나리오비교'!$C$7))+$H857*SIN(RADIANS('13_시나리오비교'!$B$7))*COS(RADIANS('13_시나리오비교'!$C$7))+$I857*COS(RADIANS('13_시나리오비교'!$B$7))),0)</f>
        <v/>
      </c>
      <c r="S857" s="80">
        <f>IF($I857&gt;0,MAX(0,$G857*SIN(RADIANS('13_시나리오비교'!$B$8))*SIN(RADIANS('13_시나리오비교'!$C$8))+$H857*SIN(RADIANS('13_시나리오비교'!$B$8))*COS(RADIANS('13_시나리오비교'!$C$8))+$I857*COS(RADIANS('13_시나리오비교'!$B$8))),0)</f>
        <v/>
      </c>
      <c r="T857" s="80">
        <f>IF($I857&gt;0,MAX(0,$G857*SIN(RADIANS('13_시나리오비교'!$B$9))*SIN(RADIANS('13_시나리오비교'!$C$9))+$H857*SIN(RADIANS('13_시나리오비교'!$B$9))*COS(RADIANS('13_시나리오비교'!$C$9))+$I857*COS(RADIANS('13_시나리오비교'!$B$9))),0)</f>
        <v/>
      </c>
      <c r="U857" s="80">
        <f>IF($I857&gt;0,MAX(0,$G857*SIN(RADIANS('13_시나리오비교'!$B$10))*SIN(RADIANS('13_시나리오비교'!$C$10))+$H857*SIN(RADIANS('13_시나리오비교'!$B$10))*COS(RADIANS('13_시나리오비교'!$C$10))+$I857*COS(RADIANS('13_시나리오비교'!$B$10))),0)</f>
        <v/>
      </c>
      <c r="V857" s="80">
        <f>IF($I857&gt;0,MAX(0,$G857*SIN(RADIANS('13_시나리오비교'!$B$11))*SIN(RADIANS('13_시나리오비교'!$C$11))+$H857*SIN(RADIANS('13_시나리오비교'!$B$11))*COS(RADIANS('13_시나리오비교'!$C$11))+$I857*COS(RADIANS('13_시나리오비교'!$B$11))),0)</f>
        <v/>
      </c>
      <c r="W857" s="80">
        <f>IF($I857&gt;0,MAX(0,$G857*SIN(RADIANS('13_시나리오비교'!$B$12))*SIN(RADIANS('13_시나리오비교'!$C$12))+$H857*SIN(RADIANS('13_시나리오비교'!$B$12))*COS(RADIANS('13_시나리오비교'!$C$12))+$I857*COS(RADIANS('13_시나리오비교'!$B$12))),0)</f>
        <v/>
      </c>
      <c r="X857" s="80">
        <f>IF($I857&gt;0,MAX(0,$G857*SIN(RADIANS('13_시나리오비교'!$B$13))*SIN(RADIANS('13_시나리오비교'!$C$13))+$H857*SIN(RADIANS('13_시나리오비교'!$B$13))*COS(RADIANS('13_시나리오비교'!$C$13))+$I857*COS(RADIANS('13_시나리오비교'!$B$13))),0)</f>
        <v/>
      </c>
      <c r="Y857" s="80">
        <f>IF($I857&gt;0,MAX(0,$G857*SIN(RADIANS('13_시나리오비교'!$B$14))*SIN(RADIANS('13_시나리오비교'!$C$14))+$H857*SIN(RADIANS('13_시나리오비교'!$B$14))*COS(RADIANS('13_시나리오비교'!$C$14))+$I857*COS(RADIANS('13_시나리오비교'!$B$14))),0)</f>
        <v/>
      </c>
    </row>
    <row r="858" hidden="1" outlineLevel="1">
      <c r="A858" s="79" t="n">
        <v>9</v>
      </c>
      <c r="B858" s="79" t="n">
        <v>70</v>
      </c>
      <c r="C858" s="80">
        <f>(B858-0.5)*'14_지역·상수'!$H$6</f>
        <v/>
      </c>
      <c r="D858" s="79" t="n">
        <v>258</v>
      </c>
      <c r="E858" s="80">
        <f>INDEX($C$4:$C$15,MATCH(A858,$A$4:$A$15,0))</f>
        <v/>
      </c>
      <c r="F858" s="80">
        <f>15*(C858-12)</f>
        <v/>
      </c>
      <c r="G858" s="80">
        <f>-COS(RADIANS(E858))*SIN(RADIANS(F858))</f>
        <v/>
      </c>
      <c r="H858" s="80">
        <f>COS(RADIANS('11_발전량_모델'!$B$17))*SIN(RADIANS(E858))-SIN(RADIANS('11_발전량_모델'!$B$17))*COS(RADIANS(E858))*COS(RADIANS(F858))</f>
        <v/>
      </c>
      <c r="I858" s="80">
        <f>SIN(RADIANS('11_발전량_모델'!$B$17))*SIN(RADIANS(E858))+COS(RADIANS('11_발전량_모델'!$B$17))*COS(RADIANS(E858))*COS(RADIANS(F858))</f>
        <v/>
      </c>
      <c r="J858" s="80">
        <f>SIN(RADIANS('11_발전량_모델'!$B$7))*SIN(RADIANS('11_발전량_모델'!$B$8))</f>
        <v/>
      </c>
      <c r="K858" s="80">
        <f>SIN(RADIANS('11_발전량_모델'!$B$7))*COS(RADIANS('11_발전량_모델'!$B$8))</f>
        <v/>
      </c>
      <c r="L858" s="80">
        <f>COS(RADIANS('11_발전량_모델'!$B$7))</f>
        <v/>
      </c>
      <c r="M858" s="80">
        <f>G858*J858+H858*K858+I858*L858</f>
        <v/>
      </c>
      <c r="N858" s="80">
        <f>MAX(0,I858)</f>
        <v/>
      </c>
      <c r="O858" s="80">
        <f>IF(I858&gt;0,MAX(0,M858),0)</f>
        <v/>
      </c>
      <c r="P858" s="80">
        <f>IF($I858&gt;0,MAX(0,$G858*SIN(RADIANS('13_시나리오비교'!$B$5))*SIN(RADIANS('13_시나리오비교'!$C$5))+$H858*SIN(RADIANS('13_시나리오비교'!$B$5))*COS(RADIANS('13_시나리오비교'!$C$5))+$I858*COS(RADIANS('13_시나리오비교'!$B$5))),0)</f>
        <v/>
      </c>
      <c r="Q858" s="80">
        <f>IF($I858&gt;0,MAX(0,$G858*SIN(RADIANS('13_시나리오비교'!$B$6))*SIN(RADIANS('13_시나리오비교'!$C$6))+$H858*SIN(RADIANS('13_시나리오비교'!$B$6))*COS(RADIANS('13_시나리오비교'!$C$6))+$I858*COS(RADIANS('13_시나리오비교'!$B$6))),0)</f>
        <v/>
      </c>
      <c r="R858" s="80">
        <f>IF($I858&gt;0,MAX(0,$G858*SIN(RADIANS('13_시나리오비교'!$B$7))*SIN(RADIANS('13_시나리오비교'!$C$7))+$H858*SIN(RADIANS('13_시나리오비교'!$B$7))*COS(RADIANS('13_시나리오비교'!$C$7))+$I858*COS(RADIANS('13_시나리오비교'!$B$7))),0)</f>
        <v/>
      </c>
      <c r="S858" s="80">
        <f>IF($I858&gt;0,MAX(0,$G858*SIN(RADIANS('13_시나리오비교'!$B$8))*SIN(RADIANS('13_시나리오비교'!$C$8))+$H858*SIN(RADIANS('13_시나리오비교'!$B$8))*COS(RADIANS('13_시나리오비교'!$C$8))+$I858*COS(RADIANS('13_시나리오비교'!$B$8))),0)</f>
        <v/>
      </c>
      <c r="T858" s="80">
        <f>IF($I858&gt;0,MAX(0,$G858*SIN(RADIANS('13_시나리오비교'!$B$9))*SIN(RADIANS('13_시나리오비교'!$C$9))+$H858*SIN(RADIANS('13_시나리오비교'!$B$9))*COS(RADIANS('13_시나리오비교'!$C$9))+$I858*COS(RADIANS('13_시나리오비교'!$B$9))),0)</f>
        <v/>
      </c>
      <c r="U858" s="80">
        <f>IF($I858&gt;0,MAX(0,$G858*SIN(RADIANS('13_시나리오비교'!$B$10))*SIN(RADIANS('13_시나리오비교'!$C$10))+$H858*SIN(RADIANS('13_시나리오비교'!$B$10))*COS(RADIANS('13_시나리오비교'!$C$10))+$I858*COS(RADIANS('13_시나리오비교'!$B$10))),0)</f>
        <v/>
      </c>
      <c r="V858" s="80">
        <f>IF($I858&gt;0,MAX(0,$G858*SIN(RADIANS('13_시나리오비교'!$B$11))*SIN(RADIANS('13_시나리오비교'!$C$11))+$H858*SIN(RADIANS('13_시나리오비교'!$B$11))*COS(RADIANS('13_시나리오비교'!$C$11))+$I858*COS(RADIANS('13_시나리오비교'!$B$11))),0)</f>
        <v/>
      </c>
      <c r="W858" s="80">
        <f>IF($I858&gt;0,MAX(0,$G858*SIN(RADIANS('13_시나리오비교'!$B$12))*SIN(RADIANS('13_시나리오비교'!$C$12))+$H858*SIN(RADIANS('13_시나리오비교'!$B$12))*COS(RADIANS('13_시나리오비교'!$C$12))+$I858*COS(RADIANS('13_시나리오비교'!$B$12))),0)</f>
        <v/>
      </c>
      <c r="X858" s="80">
        <f>IF($I858&gt;0,MAX(0,$G858*SIN(RADIANS('13_시나리오비교'!$B$13))*SIN(RADIANS('13_시나리오비교'!$C$13))+$H858*SIN(RADIANS('13_시나리오비교'!$B$13))*COS(RADIANS('13_시나리오비교'!$C$13))+$I858*COS(RADIANS('13_시나리오비교'!$B$13))),0)</f>
        <v/>
      </c>
      <c r="Y858" s="80">
        <f>IF($I858&gt;0,MAX(0,$G858*SIN(RADIANS('13_시나리오비교'!$B$14))*SIN(RADIANS('13_시나리오비교'!$C$14))+$H858*SIN(RADIANS('13_시나리오비교'!$B$14))*COS(RADIANS('13_시나리오비교'!$C$14))+$I858*COS(RADIANS('13_시나리오비교'!$B$14))),0)</f>
        <v/>
      </c>
    </row>
    <row r="859" hidden="1" outlineLevel="1">
      <c r="A859" s="79" t="n">
        <v>9</v>
      </c>
      <c r="B859" s="79" t="n">
        <v>71</v>
      </c>
      <c r="C859" s="80">
        <f>(B859-0.5)*'14_지역·상수'!$H$6</f>
        <v/>
      </c>
      <c r="D859" s="79" t="n">
        <v>258</v>
      </c>
      <c r="E859" s="80">
        <f>INDEX($C$4:$C$15,MATCH(A859,$A$4:$A$15,0))</f>
        <v/>
      </c>
      <c r="F859" s="80">
        <f>15*(C859-12)</f>
        <v/>
      </c>
      <c r="G859" s="80">
        <f>-COS(RADIANS(E859))*SIN(RADIANS(F859))</f>
        <v/>
      </c>
      <c r="H859" s="80">
        <f>COS(RADIANS('11_발전량_모델'!$B$17))*SIN(RADIANS(E859))-SIN(RADIANS('11_발전량_모델'!$B$17))*COS(RADIANS(E859))*COS(RADIANS(F859))</f>
        <v/>
      </c>
      <c r="I859" s="80">
        <f>SIN(RADIANS('11_발전량_모델'!$B$17))*SIN(RADIANS(E859))+COS(RADIANS('11_발전량_모델'!$B$17))*COS(RADIANS(E859))*COS(RADIANS(F859))</f>
        <v/>
      </c>
      <c r="J859" s="80">
        <f>SIN(RADIANS('11_발전량_모델'!$B$7))*SIN(RADIANS('11_발전량_모델'!$B$8))</f>
        <v/>
      </c>
      <c r="K859" s="80">
        <f>SIN(RADIANS('11_발전량_모델'!$B$7))*COS(RADIANS('11_발전량_모델'!$B$8))</f>
        <v/>
      </c>
      <c r="L859" s="80">
        <f>COS(RADIANS('11_발전량_모델'!$B$7))</f>
        <v/>
      </c>
      <c r="M859" s="80">
        <f>G859*J859+H859*K859+I859*L859</f>
        <v/>
      </c>
      <c r="N859" s="80">
        <f>MAX(0,I859)</f>
        <v/>
      </c>
      <c r="O859" s="80">
        <f>IF(I859&gt;0,MAX(0,M859),0)</f>
        <v/>
      </c>
      <c r="P859" s="80">
        <f>IF($I859&gt;0,MAX(0,$G859*SIN(RADIANS('13_시나리오비교'!$B$5))*SIN(RADIANS('13_시나리오비교'!$C$5))+$H859*SIN(RADIANS('13_시나리오비교'!$B$5))*COS(RADIANS('13_시나리오비교'!$C$5))+$I859*COS(RADIANS('13_시나리오비교'!$B$5))),0)</f>
        <v/>
      </c>
      <c r="Q859" s="80">
        <f>IF($I859&gt;0,MAX(0,$G859*SIN(RADIANS('13_시나리오비교'!$B$6))*SIN(RADIANS('13_시나리오비교'!$C$6))+$H859*SIN(RADIANS('13_시나리오비교'!$B$6))*COS(RADIANS('13_시나리오비교'!$C$6))+$I859*COS(RADIANS('13_시나리오비교'!$B$6))),0)</f>
        <v/>
      </c>
      <c r="R859" s="80">
        <f>IF($I859&gt;0,MAX(0,$G859*SIN(RADIANS('13_시나리오비교'!$B$7))*SIN(RADIANS('13_시나리오비교'!$C$7))+$H859*SIN(RADIANS('13_시나리오비교'!$B$7))*COS(RADIANS('13_시나리오비교'!$C$7))+$I859*COS(RADIANS('13_시나리오비교'!$B$7))),0)</f>
        <v/>
      </c>
      <c r="S859" s="80">
        <f>IF($I859&gt;0,MAX(0,$G859*SIN(RADIANS('13_시나리오비교'!$B$8))*SIN(RADIANS('13_시나리오비교'!$C$8))+$H859*SIN(RADIANS('13_시나리오비교'!$B$8))*COS(RADIANS('13_시나리오비교'!$C$8))+$I859*COS(RADIANS('13_시나리오비교'!$B$8))),0)</f>
        <v/>
      </c>
      <c r="T859" s="80">
        <f>IF($I859&gt;0,MAX(0,$G859*SIN(RADIANS('13_시나리오비교'!$B$9))*SIN(RADIANS('13_시나리오비교'!$C$9))+$H859*SIN(RADIANS('13_시나리오비교'!$B$9))*COS(RADIANS('13_시나리오비교'!$C$9))+$I859*COS(RADIANS('13_시나리오비교'!$B$9))),0)</f>
        <v/>
      </c>
      <c r="U859" s="80">
        <f>IF($I859&gt;0,MAX(0,$G859*SIN(RADIANS('13_시나리오비교'!$B$10))*SIN(RADIANS('13_시나리오비교'!$C$10))+$H859*SIN(RADIANS('13_시나리오비교'!$B$10))*COS(RADIANS('13_시나리오비교'!$C$10))+$I859*COS(RADIANS('13_시나리오비교'!$B$10))),0)</f>
        <v/>
      </c>
      <c r="V859" s="80">
        <f>IF($I859&gt;0,MAX(0,$G859*SIN(RADIANS('13_시나리오비교'!$B$11))*SIN(RADIANS('13_시나리오비교'!$C$11))+$H859*SIN(RADIANS('13_시나리오비교'!$B$11))*COS(RADIANS('13_시나리오비교'!$C$11))+$I859*COS(RADIANS('13_시나리오비교'!$B$11))),0)</f>
        <v/>
      </c>
      <c r="W859" s="80">
        <f>IF($I859&gt;0,MAX(0,$G859*SIN(RADIANS('13_시나리오비교'!$B$12))*SIN(RADIANS('13_시나리오비교'!$C$12))+$H859*SIN(RADIANS('13_시나리오비교'!$B$12))*COS(RADIANS('13_시나리오비교'!$C$12))+$I859*COS(RADIANS('13_시나리오비교'!$B$12))),0)</f>
        <v/>
      </c>
      <c r="X859" s="80">
        <f>IF($I859&gt;0,MAX(0,$G859*SIN(RADIANS('13_시나리오비교'!$B$13))*SIN(RADIANS('13_시나리오비교'!$C$13))+$H859*SIN(RADIANS('13_시나리오비교'!$B$13))*COS(RADIANS('13_시나리오비교'!$C$13))+$I859*COS(RADIANS('13_시나리오비교'!$B$13))),0)</f>
        <v/>
      </c>
      <c r="Y859" s="80">
        <f>IF($I859&gt;0,MAX(0,$G859*SIN(RADIANS('13_시나리오비교'!$B$14))*SIN(RADIANS('13_시나리오비교'!$C$14))+$H859*SIN(RADIANS('13_시나리오비교'!$B$14))*COS(RADIANS('13_시나리오비교'!$C$14))+$I859*COS(RADIANS('13_시나리오비교'!$B$14))),0)</f>
        <v/>
      </c>
    </row>
    <row r="860" hidden="1" outlineLevel="1">
      <c r="A860" s="79" t="n">
        <v>9</v>
      </c>
      <c r="B860" s="79" t="n">
        <v>72</v>
      </c>
      <c r="C860" s="80">
        <f>(B860-0.5)*'14_지역·상수'!$H$6</f>
        <v/>
      </c>
      <c r="D860" s="79" t="n">
        <v>258</v>
      </c>
      <c r="E860" s="80">
        <f>INDEX($C$4:$C$15,MATCH(A860,$A$4:$A$15,0))</f>
        <v/>
      </c>
      <c r="F860" s="80">
        <f>15*(C860-12)</f>
        <v/>
      </c>
      <c r="G860" s="80">
        <f>-COS(RADIANS(E860))*SIN(RADIANS(F860))</f>
        <v/>
      </c>
      <c r="H860" s="80">
        <f>COS(RADIANS('11_발전량_모델'!$B$17))*SIN(RADIANS(E860))-SIN(RADIANS('11_발전량_모델'!$B$17))*COS(RADIANS(E860))*COS(RADIANS(F860))</f>
        <v/>
      </c>
      <c r="I860" s="80">
        <f>SIN(RADIANS('11_발전량_모델'!$B$17))*SIN(RADIANS(E860))+COS(RADIANS('11_발전량_모델'!$B$17))*COS(RADIANS(E860))*COS(RADIANS(F860))</f>
        <v/>
      </c>
      <c r="J860" s="80">
        <f>SIN(RADIANS('11_발전량_모델'!$B$7))*SIN(RADIANS('11_발전량_모델'!$B$8))</f>
        <v/>
      </c>
      <c r="K860" s="80">
        <f>SIN(RADIANS('11_발전량_모델'!$B$7))*COS(RADIANS('11_발전량_모델'!$B$8))</f>
        <v/>
      </c>
      <c r="L860" s="80">
        <f>COS(RADIANS('11_발전량_모델'!$B$7))</f>
        <v/>
      </c>
      <c r="M860" s="80">
        <f>G860*J860+H860*K860+I860*L860</f>
        <v/>
      </c>
      <c r="N860" s="80">
        <f>MAX(0,I860)</f>
        <v/>
      </c>
      <c r="O860" s="80">
        <f>IF(I860&gt;0,MAX(0,M860),0)</f>
        <v/>
      </c>
      <c r="P860" s="80">
        <f>IF($I860&gt;0,MAX(0,$G860*SIN(RADIANS('13_시나리오비교'!$B$5))*SIN(RADIANS('13_시나리오비교'!$C$5))+$H860*SIN(RADIANS('13_시나리오비교'!$B$5))*COS(RADIANS('13_시나리오비교'!$C$5))+$I860*COS(RADIANS('13_시나리오비교'!$B$5))),0)</f>
        <v/>
      </c>
      <c r="Q860" s="80">
        <f>IF($I860&gt;0,MAX(0,$G860*SIN(RADIANS('13_시나리오비교'!$B$6))*SIN(RADIANS('13_시나리오비교'!$C$6))+$H860*SIN(RADIANS('13_시나리오비교'!$B$6))*COS(RADIANS('13_시나리오비교'!$C$6))+$I860*COS(RADIANS('13_시나리오비교'!$B$6))),0)</f>
        <v/>
      </c>
      <c r="R860" s="80">
        <f>IF($I860&gt;0,MAX(0,$G860*SIN(RADIANS('13_시나리오비교'!$B$7))*SIN(RADIANS('13_시나리오비교'!$C$7))+$H860*SIN(RADIANS('13_시나리오비교'!$B$7))*COS(RADIANS('13_시나리오비교'!$C$7))+$I860*COS(RADIANS('13_시나리오비교'!$B$7))),0)</f>
        <v/>
      </c>
      <c r="S860" s="80">
        <f>IF($I860&gt;0,MAX(0,$G860*SIN(RADIANS('13_시나리오비교'!$B$8))*SIN(RADIANS('13_시나리오비교'!$C$8))+$H860*SIN(RADIANS('13_시나리오비교'!$B$8))*COS(RADIANS('13_시나리오비교'!$C$8))+$I860*COS(RADIANS('13_시나리오비교'!$B$8))),0)</f>
        <v/>
      </c>
      <c r="T860" s="80">
        <f>IF($I860&gt;0,MAX(0,$G860*SIN(RADIANS('13_시나리오비교'!$B$9))*SIN(RADIANS('13_시나리오비교'!$C$9))+$H860*SIN(RADIANS('13_시나리오비교'!$B$9))*COS(RADIANS('13_시나리오비교'!$C$9))+$I860*COS(RADIANS('13_시나리오비교'!$B$9))),0)</f>
        <v/>
      </c>
      <c r="U860" s="80">
        <f>IF($I860&gt;0,MAX(0,$G860*SIN(RADIANS('13_시나리오비교'!$B$10))*SIN(RADIANS('13_시나리오비교'!$C$10))+$H860*SIN(RADIANS('13_시나리오비교'!$B$10))*COS(RADIANS('13_시나리오비교'!$C$10))+$I860*COS(RADIANS('13_시나리오비교'!$B$10))),0)</f>
        <v/>
      </c>
      <c r="V860" s="80">
        <f>IF($I860&gt;0,MAX(0,$G860*SIN(RADIANS('13_시나리오비교'!$B$11))*SIN(RADIANS('13_시나리오비교'!$C$11))+$H860*SIN(RADIANS('13_시나리오비교'!$B$11))*COS(RADIANS('13_시나리오비교'!$C$11))+$I860*COS(RADIANS('13_시나리오비교'!$B$11))),0)</f>
        <v/>
      </c>
      <c r="W860" s="80">
        <f>IF($I860&gt;0,MAX(0,$G860*SIN(RADIANS('13_시나리오비교'!$B$12))*SIN(RADIANS('13_시나리오비교'!$C$12))+$H860*SIN(RADIANS('13_시나리오비교'!$B$12))*COS(RADIANS('13_시나리오비교'!$C$12))+$I860*COS(RADIANS('13_시나리오비교'!$B$12))),0)</f>
        <v/>
      </c>
      <c r="X860" s="80">
        <f>IF($I860&gt;0,MAX(0,$G860*SIN(RADIANS('13_시나리오비교'!$B$13))*SIN(RADIANS('13_시나리오비교'!$C$13))+$H860*SIN(RADIANS('13_시나리오비교'!$B$13))*COS(RADIANS('13_시나리오비교'!$C$13))+$I860*COS(RADIANS('13_시나리오비교'!$B$13))),0)</f>
        <v/>
      </c>
      <c r="Y860" s="80">
        <f>IF($I860&gt;0,MAX(0,$G860*SIN(RADIANS('13_시나리오비교'!$B$14))*SIN(RADIANS('13_시나리오비교'!$C$14))+$H860*SIN(RADIANS('13_시나리오비교'!$B$14))*COS(RADIANS('13_시나리오비교'!$C$14))+$I860*COS(RADIANS('13_시나리오비교'!$B$14))),0)</f>
        <v/>
      </c>
    </row>
    <row r="861" hidden="1" outlineLevel="1">
      <c r="A861" s="79" t="n">
        <v>9</v>
      </c>
      <c r="B861" s="79" t="n">
        <v>73</v>
      </c>
      <c r="C861" s="80">
        <f>(B861-0.5)*'14_지역·상수'!$H$6</f>
        <v/>
      </c>
      <c r="D861" s="79" t="n">
        <v>258</v>
      </c>
      <c r="E861" s="80">
        <f>INDEX($C$4:$C$15,MATCH(A861,$A$4:$A$15,0))</f>
        <v/>
      </c>
      <c r="F861" s="80">
        <f>15*(C861-12)</f>
        <v/>
      </c>
      <c r="G861" s="80">
        <f>-COS(RADIANS(E861))*SIN(RADIANS(F861))</f>
        <v/>
      </c>
      <c r="H861" s="80">
        <f>COS(RADIANS('11_발전량_모델'!$B$17))*SIN(RADIANS(E861))-SIN(RADIANS('11_발전량_모델'!$B$17))*COS(RADIANS(E861))*COS(RADIANS(F861))</f>
        <v/>
      </c>
      <c r="I861" s="80">
        <f>SIN(RADIANS('11_발전량_모델'!$B$17))*SIN(RADIANS(E861))+COS(RADIANS('11_발전량_모델'!$B$17))*COS(RADIANS(E861))*COS(RADIANS(F861))</f>
        <v/>
      </c>
      <c r="J861" s="80">
        <f>SIN(RADIANS('11_발전량_모델'!$B$7))*SIN(RADIANS('11_발전량_모델'!$B$8))</f>
        <v/>
      </c>
      <c r="K861" s="80">
        <f>SIN(RADIANS('11_발전량_모델'!$B$7))*COS(RADIANS('11_발전량_모델'!$B$8))</f>
        <v/>
      </c>
      <c r="L861" s="80">
        <f>COS(RADIANS('11_발전량_모델'!$B$7))</f>
        <v/>
      </c>
      <c r="M861" s="80">
        <f>G861*J861+H861*K861+I861*L861</f>
        <v/>
      </c>
      <c r="N861" s="80">
        <f>MAX(0,I861)</f>
        <v/>
      </c>
      <c r="O861" s="80">
        <f>IF(I861&gt;0,MAX(0,M861),0)</f>
        <v/>
      </c>
      <c r="P861" s="80">
        <f>IF($I861&gt;0,MAX(0,$G861*SIN(RADIANS('13_시나리오비교'!$B$5))*SIN(RADIANS('13_시나리오비교'!$C$5))+$H861*SIN(RADIANS('13_시나리오비교'!$B$5))*COS(RADIANS('13_시나리오비교'!$C$5))+$I861*COS(RADIANS('13_시나리오비교'!$B$5))),0)</f>
        <v/>
      </c>
      <c r="Q861" s="80">
        <f>IF($I861&gt;0,MAX(0,$G861*SIN(RADIANS('13_시나리오비교'!$B$6))*SIN(RADIANS('13_시나리오비교'!$C$6))+$H861*SIN(RADIANS('13_시나리오비교'!$B$6))*COS(RADIANS('13_시나리오비교'!$C$6))+$I861*COS(RADIANS('13_시나리오비교'!$B$6))),0)</f>
        <v/>
      </c>
      <c r="R861" s="80">
        <f>IF($I861&gt;0,MAX(0,$G861*SIN(RADIANS('13_시나리오비교'!$B$7))*SIN(RADIANS('13_시나리오비교'!$C$7))+$H861*SIN(RADIANS('13_시나리오비교'!$B$7))*COS(RADIANS('13_시나리오비교'!$C$7))+$I861*COS(RADIANS('13_시나리오비교'!$B$7))),0)</f>
        <v/>
      </c>
      <c r="S861" s="80">
        <f>IF($I861&gt;0,MAX(0,$G861*SIN(RADIANS('13_시나리오비교'!$B$8))*SIN(RADIANS('13_시나리오비교'!$C$8))+$H861*SIN(RADIANS('13_시나리오비교'!$B$8))*COS(RADIANS('13_시나리오비교'!$C$8))+$I861*COS(RADIANS('13_시나리오비교'!$B$8))),0)</f>
        <v/>
      </c>
      <c r="T861" s="80">
        <f>IF($I861&gt;0,MAX(0,$G861*SIN(RADIANS('13_시나리오비교'!$B$9))*SIN(RADIANS('13_시나리오비교'!$C$9))+$H861*SIN(RADIANS('13_시나리오비교'!$B$9))*COS(RADIANS('13_시나리오비교'!$C$9))+$I861*COS(RADIANS('13_시나리오비교'!$B$9))),0)</f>
        <v/>
      </c>
      <c r="U861" s="80">
        <f>IF($I861&gt;0,MAX(0,$G861*SIN(RADIANS('13_시나리오비교'!$B$10))*SIN(RADIANS('13_시나리오비교'!$C$10))+$H861*SIN(RADIANS('13_시나리오비교'!$B$10))*COS(RADIANS('13_시나리오비교'!$C$10))+$I861*COS(RADIANS('13_시나리오비교'!$B$10))),0)</f>
        <v/>
      </c>
      <c r="V861" s="80">
        <f>IF($I861&gt;0,MAX(0,$G861*SIN(RADIANS('13_시나리오비교'!$B$11))*SIN(RADIANS('13_시나리오비교'!$C$11))+$H861*SIN(RADIANS('13_시나리오비교'!$B$11))*COS(RADIANS('13_시나리오비교'!$C$11))+$I861*COS(RADIANS('13_시나리오비교'!$B$11))),0)</f>
        <v/>
      </c>
      <c r="W861" s="80">
        <f>IF($I861&gt;0,MAX(0,$G861*SIN(RADIANS('13_시나리오비교'!$B$12))*SIN(RADIANS('13_시나리오비교'!$C$12))+$H861*SIN(RADIANS('13_시나리오비교'!$B$12))*COS(RADIANS('13_시나리오비교'!$C$12))+$I861*COS(RADIANS('13_시나리오비교'!$B$12))),0)</f>
        <v/>
      </c>
      <c r="X861" s="80">
        <f>IF($I861&gt;0,MAX(0,$G861*SIN(RADIANS('13_시나리오비교'!$B$13))*SIN(RADIANS('13_시나리오비교'!$C$13))+$H861*SIN(RADIANS('13_시나리오비교'!$B$13))*COS(RADIANS('13_시나리오비교'!$C$13))+$I861*COS(RADIANS('13_시나리오비교'!$B$13))),0)</f>
        <v/>
      </c>
      <c r="Y861" s="80">
        <f>IF($I861&gt;0,MAX(0,$G861*SIN(RADIANS('13_시나리오비교'!$B$14))*SIN(RADIANS('13_시나리오비교'!$C$14))+$H861*SIN(RADIANS('13_시나리오비교'!$B$14))*COS(RADIANS('13_시나리오비교'!$C$14))+$I861*COS(RADIANS('13_시나리오비교'!$B$14))),0)</f>
        <v/>
      </c>
    </row>
    <row r="862" hidden="1" outlineLevel="1">
      <c r="A862" s="79" t="n">
        <v>9</v>
      </c>
      <c r="B862" s="79" t="n">
        <v>74</v>
      </c>
      <c r="C862" s="80">
        <f>(B862-0.5)*'14_지역·상수'!$H$6</f>
        <v/>
      </c>
      <c r="D862" s="79" t="n">
        <v>258</v>
      </c>
      <c r="E862" s="80">
        <f>INDEX($C$4:$C$15,MATCH(A862,$A$4:$A$15,0))</f>
        <v/>
      </c>
      <c r="F862" s="80">
        <f>15*(C862-12)</f>
        <v/>
      </c>
      <c r="G862" s="80">
        <f>-COS(RADIANS(E862))*SIN(RADIANS(F862))</f>
        <v/>
      </c>
      <c r="H862" s="80">
        <f>COS(RADIANS('11_발전량_모델'!$B$17))*SIN(RADIANS(E862))-SIN(RADIANS('11_발전량_모델'!$B$17))*COS(RADIANS(E862))*COS(RADIANS(F862))</f>
        <v/>
      </c>
      <c r="I862" s="80">
        <f>SIN(RADIANS('11_발전량_모델'!$B$17))*SIN(RADIANS(E862))+COS(RADIANS('11_발전량_모델'!$B$17))*COS(RADIANS(E862))*COS(RADIANS(F862))</f>
        <v/>
      </c>
      <c r="J862" s="80">
        <f>SIN(RADIANS('11_발전량_모델'!$B$7))*SIN(RADIANS('11_발전량_모델'!$B$8))</f>
        <v/>
      </c>
      <c r="K862" s="80">
        <f>SIN(RADIANS('11_발전량_모델'!$B$7))*COS(RADIANS('11_발전량_모델'!$B$8))</f>
        <v/>
      </c>
      <c r="L862" s="80">
        <f>COS(RADIANS('11_발전량_모델'!$B$7))</f>
        <v/>
      </c>
      <c r="M862" s="80">
        <f>G862*J862+H862*K862+I862*L862</f>
        <v/>
      </c>
      <c r="N862" s="80">
        <f>MAX(0,I862)</f>
        <v/>
      </c>
      <c r="O862" s="80">
        <f>IF(I862&gt;0,MAX(0,M862),0)</f>
        <v/>
      </c>
      <c r="P862" s="80">
        <f>IF($I862&gt;0,MAX(0,$G862*SIN(RADIANS('13_시나리오비교'!$B$5))*SIN(RADIANS('13_시나리오비교'!$C$5))+$H862*SIN(RADIANS('13_시나리오비교'!$B$5))*COS(RADIANS('13_시나리오비교'!$C$5))+$I862*COS(RADIANS('13_시나리오비교'!$B$5))),0)</f>
        <v/>
      </c>
      <c r="Q862" s="80">
        <f>IF($I862&gt;0,MAX(0,$G862*SIN(RADIANS('13_시나리오비교'!$B$6))*SIN(RADIANS('13_시나리오비교'!$C$6))+$H862*SIN(RADIANS('13_시나리오비교'!$B$6))*COS(RADIANS('13_시나리오비교'!$C$6))+$I862*COS(RADIANS('13_시나리오비교'!$B$6))),0)</f>
        <v/>
      </c>
      <c r="R862" s="80">
        <f>IF($I862&gt;0,MAX(0,$G862*SIN(RADIANS('13_시나리오비교'!$B$7))*SIN(RADIANS('13_시나리오비교'!$C$7))+$H862*SIN(RADIANS('13_시나리오비교'!$B$7))*COS(RADIANS('13_시나리오비교'!$C$7))+$I862*COS(RADIANS('13_시나리오비교'!$B$7))),0)</f>
        <v/>
      </c>
      <c r="S862" s="80">
        <f>IF($I862&gt;0,MAX(0,$G862*SIN(RADIANS('13_시나리오비교'!$B$8))*SIN(RADIANS('13_시나리오비교'!$C$8))+$H862*SIN(RADIANS('13_시나리오비교'!$B$8))*COS(RADIANS('13_시나리오비교'!$C$8))+$I862*COS(RADIANS('13_시나리오비교'!$B$8))),0)</f>
        <v/>
      </c>
      <c r="T862" s="80">
        <f>IF($I862&gt;0,MAX(0,$G862*SIN(RADIANS('13_시나리오비교'!$B$9))*SIN(RADIANS('13_시나리오비교'!$C$9))+$H862*SIN(RADIANS('13_시나리오비교'!$B$9))*COS(RADIANS('13_시나리오비교'!$C$9))+$I862*COS(RADIANS('13_시나리오비교'!$B$9))),0)</f>
        <v/>
      </c>
      <c r="U862" s="80">
        <f>IF($I862&gt;0,MAX(0,$G862*SIN(RADIANS('13_시나리오비교'!$B$10))*SIN(RADIANS('13_시나리오비교'!$C$10))+$H862*SIN(RADIANS('13_시나리오비교'!$B$10))*COS(RADIANS('13_시나리오비교'!$C$10))+$I862*COS(RADIANS('13_시나리오비교'!$B$10))),0)</f>
        <v/>
      </c>
      <c r="V862" s="80">
        <f>IF($I862&gt;0,MAX(0,$G862*SIN(RADIANS('13_시나리오비교'!$B$11))*SIN(RADIANS('13_시나리오비교'!$C$11))+$H862*SIN(RADIANS('13_시나리오비교'!$B$11))*COS(RADIANS('13_시나리오비교'!$C$11))+$I862*COS(RADIANS('13_시나리오비교'!$B$11))),0)</f>
        <v/>
      </c>
      <c r="W862" s="80">
        <f>IF($I862&gt;0,MAX(0,$G862*SIN(RADIANS('13_시나리오비교'!$B$12))*SIN(RADIANS('13_시나리오비교'!$C$12))+$H862*SIN(RADIANS('13_시나리오비교'!$B$12))*COS(RADIANS('13_시나리오비교'!$C$12))+$I862*COS(RADIANS('13_시나리오비교'!$B$12))),0)</f>
        <v/>
      </c>
      <c r="X862" s="80">
        <f>IF($I862&gt;0,MAX(0,$G862*SIN(RADIANS('13_시나리오비교'!$B$13))*SIN(RADIANS('13_시나리오비교'!$C$13))+$H862*SIN(RADIANS('13_시나리오비교'!$B$13))*COS(RADIANS('13_시나리오비교'!$C$13))+$I862*COS(RADIANS('13_시나리오비교'!$B$13))),0)</f>
        <v/>
      </c>
      <c r="Y862" s="80">
        <f>IF($I862&gt;0,MAX(0,$G862*SIN(RADIANS('13_시나리오비교'!$B$14))*SIN(RADIANS('13_시나리오비교'!$C$14))+$H862*SIN(RADIANS('13_시나리오비교'!$B$14))*COS(RADIANS('13_시나리오비교'!$C$14))+$I862*COS(RADIANS('13_시나리오비교'!$B$14))),0)</f>
        <v/>
      </c>
    </row>
    <row r="863" hidden="1" outlineLevel="1">
      <c r="A863" s="79" t="n">
        <v>9</v>
      </c>
      <c r="B863" s="79" t="n">
        <v>75</v>
      </c>
      <c r="C863" s="80">
        <f>(B863-0.5)*'14_지역·상수'!$H$6</f>
        <v/>
      </c>
      <c r="D863" s="79" t="n">
        <v>258</v>
      </c>
      <c r="E863" s="80">
        <f>INDEX($C$4:$C$15,MATCH(A863,$A$4:$A$15,0))</f>
        <v/>
      </c>
      <c r="F863" s="80">
        <f>15*(C863-12)</f>
        <v/>
      </c>
      <c r="G863" s="80">
        <f>-COS(RADIANS(E863))*SIN(RADIANS(F863))</f>
        <v/>
      </c>
      <c r="H863" s="80">
        <f>COS(RADIANS('11_발전량_모델'!$B$17))*SIN(RADIANS(E863))-SIN(RADIANS('11_발전량_모델'!$B$17))*COS(RADIANS(E863))*COS(RADIANS(F863))</f>
        <v/>
      </c>
      <c r="I863" s="80">
        <f>SIN(RADIANS('11_발전량_모델'!$B$17))*SIN(RADIANS(E863))+COS(RADIANS('11_발전량_모델'!$B$17))*COS(RADIANS(E863))*COS(RADIANS(F863))</f>
        <v/>
      </c>
      <c r="J863" s="80">
        <f>SIN(RADIANS('11_발전량_모델'!$B$7))*SIN(RADIANS('11_발전량_모델'!$B$8))</f>
        <v/>
      </c>
      <c r="K863" s="80">
        <f>SIN(RADIANS('11_발전량_모델'!$B$7))*COS(RADIANS('11_발전량_모델'!$B$8))</f>
        <v/>
      </c>
      <c r="L863" s="80">
        <f>COS(RADIANS('11_발전량_모델'!$B$7))</f>
        <v/>
      </c>
      <c r="M863" s="80">
        <f>G863*J863+H863*K863+I863*L863</f>
        <v/>
      </c>
      <c r="N863" s="80">
        <f>MAX(0,I863)</f>
        <v/>
      </c>
      <c r="O863" s="80">
        <f>IF(I863&gt;0,MAX(0,M863),0)</f>
        <v/>
      </c>
      <c r="P863" s="80">
        <f>IF($I863&gt;0,MAX(0,$G863*SIN(RADIANS('13_시나리오비교'!$B$5))*SIN(RADIANS('13_시나리오비교'!$C$5))+$H863*SIN(RADIANS('13_시나리오비교'!$B$5))*COS(RADIANS('13_시나리오비교'!$C$5))+$I863*COS(RADIANS('13_시나리오비교'!$B$5))),0)</f>
        <v/>
      </c>
      <c r="Q863" s="80">
        <f>IF($I863&gt;0,MAX(0,$G863*SIN(RADIANS('13_시나리오비교'!$B$6))*SIN(RADIANS('13_시나리오비교'!$C$6))+$H863*SIN(RADIANS('13_시나리오비교'!$B$6))*COS(RADIANS('13_시나리오비교'!$C$6))+$I863*COS(RADIANS('13_시나리오비교'!$B$6))),0)</f>
        <v/>
      </c>
      <c r="R863" s="80">
        <f>IF($I863&gt;0,MAX(0,$G863*SIN(RADIANS('13_시나리오비교'!$B$7))*SIN(RADIANS('13_시나리오비교'!$C$7))+$H863*SIN(RADIANS('13_시나리오비교'!$B$7))*COS(RADIANS('13_시나리오비교'!$C$7))+$I863*COS(RADIANS('13_시나리오비교'!$B$7))),0)</f>
        <v/>
      </c>
      <c r="S863" s="80">
        <f>IF($I863&gt;0,MAX(0,$G863*SIN(RADIANS('13_시나리오비교'!$B$8))*SIN(RADIANS('13_시나리오비교'!$C$8))+$H863*SIN(RADIANS('13_시나리오비교'!$B$8))*COS(RADIANS('13_시나리오비교'!$C$8))+$I863*COS(RADIANS('13_시나리오비교'!$B$8))),0)</f>
        <v/>
      </c>
      <c r="T863" s="80">
        <f>IF($I863&gt;0,MAX(0,$G863*SIN(RADIANS('13_시나리오비교'!$B$9))*SIN(RADIANS('13_시나리오비교'!$C$9))+$H863*SIN(RADIANS('13_시나리오비교'!$B$9))*COS(RADIANS('13_시나리오비교'!$C$9))+$I863*COS(RADIANS('13_시나리오비교'!$B$9))),0)</f>
        <v/>
      </c>
      <c r="U863" s="80">
        <f>IF($I863&gt;0,MAX(0,$G863*SIN(RADIANS('13_시나리오비교'!$B$10))*SIN(RADIANS('13_시나리오비교'!$C$10))+$H863*SIN(RADIANS('13_시나리오비교'!$B$10))*COS(RADIANS('13_시나리오비교'!$C$10))+$I863*COS(RADIANS('13_시나리오비교'!$B$10))),0)</f>
        <v/>
      </c>
      <c r="V863" s="80">
        <f>IF($I863&gt;0,MAX(0,$G863*SIN(RADIANS('13_시나리오비교'!$B$11))*SIN(RADIANS('13_시나리오비교'!$C$11))+$H863*SIN(RADIANS('13_시나리오비교'!$B$11))*COS(RADIANS('13_시나리오비교'!$C$11))+$I863*COS(RADIANS('13_시나리오비교'!$B$11))),0)</f>
        <v/>
      </c>
      <c r="W863" s="80">
        <f>IF($I863&gt;0,MAX(0,$G863*SIN(RADIANS('13_시나리오비교'!$B$12))*SIN(RADIANS('13_시나리오비교'!$C$12))+$H863*SIN(RADIANS('13_시나리오비교'!$B$12))*COS(RADIANS('13_시나리오비교'!$C$12))+$I863*COS(RADIANS('13_시나리오비교'!$B$12))),0)</f>
        <v/>
      </c>
      <c r="X863" s="80">
        <f>IF($I863&gt;0,MAX(0,$G863*SIN(RADIANS('13_시나리오비교'!$B$13))*SIN(RADIANS('13_시나리오비교'!$C$13))+$H863*SIN(RADIANS('13_시나리오비교'!$B$13))*COS(RADIANS('13_시나리오비교'!$C$13))+$I863*COS(RADIANS('13_시나리오비교'!$B$13))),0)</f>
        <v/>
      </c>
      <c r="Y863" s="80">
        <f>IF($I863&gt;0,MAX(0,$G863*SIN(RADIANS('13_시나리오비교'!$B$14))*SIN(RADIANS('13_시나리오비교'!$C$14))+$H863*SIN(RADIANS('13_시나리오비교'!$B$14))*COS(RADIANS('13_시나리오비교'!$C$14))+$I863*COS(RADIANS('13_시나리오비교'!$B$14))),0)</f>
        <v/>
      </c>
    </row>
    <row r="864" hidden="1" outlineLevel="1">
      <c r="A864" s="79" t="n">
        <v>9</v>
      </c>
      <c r="B864" s="79" t="n">
        <v>76</v>
      </c>
      <c r="C864" s="80">
        <f>(B864-0.5)*'14_지역·상수'!$H$6</f>
        <v/>
      </c>
      <c r="D864" s="79" t="n">
        <v>258</v>
      </c>
      <c r="E864" s="80">
        <f>INDEX($C$4:$C$15,MATCH(A864,$A$4:$A$15,0))</f>
        <v/>
      </c>
      <c r="F864" s="80">
        <f>15*(C864-12)</f>
        <v/>
      </c>
      <c r="G864" s="80">
        <f>-COS(RADIANS(E864))*SIN(RADIANS(F864))</f>
        <v/>
      </c>
      <c r="H864" s="80">
        <f>COS(RADIANS('11_발전량_모델'!$B$17))*SIN(RADIANS(E864))-SIN(RADIANS('11_발전량_모델'!$B$17))*COS(RADIANS(E864))*COS(RADIANS(F864))</f>
        <v/>
      </c>
      <c r="I864" s="80">
        <f>SIN(RADIANS('11_발전량_모델'!$B$17))*SIN(RADIANS(E864))+COS(RADIANS('11_발전량_모델'!$B$17))*COS(RADIANS(E864))*COS(RADIANS(F864))</f>
        <v/>
      </c>
      <c r="J864" s="80">
        <f>SIN(RADIANS('11_발전량_모델'!$B$7))*SIN(RADIANS('11_발전량_모델'!$B$8))</f>
        <v/>
      </c>
      <c r="K864" s="80">
        <f>SIN(RADIANS('11_발전량_모델'!$B$7))*COS(RADIANS('11_발전량_모델'!$B$8))</f>
        <v/>
      </c>
      <c r="L864" s="80">
        <f>COS(RADIANS('11_발전량_모델'!$B$7))</f>
        <v/>
      </c>
      <c r="M864" s="80">
        <f>G864*J864+H864*K864+I864*L864</f>
        <v/>
      </c>
      <c r="N864" s="80">
        <f>MAX(0,I864)</f>
        <v/>
      </c>
      <c r="O864" s="80">
        <f>IF(I864&gt;0,MAX(0,M864),0)</f>
        <v/>
      </c>
      <c r="P864" s="80">
        <f>IF($I864&gt;0,MAX(0,$G864*SIN(RADIANS('13_시나리오비교'!$B$5))*SIN(RADIANS('13_시나리오비교'!$C$5))+$H864*SIN(RADIANS('13_시나리오비교'!$B$5))*COS(RADIANS('13_시나리오비교'!$C$5))+$I864*COS(RADIANS('13_시나리오비교'!$B$5))),0)</f>
        <v/>
      </c>
      <c r="Q864" s="80">
        <f>IF($I864&gt;0,MAX(0,$G864*SIN(RADIANS('13_시나리오비교'!$B$6))*SIN(RADIANS('13_시나리오비교'!$C$6))+$H864*SIN(RADIANS('13_시나리오비교'!$B$6))*COS(RADIANS('13_시나리오비교'!$C$6))+$I864*COS(RADIANS('13_시나리오비교'!$B$6))),0)</f>
        <v/>
      </c>
      <c r="R864" s="80">
        <f>IF($I864&gt;0,MAX(0,$G864*SIN(RADIANS('13_시나리오비교'!$B$7))*SIN(RADIANS('13_시나리오비교'!$C$7))+$H864*SIN(RADIANS('13_시나리오비교'!$B$7))*COS(RADIANS('13_시나리오비교'!$C$7))+$I864*COS(RADIANS('13_시나리오비교'!$B$7))),0)</f>
        <v/>
      </c>
      <c r="S864" s="80">
        <f>IF($I864&gt;0,MAX(0,$G864*SIN(RADIANS('13_시나리오비교'!$B$8))*SIN(RADIANS('13_시나리오비교'!$C$8))+$H864*SIN(RADIANS('13_시나리오비교'!$B$8))*COS(RADIANS('13_시나리오비교'!$C$8))+$I864*COS(RADIANS('13_시나리오비교'!$B$8))),0)</f>
        <v/>
      </c>
      <c r="T864" s="80">
        <f>IF($I864&gt;0,MAX(0,$G864*SIN(RADIANS('13_시나리오비교'!$B$9))*SIN(RADIANS('13_시나리오비교'!$C$9))+$H864*SIN(RADIANS('13_시나리오비교'!$B$9))*COS(RADIANS('13_시나리오비교'!$C$9))+$I864*COS(RADIANS('13_시나리오비교'!$B$9))),0)</f>
        <v/>
      </c>
      <c r="U864" s="80">
        <f>IF($I864&gt;0,MAX(0,$G864*SIN(RADIANS('13_시나리오비교'!$B$10))*SIN(RADIANS('13_시나리오비교'!$C$10))+$H864*SIN(RADIANS('13_시나리오비교'!$B$10))*COS(RADIANS('13_시나리오비교'!$C$10))+$I864*COS(RADIANS('13_시나리오비교'!$B$10))),0)</f>
        <v/>
      </c>
      <c r="V864" s="80">
        <f>IF($I864&gt;0,MAX(0,$G864*SIN(RADIANS('13_시나리오비교'!$B$11))*SIN(RADIANS('13_시나리오비교'!$C$11))+$H864*SIN(RADIANS('13_시나리오비교'!$B$11))*COS(RADIANS('13_시나리오비교'!$C$11))+$I864*COS(RADIANS('13_시나리오비교'!$B$11))),0)</f>
        <v/>
      </c>
      <c r="W864" s="80">
        <f>IF($I864&gt;0,MAX(0,$G864*SIN(RADIANS('13_시나리오비교'!$B$12))*SIN(RADIANS('13_시나리오비교'!$C$12))+$H864*SIN(RADIANS('13_시나리오비교'!$B$12))*COS(RADIANS('13_시나리오비교'!$C$12))+$I864*COS(RADIANS('13_시나리오비교'!$B$12))),0)</f>
        <v/>
      </c>
      <c r="X864" s="80">
        <f>IF($I864&gt;0,MAX(0,$G864*SIN(RADIANS('13_시나리오비교'!$B$13))*SIN(RADIANS('13_시나리오비교'!$C$13))+$H864*SIN(RADIANS('13_시나리오비교'!$B$13))*COS(RADIANS('13_시나리오비교'!$C$13))+$I864*COS(RADIANS('13_시나리오비교'!$B$13))),0)</f>
        <v/>
      </c>
      <c r="Y864" s="80">
        <f>IF($I864&gt;0,MAX(0,$G864*SIN(RADIANS('13_시나리오비교'!$B$14))*SIN(RADIANS('13_시나리오비교'!$C$14))+$H864*SIN(RADIANS('13_시나리오비교'!$B$14))*COS(RADIANS('13_시나리오비교'!$C$14))+$I864*COS(RADIANS('13_시나리오비교'!$B$14))),0)</f>
        <v/>
      </c>
    </row>
    <row r="865" hidden="1" outlineLevel="1">
      <c r="A865" s="79" t="n">
        <v>9</v>
      </c>
      <c r="B865" s="79" t="n">
        <v>77</v>
      </c>
      <c r="C865" s="80">
        <f>(B865-0.5)*'14_지역·상수'!$H$6</f>
        <v/>
      </c>
      <c r="D865" s="79" t="n">
        <v>258</v>
      </c>
      <c r="E865" s="80">
        <f>INDEX($C$4:$C$15,MATCH(A865,$A$4:$A$15,0))</f>
        <v/>
      </c>
      <c r="F865" s="80">
        <f>15*(C865-12)</f>
        <v/>
      </c>
      <c r="G865" s="80">
        <f>-COS(RADIANS(E865))*SIN(RADIANS(F865))</f>
        <v/>
      </c>
      <c r="H865" s="80">
        <f>COS(RADIANS('11_발전량_모델'!$B$17))*SIN(RADIANS(E865))-SIN(RADIANS('11_발전량_모델'!$B$17))*COS(RADIANS(E865))*COS(RADIANS(F865))</f>
        <v/>
      </c>
      <c r="I865" s="80">
        <f>SIN(RADIANS('11_발전량_모델'!$B$17))*SIN(RADIANS(E865))+COS(RADIANS('11_발전량_모델'!$B$17))*COS(RADIANS(E865))*COS(RADIANS(F865))</f>
        <v/>
      </c>
      <c r="J865" s="80">
        <f>SIN(RADIANS('11_발전량_모델'!$B$7))*SIN(RADIANS('11_발전량_모델'!$B$8))</f>
        <v/>
      </c>
      <c r="K865" s="80">
        <f>SIN(RADIANS('11_발전량_모델'!$B$7))*COS(RADIANS('11_발전량_모델'!$B$8))</f>
        <v/>
      </c>
      <c r="L865" s="80">
        <f>COS(RADIANS('11_발전량_모델'!$B$7))</f>
        <v/>
      </c>
      <c r="M865" s="80">
        <f>G865*J865+H865*K865+I865*L865</f>
        <v/>
      </c>
      <c r="N865" s="80">
        <f>MAX(0,I865)</f>
        <v/>
      </c>
      <c r="O865" s="80">
        <f>IF(I865&gt;0,MAX(0,M865),0)</f>
        <v/>
      </c>
      <c r="P865" s="80">
        <f>IF($I865&gt;0,MAX(0,$G865*SIN(RADIANS('13_시나리오비교'!$B$5))*SIN(RADIANS('13_시나리오비교'!$C$5))+$H865*SIN(RADIANS('13_시나리오비교'!$B$5))*COS(RADIANS('13_시나리오비교'!$C$5))+$I865*COS(RADIANS('13_시나리오비교'!$B$5))),0)</f>
        <v/>
      </c>
      <c r="Q865" s="80">
        <f>IF($I865&gt;0,MAX(0,$G865*SIN(RADIANS('13_시나리오비교'!$B$6))*SIN(RADIANS('13_시나리오비교'!$C$6))+$H865*SIN(RADIANS('13_시나리오비교'!$B$6))*COS(RADIANS('13_시나리오비교'!$C$6))+$I865*COS(RADIANS('13_시나리오비교'!$B$6))),0)</f>
        <v/>
      </c>
      <c r="R865" s="80">
        <f>IF($I865&gt;0,MAX(0,$G865*SIN(RADIANS('13_시나리오비교'!$B$7))*SIN(RADIANS('13_시나리오비교'!$C$7))+$H865*SIN(RADIANS('13_시나리오비교'!$B$7))*COS(RADIANS('13_시나리오비교'!$C$7))+$I865*COS(RADIANS('13_시나리오비교'!$B$7))),0)</f>
        <v/>
      </c>
      <c r="S865" s="80">
        <f>IF($I865&gt;0,MAX(0,$G865*SIN(RADIANS('13_시나리오비교'!$B$8))*SIN(RADIANS('13_시나리오비교'!$C$8))+$H865*SIN(RADIANS('13_시나리오비교'!$B$8))*COS(RADIANS('13_시나리오비교'!$C$8))+$I865*COS(RADIANS('13_시나리오비교'!$B$8))),0)</f>
        <v/>
      </c>
      <c r="T865" s="80">
        <f>IF($I865&gt;0,MAX(0,$G865*SIN(RADIANS('13_시나리오비교'!$B$9))*SIN(RADIANS('13_시나리오비교'!$C$9))+$H865*SIN(RADIANS('13_시나리오비교'!$B$9))*COS(RADIANS('13_시나리오비교'!$C$9))+$I865*COS(RADIANS('13_시나리오비교'!$B$9))),0)</f>
        <v/>
      </c>
      <c r="U865" s="80">
        <f>IF($I865&gt;0,MAX(0,$G865*SIN(RADIANS('13_시나리오비교'!$B$10))*SIN(RADIANS('13_시나리오비교'!$C$10))+$H865*SIN(RADIANS('13_시나리오비교'!$B$10))*COS(RADIANS('13_시나리오비교'!$C$10))+$I865*COS(RADIANS('13_시나리오비교'!$B$10))),0)</f>
        <v/>
      </c>
      <c r="V865" s="80">
        <f>IF($I865&gt;0,MAX(0,$G865*SIN(RADIANS('13_시나리오비교'!$B$11))*SIN(RADIANS('13_시나리오비교'!$C$11))+$H865*SIN(RADIANS('13_시나리오비교'!$B$11))*COS(RADIANS('13_시나리오비교'!$C$11))+$I865*COS(RADIANS('13_시나리오비교'!$B$11))),0)</f>
        <v/>
      </c>
      <c r="W865" s="80">
        <f>IF($I865&gt;0,MAX(0,$G865*SIN(RADIANS('13_시나리오비교'!$B$12))*SIN(RADIANS('13_시나리오비교'!$C$12))+$H865*SIN(RADIANS('13_시나리오비교'!$B$12))*COS(RADIANS('13_시나리오비교'!$C$12))+$I865*COS(RADIANS('13_시나리오비교'!$B$12))),0)</f>
        <v/>
      </c>
      <c r="X865" s="80">
        <f>IF($I865&gt;0,MAX(0,$G865*SIN(RADIANS('13_시나리오비교'!$B$13))*SIN(RADIANS('13_시나리오비교'!$C$13))+$H865*SIN(RADIANS('13_시나리오비교'!$B$13))*COS(RADIANS('13_시나리오비교'!$C$13))+$I865*COS(RADIANS('13_시나리오비교'!$B$13))),0)</f>
        <v/>
      </c>
      <c r="Y865" s="80">
        <f>IF($I865&gt;0,MAX(0,$G865*SIN(RADIANS('13_시나리오비교'!$B$14))*SIN(RADIANS('13_시나리오비교'!$C$14))+$H865*SIN(RADIANS('13_시나리오비교'!$B$14))*COS(RADIANS('13_시나리오비교'!$C$14))+$I865*COS(RADIANS('13_시나리오비교'!$B$14))),0)</f>
        <v/>
      </c>
    </row>
    <row r="866" hidden="1" outlineLevel="1">
      <c r="A866" s="79" t="n">
        <v>9</v>
      </c>
      <c r="B866" s="79" t="n">
        <v>78</v>
      </c>
      <c r="C866" s="80">
        <f>(B866-0.5)*'14_지역·상수'!$H$6</f>
        <v/>
      </c>
      <c r="D866" s="79" t="n">
        <v>258</v>
      </c>
      <c r="E866" s="80">
        <f>INDEX($C$4:$C$15,MATCH(A866,$A$4:$A$15,0))</f>
        <v/>
      </c>
      <c r="F866" s="80">
        <f>15*(C866-12)</f>
        <v/>
      </c>
      <c r="G866" s="80">
        <f>-COS(RADIANS(E866))*SIN(RADIANS(F866))</f>
        <v/>
      </c>
      <c r="H866" s="80">
        <f>COS(RADIANS('11_발전량_모델'!$B$17))*SIN(RADIANS(E866))-SIN(RADIANS('11_발전량_모델'!$B$17))*COS(RADIANS(E866))*COS(RADIANS(F866))</f>
        <v/>
      </c>
      <c r="I866" s="80">
        <f>SIN(RADIANS('11_발전량_모델'!$B$17))*SIN(RADIANS(E866))+COS(RADIANS('11_발전량_모델'!$B$17))*COS(RADIANS(E866))*COS(RADIANS(F866))</f>
        <v/>
      </c>
      <c r="J866" s="80">
        <f>SIN(RADIANS('11_발전량_모델'!$B$7))*SIN(RADIANS('11_발전량_모델'!$B$8))</f>
        <v/>
      </c>
      <c r="K866" s="80">
        <f>SIN(RADIANS('11_발전량_모델'!$B$7))*COS(RADIANS('11_발전량_모델'!$B$8))</f>
        <v/>
      </c>
      <c r="L866" s="80">
        <f>COS(RADIANS('11_발전량_모델'!$B$7))</f>
        <v/>
      </c>
      <c r="M866" s="80">
        <f>G866*J866+H866*K866+I866*L866</f>
        <v/>
      </c>
      <c r="N866" s="80">
        <f>MAX(0,I866)</f>
        <v/>
      </c>
      <c r="O866" s="80">
        <f>IF(I866&gt;0,MAX(0,M866),0)</f>
        <v/>
      </c>
      <c r="P866" s="80">
        <f>IF($I866&gt;0,MAX(0,$G866*SIN(RADIANS('13_시나리오비교'!$B$5))*SIN(RADIANS('13_시나리오비교'!$C$5))+$H866*SIN(RADIANS('13_시나리오비교'!$B$5))*COS(RADIANS('13_시나리오비교'!$C$5))+$I866*COS(RADIANS('13_시나리오비교'!$B$5))),0)</f>
        <v/>
      </c>
      <c r="Q866" s="80">
        <f>IF($I866&gt;0,MAX(0,$G866*SIN(RADIANS('13_시나리오비교'!$B$6))*SIN(RADIANS('13_시나리오비교'!$C$6))+$H866*SIN(RADIANS('13_시나리오비교'!$B$6))*COS(RADIANS('13_시나리오비교'!$C$6))+$I866*COS(RADIANS('13_시나리오비교'!$B$6))),0)</f>
        <v/>
      </c>
      <c r="R866" s="80">
        <f>IF($I866&gt;0,MAX(0,$G866*SIN(RADIANS('13_시나리오비교'!$B$7))*SIN(RADIANS('13_시나리오비교'!$C$7))+$H866*SIN(RADIANS('13_시나리오비교'!$B$7))*COS(RADIANS('13_시나리오비교'!$C$7))+$I866*COS(RADIANS('13_시나리오비교'!$B$7))),0)</f>
        <v/>
      </c>
      <c r="S866" s="80">
        <f>IF($I866&gt;0,MAX(0,$G866*SIN(RADIANS('13_시나리오비교'!$B$8))*SIN(RADIANS('13_시나리오비교'!$C$8))+$H866*SIN(RADIANS('13_시나리오비교'!$B$8))*COS(RADIANS('13_시나리오비교'!$C$8))+$I866*COS(RADIANS('13_시나리오비교'!$B$8))),0)</f>
        <v/>
      </c>
      <c r="T866" s="80">
        <f>IF($I866&gt;0,MAX(0,$G866*SIN(RADIANS('13_시나리오비교'!$B$9))*SIN(RADIANS('13_시나리오비교'!$C$9))+$H866*SIN(RADIANS('13_시나리오비교'!$B$9))*COS(RADIANS('13_시나리오비교'!$C$9))+$I866*COS(RADIANS('13_시나리오비교'!$B$9))),0)</f>
        <v/>
      </c>
      <c r="U866" s="80">
        <f>IF($I866&gt;0,MAX(0,$G866*SIN(RADIANS('13_시나리오비교'!$B$10))*SIN(RADIANS('13_시나리오비교'!$C$10))+$H866*SIN(RADIANS('13_시나리오비교'!$B$10))*COS(RADIANS('13_시나리오비교'!$C$10))+$I866*COS(RADIANS('13_시나리오비교'!$B$10))),0)</f>
        <v/>
      </c>
      <c r="V866" s="80">
        <f>IF($I866&gt;0,MAX(0,$G866*SIN(RADIANS('13_시나리오비교'!$B$11))*SIN(RADIANS('13_시나리오비교'!$C$11))+$H866*SIN(RADIANS('13_시나리오비교'!$B$11))*COS(RADIANS('13_시나리오비교'!$C$11))+$I866*COS(RADIANS('13_시나리오비교'!$B$11))),0)</f>
        <v/>
      </c>
      <c r="W866" s="80">
        <f>IF($I866&gt;0,MAX(0,$G866*SIN(RADIANS('13_시나리오비교'!$B$12))*SIN(RADIANS('13_시나리오비교'!$C$12))+$H866*SIN(RADIANS('13_시나리오비교'!$B$12))*COS(RADIANS('13_시나리오비교'!$C$12))+$I866*COS(RADIANS('13_시나리오비교'!$B$12))),0)</f>
        <v/>
      </c>
      <c r="X866" s="80">
        <f>IF($I866&gt;0,MAX(0,$G866*SIN(RADIANS('13_시나리오비교'!$B$13))*SIN(RADIANS('13_시나리오비교'!$C$13))+$H866*SIN(RADIANS('13_시나리오비교'!$B$13))*COS(RADIANS('13_시나리오비교'!$C$13))+$I866*COS(RADIANS('13_시나리오비교'!$B$13))),0)</f>
        <v/>
      </c>
      <c r="Y866" s="80">
        <f>IF($I866&gt;0,MAX(0,$G866*SIN(RADIANS('13_시나리오비교'!$B$14))*SIN(RADIANS('13_시나리오비교'!$C$14))+$H866*SIN(RADIANS('13_시나리오비교'!$B$14))*COS(RADIANS('13_시나리오비교'!$C$14))+$I866*COS(RADIANS('13_시나리오비교'!$B$14))),0)</f>
        <v/>
      </c>
    </row>
    <row r="867" hidden="1" outlineLevel="1">
      <c r="A867" s="79" t="n">
        <v>9</v>
      </c>
      <c r="B867" s="79" t="n">
        <v>79</v>
      </c>
      <c r="C867" s="80">
        <f>(B867-0.5)*'14_지역·상수'!$H$6</f>
        <v/>
      </c>
      <c r="D867" s="79" t="n">
        <v>258</v>
      </c>
      <c r="E867" s="80">
        <f>INDEX($C$4:$C$15,MATCH(A867,$A$4:$A$15,0))</f>
        <v/>
      </c>
      <c r="F867" s="80">
        <f>15*(C867-12)</f>
        <v/>
      </c>
      <c r="G867" s="80">
        <f>-COS(RADIANS(E867))*SIN(RADIANS(F867))</f>
        <v/>
      </c>
      <c r="H867" s="80">
        <f>COS(RADIANS('11_발전량_모델'!$B$17))*SIN(RADIANS(E867))-SIN(RADIANS('11_발전량_모델'!$B$17))*COS(RADIANS(E867))*COS(RADIANS(F867))</f>
        <v/>
      </c>
      <c r="I867" s="80">
        <f>SIN(RADIANS('11_발전량_모델'!$B$17))*SIN(RADIANS(E867))+COS(RADIANS('11_발전량_모델'!$B$17))*COS(RADIANS(E867))*COS(RADIANS(F867))</f>
        <v/>
      </c>
      <c r="J867" s="80">
        <f>SIN(RADIANS('11_발전량_모델'!$B$7))*SIN(RADIANS('11_발전량_모델'!$B$8))</f>
        <v/>
      </c>
      <c r="K867" s="80">
        <f>SIN(RADIANS('11_발전량_모델'!$B$7))*COS(RADIANS('11_발전량_모델'!$B$8))</f>
        <v/>
      </c>
      <c r="L867" s="80">
        <f>COS(RADIANS('11_발전량_모델'!$B$7))</f>
        <v/>
      </c>
      <c r="M867" s="80">
        <f>G867*J867+H867*K867+I867*L867</f>
        <v/>
      </c>
      <c r="N867" s="80">
        <f>MAX(0,I867)</f>
        <v/>
      </c>
      <c r="O867" s="80">
        <f>IF(I867&gt;0,MAX(0,M867),0)</f>
        <v/>
      </c>
      <c r="P867" s="80">
        <f>IF($I867&gt;0,MAX(0,$G867*SIN(RADIANS('13_시나리오비교'!$B$5))*SIN(RADIANS('13_시나리오비교'!$C$5))+$H867*SIN(RADIANS('13_시나리오비교'!$B$5))*COS(RADIANS('13_시나리오비교'!$C$5))+$I867*COS(RADIANS('13_시나리오비교'!$B$5))),0)</f>
        <v/>
      </c>
      <c r="Q867" s="80">
        <f>IF($I867&gt;0,MAX(0,$G867*SIN(RADIANS('13_시나리오비교'!$B$6))*SIN(RADIANS('13_시나리오비교'!$C$6))+$H867*SIN(RADIANS('13_시나리오비교'!$B$6))*COS(RADIANS('13_시나리오비교'!$C$6))+$I867*COS(RADIANS('13_시나리오비교'!$B$6))),0)</f>
        <v/>
      </c>
      <c r="R867" s="80">
        <f>IF($I867&gt;0,MAX(0,$G867*SIN(RADIANS('13_시나리오비교'!$B$7))*SIN(RADIANS('13_시나리오비교'!$C$7))+$H867*SIN(RADIANS('13_시나리오비교'!$B$7))*COS(RADIANS('13_시나리오비교'!$C$7))+$I867*COS(RADIANS('13_시나리오비교'!$B$7))),0)</f>
        <v/>
      </c>
      <c r="S867" s="80">
        <f>IF($I867&gt;0,MAX(0,$G867*SIN(RADIANS('13_시나리오비교'!$B$8))*SIN(RADIANS('13_시나리오비교'!$C$8))+$H867*SIN(RADIANS('13_시나리오비교'!$B$8))*COS(RADIANS('13_시나리오비교'!$C$8))+$I867*COS(RADIANS('13_시나리오비교'!$B$8))),0)</f>
        <v/>
      </c>
      <c r="T867" s="80">
        <f>IF($I867&gt;0,MAX(0,$G867*SIN(RADIANS('13_시나리오비교'!$B$9))*SIN(RADIANS('13_시나리오비교'!$C$9))+$H867*SIN(RADIANS('13_시나리오비교'!$B$9))*COS(RADIANS('13_시나리오비교'!$C$9))+$I867*COS(RADIANS('13_시나리오비교'!$B$9))),0)</f>
        <v/>
      </c>
      <c r="U867" s="80">
        <f>IF($I867&gt;0,MAX(0,$G867*SIN(RADIANS('13_시나리오비교'!$B$10))*SIN(RADIANS('13_시나리오비교'!$C$10))+$H867*SIN(RADIANS('13_시나리오비교'!$B$10))*COS(RADIANS('13_시나리오비교'!$C$10))+$I867*COS(RADIANS('13_시나리오비교'!$B$10))),0)</f>
        <v/>
      </c>
      <c r="V867" s="80">
        <f>IF($I867&gt;0,MAX(0,$G867*SIN(RADIANS('13_시나리오비교'!$B$11))*SIN(RADIANS('13_시나리오비교'!$C$11))+$H867*SIN(RADIANS('13_시나리오비교'!$B$11))*COS(RADIANS('13_시나리오비교'!$C$11))+$I867*COS(RADIANS('13_시나리오비교'!$B$11))),0)</f>
        <v/>
      </c>
      <c r="W867" s="80">
        <f>IF($I867&gt;0,MAX(0,$G867*SIN(RADIANS('13_시나리오비교'!$B$12))*SIN(RADIANS('13_시나리오비교'!$C$12))+$H867*SIN(RADIANS('13_시나리오비교'!$B$12))*COS(RADIANS('13_시나리오비교'!$C$12))+$I867*COS(RADIANS('13_시나리오비교'!$B$12))),0)</f>
        <v/>
      </c>
      <c r="X867" s="80">
        <f>IF($I867&gt;0,MAX(0,$G867*SIN(RADIANS('13_시나리오비교'!$B$13))*SIN(RADIANS('13_시나리오비교'!$C$13))+$H867*SIN(RADIANS('13_시나리오비교'!$B$13))*COS(RADIANS('13_시나리오비교'!$C$13))+$I867*COS(RADIANS('13_시나리오비교'!$B$13))),0)</f>
        <v/>
      </c>
      <c r="Y867" s="80">
        <f>IF($I867&gt;0,MAX(0,$G867*SIN(RADIANS('13_시나리오비교'!$B$14))*SIN(RADIANS('13_시나리오비교'!$C$14))+$H867*SIN(RADIANS('13_시나리오비교'!$B$14))*COS(RADIANS('13_시나리오비교'!$C$14))+$I867*COS(RADIANS('13_시나리오비교'!$B$14))),0)</f>
        <v/>
      </c>
    </row>
    <row r="868" hidden="1" outlineLevel="1">
      <c r="A868" s="79" t="n">
        <v>9</v>
      </c>
      <c r="B868" s="79" t="n">
        <v>80</v>
      </c>
      <c r="C868" s="80">
        <f>(B868-0.5)*'14_지역·상수'!$H$6</f>
        <v/>
      </c>
      <c r="D868" s="79" t="n">
        <v>258</v>
      </c>
      <c r="E868" s="80">
        <f>INDEX($C$4:$C$15,MATCH(A868,$A$4:$A$15,0))</f>
        <v/>
      </c>
      <c r="F868" s="80">
        <f>15*(C868-12)</f>
        <v/>
      </c>
      <c r="G868" s="80">
        <f>-COS(RADIANS(E868))*SIN(RADIANS(F868))</f>
        <v/>
      </c>
      <c r="H868" s="80">
        <f>COS(RADIANS('11_발전량_모델'!$B$17))*SIN(RADIANS(E868))-SIN(RADIANS('11_발전량_모델'!$B$17))*COS(RADIANS(E868))*COS(RADIANS(F868))</f>
        <v/>
      </c>
      <c r="I868" s="80">
        <f>SIN(RADIANS('11_발전량_모델'!$B$17))*SIN(RADIANS(E868))+COS(RADIANS('11_발전량_모델'!$B$17))*COS(RADIANS(E868))*COS(RADIANS(F868))</f>
        <v/>
      </c>
      <c r="J868" s="80">
        <f>SIN(RADIANS('11_발전량_모델'!$B$7))*SIN(RADIANS('11_발전량_모델'!$B$8))</f>
        <v/>
      </c>
      <c r="K868" s="80">
        <f>SIN(RADIANS('11_발전량_모델'!$B$7))*COS(RADIANS('11_발전량_모델'!$B$8))</f>
        <v/>
      </c>
      <c r="L868" s="80">
        <f>COS(RADIANS('11_발전량_모델'!$B$7))</f>
        <v/>
      </c>
      <c r="M868" s="80">
        <f>G868*J868+H868*K868+I868*L868</f>
        <v/>
      </c>
      <c r="N868" s="80">
        <f>MAX(0,I868)</f>
        <v/>
      </c>
      <c r="O868" s="80">
        <f>IF(I868&gt;0,MAX(0,M868),0)</f>
        <v/>
      </c>
      <c r="P868" s="80">
        <f>IF($I868&gt;0,MAX(0,$G868*SIN(RADIANS('13_시나리오비교'!$B$5))*SIN(RADIANS('13_시나리오비교'!$C$5))+$H868*SIN(RADIANS('13_시나리오비교'!$B$5))*COS(RADIANS('13_시나리오비교'!$C$5))+$I868*COS(RADIANS('13_시나리오비교'!$B$5))),0)</f>
        <v/>
      </c>
      <c r="Q868" s="80">
        <f>IF($I868&gt;0,MAX(0,$G868*SIN(RADIANS('13_시나리오비교'!$B$6))*SIN(RADIANS('13_시나리오비교'!$C$6))+$H868*SIN(RADIANS('13_시나리오비교'!$B$6))*COS(RADIANS('13_시나리오비교'!$C$6))+$I868*COS(RADIANS('13_시나리오비교'!$B$6))),0)</f>
        <v/>
      </c>
      <c r="R868" s="80">
        <f>IF($I868&gt;0,MAX(0,$G868*SIN(RADIANS('13_시나리오비교'!$B$7))*SIN(RADIANS('13_시나리오비교'!$C$7))+$H868*SIN(RADIANS('13_시나리오비교'!$B$7))*COS(RADIANS('13_시나리오비교'!$C$7))+$I868*COS(RADIANS('13_시나리오비교'!$B$7))),0)</f>
        <v/>
      </c>
      <c r="S868" s="80">
        <f>IF($I868&gt;0,MAX(0,$G868*SIN(RADIANS('13_시나리오비교'!$B$8))*SIN(RADIANS('13_시나리오비교'!$C$8))+$H868*SIN(RADIANS('13_시나리오비교'!$B$8))*COS(RADIANS('13_시나리오비교'!$C$8))+$I868*COS(RADIANS('13_시나리오비교'!$B$8))),0)</f>
        <v/>
      </c>
      <c r="T868" s="80">
        <f>IF($I868&gt;0,MAX(0,$G868*SIN(RADIANS('13_시나리오비교'!$B$9))*SIN(RADIANS('13_시나리오비교'!$C$9))+$H868*SIN(RADIANS('13_시나리오비교'!$B$9))*COS(RADIANS('13_시나리오비교'!$C$9))+$I868*COS(RADIANS('13_시나리오비교'!$B$9))),0)</f>
        <v/>
      </c>
      <c r="U868" s="80">
        <f>IF($I868&gt;0,MAX(0,$G868*SIN(RADIANS('13_시나리오비교'!$B$10))*SIN(RADIANS('13_시나리오비교'!$C$10))+$H868*SIN(RADIANS('13_시나리오비교'!$B$10))*COS(RADIANS('13_시나리오비교'!$C$10))+$I868*COS(RADIANS('13_시나리오비교'!$B$10))),0)</f>
        <v/>
      </c>
      <c r="V868" s="80">
        <f>IF($I868&gt;0,MAX(0,$G868*SIN(RADIANS('13_시나리오비교'!$B$11))*SIN(RADIANS('13_시나리오비교'!$C$11))+$H868*SIN(RADIANS('13_시나리오비교'!$B$11))*COS(RADIANS('13_시나리오비교'!$C$11))+$I868*COS(RADIANS('13_시나리오비교'!$B$11))),0)</f>
        <v/>
      </c>
      <c r="W868" s="80">
        <f>IF($I868&gt;0,MAX(0,$G868*SIN(RADIANS('13_시나리오비교'!$B$12))*SIN(RADIANS('13_시나리오비교'!$C$12))+$H868*SIN(RADIANS('13_시나리오비교'!$B$12))*COS(RADIANS('13_시나리오비교'!$C$12))+$I868*COS(RADIANS('13_시나리오비교'!$B$12))),0)</f>
        <v/>
      </c>
      <c r="X868" s="80">
        <f>IF($I868&gt;0,MAX(0,$G868*SIN(RADIANS('13_시나리오비교'!$B$13))*SIN(RADIANS('13_시나리오비교'!$C$13))+$H868*SIN(RADIANS('13_시나리오비교'!$B$13))*COS(RADIANS('13_시나리오비교'!$C$13))+$I868*COS(RADIANS('13_시나리오비교'!$B$13))),0)</f>
        <v/>
      </c>
      <c r="Y868" s="80">
        <f>IF($I868&gt;0,MAX(0,$G868*SIN(RADIANS('13_시나리오비교'!$B$14))*SIN(RADIANS('13_시나리오비교'!$C$14))+$H868*SIN(RADIANS('13_시나리오비교'!$B$14))*COS(RADIANS('13_시나리오비교'!$C$14))+$I868*COS(RADIANS('13_시나리오비교'!$B$14))),0)</f>
        <v/>
      </c>
    </row>
    <row r="869" hidden="1" outlineLevel="1">
      <c r="A869" s="79" t="n">
        <v>9</v>
      </c>
      <c r="B869" s="79" t="n">
        <v>81</v>
      </c>
      <c r="C869" s="80">
        <f>(B869-0.5)*'14_지역·상수'!$H$6</f>
        <v/>
      </c>
      <c r="D869" s="79" t="n">
        <v>258</v>
      </c>
      <c r="E869" s="80">
        <f>INDEX($C$4:$C$15,MATCH(A869,$A$4:$A$15,0))</f>
        <v/>
      </c>
      <c r="F869" s="80">
        <f>15*(C869-12)</f>
        <v/>
      </c>
      <c r="G869" s="80">
        <f>-COS(RADIANS(E869))*SIN(RADIANS(F869))</f>
        <v/>
      </c>
      <c r="H869" s="80">
        <f>COS(RADIANS('11_발전량_모델'!$B$17))*SIN(RADIANS(E869))-SIN(RADIANS('11_발전량_모델'!$B$17))*COS(RADIANS(E869))*COS(RADIANS(F869))</f>
        <v/>
      </c>
      <c r="I869" s="80">
        <f>SIN(RADIANS('11_발전량_모델'!$B$17))*SIN(RADIANS(E869))+COS(RADIANS('11_발전량_모델'!$B$17))*COS(RADIANS(E869))*COS(RADIANS(F869))</f>
        <v/>
      </c>
      <c r="J869" s="80">
        <f>SIN(RADIANS('11_발전량_모델'!$B$7))*SIN(RADIANS('11_발전량_모델'!$B$8))</f>
        <v/>
      </c>
      <c r="K869" s="80">
        <f>SIN(RADIANS('11_발전량_모델'!$B$7))*COS(RADIANS('11_발전량_모델'!$B$8))</f>
        <v/>
      </c>
      <c r="L869" s="80">
        <f>COS(RADIANS('11_발전량_모델'!$B$7))</f>
        <v/>
      </c>
      <c r="M869" s="80">
        <f>G869*J869+H869*K869+I869*L869</f>
        <v/>
      </c>
      <c r="N869" s="80">
        <f>MAX(0,I869)</f>
        <v/>
      </c>
      <c r="O869" s="80">
        <f>IF(I869&gt;0,MAX(0,M869),0)</f>
        <v/>
      </c>
      <c r="P869" s="80">
        <f>IF($I869&gt;0,MAX(0,$G869*SIN(RADIANS('13_시나리오비교'!$B$5))*SIN(RADIANS('13_시나리오비교'!$C$5))+$H869*SIN(RADIANS('13_시나리오비교'!$B$5))*COS(RADIANS('13_시나리오비교'!$C$5))+$I869*COS(RADIANS('13_시나리오비교'!$B$5))),0)</f>
        <v/>
      </c>
      <c r="Q869" s="80">
        <f>IF($I869&gt;0,MAX(0,$G869*SIN(RADIANS('13_시나리오비교'!$B$6))*SIN(RADIANS('13_시나리오비교'!$C$6))+$H869*SIN(RADIANS('13_시나리오비교'!$B$6))*COS(RADIANS('13_시나리오비교'!$C$6))+$I869*COS(RADIANS('13_시나리오비교'!$B$6))),0)</f>
        <v/>
      </c>
      <c r="R869" s="80">
        <f>IF($I869&gt;0,MAX(0,$G869*SIN(RADIANS('13_시나리오비교'!$B$7))*SIN(RADIANS('13_시나리오비교'!$C$7))+$H869*SIN(RADIANS('13_시나리오비교'!$B$7))*COS(RADIANS('13_시나리오비교'!$C$7))+$I869*COS(RADIANS('13_시나리오비교'!$B$7))),0)</f>
        <v/>
      </c>
      <c r="S869" s="80">
        <f>IF($I869&gt;0,MAX(0,$G869*SIN(RADIANS('13_시나리오비교'!$B$8))*SIN(RADIANS('13_시나리오비교'!$C$8))+$H869*SIN(RADIANS('13_시나리오비교'!$B$8))*COS(RADIANS('13_시나리오비교'!$C$8))+$I869*COS(RADIANS('13_시나리오비교'!$B$8))),0)</f>
        <v/>
      </c>
      <c r="T869" s="80">
        <f>IF($I869&gt;0,MAX(0,$G869*SIN(RADIANS('13_시나리오비교'!$B$9))*SIN(RADIANS('13_시나리오비교'!$C$9))+$H869*SIN(RADIANS('13_시나리오비교'!$B$9))*COS(RADIANS('13_시나리오비교'!$C$9))+$I869*COS(RADIANS('13_시나리오비교'!$B$9))),0)</f>
        <v/>
      </c>
      <c r="U869" s="80">
        <f>IF($I869&gt;0,MAX(0,$G869*SIN(RADIANS('13_시나리오비교'!$B$10))*SIN(RADIANS('13_시나리오비교'!$C$10))+$H869*SIN(RADIANS('13_시나리오비교'!$B$10))*COS(RADIANS('13_시나리오비교'!$C$10))+$I869*COS(RADIANS('13_시나리오비교'!$B$10))),0)</f>
        <v/>
      </c>
      <c r="V869" s="80">
        <f>IF($I869&gt;0,MAX(0,$G869*SIN(RADIANS('13_시나리오비교'!$B$11))*SIN(RADIANS('13_시나리오비교'!$C$11))+$H869*SIN(RADIANS('13_시나리오비교'!$B$11))*COS(RADIANS('13_시나리오비교'!$C$11))+$I869*COS(RADIANS('13_시나리오비교'!$B$11))),0)</f>
        <v/>
      </c>
      <c r="W869" s="80">
        <f>IF($I869&gt;0,MAX(0,$G869*SIN(RADIANS('13_시나리오비교'!$B$12))*SIN(RADIANS('13_시나리오비교'!$C$12))+$H869*SIN(RADIANS('13_시나리오비교'!$B$12))*COS(RADIANS('13_시나리오비교'!$C$12))+$I869*COS(RADIANS('13_시나리오비교'!$B$12))),0)</f>
        <v/>
      </c>
      <c r="X869" s="80">
        <f>IF($I869&gt;0,MAX(0,$G869*SIN(RADIANS('13_시나리오비교'!$B$13))*SIN(RADIANS('13_시나리오비교'!$C$13))+$H869*SIN(RADIANS('13_시나리오비교'!$B$13))*COS(RADIANS('13_시나리오비교'!$C$13))+$I869*COS(RADIANS('13_시나리오비교'!$B$13))),0)</f>
        <v/>
      </c>
      <c r="Y869" s="80">
        <f>IF($I869&gt;0,MAX(0,$G869*SIN(RADIANS('13_시나리오비교'!$B$14))*SIN(RADIANS('13_시나리오비교'!$C$14))+$H869*SIN(RADIANS('13_시나리오비교'!$B$14))*COS(RADIANS('13_시나리오비교'!$C$14))+$I869*COS(RADIANS('13_시나리오비교'!$B$14))),0)</f>
        <v/>
      </c>
    </row>
    <row r="870" hidden="1" outlineLevel="1">
      <c r="A870" s="79" t="n">
        <v>9</v>
      </c>
      <c r="B870" s="79" t="n">
        <v>82</v>
      </c>
      <c r="C870" s="80">
        <f>(B870-0.5)*'14_지역·상수'!$H$6</f>
        <v/>
      </c>
      <c r="D870" s="79" t="n">
        <v>258</v>
      </c>
      <c r="E870" s="80">
        <f>INDEX($C$4:$C$15,MATCH(A870,$A$4:$A$15,0))</f>
        <v/>
      </c>
      <c r="F870" s="80">
        <f>15*(C870-12)</f>
        <v/>
      </c>
      <c r="G870" s="80">
        <f>-COS(RADIANS(E870))*SIN(RADIANS(F870))</f>
        <v/>
      </c>
      <c r="H870" s="80">
        <f>COS(RADIANS('11_발전량_모델'!$B$17))*SIN(RADIANS(E870))-SIN(RADIANS('11_발전량_모델'!$B$17))*COS(RADIANS(E870))*COS(RADIANS(F870))</f>
        <v/>
      </c>
      <c r="I870" s="80">
        <f>SIN(RADIANS('11_발전량_모델'!$B$17))*SIN(RADIANS(E870))+COS(RADIANS('11_발전량_모델'!$B$17))*COS(RADIANS(E870))*COS(RADIANS(F870))</f>
        <v/>
      </c>
      <c r="J870" s="80">
        <f>SIN(RADIANS('11_발전량_모델'!$B$7))*SIN(RADIANS('11_발전량_모델'!$B$8))</f>
        <v/>
      </c>
      <c r="K870" s="80">
        <f>SIN(RADIANS('11_발전량_모델'!$B$7))*COS(RADIANS('11_발전량_모델'!$B$8))</f>
        <v/>
      </c>
      <c r="L870" s="80">
        <f>COS(RADIANS('11_발전량_모델'!$B$7))</f>
        <v/>
      </c>
      <c r="M870" s="80">
        <f>G870*J870+H870*K870+I870*L870</f>
        <v/>
      </c>
      <c r="N870" s="80">
        <f>MAX(0,I870)</f>
        <v/>
      </c>
      <c r="O870" s="80">
        <f>IF(I870&gt;0,MAX(0,M870),0)</f>
        <v/>
      </c>
      <c r="P870" s="80">
        <f>IF($I870&gt;0,MAX(0,$G870*SIN(RADIANS('13_시나리오비교'!$B$5))*SIN(RADIANS('13_시나리오비교'!$C$5))+$H870*SIN(RADIANS('13_시나리오비교'!$B$5))*COS(RADIANS('13_시나리오비교'!$C$5))+$I870*COS(RADIANS('13_시나리오비교'!$B$5))),0)</f>
        <v/>
      </c>
      <c r="Q870" s="80">
        <f>IF($I870&gt;0,MAX(0,$G870*SIN(RADIANS('13_시나리오비교'!$B$6))*SIN(RADIANS('13_시나리오비교'!$C$6))+$H870*SIN(RADIANS('13_시나리오비교'!$B$6))*COS(RADIANS('13_시나리오비교'!$C$6))+$I870*COS(RADIANS('13_시나리오비교'!$B$6))),0)</f>
        <v/>
      </c>
      <c r="R870" s="80">
        <f>IF($I870&gt;0,MAX(0,$G870*SIN(RADIANS('13_시나리오비교'!$B$7))*SIN(RADIANS('13_시나리오비교'!$C$7))+$H870*SIN(RADIANS('13_시나리오비교'!$B$7))*COS(RADIANS('13_시나리오비교'!$C$7))+$I870*COS(RADIANS('13_시나리오비교'!$B$7))),0)</f>
        <v/>
      </c>
      <c r="S870" s="80">
        <f>IF($I870&gt;0,MAX(0,$G870*SIN(RADIANS('13_시나리오비교'!$B$8))*SIN(RADIANS('13_시나리오비교'!$C$8))+$H870*SIN(RADIANS('13_시나리오비교'!$B$8))*COS(RADIANS('13_시나리오비교'!$C$8))+$I870*COS(RADIANS('13_시나리오비교'!$B$8))),0)</f>
        <v/>
      </c>
      <c r="T870" s="80">
        <f>IF($I870&gt;0,MAX(0,$G870*SIN(RADIANS('13_시나리오비교'!$B$9))*SIN(RADIANS('13_시나리오비교'!$C$9))+$H870*SIN(RADIANS('13_시나리오비교'!$B$9))*COS(RADIANS('13_시나리오비교'!$C$9))+$I870*COS(RADIANS('13_시나리오비교'!$B$9))),0)</f>
        <v/>
      </c>
      <c r="U870" s="80">
        <f>IF($I870&gt;0,MAX(0,$G870*SIN(RADIANS('13_시나리오비교'!$B$10))*SIN(RADIANS('13_시나리오비교'!$C$10))+$H870*SIN(RADIANS('13_시나리오비교'!$B$10))*COS(RADIANS('13_시나리오비교'!$C$10))+$I870*COS(RADIANS('13_시나리오비교'!$B$10))),0)</f>
        <v/>
      </c>
      <c r="V870" s="80">
        <f>IF($I870&gt;0,MAX(0,$G870*SIN(RADIANS('13_시나리오비교'!$B$11))*SIN(RADIANS('13_시나리오비교'!$C$11))+$H870*SIN(RADIANS('13_시나리오비교'!$B$11))*COS(RADIANS('13_시나리오비교'!$C$11))+$I870*COS(RADIANS('13_시나리오비교'!$B$11))),0)</f>
        <v/>
      </c>
      <c r="W870" s="80">
        <f>IF($I870&gt;0,MAX(0,$G870*SIN(RADIANS('13_시나리오비교'!$B$12))*SIN(RADIANS('13_시나리오비교'!$C$12))+$H870*SIN(RADIANS('13_시나리오비교'!$B$12))*COS(RADIANS('13_시나리오비교'!$C$12))+$I870*COS(RADIANS('13_시나리오비교'!$B$12))),0)</f>
        <v/>
      </c>
      <c r="X870" s="80">
        <f>IF($I870&gt;0,MAX(0,$G870*SIN(RADIANS('13_시나리오비교'!$B$13))*SIN(RADIANS('13_시나리오비교'!$C$13))+$H870*SIN(RADIANS('13_시나리오비교'!$B$13))*COS(RADIANS('13_시나리오비교'!$C$13))+$I870*COS(RADIANS('13_시나리오비교'!$B$13))),0)</f>
        <v/>
      </c>
      <c r="Y870" s="80">
        <f>IF($I870&gt;0,MAX(0,$G870*SIN(RADIANS('13_시나리오비교'!$B$14))*SIN(RADIANS('13_시나리오비교'!$C$14))+$H870*SIN(RADIANS('13_시나리오비교'!$B$14))*COS(RADIANS('13_시나리오비교'!$C$14))+$I870*COS(RADIANS('13_시나리오비교'!$B$14))),0)</f>
        <v/>
      </c>
    </row>
    <row r="871" hidden="1" outlineLevel="1">
      <c r="A871" s="79" t="n">
        <v>9</v>
      </c>
      <c r="B871" s="79" t="n">
        <v>83</v>
      </c>
      <c r="C871" s="80">
        <f>(B871-0.5)*'14_지역·상수'!$H$6</f>
        <v/>
      </c>
      <c r="D871" s="79" t="n">
        <v>258</v>
      </c>
      <c r="E871" s="80">
        <f>INDEX($C$4:$C$15,MATCH(A871,$A$4:$A$15,0))</f>
        <v/>
      </c>
      <c r="F871" s="80">
        <f>15*(C871-12)</f>
        <v/>
      </c>
      <c r="G871" s="80">
        <f>-COS(RADIANS(E871))*SIN(RADIANS(F871))</f>
        <v/>
      </c>
      <c r="H871" s="80">
        <f>COS(RADIANS('11_발전량_모델'!$B$17))*SIN(RADIANS(E871))-SIN(RADIANS('11_발전량_모델'!$B$17))*COS(RADIANS(E871))*COS(RADIANS(F871))</f>
        <v/>
      </c>
      <c r="I871" s="80">
        <f>SIN(RADIANS('11_발전량_모델'!$B$17))*SIN(RADIANS(E871))+COS(RADIANS('11_발전량_모델'!$B$17))*COS(RADIANS(E871))*COS(RADIANS(F871))</f>
        <v/>
      </c>
      <c r="J871" s="80">
        <f>SIN(RADIANS('11_발전량_모델'!$B$7))*SIN(RADIANS('11_발전량_모델'!$B$8))</f>
        <v/>
      </c>
      <c r="K871" s="80">
        <f>SIN(RADIANS('11_발전량_모델'!$B$7))*COS(RADIANS('11_발전량_모델'!$B$8))</f>
        <v/>
      </c>
      <c r="L871" s="80">
        <f>COS(RADIANS('11_발전량_모델'!$B$7))</f>
        <v/>
      </c>
      <c r="M871" s="80">
        <f>G871*J871+H871*K871+I871*L871</f>
        <v/>
      </c>
      <c r="N871" s="80">
        <f>MAX(0,I871)</f>
        <v/>
      </c>
      <c r="O871" s="80">
        <f>IF(I871&gt;0,MAX(0,M871),0)</f>
        <v/>
      </c>
      <c r="P871" s="80">
        <f>IF($I871&gt;0,MAX(0,$G871*SIN(RADIANS('13_시나리오비교'!$B$5))*SIN(RADIANS('13_시나리오비교'!$C$5))+$H871*SIN(RADIANS('13_시나리오비교'!$B$5))*COS(RADIANS('13_시나리오비교'!$C$5))+$I871*COS(RADIANS('13_시나리오비교'!$B$5))),0)</f>
        <v/>
      </c>
      <c r="Q871" s="80">
        <f>IF($I871&gt;0,MAX(0,$G871*SIN(RADIANS('13_시나리오비교'!$B$6))*SIN(RADIANS('13_시나리오비교'!$C$6))+$H871*SIN(RADIANS('13_시나리오비교'!$B$6))*COS(RADIANS('13_시나리오비교'!$C$6))+$I871*COS(RADIANS('13_시나리오비교'!$B$6))),0)</f>
        <v/>
      </c>
      <c r="R871" s="80">
        <f>IF($I871&gt;0,MAX(0,$G871*SIN(RADIANS('13_시나리오비교'!$B$7))*SIN(RADIANS('13_시나리오비교'!$C$7))+$H871*SIN(RADIANS('13_시나리오비교'!$B$7))*COS(RADIANS('13_시나리오비교'!$C$7))+$I871*COS(RADIANS('13_시나리오비교'!$B$7))),0)</f>
        <v/>
      </c>
      <c r="S871" s="80">
        <f>IF($I871&gt;0,MAX(0,$G871*SIN(RADIANS('13_시나리오비교'!$B$8))*SIN(RADIANS('13_시나리오비교'!$C$8))+$H871*SIN(RADIANS('13_시나리오비교'!$B$8))*COS(RADIANS('13_시나리오비교'!$C$8))+$I871*COS(RADIANS('13_시나리오비교'!$B$8))),0)</f>
        <v/>
      </c>
      <c r="T871" s="80">
        <f>IF($I871&gt;0,MAX(0,$G871*SIN(RADIANS('13_시나리오비교'!$B$9))*SIN(RADIANS('13_시나리오비교'!$C$9))+$H871*SIN(RADIANS('13_시나리오비교'!$B$9))*COS(RADIANS('13_시나리오비교'!$C$9))+$I871*COS(RADIANS('13_시나리오비교'!$B$9))),0)</f>
        <v/>
      </c>
      <c r="U871" s="80">
        <f>IF($I871&gt;0,MAX(0,$G871*SIN(RADIANS('13_시나리오비교'!$B$10))*SIN(RADIANS('13_시나리오비교'!$C$10))+$H871*SIN(RADIANS('13_시나리오비교'!$B$10))*COS(RADIANS('13_시나리오비교'!$C$10))+$I871*COS(RADIANS('13_시나리오비교'!$B$10))),0)</f>
        <v/>
      </c>
      <c r="V871" s="80">
        <f>IF($I871&gt;0,MAX(0,$G871*SIN(RADIANS('13_시나리오비교'!$B$11))*SIN(RADIANS('13_시나리오비교'!$C$11))+$H871*SIN(RADIANS('13_시나리오비교'!$B$11))*COS(RADIANS('13_시나리오비교'!$C$11))+$I871*COS(RADIANS('13_시나리오비교'!$B$11))),0)</f>
        <v/>
      </c>
      <c r="W871" s="80">
        <f>IF($I871&gt;0,MAX(0,$G871*SIN(RADIANS('13_시나리오비교'!$B$12))*SIN(RADIANS('13_시나리오비교'!$C$12))+$H871*SIN(RADIANS('13_시나리오비교'!$B$12))*COS(RADIANS('13_시나리오비교'!$C$12))+$I871*COS(RADIANS('13_시나리오비교'!$B$12))),0)</f>
        <v/>
      </c>
      <c r="X871" s="80">
        <f>IF($I871&gt;0,MAX(0,$G871*SIN(RADIANS('13_시나리오비교'!$B$13))*SIN(RADIANS('13_시나리오비교'!$C$13))+$H871*SIN(RADIANS('13_시나리오비교'!$B$13))*COS(RADIANS('13_시나리오비교'!$C$13))+$I871*COS(RADIANS('13_시나리오비교'!$B$13))),0)</f>
        <v/>
      </c>
      <c r="Y871" s="80">
        <f>IF($I871&gt;0,MAX(0,$G871*SIN(RADIANS('13_시나리오비교'!$B$14))*SIN(RADIANS('13_시나리오비교'!$C$14))+$H871*SIN(RADIANS('13_시나리오비교'!$B$14))*COS(RADIANS('13_시나리오비교'!$C$14))+$I871*COS(RADIANS('13_시나리오비교'!$B$14))),0)</f>
        <v/>
      </c>
    </row>
    <row r="872" hidden="1" outlineLevel="1">
      <c r="A872" s="79" t="n">
        <v>9</v>
      </c>
      <c r="B872" s="79" t="n">
        <v>84</v>
      </c>
      <c r="C872" s="80">
        <f>(B872-0.5)*'14_지역·상수'!$H$6</f>
        <v/>
      </c>
      <c r="D872" s="79" t="n">
        <v>258</v>
      </c>
      <c r="E872" s="80">
        <f>INDEX($C$4:$C$15,MATCH(A872,$A$4:$A$15,0))</f>
        <v/>
      </c>
      <c r="F872" s="80">
        <f>15*(C872-12)</f>
        <v/>
      </c>
      <c r="G872" s="80">
        <f>-COS(RADIANS(E872))*SIN(RADIANS(F872))</f>
        <v/>
      </c>
      <c r="H872" s="80">
        <f>COS(RADIANS('11_발전량_모델'!$B$17))*SIN(RADIANS(E872))-SIN(RADIANS('11_발전량_모델'!$B$17))*COS(RADIANS(E872))*COS(RADIANS(F872))</f>
        <v/>
      </c>
      <c r="I872" s="80">
        <f>SIN(RADIANS('11_발전량_모델'!$B$17))*SIN(RADIANS(E872))+COS(RADIANS('11_발전량_모델'!$B$17))*COS(RADIANS(E872))*COS(RADIANS(F872))</f>
        <v/>
      </c>
      <c r="J872" s="80">
        <f>SIN(RADIANS('11_발전량_모델'!$B$7))*SIN(RADIANS('11_발전량_모델'!$B$8))</f>
        <v/>
      </c>
      <c r="K872" s="80">
        <f>SIN(RADIANS('11_발전량_모델'!$B$7))*COS(RADIANS('11_발전량_모델'!$B$8))</f>
        <v/>
      </c>
      <c r="L872" s="80">
        <f>COS(RADIANS('11_발전량_모델'!$B$7))</f>
        <v/>
      </c>
      <c r="M872" s="80">
        <f>G872*J872+H872*K872+I872*L872</f>
        <v/>
      </c>
      <c r="N872" s="80">
        <f>MAX(0,I872)</f>
        <v/>
      </c>
      <c r="O872" s="80">
        <f>IF(I872&gt;0,MAX(0,M872),0)</f>
        <v/>
      </c>
      <c r="P872" s="80">
        <f>IF($I872&gt;0,MAX(0,$G872*SIN(RADIANS('13_시나리오비교'!$B$5))*SIN(RADIANS('13_시나리오비교'!$C$5))+$H872*SIN(RADIANS('13_시나리오비교'!$B$5))*COS(RADIANS('13_시나리오비교'!$C$5))+$I872*COS(RADIANS('13_시나리오비교'!$B$5))),0)</f>
        <v/>
      </c>
      <c r="Q872" s="80">
        <f>IF($I872&gt;0,MAX(0,$G872*SIN(RADIANS('13_시나리오비교'!$B$6))*SIN(RADIANS('13_시나리오비교'!$C$6))+$H872*SIN(RADIANS('13_시나리오비교'!$B$6))*COS(RADIANS('13_시나리오비교'!$C$6))+$I872*COS(RADIANS('13_시나리오비교'!$B$6))),0)</f>
        <v/>
      </c>
      <c r="R872" s="80">
        <f>IF($I872&gt;0,MAX(0,$G872*SIN(RADIANS('13_시나리오비교'!$B$7))*SIN(RADIANS('13_시나리오비교'!$C$7))+$H872*SIN(RADIANS('13_시나리오비교'!$B$7))*COS(RADIANS('13_시나리오비교'!$C$7))+$I872*COS(RADIANS('13_시나리오비교'!$B$7))),0)</f>
        <v/>
      </c>
      <c r="S872" s="80">
        <f>IF($I872&gt;0,MAX(0,$G872*SIN(RADIANS('13_시나리오비교'!$B$8))*SIN(RADIANS('13_시나리오비교'!$C$8))+$H872*SIN(RADIANS('13_시나리오비교'!$B$8))*COS(RADIANS('13_시나리오비교'!$C$8))+$I872*COS(RADIANS('13_시나리오비교'!$B$8))),0)</f>
        <v/>
      </c>
      <c r="T872" s="80">
        <f>IF($I872&gt;0,MAX(0,$G872*SIN(RADIANS('13_시나리오비교'!$B$9))*SIN(RADIANS('13_시나리오비교'!$C$9))+$H872*SIN(RADIANS('13_시나리오비교'!$B$9))*COS(RADIANS('13_시나리오비교'!$C$9))+$I872*COS(RADIANS('13_시나리오비교'!$B$9))),0)</f>
        <v/>
      </c>
      <c r="U872" s="80">
        <f>IF($I872&gt;0,MAX(0,$G872*SIN(RADIANS('13_시나리오비교'!$B$10))*SIN(RADIANS('13_시나리오비교'!$C$10))+$H872*SIN(RADIANS('13_시나리오비교'!$B$10))*COS(RADIANS('13_시나리오비교'!$C$10))+$I872*COS(RADIANS('13_시나리오비교'!$B$10))),0)</f>
        <v/>
      </c>
      <c r="V872" s="80">
        <f>IF($I872&gt;0,MAX(0,$G872*SIN(RADIANS('13_시나리오비교'!$B$11))*SIN(RADIANS('13_시나리오비교'!$C$11))+$H872*SIN(RADIANS('13_시나리오비교'!$B$11))*COS(RADIANS('13_시나리오비교'!$C$11))+$I872*COS(RADIANS('13_시나리오비교'!$B$11))),0)</f>
        <v/>
      </c>
      <c r="W872" s="80">
        <f>IF($I872&gt;0,MAX(0,$G872*SIN(RADIANS('13_시나리오비교'!$B$12))*SIN(RADIANS('13_시나리오비교'!$C$12))+$H872*SIN(RADIANS('13_시나리오비교'!$B$12))*COS(RADIANS('13_시나리오비교'!$C$12))+$I872*COS(RADIANS('13_시나리오비교'!$B$12))),0)</f>
        <v/>
      </c>
      <c r="X872" s="80">
        <f>IF($I872&gt;0,MAX(0,$G872*SIN(RADIANS('13_시나리오비교'!$B$13))*SIN(RADIANS('13_시나리오비교'!$C$13))+$H872*SIN(RADIANS('13_시나리오비교'!$B$13))*COS(RADIANS('13_시나리오비교'!$C$13))+$I872*COS(RADIANS('13_시나리오비교'!$B$13))),0)</f>
        <v/>
      </c>
      <c r="Y872" s="80">
        <f>IF($I872&gt;0,MAX(0,$G872*SIN(RADIANS('13_시나리오비교'!$B$14))*SIN(RADIANS('13_시나리오비교'!$C$14))+$H872*SIN(RADIANS('13_시나리오비교'!$B$14))*COS(RADIANS('13_시나리오비교'!$C$14))+$I872*COS(RADIANS('13_시나리오비교'!$B$14))),0)</f>
        <v/>
      </c>
    </row>
    <row r="873" hidden="1" outlineLevel="1">
      <c r="A873" s="79" t="n">
        <v>9</v>
      </c>
      <c r="B873" s="79" t="n">
        <v>85</v>
      </c>
      <c r="C873" s="80">
        <f>(B873-0.5)*'14_지역·상수'!$H$6</f>
        <v/>
      </c>
      <c r="D873" s="79" t="n">
        <v>258</v>
      </c>
      <c r="E873" s="80">
        <f>INDEX($C$4:$C$15,MATCH(A873,$A$4:$A$15,0))</f>
        <v/>
      </c>
      <c r="F873" s="80">
        <f>15*(C873-12)</f>
        <v/>
      </c>
      <c r="G873" s="80">
        <f>-COS(RADIANS(E873))*SIN(RADIANS(F873))</f>
        <v/>
      </c>
      <c r="H873" s="80">
        <f>COS(RADIANS('11_발전량_모델'!$B$17))*SIN(RADIANS(E873))-SIN(RADIANS('11_발전량_모델'!$B$17))*COS(RADIANS(E873))*COS(RADIANS(F873))</f>
        <v/>
      </c>
      <c r="I873" s="80">
        <f>SIN(RADIANS('11_발전량_모델'!$B$17))*SIN(RADIANS(E873))+COS(RADIANS('11_발전량_모델'!$B$17))*COS(RADIANS(E873))*COS(RADIANS(F873))</f>
        <v/>
      </c>
      <c r="J873" s="80">
        <f>SIN(RADIANS('11_발전량_모델'!$B$7))*SIN(RADIANS('11_발전량_모델'!$B$8))</f>
        <v/>
      </c>
      <c r="K873" s="80">
        <f>SIN(RADIANS('11_발전량_모델'!$B$7))*COS(RADIANS('11_발전량_모델'!$B$8))</f>
        <v/>
      </c>
      <c r="L873" s="80">
        <f>COS(RADIANS('11_발전량_모델'!$B$7))</f>
        <v/>
      </c>
      <c r="M873" s="80">
        <f>G873*J873+H873*K873+I873*L873</f>
        <v/>
      </c>
      <c r="N873" s="80">
        <f>MAX(0,I873)</f>
        <v/>
      </c>
      <c r="O873" s="80">
        <f>IF(I873&gt;0,MAX(0,M873),0)</f>
        <v/>
      </c>
      <c r="P873" s="80">
        <f>IF($I873&gt;0,MAX(0,$G873*SIN(RADIANS('13_시나리오비교'!$B$5))*SIN(RADIANS('13_시나리오비교'!$C$5))+$H873*SIN(RADIANS('13_시나리오비교'!$B$5))*COS(RADIANS('13_시나리오비교'!$C$5))+$I873*COS(RADIANS('13_시나리오비교'!$B$5))),0)</f>
        <v/>
      </c>
      <c r="Q873" s="80">
        <f>IF($I873&gt;0,MAX(0,$G873*SIN(RADIANS('13_시나리오비교'!$B$6))*SIN(RADIANS('13_시나리오비교'!$C$6))+$H873*SIN(RADIANS('13_시나리오비교'!$B$6))*COS(RADIANS('13_시나리오비교'!$C$6))+$I873*COS(RADIANS('13_시나리오비교'!$B$6))),0)</f>
        <v/>
      </c>
      <c r="R873" s="80">
        <f>IF($I873&gt;0,MAX(0,$G873*SIN(RADIANS('13_시나리오비교'!$B$7))*SIN(RADIANS('13_시나리오비교'!$C$7))+$H873*SIN(RADIANS('13_시나리오비교'!$B$7))*COS(RADIANS('13_시나리오비교'!$C$7))+$I873*COS(RADIANS('13_시나리오비교'!$B$7))),0)</f>
        <v/>
      </c>
      <c r="S873" s="80">
        <f>IF($I873&gt;0,MAX(0,$G873*SIN(RADIANS('13_시나리오비교'!$B$8))*SIN(RADIANS('13_시나리오비교'!$C$8))+$H873*SIN(RADIANS('13_시나리오비교'!$B$8))*COS(RADIANS('13_시나리오비교'!$C$8))+$I873*COS(RADIANS('13_시나리오비교'!$B$8))),0)</f>
        <v/>
      </c>
      <c r="T873" s="80">
        <f>IF($I873&gt;0,MAX(0,$G873*SIN(RADIANS('13_시나리오비교'!$B$9))*SIN(RADIANS('13_시나리오비교'!$C$9))+$H873*SIN(RADIANS('13_시나리오비교'!$B$9))*COS(RADIANS('13_시나리오비교'!$C$9))+$I873*COS(RADIANS('13_시나리오비교'!$B$9))),0)</f>
        <v/>
      </c>
      <c r="U873" s="80">
        <f>IF($I873&gt;0,MAX(0,$G873*SIN(RADIANS('13_시나리오비교'!$B$10))*SIN(RADIANS('13_시나리오비교'!$C$10))+$H873*SIN(RADIANS('13_시나리오비교'!$B$10))*COS(RADIANS('13_시나리오비교'!$C$10))+$I873*COS(RADIANS('13_시나리오비교'!$B$10))),0)</f>
        <v/>
      </c>
      <c r="V873" s="80">
        <f>IF($I873&gt;0,MAX(0,$G873*SIN(RADIANS('13_시나리오비교'!$B$11))*SIN(RADIANS('13_시나리오비교'!$C$11))+$H873*SIN(RADIANS('13_시나리오비교'!$B$11))*COS(RADIANS('13_시나리오비교'!$C$11))+$I873*COS(RADIANS('13_시나리오비교'!$B$11))),0)</f>
        <v/>
      </c>
      <c r="W873" s="80">
        <f>IF($I873&gt;0,MAX(0,$G873*SIN(RADIANS('13_시나리오비교'!$B$12))*SIN(RADIANS('13_시나리오비교'!$C$12))+$H873*SIN(RADIANS('13_시나리오비교'!$B$12))*COS(RADIANS('13_시나리오비교'!$C$12))+$I873*COS(RADIANS('13_시나리오비교'!$B$12))),0)</f>
        <v/>
      </c>
      <c r="X873" s="80">
        <f>IF($I873&gt;0,MAX(0,$G873*SIN(RADIANS('13_시나리오비교'!$B$13))*SIN(RADIANS('13_시나리오비교'!$C$13))+$H873*SIN(RADIANS('13_시나리오비교'!$B$13))*COS(RADIANS('13_시나리오비교'!$C$13))+$I873*COS(RADIANS('13_시나리오비교'!$B$13))),0)</f>
        <v/>
      </c>
      <c r="Y873" s="80">
        <f>IF($I873&gt;0,MAX(0,$G873*SIN(RADIANS('13_시나리오비교'!$B$14))*SIN(RADIANS('13_시나리오비교'!$C$14))+$H873*SIN(RADIANS('13_시나리오비교'!$B$14))*COS(RADIANS('13_시나리오비교'!$C$14))+$I873*COS(RADIANS('13_시나리오비교'!$B$14))),0)</f>
        <v/>
      </c>
    </row>
    <row r="874" hidden="1" outlineLevel="1">
      <c r="A874" s="79" t="n">
        <v>9</v>
      </c>
      <c r="B874" s="79" t="n">
        <v>86</v>
      </c>
      <c r="C874" s="80">
        <f>(B874-0.5)*'14_지역·상수'!$H$6</f>
        <v/>
      </c>
      <c r="D874" s="79" t="n">
        <v>258</v>
      </c>
      <c r="E874" s="80">
        <f>INDEX($C$4:$C$15,MATCH(A874,$A$4:$A$15,0))</f>
        <v/>
      </c>
      <c r="F874" s="80">
        <f>15*(C874-12)</f>
        <v/>
      </c>
      <c r="G874" s="80">
        <f>-COS(RADIANS(E874))*SIN(RADIANS(F874))</f>
        <v/>
      </c>
      <c r="H874" s="80">
        <f>COS(RADIANS('11_발전량_모델'!$B$17))*SIN(RADIANS(E874))-SIN(RADIANS('11_발전량_모델'!$B$17))*COS(RADIANS(E874))*COS(RADIANS(F874))</f>
        <v/>
      </c>
      <c r="I874" s="80">
        <f>SIN(RADIANS('11_발전량_모델'!$B$17))*SIN(RADIANS(E874))+COS(RADIANS('11_발전량_모델'!$B$17))*COS(RADIANS(E874))*COS(RADIANS(F874))</f>
        <v/>
      </c>
      <c r="J874" s="80">
        <f>SIN(RADIANS('11_발전량_모델'!$B$7))*SIN(RADIANS('11_발전량_모델'!$B$8))</f>
        <v/>
      </c>
      <c r="K874" s="80">
        <f>SIN(RADIANS('11_발전량_모델'!$B$7))*COS(RADIANS('11_발전량_모델'!$B$8))</f>
        <v/>
      </c>
      <c r="L874" s="80">
        <f>COS(RADIANS('11_발전량_모델'!$B$7))</f>
        <v/>
      </c>
      <c r="M874" s="80">
        <f>G874*J874+H874*K874+I874*L874</f>
        <v/>
      </c>
      <c r="N874" s="80">
        <f>MAX(0,I874)</f>
        <v/>
      </c>
      <c r="O874" s="80">
        <f>IF(I874&gt;0,MAX(0,M874),0)</f>
        <v/>
      </c>
      <c r="P874" s="80">
        <f>IF($I874&gt;0,MAX(0,$G874*SIN(RADIANS('13_시나리오비교'!$B$5))*SIN(RADIANS('13_시나리오비교'!$C$5))+$H874*SIN(RADIANS('13_시나리오비교'!$B$5))*COS(RADIANS('13_시나리오비교'!$C$5))+$I874*COS(RADIANS('13_시나리오비교'!$B$5))),0)</f>
        <v/>
      </c>
      <c r="Q874" s="80">
        <f>IF($I874&gt;0,MAX(0,$G874*SIN(RADIANS('13_시나리오비교'!$B$6))*SIN(RADIANS('13_시나리오비교'!$C$6))+$H874*SIN(RADIANS('13_시나리오비교'!$B$6))*COS(RADIANS('13_시나리오비교'!$C$6))+$I874*COS(RADIANS('13_시나리오비교'!$B$6))),0)</f>
        <v/>
      </c>
      <c r="R874" s="80">
        <f>IF($I874&gt;0,MAX(0,$G874*SIN(RADIANS('13_시나리오비교'!$B$7))*SIN(RADIANS('13_시나리오비교'!$C$7))+$H874*SIN(RADIANS('13_시나리오비교'!$B$7))*COS(RADIANS('13_시나리오비교'!$C$7))+$I874*COS(RADIANS('13_시나리오비교'!$B$7))),0)</f>
        <v/>
      </c>
      <c r="S874" s="80">
        <f>IF($I874&gt;0,MAX(0,$G874*SIN(RADIANS('13_시나리오비교'!$B$8))*SIN(RADIANS('13_시나리오비교'!$C$8))+$H874*SIN(RADIANS('13_시나리오비교'!$B$8))*COS(RADIANS('13_시나리오비교'!$C$8))+$I874*COS(RADIANS('13_시나리오비교'!$B$8))),0)</f>
        <v/>
      </c>
      <c r="T874" s="80">
        <f>IF($I874&gt;0,MAX(0,$G874*SIN(RADIANS('13_시나리오비교'!$B$9))*SIN(RADIANS('13_시나리오비교'!$C$9))+$H874*SIN(RADIANS('13_시나리오비교'!$B$9))*COS(RADIANS('13_시나리오비교'!$C$9))+$I874*COS(RADIANS('13_시나리오비교'!$B$9))),0)</f>
        <v/>
      </c>
      <c r="U874" s="80">
        <f>IF($I874&gt;0,MAX(0,$G874*SIN(RADIANS('13_시나리오비교'!$B$10))*SIN(RADIANS('13_시나리오비교'!$C$10))+$H874*SIN(RADIANS('13_시나리오비교'!$B$10))*COS(RADIANS('13_시나리오비교'!$C$10))+$I874*COS(RADIANS('13_시나리오비교'!$B$10))),0)</f>
        <v/>
      </c>
      <c r="V874" s="80">
        <f>IF($I874&gt;0,MAX(0,$G874*SIN(RADIANS('13_시나리오비교'!$B$11))*SIN(RADIANS('13_시나리오비교'!$C$11))+$H874*SIN(RADIANS('13_시나리오비교'!$B$11))*COS(RADIANS('13_시나리오비교'!$C$11))+$I874*COS(RADIANS('13_시나리오비교'!$B$11))),0)</f>
        <v/>
      </c>
      <c r="W874" s="80">
        <f>IF($I874&gt;0,MAX(0,$G874*SIN(RADIANS('13_시나리오비교'!$B$12))*SIN(RADIANS('13_시나리오비교'!$C$12))+$H874*SIN(RADIANS('13_시나리오비교'!$B$12))*COS(RADIANS('13_시나리오비교'!$C$12))+$I874*COS(RADIANS('13_시나리오비교'!$B$12))),0)</f>
        <v/>
      </c>
      <c r="X874" s="80">
        <f>IF($I874&gt;0,MAX(0,$G874*SIN(RADIANS('13_시나리오비교'!$B$13))*SIN(RADIANS('13_시나리오비교'!$C$13))+$H874*SIN(RADIANS('13_시나리오비교'!$B$13))*COS(RADIANS('13_시나리오비교'!$C$13))+$I874*COS(RADIANS('13_시나리오비교'!$B$13))),0)</f>
        <v/>
      </c>
      <c r="Y874" s="80">
        <f>IF($I874&gt;0,MAX(0,$G874*SIN(RADIANS('13_시나리오비교'!$B$14))*SIN(RADIANS('13_시나리오비교'!$C$14))+$H874*SIN(RADIANS('13_시나리오비교'!$B$14))*COS(RADIANS('13_시나리오비교'!$C$14))+$I874*COS(RADIANS('13_시나리오비교'!$B$14))),0)</f>
        <v/>
      </c>
    </row>
    <row r="875" hidden="1" outlineLevel="1">
      <c r="A875" s="79" t="n">
        <v>9</v>
      </c>
      <c r="B875" s="79" t="n">
        <v>87</v>
      </c>
      <c r="C875" s="80">
        <f>(B875-0.5)*'14_지역·상수'!$H$6</f>
        <v/>
      </c>
      <c r="D875" s="79" t="n">
        <v>258</v>
      </c>
      <c r="E875" s="80">
        <f>INDEX($C$4:$C$15,MATCH(A875,$A$4:$A$15,0))</f>
        <v/>
      </c>
      <c r="F875" s="80">
        <f>15*(C875-12)</f>
        <v/>
      </c>
      <c r="G875" s="80">
        <f>-COS(RADIANS(E875))*SIN(RADIANS(F875))</f>
        <v/>
      </c>
      <c r="H875" s="80">
        <f>COS(RADIANS('11_발전량_모델'!$B$17))*SIN(RADIANS(E875))-SIN(RADIANS('11_발전량_모델'!$B$17))*COS(RADIANS(E875))*COS(RADIANS(F875))</f>
        <v/>
      </c>
      <c r="I875" s="80">
        <f>SIN(RADIANS('11_발전량_모델'!$B$17))*SIN(RADIANS(E875))+COS(RADIANS('11_발전량_모델'!$B$17))*COS(RADIANS(E875))*COS(RADIANS(F875))</f>
        <v/>
      </c>
      <c r="J875" s="80">
        <f>SIN(RADIANS('11_발전량_모델'!$B$7))*SIN(RADIANS('11_발전량_모델'!$B$8))</f>
        <v/>
      </c>
      <c r="K875" s="80">
        <f>SIN(RADIANS('11_발전량_모델'!$B$7))*COS(RADIANS('11_발전량_모델'!$B$8))</f>
        <v/>
      </c>
      <c r="L875" s="80">
        <f>COS(RADIANS('11_발전량_모델'!$B$7))</f>
        <v/>
      </c>
      <c r="M875" s="80">
        <f>G875*J875+H875*K875+I875*L875</f>
        <v/>
      </c>
      <c r="N875" s="80">
        <f>MAX(0,I875)</f>
        <v/>
      </c>
      <c r="O875" s="80">
        <f>IF(I875&gt;0,MAX(0,M875),0)</f>
        <v/>
      </c>
      <c r="P875" s="80">
        <f>IF($I875&gt;0,MAX(0,$G875*SIN(RADIANS('13_시나리오비교'!$B$5))*SIN(RADIANS('13_시나리오비교'!$C$5))+$H875*SIN(RADIANS('13_시나리오비교'!$B$5))*COS(RADIANS('13_시나리오비교'!$C$5))+$I875*COS(RADIANS('13_시나리오비교'!$B$5))),0)</f>
        <v/>
      </c>
      <c r="Q875" s="80">
        <f>IF($I875&gt;0,MAX(0,$G875*SIN(RADIANS('13_시나리오비교'!$B$6))*SIN(RADIANS('13_시나리오비교'!$C$6))+$H875*SIN(RADIANS('13_시나리오비교'!$B$6))*COS(RADIANS('13_시나리오비교'!$C$6))+$I875*COS(RADIANS('13_시나리오비교'!$B$6))),0)</f>
        <v/>
      </c>
      <c r="R875" s="80">
        <f>IF($I875&gt;0,MAX(0,$G875*SIN(RADIANS('13_시나리오비교'!$B$7))*SIN(RADIANS('13_시나리오비교'!$C$7))+$H875*SIN(RADIANS('13_시나리오비교'!$B$7))*COS(RADIANS('13_시나리오비교'!$C$7))+$I875*COS(RADIANS('13_시나리오비교'!$B$7))),0)</f>
        <v/>
      </c>
      <c r="S875" s="80">
        <f>IF($I875&gt;0,MAX(0,$G875*SIN(RADIANS('13_시나리오비교'!$B$8))*SIN(RADIANS('13_시나리오비교'!$C$8))+$H875*SIN(RADIANS('13_시나리오비교'!$B$8))*COS(RADIANS('13_시나리오비교'!$C$8))+$I875*COS(RADIANS('13_시나리오비교'!$B$8))),0)</f>
        <v/>
      </c>
      <c r="T875" s="80">
        <f>IF($I875&gt;0,MAX(0,$G875*SIN(RADIANS('13_시나리오비교'!$B$9))*SIN(RADIANS('13_시나리오비교'!$C$9))+$H875*SIN(RADIANS('13_시나리오비교'!$B$9))*COS(RADIANS('13_시나리오비교'!$C$9))+$I875*COS(RADIANS('13_시나리오비교'!$B$9))),0)</f>
        <v/>
      </c>
      <c r="U875" s="80">
        <f>IF($I875&gt;0,MAX(0,$G875*SIN(RADIANS('13_시나리오비교'!$B$10))*SIN(RADIANS('13_시나리오비교'!$C$10))+$H875*SIN(RADIANS('13_시나리오비교'!$B$10))*COS(RADIANS('13_시나리오비교'!$C$10))+$I875*COS(RADIANS('13_시나리오비교'!$B$10))),0)</f>
        <v/>
      </c>
      <c r="V875" s="80">
        <f>IF($I875&gt;0,MAX(0,$G875*SIN(RADIANS('13_시나리오비교'!$B$11))*SIN(RADIANS('13_시나리오비교'!$C$11))+$H875*SIN(RADIANS('13_시나리오비교'!$B$11))*COS(RADIANS('13_시나리오비교'!$C$11))+$I875*COS(RADIANS('13_시나리오비교'!$B$11))),0)</f>
        <v/>
      </c>
      <c r="W875" s="80">
        <f>IF($I875&gt;0,MAX(0,$G875*SIN(RADIANS('13_시나리오비교'!$B$12))*SIN(RADIANS('13_시나리오비교'!$C$12))+$H875*SIN(RADIANS('13_시나리오비교'!$B$12))*COS(RADIANS('13_시나리오비교'!$C$12))+$I875*COS(RADIANS('13_시나리오비교'!$B$12))),0)</f>
        <v/>
      </c>
      <c r="X875" s="80">
        <f>IF($I875&gt;0,MAX(0,$G875*SIN(RADIANS('13_시나리오비교'!$B$13))*SIN(RADIANS('13_시나리오비교'!$C$13))+$H875*SIN(RADIANS('13_시나리오비교'!$B$13))*COS(RADIANS('13_시나리오비교'!$C$13))+$I875*COS(RADIANS('13_시나리오비교'!$B$13))),0)</f>
        <v/>
      </c>
      <c r="Y875" s="80">
        <f>IF($I875&gt;0,MAX(0,$G875*SIN(RADIANS('13_시나리오비교'!$B$14))*SIN(RADIANS('13_시나리오비교'!$C$14))+$H875*SIN(RADIANS('13_시나리오비교'!$B$14))*COS(RADIANS('13_시나리오비교'!$C$14))+$I875*COS(RADIANS('13_시나리오비교'!$B$14))),0)</f>
        <v/>
      </c>
    </row>
    <row r="876" hidden="1" outlineLevel="1">
      <c r="A876" s="79" t="n">
        <v>9</v>
      </c>
      <c r="B876" s="79" t="n">
        <v>88</v>
      </c>
      <c r="C876" s="80">
        <f>(B876-0.5)*'14_지역·상수'!$H$6</f>
        <v/>
      </c>
      <c r="D876" s="79" t="n">
        <v>258</v>
      </c>
      <c r="E876" s="80">
        <f>INDEX($C$4:$C$15,MATCH(A876,$A$4:$A$15,0))</f>
        <v/>
      </c>
      <c r="F876" s="80">
        <f>15*(C876-12)</f>
        <v/>
      </c>
      <c r="G876" s="80">
        <f>-COS(RADIANS(E876))*SIN(RADIANS(F876))</f>
        <v/>
      </c>
      <c r="H876" s="80">
        <f>COS(RADIANS('11_발전량_모델'!$B$17))*SIN(RADIANS(E876))-SIN(RADIANS('11_발전량_모델'!$B$17))*COS(RADIANS(E876))*COS(RADIANS(F876))</f>
        <v/>
      </c>
      <c r="I876" s="80">
        <f>SIN(RADIANS('11_발전량_모델'!$B$17))*SIN(RADIANS(E876))+COS(RADIANS('11_발전량_모델'!$B$17))*COS(RADIANS(E876))*COS(RADIANS(F876))</f>
        <v/>
      </c>
      <c r="J876" s="80">
        <f>SIN(RADIANS('11_발전량_모델'!$B$7))*SIN(RADIANS('11_발전량_모델'!$B$8))</f>
        <v/>
      </c>
      <c r="K876" s="80">
        <f>SIN(RADIANS('11_발전량_모델'!$B$7))*COS(RADIANS('11_발전량_모델'!$B$8))</f>
        <v/>
      </c>
      <c r="L876" s="80">
        <f>COS(RADIANS('11_발전량_모델'!$B$7))</f>
        <v/>
      </c>
      <c r="M876" s="80">
        <f>G876*J876+H876*K876+I876*L876</f>
        <v/>
      </c>
      <c r="N876" s="80">
        <f>MAX(0,I876)</f>
        <v/>
      </c>
      <c r="O876" s="80">
        <f>IF(I876&gt;0,MAX(0,M876),0)</f>
        <v/>
      </c>
      <c r="P876" s="80">
        <f>IF($I876&gt;0,MAX(0,$G876*SIN(RADIANS('13_시나리오비교'!$B$5))*SIN(RADIANS('13_시나리오비교'!$C$5))+$H876*SIN(RADIANS('13_시나리오비교'!$B$5))*COS(RADIANS('13_시나리오비교'!$C$5))+$I876*COS(RADIANS('13_시나리오비교'!$B$5))),0)</f>
        <v/>
      </c>
      <c r="Q876" s="80">
        <f>IF($I876&gt;0,MAX(0,$G876*SIN(RADIANS('13_시나리오비교'!$B$6))*SIN(RADIANS('13_시나리오비교'!$C$6))+$H876*SIN(RADIANS('13_시나리오비교'!$B$6))*COS(RADIANS('13_시나리오비교'!$C$6))+$I876*COS(RADIANS('13_시나리오비교'!$B$6))),0)</f>
        <v/>
      </c>
      <c r="R876" s="80">
        <f>IF($I876&gt;0,MAX(0,$G876*SIN(RADIANS('13_시나리오비교'!$B$7))*SIN(RADIANS('13_시나리오비교'!$C$7))+$H876*SIN(RADIANS('13_시나리오비교'!$B$7))*COS(RADIANS('13_시나리오비교'!$C$7))+$I876*COS(RADIANS('13_시나리오비교'!$B$7))),0)</f>
        <v/>
      </c>
      <c r="S876" s="80">
        <f>IF($I876&gt;0,MAX(0,$G876*SIN(RADIANS('13_시나리오비교'!$B$8))*SIN(RADIANS('13_시나리오비교'!$C$8))+$H876*SIN(RADIANS('13_시나리오비교'!$B$8))*COS(RADIANS('13_시나리오비교'!$C$8))+$I876*COS(RADIANS('13_시나리오비교'!$B$8))),0)</f>
        <v/>
      </c>
      <c r="T876" s="80">
        <f>IF($I876&gt;0,MAX(0,$G876*SIN(RADIANS('13_시나리오비교'!$B$9))*SIN(RADIANS('13_시나리오비교'!$C$9))+$H876*SIN(RADIANS('13_시나리오비교'!$B$9))*COS(RADIANS('13_시나리오비교'!$C$9))+$I876*COS(RADIANS('13_시나리오비교'!$B$9))),0)</f>
        <v/>
      </c>
      <c r="U876" s="80">
        <f>IF($I876&gt;0,MAX(0,$G876*SIN(RADIANS('13_시나리오비교'!$B$10))*SIN(RADIANS('13_시나리오비교'!$C$10))+$H876*SIN(RADIANS('13_시나리오비교'!$B$10))*COS(RADIANS('13_시나리오비교'!$C$10))+$I876*COS(RADIANS('13_시나리오비교'!$B$10))),0)</f>
        <v/>
      </c>
      <c r="V876" s="80">
        <f>IF($I876&gt;0,MAX(0,$G876*SIN(RADIANS('13_시나리오비교'!$B$11))*SIN(RADIANS('13_시나리오비교'!$C$11))+$H876*SIN(RADIANS('13_시나리오비교'!$B$11))*COS(RADIANS('13_시나리오비교'!$C$11))+$I876*COS(RADIANS('13_시나리오비교'!$B$11))),0)</f>
        <v/>
      </c>
      <c r="W876" s="80">
        <f>IF($I876&gt;0,MAX(0,$G876*SIN(RADIANS('13_시나리오비교'!$B$12))*SIN(RADIANS('13_시나리오비교'!$C$12))+$H876*SIN(RADIANS('13_시나리오비교'!$B$12))*COS(RADIANS('13_시나리오비교'!$C$12))+$I876*COS(RADIANS('13_시나리오비교'!$B$12))),0)</f>
        <v/>
      </c>
      <c r="X876" s="80">
        <f>IF($I876&gt;0,MAX(0,$G876*SIN(RADIANS('13_시나리오비교'!$B$13))*SIN(RADIANS('13_시나리오비교'!$C$13))+$H876*SIN(RADIANS('13_시나리오비교'!$B$13))*COS(RADIANS('13_시나리오비교'!$C$13))+$I876*COS(RADIANS('13_시나리오비교'!$B$13))),0)</f>
        <v/>
      </c>
      <c r="Y876" s="80">
        <f>IF($I876&gt;0,MAX(0,$G876*SIN(RADIANS('13_시나리오비교'!$B$14))*SIN(RADIANS('13_시나리오비교'!$C$14))+$H876*SIN(RADIANS('13_시나리오비교'!$B$14))*COS(RADIANS('13_시나리오비교'!$C$14))+$I876*COS(RADIANS('13_시나리오비교'!$B$14))),0)</f>
        <v/>
      </c>
    </row>
    <row r="877" hidden="1" outlineLevel="1">
      <c r="A877" s="79" t="n">
        <v>9</v>
      </c>
      <c r="B877" s="79" t="n">
        <v>89</v>
      </c>
      <c r="C877" s="80">
        <f>(B877-0.5)*'14_지역·상수'!$H$6</f>
        <v/>
      </c>
      <c r="D877" s="79" t="n">
        <v>258</v>
      </c>
      <c r="E877" s="80">
        <f>INDEX($C$4:$C$15,MATCH(A877,$A$4:$A$15,0))</f>
        <v/>
      </c>
      <c r="F877" s="80">
        <f>15*(C877-12)</f>
        <v/>
      </c>
      <c r="G877" s="80">
        <f>-COS(RADIANS(E877))*SIN(RADIANS(F877))</f>
        <v/>
      </c>
      <c r="H877" s="80">
        <f>COS(RADIANS('11_발전량_모델'!$B$17))*SIN(RADIANS(E877))-SIN(RADIANS('11_발전량_모델'!$B$17))*COS(RADIANS(E877))*COS(RADIANS(F877))</f>
        <v/>
      </c>
      <c r="I877" s="80">
        <f>SIN(RADIANS('11_발전량_모델'!$B$17))*SIN(RADIANS(E877))+COS(RADIANS('11_발전량_모델'!$B$17))*COS(RADIANS(E877))*COS(RADIANS(F877))</f>
        <v/>
      </c>
      <c r="J877" s="80">
        <f>SIN(RADIANS('11_발전량_모델'!$B$7))*SIN(RADIANS('11_발전량_모델'!$B$8))</f>
        <v/>
      </c>
      <c r="K877" s="80">
        <f>SIN(RADIANS('11_발전량_모델'!$B$7))*COS(RADIANS('11_발전량_모델'!$B$8))</f>
        <v/>
      </c>
      <c r="L877" s="80">
        <f>COS(RADIANS('11_발전량_모델'!$B$7))</f>
        <v/>
      </c>
      <c r="M877" s="80">
        <f>G877*J877+H877*K877+I877*L877</f>
        <v/>
      </c>
      <c r="N877" s="80">
        <f>MAX(0,I877)</f>
        <v/>
      </c>
      <c r="O877" s="80">
        <f>IF(I877&gt;0,MAX(0,M877),0)</f>
        <v/>
      </c>
      <c r="P877" s="80">
        <f>IF($I877&gt;0,MAX(0,$G877*SIN(RADIANS('13_시나리오비교'!$B$5))*SIN(RADIANS('13_시나리오비교'!$C$5))+$H877*SIN(RADIANS('13_시나리오비교'!$B$5))*COS(RADIANS('13_시나리오비교'!$C$5))+$I877*COS(RADIANS('13_시나리오비교'!$B$5))),0)</f>
        <v/>
      </c>
      <c r="Q877" s="80">
        <f>IF($I877&gt;0,MAX(0,$G877*SIN(RADIANS('13_시나리오비교'!$B$6))*SIN(RADIANS('13_시나리오비교'!$C$6))+$H877*SIN(RADIANS('13_시나리오비교'!$B$6))*COS(RADIANS('13_시나리오비교'!$C$6))+$I877*COS(RADIANS('13_시나리오비교'!$B$6))),0)</f>
        <v/>
      </c>
      <c r="R877" s="80">
        <f>IF($I877&gt;0,MAX(0,$G877*SIN(RADIANS('13_시나리오비교'!$B$7))*SIN(RADIANS('13_시나리오비교'!$C$7))+$H877*SIN(RADIANS('13_시나리오비교'!$B$7))*COS(RADIANS('13_시나리오비교'!$C$7))+$I877*COS(RADIANS('13_시나리오비교'!$B$7))),0)</f>
        <v/>
      </c>
      <c r="S877" s="80">
        <f>IF($I877&gt;0,MAX(0,$G877*SIN(RADIANS('13_시나리오비교'!$B$8))*SIN(RADIANS('13_시나리오비교'!$C$8))+$H877*SIN(RADIANS('13_시나리오비교'!$B$8))*COS(RADIANS('13_시나리오비교'!$C$8))+$I877*COS(RADIANS('13_시나리오비교'!$B$8))),0)</f>
        <v/>
      </c>
      <c r="T877" s="80">
        <f>IF($I877&gt;0,MAX(0,$G877*SIN(RADIANS('13_시나리오비교'!$B$9))*SIN(RADIANS('13_시나리오비교'!$C$9))+$H877*SIN(RADIANS('13_시나리오비교'!$B$9))*COS(RADIANS('13_시나리오비교'!$C$9))+$I877*COS(RADIANS('13_시나리오비교'!$B$9))),0)</f>
        <v/>
      </c>
      <c r="U877" s="80">
        <f>IF($I877&gt;0,MAX(0,$G877*SIN(RADIANS('13_시나리오비교'!$B$10))*SIN(RADIANS('13_시나리오비교'!$C$10))+$H877*SIN(RADIANS('13_시나리오비교'!$B$10))*COS(RADIANS('13_시나리오비교'!$C$10))+$I877*COS(RADIANS('13_시나리오비교'!$B$10))),0)</f>
        <v/>
      </c>
      <c r="V877" s="80">
        <f>IF($I877&gt;0,MAX(0,$G877*SIN(RADIANS('13_시나리오비교'!$B$11))*SIN(RADIANS('13_시나리오비교'!$C$11))+$H877*SIN(RADIANS('13_시나리오비교'!$B$11))*COS(RADIANS('13_시나리오비교'!$C$11))+$I877*COS(RADIANS('13_시나리오비교'!$B$11))),0)</f>
        <v/>
      </c>
      <c r="W877" s="80">
        <f>IF($I877&gt;0,MAX(0,$G877*SIN(RADIANS('13_시나리오비교'!$B$12))*SIN(RADIANS('13_시나리오비교'!$C$12))+$H877*SIN(RADIANS('13_시나리오비교'!$B$12))*COS(RADIANS('13_시나리오비교'!$C$12))+$I877*COS(RADIANS('13_시나리오비교'!$B$12))),0)</f>
        <v/>
      </c>
      <c r="X877" s="80">
        <f>IF($I877&gt;0,MAX(0,$G877*SIN(RADIANS('13_시나리오비교'!$B$13))*SIN(RADIANS('13_시나리오비교'!$C$13))+$H877*SIN(RADIANS('13_시나리오비교'!$B$13))*COS(RADIANS('13_시나리오비교'!$C$13))+$I877*COS(RADIANS('13_시나리오비교'!$B$13))),0)</f>
        <v/>
      </c>
      <c r="Y877" s="80">
        <f>IF($I877&gt;0,MAX(0,$G877*SIN(RADIANS('13_시나리오비교'!$B$14))*SIN(RADIANS('13_시나리오비교'!$C$14))+$H877*SIN(RADIANS('13_시나리오비교'!$B$14))*COS(RADIANS('13_시나리오비교'!$C$14))+$I877*COS(RADIANS('13_시나리오비교'!$B$14))),0)</f>
        <v/>
      </c>
    </row>
    <row r="878" hidden="1" outlineLevel="1">
      <c r="A878" s="79" t="n">
        <v>9</v>
      </c>
      <c r="B878" s="79" t="n">
        <v>90</v>
      </c>
      <c r="C878" s="80">
        <f>(B878-0.5)*'14_지역·상수'!$H$6</f>
        <v/>
      </c>
      <c r="D878" s="79" t="n">
        <v>258</v>
      </c>
      <c r="E878" s="80">
        <f>INDEX($C$4:$C$15,MATCH(A878,$A$4:$A$15,0))</f>
        <v/>
      </c>
      <c r="F878" s="80">
        <f>15*(C878-12)</f>
        <v/>
      </c>
      <c r="G878" s="80">
        <f>-COS(RADIANS(E878))*SIN(RADIANS(F878))</f>
        <v/>
      </c>
      <c r="H878" s="80">
        <f>COS(RADIANS('11_발전량_모델'!$B$17))*SIN(RADIANS(E878))-SIN(RADIANS('11_발전량_모델'!$B$17))*COS(RADIANS(E878))*COS(RADIANS(F878))</f>
        <v/>
      </c>
      <c r="I878" s="80">
        <f>SIN(RADIANS('11_발전량_모델'!$B$17))*SIN(RADIANS(E878))+COS(RADIANS('11_발전량_모델'!$B$17))*COS(RADIANS(E878))*COS(RADIANS(F878))</f>
        <v/>
      </c>
      <c r="J878" s="80">
        <f>SIN(RADIANS('11_발전량_모델'!$B$7))*SIN(RADIANS('11_발전량_모델'!$B$8))</f>
        <v/>
      </c>
      <c r="K878" s="80">
        <f>SIN(RADIANS('11_발전량_모델'!$B$7))*COS(RADIANS('11_발전량_모델'!$B$8))</f>
        <v/>
      </c>
      <c r="L878" s="80">
        <f>COS(RADIANS('11_발전량_모델'!$B$7))</f>
        <v/>
      </c>
      <c r="M878" s="80">
        <f>G878*J878+H878*K878+I878*L878</f>
        <v/>
      </c>
      <c r="N878" s="80">
        <f>MAX(0,I878)</f>
        <v/>
      </c>
      <c r="O878" s="80">
        <f>IF(I878&gt;0,MAX(0,M878),0)</f>
        <v/>
      </c>
      <c r="P878" s="80">
        <f>IF($I878&gt;0,MAX(0,$G878*SIN(RADIANS('13_시나리오비교'!$B$5))*SIN(RADIANS('13_시나리오비교'!$C$5))+$H878*SIN(RADIANS('13_시나리오비교'!$B$5))*COS(RADIANS('13_시나리오비교'!$C$5))+$I878*COS(RADIANS('13_시나리오비교'!$B$5))),0)</f>
        <v/>
      </c>
      <c r="Q878" s="80">
        <f>IF($I878&gt;0,MAX(0,$G878*SIN(RADIANS('13_시나리오비교'!$B$6))*SIN(RADIANS('13_시나리오비교'!$C$6))+$H878*SIN(RADIANS('13_시나리오비교'!$B$6))*COS(RADIANS('13_시나리오비교'!$C$6))+$I878*COS(RADIANS('13_시나리오비교'!$B$6))),0)</f>
        <v/>
      </c>
      <c r="R878" s="80">
        <f>IF($I878&gt;0,MAX(0,$G878*SIN(RADIANS('13_시나리오비교'!$B$7))*SIN(RADIANS('13_시나리오비교'!$C$7))+$H878*SIN(RADIANS('13_시나리오비교'!$B$7))*COS(RADIANS('13_시나리오비교'!$C$7))+$I878*COS(RADIANS('13_시나리오비교'!$B$7))),0)</f>
        <v/>
      </c>
      <c r="S878" s="80">
        <f>IF($I878&gt;0,MAX(0,$G878*SIN(RADIANS('13_시나리오비교'!$B$8))*SIN(RADIANS('13_시나리오비교'!$C$8))+$H878*SIN(RADIANS('13_시나리오비교'!$B$8))*COS(RADIANS('13_시나리오비교'!$C$8))+$I878*COS(RADIANS('13_시나리오비교'!$B$8))),0)</f>
        <v/>
      </c>
      <c r="T878" s="80">
        <f>IF($I878&gt;0,MAX(0,$G878*SIN(RADIANS('13_시나리오비교'!$B$9))*SIN(RADIANS('13_시나리오비교'!$C$9))+$H878*SIN(RADIANS('13_시나리오비교'!$B$9))*COS(RADIANS('13_시나리오비교'!$C$9))+$I878*COS(RADIANS('13_시나리오비교'!$B$9))),0)</f>
        <v/>
      </c>
      <c r="U878" s="80">
        <f>IF($I878&gt;0,MAX(0,$G878*SIN(RADIANS('13_시나리오비교'!$B$10))*SIN(RADIANS('13_시나리오비교'!$C$10))+$H878*SIN(RADIANS('13_시나리오비교'!$B$10))*COS(RADIANS('13_시나리오비교'!$C$10))+$I878*COS(RADIANS('13_시나리오비교'!$B$10))),0)</f>
        <v/>
      </c>
      <c r="V878" s="80">
        <f>IF($I878&gt;0,MAX(0,$G878*SIN(RADIANS('13_시나리오비교'!$B$11))*SIN(RADIANS('13_시나리오비교'!$C$11))+$H878*SIN(RADIANS('13_시나리오비교'!$B$11))*COS(RADIANS('13_시나리오비교'!$C$11))+$I878*COS(RADIANS('13_시나리오비교'!$B$11))),0)</f>
        <v/>
      </c>
      <c r="W878" s="80">
        <f>IF($I878&gt;0,MAX(0,$G878*SIN(RADIANS('13_시나리오비교'!$B$12))*SIN(RADIANS('13_시나리오비교'!$C$12))+$H878*SIN(RADIANS('13_시나리오비교'!$B$12))*COS(RADIANS('13_시나리오비교'!$C$12))+$I878*COS(RADIANS('13_시나리오비교'!$B$12))),0)</f>
        <v/>
      </c>
      <c r="X878" s="80">
        <f>IF($I878&gt;0,MAX(0,$G878*SIN(RADIANS('13_시나리오비교'!$B$13))*SIN(RADIANS('13_시나리오비교'!$C$13))+$H878*SIN(RADIANS('13_시나리오비교'!$B$13))*COS(RADIANS('13_시나리오비교'!$C$13))+$I878*COS(RADIANS('13_시나리오비교'!$B$13))),0)</f>
        <v/>
      </c>
      <c r="Y878" s="80">
        <f>IF($I878&gt;0,MAX(0,$G878*SIN(RADIANS('13_시나리오비교'!$B$14))*SIN(RADIANS('13_시나리오비교'!$C$14))+$H878*SIN(RADIANS('13_시나리오비교'!$B$14))*COS(RADIANS('13_시나리오비교'!$C$14))+$I878*COS(RADIANS('13_시나리오비교'!$B$14))),0)</f>
        <v/>
      </c>
    </row>
    <row r="879" hidden="1" outlineLevel="1">
      <c r="A879" s="79" t="n">
        <v>9</v>
      </c>
      <c r="B879" s="79" t="n">
        <v>91</v>
      </c>
      <c r="C879" s="80">
        <f>(B879-0.5)*'14_지역·상수'!$H$6</f>
        <v/>
      </c>
      <c r="D879" s="79" t="n">
        <v>258</v>
      </c>
      <c r="E879" s="80">
        <f>INDEX($C$4:$C$15,MATCH(A879,$A$4:$A$15,0))</f>
        <v/>
      </c>
      <c r="F879" s="80">
        <f>15*(C879-12)</f>
        <v/>
      </c>
      <c r="G879" s="80">
        <f>-COS(RADIANS(E879))*SIN(RADIANS(F879))</f>
        <v/>
      </c>
      <c r="H879" s="80">
        <f>COS(RADIANS('11_발전량_모델'!$B$17))*SIN(RADIANS(E879))-SIN(RADIANS('11_발전량_모델'!$B$17))*COS(RADIANS(E879))*COS(RADIANS(F879))</f>
        <v/>
      </c>
      <c r="I879" s="80">
        <f>SIN(RADIANS('11_발전량_모델'!$B$17))*SIN(RADIANS(E879))+COS(RADIANS('11_발전량_모델'!$B$17))*COS(RADIANS(E879))*COS(RADIANS(F879))</f>
        <v/>
      </c>
      <c r="J879" s="80">
        <f>SIN(RADIANS('11_발전량_모델'!$B$7))*SIN(RADIANS('11_발전량_모델'!$B$8))</f>
        <v/>
      </c>
      <c r="K879" s="80">
        <f>SIN(RADIANS('11_발전량_모델'!$B$7))*COS(RADIANS('11_발전량_모델'!$B$8))</f>
        <v/>
      </c>
      <c r="L879" s="80">
        <f>COS(RADIANS('11_발전량_모델'!$B$7))</f>
        <v/>
      </c>
      <c r="M879" s="80">
        <f>G879*J879+H879*K879+I879*L879</f>
        <v/>
      </c>
      <c r="N879" s="80">
        <f>MAX(0,I879)</f>
        <v/>
      </c>
      <c r="O879" s="80">
        <f>IF(I879&gt;0,MAX(0,M879),0)</f>
        <v/>
      </c>
      <c r="P879" s="80">
        <f>IF($I879&gt;0,MAX(0,$G879*SIN(RADIANS('13_시나리오비교'!$B$5))*SIN(RADIANS('13_시나리오비교'!$C$5))+$H879*SIN(RADIANS('13_시나리오비교'!$B$5))*COS(RADIANS('13_시나리오비교'!$C$5))+$I879*COS(RADIANS('13_시나리오비교'!$B$5))),0)</f>
        <v/>
      </c>
      <c r="Q879" s="80">
        <f>IF($I879&gt;0,MAX(0,$G879*SIN(RADIANS('13_시나리오비교'!$B$6))*SIN(RADIANS('13_시나리오비교'!$C$6))+$H879*SIN(RADIANS('13_시나리오비교'!$B$6))*COS(RADIANS('13_시나리오비교'!$C$6))+$I879*COS(RADIANS('13_시나리오비교'!$B$6))),0)</f>
        <v/>
      </c>
      <c r="R879" s="80">
        <f>IF($I879&gt;0,MAX(0,$G879*SIN(RADIANS('13_시나리오비교'!$B$7))*SIN(RADIANS('13_시나리오비교'!$C$7))+$H879*SIN(RADIANS('13_시나리오비교'!$B$7))*COS(RADIANS('13_시나리오비교'!$C$7))+$I879*COS(RADIANS('13_시나리오비교'!$B$7))),0)</f>
        <v/>
      </c>
      <c r="S879" s="80">
        <f>IF($I879&gt;0,MAX(0,$G879*SIN(RADIANS('13_시나리오비교'!$B$8))*SIN(RADIANS('13_시나리오비교'!$C$8))+$H879*SIN(RADIANS('13_시나리오비교'!$B$8))*COS(RADIANS('13_시나리오비교'!$C$8))+$I879*COS(RADIANS('13_시나리오비교'!$B$8))),0)</f>
        <v/>
      </c>
      <c r="T879" s="80">
        <f>IF($I879&gt;0,MAX(0,$G879*SIN(RADIANS('13_시나리오비교'!$B$9))*SIN(RADIANS('13_시나리오비교'!$C$9))+$H879*SIN(RADIANS('13_시나리오비교'!$B$9))*COS(RADIANS('13_시나리오비교'!$C$9))+$I879*COS(RADIANS('13_시나리오비교'!$B$9))),0)</f>
        <v/>
      </c>
      <c r="U879" s="80">
        <f>IF($I879&gt;0,MAX(0,$G879*SIN(RADIANS('13_시나리오비교'!$B$10))*SIN(RADIANS('13_시나리오비교'!$C$10))+$H879*SIN(RADIANS('13_시나리오비교'!$B$10))*COS(RADIANS('13_시나리오비교'!$C$10))+$I879*COS(RADIANS('13_시나리오비교'!$B$10))),0)</f>
        <v/>
      </c>
      <c r="V879" s="80">
        <f>IF($I879&gt;0,MAX(0,$G879*SIN(RADIANS('13_시나리오비교'!$B$11))*SIN(RADIANS('13_시나리오비교'!$C$11))+$H879*SIN(RADIANS('13_시나리오비교'!$B$11))*COS(RADIANS('13_시나리오비교'!$C$11))+$I879*COS(RADIANS('13_시나리오비교'!$B$11))),0)</f>
        <v/>
      </c>
      <c r="W879" s="80">
        <f>IF($I879&gt;0,MAX(0,$G879*SIN(RADIANS('13_시나리오비교'!$B$12))*SIN(RADIANS('13_시나리오비교'!$C$12))+$H879*SIN(RADIANS('13_시나리오비교'!$B$12))*COS(RADIANS('13_시나리오비교'!$C$12))+$I879*COS(RADIANS('13_시나리오비교'!$B$12))),0)</f>
        <v/>
      </c>
      <c r="X879" s="80">
        <f>IF($I879&gt;0,MAX(0,$G879*SIN(RADIANS('13_시나리오비교'!$B$13))*SIN(RADIANS('13_시나리오비교'!$C$13))+$H879*SIN(RADIANS('13_시나리오비교'!$B$13))*COS(RADIANS('13_시나리오비교'!$C$13))+$I879*COS(RADIANS('13_시나리오비교'!$B$13))),0)</f>
        <v/>
      </c>
      <c r="Y879" s="80">
        <f>IF($I879&gt;0,MAX(0,$G879*SIN(RADIANS('13_시나리오비교'!$B$14))*SIN(RADIANS('13_시나리오비교'!$C$14))+$H879*SIN(RADIANS('13_시나리오비교'!$B$14))*COS(RADIANS('13_시나리오비교'!$C$14))+$I879*COS(RADIANS('13_시나리오비교'!$B$14))),0)</f>
        <v/>
      </c>
    </row>
    <row r="880" hidden="1" outlineLevel="1">
      <c r="A880" s="79" t="n">
        <v>9</v>
      </c>
      <c r="B880" s="79" t="n">
        <v>92</v>
      </c>
      <c r="C880" s="80">
        <f>(B880-0.5)*'14_지역·상수'!$H$6</f>
        <v/>
      </c>
      <c r="D880" s="79" t="n">
        <v>258</v>
      </c>
      <c r="E880" s="80">
        <f>INDEX($C$4:$C$15,MATCH(A880,$A$4:$A$15,0))</f>
        <v/>
      </c>
      <c r="F880" s="80">
        <f>15*(C880-12)</f>
        <v/>
      </c>
      <c r="G880" s="80">
        <f>-COS(RADIANS(E880))*SIN(RADIANS(F880))</f>
        <v/>
      </c>
      <c r="H880" s="80">
        <f>COS(RADIANS('11_발전량_모델'!$B$17))*SIN(RADIANS(E880))-SIN(RADIANS('11_발전량_모델'!$B$17))*COS(RADIANS(E880))*COS(RADIANS(F880))</f>
        <v/>
      </c>
      <c r="I880" s="80">
        <f>SIN(RADIANS('11_발전량_모델'!$B$17))*SIN(RADIANS(E880))+COS(RADIANS('11_발전량_모델'!$B$17))*COS(RADIANS(E880))*COS(RADIANS(F880))</f>
        <v/>
      </c>
      <c r="J880" s="80">
        <f>SIN(RADIANS('11_발전량_모델'!$B$7))*SIN(RADIANS('11_발전량_모델'!$B$8))</f>
        <v/>
      </c>
      <c r="K880" s="80">
        <f>SIN(RADIANS('11_발전량_모델'!$B$7))*COS(RADIANS('11_발전량_모델'!$B$8))</f>
        <v/>
      </c>
      <c r="L880" s="80">
        <f>COS(RADIANS('11_발전량_모델'!$B$7))</f>
        <v/>
      </c>
      <c r="M880" s="80">
        <f>G880*J880+H880*K880+I880*L880</f>
        <v/>
      </c>
      <c r="N880" s="80">
        <f>MAX(0,I880)</f>
        <v/>
      </c>
      <c r="O880" s="80">
        <f>IF(I880&gt;0,MAX(0,M880),0)</f>
        <v/>
      </c>
      <c r="P880" s="80">
        <f>IF($I880&gt;0,MAX(0,$G880*SIN(RADIANS('13_시나리오비교'!$B$5))*SIN(RADIANS('13_시나리오비교'!$C$5))+$H880*SIN(RADIANS('13_시나리오비교'!$B$5))*COS(RADIANS('13_시나리오비교'!$C$5))+$I880*COS(RADIANS('13_시나리오비교'!$B$5))),0)</f>
        <v/>
      </c>
      <c r="Q880" s="80">
        <f>IF($I880&gt;0,MAX(0,$G880*SIN(RADIANS('13_시나리오비교'!$B$6))*SIN(RADIANS('13_시나리오비교'!$C$6))+$H880*SIN(RADIANS('13_시나리오비교'!$B$6))*COS(RADIANS('13_시나리오비교'!$C$6))+$I880*COS(RADIANS('13_시나리오비교'!$B$6))),0)</f>
        <v/>
      </c>
      <c r="R880" s="80">
        <f>IF($I880&gt;0,MAX(0,$G880*SIN(RADIANS('13_시나리오비교'!$B$7))*SIN(RADIANS('13_시나리오비교'!$C$7))+$H880*SIN(RADIANS('13_시나리오비교'!$B$7))*COS(RADIANS('13_시나리오비교'!$C$7))+$I880*COS(RADIANS('13_시나리오비교'!$B$7))),0)</f>
        <v/>
      </c>
      <c r="S880" s="80">
        <f>IF($I880&gt;0,MAX(0,$G880*SIN(RADIANS('13_시나리오비교'!$B$8))*SIN(RADIANS('13_시나리오비교'!$C$8))+$H880*SIN(RADIANS('13_시나리오비교'!$B$8))*COS(RADIANS('13_시나리오비교'!$C$8))+$I880*COS(RADIANS('13_시나리오비교'!$B$8))),0)</f>
        <v/>
      </c>
      <c r="T880" s="80">
        <f>IF($I880&gt;0,MAX(0,$G880*SIN(RADIANS('13_시나리오비교'!$B$9))*SIN(RADIANS('13_시나리오비교'!$C$9))+$H880*SIN(RADIANS('13_시나리오비교'!$B$9))*COS(RADIANS('13_시나리오비교'!$C$9))+$I880*COS(RADIANS('13_시나리오비교'!$B$9))),0)</f>
        <v/>
      </c>
      <c r="U880" s="80">
        <f>IF($I880&gt;0,MAX(0,$G880*SIN(RADIANS('13_시나리오비교'!$B$10))*SIN(RADIANS('13_시나리오비교'!$C$10))+$H880*SIN(RADIANS('13_시나리오비교'!$B$10))*COS(RADIANS('13_시나리오비교'!$C$10))+$I880*COS(RADIANS('13_시나리오비교'!$B$10))),0)</f>
        <v/>
      </c>
      <c r="V880" s="80">
        <f>IF($I880&gt;0,MAX(0,$G880*SIN(RADIANS('13_시나리오비교'!$B$11))*SIN(RADIANS('13_시나리오비교'!$C$11))+$H880*SIN(RADIANS('13_시나리오비교'!$B$11))*COS(RADIANS('13_시나리오비교'!$C$11))+$I880*COS(RADIANS('13_시나리오비교'!$B$11))),0)</f>
        <v/>
      </c>
      <c r="W880" s="80">
        <f>IF($I880&gt;0,MAX(0,$G880*SIN(RADIANS('13_시나리오비교'!$B$12))*SIN(RADIANS('13_시나리오비교'!$C$12))+$H880*SIN(RADIANS('13_시나리오비교'!$B$12))*COS(RADIANS('13_시나리오비교'!$C$12))+$I880*COS(RADIANS('13_시나리오비교'!$B$12))),0)</f>
        <v/>
      </c>
      <c r="X880" s="80">
        <f>IF($I880&gt;0,MAX(0,$G880*SIN(RADIANS('13_시나리오비교'!$B$13))*SIN(RADIANS('13_시나리오비교'!$C$13))+$H880*SIN(RADIANS('13_시나리오비교'!$B$13))*COS(RADIANS('13_시나리오비교'!$C$13))+$I880*COS(RADIANS('13_시나리오비교'!$B$13))),0)</f>
        <v/>
      </c>
      <c r="Y880" s="80">
        <f>IF($I880&gt;0,MAX(0,$G880*SIN(RADIANS('13_시나리오비교'!$B$14))*SIN(RADIANS('13_시나리오비교'!$C$14))+$H880*SIN(RADIANS('13_시나리오비교'!$B$14))*COS(RADIANS('13_시나리오비교'!$C$14))+$I880*COS(RADIANS('13_시나리오비교'!$B$14))),0)</f>
        <v/>
      </c>
    </row>
    <row r="881" hidden="1" outlineLevel="1">
      <c r="A881" s="79" t="n">
        <v>9</v>
      </c>
      <c r="B881" s="79" t="n">
        <v>93</v>
      </c>
      <c r="C881" s="80">
        <f>(B881-0.5)*'14_지역·상수'!$H$6</f>
        <v/>
      </c>
      <c r="D881" s="79" t="n">
        <v>258</v>
      </c>
      <c r="E881" s="80">
        <f>INDEX($C$4:$C$15,MATCH(A881,$A$4:$A$15,0))</f>
        <v/>
      </c>
      <c r="F881" s="80">
        <f>15*(C881-12)</f>
        <v/>
      </c>
      <c r="G881" s="80">
        <f>-COS(RADIANS(E881))*SIN(RADIANS(F881))</f>
        <v/>
      </c>
      <c r="H881" s="80">
        <f>COS(RADIANS('11_발전량_모델'!$B$17))*SIN(RADIANS(E881))-SIN(RADIANS('11_발전량_모델'!$B$17))*COS(RADIANS(E881))*COS(RADIANS(F881))</f>
        <v/>
      </c>
      <c r="I881" s="80">
        <f>SIN(RADIANS('11_발전량_모델'!$B$17))*SIN(RADIANS(E881))+COS(RADIANS('11_발전량_모델'!$B$17))*COS(RADIANS(E881))*COS(RADIANS(F881))</f>
        <v/>
      </c>
      <c r="J881" s="80">
        <f>SIN(RADIANS('11_발전량_모델'!$B$7))*SIN(RADIANS('11_발전량_모델'!$B$8))</f>
        <v/>
      </c>
      <c r="K881" s="80">
        <f>SIN(RADIANS('11_발전량_모델'!$B$7))*COS(RADIANS('11_발전량_모델'!$B$8))</f>
        <v/>
      </c>
      <c r="L881" s="80">
        <f>COS(RADIANS('11_발전량_모델'!$B$7))</f>
        <v/>
      </c>
      <c r="M881" s="80">
        <f>G881*J881+H881*K881+I881*L881</f>
        <v/>
      </c>
      <c r="N881" s="80">
        <f>MAX(0,I881)</f>
        <v/>
      </c>
      <c r="O881" s="80">
        <f>IF(I881&gt;0,MAX(0,M881),0)</f>
        <v/>
      </c>
      <c r="P881" s="80">
        <f>IF($I881&gt;0,MAX(0,$G881*SIN(RADIANS('13_시나리오비교'!$B$5))*SIN(RADIANS('13_시나리오비교'!$C$5))+$H881*SIN(RADIANS('13_시나리오비교'!$B$5))*COS(RADIANS('13_시나리오비교'!$C$5))+$I881*COS(RADIANS('13_시나리오비교'!$B$5))),0)</f>
        <v/>
      </c>
      <c r="Q881" s="80">
        <f>IF($I881&gt;0,MAX(0,$G881*SIN(RADIANS('13_시나리오비교'!$B$6))*SIN(RADIANS('13_시나리오비교'!$C$6))+$H881*SIN(RADIANS('13_시나리오비교'!$B$6))*COS(RADIANS('13_시나리오비교'!$C$6))+$I881*COS(RADIANS('13_시나리오비교'!$B$6))),0)</f>
        <v/>
      </c>
      <c r="R881" s="80">
        <f>IF($I881&gt;0,MAX(0,$G881*SIN(RADIANS('13_시나리오비교'!$B$7))*SIN(RADIANS('13_시나리오비교'!$C$7))+$H881*SIN(RADIANS('13_시나리오비교'!$B$7))*COS(RADIANS('13_시나리오비교'!$C$7))+$I881*COS(RADIANS('13_시나리오비교'!$B$7))),0)</f>
        <v/>
      </c>
      <c r="S881" s="80">
        <f>IF($I881&gt;0,MAX(0,$G881*SIN(RADIANS('13_시나리오비교'!$B$8))*SIN(RADIANS('13_시나리오비교'!$C$8))+$H881*SIN(RADIANS('13_시나리오비교'!$B$8))*COS(RADIANS('13_시나리오비교'!$C$8))+$I881*COS(RADIANS('13_시나리오비교'!$B$8))),0)</f>
        <v/>
      </c>
      <c r="T881" s="80">
        <f>IF($I881&gt;0,MAX(0,$G881*SIN(RADIANS('13_시나리오비교'!$B$9))*SIN(RADIANS('13_시나리오비교'!$C$9))+$H881*SIN(RADIANS('13_시나리오비교'!$B$9))*COS(RADIANS('13_시나리오비교'!$C$9))+$I881*COS(RADIANS('13_시나리오비교'!$B$9))),0)</f>
        <v/>
      </c>
      <c r="U881" s="80">
        <f>IF($I881&gt;0,MAX(0,$G881*SIN(RADIANS('13_시나리오비교'!$B$10))*SIN(RADIANS('13_시나리오비교'!$C$10))+$H881*SIN(RADIANS('13_시나리오비교'!$B$10))*COS(RADIANS('13_시나리오비교'!$C$10))+$I881*COS(RADIANS('13_시나리오비교'!$B$10))),0)</f>
        <v/>
      </c>
      <c r="V881" s="80">
        <f>IF($I881&gt;0,MAX(0,$G881*SIN(RADIANS('13_시나리오비교'!$B$11))*SIN(RADIANS('13_시나리오비교'!$C$11))+$H881*SIN(RADIANS('13_시나리오비교'!$B$11))*COS(RADIANS('13_시나리오비교'!$C$11))+$I881*COS(RADIANS('13_시나리오비교'!$B$11))),0)</f>
        <v/>
      </c>
      <c r="W881" s="80">
        <f>IF($I881&gt;0,MAX(0,$G881*SIN(RADIANS('13_시나리오비교'!$B$12))*SIN(RADIANS('13_시나리오비교'!$C$12))+$H881*SIN(RADIANS('13_시나리오비교'!$B$12))*COS(RADIANS('13_시나리오비교'!$C$12))+$I881*COS(RADIANS('13_시나리오비교'!$B$12))),0)</f>
        <v/>
      </c>
      <c r="X881" s="80">
        <f>IF($I881&gt;0,MAX(0,$G881*SIN(RADIANS('13_시나리오비교'!$B$13))*SIN(RADIANS('13_시나리오비교'!$C$13))+$H881*SIN(RADIANS('13_시나리오비교'!$B$13))*COS(RADIANS('13_시나리오비교'!$C$13))+$I881*COS(RADIANS('13_시나리오비교'!$B$13))),0)</f>
        <v/>
      </c>
      <c r="Y881" s="80">
        <f>IF($I881&gt;0,MAX(0,$G881*SIN(RADIANS('13_시나리오비교'!$B$14))*SIN(RADIANS('13_시나리오비교'!$C$14))+$H881*SIN(RADIANS('13_시나리오비교'!$B$14))*COS(RADIANS('13_시나리오비교'!$C$14))+$I881*COS(RADIANS('13_시나리오비교'!$B$14))),0)</f>
        <v/>
      </c>
    </row>
    <row r="882" hidden="1" outlineLevel="1">
      <c r="A882" s="79" t="n">
        <v>9</v>
      </c>
      <c r="B882" s="79" t="n">
        <v>94</v>
      </c>
      <c r="C882" s="80">
        <f>(B882-0.5)*'14_지역·상수'!$H$6</f>
        <v/>
      </c>
      <c r="D882" s="79" t="n">
        <v>258</v>
      </c>
      <c r="E882" s="80">
        <f>INDEX($C$4:$C$15,MATCH(A882,$A$4:$A$15,0))</f>
        <v/>
      </c>
      <c r="F882" s="80">
        <f>15*(C882-12)</f>
        <v/>
      </c>
      <c r="G882" s="80">
        <f>-COS(RADIANS(E882))*SIN(RADIANS(F882))</f>
        <v/>
      </c>
      <c r="H882" s="80">
        <f>COS(RADIANS('11_발전량_모델'!$B$17))*SIN(RADIANS(E882))-SIN(RADIANS('11_발전량_모델'!$B$17))*COS(RADIANS(E882))*COS(RADIANS(F882))</f>
        <v/>
      </c>
      <c r="I882" s="80">
        <f>SIN(RADIANS('11_발전량_모델'!$B$17))*SIN(RADIANS(E882))+COS(RADIANS('11_발전량_모델'!$B$17))*COS(RADIANS(E882))*COS(RADIANS(F882))</f>
        <v/>
      </c>
      <c r="J882" s="80">
        <f>SIN(RADIANS('11_발전량_모델'!$B$7))*SIN(RADIANS('11_발전량_모델'!$B$8))</f>
        <v/>
      </c>
      <c r="K882" s="80">
        <f>SIN(RADIANS('11_발전량_모델'!$B$7))*COS(RADIANS('11_발전량_모델'!$B$8))</f>
        <v/>
      </c>
      <c r="L882" s="80">
        <f>COS(RADIANS('11_발전량_모델'!$B$7))</f>
        <v/>
      </c>
      <c r="M882" s="80">
        <f>G882*J882+H882*K882+I882*L882</f>
        <v/>
      </c>
      <c r="N882" s="80">
        <f>MAX(0,I882)</f>
        <v/>
      </c>
      <c r="O882" s="80">
        <f>IF(I882&gt;0,MAX(0,M882),0)</f>
        <v/>
      </c>
      <c r="P882" s="80">
        <f>IF($I882&gt;0,MAX(0,$G882*SIN(RADIANS('13_시나리오비교'!$B$5))*SIN(RADIANS('13_시나리오비교'!$C$5))+$H882*SIN(RADIANS('13_시나리오비교'!$B$5))*COS(RADIANS('13_시나리오비교'!$C$5))+$I882*COS(RADIANS('13_시나리오비교'!$B$5))),0)</f>
        <v/>
      </c>
      <c r="Q882" s="80">
        <f>IF($I882&gt;0,MAX(0,$G882*SIN(RADIANS('13_시나리오비교'!$B$6))*SIN(RADIANS('13_시나리오비교'!$C$6))+$H882*SIN(RADIANS('13_시나리오비교'!$B$6))*COS(RADIANS('13_시나리오비교'!$C$6))+$I882*COS(RADIANS('13_시나리오비교'!$B$6))),0)</f>
        <v/>
      </c>
      <c r="R882" s="80">
        <f>IF($I882&gt;0,MAX(0,$G882*SIN(RADIANS('13_시나리오비교'!$B$7))*SIN(RADIANS('13_시나리오비교'!$C$7))+$H882*SIN(RADIANS('13_시나리오비교'!$B$7))*COS(RADIANS('13_시나리오비교'!$C$7))+$I882*COS(RADIANS('13_시나리오비교'!$B$7))),0)</f>
        <v/>
      </c>
      <c r="S882" s="80">
        <f>IF($I882&gt;0,MAX(0,$G882*SIN(RADIANS('13_시나리오비교'!$B$8))*SIN(RADIANS('13_시나리오비교'!$C$8))+$H882*SIN(RADIANS('13_시나리오비교'!$B$8))*COS(RADIANS('13_시나리오비교'!$C$8))+$I882*COS(RADIANS('13_시나리오비교'!$B$8))),0)</f>
        <v/>
      </c>
      <c r="T882" s="80">
        <f>IF($I882&gt;0,MAX(0,$G882*SIN(RADIANS('13_시나리오비교'!$B$9))*SIN(RADIANS('13_시나리오비교'!$C$9))+$H882*SIN(RADIANS('13_시나리오비교'!$B$9))*COS(RADIANS('13_시나리오비교'!$C$9))+$I882*COS(RADIANS('13_시나리오비교'!$B$9))),0)</f>
        <v/>
      </c>
      <c r="U882" s="80">
        <f>IF($I882&gt;0,MAX(0,$G882*SIN(RADIANS('13_시나리오비교'!$B$10))*SIN(RADIANS('13_시나리오비교'!$C$10))+$H882*SIN(RADIANS('13_시나리오비교'!$B$10))*COS(RADIANS('13_시나리오비교'!$C$10))+$I882*COS(RADIANS('13_시나리오비교'!$B$10))),0)</f>
        <v/>
      </c>
      <c r="V882" s="80">
        <f>IF($I882&gt;0,MAX(0,$G882*SIN(RADIANS('13_시나리오비교'!$B$11))*SIN(RADIANS('13_시나리오비교'!$C$11))+$H882*SIN(RADIANS('13_시나리오비교'!$B$11))*COS(RADIANS('13_시나리오비교'!$C$11))+$I882*COS(RADIANS('13_시나리오비교'!$B$11))),0)</f>
        <v/>
      </c>
      <c r="W882" s="80">
        <f>IF($I882&gt;0,MAX(0,$G882*SIN(RADIANS('13_시나리오비교'!$B$12))*SIN(RADIANS('13_시나리오비교'!$C$12))+$H882*SIN(RADIANS('13_시나리오비교'!$B$12))*COS(RADIANS('13_시나리오비교'!$C$12))+$I882*COS(RADIANS('13_시나리오비교'!$B$12))),0)</f>
        <v/>
      </c>
      <c r="X882" s="80">
        <f>IF($I882&gt;0,MAX(0,$G882*SIN(RADIANS('13_시나리오비교'!$B$13))*SIN(RADIANS('13_시나리오비교'!$C$13))+$H882*SIN(RADIANS('13_시나리오비교'!$B$13))*COS(RADIANS('13_시나리오비교'!$C$13))+$I882*COS(RADIANS('13_시나리오비교'!$B$13))),0)</f>
        <v/>
      </c>
      <c r="Y882" s="80">
        <f>IF($I882&gt;0,MAX(0,$G882*SIN(RADIANS('13_시나리오비교'!$B$14))*SIN(RADIANS('13_시나리오비교'!$C$14))+$H882*SIN(RADIANS('13_시나리오비교'!$B$14))*COS(RADIANS('13_시나리오비교'!$C$14))+$I882*COS(RADIANS('13_시나리오비교'!$B$14))),0)</f>
        <v/>
      </c>
    </row>
    <row r="883" hidden="1" outlineLevel="1">
      <c r="A883" s="79" t="n">
        <v>9</v>
      </c>
      <c r="B883" s="79" t="n">
        <v>95</v>
      </c>
      <c r="C883" s="80">
        <f>(B883-0.5)*'14_지역·상수'!$H$6</f>
        <v/>
      </c>
      <c r="D883" s="79" t="n">
        <v>258</v>
      </c>
      <c r="E883" s="80">
        <f>INDEX($C$4:$C$15,MATCH(A883,$A$4:$A$15,0))</f>
        <v/>
      </c>
      <c r="F883" s="80">
        <f>15*(C883-12)</f>
        <v/>
      </c>
      <c r="G883" s="80">
        <f>-COS(RADIANS(E883))*SIN(RADIANS(F883))</f>
        <v/>
      </c>
      <c r="H883" s="80">
        <f>COS(RADIANS('11_발전량_모델'!$B$17))*SIN(RADIANS(E883))-SIN(RADIANS('11_발전량_모델'!$B$17))*COS(RADIANS(E883))*COS(RADIANS(F883))</f>
        <v/>
      </c>
      <c r="I883" s="80">
        <f>SIN(RADIANS('11_발전량_모델'!$B$17))*SIN(RADIANS(E883))+COS(RADIANS('11_발전량_모델'!$B$17))*COS(RADIANS(E883))*COS(RADIANS(F883))</f>
        <v/>
      </c>
      <c r="J883" s="80">
        <f>SIN(RADIANS('11_발전량_모델'!$B$7))*SIN(RADIANS('11_발전량_모델'!$B$8))</f>
        <v/>
      </c>
      <c r="K883" s="80">
        <f>SIN(RADIANS('11_발전량_모델'!$B$7))*COS(RADIANS('11_발전량_모델'!$B$8))</f>
        <v/>
      </c>
      <c r="L883" s="80">
        <f>COS(RADIANS('11_발전량_모델'!$B$7))</f>
        <v/>
      </c>
      <c r="M883" s="80">
        <f>G883*J883+H883*K883+I883*L883</f>
        <v/>
      </c>
      <c r="N883" s="80">
        <f>MAX(0,I883)</f>
        <v/>
      </c>
      <c r="O883" s="80">
        <f>IF(I883&gt;0,MAX(0,M883),0)</f>
        <v/>
      </c>
      <c r="P883" s="80">
        <f>IF($I883&gt;0,MAX(0,$G883*SIN(RADIANS('13_시나리오비교'!$B$5))*SIN(RADIANS('13_시나리오비교'!$C$5))+$H883*SIN(RADIANS('13_시나리오비교'!$B$5))*COS(RADIANS('13_시나리오비교'!$C$5))+$I883*COS(RADIANS('13_시나리오비교'!$B$5))),0)</f>
        <v/>
      </c>
      <c r="Q883" s="80">
        <f>IF($I883&gt;0,MAX(0,$G883*SIN(RADIANS('13_시나리오비교'!$B$6))*SIN(RADIANS('13_시나리오비교'!$C$6))+$H883*SIN(RADIANS('13_시나리오비교'!$B$6))*COS(RADIANS('13_시나리오비교'!$C$6))+$I883*COS(RADIANS('13_시나리오비교'!$B$6))),0)</f>
        <v/>
      </c>
      <c r="R883" s="80">
        <f>IF($I883&gt;0,MAX(0,$G883*SIN(RADIANS('13_시나리오비교'!$B$7))*SIN(RADIANS('13_시나리오비교'!$C$7))+$H883*SIN(RADIANS('13_시나리오비교'!$B$7))*COS(RADIANS('13_시나리오비교'!$C$7))+$I883*COS(RADIANS('13_시나리오비교'!$B$7))),0)</f>
        <v/>
      </c>
      <c r="S883" s="80">
        <f>IF($I883&gt;0,MAX(0,$G883*SIN(RADIANS('13_시나리오비교'!$B$8))*SIN(RADIANS('13_시나리오비교'!$C$8))+$H883*SIN(RADIANS('13_시나리오비교'!$B$8))*COS(RADIANS('13_시나리오비교'!$C$8))+$I883*COS(RADIANS('13_시나리오비교'!$B$8))),0)</f>
        <v/>
      </c>
      <c r="T883" s="80">
        <f>IF($I883&gt;0,MAX(0,$G883*SIN(RADIANS('13_시나리오비교'!$B$9))*SIN(RADIANS('13_시나리오비교'!$C$9))+$H883*SIN(RADIANS('13_시나리오비교'!$B$9))*COS(RADIANS('13_시나리오비교'!$C$9))+$I883*COS(RADIANS('13_시나리오비교'!$B$9))),0)</f>
        <v/>
      </c>
      <c r="U883" s="80">
        <f>IF($I883&gt;0,MAX(0,$G883*SIN(RADIANS('13_시나리오비교'!$B$10))*SIN(RADIANS('13_시나리오비교'!$C$10))+$H883*SIN(RADIANS('13_시나리오비교'!$B$10))*COS(RADIANS('13_시나리오비교'!$C$10))+$I883*COS(RADIANS('13_시나리오비교'!$B$10))),0)</f>
        <v/>
      </c>
      <c r="V883" s="80">
        <f>IF($I883&gt;0,MAX(0,$G883*SIN(RADIANS('13_시나리오비교'!$B$11))*SIN(RADIANS('13_시나리오비교'!$C$11))+$H883*SIN(RADIANS('13_시나리오비교'!$B$11))*COS(RADIANS('13_시나리오비교'!$C$11))+$I883*COS(RADIANS('13_시나리오비교'!$B$11))),0)</f>
        <v/>
      </c>
      <c r="W883" s="80">
        <f>IF($I883&gt;0,MAX(0,$G883*SIN(RADIANS('13_시나리오비교'!$B$12))*SIN(RADIANS('13_시나리오비교'!$C$12))+$H883*SIN(RADIANS('13_시나리오비교'!$B$12))*COS(RADIANS('13_시나리오비교'!$C$12))+$I883*COS(RADIANS('13_시나리오비교'!$B$12))),0)</f>
        <v/>
      </c>
      <c r="X883" s="80">
        <f>IF($I883&gt;0,MAX(0,$G883*SIN(RADIANS('13_시나리오비교'!$B$13))*SIN(RADIANS('13_시나리오비교'!$C$13))+$H883*SIN(RADIANS('13_시나리오비교'!$B$13))*COS(RADIANS('13_시나리오비교'!$C$13))+$I883*COS(RADIANS('13_시나리오비교'!$B$13))),0)</f>
        <v/>
      </c>
      <c r="Y883" s="80">
        <f>IF($I883&gt;0,MAX(0,$G883*SIN(RADIANS('13_시나리오비교'!$B$14))*SIN(RADIANS('13_시나리오비교'!$C$14))+$H883*SIN(RADIANS('13_시나리오비교'!$B$14))*COS(RADIANS('13_시나리오비교'!$C$14))+$I883*COS(RADIANS('13_시나리오비교'!$B$14))),0)</f>
        <v/>
      </c>
    </row>
    <row r="884" hidden="1" outlineLevel="1">
      <c r="A884" s="79" t="n">
        <v>9</v>
      </c>
      <c r="B884" s="79" t="n">
        <v>96</v>
      </c>
      <c r="C884" s="80">
        <f>(B884-0.5)*'14_지역·상수'!$H$6</f>
        <v/>
      </c>
      <c r="D884" s="79" t="n">
        <v>258</v>
      </c>
      <c r="E884" s="80">
        <f>INDEX($C$4:$C$15,MATCH(A884,$A$4:$A$15,0))</f>
        <v/>
      </c>
      <c r="F884" s="80">
        <f>15*(C884-12)</f>
        <v/>
      </c>
      <c r="G884" s="80">
        <f>-COS(RADIANS(E884))*SIN(RADIANS(F884))</f>
        <v/>
      </c>
      <c r="H884" s="80">
        <f>COS(RADIANS('11_발전량_모델'!$B$17))*SIN(RADIANS(E884))-SIN(RADIANS('11_발전량_모델'!$B$17))*COS(RADIANS(E884))*COS(RADIANS(F884))</f>
        <v/>
      </c>
      <c r="I884" s="80">
        <f>SIN(RADIANS('11_발전량_모델'!$B$17))*SIN(RADIANS(E884))+COS(RADIANS('11_발전량_모델'!$B$17))*COS(RADIANS(E884))*COS(RADIANS(F884))</f>
        <v/>
      </c>
      <c r="J884" s="80">
        <f>SIN(RADIANS('11_발전량_모델'!$B$7))*SIN(RADIANS('11_발전량_모델'!$B$8))</f>
        <v/>
      </c>
      <c r="K884" s="80">
        <f>SIN(RADIANS('11_발전량_모델'!$B$7))*COS(RADIANS('11_발전량_모델'!$B$8))</f>
        <v/>
      </c>
      <c r="L884" s="80">
        <f>COS(RADIANS('11_발전량_모델'!$B$7))</f>
        <v/>
      </c>
      <c r="M884" s="80">
        <f>G884*J884+H884*K884+I884*L884</f>
        <v/>
      </c>
      <c r="N884" s="80">
        <f>MAX(0,I884)</f>
        <v/>
      </c>
      <c r="O884" s="80">
        <f>IF(I884&gt;0,MAX(0,M884),0)</f>
        <v/>
      </c>
      <c r="P884" s="80">
        <f>IF($I884&gt;0,MAX(0,$G884*SIN(RADIANS('13_시나리오비교'!$B$5))*SIN(RADIANS('13_시나리오비교'!$C$5))+$H884*SIN(RADIANS('13_시나리오비교'!$B$5))*COS(RADIANS('13_시나리오비교'!$C$5))+$I884*COS(RADIANS('13_시나리오비교'!$B$5))),0)</f>
        <v/>
      </c>
      <c r="Q884" s="80">
        <f>IF($I884&gt;0,MAX(0,$G884*SIN(RADIANS('13_시나리오비교'!$B$6))*SIN(RADIANS('13_시나리오비교'!$C$6))+$H884*SIN(RADIANS('13_시나리오비교'!$B$6))*COS(RADIANS('13_시나리오비교'!$C$6))+$I884*COS(RADIANS('13_시나리오비교'!$B$6))),0)</f>
        <v/>
      </c>
      <c r="R884" s="80">
        <f>IF($I884&gt;0,MAX(0,$G884*SIN(RADIANS('13_시나리오비교'!$B$7))*SIN(RADIANS('13_시나리오비교'!$C$7))+$H884*SIN(RADIANS('13_시나리오비교'!$B$7))*COS(RADIANS('13_시나리오비교'!$C$7))+$I884*COS(RADIANS('13_시나리오비교'!$B$7))),0)</f>
        <v/>
      </c>
      <c r="S884" s="80">
        <f>IF($I884&gt;0,MAX(0,$G884*SIN(RADIANS('13_시나리오비교'!$B$8))*SIN(RADIANS('13_시나리오비교'!$C$8))+$H884*SIN(RADIANS('13_시나리오비교'!$B$8))*COS(RADIANS('13_시나리오비교'!$C$8))+$I884*COS(RADIANS('13_시나리오비교'!$B$8))),0)</f>
        <v/>
      </c>
      <c r="T884" s="80">
        <f>IF($I884&gt;0,MAX(0,$G884*SIN(RADIANS('13_시나리오비교'!$B$9))*SIN(RADIANS('13_시나리오비교'!$C$9))+$H884*SIN(RADIANS('13_시나리오비교'!$B$9))*COS(RADIANS('13_시나리오비교'!$C$9))+$I884*COS(RADIANS('13_시나리오비교'!$B$9))),0)</f>
        <v/>
      </c>
      <c r="U884" s="80">
        <f>IF($I884&gt;0,MAX(0,$G884*SIN(RADIANS('13_시나리오비교'!$B$10))*SIN(RADIANS('13_시나리오비교'!$C$10))+$H884*SIN(RADIANS('13_시나리오비교'!$B$10))*COS(RADIANS('13_시나리오비교'!$C$10))+$I884*COS(RADIANS('13_시나리오비교'!$B$10))),0)</f>
        <v/>
      </c>
      <c r="V884" s="80">
        <f>IF($I884&gt;0,MAX(0,$G884*SIN(RADIANS('13_시나리오비교'!$B$11))*SIN(RADIANS('13_시나리오비교'!$C$11))+$H884*SIN(RADIANS('13_시나리오비교'!$B$11))*COS(RADIANS('13_시나리오비교'!$C$11))+$I884*COS(RADIANS('13_시나리오비교'!$B$11))),0)</f>
        <v/>
      </c>
      <c r="W884" s="80">
        <f>IF($I884&gt;0,MAX(0,$G884*SIN(RADIANS('13_시나리오비교'!$B$12))*SIN(RADIANS('13_시나리오비교'!$C$12))+$H884*SIN(RADIANS('13_시나리오비교'!$B$12))*COS(RADIANS('13_시나리오비교'!$C$12))+$I884*COS(RADIANS('13_시나리오비교'!$B$12))),0)</f>
        <v/>
      </c>
      <c r="X884" s="80">
        <f>IF($I884&gt;0,MAX(0,$G884*SIN(RADIANS('13_시나리오비교'!$B$13))*SIN(RADIANS('13_시나리오비교'!$C$13))+$H884*SIN(RADIANS('13_시나리오비교'!$B$13))*COS(RADIANS('13_시나리오비교'!$C$13))+$I884*COS(RADIANS('13_시나리오비교'!$B$13))),0)</f>
        <v/>
      </c>
      <c r="Y884" s="80">
        <f>IF($I884&gt;0,MAX(0,$G884*SIN(RADIANS('13_시나리오비교'!$B$14))*SIN(RADIANS('13_시나리오비교'!$C$14))+$H884*SIN(RADIANS('13_시나리오비교'!$B$14))*COS(RADIANS('13_시나리오비교'!$C$14))+$I884*COS(RADIANS('13_시나리오비교'!$B$14))),0)</f>
        <v/>
      </c>
    </row>
    <row r="885" hidden="1" outlineLevel="1">
      <c r="A885" s="79" t="n">
        <v>10</v>
      </c>
      <c r="B885" s="79" t="n">
        <v>1</v>
      </c>
      <c r="C885" s="80">
        <f>(B885-0.5)*'14_지역·상수'!$H$6</f>
        <v/>
      </c>
      <c r="D885" s="79" t="n">
        <v>288</v>
      </c>
      <c r="E885" s="80">
        <f>INDEX($C$4:$C$15,MATCH(A885,$A$4:$A$15,0))</f>
        <v/>
      </c>
      <c r="F885" s="80">
        <f>15*(C885-12)</f>
        <v/>
      </c>
      <c r="G885" s="80">
        <f>-COS(RADIANS(E885))*SIN(RADIANS(F885))</f>
        <v/>
      </c>
      <c r="H885" s="80">
        <f>COS(RADIANS('11_발전량_모델'!$B$17))*SIN(RADIANS(E885))-SIN(RADIANS('11_발전량_모델'!$B$17))*COS(RADIANS(E885))*COS(RADIANS(F885))</f>
        <v/>
      </c>
      <c r="I885" s="80">
        <f>SIN(RADIANS('11_발전량_모델'!$B$17))*SIN(RADIANS(E885))+COS(RADIANS('11_발전량_모델'!$B$17))*COS(RADIANS(E885))*COS(RADIANS(F885))</f>
        <v/>
      </c>
      <c r="J885" s="80">
        <f>SIN(RADIANS('11_발전량_모델'!$B$7))*SIN(RADIANS('11_발전량_모델'!$B$8))</f>
        <v/>
      </c>
      <c r="K885" s="80">
        <f>SIN(RADIANS('11_발전량_모델'!$B$7))*COS(RADIANS('11_발전량_모델'!$B$8))</f>
        <v/>
      </c>
      <c r="L885" s="80">
        <f>COS(RADIANS('11_발전량_모델'!$B$7))</f>
        <v/>
      </c>
      <c r="M885" s="80">
        <f>G885*J885+H885*K885+I885*L885</f>
        <v/>
      </c>
      <c r="N885" s="80">
        <f>MAX(0,I885)</f>
        <v/>
      </c>
      <c r="O885" s="80">
        <f>IF(I885&gt;0,MAX(0,M885),0)</f>
        <v/>
      </c>
      <c r="P885" s="80">
        <f>IF($I885&gt;0,MAX(0,$G885*SIN(RADIANS('13_시나리오비교'!$B$5))*SIN(RADIANS('13_시나리오비교'!$C$5))+$H885*SIN(RADIANS('13_시나리오비교'!$B$5))*COS(RADIANS('13_시나리오비교'!$C$5))+$I885*COS(RADIANS('13_시나리오비교'!$B$5))),0)</f>
        <v/>
      </c>
      <c r="Q885" s="80">
        <f>IF($I885&gt;0,MAX(0,$G885*SIN(RADIANS('13_시나리오비교'!$B$6))*SIN(RADIANS('13_시나리오비교'!$C$6))+$H885*SIN(RADIANS('13_시나리오비교'!$B$6))*COS(RADIANS('13_시나리오비교'!$C$6))+$I885*COS(RADIANS('13_시나리오비교'!$B$6))),0)</f>
        <v/>
      </c>
      <c r="R885" s="80">
        <f>IF($I885&gt;0,MAX(0,$G885*SIN(RADIANS('13_시나리오비교'!$B$7))*SIN(RADIANS('13_시나리오비교'!$C$7))+$H885*SIN(RADIANS('13_시나리오비교'!$B$7))*COS(RADIANS('13_시나리오비교'!$C$7))+$I885*COS(RADIANS('13_시나리오비교'!$B$7))),0)</f>
        <v/>
      </c>
      <c r="S885" s="80">
        <f>IF($I885&gt;0,MAX(0,$G885*SIN(RADIANS('13_시나리오비교'!$B$8))*SIN(RADIANS('13_시나리오비교'!$C$8))+$H885*SIN(RADIANS('13_시나리오비교'!$B$8))*COS(RADIANS('13_시나리오비교'!$C$8))+$I885*COS(RADIANS('13_시나리오비교'!$B$8))),0)</f>
        <v/>
      </c>
      <c r="T885" s="80">
        <f>IF($I885&gt;0,MAX(0,$G885*SIN(RADIANS('13_시나리오비교'!$B$9))*SIN(RADIANS('13_시나리오비교'!$C$9))+$H885*SIN(RADIANS('13_시나리오비교'!$B$9))*COS(RADIANS('13_시나리오비교'!$C$9))+$I885*COS(RADIANS('13_시나리오비교'!$B$9))),0)</f>
        <v/>
      </c>
      <c r="U885" s="80">
        <f>IF($I885&gt;0,MAX(0,$G885*SIN(RADIANS('13_시나리오비교'!$B$10))*SIN(RADIANS('13_시나리오비교'!$C$10))+$H885*SIN(RADIANS('13_시나리오비교'!$B$10))*COS(RADIANS('13_시나리오비교'!$C$10))+$I885*COS(RADIANS('13_시나리오비교'!$B$10))),0)</f>
        <v/>
      </c>
      <c r="V885" s="80">
        <f>IF($I885&gt;0,MAX(0,$G885*SIN(RADIANS('13_시나리오비교'!$B$11))*SIN(RADIANS('13_시나리오비교'!$C$11))+$H885*SIN(RADIANS('13_시나리오비교'!$B$11))*COS(RADIANS('13_시나리오비교'!$C$11))+$I885*COS(RADIANS('13_시나리오비교'!$B$11))),0)</f>
        <v/>
      </c>
      <c r="W885" s="80">
        <f>IF($I885&gt;0,MAX(0,$G885*SIN(RADIANS('13_시나리오비교'!$B$12))*SIN(RADIANS('13_시나리오비교'!$C$12))+$H885*SIN(RADIANS('13_시나리오비교'!$B$12))*COS(RADIANS('13_시나리오비교'!$C$12))+$I885*COS(RADIANS('13_시나리오비교'!$B$12))),0)</f>
        <v/>
      </c>
      <c r="X885" s="80">
        <f>IF($I885&gt;0,MAX(0,$G885*SIN(RADIANS('13_시나리오비교'!$B$13))*SIN(RADIANS('13_시나리오비교'!$C$13))+$H885*SIN(RADIANS('13_시나리오비교'!$B$13))*COS(RADIANS('13_시나리오비교'!$C$13))+$I885*COS(RADIANS('13_시나리오비교'!$B$13))),0)</f>
        <v/>
      </c>
      <c r="Y885" s="80">
        <f>IF($I885&gt;0,MAX(0,$G885*SIN(RADIANS('13_시나리오비교'!$B$14))*SIN(RADIANS('13_시나리오비교'!$C$14))+$H885*SIN(RADIANS('13_시나리오비교'!$B$14))*COS(RADIANS('13_시나리오비교'!$C$14))+$I885*COS(RADIANS('13_시나리오비교'!$B$14))),0)</f>
        <v/>
      </c>
    </row>
    <row r="886" hidden="1" outlineLevel="1">
      <c r="A886" s="79" t="n">
        <v>10</v>
      </c>
      <c r="B886" s="79" t="n">
        <v>2</v>
      </c>
      <c r="C886" s="80">
        <f>(B886-0.5)*'14_지역·상수'!$H$6</f>
        <v/>
      </c>
      <c r="D886" s="79" t="n">
        <v>288</v>
      </c>
      <c r="E886" s="80">
        <f>INDEX($C$4:$C$15,MATCH(A886,$A$4:$A$15,0))</f>
        <v/>
      </c>
      <c r="F886" s="80">
        <f>15*(C886-12)</f>
        <v/>
      </c>
      <c r="G886" s="80">
        <f>-COS(RADIANS(E886))*SIN(RADIANS(F886))</f>
        <v/>
      </c>
      <c r="H886" s="80">
        <f>COS(RADIANS('11_발전량_모델'!$B$17))*SIN(RADIANS(E886))-SIN(RADIANS('11_발전량_모델'!$B$17))*COS(RADIANS(E886))*COS(RADIANS(F886))</f>
        <v/>
      </c>
      <c r="I886" s="80">
        <f>SIN(RADIANS('11_발전량_모델'!$B$17))*SIN(RADIANS(E886))+COS(RADIANS('11_발전량_모델'!$B$17))*COS(RADIANS(E886))*COS(RADIANS(F886))</f>
        <v/>
      </c>
      <c r="J886" s="80">
        <f>SIN(RADIANS('11_발전량_모델'!$B$7))*SIN(RADIANS('11_발전량_모델'!$B$8))</f>
        <v/>
      </c>
      <c r="K886" s="80">
        <f>SIN(RADIANS('11_발전량_모델'!$B$7))*COS(RADIANS('11_발전량_모델'!$B$8))</f>
        <v/>
      </c>
      <c r="L886" s="80">
        <f>COS(RADIANS('11_발전량_모델'!$B$7))</f>
        <v/>
      </c>
      <c r="M886" s="80">
        <f>G886*J886+H886*K886+I886*L886</f>
        <v/>
      </c>
      <c r="N886" s="80">
        <f>MAX(0,I886)</f>
        <v/>
      </c>
      <c r="O886" s="80">
        <f>IF(I886&gt;0,MAX(0,M886),0)</f>
        <v/>
      </c>
      <c r="P886" s="80">
        <f>IF($I886&gt;0,MAX(0,$G886*SIN(RADIANS('13_시나리오비교'!$B$5))*SIN(RADIANS('13_시나리오비교'!$C$5))+$H886*SIN(RADIANS('13_시나리오비교'!$B$5))*COS(RADIANS('13_시나리오비교'!$C$5))+$I886*COS(RADIANS('13_시나리오비교'!$B$5))),0)</f>
        <v/>
      </c>
      <c r="Q886" s="80">
        <f>IF($I886&gt;0,MAX(0,$G886*SIN(RADIANS('13_시나리오비교'!$B$6))*SIN(RADIANS('13_시나리오비교'!$C$6))+$H886*SIN(RADIANS('13_시나리오비교'!$B$6))*COS(RADIANS('13_시나리오비교'!$C$6))+$I886*COS(RADIANS('13_시나리오비교'!$B$6))),0)</f>
        <v/>
      </c>
      <c r="R886" s="80">
        <f>IF($I886&gt;0,MAX(0,$G886*SIN(RADIANS('13_시나리오비교'!$B$7))*SIN(RADIANS('13_시나리오비교'!$C$7))+$H886*SIN(RADIANS('13_시나리오비교'!$B$7))*COS(RADIANS('13_시나리오비교'!$C$7))+$I886*COS(RADIANS('13_시나리오비교'!$B$7))),0)</f>
        <v/>
      </c>
      <c r="S886" s="80">
        <f>IF($I886&gt;0,MAX(0,$G886*SIN(RADIANS('13_시나리오비교'!$B$8))*SIN(RADIANS('13_시나리오비교'!$C$8))+$H886*SIN(RADIANS('13_시나리오비교'!$B$8))*COS(RADIANS('13_시나리오비교'!$C$8))+$I886*COS(RADIANS('13_시나리오비교'!$B$8))),0)</f>
        <v/>
      </c>
      <c r="T886" s="80">
        <f>IF($I886&gt;0,MAX(0,$G886*SIN(RADIANS('13_시나리오비교'!$B$9))*SIN(RADIANS('13_시나리오비교'!$C$9))+$H886*SIN(RADIANS('13_시나리오비교'!$B$9))*COS(RADIANS('13_시나리오비교'!$C$9))+$I886*COS(RADIANS('13_시나리오비교'!$B$9))),0)</f>
        <v/>
      </c>
      <c r="U886" s="80">
        <f>IF($I886&gt;0,MAX(0,$G886*SIN(RADIANS('13_시나리오비교'!$B$10))*SIN(RADIANS('13_시나리오비교'!$C$10))+$H886*SIN(RADIANS('13_시나리오비교'!$B$10))*COS(RADIANS('13_시나리오비교'!$C$10))+$I886*COS(RADIANS('13_시나리오비교'!$B$10))),0)</f>
        <v/>
      </c>
      <c r="V886" s="80">
        <f>IF($I886&gt;0,MAX(0,$G886*SIN(RADIANS('13_시나리오비교'!$B$11))*SIN(RADIANS('13_시나리오비교'!$C$11))+$H886*SIN(RADIANS('13_시나리오비교'!$B$11))*COS(RADIANS('13_시나리오비교'!$C$11))+$I886*COS(RADIANS('13_시나리오비교'!$B$11))),0)</f>
        <v/>
      </c>
      <c r="W886" s="80">
        <f>IF($I886&gt;0,MAX(0,$G886*SIN(RADIANS('13_시나리오비교'!$B$12))*SIN(RADIANS('13_시나리오비교'!$C$12))+$H886*SIN(RADIANS('13_시나리오비교'!$B$12))*COS(RADIANS('13_시나리오비교'!$C$12))+$I886*COS(RADIANS('13_시나리오비교'!$B$12))),0)</f>
        <v/>
      </c>
      <c r="X886" s="80">
        <f>IF($I886&gt;0,MAX(0,$G886*SIN(RADIANS('13_시나리오비교'!$B$13))*SIN(RADIANS('13_시나리오비교'!$C$13))+$H886*SIN(RADIANS('13_시나리오비교'!$B$13))*COS(RADIANS('13_시나리오비교'!$C$13))+$I886*COS(RADIANS('13_시나리오비교'!$B$13))),0)</f>
        <v/>
      </c>
      <c r="Y886" s="80">
        <f>IF($I886&gt;0,MAX(0,$G886*SIN(RADIANS('13_시나리오비교'!$B$14))*SIN(RADIANS('13_시나리오비교'!$C$14))+$H886*SIN(RADIANS('13_시나리오비교'!$B$14))*COS(RADIANS('13_시나리오비교'!$C$14))+$I886*COS(RADIANS('13_시나리오비교'!$B$14))),0)</f>
        <v/>
      </c>
    </row>
    <row r="887" hidden="1" outlineLevel="1">
      <c r="A887" s="79" t="n">
        <v>10</v>
      </c>
      <c r="B887" s="79" t="n">
        <v>3</v>
      </c>
      <c r="C887" s="80">
        <f>(B887-0.5)*'14_지역·상수'!$H$6</f>
        <v/>
      </c>
      <c r="D887" s="79" t="n">
        <v>288</v>
      </c>
      <c r="E887" s="80">
        <f>INDEX($C$4:$C$15,MATCH(A887,$A$4:$A$15,0))</f>
        <v/>
      </c>
      <c r="F887" s="80">
        <f>15*(C887-12)</f>
        <v/>
      </c>
      <c r="G887" s="80">
        <f>-COS(RADIANS(E887))*SIN(RADIANS(F887))</f>
        <v/>
      </c>
      <c r="H887" s="80">
        <f>COS(RADIANS('11_발전량_모델'!$B$17))*SIN(RADIANS(E887))-SIN(RADIANS('11_발전량_모델'!$B$17))*COS(RADIANS(E887))*COS(RADIANS(F887))</f>
        <v/>
      </c>
      <c r="I887" s="80">
        <f>SIN(RADIANS('11_발전량_모델'!$B$17))*SIN(RADIANS(E887))+COS(RADIANS('11_발전량_모델'!$B$17))*COS(RADIANS(E887))*COS(RADIANS(F887))</f>
        <v/>
      </c>
      <c r="J887" s="80">
        <f>SIN(RADIANS('11_발전량_모델'!$B$7))*SIN(RADIANS('11_발전량_모델'!$B$8))</f>
        <v/>
      </c>
      <c r="K887" s="80">
        <f>SIN(RADIANS('11_발전량_모델'!$B$7))*COS(RADIANS('11_발전량_모델'!$B$8))</f>
        <v/>
      </c>
      <c r="L887" s="80">
        <f>COS(RADIANS('11_발전량_모델'!$B$7))</f>
        <v/>
      </c>
      <c r="M887" s="80">
        <f>G887*J887+H887*K887+I887*L887</f>
        <v/>
      </c>
      <c r="N887" s="80">
        <f>MAX(0,I887)</f>
        <v/>
      </c>
      <c r="O887" s="80">
        <f>IF(I887&gt;0,MAX(0,M887),0)</f>
        <v/>
      </c>
      <c r="P887" s="80">
        <f>IF($I887&gt;0,MAX(0,$G887*SIN(RADIANS('13_시나리오비교'!$B$5))*SIN(RADIANS('13_시나리오비교'!$C$5))+$H887*SIN(RADIANS('13_시나리오비교'!$B$5))*COS(RADIANS('13_시나리오비교'!$C$5))+$I887*COS(RADIANS('13_시나리오비교'!$B$5))),0)</f>
        <v/>
      </c>
      <c r="Q887" s="80">
        <f>IF($I887&gt;0,MAX(0,$G887*SIN(RADIANS('13_시나리오비교'!$B$6))*SIN(RADIANS('13_시나리오비교'!$C$6))+$H887*SIN(RADIANS('13_시나리오비교'!$B$6))*COS(RADIANS('13_시나리오비교'!$C$6))+$I887*COS(RADIANS('13_시나리오비교'!$B$6))),0)</f>
        <v/>
      </c>
      <c r="R887" s="80">
        <f>IF($I887&gt;0,MAX(0,$G887*SIN(RADIANS('13_시나리오비교'!$B$7))*SIN(RADIANS('13_시나리오비교'!$C$7))+$H887*SIN(RADIANS('13_시나리오비교'!$B$7))*COS(RADIANS('13_시나리오비교'!$C$7))+$I887*COS(RADIANS('13_시나리오비교'!$B$7))),0)</f>
        <v/>
      </c>
      <c r="S887" s="80">
        <f>IF($I887&gt;0,MAX(0,$G887*SIN(RADIANS('13_시나리오비교'!$B$8))*SIN(RADIANS('13_시나리오비교'!$C$8))+$H887*SIN(RADIANS('13_시나리오비교'!$B$8))*COS(RADIANS('13_시나리오비교'!$C$8))+$I887*COS(RADIANS('13_시나리오비교'!$B$8))),0)</f>
        <v/>
      </c>
      <c r="T887" s="80">
        <f>IF($I887&gt;0,MAX(0,$G887*SIN(RADIANS('13_시나리오비교'!$B$9))*SIN(RADIANS('13_시나리오비교'!$C$9))+$H887*SIN(RADIANS('13_시나리오비교'!$B$9))*COS(RADIANS('13_시나리오비교'!$C$9))+$I887*COS(RADIANS('13_시나리오비교'!$B$9))),0)</f>
        <v/>
      </c>
      <c r="U887" s="80">
        <f>IF($I887&gt;0,MAX(0,$G887*SIN(RADIANS('13_시나리오비교'!$B$10))*SIN(RADIANS('13_시나리오비교'!$C$10))+$H887*SIN(RADIANS('13_시나리오비교'!$B$10))*COS(RADIANS('13_시나리오비교'!$C$10))+$I887*COS(RADIANS('13_시나리오비교'!$B$10))),0)</f>
        <v/>
      </c>
      <c r="V887" s="80">
        <f>IF($I887&gt;0,MAX(0,$G887*SIN(RADIANS('13_시나리오비교'!$B$11))*SIN(RADIANS('13_시나리오비교'!$C$11))+$H887*SIN(RADIANS('13_시나리오비교'!$B$11))*COS(RADIANS('13_시나리오비교'!$C$11))+$I887*COS(RADIANS('13_시나리오비교'!$B$11))),0)</f>
        <v/>
      </c>
      <c r="W887" s="80">
        <f>IF($I887&gt;0,MAX(0,$G887*SIN(RADIANS('13_시나리오비교'!$B$12))*SIN(RADIANS('13_시나리오비교'!$C$12))+$H887*SIN(RADIANS('13_시나리오비교'!$B$12))*COS(RADIANS('13_시나리오비교'!$C$12))+$I887*COS(RADIANS('13_시나리오비교'!$B$12))),0)</f>
        <v/>
      </c>
      <c r="X887" s="80">
        <f>IF($I887&gt;0,MAX(0,$G887*SIN(RADIANS('13_시나리오비교'!$B$13))*SIN(RADIANS('13_시나리오비교'!$C$13))+$H887*SIN(RADIANS('13_시나리오비교'!$B$13))*COS(RADIANS('13_시나리오비교'!$C$13))+$I887*COS(RADIANS('13_시나리오비교'!$B$13))),0)</f>
        <v/>
      </c>
      <c r="Y887" s="80">
        <f>IF($I887&gt;0,MAX(0,$G887*SIN(RADIANS('13_시나리오비교'!$B$14))*SIN(RADIANS('13_시나리오비교'!$C$14))+$H887*SIN(RADIANS('13_시나리오비교'!$B$14))*COS(RADIANS('13_시나리오비교'!$C$14))+$I887*COS(RADIANS('13_시나리오비교'!$B$14))),0)</f>
        <v/>
      </c>
    </row>
    <row r="888" hidden="1" outlineLevel="1">
      <c r="A888" s="79" t="n">
        <v>10</v>
      </c>
      <c r="B888" s="79" t="n">
        <v>4</v>
      </c>
      <c r="C888" s="80">
        <f>(B888-0.5)*'14_지역·상수'!$H$6</f>
        <v/>
      </c>
      <c r="D888" s="79" t="n">
        <v>288</v>
      </c>
      <c r="E888" s="80">
        <f>INDEX($C$4:$C$15,MATCH(A888,$A$4:$A$15,0))</f>
        <v/>
      </c>
      <c r="F888" s="80">
        <f>15*(C888-12)</f>
        <v/>
      </c>
      <c r="G888" s="80">
        <f>-COS(RADIANS(E888))*SIN(RADIANS(F888))</f>
        <v/>
      </c>
      <c r="H888" s="80">
        <f>COS(RADIANS('11_발전량_모델'!$B$17))*SIN(RADIANS(E888))-SIN(RADIANS('11_발전량_모델'!$B$17))*COS(RADIANS(E888))*COS(RADIANS(F888))</f>
        <v/>
      </c>
      <c r="I888" s="80">
        <f>SIN(RADIANS('11_발전량_모델'!$B$17))*SIN(RADIANS(E888))+COS(RADIANS('11_발전량_모델'!$B$17))*COS(RADIANS(E888))*COS(RADIANS(F888))</f>
        <v/>
      </c>
      <c r="J888" s="80">
        <f>SIN(RADIANS('11_발전량_모델'!$B$7))*SIN(RADIANS('11_발전량_모델'!$B$8))</f>
        <v/>
      </c>
      <c r="K888" s="80">
        <f>SIN(RADIANS('11_발전량_모델'!$B$7))*COS(RADIANS('11_발전량_모델'!$B$8))</f>
        <v/>
      </c>
      <c r="L888" s="80">
        <f>COS(RADIANS('11_발전량_모델'!$B$7))</f>
        <v/>
      </c>
      <c r="M888" s="80">
        <f>G888*J888+H888*K888+I888*L888</f>
        <v/>
      </c>
      <c r="N888" s="80">
        <f>MAX(0,I888)</f>
        <v/>
      </c>
      <c r="O888" s="80">
        <f>IF(I888&gt;0,MAX(0,M888),0)</f>
        <v/>
      </c>
      <c r="P888" s="80">
        <f>IF($I888&gt;0,MAX(0,$G888*SIN(RADIANS('13_시나리오비교'!$B$5))*SIN(RADIANS('13_시나리오비교'!$C$5))+$H888*SIN(RADIANS('13_시나리오비교'!$B$5))*COS(RADIANS('13_시나리오비교'!$C$5))+$I888*COS(RADIANS('13_시나리오비교'!$B$5))),0)</f>
        <v/>
      </c>
      <c r="Q888" s="80">
        <f>IF($I888&gt;0,MAX(0,$G888*SIN(RADIANS('13_시나리오비교'!$B$6))*SIN(RADIANS('13_시나리오비교'!$C$6))+$H888*SIN(RADIANS('13_시나리오비교'!$B$6))*COS(RADIANS('13_시나리오비교'!$C$6))+$I888*COS(RADIANS('13_시나리오비교'!$B$6))),0)</f>
        <v/>
      </c>
      <c r="R888" s="80">
        <f>IF($I888&gt;0,MAX(0,$G888*SIN(RADIANS('13_시나리오비교'!$B$7))*SIN(RADIANS('13_시나리오비교'!$C$7))+$H888*SIN(RADIANS('13_시나리오비교'!$B$7))*COS(RADIANS('13_시나리오비교'!$C$7))+$I888*COS(RADIANS('13_시나리오비교'!$B$7))),0)</f>
        <v/>
      </c>
      <c r="S888" s="80">
        <f>IF($I888&gt;0,MAX(0,$G888*SIN(RADIANS('13_시나리오비교'!$B$8))*SIN(RADIANS('13_시나리오비교'!$C$8))+$H888*SIN(RADIANS('13_시나리오비교'!$B$8))*COS(RADIANS('13_시나리오비교'!$C$8))+$I888*COS(RADIANS('13_시나리오비교'!$B$8))),0)</f>
        <v/>
      </c>
      <c r="T888" s="80">
        <f>IF($I888&gt;0,MAX(0,$G888*SIN(RADIANS('13_시나리오비교'!$B$9))*SIN(RADIANS('13_시나리오비교'!$C$9))+$H888*SIN(RADIANS('13_시나리오비교'!$B$9))*COS(RADIANS('13_시나리오비교'!$C$9))+$I888*COS(RADIANS('13_시나리오비교'!$B$9))),0)</f>
        <v/>
      </c>
      <c r="U888" s="80">
        <f>IF($I888&gt;0,MAX(0,$G888*SIN(RADIANS('13_시나리오비교'!$B$10))*SIN(RADIANS('13_시나리오비교'!$C$10))+$H888*SIN(RADIANS('13_시나리오비교'!$B$10))*COS(RADIANS('13_시나리오비교'!$C$10))+$I888*COS(RADIANS('13_시나리오비교'!$B$10))),0)</f>
        <v/>
      </c>
      <c r="V888" s="80">
        <f>IF($I888&gt;0,MAX(0,$G888*SIN(RADIANS('13_시나리오비교'!$B$11))*SIN(RADIANS('13_시나리오비교'!$C$11))+$H888*SIN(RADIANS('13_시나리오비교'!$B$11))*COS(RADIANS('13_시나리오비교'!$C$11))+$I888*COS(RADIANS('13_시나리오비교'!$B$11))),0)</f>
        <v/>
      </c>
      <c r="W888" s="80">
        <f>IF($I888&gt;0,MAX(0,$G888*SIN(RADIANS('13_시나리오비교'!$B$12))*SIN(RADIANS('13_시나리오비교'!$C$12))+$H888*SIN(RADIANS('13_시나리오비교'!$B$12))*COS(RADIANS('13_시나리오비교'!$C$12))+$I888*COS(RADIANS('13_시나리오비교'!$B$12))),0)</f>
        <v/>
      </c>
      <c r="X888" s="80">
        <f>IF($I888&gt;0,MAX(0,$G888*SIN(RADIANS('13_시나리오비교'!$B$13))*SIN(RADIANS('13_시나리오비교'!$C$13))+$H888*SIN(RADIANS('13_시나리오비교'!$B$13))*COS(RADIANS('13_시나리오비교'!$C$13))+$I888*COS(RADIANS('13_시나리오비교'!$B$13))),0)</f>
        <v/>
      </c>
      <c r="Y888" s="80">
        <f>IF($I888&gt;0,MAX(0,$G888*SIN(RADIANS('13_시나리오비교'!$B$14))*SIN(RADIANS('13_시나리오비교'!$C$14))+$H888*SIN(RADIANS('13_시나리오비교'!$B$14))*COS(RADIANS('13_시나리오비교'!$C$14))+$I888*COS(RADIANS('13_시나리오비교'!$B$14))),0)</f>
        <v/>
      </c>
    </row>
    <row r="889" hidden="1" outlineLevel="1">
      <c r="A889" s="79" t="n">
        <v>10</v>
      </c>
      <c r="B889" s="79" t="n">
        <v>5</v>
      </c>
      <c r="C889" s="80">
        <f>(B889-0.5)*'14_지역·상수'!$H$6</f>
        <v/>
      </c>
      <c r="D889" s="79" t="n">
        <v>288</v>
      </c>
      <c r="E889" s="80">
        <f>INDEX($C$4:$C$15,MATCH(A889,$A$4:$A$15,0))</f>
        <v/>
      </c>
      <c r="F889" s="80">
        <f>15*(C889-12)</f>
        <v/>
      </c>
      <c r="G889" s="80">
        <f>-COS(RADIANS(E889))*SIN(RADIANS(F889))</f>
        <v/>
      </c>
      <c r="H889" s="80">
        <f>COS(RADIANS('11_발전량_모델'!$B$17))*SIN(RADIANS(E889))-SIN(RADIANS('11_발전량_모델'!$B$17))*COS(RADIANS(E889))*COS(RADIANS(F889))</f>
        <v/>
      </c>
      <c r="I889" s="80">
        <f>SIN(RADIANS('11_발전량_모델'!$B$17))*SIN(RADIANS(E889))+COS(RADIANS('11_발전량_모델'!$B$17))*COS(RADIANS(E889))*COS(RADIANS(F889))</f>
        <v/>
      </c>
      <c r="J889" s="80">
        <f>SIN(RADIANS('11_발전량_모델'!$B$7))*SIN(RADIANS('11_발전량_모델'!$B$8))</f>
        <v/>
      </c>
      <c r="K889" s="80">
        <f>SIN(RADIANS('11_발전량_모델'!$B$7))*COS(RADIANS('11_발전량_모델'!$B$8))</f>
        <v/>
      </c>
      <c r="L889" s="80">
        <f>COS(RADIANS('11_발전량_모델'!$B$7))</f>
        <v/>
      </c>
      <c r="M889" s="80">
        <f>G889*J889+H889*K889+I889*L889</f>
        <v/>
      </c>
      <c r="N889" s="80">
        <f>MAX(0,I889)</f>
        <v/>
      </c>
      <c r="O889" s="80">
        <f>IF(I889&gt;0,MAX(0,M889),0)</f>
        <v/>
      </c>
      <c r="P889" s="80">
        <f>IF($I889&gt;0,MAX(0,$G889*SIN(RADIANS('13_시나리오비교'!$B$5))*SIN(RADIANS('13_시나리오비교'!$C$5))+$H889*SIN(RADIANS('13_시나리오비교'!$B$5))*COS(RADIANS('13_시나리오비교'!$C$5))+$I889*COS(RADIANS('13_시나리오비교'!$B$5))),0)</f>
        <v/>
      </c>
      <c r="Q889" s="80">
        <f>IF($I889&gt;0,MAX(0,$G889*SIN(RADIANS('13_시나리오비교'!$B$6))*SIN(RADIANS('13_시나리오비교'!$C$6))+$H889*SIN(RADIANS('13_시나리오비교'!$B$6))*COS(RADIANS('13_시나리오비교'!$C$6))+$I889*COS(RADIANS('13_시나리오비교'!$B$6))),0)</f>
        <v/>
      </c>
      <c r="R889" s="80">
        <f>IF($I889&gt;0,MAX(0,$G889*SIN(RADIANS('13_시나리오비교'!$B$7))*SIN(RADIANS('13_시나리오비교'!$C$7))+$H889*SIN(RADIANS('13_시나리오비교'!$B$7))*COS(RADIANS('13_시나리오비교'!$C$7))+$I889*COS(RADIANS('13_시나리오비교'!$B$7))),0)</f>
        <v/>
      </c>
      <c r="S889" s="80">
        <f>IF($I889&gt;0,MAX(0,$G889*SIN(RADIANS('13_시나리오비교'!$B$8))*SIN(RADIANS('13_시나리오비교'!$C$8))+$H889*SIN(RADIANS('13_시나리오비교'!$B$8))*COS(RADIANS('13_시나리오비교'!$C$8))+$I889*COS(RADIANS('13_시나리오비교'!$B$8))),0)</f>
        <v/>
      </c>
      <c r="T889" s="80">
        <f>IF($I889&gt;0,MAX(0,$G889*SIN(RADIANS('13_시나리오비교'!$B$9))*SIN(RADIANS('13_시나리오비교'!$C$9))+$H889*SIN(RADIANS('13_시나리오비교'!$B$9))*COS(RADIANS('13_시나리오비교'!$C$9))+$I889*COS(RADIANS('13_시나리오비교'!$B$9))),0)</f>
        <v/>
      </c>
      <c r="U889" s="80">
        <f>IF($I889&gt;0,MAX(0,$G889*SIN(RADIANS('13_시나리오비교'!$B$10))*SIN(RADIANS('13_시나리오비교'!$C$10))+$H889*SIN(RADIANS('13_시나리오비교'!$B$10))*COS(RADIANS('13_시나리오비교'!$C$10))+$I889*COS(RADIANS('13_시나리오비교'!$B$10))),0)</f>
        <v/>
      </c>
      <c r="V889" s="80">
        <f>IF($I889&gt;0,MAX(0,$G889*SIN(RADIANS('13_시나리오비교'!$B$11))*SIN(RADIANS('13_시나리오비교'!$C$11))+$H889*SIN(RADIANS('13_시나리오비교'!$B$11))*COS(RADIANS('13_시나리오비교'!$C$11))+$I889*COS(RADIANS('13_시나리오비교'!$B$11))),0)</f>
        <v/>
      </c>
      <c r="W889" s="80">
        <f>IF($I889&gt;0,MAX(0,$G889*SIN(RADIANS('13_시나리오비교'!$B$12))*SIN(RADIANS('13_시나리오비교'!$C$12))+$H889*SIN(RADIANS('13_시나리오비교'!$B$12))*COS(RADIANS('13_시나리오비교'!$C$12))+$I889*COS(RADIANS('13_시나리오비교'!$B$12))),0)</f>
        <v/>
      </c>
      <c r="X889" s="80">
        <f>IF($I889&gt;0,MAX(0,$G889*SIN(RADIANS('13_시나리오비교'!$B$13))*SIN(RADIANS('13_시나리오비교'!$C$13))+$H889*SIN(RADIANS('13_시나리오비교'!$B$13))*COS(RADIANS('13_시나리오비교'!$C$13))+$I889*COS(RADIANS('13_시나리오비교'!$B$13))),0)</f>
        <v/>
      </c>
      <c r="Y889" s="80">
        <f>IF($I889&gt;0,MAX(0,$G889*SIN(RADIANS('13_시나리오비교'!$B$14))*SIN(RADIANS('13_시나리오비교'!$C$14))+$H889*SIN(RADIANS('13_시나리오비교'!$B$14))*COS(RADIANS('13_시나리오비교'!$C$14))+$I889*COS(RADIANS('13_시나리오비교'!$B$14))),0)</f>
        <v/>
      </c>
    </row>
    <row r="890" hidden="1" outlineLevel="1">
      <c r="A890" s="79" t="n">
        <v>10</v>
      </c>
      <c r="B890" s="79" t="n">
        <v>6</v>
      </c>
      <c r="C890" s="80">
        <f>(B890-0.5)*'14_지역·상수'!$H$6</f>
        <v/>
      </c>
      <c r="D890" s="79" t="n">
        <v>288</v>
      </c>
      <c r="E890" s="80">
        <f>INDEX($C$4:$C$15,MATCH(A890,$A$4:$A$15,0))</f>
        <v/>
      </c>
      <c r="F890" s="80">
        <f>15*(C890-12)</f>
        <v/>
      </c>
      <c r="G890" s="80">
        <f>-COS(RADIANS(E890))*SIN(RADIANS(F890))</f>
        <v/>
      </c>
      <c r="H890" s="80">
        <f>COS(RADIANS('11_발전량_모델'!$B$17))*SIN(RADIANS(E890))-SIN(RADIANS('11_발전량_모델'!$B$17))*COS(RADIANS(E890))*COS(RADIANS(F890))</f>
        <v/>
      </c>
      <c r="I890" s="80">
        <f>SIN(RADIANS('11_발전량_모델'!$B$17))*SIN(RADIANS(E890))+COS(RADIANS('11_발전량_모델'!$B$17))*COS(RADIANS(E890))*COS(RADIANS(F890))</f>
        <v/>
      </c>
      <c r="J890" s="80">
        <f>SIN(RADIANS('11_발전량_모델'!$B$7))*SIN(RADIANS('11_발전량_모델'!$B$8))</f>
        <v/>
      </c>
      <c r="K890" s="80">
        <f>SIN(RADIANS('11_발전량_모델'!$B$7))*COS(RADIANS('11_발전량_모델'!$B$8))</f>
        <v/>
      </c>
      <c r="L890" s="80">
        <f>COS(RADIANS('11_발전량_모델'!$B$7))</f>
        <v/>
      </c>
      <c r="M890" s="80">
        <f>G890*J890+H890*K890+I890*L890</f>
        <v/>
      </c>
      <c r="N890" s="80">
        <f>MAX(0,I890)</f>
        <v/>
      </c>
      <c r="O890" s="80">
        <f>IF(I890&gt;0,MAX(0,M890),0)</f>
        <v/>
      </c>
      <c r="P890" s="80">
        <f>IF($I890&gt;0,MAX(0,$G890*SIN(RADIANS('13_시나리오비교'!$B$5))*SIN(RADIANS('13_시나리오비교'!$C$5))+$H890*SIN(RADIANS('13_시나리오비교'!$B$5))*COS(RADIANS('13_시나리오비교'!$C$5))+$I890*COS(RADIANS('13_시나리오비교'!$B$5))),0)</f>
        <v/>
      </c>
      <c r="Q890" s="80">
        <f>IF($I890&gt;0,MAX(0,$G890*SIN(RADIANS('13_시나리오비교'!$B$6))*SIN(RADIANS('13_시나리오비교'!$C$6))+$H890*SIN(RADIANS('13_시나리오비교'!$B$6))*COS(RADIANS('13_시나리오비교'!$C$6))+$I890*COS(RADIANS('13_시나리오비교'!$B$6))),0)</f>
        <v/>
      </c>
      <c r="R890" s="80">
        <f>IF($I890&gt;0,MAX(0,$G890*SIN(RADIANS('13_시나리오비교'!$B$7))*SIN(RADIANS('13_시나리오비교'!$C$7))+$H890*SIN(RADIANS('13_시나리오비교'!$B$7))*COS(RADIANS('13_시나리오비교'!$C$7))+$I890*COS(RADIANS('13_시나리오비교'!$B$7))),0)</f>
        <v/>
      </c>
      <c r="S890" s="80">
        <f>IF($I890&gt;0,MAX(0,$G890*SIN(RADIANS('13_시나리오비교'!$B$8))*SIN(RADIANS('13_시나리오비교'!$C$8))+$H890*SIN(RADIANS('13_시나리오비교'!$B$8))*COS(RADIANS('13_시나리오비교'!$C$8))+$I890*COS(RADIANS('13_시나리오비교'!$B$8))),0)</f>
        <v/>
      </c>
      <c r="T890" s="80">
        <f>IF($I890&gt;0,MAX(0,$G890*SIN(RADIANS('13_시나리오비교'!$B$9))*SIN(RADIANS('13_시나리오비교'!$C$9))+$H890*SIN(RADIANS('13_시나리오비교'!$B$9))*COS(RADIANS('13_시나리오비교'!$C$9))+$I890*COS(RADIANS('13_시나리오비교'!$B$9))),0)</f>
        <v/>
      </c>
      <c r="U890" s="80">
        <f>IF($I890&gt;0,MAX(0,$G890*SIN(RADIANS('13_시나리오비교'!$B$10))*SIN(RADIANS('13_시나리오비교'!$C$10))+$H890*SIN(RADIANS('13_시나리오비교'!$B$10))*COS(RADIANS('13_시나리오비교'!$C$10))+$I890*COS(RADIANS('13_시나리오비교'!$B$10))),0)</f>
        <v/>
      </c>
      <c r="V890" s="80">
        <f>IF($I890&gt;0,MAX(0,$G890*SIN(RADIANS('13_시나리오비교'!$B$11))*SIN(RADIANS('13_시나리오비교'!$C$11))+$H890*SIN(RADIANS('13_시나리오비교'!$B$11))*COS(RADIANS('13_시나리오비교'!$C$11))+$I890*COS(RADIANS('13_시나리오비교'!$B$11))),0)</f>
        <v/>
      </c>
      <c r="W890" s="80">
        <f>IF($I890&gt;0,MAX(0,$G890*SIN(RADIANS('13_시나리오비교'!$B$12))*SIN(RADIANS('13_시나리오비교'!$C$12))+$H890*SIN(RADIANS('13_시나리오비교'!$B$12))*COS(RADIANS('13_시나리오비교'!$C$12))+$I890*COS(RADIANS('13_시나리오비교'!$B$12))),0)</f>
        <v/>
      </c>
      <c r="X890" s="80">
        <f>IF($I890&gt;0,MAX(0,$G890*SIN(RADIANS('13_시나리오비교'!$B$13))*SIN(RADIANS('13_시나리오비교'!$C$13))+$H890*SIN(RADIANS('13_시나리오비교'!$B$13))*COS(RADIANS('13_시나리오비교'!$C$13))+$I890*COS(RADIANS('13_시나리오비교'!$B$13))),0)</f>
        <v/>
      </c>
      <c r="Y890" s="80">
        <f>IF($I890&gt;0,MAX(0,$G890*SIN(RADIANS('13_시나리오비교'!$B$14))*SIN(RADIANS('13_시나리오비교'!$C$14))+$H890*SIN(RADIANS('13_시나리오비교'!$B$14))*COS(RADIANS('13_시나리오비교'!$C$14))+$I890*COS(RADIANS('13_시나리오비교'!$B$14))),0)</f>
        <v/>
      </c>
    </row>
    <row r="891" hidden="1" outlineLevel="1">
      <c r="A891" s="79" t="n">
        <v>10</v>
      </c>
      <c r="B891" s="79" t="n">
        <v>7</v>
      </c>
      <c r="C891" s="80">
        <f>(B891-0.5)*'14_지역·상수'!$H$6</f>
        <v/>
      </c>
      <c r="D891" s="79" t="n">
        <v>288</v>
      </c>
      <c r="E891" s="80">
        <f>INDEX($C$4:$C$15,MATCH(A891,$A$4:$A$15,0))</f>
        <v/>
      </c>
      <c r="F891" s="80">
        <f>15*(C891-12)</f>
        <v/>
      </c>
      <c r="G891" s="80">
        <f>-COS(RADIANS(E891))*SIN(RADIANS(F891))</f>
        <v/>
      </c>
      <c r="H891" s="80">
        <f>COS(RADIANS('11_발전량_모델'!$B$17))*SIN(RADIANS(E891))-SIN(RADIANS('11_발전량_모델'!$B$17))*COS(RADIANS(E891))*COS(RADIANS(F891))</f>
        <v/>
      </c>
      <c r="I891" s="80">
        <f>SIN(RADIANS('11_발전량_모델'!$B$17))*SIN(RADIANS(E891))+COS(RADIANS('11_발전량_모델'!$B$17))*COS(RADIANS(E891))*COS(RADIANS(F891))</f>
        <v/>
      </c>
      <c r="J891" s="80">
        <f>SIN(RADIANS('11_발전량_모델'!$B$7))*SIN(RADIANS('11_발전량_모델'!$B$8))</f>
        <v/>
      </c>
      <c r="K891" s="80">
        <f>SIN(RADIANS('11_발전량_모델'!$B$7))*COS(RADIANS('11_발전량_모델'!$B$8))</f>
        <v/>
      </c>
      <c r="L891" s="80">
        <f>COS(RADIANS('11_발전량_모델'!$B$7))</f>
        <v/>
      </c>
      <c r="M891" s="80">
        <f>G891*J891+H891*K891+I891*L891</f>
        <v/>
      </c>
      <c r="N891" s="80">
        <f>MAX(0,I891)</f>
        <v/>
      </c>
      <c r="O891" s="80">
        <f>IF(I891&gt;0,MAX(0,M891),0)</f>
        <v/>
      </c>
      <c r="P891" s="80">
        <f>IF($I891&gt;0,MAX(0,$G891*SIN(RADIANS('13_시나리오비교'!$B$5))*SIN(RADIANS('13_시나리오비교'!$C$5))+$H891*SIN(RADIANS('13_시나리오비교'!$B$5))*COS(RADIANS('13_시나리오비교'!$C$5))+$I891*COS(RADIANS('13_시나리오비교'!$B$5))),0)</f>
        <v/>
      </c>
      <c r="Q891" s="80">
        <f>IF($I891&gt;0,MAX(0,$G891*SIN(RADIANS('13_시나리오비교'!$B$6))*SIN(RADIANS('13_시나리오비교'!$C$6))+$H891*SIN(RADIANS('13_시나리오비교'!$B$6))*COS(RADIANS('13_시나리오비교'!$C$6))+$I891*COS(RADIANS('13_시나리오비교'!$B$6))),0)</f>
        <v/>
      </c>
      <c r="R891" s="80">
        <f>IF($I891&gt;0,MAX(0,$G891*SIN(RADIANS('13_시나리오비교'!$B$7))*SIN(RADIANS('13_시나리오비교'!$C$7))+$H891*SIN(RADIANS('13_시나리오비교'!$B$7))*COS(RADIANS('13_시나리오비교'!$C$7))+$I891*COS(RADIANS('13_시나리오비교'!$B$7))),0)</f>
        <v/>
      </c>
      <c r="S891" s="80">
        <f>IF($I891&gt;0,MAX(0,$G891*SIN(RADIANS('13_시나리오비교'!$B$8))*SIN(RADIANS('13_시나리오비교'!$C$8))+$H891*SIN(RADIANS('13_시나리오비교'!$B$8))*COS(RADIANS('13_시나리오비교'!$C$8))+$I891*COS(RADIANS('13_시나리오비교'!$B$8))),0)</f>
        <v/>
      </c>
      <c r="T891" s="80">
        <f>IF($I891&gt;0,MAX(0,$G891*SIN(RADIANS('13_시나리오비교'!$B$9))*SIN(RADIANS('13_시나리오비교'!$C$9))+$H891*SIN(RADIANS('13_시나리오비교'!$B$9))*COS(RADIANS('13_시나리오비교'!$C$9))+$I891*COS(RADIANS('13_시나리오비교'!$B$9))),0)</f>
        <v/>
      </c>
      <c r="U891" s="80">
        <f>IF($I891&gt;0,MAX(0,$G891*SIN(RADIANS('13_시나리오비교'!$B$10))*SIN(RADIANS('13_시나리오비교'!$C$10))+$H891*SIN(RADIANS('13_시나리오비교'!$B$10))*COS(RADIANS('13_시나리오비교'!$C$10))+$I891*COS(RADIANS('13_시나리오비교'!$B$10))),0)</f>
        <v/>
      </c>
      <c r="V891" s="80">
        <f>IF($I891&gt;0,MAX(0,$G891*SIN(RADIANS('13_시나리오비교'!$B$11))*SIN(RADIANS('13_시나리오비교'!$C$11))+$H891*SIN(RADIANS('13_시나리오비교'!$B$11))*COS(RADIANS('13_시나리오비교'!$C$11))+$I891*COS(RADIANS('13_시나리오비교'!$B$11))),0)</f>
        <v/>
      </c>
      <c r="W891" s="80">
        <f>IF($I891&gt;0,MAX(0,$G891*SIN(RADIANS('13_시나리오비교'!$B$12))*SIN(RADIANS('13_시나리오비교'!$C$12))+$H891*SIN(RADIANS('13_시나리오비교'!$B$12))*COS(RADIANS('13_시나리오비교'!$C$12))+$I891*COS(RADIANS('13_시나리오비교'!$B$12))),0)</f>
        <v/>
      </c>
      <c r="X891" s="80">
        <f>IF($I891&gt;0,MAX(0,$G891*SIN(RADIANS('13_시나리오비교'!$B$13))*SIN(RADIANS('13_시나리오비교'!$C$13))+$H891*SIN(RADIANS('13_시나리오비교'!$B$13))*COS(RADIANS('13_시나리오비교'!$C$13))+$I891*COS(RADIANS('13_시나리오비교'!$B$13))),0)</f>
        <v/>
      </c>
      <c r="Y891" s="80">
        <f>IF($I891&gt;0,MAX(0,$G891*SIN(RADIANS('13_시나리오비교'!$B$14))*SIN(RADIANS('13_시나리오비교'!$C$14))+$H891*SIN(RADIANS('13_시나리오비교'!$B$14))*COS(RADIANS('13_시나리오비교'!$C$14))+$I891*COS(RADIANS('13_시나리오비교'!$B$14))),0)</f>
        <v/>
      </c>
    </row>
    <row r="892" hidden="1" outlineLevel="1">
      <c r="A892" s="79" t="n">
        <v>10</v>
      </c>
      <c r="B892" s="79" t="n">
        <v>8</v>
      </c>
      <c r="C892" s="80">
        <f>(B892-0.5)*'14_지역·상수'!$H$6</f>
        <v/>
      </c>
      <c r="D892" s="79" t="n">
        <v>288</v>
      </c>
      <c r="E892" s="80">
        <f>INDEX($C$4:$C$15,MATCH(A892,$A$4:$A$15,0))</f>
        <v/>
      </c>
      <c r="F892" s="80">
        <f>15*(C892-12)</f>
        <v/>
      </c>
      <c r="G892" s="80">
        <f>-COS(RADIANS(E892))*SIN(RADIANS(F892))</f>
        <v/>
      </c>
      <c r="H892" s="80">
        <f>COS(RADIANS('11_발전량_모델'!$B$17))*SIN(RADIANS(E892))-SIN(RADIANS('11_발전량_모델'!$B$17))*COS(RADIANS(E892))*COS(RADIANS(F892))</f>
        <v/>
      </c>
      <c r="I892" s="80">
        <f>SIN(RADIANS('11_발전량_모델'!$B$17))*SIN(RADIANS(E892))+COS(RADIANS('11_발전량_모델'!$B$17))*COS(RADIANS(E892))*COS(RADIANS(F892))</f>
        <v/>
      </c>
      <c r="J892" s="80">
        <f>SIN(RADIANS('11_발전량_모델'!$B$7))*SIN(RADIANS('11_발전량_모델'!$B$8))</f>
        <v/>
      </c>
      <c r="K892" s="80">
        <f>SIN(RADIANS('11_발전량_모델'!$B$7))*COS(RADIANS('11_발전량_모델'!$B$8))</f>
        <v/>
      </c>
      <c r="L892" s="80">
        <f>COS(RADIANS('11_발전량_모델'!$B$7))</f>
        <v/>
      </c>
      <c r="M892" s="80">
        <f>G892*J892+H892*K892+I892*L892</f>
        <v/>
      </c>
      <c r="N892" s="80">
        <f>MAX(0,I892)</f>
        <v/>
      </c>
      <c r="O892" s="80">
        <f>IF(I892&gt;0,MAX(0,M892),0)</f>
        <v/>
      </c>
      <c r="P892" s="80">
        <f>IF($I892&gt;0,MAX(0,$G892*SIN(RADIANS('13_시나리오비교'!$B$5))*SIN(RADIANS('13_시나리오비교'!$C$5))+$H892*SIN(RADIANS('13_시나리오비교'!$B$5))*COS(RADIANS('13_시나리오비교'!$C$5))+$I892*COS(RADIANS('13_시나리오비교'!$B$5))),0)</f>
        <v/>
      </c>
      <c r="Q892" s="80">
        <f>IF($I892&gt;0,MAX(0,$G892*SIN(RADIANS('13_시나리오비교'!$B$6))*SIN(RADIANS('13_시나리오비교'!$C$6))+$H892*SIN(RADIANS('13_시나리오비교'!$B$6))*COS(RADIANS('13_시나리오비교'!$C$6))+$I892*COS(RADIANS('13_시나리오비교'!$B$6))),0)</f>
        <v/>
      </c>
      <c r="R892" s="80">
        <f>IF($I892&gt;0,MAX(0,$G892*SIN(RADIANS('13_시나리오비교'!$B$7))*SIN(RADIANS('13_시나리오비교'!$C$7))+$H892*SIN(RADIANS('13_시나리오비교'!$B$7))*COS(RADIANS('13_시나리오비교'!$C$7))+$I892*COS(RADIANS('13_시나리오비교'!$B$7))),0)</f>
        <v/>
      </c>
      <c r="S892" s="80">
        <f>IF($I892&gt;0,MAX(0,$G892*SIN(RADIANS('13_시나리오비교'!$B$8))*SIN(RADIANS('13_시나리오비교'!$C$8))+$H892*SIN(RADIANS('13_시나리오비교'!$B$8))*COS(RADIANS('13_시나리오비교'!$C$8))+$I892*COS(RADIANS('13_시나리오비교'!$B$8))),0)</f>
        <v/>
      </c>
      <c r="T892" s="80">
        <f>IF($I892&gt;0,MAX(0,$G892*SIN(RADIANS('13_시나리오비교'!$B$9))*SIN(RADIANS('13_시나리오비교'!$C$9))+$H892*SIN(RADIANS('13_시나리오비교'!$B$9))*COS(RADIANS('13_시나리오비교'!$C$9))+$I892*COS(RADIANS('13_시나리오비교'!$B$9))),0)</f>
        <v/>
      </c>
      <c r="U892" s="80">
        <f>IF($I892&gt;0,MAX(0,$G892*SIN(RADIANS('13_시나리오비교'!$B$10))*SIN(RADIANS('13_시나리오비교'!$C$10))+$H892*SIN(RADIANS('13_시나리오비교'!$B$10))*COS(RADIANS('13_시나리오비교'!$C$10))+$I892*COS(RADIANS('13_시나리오비교'!$B$10))),0)</f>
        <v/>
      </c>
      <c r="V892" s="80">
        <f>IF($I892&gt;0,MAX(0,$G892*SIN(RADIANS('13_시나리오비교'!$B$11))*SIN(RADIANS('13_시나리오비교'!$C$11))+$H892*SIN(RADIANS('13_시나리오비교'!$B$11))*COS(RADIANS('13_시나리오비교'!$C$11))+$I892*COS(RADIANS('13_시나리오비교'!$B$11))),0)</f>
        <v/>
      </c>
      <c r="W892" s="80">
        <f>IF($I892&gt;0,MAX(0,$G892*SIN(RADIANS('13_시나리오비교'!$B$12))*SIN(RADIANS('13_시나리오비교'!$C$12))+$H892*SIN(RADIANS('13_시나리오비교'!$B$12))*COS(RADIANS('13_시나리오비교'!$C$12))+$I892*COS(RADIANS('13_시나리오비교'!$B$12))),0)</f>
        <v/>
      </c>
      <c r="X892" s="80">
        <f>IF($I892&gt;0,MAX(0,$G892*SIN(RADIANS('13_시나리오비교'!$B$13))*SIN(RADIANS('13_시나리오비교'!$C$13))+$H892*SIN(RADIANS('13_시나리오비교'!$B$13))*COS(RADIANS('13_시나리오비교'!$C$13))+$I892*COS(RADIANS('13_시나리오비교'!$B$13))),0)</f>
        <v/>
      </c>
      <c r="Y892" s="80">
        <f>IF($I892&gt;0,MAX(0,$G892*SIN(RADIANS('13_시나리오비교'!$B$14))*SIN(RADIANS('13_시나리오비교'!$C$14))+$H892*SIN(RADIANS('13_시나리오비교'!$B$14))*COS(RADIANS('13_시나리오비교'!$C$14))+$I892*COS(RADIANS('13_시나리오비교'!$B$14))),0)</f>
        <v/>
      </c>
    </row>
    <row r="893" hidden="1" outlineLevel="1">
      <c r="A893" s="79" t="n">
        <v>10</v>
      </c>
      <c r="B893" s="79" t="n">
        <v>9</v>
      </c>
      <c r="C893" s="80">
        <f>(B893-0.5)*'14_지역·상수'!$H$6</f>
        <v/>
      </c>
      <c r="D893" s="79" t="n">
        <v>288</v>
      </c>
      <c r="E893" s="80">
        <f>INDEX($C$4:$C$15,MATCH(A893,$A$4:$A$15,0))</f>
        <v/>
      </c>
      <c r="F893" s="80">
        <f>15*(C893-12)</f>
        <v/>
      </c>
      <c r="G893" s="80">
        <f>-COS(RADIANS(E893))*SIN(RADIANS(F893))</f>
        <v/>
      </c>
      <c r="H893" s="80">
        <f>COS(RADIANS('11_발전량_모델'!$B$17))*SIN(RADIANS(E893))-SIN(RADIANS('11_발전량_모델'!$B$17))*COS(RADIANS(E893))*COS(RADIANS(F893))</f>
        <v/>
      </c>
      <c r="I893" s="80">
        <f>SIN(RADIANS('11_발전량_모델'!$B$17))*SIN(RADIANS(E893))+COS(RADIANS('11_발전량_모델'!$B$17))*COS(RADIANS(E893))*COS(RADIANS(F893))</f>
        <v/>
      </c>
      <c r="J893" s="80">
        <f>SIN(RADIANS('11_발전량_모델'!$B$7))*SIN(RADIANS('11_발전량_모델'!$B$8))</f>
        <v/>
      </c>
      <c r="K893" s="80">
        <f>SIN(RADIANS('11_발전량_모델'!$B$7))*COS(RADIANS('11_발전량_모델'!$B$8))</f>
        <v/>
      </c>
      <c r="L893" s="80">
        <f>COS(RADIANS('11_발전량_모델'!$B$7))</f>
        <v/>
      </c>
      <c r="M893" s="80">
        <f>G893*J893+H893*K893+I893*L893</f>
        <v/>
      </c>
      <c r="N893" s="80">
        <f>MAX(0,I893)</f>
        <v/>
      </c>
      <c r="O893" s="80">
        <f>IF(I893&gt;0,MAX(0,M893),0)</f>
        <v/>
      </c>
      <c r="P893" s="80">
        <f>IF($I893&gt;0,MAX(0,$G893*SIN(RADIANS('13_시나리오비교'!$B$5))*SIN(RADIANS('13_시나리오비교'!$C$5))+$H893*SIN(RADIANS('13_시나리오비교'!$B$5))*COS(RADIANS('13_시나리오비교'!$C$5))+$I893*COS(RADIANS('13_시나리오비교'!$B$5))),0)</f>
        <v/>
      </c>
      <c r="Q893" s="80">
        <f>IF($I893&gt;0,MAX(0,$G893*SIN(RADIANS('13_시나리오비교'!$B$6))*SIN(RADIANS('13_시나리오비교'!$C$6))+$H893*SIN(RADIANS('13_시나리오비교'!$B$6))*COS(RADIANS('13_시나리오비교'!$C$6))+$I893*COS(RADIANS('13_시나리오비교'!$B$6))),0)</f>
        <v/>
      </c>
      <c r="R893" s="80">
        <f>IF($I893&gt;0,MAX(0,$G893*SIN(RADIANS('13_시나리오비교'!$B$7))*SIN(RADIANS('13_시나리오비교'!$C$7))+$H893*SIN(RADIANS('13_시나리오비교'!$B$7))*COS(RADIANS('13_시나리오비교'!$C$7))+$I893*COS(RADIANS('13_시나리오비교'!$B$7))),0)</f>
        <v/>
      </c>
      <c r="S893" s="80">
        <f>IF($I893&gt;0,MAX(0,$G893*SIN(RADIANS('13_시나리오비교'!$B$8))*SIN(RADIANS('13_시나리오비교'!$C$8))+$H893*SIN(RADIANS('13_시나리오비교'!$B$8))*COS(RADIANS('13_시나리오비교'!$C$8))+$I893*COS(RADIANS('13_시나리오비교'!$B$8))),0)</f>
        <v/>
      </c>
      <c r="T893" s="80">
        <f>IF($I893&gt;0,MAX(0,$G893*SIN(RADIANS('13_시나리오비교'!$B$9))*SIN(RADIANS('13_시나리오비교'!$C$9))+$H893*SIN(RADIANS('13_시나리오비교'!$B$9))*COS(RADIANS('13_시나리오비교'!$C$9))+$I893*COS(RADIANS('13_시나리오비교'!$B$9))),0)</f>
        <v/>
      </c>
      <c r="U893" s="80">
        <f>IF($I893&gt;0,MAX(0,$G893*SIN(RADIANS('13_시나리오비교'!$B$10))*SIN(RADIANS('13_시나리오비교'!$C$10))+$H893*SIN(RADIANS('13_시나리오비교'!$B$10))*COS(RADIANS('13_시나리오비교'!$C$10))+$I893*COS(RADIANS('13_시나리오비교'!$B$10))),0)</f>
        <v/>
      </c>
      <c r="V893" s="80">
        <f>IF($I893&gt;0,MAX(0,$G893*SIN(RADIANS('13_시나리오비교'!$B$11))*SIN(RADIANS('13_시나리오비교'!$C$11))+$H893*SIN(RADIANS('13_시나리오비교'!$B$11))*COS(RADIANS('13_시나리오비교'!$C$11))+$I893*COS(RADIANS('13_시나리오비교'!$B$11))),0)</f>
        <v/>
      </c>
      <c r="W893" s="80">
        <f>IF($I893&gt;0,MAX(0,$G893*SIN(RADIANS('13_시나리오비교'!$B$12))*SIN(RADIANS('13_시나리오비교'!$C$12))+$H893*SIN(RADIANS('13_시나리오비교'!$B$12))*COS(RADIANS('13_시나리오비교'!$C$12))+$I893*COS(RADIANS('13_시나리오비교'!$B$12))),0)</f>
        <v/>
      </c>
      <c r="X893" s="80">
        <f>IF($I893&gt;0,MAX(0,$G893*SIN(RADIANS('13_시나리오비교'!$B$13))*SIN(RADIANS('13_시나리오비교'!$C$13))+$H893*SIN(RADIANS('13_시나리오비교'!$B$13))*COS(RADIANS('13_시나리오비교'!$C$13))+$I893*COS(RADIANS('13_시나리오비교'!$B$13))),0)</f>
        <v/>
      </c>
      <c r="Y893" s="80">
        <f>IF($I893&gt;0,MAX(0,$G893*SIN(RADIANS('13_시나리오비교'!$B$14))*SIN(RADIANS('13_시나리오비교'!$C$14))+$H893*SIN(RADIANS('13_시나리오비교'!$B$14))*COS(RADIANS('13_시나리오비교'!$C$14))+$I893*COS(RADIANS('13_시나리오비교'!$B$14))),0)</f>
        <v/>
      </c>
    </row>
    <row r="894" hidden="1" outlineLevel="1">
      <c r="A894" s="79" t="n">
        <v>10</v>
      </c>
      <c r="B894" s="79" t="n">
        <v>10</v>
      </c>
      <c r="C894" s="80">
        <f>(B894-0.5)*'14_지역·상수'!$H$6</f>
        <v/>
      </c>
      <c r="D894" s="79" t="n">
        <v>288</v>
      </c>
      <c r="E894" s="80">
        <f>INDEX($C$4:$C$15,MATCH(A894,$A$4:$A$15,0))</f>
        <v/>
      </c>
      <c r="F894" s="80">
        <f>15*(C894-12)</f>
        <v/>
      </c>
      <c r="G894" s="80">
        <f>-COS(RADIANS(E894))*SIN(RADIANS(F894))</f>
        <v/>
      </c>
      <c r="H894" s="80">
        <f>COS(RADIANS('11_발전량_모델'!$B$17))*SIN(RADIANS(E894))-SIN(RADIANS('11_발전량_모델'!$B$17))*COS(RADIANS(E894))*COS(RADIANS(F894))</f>
        <v/>
      </c>
      <c r="I894" s="80">
        <f>SIN(RADIANS('11_발전량_모델'!$B$17))*SIN(RADIANS(E894))+COS(RADIANS('11_발전량_모델'!$B$17))*COS(RADIANS(E894))*COS(RADIANS(F894))</f>
        <v/>
      </c>
      <c r="J894" s="80">
        <f>SIN(RADIANS('11_발전량_모델'!$B$7))*SIN(RADIANS('11_발전량_모델'!$B$8))</f>
        <v/>
      </c>
      <c r="K894" s="80">
        <f>SIN(RADIANS('11_발전량_모델'!$B$7))*COS(RADIANS('11_발전량_모델'!$B$8))</f>
        <v/>
      </c>
      <c r="L894" s="80">
        <f>COS(RADIANS('11_발전량_모델'!$B$7))</f>
        <v/>
      </c>
      <c r="M894" s="80">
        <f>G894*J894+H894*K894+I894*L894</f>
        <v/>
      </c>
      <c r="N894" s="80">
        <f>MAX(0,I894)</f>
        <v/>
      </c>
      <c r="O894" s="80">
        <f>IF(I894&gt;0,MAX(0,M894),0)</f>
        <v/>
      </c>
      <c r="P894" s="80">
        <f>IF($I894&gt;0,MAX(0,$G894*SIN(RADIANS('13_시나리오비교'!$B$5))*SIN(RADIANS('13_시나리오비교'!$C$5))+$H894*SIN(RADIANS('13_시나리오비교'!$B$5))*COS(RADIANS('13_시나리오비교'!$C$5))+$I894*COS(RADIANS('13_시나리오비교'!$B$5))),0)</f>
        <v/>
      </c>
      <c r="Q894" s="80">
        <f>IF($I894&gt;0,MAX(0,$G894*SIN(RADIANS('13_시나리오비교'!$B$6))*SIN(RADIANS('13_시나리오비교'!$C$6))+$H894*SIN(RADIANS('13_시나리오비교'!$B$6))*COS(RADIANS('13_시나리오비교'!$C$6))+$I894*COS(RADIANS('13_시나리오비교'!$B$6))),0)</f>
        <v/>
      </c>
      <c r="R894" s="80">
        <f>IF($I894&gt;0,MAX(0,$G894*SIN(RADIANS('13_시나리오비교'!$B$7))*SIN(RADIANS('13_시나리오비교'!$C$7))+$H894*SIN(RADIANS('13_시나리오비교'!$B$7))*COS(RADIANS('13_시나리오비교'!$C$7))+$I894*COS(RADIANS('13_시나리오비교'!$B$7))),0)</f>
        <v/>
      </c>
      <c r="S894" s="80">
        <f>IF($I894&gt;0,MAX(0,$G894*SIN(RADIANS('13_시나리오비교'!$B$8))*SIN(RADIANS('13_시나리오비교'!$C$8))+$H894*SIN(RADIANS('13_시나리오비교'!$B$8))*COS(RADIANS('13_시나리오비교'!$C$8))+$I894*COS(RADIANS('13_시나리오비교'!$B$8))),0)</f>
        <v/>
      </c>
      <c r="T894" s="80">
        <f>IF($I894&gt;0,MAX(0,$G894*SIN(RADIANS('13_시나리오비교'!$B$9))*SIN(RADIANS('13_시나리오비교'!$C$9))+$H894*SIN(RADIANS('13_시나리오비교'!$B$9))*COS(RADIANS('13_시나리오비교'!$C$9))+$I894*COS(RADIANS('13_시나리오비교'!$B$9))),0)</f>
        <v/>
      </c>
      <c r="U894" s="80">
        <f>IF($I894&gt;0,MAX(0,$G894*SIN(RADIANS('13_시나리오비교'!$B$10))*SIN(RADIANS('13_시나리오비교'!$C$10))+$H894*SIN(RADIANS('13_시나리오비교'!$B$10))*COS(RADIANS('13_시나리오비교'!$C$10))+$I894*COS(RADIANS('13_시나리오비교'!$B$10))),0)</f>
        <v/>
      </c>
      <c r="V894" s="80">
        <f>IF($I894&gt;0,MAX(0,$G894*SIN(RADIANS('13_시나리오비교'!$B$11))*SIN(RADIANS('13_시나리오비교'!$C$11))+$H894*SIN(RADIANS('13_시나리오비교'!$B$11))*COS(RADIANS('13_시나리오비교'!$C$11))+$I894*COS(RADIANS('13_시나리오비교'!$B$11))),0)</f>
        <v/>
      </c>
      <c r="W894" s="80">
        <f>IF($I894&gt;0,MAX(0,$G894*SIN(RADIANS('13_시나리오비교'!$B$12))*SIN(RADIANS('13_시나리오비교'!$C$12))+$H894*SIN(RADIANS('13_시나리오비교'!$B$12))*COS(RADIANS('13_시나리오비교'!$C$12))+$I894*COS(RADIANS('13_시나리오비교'!$B$12))),0)</f>
        <v/>
      </c>
      <c r="X894" s="80">
        <f>IF($I894&gt;0,MAX(0,$G894*SIN(RADIANS('13_시나리오비교'!$B$13))*SIN(RADIANS('13_시나리오비교'!$C$13))+$H894*SIN(RADIANS('13_시나리오비교'!$B$13))*COS(RADIANS('13_시나리오비교'!$C$13))+$I894*COS(RADIANS('13_시나리오비교'!$B$13))),0)</f>
        <v/>
      </c>
      <c r="Y894" s="80">
        <f>IF($I894&gt;0,MAX(0,$G894*SIN(RADIANS('13_시나리오비교'!$B$14))*SIN(RADIANS('13_시나리오비교'!$C$14))+$H894*SIN(RADIANS('13_시나리오비교'!$B$14))*COS(RADIANS('13_시나리오비교'!$C$14))+$I894*COS(RADIANS('13_시나리오비교'!$B$14))),0)</f>
        <v/>
      </c>
    </row>
    <row r="895" hidden="1" outlineLevel="1">
      <c r="A895" s="79" t="n">
        <v>10</v>
      </c>
      <c r="B895" s="79" t="n">
        <v>11</v>
      </c>
      <c r="C895" s="80">
        <f>(B895-0.5)*'14_지역·상수'!$H$6</f>
        <v/>
      </c>
      <c r="D895" s="79" t="n">
        <v>288</v>
      </c>
      <c r="E895" s="80">
        <f>INDEX($C$4:$C$15,MATCH(A895,$A$4:$A$15,0))</f>
        <v/>
      </c>
      <c r="F895" s="80">
        <f>15*(C895-12)</f>
        <v/>
      </c>
      <c r="G895" s="80">
        <f>-COS(RADIANS(E895))*SIN(RADIANS(F895))</f>
        <v/>
      </c>
      <c r="H895" s="80">
        <f>COS(RADIANS('11_발전량_모델'!$B$17))*SIN(RADIANS(E895))-SIN(RADIANS('11_발전량_모델'!$B$17))*COS(RADIANS(E895))*COS(RADIANS(F895))</f>
        <v/>
      </c>
      <c r="I895" s="80">
        <f>SIN(RADIANS('11_발전량_모델'!$B$17))*SIN(RADIANS(E895))+COS(RADIANS('11_발전량_모델'!$B$17))*COS(RADIANS(E895))*COS(RADIANS(F895))</f>
        <v/>
      </c>
      <c r="J895" s="80">
        <f>SIN(RADIANS('11_발전량_모델'!$B$7))*SIN(RADIANS('11_발전량_모델'!$B$8))</f>
        <v/>
      </c>
      <c r="K895" s="80">
        <f>SIN(RADIANS('11_발전량_모델'!$B$7))*COS(RADIANS('11_발전량_모델'!$B$8))</f>
        <v/>
      </c>
      <c r="L895" s="80">
        <f>COS(RADIANS('11_발전량_모델'!$B$7))</f>
        <v/>
      </c>
      <c r="M895" s="80">
        <f>G895*J895+H895*K895+I895*L895</f>
        <v/>
      </c>
      <c r="N895" s="80">
        <f>MAX(0,I895)</f>
        <v/>
      </c>
      <c r="O895" s="80">
        <f>IF(I895&gt;0,MAX(0,M895),0)</f>
        <v/>
      </c>
      <c r="P895" s="80">
        <f>IF($I895&gt;0,MAX(0,$G895*SIN(RADIANS('13_시나리오비교'!$B$5))*SIN(RADIANS('13_시나리오비교'!$C$5))+$H895*SIN(RADIANS('13_시나리오비교'!$B$5))*COS(RADIANS('13_시나리오비교'!$C$5))+$I895*COS(RADIANS('13_시나리오비교'!$B$5))),0)</f>
        <v/>
      </c>
      <c r="Q895" s="80">
        <f>IF($I895&gt;0,MAX(0,$G895*SIN(RADIANS('13_시나리오비교'!$B$6))*SIN(RADIANS('13_시나리오비교'!$C$6))+$H895*SIN(RADIANS('13_시나리오비교'!$B$6))*COS(RADIANS('13_시나리오비교'!$C$6))+$I895*COS(RADIANS('13_시나리오비교'!$B$6))),0)</f>
        <v/>
      </c>
      <c r="R895" s="80">
        <f>IF($I895&gt;0,MAX(0,$G895*SIN(RADIANS('13_시나리오비교'!$B$7))*SIN(RADIANS('13_시나리오비교'!$C$7))+$H895*SIN(RADIANS('13_시나리오비교'!$B$7))*COS(RADIANS('13_시나리오비교'!$C$7))+$I895*COS(RADIANS('13_시나리오비교'!$B$7))),0)</f>
        <v/>
      </c>
      <c r="S895" s="80">
        <f>IF($I895&gt;0,MAX(0,$G895*SIN(RADIANS('13_시나리오비교'!$B$8))*SIN(RADIANS('13_시나리오비교'!$C$8))+$H895*SIN(RADIANS('13_시나리오비교'!$B$8))*COS(RADIANS('13_시나리오비교'!$C$8))+$I895*COS(RADIANS('13_시나리오비교'!$B$8))),0)</f>
        <v/>
      </c>
      <c r="T895" s="80">
        <f>IF($I895&gt;0,MAX(0,$G895*SIN(RADIANS('13_시나리오비교'!$B$9))*SIN(RADIANS('13_시나리오비교'!$C$9))+$H895*SIN(RADIANS('13_시나리오비교'!$B$9))*COS(RADIANS('13_시나리오비교'!$C$9))+$I895*COS(RADIANS('13_시나리오비교'!$B$9))),0)</f>
        <v/>
      </c>
      <c r="U895" s="80">
        <f>IF($I895&gt;0,MAX(0,$G895*SIN(RADIANS('13_시나리오비교'!$B$10))*SIN(RADIANS('13_시나리오비교'!$C$10))+$H895*SIN(RADIANS('13_시나리오비교'!$B$10))*COS(RADIANS('13_시나리오비교'!$C$10))+$I895*COS(RADIANS('13_시나리오비교'!$B$10))),0)</f>
        <v/>
      </c>
      <c r="V895" s="80">
        <f>IF($I895&gt;0,MAX(0,$G895*SIN(RADIANS('13_시나리오비교'!$B$11))*SIN(RADIANS('13_시나리오비교'!$C$11))+$H895*SIN(RADIANS('13_시나리오비교'!$B$11))*COS(RADIANS('13_시나리오비교'!$C$11))+$I895*COS(RADIANS('13_시나리오비교'!$B$11))),0)</f>
        <v/>
      </c>
      <c r="W895" s="80">
        <f>IF($I895&gt;0,MAX(0,$G895*SIN(RADIANS('13_시나리오비교'!$B$12))*SIN(RADIANS('13_시나리오비교'!$C$12))+$H895*SIN(RADIANS('13_시나리오비교'!$B$12))*COS(RADIANS('13_시나리오비교'!$C$12))+$I895*COS(RADIANS('13_시나리오비교'!$B$12))),0)</f>
        <v/>
      </c>
      <c r="X895" s="80">
        <f>IF($I895&gt;0,MAX(0,$G895*SIN(RADIANS('13_시나리오비교'!$B$13))*SIN(RADIANS('13_시나리오비교'!$C$13))+$H895*SIN(RADIANS('13_시나리오비교'!$B$13))*COS(RADIANS('13_시나리오비교'!$C$13))+$I895*COS(RADIANS('13_시나리오비교'!$B$13))),0)</f>
        <v/>
      </c>
      <c r="Y895" s="80">
        <f>IF($I895&gt;0,MAX(0,$G895*SIN(RADIANS('13_시나리오비교'!$B$14))*SIN(RADIANS('13_시나리오비교'!$C$14))+$H895*SIN(RADIANS('13_시나리오비교'!$B$14))*COS(RADIANS('13_시나리오비교'!$C$14))+$I895*COS(RADIANS('13_시나리오비교'!$B$14))),0)</f>
        <v/>
      </c>
    </row>
    <row r="896" hidden="1" outlineLevel="1">
      <c r="A896" s="79" t="n">
        <v>10</v>
      </c>
      <c r="B896" s="79" t="n">
        <v>12</v>
      </c>
      <c r="C896" s="80">
        <f>(B896-0.5)*'14_지역·상수'!$H$6</f>
        <v/>
      </c>
      <c r="D896" s="79" t="n">
        <v>288</v>
      </c>
      <c r="E896" s="80">
        <f>INDEX($C$4:$C$15,MATCH(A896,$A$4:$A$15,0))</f>
        <v/>
      </c>
      <c r="F896" s="80">
        <f>15*(C896-12)</f>
        <v/>
      </c>
      <c r="G896" s="80">
        <f>-COS(RADIANS(E896))*SIN(RADIANS(F896))</f>
        <v/>
      </c>
      <c r="H896" s="80">
        <f>COS(RADIANS('11_발전량_모델'!$B$17))*SIN(RADIANS(E896))-SIN(RADIANS('11_발전량_모델'!$B$17))*COS(RADIANS(E896))*COS(RADIANS(F896))</f>
        <v/>
      </c>
      <c r="I896" s="80">
        <f>SIN(RADIANS('11_발전량_모델'!$B$17))*SIN(RADIANS(E896))+COS(RADIANS('11_발전량_모델'!$B$17))*COS(RADIANS(E896))*COS(RADIANS(F896))</f>
        <v/>
      </c>
      <c r="J896" s="80">
        <f>SIN(RADIANS('11_발전량_모델'!$B$7))*SIN(RADIANS('11_발전량_모델'!$B$8))</f>
        <v/>
      </c>
      <c r="K896" s="80">
        <f>SIN(RADIANS('11_발전량_모델'!$B$7))*COS(RADIANS('11_발전량_모델'!$B$8))</f>
        <v/>
      </c>
      <c r="L896" s="80">
        <f>COS(RADIANS('11_발전량_모델'!$B$7))</f>
        <v/>
      </c>
      <c r="M896" s="80">
        <f>G896*J896+H896*K896+I896*L896</f>
        <v/>
      </c>
      <c r="N896" s="80">
        <f>MAX(0,I896)</f>
        <v/>
      </c>
      <c r="O896" s="80">
        <f>IF(I896&gt;0,MAX(0,M896),0)</f>
        <v/>
      </c>
      <c r="P896" s="80">
        <f>IF($I896&gt;0,MAX(0,$G896*SIN(RADIANS('13_시나리오비교'!$B$5))*SIN(RADIANS('13_시나리오비교'!$C$5))+$H896*SIN(RADIANS('13_시나리오비교'!$B$5))*COS(RADIANS('13_시나리오비교'!$C$5))+$I896*COS(RADIANS('13_시나리오비교'!$B$5))),0)</f>
        <v/>
      </c>
      <c r="Q896" s="80">
        <f>IF($I896&gt;0,MAX(0,$G896*SIN(RADIANS('13_시나리오비교'!$B$6))*SIN(RADIANS('13_시나리오비교'!$C$6))+$H896*SIN(RADIANS('13_시나리오비교'!$B$6))*COS(RADIANS('13_시나리오비교'!$C$6))+$I896*COS(RADIANS('13_시나리오비교'!$B$6))),0)</f>
        <v/>
      </c>
      <c r="R896" s="80">
        <f>IF($I896&gt;0,MAX(0,$G896*SIN(RADIANS('13_시나리오비교'!$B$7))*SIN(RADIANS('13_시나리오비교'!$C$7))+$H896*SIN(RADIANS('13_시나리오비교'!$B$7))*COS(RADIANS('13_시나리오비교'!$C$7))+$I896*COS(RADIANS('13_시나리오비교'!$B$7))),0)</f>
        <v/>
      </c>
      <c r="S896" s="80">
        <f>IF($I896&gt;0,MAX(0,$G896*SIN(RADIANS('13_시나리오비교'!$B$8))*SIN(RADIANS('13_시나리오비교'!$C$8))+$H896*SIN(RADIANS('13_시나리오비교'!$B$8))*COS(RADIANS('13_시나리오비교'!$C$8))+$I896*COS(RADIANS('13_시나리오비교'!$B$8))),0)</f>
        <v/>
      </c>
      <c r="T896" s="80">
        <f>IF($I896&gt;0,MAX(0,$G896*SIN(RADIANS('13_시나리오비교'!$B$9))*SIN(RADIANS('13_시나리오비교'!$C$9))+$H896*SIN(RADIANS('13_시나리오비교'!$B$9))*COS(RADIANS('13_시나리오비교'!$C$9))+$I896*COS(RADIANS('13_시나리오비교'!$B$9))),0)</f>
        <v/>
      </c>
      <c r="U896" s="80">
        <f>IF($I896&gt;0,MAX(0,$G896*SIN(RADIANS('13_시나리오비교'!$B$10))*SIN(RADIANS('13_시나리오비교'!$C$10))+$H896*SIN(RADIANS('13_시나리오비교'!$B$10))*COS(RADIANS('13_시나리오비교'!$C$10))+$I896*COS(RADIANS('13_시나리오비교'!$B$10))),0)</f>
        <v/>
      </c>
      <c r="V896" s="80">
        <f>IF($I896&gt;0,MAX(0,$G896*SIN(RADIANS('13_시나리오비교'!$B$11))*SIN(RADIANS('13_시나리오비교'!$C$11))+$H896*SIN(RADIANS('13_시나리오비교'!$B$11))*COS(RADIANS('13_시나리오비교'!$C$11))+$I896*COS(RADIANS('13_시나리오비교'!$B$11))),0)</f>
        <v/>
      </c>
      <c r="W896" s="80">
        <f>IF($I896&gt;0,MAX(0,$G896*SIN(RADIANS('13_시나리오비교'!$B$12))*SIN(RADIANS('13_시나리오비교'!$C$12))+$H896*SIN(RADIANS('13_시나리오비교'!$B$12))*COS(RADIANS('13_시나리오비교'!$C$12))+$I896*COS(RADIANS('13_시나리오비교'!$B$12))),0)</f>
        <v/>
      </c>
      <c r="X896" s="80">
        <f>IF($I896&gt;0,MAX(0,$G896*SIN(RADIANS('13_시나리오비교'!$B$13))*SIN(RADIANS('13_시나리오비교'!$C$13))+$H896*SIN(RADIANS('13_시나리오비교'!$B$13))*COS(RADIANS('13_시나리오비교'!$C$13))+$I896*COS(RADIANS('13_시나리오비교'!$B$13))),0)</f>
        <v/>
      </c>
      <c r="Y896" s="80">
        <f>IF($I896&gt;0,MAX(0,$G896*SIN(RADIANS('13_시나리오비교'!$B$14))*SIN(RADIANS('13_시나리오비교'!$C$14))+$H896*SIN(RADIANS('13_시나리오비교'!$B$14))*COS(RADIANS('13_시나리오비교'!$C$14))+$I896*COS(RADIANS('13_시나리오비교'!$B$14))),0)</f>
        <v/>
      </c>
    </row>
    <row r="897" hidden="1" outlineLevel="1">
      <c r="A897" s="79" t="n">
        <v>10</v>
      </c>
      <c r="B897" s="79" t="n">
        <v>13</v>
      </c>
      <c r="C897" s="80">
        <f>(B897-0.5)*'14_지역·상수'!$H$6</f>
        <v/>
      </c>
      <c r="D897" s="79" t="n">
        <v>288</v>
      </c>
      <c r="E897" s="80">
        <f>INDEX($C$4:$C$15,MATCH(A897,$A$4:$A$15,0))</f>
        <v/>
      </c>
      <c r="F897" s="80">
        <f>15*(C897-12)</f>
        <v/>
      </c>
      <c r="G897" s="80">
        <f>-COS(RADIANS(E897))*SIN(RADIANS(F897))</f>
        <v/>
      </c>
      <c r="H897" s="80">
        <f>COS(RADIANS('11_발전량_모델'!$B$17))*SIN(RADIANS(E897))-SIN(RADIANS('11_발전량_모델'!$B$17))*COS(RADIANS(E897))*COS(RADIANS(F897))</f>
        <v/>
      </c>
      <c r="I897" s="80">
        <f>SIN(RADIANS('11_발전량_모델'!$B$17))*SIN(RADIANS(E897))+COS(RADIANS('11_발전량_모델'!$B$17))*COS(RADIANS(E897))*COS(RADIANS(F897))</f>
        <v/>
      </c>
      <c r="J897" s="80">
        <f>SIN(RADIANS('11_발전량_모델'!$B$7))*SIN(RADIANS('11_발전량_모델'!$B$8))</f>
        <v/>
      </c>
      <c r="K897" s="80">
        <f>SIN(RADIANS('11_발전량_모델'!$B$7))*COS(RADIANS('11_발전량_모델'!$B$8))</f>
        <v/>
      </c>
      <c r="L897" s="80">
        <f>COS(RADIANS('11_발전량_모델'!$B$7))</f>
        <v/>
      </c>
      <c r="M897" s="80">
        <f>G897*J897+H897*K897+I897*L897</f>
        <v/>
      </c>
      <c r="N897" s="80">
        <f>MAX(0,I897)</f>
        <v/>
      </c>
      <c r="O897" s="80">
        <f>IF(I897&gt;0,MAX(0,M897),0)</f>
        <v/>
      </c>
      <c r="P897" s="80">
        <f>IF($I897&gt;0,MAX(0,$G897*SIN(RADIANS('13_시나리오비교'!$B$5))*SIN(RADIANS('13_시나리오비교'!$C$5))+$H897*SIN(RADIANS('13_시나리오비교'!$B$5))*COS(RADIANS('13_시나리오비교'!$C$5))+$I897*COS(RADIANS('13_시나리오비교'!$B$5))),0)</f>
        <v/>
      </c>
      <c r="Q897" s="80">
        <f>IF($I897&gt;0,MAX(0,$G897*SIN(RADIANS('13_시나리오비교'!$B$6))*SIN(RADIANS('13_시나리오비교'!$C$6))+$H897*SIN(RADIANS('13_시나리오비교'!$B$6))*COS(RADIANS('13_시나리오비교'!$C$6))+$I897*COS(RADIANS('13_시나리오비교'!$B$6))),0)</f>
        <v/>
      </c>
      <c r="R897" s="80">
        <f>IF($I897&gt;0,MAX(0,$G897*SIN(RADIANS('13_시나리오비교'!$B$7))*SIN(RADIANS('13_시나리오비교'!$C$7))+$H897*SIN(RADIANS('13_시나리오비교'!$B$7))*COS(RADIANS('13_시나리오비교'!$C$7))+$I897*COS(RADIANS('13_시나리오비교'!$B$7))),0)</f>
        <v/>
      </c>
      <c r="S897" s="80">
        <f>IF($I897&gt;0,MAX(0,$G897*SIN(RADIANS('13_시나리오비교'!$B$8))*SIN(RADIANS('13_시나리오비교'!$C$8))+$H897*SIN(RADIANS('13_시나리오비교'!$B$8))*COS(RADIANS('13_시나리오비교'!$C$8))+$I897*COS(RADIANS('13_시나리오비교'!$B$8))),0)</f>
        <v/>
      </c>
      <c r="T897" s="80">
        <f>IF($I897&gt;0,MAX(0,$G897*SIN(RADIANS('13_시나리오비교'!$B$9))*SIN(RADIANS('13_시나리오비교'!$C$9))+$H897*SIN(RADIANS('13_시나리오비교'!$B$9))*COS(RADIANS('13_시나리오비교'!$C$9))+$I897*COS(RADIANS('13_시나리오비교'!$B$9))),0)</f>
        <v/>
      </c>
      <c r="U897" s="80">
        <f>IF($I897&gt;0,MAX(0,$G897*SIN(RADIANS('13_시나리오비교'!$B$10))*SIN(RADIANS('13_시나리오비교'!$C$10))+$H897*SIN(RADIANS('13_시나리오비교'!$B$10))*COS(RADIANS('13_시나리오비교'!$C$10))+$I897*COS(RADIANS('13_시나리오비교'!$B$10))),0)</f>
        <v/>
      </c>
      <c r="V897" s="80">
        <f>IF($I897&gt;0,MAX(0,$G897*SIN(RADIANS('13_시나리오비교'!$B$11))*SIN(RADIANS('13_시나리오비교'!$C$11))+$H897*SIN(RADIANS('13_시나리오비교'!$B$11))*COS(RADIANS('13_시나리오비교'!$C$11))+$I897*COS(RADIANS('13_시나리오비교'!$B$11))),0)</f>
        <v/>
      </c>
      <c r="W897" s="80">
        <f>IF($I897&gt;0,MAX(0,$G897*SIN(RADIANS('13_시나리오비교'!$B$12))*SIN(RADIANS('13_시나리오비교'!$C$12))+$H897*SIN(RADIANS('13_시나리오비교'!$B$12))*COS(RADIANS('13_시나리오비교'!$C$12))+$I897*COS(RADIANS('13_시나리오비교'!$B$12))),0)</f>
        <v/>
      </c>
      <c r="X897" s="80">
        <f>IF($I897&gt;0,MAX(0,$G897*SIN(RADIANS('13_시나리오비교'!$B$13))*SIN(RADIANS('13_시나리오비교'!$C$13))+$H897*SIN(RADIANS('13_시나리오비교'!$B$13))*COS(RADIANS('13_시나리오비교'!$C$13))+$I897*COS(RADIANS('13_시나리오비교'!$B$13))),0)</f>
        <v/>
      </c>
      <c r="Y897" s="80">
        <f>IF($I897&gt;0,MAX(0,$G897*SIN(RADIANS('13_시나리오비교'!$B$14))*SIN(RADIANS('13_시나리오비교'!$C$14))+$H897*SIN(RADIANS('13_시나리오비교'!$B$14))*COS(RADIANS('13_시나리오비교'!$C$14))+$I897*COS(RADIANS('13_시나리오비교'!$B$14))),0)</f>
        <v/>
      </c>
    </row>
    <row r="898" hidden="1" outlineLevel="1">
      <c r="A898" s="79" t="n">
        <v>10</v>
      </c>
      <c r="B898" s="79" t="n">
        <v>14</v>
      </c>
      <c r="C898" s="80">
        <f>(B898-0.5)*'14_지역·상수'!$H$6</f>
        <v/>
      </c>
      <c r="D898" s="79" t="n">
        <v>288</v>
      </c>
      <c r="E898" s="80">
        <f>INDEX($C$4:$C$15,MATCH(A898,$A$4:$A$15,0))</f>
        <v/>
      </c>
      <c r="F898" s="80">
        <f>15*(C898-12)</f>
        <v/>
      </c>
      <c r="G898" s="80">
        <f>-COS(RADIANS(E898))*SIN(RADIANS(F898))</f>
        <v/>
      </c>
      <c r="H898" s="80">
        <f>COS(RADIANS('11_발전량_모델'!$B$17))*SIN(RADIANS(E898))-SIN(RADIANS('11_발전량_모델'!$B$17))*COS(RADIANS(E898))*COS(RADIANS(F898))</f>
        <v/>
      </c>
      <c r="I898" s="80">
        <f>SIN(RADIANS('11_발전량_모델'!$B$17))*SIN(RADIANS(E898))+COS(RADIANS('11_발전량_모델'!$B$17))*COS(RADIANS(E898))*COS(RADIANS(F898))</f>
        <v/>
      </c>
      <c r="J898" s="80">
        <f>SIN(RADIANS('11_발전량_모델'!$B$7))*SIN(RADIANS('11_발전량_모델'!$B$8))</f>
        <v/>
      </c>
      <c r="K898" s="80">
        <f>SIN(RADIANS('11_발전량_모델'!$B$7))*COS(RADIANS('11_발전량_모델'!$B$8))</f>
        <v/>
      </c>
      <c r="L898" s="80">
        <f>COS(RADIANS('11_발전량_모델'!$B$7))</f>
        <v/>
      </c>
      <c r="M898" s="80">
        <f>G898*J898+H898*K898+I898*L898</f>
        <v/>
      </c>
      <c r="N898" s="80">
        <f>MAX(0,I898)</f>
        <v/>
      </c>
      <c r="O898" s="80">
        <f>IF(I898&gt;0,MAX(0,M898),0)</f>
        <v/>
      </c>
      <c r="P898" s="80">
        <f>IF($I898&gt;0,MAX(0,$G898*SIN(RADIANS('13_시나리오비교'!$B$5))*SIN(RADIANS('13_시나리오비교'!$C$5))+$H898*SIN(RADIANS('13_시나리오비교'!$B$5))*COS(RADIANS('13_시나리오비교'!$C$5))+$I898*COS(RADIANS('13_시나리오비교'!$B$5))),0)</f>
        <v/>
      </c>
      <c r="Q898" s="80">
        <f>IF($I898&gt;0,MAX(0,$G898*SIN(RADIANS('13_시나리오비교'!$B$6))*SIN(RADIANS('13_시나리오비교'!$C$6))+$H898*SIN(RADIANS('13_시나리오비교'!$B$6))*COS(RADIANS('13_시나리오비교'!$C$6))+$I898*COS(RADIANS('13_시나리오비교'!$B$6))),0)</f>
        <v/>
      </c>
      <c r="R898" s="80">
        <f>IF($I898&gt;0,MAX(0,$G898*SIN(RADIANS('13_시나리오비교'!$B$7))*SIN(RADIANS('13_시나리오비교'!$C$7))+$H898*SIN(RADIANS('13_시나리오비교'!$B$7))*COS(RADIANS('13_시나리오비교'!$C$7))+$I898*COS(RADIANS('13_시나리오비교'!$B$7))),0)</f>
        <v/>
      </c>
      <c r="S898" s="80">
        <f>IF($I898&gt;0,MAX(0,$G898*SIN(RADIANS('13_시나리오비교'!$B$8))*SIN(RADIANS('13_시나리오비교'!$C$8))+$H898*SIN(RADIANS('13_시나리오비교'!$B$8))*COS(RADIANS('13_시나리오비교'!$C$8))+$I898*COS(RADIANS('13_시나리오비교'!$B$8))),0)</f>
        <v/>
      </c>
      <c r="T898" s="80">
        <f>IF($I898&gt;0,MAX(0,$G898*SIN(RADIANS('13_시나리오비교'!$B$9))*SIN(RADIANS('13_시나리오비교'!$C$9))+$H898*SIN(RADIANS('13_시나리오비교'!$B$9))*COS(RADIANS('13_시나리오비교'!$C$9))+$I898*COS(RADIANS('13_시나리오비교'!$B$9))),0)</f>
        <v/>
      </c>
      <c r="U898" s="80">
        <f>IF($I898&gt;0,MAX(0,$G898*SIN(RADIANS('13_시나리오비교'!$B$10))*SIN(RADIANS('13_시나리오비교'!$C$10))+$H898*SIN(RADIANS('13_시나리오비교'!$B$10))*COS(RADIANS('13_시나리오비교'!$C$10))+$I898*COS(RADIANS('13_시나리오비교'!$B$10))),0)</f>
        <v/>
      </c>
      <c r="V898" s="80">
        <f>IF($I898&gt;0,MAX(0,$G898*SIN(RADIANS('13_시나리오비교'!$B$11))*SIN(RADIANS('13_시나리오비교'!$C$11))+$H898*SIN(RADIANS('13_시나리오비교'!$B$11))*COS(RADIANS('13_시나리오비교'!$C$11))+$I898*COS(RADIANS('13_시나리오비교'!$B$11))),0)</f>
        <v/>
      </c>
      <c r="W898" s="80">
        <f>IF($I898&gt;0,MAX(0,$G898*SIN(RADIANS('13_시나리오비교'!$B$12))*SIN(RADIANS('13_시나리오비교'!$C$12))+$H898*SIN(RADIANS('13_시나리오비교'!$B$12))*COS(RADIANS('13_시나리오비교'!$C$12))+$I898*COS(RADIANS('13_시나리오비교'!$B$12))),0)</f>
        <v/>
      </c>
      <c r="X898" s="80">
        <f>IF($I898&gt;0,MAX(0,$G898*SIN(RADIANS('13_시나리오비교'!$B$13))*SIN(RADIANS('13_시나리오비교'!$C$13))+$H898*SIN(RADIANS('13_시나리오비교'!$B$13))*COS(RADIANS('13_시나리오비교'!$C$13))+$I898*COS(RADIANS('13_시나리오비교'!$B$13))),0)</f>
        <v/>
      </c>
      <c r="Y898" s="80">
        <f>IF($I898&gt;0,MAX(0,$G898*SIN(RADIANS('13_시나리오비교'!$B$14))*SIN(RADIANS('13_시나리오비교'!$C$14))+$H898*SIN(RADIANS('13_시나리오비교'!$B$14))*COS(RADIANS('13_시나리오비교'!$C$14))+$I898*COS(RADIANS('13_시나리오비교'!$B$14))),0)</f>
        <v/>
      </c>
    </row>
    <row r="899" hidden="1" outlineLevel="1">
      <c r="A899" s="79" t="n">
        <v>10</v>
      </c>
      <c r="B899" s="79" t="n">
        <v>15</v>
      </c>
      <c r="C899" s="80">
        <f>(B899-0.5)*'14_지역·상수'!$H$6</f>
        <v/>
      </c>
      <c r="D899" s="79" t="n">
        <v>288</v>
      </c>
      <c r="E899" s="80">
        <f>INDEX($C$4:$C$15,MATCH(A899,$A$4:$A$15,0))</f>
        <v/>
      </c>
      <c r="F899" s="80">
        <f>15*(C899-12)</f>
        <v/>
      </c>
      <c r="G899" s="80">
        <f>-COS(RADIANS(E899))*SIN(RADIANS(F899))</f>
        <v/>
      </c>
      <c r="H899" s="80">
        <f>COS(RADIANS('11_발전량_모델'!$B$17))*SIN(RADIANS(E899))-SIN(RADIANS('11_발전량_모델'!$B$17))*COS(RADIANS(E899))*COS(RADIANS(F899))</f>
        <v/>
      </c>
      <c r="I899" s="80">
        <f>SIN(RADIANS('11_발전량_모델'!$B$17))*SIN(RADIANS(E899))+COS(RADIANS('11_발전량_모델'!$B$17))*COS(RADIANS(E899))*COS(RADIANS(F899))</f>
        <v/>
      </c>
      <c r="J899" s="80">
        <f>SIN(RADIANS('11_발전량_모델'!$B$7))*SIN(RADIANS('11_발전량_모델'!$B$8))</f>
        <v/>
      </c>
      <c r="K899" s="80">
        <f>SIN(RADIANS('11_발전량_모델'!$B$7))*COS(RADIANS('11_발전량_모델'!$B$8))</f>
        <v/>
      </c>
      <c r="L899" s="80">
        <f>COS(RADIANS('11_발전량_모델'!$B$7))</f>
        <v/>
      </c>
      <c r="M899" s="80">
        <f>G899*J899+H899*K899+I899*L899</f>
        <v/>
      </c>
      <c r="N899" s="80">
        <f>MAX(0,I899)</f>
        <v/>
      </c>
      <c r="O899" s="80">
        <f>IF(I899&gt;0,MAX(0,M899),0)</f>
        <v/>
      </c>
      <c r="P899" s="80">
        <f>IF($I899&gt;0,MAX(0,$G899*SIN(RADIANS('13_시나리오비교'!$B$5))*SIN(RADIANS('13_시나리오비교'!$C$5))+$H899*SIN(RADIANS('13_시나리오비교'!$B$5))*COS(RADIANS('13_시나리오비교'!$C$5))+$I899*COS(RADIANS('13_시나리오비교'!$B$5))),0)</f>
        <v/>
      </c>
      <c r="Q899" s="80">
        <f>IF($I899&gt;0,MAX(0,$G899*SIN(RADIANS('13_시나리오비교'!$B$6))*SIN(RADIANS('13_시나리오비교'!$C$6))+$H899*SIN(RADIANS('13_시나리오비교'!$B$6))*COS(RADIANS('13_시나리오비교'!$C$6))+$I899*COS(RADIANS('13_시나리오비교'!$B$6))),0)</f>
        <v/>
      </c>
      <c r="R899" s="80">
        <f>IF($I899&gt;0,MAX(0,$G899*SIN(RADIANS('13_시나리오비교'!$B$7))*SIN(RADIANS('13_시나리오비교'!$C$7))+$H899*SIN(RADIANS('13_시나리오비교'!$B$7))*COS(RADIANS('13_시나리오비교'!$C$7))+$I899*COS(RADIANS('13_시나리오비교'!$B$7))),0)</f>
        <v/>
      </c>
      <c r="S899" s="80">
        <f>IF($I899&gt;0,MAX(0,$G899*SIN(RADIANS('13_시나리오비교'!$B$8))*SIN(RADIANS('13_시나리오비교'!$C$8))+$H899*SIN(RADIANS('13_시나리오비교'!$B$8))*COS(RADIANS('13_시나리오비교'!$C$8))+$I899*COS(RADIANS('13_시나리오비교'!$B$8))),0)</f>
        <v/>
      </c>
      <c r="T899" s="80">
        <f>IF($I899&gt;0,MAX(0,$G899*SIN(RADIANS('13_시나리오비교'!$B$9))*SIN(RADIANS('13_시나리오비교'!$C$9))+$H899*SIN(RADIANS('13_시나리오비교'!$B$9))*COS(RADIANS('13_시나리오비교'!$C$9))+$I899*COS(RADIANS('13_시나리오비교'!$B$9))),0)</f>
        <v/>
      </c>
      <c r="U899" s="80">
        <f>IF($I899&gt;0,MAX(0,$G899*SIN(RADIANS('13_시나리오비교'!$B$10))*SIN(RADIANS('13_시나리오비교'!$C$10))+$H899*SIN(RADIANS('13_시나리오비교'!$B$10))*COS(RADIANS('13_시나리오비교'!$C$10))+$I899*COS(RADIANS('13_시나리오비교'!$B$10))),0)</f>
        <v/>
      </c>
      <c r="V899" s="80">
        <f>IF($I899&gt;0,MAX(0,$G899*SIN(RADIANS('13_시나리오비교'!$B$11))*SIN(RADIANS('13_시나리오비교'!$C$11))+$H899*SIN(RADIANS('13_시나리오비교'!$B$11))*COS(RADIANS('13_시나리오비교'!$C$11))+$I899*COS(RADIANS('13_시나리오비교'!$B$11))),0)</f>
        <v/>
      </c>
      <c r="W899" s="80">
        <f>IF($I899&gt;0,MAX(0,$G899*SIN(RADIANS('13_시나리오비교'!$B$12))*SIN(RADIANS('13_시나리오비교'!$C$12))+$H899*SIN(RADIANS('13_시나리오비교'!$B$12))*COS(RADIANS('13_시나리오비교'!$C$12))+$I899*COS(RADIANS('13_시나리오비교'!$B$12))),0)</f>
        <v/>
      </c>
      <c r="X899" s="80">
        <f>IF($I899&gt;0,MAX(0,$G899*SIN(RADIANS('13_시나리오비교'!$B$13))*SIN(RADIANS('13_시나리오비교'!$C$13))+$H899*SIN(RADIANS('13_시나리오비교'!$B$13))*COS(RADIANS('13_시나리오비교'!$C$13))+$I899*COS(RADIANS('13_시나리오비교'!$B$13))),0)</f>
        <v/>
      </c>
      <c r="Y899" s="80">
        <f>IF($I899&gt;0,MAX(0,$G899*SIN(RADIANS('13_시나리오비교'!$B$14))*SIN(RADIANS('13_시나리오비교'!$C$14))+$H899*SIN(RADIANS('13_시나리오비교'!$B$14))*COS(RADIANS('13_시나리오비교'!$C$14))+$I899*COS(RADIANS('13_시나리오비교'!$B$14))),0)</f>
        <v/>
      </c>
    </row>
    <row r="900" hidden="1" outlineLevel="1">
      <c r="A900" s="79" t="n">
        <v>10</v>
      </c>
      <c r="B900" s="79" t="n">
        <v>16</v>
      </c>
      <c r="C900" s="80">
        <f>(B900-0.5)*'14_지역·상수'!$H$6</f>
        <v/>
      </c>
      <c r="D900" s="79" t="n">
        <v>288</v>
      </c>
      <c r="E900" s="80">
        <f>INDEX($C$4:$C$15,MATCH(A900,$A$4:$A$15,0))</f>
        <v/>
      </c>
      <c r="F900" s="80">
        <f>15*(C900-12)</f>
        <v/>
      </c>
      <c r="G900" s="80">
        <f>-COS(RADIANS(E900))*SIN(RADIANS(F900))</f>
        <v/>
      </c>
      <c r="H900" s="80">
        <f>COS(RADIANS('11_발전량_모델'!$B$17))*SIN(RADIANS(E900))-SIN(RADIANS('11_발전량_모델'!$B$17))*COS(RADIANS(E900))*COS(RADIANS(F900))</f>
        <v/>
      </c>
      <c r="I900" s="80">
        <f>SIN(RADIANS('11_발전량_모델'!$B$17))*SIN(RADIANS(E900))+COS(RADIANS('11_발전량_모델'!$B$17))*COS(RADIANS(E900))*COS(RADIANS(F900))</f>
        <v/>
      </c>
      <c r="J900" s="80">
        <f>SIN(RADIANS('11_발전량_모델'!$B$7))*SIN(RADIANS('11_발전량_모델'!$B$8))</f>
        <v/>
      </c>
      <c r="K900" s="80">
        <f>SIN(RADIANS('11_발전량_모델'!$B$7))*COS(RADIANS('11_발전량_모델'!$B$8))</f>
        <v/>
      </c>
      <c r="L900" s="80">
        <f>COS(RADIANS('11_발전량_모델'!$B$7))</f>
        <v/>
      </c>
      <c r="M900" s="80">
        <f>G900*J900+H900*K900+I900*L900</f>
        <v/>
      </c>
      <c r="N900" s="80">
        <f>MAX(0,I900)</f>
        <v/>
      </c>
      <c r="O900" s="80">
        <f>IF(I900&gt;0,MAX(0,M900),0)</f>
        <v/>
      </c>
      <c r="P900" s="80">
        <f>IF($I900&gt;0,MAX(0,$G900*SIN(RADIANS('13_시나리오비교'!$B$5))*SIN(RADIANS('13_시나리오비교'!$C$5))+$H900*SIN(RADIANS('13_시나리오비교'!$B$5))*COS(RADIANS('13_시나리오비교'!$C$5))+$I900*COS(RADIANS('13_시나리오비교'!$B$5))),0)</f>
        <v/>
      </c>
      <c r="Q900" s="80">
        <f>IF($I900&gt;0,MAX(0,$G900*SIN(RADIANS('13_시나리오비교'!$B$6))*SIN(RADIANS('13_시나리오비교'!$C$6))+$H900*SIN(RADIANS('13_시나리오비교'!$B$6))*COS(RADIANS('13_시나리오비교'!$C$6))+$I900*COS(RADIANS('13_시나리오비교'!$B$6))),0)</f>
        <v/>
      </c>
      <c r="R900" s="80">
        <f>IF($I900&gt;0,MAX(0,$G900*SIN(RADIANS('13_시나리오비교'!$B$7))*SIN(RADIANS('13_시나리오비교'!$C$7))+$H900*SIN(RADIANS('13_시나리오비교'!$B$7))*COS(RADIANS('13_시나리오비교'!$C$7))+$I900*COS(RADIANS('13_시나리오비교'!$B$7))),0)</f>
        <v/>
      </c>
      <c r="S900" s="80">
        <f>IF($I900&gt;0,MAX(0,$G900*SIN(RADIANS('13_시나리오비교'!$B$8))*SIN(RADIANS('13_시나리오비교'!$C$8))+$H900*SIN(RADIANS('13_시나리오비교'!$B$8))*COS(RADIANS('13_시나리오비교'!$C$8))+$I900*COS(RADIANS('13_시나리오비교'!$B$8))),0)</f>
        <v/>
      </c>
      <c r="T900" s="80">
        <f>IF($I900&gt;0,MAX(0,$G900*SIN(RADIANS('13_시나리오비교'!$B$9))*SIN(RADIANS('13_시나리오비교'!$C$9))+$H900*SIN(RADIANS('13_시나리오비교'!$B$9))*COS(RADIANS('13_시나리오비교'!$C$9))+$I900*COS(RADIANS('13_시나리오비교'!$B$9))),0)</f>
        <v/>
      </c>
      <c r="U900" s="80">
        <f>IF($I900&gt;0,MAX(0,$G900*SIN(RADIANS('13_시나리오비교'!$B$10))*SIN(RADIANS('13_시나리오비교'!$C$10))+$H900*SIN(RADIANS('13_시나리오비교'!$B$10))*COS(RADIANS('13_시나리오비교'!$C$10))+$I900*COS(RADIANS('13_시나리오비교'!$B$10))),0)</f>
        <v/>
      </c>
      <c r="V900" s="80">
        <f>IF($I900&gt;0,MAX(0,$G900*SIN(RADIANS('13_시나리오비교'!$B$11))*SIN(RADIANS('13_시나리오비교'!$C$11))+$H900*SIN(RADIANS('13_시나리오비교'!$B$11))*COS(RADIANS('13_시나리오비교'!$C$11))+$I900*COS(RADIANS('13_시나리오비교'!$B$11))),0)</f>
        <v/>
      </c>
      <c r="W900" s="80">
        <f>IF($I900&gt;0,MAX(0,$G900*SIN(RADIANS('13_시나리오비교'!$B$12))*SIN(RADIANS('13_시나리오비교'!$C$12))+$H900*SIN(RADIANS('13_시나리오비교'!$B$12))*COS(RADIANS('13_시나리오비교'!$C$12))+$I900*COS(RADIANS('13_시나리오비교'!$B$12))),0)</f>
        <v/>
      </c>
      <c r="X900" s="80">
        <f>IF($I900&gt;0,MAX(0,$G900*SIN(RADIANS('13_시나리오비교'!$B$13))*SIN(RADIANS('13_시나리오비교'!$C$13))+$H900*SIN(RADIANS('13_시나리오비교'!$B$13))*COS(RADIANS('13_시나리오비교'!$C$13))+$I900*COS(RADIANS('13_시나리오비교'!$B$13))),0)</f>
        <v/>
      </c>
      <c r="Y900" s="80">
        <f>IF($I900&gt;0,MAX(0,$G900*SIN(RADIANS('13_시나리오비교'!$B$14))*SIN(RADIANS('13_시나리오비교'!$C$14))+$H900*SIN(RADIANS('13_시나리오비교'!$B$14))*COS(RADIANS('13_시나리오비교'!$C$14))+$I900*COS(RADIANS('13_시나리오비교'!$B$14))),0)</f>
        <v/>
      </c>
    </row>
    <row r="901" hidden="1" outlineLevel="1">
      <c r="A901" s="79" t="n">
        <v>10</v>
      </c>
      <c r="B901" s="79" t="n">
        <v>17</v>
      </c>
      <c r="C901" s="80">
        <f>(B901-0.5)*'14_지역·상수'!$H$6</f>
        <v/>
      </c>
      <c r="D901" s="79" t="n">
        <v>288</v>
      </c>
      <c r="E901" s="80">
        <f>INDEX($C$4:$C$15,MATCH(A901,$A$4:$A$15,0))</f>
        <v/>
      </c>
      <c r="F901" s="80">
        <f>15*(C901-12)</f>
        <v/>
      </c>
      <c r="G901" s="80">
        <f>-COS(RADIANS(E901))*SIN(RADIANS(F901))</f>
        <v/>
      </c>
      <c r="H901" s="80">
        <f>COS(RADIANS('11_발전량_모델'!$B$17))*SIN(RADIANS(E901))-SIN(RADIANS('11_발전량_모델'!$B$17))*COS(RADIANS(E901))*COS(RADIANS(F901))</f>
        <v/>
      </c>
      <c r="I901" s="80">
        <f>SIN(RADIANS('11_발전량_모델'!$B$17))*SIN(RADIANS(E901))+COS(RADIANS('11_발전량_모델'!$B$17))*COS(RADIANS(E901))*COS(RADIANS(F901))</f>
        <v/>
      </c>
      <c r="J901" s="80">
        <f>SIN(RADIANS('11_발전량_모델'!$B$7))*SIN(RADIANS('11_발전량_모델'!$B$8))</f>
        <v/>
      </c>
      <c r="K901" s="80">
        <f>SIN(RADIANS('11_발전량_모델'!$B$7))*COS(RADIANS('11_발전량_모델'!$B$8))</f>
        <v/>
      </c>
      <c r="L901" s="80">
        <f>COS(RADIANS('11_발전량_모델'!$B$7))</f>
        <v/>
      </c>
      <c r="M901" s="80">
        <f>G901*J901+H901*K901+I901*L901</f>
        <v/>
      </c>
      <c r="N901" s="80">
        <f>MAX(0,I901)</f>
        <v/>
      </c>
      <c r="O901" s="80">
        <f>IF(I901&gt;0,MAX(0,M901),0)</f>
        <v/>
      </c>
      <c r="P901" s="80">
        <f>IF($I901&gt;0,MAX(0,$G901*SIN(RADIANS('13_시나리오비교'!$B$5))*SIN(RADIANS('13_시나리오비교'!$C$5))+$H901*SIN(RADIANS('13_시나리오비교'!$B$5))*COS(RADIANS('13_시나리오비교'!$C$5))+$I901*COS(RADIANS('13_시나리오비교'!$B$5))),0)</f>
        <v/>
      </c>
      <c r="Q901" s="80">
        <f>IF($I901&gt;0,MAX(0,$G901*SIN(RADIANS('13_시나리오비교'!$B$6))*SIN(RADIANS('13_시나리오비교'!$C$6))+$H901*SIN(RADIANS('13_시나리오비교'!$B$6))*COS(RADIANS('13_시나리오비교'!$C$6))+$I901*COS(RADIANS('13_시나리오비교'!$B$6))),0)</f>
        <v/>
      </c>
      <c r="R901" s="80">
        <f>IF($I901&gt;0,MAX(0,$G901*SIN(RADIANS('13_시나리오비교'!$B$7))*SIN(RADIANS('13_시나리오비교'!$C$7))+$H901*SIN(RADIANS('13_시나리오비교'!$B$7))*COS(RADIANS('13_시나리오비교'!$C$7))+$I901*COS(RADIANS('13_시나리오비교'!$B$7))),0)</f>
        <v/>
      </c>
      <c r="S901" s="80">
        <f>IF($I901&gt;0,MAX(0,$G901*SIN(RADIANS('13_시나리오비교'!$B$8))*SIN(RADIANS('13_시나리오비교'!$C$8))+$H901*SIN(RADIANS('13_시나리오비교'!$B$8))*COS(RADIANS('13_시나리오비교'!$C$8))+$I901*COS(RADIANS('13_시나리오비교'!$B$8))),0)</f>
        <v/>
      </c>
      <c r="T901" s="80">
        <f>IF($I901&gt;0,MAX(0,$G901*SIN(RADIANS('13_시나리오비교'!$B$9))*SIN(RADIANS('13_시나리오비교'!$C$9))+$H901*SIN(RADIANS('13_시나리오비교'!$B$9))*COS(RADIANS('13_시나리오비교'!$C$9))+$I901*COS(RADIANS('13_시나리오비교'!$B$9))),0)</f>
        <v/>
      </c>
      <c r="U901" s="80">
        <f>IF($I901&gt;0,MAX(0,$G901*SIN(RADIANS('13_시나리오비교'!$B$10))*SIN(RADIANS('13_시나리오비교'!$C$10))+$H901*SIN(RADIANS('13_시나리오비교'!$B$10))*COS(RADIANS('13_시나리오비교'!$C$10))+$I901*COS(RADIANS('13_시나리오비교'!$B$10))),0)</f>
        <v/>
      </c>
      <c r="V901" s="80">
        <f>IF($I901&gt;0,MAX(0,$G901*SIN(RADIANS('13_시나리오비교'!$B$11))*SIN(RADIANS('13_시나리오비교'!$C$11))+$H901*SIN(RADIANS('13_시나리오비교'!$B$11))*COS(RADIANS('13_시나리오비교'!$C$11))+$I901*COS(RADIANS('13_시나리오비교'!$B$11))),0)</f>
        <v/>
      </c>
      <c r="W901" s="80">
        <f>IF($I901&gt;0,MAX(0,$G901*SIN(RADIANS('13_시나리오비교'!$B$12))*SIN(RADIANS('13_시나리오비교'!$C$12))+$H901*SIN(RADIANS('13_시나리오비교'!$B$12))*COS(RADIANS('13_시나리오비교'!$C$12))+$I901*COS(RADIANS('13_시나리오비교'!$B$12))),0)</f>
        <v/>
      </c>
      <c r="X901" s="80">
        <f>IF($I901&gt;0,MAX(0,$G901*SIN(RADIANS('13_시나리오비교'!$B$13))*SIN(RADIANS('13_시나리오비교'!$C$13))+$H901*SIN(RADIANS('13_시나리오비교'!$B$13))*COS(RADIANS('13_시나리오비교'!$C$13))+$I901*COS(RADIANS('13_시나리오비교'!$B$13))),0)</f>
        <v/>
      </c>
      <c r="Y901" s="80">
        <f>IF($I901&gt;0,MAX(0,$G901*SIN(RADIANS('13_시나리오비교'!$B$14))*SIN(RADIANS('13_시나리오비교'!$C$14))+$H901*SIN(RADIANS('13_시나리오비교'!$B$14))*COS(RADIANS('13_시나리오비교'!$C$14))+$I901*COS(RADIANS('13_시나리오비교'!$B$14))),0)</f>
        <v/>
      </c>
    </row>
    <row r="902" hidden="1" outlineLevel="1">
      <c r="A902" s="79" t="n">
        <v>10</v>
      </c>
      <c r="B902" s="79" t="n">
        <v>18</v>
      </c>
      <c r="C902" s="80">
        <f>(B902-0.5)*'14_지역·상수'!$H$6</f>
        <v/>
      </c>
      <c r="D902" s="79" t="n">
        <v>288</v>
      </c>
      <c r="E902" s="80">
        <f>INDEX($C$4:$C$15,MATCH(A902,$A$4:$A$15,0))</f>
        <v/>
      </c>
      <c r="F902" s="80">
        <f>15*(C902-12)</f>
        <v/>
      </c>
      <c r="G902" s="80">
        <f>-COS(RADIANS(E902))*SIN(RADIANS(F902))</f>
        <v/>
      </c>
      <c r="H902" s="80">
        <f>COS(RADIANS('11_발전량_모델'!$B$17))*SIN(RADIANS(E902))-SIN(RADIANS('11_발전량_모델'!$B$17))*COS(RADIANS(E902))*COS(RADIANS(F902))</f>
        <v/>
      </c>
      <c r="I902" s="80">
        <f>SIN(RADIANS('11_발전량_모델'!$B$17))*SIN(RADIANS(E902))+COS(RADIANS('11_발전량_모델'!$B$17))*COS(RADIANS(E902))*COS(RADIANS(F902))</f>
        <v/>
      </c>
      <c r="J902" s="80">
        <f>SIN(RADIANS('11_발전량_모델'!$B$7))*SIN(RADIANS('11_발전량_모델'!$B$8))</f>
        <v/>
      </c>
      <c r="K902" s="80">
        <f>SIN(RADIANS('11_발전량_모델'!$B$7))*COS(RADIANS('11_발전량_모델'!$B$8))</f>
        <v/>
      </c>
      <c r="L902" s="80">
        <f>COS(RADIANS('11_발전량_모델'!$B$7))</f>
        <v/>
      </c>
      <c r="M902" s="80">
        <f>G902*J902+H902*K902+I902*L902</f>
        <v/>
      </c>
      <c r="N902" s="80">
        <f>MAX(0,I902)</f>
        <v/>
      </c>
      <c r="O902" s="80">
        <f>IF(I902&gt;0,MAX(0,M902),0)</f>
        <v/>
      </c>
      <c r="P902" s="80">
        <f>IF($I902&gt;0,MAX(0,$G902*SIN(RADIANS('13_시나리오비교'!$B$5))*SIN(RADIANS('13_시나리오비교'!$C$5))+$H902*SIN(RADIANS('13_시나리오비교'!$B$5))*COS(RADIANS('13_시나리오비교'!$C$5))+$I902*COS(RADIANS('13_시나리오비교'!$B$5))),0)</f>
        <v/>
      </c>
      <c r="Q902" s="80">
        <f>IF($I902&gt;0,MAX(0,$G902*SIN(RADIANS('13_시나리오비교'!$B$6))*SIN(RADIANS('13_시나리오비교'!$C$6))+$H902*SIN(RADIANS('13_시나리오비교'!$B$6))*COS(RADIANS('13_시나리오비교'!$C$6))+$I902*COS(RADIANS('13_시나리오비교'!$B$6))),0)</f>
        <v/>
      </c>
      <c r="R902" s="80">
        <f>IF($I902&gt;0,MAX(0,$G902*SIN(RADIANS('13_시나리오비교'!$B$7))*SIN(RADIANS('13_시나리오비교'!$C$7))+$H902*SIN(RADIANS('13_시나리오비교'!$B$7))*COS(RADIANS('13_시나리오비교'!$C$7))+$I902*COS(RADIANS('13_시나리오비교'!$B$7))),0)</f>
        <v/>
      </c>
      <c r="S902" s="80">
        <f>IF($I902&gt;0,MAX(0,$G902*SIN(RADIANS('13_시나리오비교'!$B$8))*SIN(RADIANS('13_시나리오비교'!$C$8))+$H902*SIN(RADIANS('13_시나리오비교'!$B$8))*COS(RADIANS('13_시나리오비교'!$C$8))+$I902*COS(RADIANS('13_시나리오비교'!$B$8))),0)</f>
        <v/>
      </c>
      <c r="T902" s="80">
        <f>IF($I902&gt;0,MAX(0,$G902*SIN(RADIANS('13_시나리오비교'!$B$9))*SIN(RADIANS('13_시나리오비교'!$C$9))+$H902*SIN(RADIANS('13_시나리오비교'!$B$9))*COS(RADIANS('13_시나리오비교'!$C$9))+$I902*COS(RADIANS('13_시나리오비교'!$B$9))),0)</f>
        <v/>
      </c>
      <c r="U902" s="80">
        <f>IF($I902&gt;0,MAX(0,$G902*SIN(RADIANS('13_시나리오비교'!$B$10))*SIN(RADIANS('13_시나리오비교'!$C$10))+$H902*SIN(RADIANS('13_시나리오비교'!$B$10))*COS(RADIANS('13_시나리오비교'!$C$10))+$I902*COS(RADIANS('13_시나리오비교'!$B$10))),0)</f>
        <v/>
      </c>
      <c r="V902" s="80">
        <f>IF($I902&gt;0,MAX(0,$G902*SIN(RADIANS('13_시나리오비교'!$B$11))*SIN(RADIANS('13_시나리오비교'!$C$11))+$H902*SIN(RADIANS('13_시나리오비교'!$B$11))*COS(RADIANS('13_시나리오비교'!$C$11))+$I902*COS(RADIANS('13_시나리오비교'!$B$11))),0)</f>
        <v/>
      </c>
      <c r="W902" s="80">
        <f>IF($I902&gt;0,MAX(0,$G902*SIN(RADIANS('13_시나리오비교'!$B$12))*SIN(RADIANS('13_시나리오비교'!$C$12))+$H902*SIN(RADIANS('13_시나리오비교'!$B$12))*COS(RADIANS('13_시나리오비교'!$C$12))+$I902*COS(RADIANS('13_시나리오비교'!$B$12))),0)</f>
        <v/>
      </c>
      <c r="X902" s="80">
        <f>IF($I902&gt;0,MAX(0,$G902*SIN(RADIANS('13_시나리오비교'!$B$13))*SIN(RADIANS('13_시나리오비교'!$C$13))+$H902*SIN(RADIANS('13_시나리오비교'!$B$13))*COS(RADIANS('13_시나리오비교'!$C$13))+$I902*COS(RADIANS('13_시나리오비교'!$B$13))),0)</f>
        <v/>
      </c>
      <c r="Y902" s="80">
        <f>IF($I902&gt;0,MAX(0,$G902*SIN(RADIANS('13_시나리오비교'!$B$14))*SIN(RADIANS('13_시나리오비교'!$C$14))+$H902*SIN(RADIANS('13_시나리오비교'!$B$14))*COS(RADIANS('13_시나리오비교'!$C$14))+$I902*COS(RADIANS('13_시나리오비교'!$B$14))),0)</f>
        <v/>
      </c>
    </row>
    <row r="903" hidden="1" outlineLevel="1">
      <c r="A903" s="79" t="n">
        <v>10</v>
      </c>
      <c r="B903" s="79" t="n">
        <v>19</v>
      </c>
      <c r="C903" s="80">
        <f>(B903-0.5)*'14_지역·상수'!$H$6</f>
        <v/>
      </c>
      <c r="D903" s="79" t="n">
        <v>288</v>
      </c>
      <c r="E903" s="80">
        <f>INDEX($C$4:$C$15,MATCH(A903,$A$4:$A$15,0))</f>
        <v/>
      </c>
      <c r="F903" s="80">
        <f>15*(C903-12)</f>
        <v/>
      </c>
      <c r="G903" s="80">
        <f>-COS(RADIANS(E903))*SIN(RADIANS(F903))</f>
        <v/>
      </c>
      <c r="H903" s="80">
        <f>COS(RADIANS('11_발전량_모델'!$B$17))*SIN(RADIANS(E903))-SIN(RADIANS('11_발전량_모델'!$B$17))*COS(RADIANS(E903))*COS(RADIANS(F903))</f>
        <v/>
      </c>
      <c r="I903" s="80">
        <f>SIN(RADIANS('11_발전량_모델'!$B$17))*SIN(RADIANS(E903))+COS(RADIANS('11_발전량_모델'!$B$17))*COS(RADIANS(E903))*COS(RADIANS(F903))</f>
        <v/>
      </c>
      <c r="J903" s="80">
        <f>SIN(RADIANS('11_발전량_모델'!$B$7))*SIN(RADIANS('11_발전량_모델'!$B$8))</f>
        <v/>
      </c>
      <c r="K903" s="80">
        <f>SIN(RADIANS('11_발전량_모델'!$B$7))*COS(RADIANS('11_발전량_모델'!$B$8))</f>
        <v/>
      </c>
      <c r="L903" s="80">
        <f>COS(RADIANS('11_발전량_모델'!$B$7))</f>
        <v/>
      </c>
      <c r="M903" s="80">
        <f>G903*J903+H903*K903+I903*L903</f>
        <v/>
      </c>
      <c r="N903" s="80">
        <f>MAX(0,I903)</f>
        <v/>
      </c>
      <c r="O903" s="80">
        <f>IF(I903&gt;0,MAX(0,M903),0)</f>
        <v/>
      </c>
      <c r="P903" s="80">
        <f>IF($I903&gt;0,MAX(0,$G903*SIN(RADIANS('13_시나리오비교'!$B$5))*SIN(RADIANS('13_시나리오비교'!$C$5))+$H903*SIN(RADIANS('13_시나리오비교'!$B$5))*COS(RADIANS('13_시나리오비교'!$C$5))+$I903*COS(RADIANS('13_시나리오비교'!$B$5))),0)</f>
        <v/>
      </c>
      <c r="Q903" s="80">
        <f>IF($I903&gt;0,MAX(0,$G903*SIN(RADIANS('13_시나리오비교'!$B$6))*SIN(RADIANS('13_시나리오비교'!$C$6))+$H903*SIN(RADIANS('13_시나리오비교'!$B$6))*COS(RADIANS('13_시나리오비교'!$C$6))+$I903*COS(RADIANS('13_시나리오비교'!$B$6))),0)</f>
        <v/>
      </c>
      <c r="R903" s="80">
        <f>IF($I903&gt;0,MAX(0,$G903*SIN(RADIANS('13_시나리오비교'!$B$7))*SIN(RADIANS('13_시나리오비교'!$C$7))+$H903*SIN(RADIANS('13_시나리오비교'!$B$7))*COS(RADIANS('13_시나리오비교'!$C$7))+$I903*COS(RADIANS('13_시나리오비교'!$B$7))),0)</f>
        <v/>
      </c>
      <c r="S903" s="80">
        <f>IF($I903&gt;0,MAX(0,$G903*SIN(RADIANS('13_시나리오비교'!$B$8))*SIN(RADIANS('13_시나리오비교'!$C$8))+$H903*SIN(RADIANS('13_시나리오비교'!$B$8))*COS(RADIANS('13_시나리오비교'!$C$8))+$I903*COS(RADIANS('13_시나리오비교'!$B$8))),0)</f>
        <v/>
      </c>
      <c r="T903" s="80">
        <f>IF($I903&gt;0,MAX(0,$G903*SIN(RADIANS('13_시나리오비교'!$B$9))*SIN(RADIANS('13_시나리오비교'!$C$9))+$H903*SIN(RADIANS('13_시나리오비교'!$B$9))*COS(RADIANS('13_시나리오비교'!$C$9))+$I903*COS(RADIANS('13_시나리오비교'!$B$9))),0)</f>
        <v/>
      </c>
      <c r="U903" s="80">
        <f>IF($I903&gt;0,MAX(0,$G903*SIN(RADIANS('13_시나리오비교'!$B$10))*SIN(RADIANS('13_시나리오비교'!$C$10))+$H903*SIN(RADIANS('13_시나리오비교'!$B$10))*COS(RADIANS('13_시나리오비교'!$C$10))+$I903*COS(RADIANS('13_시나리오비교'!$B$10))),0)</f>
        <v/>
      </c>
      <c r="V903" s="80">
        <f>IF($I903&gt;0,MAX(0,$G903*SIN(RADIANS('13_시나리오비교'!$B$11))*SIN(RADIANS('13_시나리오비교'!$C$11))+$H903*SIN(RADIANS('13_시나리오비교'!$B$11))*COS(RADIANS('13_시나리오비교'!$C$11))+$I903*COS(RADIANS('13_시나리오비교'!$B$11))),0)</f>
        <v/>
      </c>
      <c r="W903" s="80">
        <f>IF($I903&gt;0,MAX(0,$G903*SIN(RADIANS('13_시나리오비교'!$B$12))*SIN(RADIANS('13_시나리오비교'!$C$12))+$H903*SIN(RADIANS('13_시나리오비교'!$B$12))*COS(RADIANS('13_시나리오비교'!$C$12))+$I903*COS(RADIANS('13_시나리오비교'!$B$12))),0)</f>
        <v/>
      </c>
      <c r="X903" s="80">
        <f>IF($I903&gt;0,MAX(0,$G903*SIN(RADIANS('13_시나리오비교'!$B$13))*SIN(RADIANS('13_시나리오비교'!$C$13))+$H903*SIN(RADIANS('13_시나리오비교'!$B$13))*COS(RADIANS('13_시나리오비교'!$C$13))+$I903*COS(RADIANS('13_시나리오비교'!$B$13))),0)</f>
        <v/>
      </c>
      <c r="Y903" s="80">
        <f>IF($I903&gt;0,MAX(0,$G903*SIN(RADIANS('13_시나리오비교'!$B$14))*SIN(RADIANS('13_시나리오비교'!$C$14))+$H903*SIN(RADIANS('13_시나리오비교'!$B$14))*COS(RADIANS('13_시나리오비교'!$C$14))+$I903*COS(RADIANS('13_시나리오비교'!$B$14))),0)</f>
        <v/>
      </c>
    </row>
    <row r="904" hidden="1" outlineLevel="1">
      <c r="A904" s="79" t="n">
        <v>10</v>
      </c>
      <c r="B904" s="79" t="n">
        <v>20</v>
      </c>
      <c r="C904" s="80">
        <f>(B904-0.5)*'14_지역·상수'!$H$6</f>
        <v/>
      </c>
      <c r="D904" s="79" t="n">
        <v>288</v>
      </c>
      <c r="E904" s="80">
        <f>INDEX($C$4:$C$15,MATCH(A904,$A$4:$A$15,0))</f>
        <v/>
      </c>
      <c r="F904" s="80">
        <f>15*(C904-12)</f>
        <v/>
      </c>
      <c r="G904" s="80">
        <f>-COS(RADIANS(E904))*SIN(RADIANS(F904))</f>
        <v/>
      </c>
      <c r="H904" s="80">
        <f>COS(RADIANS('11_발전량_모델'!$B$17))*SIN(RADIANS(E904))-SIN(RADIANS('11_발전량_모델'!$B$17))*COS(RADIANS(E904))*COS(RADIANS(F904))</f>
        <v/>
      </c>
      <c r="I904" s="80">
        <f>SIN(RADIANS('11_발전량_모델'!$B$17))*SIN(RADIANS(E904))+COS(RADIANS('11_발전량_모델'!$B$17))*COS(RADIANS(E904))*COS(RADIANS(F904))</f>
        <v/>
      </c>
      <c r="J904" s="80">
        <f>SIN(RADIANS('11_발전량_모델'!$B$7))*SIN(RADIANS('11_발전량_모델'!$B$8))</f>
        <v/>
      </c>
      <c r="K904" s="80">
        <f>SIN(RADIANS('11_발전량_모델'!$B$7))*COS(RADIANS('11_발전량_모델'!$B$8))</f>
        <v/>
      </c>
      <c r="L904" s="80">
        <f>COS(RADIANS('11_발전량_모델'!$B$7))</f>
        <v/>
      </c>
      <c r="M904" s="80">
        <f>G904*J904+H904*K904+I904*L904</f>
        <v/>
      </c>
      <c r="N904" s="80">
        <f>MAX(0,I904)</f>
        <v/>
      </c>
      <c r="O904" s="80">
        <f>IF(I904&gt;0,MAX(0,M904),0)</f>
        <v/>
      </c>
      <c r="P904" s="80">
        <f>IF($I904&gt;0,MAX(0,$G904*SIN(RADIANS('13_시나리오비교'!$B$5))*SIN(RADIANS('13_시나리오비교'!$C$5))+$H904*SIN(RADIANS('13_시나리오비교'!$B$5))*COS(RADIANS('13_시나리오비교'!$C$5))+$I904*COS(RADIANS('13_시나리오비교'!$B$5))),0)</f>
        <v/>
      </c>
      <c r="Q904" s="80">
        <f>IF($I904&gt;0,MAX(0,$G904*SIN(RADIANS('13_시나리오비교'!$B$6))*SIN(RADIANS('13_시나리오비교'!$C$6))+$H904*SIN(RADIANS('13_시나리오비교'!$B$6))*COS(RADIANS('13_시나리오비교'!$C$6))+$I904*COS(RADIANS('13_시나리오비교'!$B$6))),0)</f>
        <v/>
      </c>
      <c r="R904" s="80">
        <f>IF($I904&gt;0,MAX(0,$G904*SIN(RADIANS('13_시나리오비교'!$B$7))*SIN(RADIANS('13_시나리오비교'!$C$7))+$H904*SIN(RADIANS('13_시나리오비교'!$B$7))*COS(RADIANS('13_시나리오비교'!$C$7))+$I904*COS(RADIANS('13_시나리오비교'!$B$7))),0)</f>
        <v/>
      </c>
      <c r="S904" s="80">
        <f>IF($I904&gt;0,MAX(0,$G904*SIN(RADIANS('13_시나리오비교'!$B$8))*SIN(RADIANS('13_시나리오비교'!$C$8))+$H904*SIN(RADIANS('13_시나리오비교'!$B$8))*COS(RADIANS('13_시나리오비교'!$C$8))+$I904*COS(RADIANS('13_시나리오비교'!$B$8))),0)</f>
        <v/>
      </c>
      <c r="T904" s="80">
        <f>IF($I904&gt;0,MAX(0,$G904*SIN(RADIANS('13_시나리오비교'!$B$9))*SIN(RADIANS('13_시나리오비교'!$C$9))+$H904*SIN(RADIANS('13_시나리오비교'!$B$9))*COS(RADIANS('13_시나리오비교'!$C$9))+$I904*COS(RADIANS('13_시나리오비교'!$B$9))),0)</f>
        <v/>
      </c>
      <c r="U904" s="80">
        <f>IF($I904&gt;0,MAX(0,$G904*SIN(RADIANS('13_시나리오비교'!$B$10))*SIN(RADIANS('13_시나리오비교'!$C$10))+$H904*SIN(RADIANS('13_시나리오비교'!$B$10))*COS(RADIANS('13_시나리오비교'!$C$10))+$I904*COS(RADIANS('13_시나리오비교'!$B$10))),0)</f>
        <v/>
      </c>
      <c r="V904" s="80">
        <f>IF($I904&gt;0,MAX(0,$G904*SIN(RADIANS('13_시나리오비교'!$B$11))*SIN(RADIANS('13_시나리오비교'!$C$11))+$H904*SIN(RADIANS('13_시나리오비교'!$B$11))*COS(RADIANS('13_시나리오비교'!$C$11))+$I904*COS(RADIANS('13_시나리오비교'!$B$11))),0)</f>
        <v/>
      </c>
      <c r="W904" s="80">
        <f>IF($I904&gt;0,MAX(0,$G904*SIN(RADIANS('13_시나리오비교'!$B$12))*SIN(RADIANS('13_시나리오비교'!$C$12))+$H904*SIN(RADIANS('13_시나리오비교'!$B$12))*COS(RADIANS('13_시나리오비교'!$C$12))+$I904*COS(RADIANS('13_시나리오비교'!$B$12))),0)</f>
        <v/>
      </c>
      <c r="X904" s="80">
        <f>IF($I904&gt;0,MAX(0,$G904*SIN(RADIANS('13_시나리오비교'!$B$13))*SIN(RADIANS('13_시나리오비교'!$C$13))+$H904*SIN(RADIANS('13_시나리오비교'!$B$13))*COS(RADIANS('13_시나리오비교'!$C$13))+$I904*COS(RADIANS('13_시나리오비교'!$B$13))),0)</f>
        <v/>
      </c>
      <c r="Y904" s="80">
        <f>IF($I904&gt;0,MAX(0,$G904*SIN(RADIANS('13_시나리오비교'!$B$14))*SIN(RADIANS('13_시나리오비교'!$C$14))+$H904*SIN(RADIANS('13_시나리오비교'!$B$14))*COS(RADIANS('13_시나리오비교'!$C$14))+$I904*COS(RADIANS('13_시나리오비교'!$B$14))),0)</f>
        <v/>
      </c>
    </row>
    <row r="905" hidden="1" outlineLevel="1">
      <c r="A905" s="79" t="n">
        <v>10</v>
      </c>
      <c r="B905" s="79" t="n">
        <v>21</v>
      </c>
      <c r="C905" s="80">
        <f>(B905-0.5)*'14_지역·상수'!$H$6</f>
        <v/>
      </c>
      <c r="D905" s="79" t="n">
        <v>288</v>
      </c>
      <c r="E905" s="80">
        <f>INDEX($C$4:$C$15,MATCH(A905,$A$4:$A$15,0))</f>
        <v/>
      </c>
      <c r="F905" s="80">
        <f>15*(C905-12)</f>
        <v/>
      </c>
      <c r="G905" s="80">
        <f>-COS(RADIANS(E905))*SIN(RADIANS(F905))</f>
        <v/>
      </c>
      <c r="H905" s="80">
        <f>COS(RADIANS('11_발전량_모델'!$B$17))*SIN(RADIANS(E905))-SIN(RADIANS('11_발전량_모델'!$B$17))*COS(RADIANS(E905))*COS(RADIANS(F905))</f>
        <v/>
      </c>
      <c r="I905" s="80">
        <f>SIN(RADIANS('11_발전량_모델'!$B$17))*SIN(RADIANS(E905))+COS(RADIANS('11_발전량_모델'!$B$17))*COS(RADIANS(E905))*COS(RADIANS(F905))</f>
        <v/>
      </c>
      <c r="J905" s="80">
        <f>SIN(RADIANS('11_발전량_모델'!$B$7))*SIN(RADIANS('11_발전량_모델'!$B$8))</f>
        <v/>
      </c>
      <c r="K905" s="80">
        <f>SIN(RADIANS('11_발전량_모델'!$B$7))*COS(RADIANS('11_발전량_모델'!$B$8))</f>
        <v/>
      </c>
      <c r="L905" s="80">
        <f>COS(RADIANS('11_발전량_모델'!$B$7))</f>
        <v/>
      </c>
      <c r="M905" s="80">
        <f>G905*J905+H905*K905+I905*L905</f>
        <v/>
      </c>
      <c r="N905" s="80">
        <f>MAX(0,I905)</f>
        <v/>
      </c>
      <c r="O905" s="80">
        <f>IF(I905&gt;0,MAX(0,M905),0)</f>
        <v/>
      </c>
      <c r="P905" s="80">
        <f>IF($I905&gt;0,MAX(0,$G905*SIN(RADIANS('13_시나리오비교'!$B$5))*SIN(RADIANS('13_시나리오비교'!$C$5))+$H905*SIN(RADIANS('13_시나리오비교'!$B$5))*COS(RADIANS('13_시나리오비교'!$C$5))+$I905*COS(RADIANS('13_시나리오비교'!$B$5))),0)</f>
        <v/>
      </c>
      <c r="Q905" s="80">
        <f>IF($I905&gt;0,MAX(0,$G905*SIN(RADIANS('13_시나리오비교'!$B$6))*SIN(RADIANS('13_시나리오비교'!$C$6))+$H905*SIN(RADIANS('13_시나리오비교'!$B$6))*COS(RADIANS('13_시나리오비교'!$C$6))+$I905*COS(RADIANS('13_시나리오비교'!$B$6))),0)</f>
        <v/>
      </c>
      <c r="R905" s="80">
        <f>IF($I905&gt;0,MAX(0,$G905*SIN(RADIANS('13_시나리오비교'!$B$7))*SIN(RADIANS('13_시나리오비교'!$C$7))+$H905*SIN(RADIANS('13_시나리오비교'!$B$7))*COS(RADIANS('13_시나리오비교'!$C$7))+$I905*COS(RADIANS('13_시나리오비교'!$B$7))),0)</f>
        <v/>
      </c>
      <c r="S905" s="80">
        <f>IF($I905&gt;0,MAX(0,$G905*SIN(RADIANS('13_시나리오비교'!$B$8))*SIN(RADIANS('13_시나리오비교'!$C$8))+$H905*SIN(RADIANS('13_시나리오비교'!$B$8))*COS(RADIANS('13_시나리오비교'!$C$8))+$I905*COS(RADIANS('13_시나리오비교'!$B$8))),0)</f>
        <v/>
      </c>
      <c r="T905" s="80">
        <f>IF($I905&gt;0,MAX(0,$G905*SIN(RADIANS('13_시나리오비교'!$B$9))*SIN(RADIANS('13_시나리오비교'!$C$9))+$H905*SIN(RADIANS('13_시나리오비교'!$B$9))*COS(RADIANS('13_시나리오비교'!$C$9))+$I905*COS(RADIANS('13_시나리오비교'!$B$9))),0)</f>
        <v/>
      </c>
      <c r="U905" s="80">
        <f>IF($I905&gt;0,MAX(0,$G905*SIN(RADIANS('13_시나리오비교'!$B$10))*SIN(RADIANS('13_시나리오비교'!$C$10))+$H905*SIN(RADIANS('13_시나리오비교'!$B$10))*COS(RADIANS('13_시나리오비교'!$C$10))+$I905*COS(RADIANS('13_시나리오비교'!$B$10))),0)</f>
        <v/>
      </c>
      <c r="V905" s="80">
        <f>IF($I905&gt;0,MAX(0,$G905*SIN(RADIANS('13_시나리오비교'!$B$11))*SIN(RADIANS('13_시나리오비교'!$C$11))+$H905*SIN(RADIANS('13_시나리오비교'!$B$11))*COS(RADIANS('13_시나리오비교'!$C$11))+$I905*COS(RADIANS('13_시나리오비교'!$B$11))),0)</f>
        <v/>
      </c>
      <c r="W905" s="80">
        <f>IF($I905&gt;0,MAX(0,$G905*SIN(RADIANS('13_시나리오비교'!$B$12))*SIN(RADIANS('13_시나리오비교'!$C$12))+$H905*SIN(RADIANS('13_시나리오비교'!$B$12))*COS(RADIANS('13_시나리오비교'!$C$12))+$I905*COS(RADIANS('13_시나리오비교'!$B$12))),0)</f>
        <v/>
      </c>
      <c r="X905" s="80">
        <f>IF($I905&gt;0,MAX(0,$G905*SIN(RADIANS('13_시나리오비교'!$B$13))*SIN(RADIANS('13_시나리오비교'!$C$13))+$H905*SIN(RADIANS('13_시나리오비교'!$B$13))*COS(RADIANS('13_시나리오비교'!$C$13))+$I905*COS(RADIANS('13_시나리오비교'!$B$13))),0)</f>
        <v/>
      </c>
      <c r="Y905" s="80">
        <f>IF($I905&gt;0,MAX(0,$G905*SIN(RADIANS('13_시나리오비교'!$B$14))*SIN(RADIANS('13_시나리오비교'!$C$14))+$H905*SIN(RADIANS('13_시나리오비교'!$B$14))*COS(RADIANS('13_시나리오비교'!$C$14))+$I905*COS(RADIANS('13_시나리오비교'!$B$14))),0)</f>
        <v/>
      </c>
    </row>
    <row r="906" hidden="1" outlineLevel="1">
      <c r="A906" s="79" t="n">
        <v>10</v>
      </c>
      <c r="B906" s="79" t="n">
        <v>22</v>
      </c>
      <c r="C906" s="80">
        <f>(B906-0.5)*'14_지역·상수'!$H$6</f>
        <v/>
      </c>
      <c r="D906" s="79" t="n">
        <v>288</v>
      </c>
      <c r="E906" s="80">
        <f>INDEX($C$4:$C$15,MATCH(A906,$A$4:$A$15,0))</f>
        <v/>
      </c>
      <c r="F906" s="80">
        <f>15*(C906-12)</f>
        <v/>
      </c>
      <c r="G906" s="80">
        <f>-COS(RADIANS(E906))*SIN(RADIANS(F906))</f>
        <v/>
      </c>
      <c r="H906" s="80">
        <f>COS(RADIANS('11_발전량_모델'!$B$17))*SIN(RADIANS(E906))-SIN(RADIANS('11_발전량_모델'!$B$17))*COS(RADIANS(E906))*COS(RADIANS(F906))</f>
        <v/>
      </c>
      <c r="I906" s="80">
        <f>SIN(RADIANS('11_발전량_모델'!$B$17))*SIN(RADIANS(E906))+COS(RADIANS('11_발전량_모델'!$B$17))*COS(RADIANS(E906))*COS(RADIANS(F906))</f>
        <v/>
      </c>
      <c r="J906" s="80">
        <f>SIN(RADIANS('11_발전량_모델'!$B$7))*SIN(RADIANS('11_발전량_모델'!$B$8))</f>
        <v/>
      </c>
      <c r="K906" s="80">
        <f>SIN(RADIANS('11_발전량_모델'!$B$7))*COS(RADIANS('11_발전량_모델'!$B$8))</f>
        <v/>
      </c>
      <c r="L906" s="80">
        <f>COS(RADIANS('11_발전량_모델'!$B$7))</f>
        <v/>
      </c>
      <c r="M906" s="80">
        <f>G906*J906+H906*K906+I906*L906</f>
        <v/>
      </c>
      <c r="N906" s="80">
        <f>MAX(0,I906)</f>
        <v/>
      </c>
      <c r="O906" s="80">
        <f>IF(I906&gt;0,MAX(0,M906),0)</f>
        <v/>
      </c>
      <c r="P906" s="80">
        <f>IF($I906&gt;0,MAX(0,$G906*SIN(RADIANS('13_시나리오비교'!$B$5))*SIN(RADIANS('13_시나리오비교'!$C$5))+$H906*SIN(RADIANS('13_시나리오비교'!$B$5))*COS(RADIANS('13_시나리오비교'!$C$5))+$I906*COS(RADIANS('13_시나리오비교'!$B$5))),0)</f>
        <v/>
      </c>
      <c r="Q906" s="80">
        <f>IF($I906&gt;0,MAX(0,$G906*SIN(RADIANS('13_시나리오비교'!$B$6))*SIN(RADIANS('13_시나리오비교'!$C$6))+$H906*SIN(RADIANS('13_시나리오비교'!$B$6))*COS(RADIANS('13_시나리오비교'!$C$6))+$I906*COS(RADIANS('13_시나리오비교'!$B$6))),0)</f>
        <v/>
      </c>
      <c r="R906" s="80">
        <f>IF($I906&gt;0,MAX(0,$G906*SIN(RADIANS('13_시나리오비교'!$B$7))*SIN(RADIANS('13_시나리오비교'!$C$7))+$H906*SIN(RADIANS('13_시나리오비교'!$B$7))*COS(RADIANS('13_시나리오비교'!$C$7))+$I906*COS(RADIANS('13_시나리오비교'!$B$7))),0)</f>
        <v/>
      </c>
      <c r="S906" s="80">
        <f>IF($I906&gt;0,MAX(0,$G906*SIN(RADIANS('13_시나리오비교'!$B$8))*SIN(RADIANS('13_시나리오비교'!$C$8))+$H906*SIN(RADIANS('13_시나리오비교'!$B$8))*COS(RADIANS('13_시나리오비교'!$C$8))+$I906*COS(RADIANS('13_시나리오비교'!$B$8))),0)</f>
        <v/>
      </c>
      <c r="T906" s="80">
        <f>IF($I906&gt;0,MAX(0,$G906*SIN(RADIANS('13_시나리오비교'!$B$9))*SIN(RADIANS('13_시나리오비교'!$C$9))+$H906*SIN(RADIANS('13_시나리오비교'!$B$9))*COS(RADIANS('13_시나리오비교'!$C$9))+$I906*COS(RADIANS('13_시나리오비교'!$B$9))),0)</f>
        <v/>
      </c>
      <c r="U906" s="80">
        <f>IF($I906&gt;0,MAX(0,$G906*SIN(RADIANS('13_시나리오비교'!$B$10))*SIN(RADIANS('13_시나리오비교'!$C$10))+$H906*SIN(RADIANS('13_시나리오비교'!$B$10))*COS(RADIANS('13_시나리오비교'!$C$10))+$I906*COS(RADIANS('13_시나리오비교'!$B$10))),0)</f>
        <v/>
      </c>
      <c r="V906" s="80">
        <f>IF($I906&gt;0,MAX(0,$G906*SIN(RADIANS('13_시나리오비교'!$B$11))*SIN(RADIANS('13_시나리오비교'!$C$11))+$H906*SIN(RADIANS('13_시나리오비교'!$B$11))*COS(RADIANS('13_시나리오비교'!$C$11))+$I906*COS(RADIANS('13_시나리오비교'!$B$11))),0)</f>
        <v/>
      </c>
      <c r="W906" s="80">
        <f>IF($I906&gt;0,MAX(0,$G906*SIN(RADIANS('13_시나리오비교'!$B$12))*SIN(RADIANS('13_시나리오비교'!$C$12))+$H906*SIN(RADIANS('13_시나리오비교'!$B$12))*COS(RADIANS('13_시나리오비교'!$C$12))+$I906*COS(RADIANS('13_시나리오비교'!$B$12))),0)</f>
        <v/>
      </c>
      <c r="X906" s="80">
        <f>IF($I906&gt;0,MAX(0,$G906*SIN(RADIANS('13_시나리오비교'!$B$13))*SIN(RADIANS('13_시나리오비교'!$C$13))+$H906*SIN(RADIANS('13_시나리오비교'!$B$13))*COS(RADIANS('13_시나리오비교'!$C$13))+$I906*COS(RADIANS('13_시나리오비교'!$B$13))),0)</f>
        <v/>
      </c>
      <c r="Y906" s="80">
        <f>IF($I906&gt;0,MAX(0,$G906*SIN(RADIANS('13_시나리오비교'!$B$14))*SIN(RADIANS('13_시나리오비교'!$C$14))+$H906*SIN(RADIANS('13_시나리오비교'!$B$14))*COS(RADIANS('13_시나리오비교'!$C$14))+$I906*COS(RADIANS('13_시나리오비교'!$B$14))),0)</f>
        <v/>
      </c>
    </row>
    <row r="907" hidden="1" outlineLevel="1">
      <c r="A907" s="79" t="n">
        <v>10</v>
      </c>
      <c r="B907" s="79" t="n">
        <v>23</v>
      </c>
      <c r="C907" s="80">
        <f>(B907-0.5)*'14_지역·상수'!$H$6</f>
        <v/>
      </c>
      <c r="D907" s="79" t="n">
        <v>288</v>
      </c>
      <c r="E907" s="80">
        <f>INDEX($C$4:$C$15,MATCH(A907,$A$4:$A$15,0))</f>
        <v/>
      </c>
      <c r="F907" s="80">
        <f>15*(C907-12)</f>
        <v/>
      </c>
      <c r="G907" s="80">
        <f>-COS(RADIANS(E907))*SIN(RADIANS(F907))</f>
        <v/>
      </c>
      <c r="H907" s="80">
        <f>COS(RADIANS('11_발전량_모델'!$B$17))*SIN(RADIANS(E907))-SIN(RADIANS('11_발전량_모델'!$B$17))*COS(RADIANS(E907))*COS(RADIANS(F907))</f>
        <v/>
      </c>
      <c r="I907" s="80">
        <f>SIN(RADIANS('11_발전량_모델'!$B$17))*SIN(RADIANS(E907))+COS(RADIANS('11_발전량_모델'!$B$17))*COS(RADIANS(E907))*COS(RADIANS(F907))</f>
        <v/>
      </c>
      <c r="J907" s="80">
        <f>SIN(RADIANS('11_발전량_모델'!$B$7))*SIN(RADIANS('11_발전량_모델'!$B$8))</f>
        <v/>
      </c>
      <c r="K907" s="80">
        <f>SIN(RADIANS('11_발전량_모델'!$B$7))*COS(RADIANS('11_발전량_모델'!$B$8))</f>
        <v/>
      </c>
      <c r="L907" s="80">
        <f>COS(RADIANS('11_발전량_모델'!$B$7))</f>
        <v/>
      </c>
      <c r="M907" s="80">
        <f>G907*J907+H907*K907+I907*L907</f>
        <v/>
      </c>
      <c r="N907" s="80">
        <f>MAX(0,I907)</f>
        <v/>
      </c>
      <c r="O907" s="80">
        <f>IF(I907&gt;0,MAX(0,M907),0)</f>
        <v/>
      </c>
      <c r="P907" s="80">
        <f>IF($I907&gt;0,MAX(0,$G907*SIN(RADIANS('13_시나리오비교'!$B$5))*SIN(RADIANS('13_시나리오비교'!$C$5))+$H907*SIN(RADIANS('13_시나리오비교'!$B$5))*COS(RADIANS('13_시나리오비교'!$C$5))+$I907*COS(RADIANS('13_시나리오비교'!$B$5))),0)</f>
        <v/>
      </c>
      <c r="Q907" s="80">
        <f>IF($I907&gt;0,MAX(0,$G907*SIN(RADIANS('13_시나리오비교'!$B$6))*SIN(RADIANS('13_시나리오비교'!$C$6))+$H907*SIN(RADIANS('13_시나리오비교'!$B$6))*COS(RADIANS('13_시나리오비교'!$C$6))+$I907*COS(RADIANS('13_시나리오비교'!$B$6))),0)</f>
        <v/>
      </c>
      <c r="R907" s="80">
        <f>IF($I907&gt;0,MAX(0,$G907*SIN(RADIANS('13_시나리오비교'!$B$7))*SIN(RADIANS('13_시나리오비교'!$C$7))+$H907*SIN(RADIANS('13_시나리오비교'!$B$7))*COS(RADIANS('13_시나리오비교'!$C$7))+$I907*COS(RADIANS('13_시나리오비교'!$B$7))),0)</f>
        <v/>
      </c>
      <c r="S907" s="80">
        <f>IF($I907&gt;0,MAX(0,$G907*SIN(RADIANS('13_시나리오비교'!$B$8))*SIN(RADIANS('13_시나리오비교'!$C$8))+$H907*SIN(RADIANS('13_시나리오비교'!$B$8))*COS(RADIANS('13_시나리오비교'!$C$8))+$I907*COS(RADIANS('13_시나리오비교'!$B$8))),0)</f>
        <v/>
      </c>
      <c r="T907" s="80">
        <f>IF($I907&gt;0,MAX(0,$G907*SIN(RADIANS('13_시나리오비교'!$B$9))*SIN(RADIANS('13_시나리오비교'!$C$9))+$H907*SIN(RADIANS('13_시나리오비교'!$B$9))*COS(RADIANS('13_시나리오비교'!$C$9))+$I907*COS(RADIANS('13_시나리오비교'!$B$9))),0)</f>
        <v/>
      </c>
      <c r="U907" s="80">
        <f>IF($I907&gt;0,MAX(0,$G907*SIN(RADIANS('13_시나리오비교'!$B$10))*SIN(RADIANS('13_시나리오비교'!$C$10))+$H907*SIN(RADIANS('13_시나리오비교'!$B$10))*COS(RADIANS('13_시나리오비교'!$C$10))+$I907*COS(RADIANS('13_시나리오비교'!$B$10))),0)</f>
        <v/>
      </c>
      <c r="V907" s="80">
        <f>IF($I907&gt;0,MAX(0,$G907*SIN(RADIANS('13_시나리오비교'!$B$11))*SIN(RADIANS('13_시나리오비교'!$C$11))+$H907*SIN(RADIANS('13_시나리오비교'!$B$11))*COS(RADIANS('13_시나리오비교'!$C$11))+$I907*COS(RADIANS('13_시나리오비교'!$B$11))),0)</f>
        <v/>
      </c>
      <c r="W907" s="80">
        <f>IF($I907&gt;0,MAX(0,$G907*SIN(RADIANS('13_시나리오비교'!$B$12))*SIN(RADIANS('13_시나리오비교'!$C$12))+$H907*SIN(RADIANS('13_시나리오비교'!$B$12))*COS(RADIANS('13_시나리오비교'!$C$12))+$I907*COS(RADIANS('13_시나리오비교'!$B$12))),0)</f>
        <v/>
      </c>
      <c r="X907" s="80">
        <f>IF($I907&gt;0,MAX(0,$G907*SIN(RADIANS('13_시나리오비교'!$B$13))*SIN(RADIANS('13_시나리오비교'!$C$13))+$H907*SIN(RADIANS('13_시나리오비교'!$B$13))*COS(RADIANS('13_시나리오비교'!$C$13))+$I907*COS(RADIANS('13_시나리오비교'!$B$13))),0)</f>
        <v/>
      </c>
      <c r="Y907" s="80">
        <f>IF($I907&gt;0,MAX(0,$G907*SIN(RADIANS('13_시나리오비교'!$B$14))*SIN(RADIANS('13_시나리오비교'!$C$14))+$H907*SIN(RADIANS('13_시나리오비교'!$B$14))*COS(RADIANS('13_시나리오비교'!$C$14))+$I907*COS(RADIANS('13_시나리오비교'!$B$14))),0)</f>
        <v/>
      </c>
    </row>
    <row r="908" hidden="1" outlineLevel="1">
      <c r="A908" s="79" t="n">
        <v>10</v>
      </c>
      <c r="B908" s="79" t="n">
        <v>24</v>
      </c>
      <c r="C908" s="80">
        <f>(B908-0.5)*'14_지역·상수'!$H$6</f>
        <v/>
      </c>
      <c r="D908" s="79" t="n">
        <v>288</v>
      </c>
      <c r="E908" s="80">
        <f>INDEX($C$4:$C$15,MATCH(A908,$A$4:$A$15,0))</f>
        <v/>
      </c>
      <c r="F908" s="80">
        <f>15*(C908-12)</f>
        <v/>
      </c>
      <c r="G908" s="80">
        <f>-COS(RADIANS(E908))*SIN(RADIANS(F908))</f>
        <v/>
      </c>
      <c r="H908" s="80">
        <f>COS(RADIANS('11_발전량_모델'!$B$17))*SIN(RADIANS(E908))-SIN(RADIANS('11_발전량_모델'!$B$17))*COS(RADIANS(E908))*COS(RADIANS(F908))</f>
        <v/>
      </c>
      <c r="I908" s="80">
        <f>SIN(RADIANS('11_발전량_모델'!$B$17))*SIN(RADIANS(E908))+COS(RADIANS('11_발전량_모델'!$B$17))*COS(RADIANS(E908))*COS(RADIANS(F908))</f>
        <v/>
      </c>
      <c r="J908" s="80">
        <f>SIN(RADIANS('11_발전량_모델'!$B$7))*SIN(RADIANS('11_발전량_모델'!$B$8))</f>
        <v/>
      </c>
      <c r="K908" s="80">
        <f>SIN(RADIANS('11_발전량_모델'!$B$7))*COS(RADIANS('11_발전량_모델'!$B$8))</f>
        <v/>
      </c>
      <c r="L908" s="80">
        <f>COS(RADIANS('11_발전량_모델'!$B$7))</f>
        <v/>
      </c>
      <c r="M908" s="80">
        <f>G908*J908+H908*K908+I908*L908</f>
        <v/>
      </c>
      <c r="N908" s="80">
        <f>MAX(0,I908)</f>
        <v/>
      </c>
      <c r="O908" s="80">
        <f>IF(I908&gt;0,MAX(0,M908),0)</f>
        <v/>
      </c>
      <c r="P908" s="80">
        <f>IF($I908&gt;0,MAX(0,$G908*SIN(RADIANS('13_시나리오비교'!$B$5))*SIN(RADIANS('13_시나리오비교'!$C$5))+$H908*SIN(RADIANS('13_시나리오비교'!$B$5))*COS(RADIANS('13_시나리오비교'!$C$5))+$I908*COS(RADIANS('13_시나리오비교'!$B$5))),0)</f>
        <v/>
      </c>
      <c r="Q908" s="80">
        <f>IF($I908&gt;0,MAX(0,$G908*SIN(RADIANS('13_시나리오비교'!$B$6))*SIN(RADIANS('13_시나리오비교'!$C$6))+$H908*SIN(RADIANS('13_시나리오비교'!$B$6))*COS(RADIANS('13_시나리오비교'!$C$6))+$I908*COS(RADIANS('13_시나리오비교'!$B$6))),0)</f>
        <v/>
      </c>
      <c r="R908" s="80">
        <f>IF($I908&gt;0,MAX(0,$G908*SIN(RADIANS('13_시나리오비교'!$B$7))*SIN(RADIANS('13_시나리오비교'!$C$7))+$H908*SIN(RADIANS('13_시나리오비교'!$B$7))*COS(RADIANS('13_시나리오비교'!$C$7))+$I908*COS(RADIANS('13_시나리오비교'!$B$7))),0)</f>
        <v/>
      </c>
      <c r="S908" s="80">
        <f>IF($I908&gt;0,MAX(0,$G908*SIN(RADIANS('13_시나리오비교'!$B$8))*SIN(RADIANS('13_시나리오비교'!$C$8))+$H908*SIN(RADIANS('13_시나리오비교'!$B$8))*COS(RADIANS('13_시나리오비교'!$C$8))+$I908*COS(RADIANS('13_시나리오비교'!$B$8))),0)</f>
        <v/>
      </c>
      <c r="T908" s="80">
        <f>IF($I908&gt;0,MAX(0,$G908*SIN(RADIANS('13_시나리오비교'!$B$9))*SIN(RADIANS('13_시나리오비교'!$C$9))+$H908*SIN(RADIANS('13_시나리오비교'!$B$9))*COS(RADIANS('13_시나리오비교'!$C$9))+$I908*COS(RADIANS('13_시나리오비교'!$B$9))),0)</f>
        <v/>
      </c>
      <c r="U908" s="80">
        <f>IF($I908&gt;0,MAX(0,$G908*SIN(RADIANS('13_시나리오비교'!$B$10))*SIN(RADIANS('13_시나리오비교'!$C$10))+$H908*SIN(RADIANS('13_시나리오비교'!$B$10))*COS(RADIANS('13_시나리오비교'!$C$10))+$I908*COS(RADIANS('13_시나리오비교'!$B$10))),0)</f>
        <v/>
      </c>
      <c r="V908" s="80">
        <f>IF($I908&gt;0,MAX(0,$G908*SIN(RADIANS('13_시나리오비교'!$B$11))*SIN(RADIANS('13_시나리오비교'!$C$11))+$H908*SIN(RADIANS('13_시나리오비교'!$B$11))*COS(RADIANS('13_시나리오비교'!$C$11))+$I908*COS(RADIANS('13_시나리오비교'!$B$11))),0)</f>
        <v/>
      </c>
      <c r="W908" s="80">
        <f>IF($I908&gt;0,MAX(0,$G908*SIN(RADIANS('13_시나리오비교'!$B$12))*SIN(RADIANS('13_시나리오비교'!$C$12))+$H908*SIN(RADIANS('13_시나리오비교'!$B$12))*COS(RADIANS('13_시나리오비교'!$C$12))+$I908*COS(RADIANS('13_시나리오비교'!$B$12))),0)</f>
        <v/>
      </c>
      <c r="X908" s="80">
        <f>IF($I908&gt;0,MAX(0,$G908*SIN(RADIANS('13_시나리오비교'!$B$13))*SIN(RADIANS('13_시나리오비교'!$C$13))+$H908*SIN(RADIANS('13_시나리오비교'!$B$13))*COS(RADIANS('13_시나리오비교'!$C$13))+$I908*COS(RADIANS('13_시나리오비교'!$B$13))),0)</f>
        <v/>
      </c>
      <c r="Y908" s="80">
        <f>IF($I908&gt;0,MAX(0,$G908*SIN(RADIANS('13_시나리오비교'!$B$14))*SIN(RADIANS('13_시나리오비교'!$C$14))+$H908*SIN(RADIANS('13_시나리오비교'!$B$14))*COS(RADIANS('13_시나리오비교'!$C$14))+$I908*COS(RADIANS('13_시나리오비교'!$B$14))),0)</f>
        <v/>
      </c>
    </row>
    <row r="909" hidden="1" outlineLevel="1">
      <c r="A909" s="79" t="n">
        <v>10</v>
      </c>
      <c r="B909" s="79" t="n">
        <v>25</v>
      </c>
      <c r="C909" s="80">
        <f>(B909-0.5)*'14_지역·상수'!$H$6</f>
        <v/>
      </c>
      <c r="D909" s="79" t="n">
        <v>288</v>
      </c>
      <c r="E909" s="80">
        <f>INDEX($C$4:$C$15,MATCH(A909,$A$4:$A$15,0))</f>
        <v/>
      </c>
      <c r="F909" s="80">
        <f>15*(C909-12)</f>
        <v/>
      </c>
      <c r="G909" s="80">
        <f>-COS(RADIANS(E909))*SIN(RADIANS(F909))</f>
        <v/>
      </c>
      <c r="H909" s="80">
        <f>COS(RADIANS('11_발전량_모델'!$B$17))*SIN(RADIANS(E909))-SIN(RADIANS('11_발전량_모델'!$B$17))*COS(RADIANS(E909))*COS(RADIANS(F909))</f>
        <v/>
      </c>
      <c r="I909" s="80">
        <f>SIN(RADIANS('11_발전량_모델'!$B$17))*SIN(RADIANS(E909))+COS(RADIANS('11_발전량_모델'!$B$17))*COS(RADIANS(E909))*COS(RADIANS(F909))</f>
        <v/>
      </c>
      <c r="J909" s="80">
        <f>SIN(RADIANS('11_발전량_모델'!$B$7))*SIN(RADIANS('11_발전량_모델'!$B$8))</f>
        <v/>
      </c>
      <c r="K909" s="80">
        <f>SIN(RADIANS('11_발전량_모델'!$B$7))*COS(RADIANS('11_발전량_모델'!$B$8))</f>
        <v/>
      </c>
      <c r="L909" s="80">
        <f>COS(RADIANS('11_발전량_모델'!$B$7))</f>
        <v/>
      </c>
      <c r="M909" s="80">
        <f>G909*J909+H909*K909+I909*L909</f>
        <v/>
      </c>
      <c r="N909" s="80">
        <f>MAX(0,I909)</f>
        <v/>
      </c>
      <c r="O909" s="80">
        <f>IF(I909&gt;0,MAX(0,M909),0)</f>
        <v/>
      </c>
      <c r="P909" s="80">
        <f>IF($I909&gt;0,MAX(0,$G909*SIN(RADIANS('13_시나리오비교'!$B$5))*SIN(RADIANS('13_시나리오비교'!$C$5))+$H909*SIN(RADIANS('13_시나리오비교'!$B$5))*COS(RADIANS('13_시나리오비교'!$C$5))+$I909*COS(RADIANS('13_시나리오비교'!$B$5))),0)</f>
        <v/>
      </c>
      <c r="Q909" s="80">
        <f>IF($I909&gt;0,MAX(0,$G909*SIN(RADIANS('13_시나리오비교'!$B$6))*SIN(RADIANS('13_시나리오비교'!$C$6))+$H909*SIN(RADIANS('13_시나리오비교'!$B$6))*COS(RADIANS('13_시나리오비교'!$C$6))+$I909*COS(RADIANS('13_시나리오비교'!$B$6))),0)</f>
        <v/>
      </c>
      <c r="R909" s="80">
        <f>IF($I909&gt;0,MAX(0,$G909*SIN(RADIANS('13_시나리오비교'!$B$7))*SIN(RADIANS('13_시나리오비교'!$C$7))+$H909*SIN(RADIANS('13_시나리오비교'!$B$7))*COS(RADIANS('13_시나리오비교'!$C$7))+$I909*COS(RADIANS('13_시나리오비교'!$B$7))),0)</f>
        <v/>
      </c>
      <c r="S909" s="80">
        <f>IF($I909&gt;0,MAX(0,$G909*SIN(RADIANS('13_시나리오비교'!$B$8))*SIN(RADIANS('13_시나리오비교'!$C$8))+$H909*SIN(RADIANS('13_시나리오비교'!$B$8))*COS(RADIANS('13_시나리오비교'!$C$8))+$I909*COS(RADIANS('13_시나리오비교'!$B$8))),0)</f>
        <v/>
      </c>
      <c r="T909" s="80">
        <f>IF($I909&gt;0,MAX(0,$G909*SIN(RADIANS('13_시나리오비교'!$B$9))*SIN(RADIANS('13_시나리오비교'!$C$9))+$H909*SIN(RADIANS('13_시나리오비교'!$B$9))*COS(RADIANS('13_시나리오비교'!$C$9))+$I909*COS(RADIANS('13_시나리오비교'!$B$9))),0)</f>
        <v/>
      </c>
      <c r="U909" s="80">
        <f>IF($I909&gt;0,MAX(0,$G909*SIN(RADIANS('13_시나리오비교'!$B$10))*SIN(RADIANS('13_시나리오비교'!$C$10))+$H909*SIN(RADIANS('13_시나리오비교'!$B$10))*COS(RADIANS('13_시나리오비교'!$C$10))+$I909*COS(RADIANS('13_시나리오비교'!$B$10))),0)</f>
        <v/>
      </c>
      <c r="V909" s="80">
        <f>IF($I909&gt;0,MAX(0,$G909*SIN(RADIANS('13_시나리오비교'!$B$11))*SIN(RADIANS('13_시나리오비교'!$C$11))+$H909*SIN(RADIANS('13_시나리오비교'!$B$11))*COS(RADIANS('13_시나리오비교'!$C$11))+$I909*COS(RADIANS('13_시나리오비교'!$B$11))),0)</f>
        <v/>
      </c>
      <c r="W909" s="80">
        <f>IF($I909&gt;0,MAX(0,$G909*SIN(RADIANS('13_시나리오비교'!$B$12))*SIN(RADIANS('13_시나리오비교'!$C$12))+$H909*SIN(RADIANS('13_시나리오비교'!$B$12))*COS(RADIANS('13_시나리오비교'!$C$12))+$I909*COS(RADIANS('13_시나리오비교'!$B$12))),0)</f>
        <v/>
      </c>
      <c r="X909" s="80">
        <f>IF($I909&gt;0,MAX(0,$G909*SIN(RADIANS('13_시나리오비교'!$B$13))*SIN(RADIANS('13_시나리오비교'!$C$13))+$H909*SIN(RADIANS('13_시나리오비교'!$B$13))*COS(RADIANS('13_시나리오비교'!$C$13))+$I909*COS(RADIANS('13_시나리오비교'!$B$13))),0)</f>
        <v/>
      </c>
      <c r="Y909" s="80">
        <f>IF($I909&gt;0,MAX(0,$G909*SIN(RADIANS('13_시나리오비교'!$B$14))*SIN(RADIANS('13_시나리오비교'!$C$14))+$H909*SIN(RADIANS('13_시나리오비교'!$B$14))*COS(RADIANS('13_시나리오비교'!$C$14))+$I909*COS(RADIANS('13_시나리오비교'!$B$14))),0)</f>
        <v/>
      </c>
    </row>
    <row r="910" hidden="1" outlineLevel="1">
      <c r="A910" s="79" t="n">
        <v>10</v>
      </c>
      <c r="B910" s="79" t="n">
        <v>26</v>
      </c>
      <c r="C910" s="80">
        <f>(B910-0.5)*'14_지역·상수'!$H$6</f>
        <v/>
      </c>
      <c r="D910" s="79" t="n">
        <v>288</v>
      </c>
      <c r="E910" s="80">
        <f>INDEX($C$4:$C$15,MATCH(A910,$A$4:$A$15,0))</f>
        <v/>
      </c>
      <c r="F910" s="80">
        <f>15*(C910-12)</f>
        <v/>
      </c>
      <c r="G910" s="80">
        <f>-COS(RADIANS(E910))*SIN(RADIANS(F910))</f>
        <v/>
      </c>
      <c r="H910" s="80">
        <f>COS(RADIANS('11_발전량_모델'!$B$17))*SIN(RADIANS(E910))-SIN(RADIANS('11_발전량_모델'!$B$17))*COS(RADIANS(E910))*COS(RADIANS(F910))</f>
        <v/>
      </c>
      <c r="I910" s="80">
        <f>SIN(RADIANS('11_발전량_모델'!$B$17))*SIN(RADIANS(E910))+COS(RADIANS('11_발전량_모델'!$B$17))*COS(RADIANS(E910))*COS(RADIANS(F910))</f>
        <v/>
      </c>
      <c r="J910" s="80">
        <f>SIN(RADIANS('11_발전량_모델'!$B$7))*SIN(RADIANS('11_발전량_모델'!$B$8))</f>
        <v/>
      </c>
      <c r="K910" s="80">
        <f>SIN(RADIANS('11_발전량_모델'!$B$7))*COS(RADIANS('11_발전량_모델'!$B$8))</f>
        <v/>
      </c>
      <c r="L910" s="80">
        <f>COS(RADIANS('11_발전량_모델'!$B$7))</f>
        <v/>
      </c>
      <c r="M910" s="80">
        <f>G910*J910+H910*K910+I910*L910</f>
        <v/>
      </c>
      <c r="N910" s="80">
        <f>MAX(0,I910)</f>
        <v/>
      </c>
      <c r="O910" s="80">
        <f>IF(I910&gt;0,MAX(0,M910),0)</f>
        <v/>
      </c>
      <c r="P910" s="80">
        <f>IF($I910&gt;0,MAX(0,$G910*SIN(RADIANS('13_시나리오비교'!$B$5))*SIN(RADIANS('13_시나리오비교'!$C$5))+$H910*SIN(RADIANS('13_시나리오비교'!$B$5))*COS(RADIANS('13_시나리오비교'!$C$5))+$I910*COS(RADIANS('13_시나리오비교'!$B$5))),0)</f>
        <v/>
      </c>
      <c r="Q910" s="80">
        <f>IF($I910&gt;0,MAX(0,$G910*SIN(RADIANS('13_시나리오비교'!$B$6))*SIN(RADIANS('13_시나리오비교'!$C$6))+$H910*SIN(RADIANS('13_시나리오비교'!$B$6))*COS(RADIANS('13_시나리오비교'!$C$6))+$I910*COS(RADIANS('13_시나리오비교'!$B$6))),0)</f>
        <v/>
      </c>
      <c r="R910" s="80">
        <f>IF($I910&gt;0,MAX(0,$G910*SIN(RADIANS('13_시나리오비교'!$B$7))*SIN(RADIANS('13_시나리오비교'!$C$7))+$H910*SIN(RADIANS('13_시나리오비교'!$B$7))*COS(RADIANS('13_시나리오비교'!$C$7))+$I910*COS(RADIANS('13_시나리오비교'!$B$7))),0)</f>
        <v/>
      </c>
      <c r="S910" s="80">
        <f>IF($I910&gt;0,MAX(0,$G910*SIN(RADIANS('13_시나리오비교'!$B$8))*SIN(RADIANS('13_시나리오비교'!$C$8))+$H910*SIN(RADIANS('13_시나리오비교'!$B$8))*COS(RADIANS('13_시나리오비교'!$C$8))+$I910*COS(RADIANS('13_시나리오비교'!$B$8))),0)</f>
        <v/>
      </c>
      <c r="T910" s="80">
        <f>IF($I910&gt;0,MAX(0,$G910*SIN(RADIANS('13_시나리오비교'!$B$9))*SIN(RADIANS('13_시나리오비교'!$C$9))+$H910*SIN(RADIANS('13_시나리오비교'!$B$9))*COS(RADIANS('13_시나리오비교'!$C$9))+$I910*COS(RADIANS('13_시나리오비교'!$B$9))),0)</f>
        <v/>
      </c>
      <c r="U910" s="80">
        <f>IF($I910&gt;0,MAX(0,$G910*SIN(RADIANS('13_시나리오비교'!$B$10))*SIN(RADIANS('13_시나리오비교'!$C$10))+$H910*SIN(RADIANS('13_시나리오비교'!$B$10))*COS(RADIANS('13_시나리오비교'!$C$10))+$I910*COS(RADIANS('13_시나리오비교'!$B$10))),0)</f>
        <v/>
      </c>
      <c r="V910" s="80">
        <f>IF($I910&gt;0,MAX(0,$G910*SIN(RADIANS('13_시나리오비교'!$B$11))*SIN(RADIANS('13_시나리오비교'!$C$11))+$H910*SIN(RADIANS('13_시나리오비교'!$B$11))*COS(RADIANS('13_시나리오비교'!$C$11))+$I910*COS(RADIANS('13_시나리오비교'!$B$11))),0)</f>
        <v/>
      </c>
      <c r="W910" s="80">
        <f>IF($I910&gt;0,MAX(0,$G910*SIN(RADIANS('13_시나리오비교'!$B$12))*SIN(RADIANS('13_시나리오비교'!$C$12))+$H910*SIN(RADIANS('13_시나리오비교'!$B$12))*COS(RADIANS('13_시나리오비교'!$C$12))+$I910*COS(RADIANS('13_시나리오비교'!$B$12))),0)</f>
        <v/>
      </c>
      <c r="X910" s="80">
        <f>IF($I910&gt;0,MAX(0,$G910*SIN(RADIANS('13_시나리오비교'!$B$13))*SIN(RADIANS('13_시나리오비교'!$C$13))+$H910*SIN(RADIANS('13_시나리오비교'!$B$13))*COS(RADIANS('13_시나리오비교'!$C$13))+$I910*COS(RADIANS('13_시나리오비교'!$B$13))),0)</f>
        <v/>
      </c>
      <c r="Y910" s="80">
        <f>IF($I910&gt;0,MAX(0,$G910*SIN(RADIANS('13_시나리오비교'!$B$14))*SIN(RADIANS('13_시나리오비교'!$C$14))+$H910*SIN(RADIANS('13_시나리오비교'!$B$14))*COS(RADIANS('13_시나리오비교'!$C$14))+$I910*COS(RADIANS('13_시나리오비교'!$B$14))),0)</f>
        <v/>
      </c>
    </row>
    <row r="911" hidden="1" outlineLevel="1">
      <c r="A911" s="79" t="n">
        <v>10</v>
      </c>
      <c r="B911" s="79" t="n">
        <v>27</v>
      </c>
      <c r="C911" s="80">
        <f>(B911-0.5)*'14_지역·상수'!$H$6</f>
        <v/>
      </c>
      <c r="D911" s="79" t="n">
        <v>288</v>
      </c>
      <c r="E911" s="80">
        <f>INDEX($C$4:$C$15,MATCH(A911,$A$4:$A$15,0))</f>
        <v/>
      </c>
      <c r="F911" s="80">
        <f>15*(C911-12)</f>
        <v/>
      </c>
      <c r="G911" s="80">
        <f>-COS(RADIANS(E911))*SIN(RADIANS(F911))</f>
        <v/>
      </c>
      <c r="H911" s="80">
        <f>COS(RADIANS('11_발전량_모델'!$B$17))*SIN(RADIANS(E911))-SIN(RADIANS('11_발전량_모델'!$B$17))*COS(RADIANS(E911))*COS(RADIANS(F911))</f>
        <v/>
      </c>
      <c r="I911" s="80">
        <f>SIN(RADIANS('11_발전량_모델'!$B$17))*SIN(RADIANS(E911))+COS(RADIANS('11_발전량_모델'!$B$17))*COS(RADIANS(E911))*COS(RADIANS(F911))</f>
        <v/>
      </c>
      <c r="J911" s="80">
        <f>SIN(RADIANS('11_발전량_모델'!$B$7))*SIN(RADIANS('11_발전량_모델'!$B$8))</f>
        <v/>
      </c>
      <c r="K911" s="80">
        <f>SIN(RADIANS('11_발전량_모델'!$B$7))*COS(RADIANS('11_발전량_모델'!$B$8))</f>
        <v/>
      </c>
      <c r="L911" s="80">
        <f>COS(RADIANS('11_발전량_모델'!$B$7))</f>
        <v/>
      </c>
      <c r="M911" s="80">
        <f>G911*J911+H911*K911+I911*L911</f>
        <v/>
      </c>
      <c r="N911" s="80">
        <f>MAX(0,I911)</f>
        <v/>
      </c>
      <c r="O911" s="80">
        <f>IF(I911&gt;0,MAX(0,M911),0)</f>
        <v/>
      </c>
      <c r="P911" s="80">
        <f>IF($I911&gt;0,MAX(0,$G911*SIN(RADIANS('13_시나리오비교'!$B$5))*SIN(RADIANS('13_시나리오비교'!$C$5))+$H911*SIN(RADIANS('13_시나리오비교'!$B$5))*COS(RADIANS('13_시나리오비교'!$C$5))+$I911*COS(RADIANS('13_시나리오비교'!$B$5))),0)</f>
        <v/>
      </c>
      <c r="Q911" s="80">
        <f>IF($I911&gt;0,MAX(0,$G911*SIN(RADIANS('13_시나리오비교'!$B$6))*SIN(RADIANS('13_시나리오비교'!$C$6))+$H911*SIN(RADIANS('13_시나리오비교'!$B$6))*COS(RADIANS('13_시나리오비교'!$C$6))+$I911*COS(RADIANS('13_시나리오비교'!$B$6))),0)</f>
        <v/>
      </c>
      <c r="R911" s="80">
        <f>IF($I911&gt;0,MAX(0,$G911*SIN(RADIANS('13_시나리오비교'!$B$7))*SIN(RADIANS('13_시나리오비교'!$C$7))+$H911*SIN(RADIANS('13_시나리오비교'!$B$7))*COS(RADIANS('13_시나리오비교'!$C$7))+$I911*COS(RADIANS('13_시나리오비교'!$B$7))),0)</f>
        <v/>
      </c>
      <c r="S911" s="80">
        <f>IF($I911&gt;0,MAX(0,$G911*SIN(RADIANS('13_시나리오비교'!$B$8))*SIN(RADIANS('13_시나리오비교'!$C$8))+$H911*SIN(RADIANS('13_시나리오비교'!$B$8))*COS(RADIANS('13_시나리오비교'!$C$8))+$I911*COS(RADIANS('13_시나리오비교'!$B$8))),0)</f>
        <v/>
      </c>
      <c r="T911" s="80">
        <f>IF($I911&gt;0,MAX(0,$G911*SIN(RADIANS('13_시나리오비교'!$B$9))*SIN(RADIANS('13_시나리오비교'!$C$9))+$H911*SIN(RADIANS('13_시나리오비교'!$B$9))*COS(RADIANS('13_시나리오비교'!$C$9))+$I911*COS(RADIANS('13_시나리오비교'!$B$9))),0)</f>
        <v/>
      </c>
      <c r="U911" s="80">
        <f>IF($I911&gt;0,MAX(0,$G911*SIN(RADIANS('13_시나리오비교'!$B$10))*SIN(RADIANS('13_시나리오비교'!$C$10))+$H911*SIN(RADIANS('13_시나리오비교'!$B$10))*COS(RADIANS('13_시나리오비교'!$C$10))+$I911*COS(RADIANS('13_시나리오비교'!$B$10))),0)</f>
        <v/>
      </c>
      <c r="V911" s="80">
        <f>IF($I911&gt;0,MAX(0,$G911*SIN(RADIANS('13_시나리오비교'!$B$11))*SIN(RADIANS('13_시나리오비교'!$C$11))+$H911*SIN(RADIANS('13_시나리오비교'!$B$11))*COS(RADIANS('13_시나리오비교'!$C$11))+$I911*COS(RADIANS('13_시나리오비교'!$B$11))),0)</f>
        <v/>
      </c>
      <c r="W911" s="80">
        <f>IF($I911&gt;0,MAX(0,$G911*SIN(RADIANS('13_시나리오비교'!$B$12))*SIN(RADIANS('13_시나리오비교'!$C$12))+$H911*SIN(RADIANS('13_시나리오비교'!$B$12))*COS(RADIANS('13_시나리오비교'!$C$12))+$I911*COS(RADIANS('13_시나리오비교'!$B$12))),0)</f>
        <v/>
      </c>
      <c r="X911" s="80">
        <f>IF($I911&gt;0,MAX(0,$G911*SIN(RADIANS('13_시나리오비교'!$B$13))*SIN(RADIANS('13_시나리오비교'!$C$13))+$H911*SIN(RADIANS('13_시나리오비교'!$B$13))*COS(RADIANS('13_시나리오비교'!$C$13))+$I911*COS(RADIANS('13_시나리오비교'!$B$13))),0)</f>
        <v/>
      </c>
      <c r="Y911" s="80">
        <f>IF($I911&gt;0,MAX(0,$G911*SIN(RADIANS('13_시나리오비교'!$B$14))*SIN(RADIANS('13_시나리오비교'!$C$14))+$H911*SIN(RADIANS('13_시나리오비교'!$B$14))*COS(RADIANS('13_시나리오비교'!$C$14))+$I911*COS(RADIANS('13_시나리오비교'!$B$14))),0)</f>
        <v/>
      </c>
    </row>
    <row r="912" hidden="1" outlineLevel="1">
      <c r="A912" s="79" t="n">
        <v>10</v>
      </c>
      <c r="B912" s="79" t="n">
        <v>28</v>
      </c>
      <c r="C912" s="80">
        <f>(B912-0.5)*'14_지역·상수'!$H$6</f>
        <v/>
      </c>
      <c r="D912" s="79" t="n">
        <v>288</v>
      </c>
      <c r="E912" s="80">
        <f>INDEX($C$4:$C$15,MATCH(A912,$A$4:$A$15,0))</f>
        <v/>
      </c>
      <c r="F912" s="80">
        <f>15*(C912-12)</f>
        <v/>
      </c>
      <c r="G912" s="80">
        <f>-COS(RADIANS(E912))*SIN(RADIANS(F912))</f>
        <v/>
      </c>
      <c r="H912" s="80">
        <f>COS(RADIANS('11_발전량_모델'!$B$17))*SIN(RADIANS(E912))-SIN(RADIANS('11_발전량_모델'!$B$17))*COS(RADIANS(E912))*COS(RADIANS(F912))</f>
        <v/>
      </c>
      <c r="I912" s="80">
        <f>SIN(RADIANS('11_발전량_모델'!$B$17))*SIN(RADIANS(E912))+COS(RADIANS('11_발전량_모델'!$B$17))*COS(RADIANS(E912))*COS(RADIANS(F912))</f>
        <v/>
      </c>
      <c r="J912" s="80">
        <f>SIN(RADIANS('11_발전량_모델'!$B$7))*SIN(RADIANS('11_발전량_모델'!$B$8))</f>
        <v/>
      </c>
      <c r="K912" s="80">
        <f>SIN(RADIANS('11_발전량_모델'!$B$7))*COS(RADIANS('11_발전량_모델'!$B$8))</f>
        <v/>
      </c>
      <c r="L912" s="80">
        <f>COS(RADIANS('11_발전량_모델'!$B$7))</f>
        <v/>
      </c>
      <c r="M912" s="80">
        <f>G912*J912+H912*K912+I912*L912</f>
        <v/>
      </c>
      <c r="N912" s="80">
        <f>MAX(0,I912)</f>
        <v/>
      </c>
      <c r="O912" s="80">
        <f>IF(I912&gt;0,MAX(0,M912),0)</f>
        <v/>
      </c>
      <c r="P912" s="80">
        <f>IF($I912&gt;0,MAX(0,$G912*SIN(RADIANS('13_시나리오비교'!$B$5))*SIN(RADIANS('13_시나리오비교'!$C$5))+$H912*SIN(RADIANS('13_시나리오비교'!$B$5))*COS(RADIANS('13_시나리오비교'!$C$5))+$I912*COS(RADIANS('13_시나리오비교'!$B$5))),0)</f>
        <v/>
      </c>
      <c r="Q912" s="80">
        <f>IF($I912&gt;0,MAX(0,$G912*SIN(RADIANS('13_시나리오비교'!$B$6))*SIN(RADIANS('13_시나리오비교'!$C$6))+$H912*SIN(RADIANS('13_시나리오비교'!$B$6))*COS(RADIANS('13_시나리오비교'!$C$6))+$I912*COS(RADIANS('13_시나리오비교'!$B$6))),0)</f>
        <v/>
      </c>
      <c r="R912" s="80">
        <f>IF($I912&gt;0,MAX(0,$G912*SIN(RADIANS('13_시나리오비교'!$B$7))*SIN(RADIANS('13_시나리오비교'!$C$7))+$H912*SIN(RADIANS('13_시나리오비교'!$B$7))*COS(RADIANS('13_시나리오비교'!$C$7))+$I912*COS(RADIANS('13_시나리오비교'!$B$7))),0)</f>
        <v/>
      </c>
      <c r="S912" s="80">
        <f>IF($I912&gt;0,MAX(0,$G912*SIN(RADIANS('13_시나리오비교'!$B$8))*SIN(RADIANS('13_시나리오비교'!$C$8))+$H912*SIN(RADIANS('13_시나리오비교'!$B$8))*COS(RADIANS('13_시나리오비교'!$C$8))+$I912*COS(RADIANS('13_시나리오비교'!$B$8))),0)</f>
        <v/>
      </c>
      <c r="T912" s="80">
        <f>IF($I912&gt;0,MAX(0,$G912*SIN(RADIANS('13_시나리오비교'!$B$9))*SIN(RADIANS('13_시나리오비교'!$C$9))+$H912*SIN(RADIANS('13_시나리오비교'!$B$9))*COS(RADIANS('13_시나리오비교'!$C$9))+$I912*COS(RADIANS('13_시나리오비교'!$B$9))),0)</f>
        <v/>
      </c>
      <c r="U912" s="80">
        <f>IF($I912&gt;0,MAX(0,$G912*SIN(RADIANS('13_시나리오비교'!$B$10))*SIN(RADIANS('13_시나리오비교'!$C$10))+$H912*SIN(RADIANS('13_시나리오비교'!$B$10))*COS(RADIANS('13_시나리오비교'!$C$10))+$I912*COS(RADIANS('13_시나리오비교'!$B$10))),0)</f>
        <v/>
      </c>
      <c r="V912" s="80">
        <f>IF($I912&gt;0,MAX(0,$G912*SIN(RADIANS('13_시나리오비교'!$B$11))*SIN(RADIANS('13_시나리오비교'!$C$11))+$H912*SIN(RADIANS('13_시나리오비교'!$B$11))*COS(RADIANS('13_시나리오비교'!$C$11))+$I912*COS(RADIANS('13_시나리오비교'!$B$11))),0)</f>
        <v/>
      </c>
      <c r="W912" s="80">
        <f>IF($I912&gt;0,MAX(0,$G912*SIN(RADIANS('13_시나리오비교'!$B$12))*SIN(RADIANS('13_시나리오비교'!$C$12))+$H912*SIN(RADIANS('13_시나리오비교'!$B$12))*COS(RADIANS('13_시나리오비교'!$C$12))+$I912*COS(RADIANS('13_시나리오비교'!$B$12))),0)</f>
        <v/>
      </c>
      <c r="X912" s="80">
        <f>IF($I912&gt;0,MAX(0,$G912*SIN(RADIANS('13_시나리오비교'!$B$13))*SIN(RADIANS('13_시나리오비교'!$C$13))+$H912*SIN(RADIANS('13_시나리오비교'!$B$13))*COS(RADIANS('13_시나리오비교'!$C$13))+$I912*COS(RADIANS('13_시나리오비교'!$B$13))),0)</f>
        <v/>
      </c>
      <c r="Y912" s="80">
        <f>IF($I912&gt;0,MAX(0,$G912*SIN(RADIANS('13_시나리오비교'!$B$14))*SIN(RADIANS('13_시나리오비교'!$C$14))+$H912*SIN(RADIANS('13_시나리오비교'!$B$14))*COS(RADIANS('13_시나리오비교'!$C$14))+$I912*COS(RADIANS('13_시나리오비교'!$B$14))),0)</f>
        <v/>
      </c>
    </row>
    <row r="913" hidden="1" outlineLevel="1">
      <c r="A913" s="79" t="n">
        <v>10</v>
      </c>
      <c r="B913" s="79" t="n">
        <v>29</v>
      </c>
      <c r="C913" s="80">
        <f>(B913-0.5)*'14_지역·상수'!$H$6</f>
        <v/>
      </c>
      <c r="D913" s="79" t="n">
        <v>288</v>
      </c>
      <c r="E913" s="80">
        <f>INDEX($C$4:$C$15,MATCH(A913,$A$4:$A$15,0))</f>
        <v/>
      </c>
      <c r="F913" s="80">
        <f>15*(C913-12)</f>
        <v/>
      </c>
      <c r="G913" s="80">
        <f>-COS(RADIANS(E913))*SIN(RADIANS(F913))</f>
        <v/>
      </c>
      <c r="H913" s="80">
        <f>COS(RADIANS('11_발전량_모델'!$B$17))*SIN(RADIANS(E913))-SIN(RADIANS('11_발전량_모델'!$B$17))*COS(RADIANS(E913))*COS(RADIANS(F913))</f>
        <v/>
      </c>
      <c r="I913" s="80">
        <f>SIN(RADIANS('11_발전량_모델'!$B$17))*SIN(RADIANS(E913))+COS(RADIANS('11_발전량_모델'!$B$17))*COS(RADIANS(E913))*COS(RADIANS(F913))</f>
        <v/>
      </c>
      <c r="J913" s="80">
        <f>SIN(RADIANS('11_발전량_모델'!$B$7))*SIN(RADIANS('11_발전량_모델'!$B$8))</f>
        <v/>
      </c>
      <c r="K913" s="80">
        <f>SIN(RADIANS('11_발전량_모델'!$B$7))*COS(RADIANS('11_발전량_모델'!$B$8))</f>
        <v/>
      </c>
      <c r="L913" s="80">
        <f>COS(RADIANS('11_발전량_모델'!$B$7))</f>
        <v/>
      </c>
      <c r="M913" s="80">
        <f>G913*J913+H913*K913+I913*L913</f>
        <v/>
      </c>
      <c r="N913" s="80">
        <f>MAX(0,I913)</f>
        <v/>
      </c>
      <c r="O913" s="80">
        <f>IF(I913&gt;0,MAX(0,M913),0)</f>
        <v/>
      </c>
      <c r="P913" s="80">
        <f>IF($I913&gt;0,MAX(0,$G913*SIN(RADIANS('13_시나리오비교'!$B$5))*SIN(RADIANS('13_시나리오비교'!$C$5))+$H913*SIN(RADIANS('13_시나리오비교'!$B$5))*COS(RADIANS('13_시나리오비교'!$C$5))+$I913*COS(RADIANS('13_시나리오비교'!$B$5))),0)</f>
        <v/>
      </c>
      <c r="Q913" s="80">
        <f>IF($I913&gt;0,MAX(0,$G913*SIN(RADIANS('13_시나리오비교'!$B$6))*SIN(RADIANS('13_시나리오비교'!$C$6))+$H913*SIN(RADIANS('13_시나리오비교'!$B$6))*COS(RADIANS('13_시나리오비교'!$C$6))+$I913*COS(RADIANS('13_시나리오비교'!$B$6))),0)</f>
        <v/>
      </c>
      <c r="R913" s="80">
        <f>IF($I913&gt;0,MAX(0,$G913*SIN(RADIANS('13_시나리오비교'!$B$7))*SIN(RADIANS('13_시나리오비교'!$C$7))+$H913*SIN(RADIANS('13_시나리오비교'!$B$7))*COS(RADIANS('13_시나리오비교'!$C$7))+$I913*COS(RADIANS('13_시나리오비교'!$B$7))),0)</f>
        <v/>
      </c>
      <c r="S913" s="80">
        <f>IF($I913&gt;0,MAX(0,$G913*SIN(RADIANS('13_시나리오비교'!$B$8))*SIN(RADIANS('13_시나리오비교'!$C$8))+$H913*SIN(RADIANS('13_시나리오비교'!$B$8))*COS(RADIANS('13_시나리오비교'!$C$8))+$I913*COS(RADIANS('13_시나리오비교'!$B$8))),0)</f>
        <v/>
      </c>
      <c r="T913" s="80">
        <f>IF($I913&gt;0,MAX(0,$G913*SIN(RADIANS('13_시나리오비교'!$B$9))*SIN(RADIANS('13_시나리오비교'!$C$9))+$H913*SIN(RADIANS('13_시나리오비교'!$B$9))*COS(RADIANS('13_시나리오비교'!$C$9))+$I913*COS(RADIANS('13_시나리오비교'!$B$9))),0)</f>
        <v/>
      </c>
      <c r="U913" s="80">
        <f>IF($I913&gt;0,MAX(0,$G913*SIN(RADIANS('13_시나리오비교'!$B$10))*SIN(RADIANS('13_시나리오비교'!$C$10))+$H913*SIN(RADIANS('13_시나리오비교'!$B$10))*COS(RADIANS('13_시나리오비교'!$C$10))+$I913*COS(RADIANS('13_시나리오비교'!$B$10))),0)</f>
        <v/>
      </c>
      <c r="V913" s="80">
        <f>IF($I913&gt;0,MAX(0,$G913*SIN(RADIANS('13_시나리오비교'!$B$11))*SIN(RADIANS('13_시나리오비교'!$C$11))+$H913*SIN(RADIANS('13_시나리오비교'!$B$11))*COS(RADIANS('13_시나리오비교'!$C$11))+$I913*COS(RADIANS('13_시나리오비교'!$B$11))),0)</f>
        <v/>
      </c>
      <c r="W913" s="80">
        <f>IF($I913&gt;0,MAX(0,$G913*SIN(RADIANS('13_시나리오비교'!$B$12))*SIN(RADIANS('13_시나리오비교'!$C$12))+$H913*SIN(RADIANS('13_시나리오비교'!$B$12))*COS(RADIANS('13_시나리오비교'!$C$12))+$I913*COS(RADIANS('13_시나리오비교'!$B$12))),0)</f>
        <v/>
      </c>
      <c r="X913" s="80">
        <f>IF($I913&gt;0,MAX(0,$G913*SIN(RADIANS('13_시나리오비교'!$B$13))*SIN(RADIANS('13_시나리오비교'!$C$13))+$H913*SIN(RADIANS('13_시나리오비교'!$B$13))*COS(RADIANS('13_시나리오비교'!$C$13))+$I913*COS(RADIANS('13_시나리오비교'!$B$13))),0)</f>
        <v/>
      </c>
      <c r="Y913" s="80">
        <f>IF($I913&gt;0,MAX(0,$G913*SIN(RADIANS('13_시나리오비교'!$B$14))*SIN(RADIANS('13_시나리오비교'!$C$14))+$H913*SIN(RADIANS('13_시나리오비교'!$B$14))*COS(RADIANS('13_시나리오비교'!$C$14))+$I913*COS(RADIANS('13_시나리오비교'!$B$14))),0)</f>
        <v/>
      </c>
    </row>
    <row r="914" hidden="1" outlineLevel="1">
      <c r="A914" s="79" t="n">
        <v>10</v>
      </c>
      <c r="B914" s="79" t="n">
        <v>30</v>
      </c>
      <c r="C914" s="80">
        <f>(B914-0.5)*'14_지역·상수'!$H$6</f>
        <v/>
      </c>
      <c r="D914" s="79" t="n">
        <v>288</v>
      </c>
      <c r="E914" s="80">
        <f>INDEX($C$4:$C$15,MATCH(A914,$A$4:$A$15,0))</f>
        <v/>
      </c>
      <c r="F914" s="80">
        <f>15*(C914-12)</f>
        <v/>
      </c>
      <c r="G914" s="80">
        <f>-COS(RADIANS(E914))*SIN(RADIANS(F914))</f>
        <v/>
      </c>
      <c r="H914" s="80">
        <f>COS(RADIANS('11_발전량_모델'!$B$17))*SIN(RADIANS(E914))-SIN(RADIANS('11_발전량_모델'!$B$17))*COS(RADIANS(E914))*COS(RADIANS(F914))</f>
        <v/>
      </c>
      <c r="I914" s="80">
        <f>SIN(RADIANS('11_발전량_모델'!$B$17))*SIN(RADIANS(E914))+COS(RADIANS('11_발전량_모델'!$B$17))*COS(RADIANS(E914))*COS(RADIANS(F914))</f>
        <v/>
      </c>
      <c r="J914" s="80">
        <f>SIN(RADIANS('11_발전량_모델'!$B$7))*SIN(RADIANS('11_발전량_모델'!$B$8))</f>
        <v/>
      </c>
      <c r="K914" s="80">
        <f>SIN(RADIANS('11_발전량_모델'!$B$7))*COS(RADIANS('11_발전량_모델'!$B$8))</f>
        <v/>
      </c>
      <c r="L914" s="80">
        <f>COS(RADIANS('11_발전량_모델'!$B$7))</f>
        <v/>
      </c>
      <c r="M914" s="80">
        <f>G914*J914+H914*K914+I914*L914</f>
        <v/>
      </c>
      <c r="N914" s="80">
        <f>MAX(0,I914)</f>
        <v/>
      </c>
      <c r="O914" s="80">
        <f>IF(I914&gt;0,MAX(0,M914),0)</f>
        <v/>
      </c>
      <c r="P914" s="80">
        <f>IF($I914&gt;0,MAX(0,$G914*SIN(RADIANS('13_시나리오비교'!$B$5))*SIN(RADIANS('13_시나리오비교'!$C$5))+$H914*SIN(RADIANS('13_시나리오비교'!$B$5))*COS(RADIANS('13_시나리오비교'!$C$5))+$I914*COS(RADIANS('13_시나리오비교'!$B$5))),0)</f>
        <v/>
      </c>
      <c r="Q914" s="80">
        <f>IF($I914&gt;0,MAX(0,$G914*SIN(RADIANS('13_시나리오비교'!$B$6))*SIN(RADIANS('13_시나리오비교'!$C$6))+$H914*SIN(RADIANS('13_시나리오비교'!$B$6))*COS(RADIANS('13_시나리오비교'!$C$6))+$I914*COS(RADIANS('13_시나리오비교'!$B$6))),0)</f>
        <v/>
      </c>
      <c r="R914" s="80">
        <f>IF($I914&gt;0,MAX(0,$G914*SIN(RADIANS('13_시나리오비교'!$B$7))*SIN(RADIANS('13_시나리오비교'!$C$7))+$H914*SIN(RADIANS('13_시나리오비교'!$B$7))*COS(RADIANS('13_시나리오비교'!$C$7))+$I914*COS(RADIANS('13_시나리오비교'!$B$7))),0)</f>
        <v/>
      </c>
      <c r="S914" s="80">
        <f>IF($I914&gt;0,MAX(0,$G914*SIN(RADIANS('13_시나리오비교'!$B$8))*SIN(RADIANS('13_시나리오비교'!$C$8))+$H914*SIN(RADIANS('13_시나리오비교'!$B$8))*COS(RADIANS('13_시나리오비교'!$C$8))+$I914*COS(RADIANS('13_시나리오비교'!$B$8))),0)</f>
        <v/>
      </c>
      <c r="T914" s="80">
        <f>IF($I914&gt;0,MAX(0,$G914*SIN(RADIANS('13_시나리오비교'!$B$9))*SIN(RADIANS('13_시나리오비교'!$C$9))+$H914*SIN(RADIANS('13_시나리오비교'!$B$9))*COS(RADIANS('13_시나리오비교'!$C$9))+$I914*COS(RADIANS('13_시나리오비교'!$B$9))),0)</f>
        <v/>
      </c>
      <c r="U914" s="80">
        <f>IF($I914&gt;0,MAX(0,$G914*SIN(RADIANS('13_시나리오비교'!$B$10))*SIN(RADIANS('13_시나리오비교'!$C$10))+$H914*SIN(RADIANS('13_시나리오비교'!$B$10))*COS(RADIANS('13_시나리오비교'!$C$10))+$I914*COS(RADIANS('13_시나리오비교'!$B$10))),0)</f>
        <v/>
      </c>
      <c r="V914" s="80">
        <f>IF($I914&gt;0,MAX(0,$G914*SIN(RADIANS('13_시나리오비교'!$B$11))*SIN(RADIANS('13_시나리오비교'!$C$11))+$H914*SIN(RADIANS('13_시나리오비교'!$B$11))*COS(RADIANS('13_시나리오비교'!$C$11))+$I914*COS(RADIANS('13_시나리오비교'!$B$11))),0)</f>
        <v/>
      </c>
      <c r="W914" s="80">
        <f>IF($I914&gt;0,MAX(0,$G914*SIN(RADIANS('13_시나리오비교'!$B$12))*SIN(RADIANS('13_시나리오비교'!$C$12))+$H914*SIN(RADIANS('13_시나리오비교'!$B$12))*COS(RADIANS('13_시나리오비교'!$C$12))+$I914*COS(RADIANS('13_시나리오비교'!$B$12))),0)</f>
        <v/>
      </c>
      <c r="X914" s="80">
        <f>IF($I914&gt;0,MAX(0,$G914*SIN(RADIANS('13_시나리오비교'!$B$13))*SIN(RADIANS('13_시나리오비교'!$C$13))+$H914*SIN(RADIANS('13_시나리오비교'!$B$13))*COS(RADIANS('13_시나리오비교'!$C$13))+$I914*COS(RADIANS('13_시나리오비교'!$B$13))),0)</f>
        <v/>
      </c>
      <c r="Y914" s="80">
        <f>IF($I914&gt;0,MAX(0,$G914*SIN(RADIANS('13_시나리오비교'!$B$14))*SIN(RADIANS('13_시나리오비교'!$C$14))+$H914*SIN(RADIANS('13_시나리오비교'!$B$14))*COS(RADIANS('13_시나리오비교'!$C$14))+$I914*COS(RADIANS('13_시나리오비교'!$B$14))),0)</f>
        <v/>
      </c>
    </row>
    <row r="915" hidden="1" outlineLevel="1">
      <c r="A915" s="79" t="n">
        <v>10</v>
      </c>
      <c r="B915" s="79" t="n">
        <v>31</v>
      </c>
      <c r="C915" s="80">
        <f>(B915-0.5)*'14_지역·상수'!$H$6</f>
        <v/>
      </c>
      <c r="D915" s="79" t="n">
        <v>288</v>
      </c>
      <c r="E915" s="80">
        <f>INDEX($C$4:$C$15,MATCH(A915,$A$4:$A$15,0))</f>
        <v/>
      </c>
      <c r="F915" s="80">
        <f>15*(C915-12)</f>
        <v/>
      </c>
      <c r="G915" s="80">
        <f>-COS(RADIANS(E915))*SIN(RADIANS(F915))</f>
        <v/>
      </c>
      <c r="H915" s="80">
        <f>COS(RADIANS('11_발전량_모델'!$B$17))*SIN(RADIANS(E915))-SIN(RADIANS('11_발전량_모델'!$B$17))*COS(RADIANS(E915))*COS(RADIANS(F915))</f>
        <v/>
      </c>
      <c r="I915" s="80">
        <f>SIN(RADIANS('11_발전량_모델'!$B$17))*SIN(RADIANS(E915))+COS(RADIANS('11_발전량_모델'!$B$17))*COS(RADIANS(E915))*COS(RADIANS(F915))</f>
        <v/>
      </c>
      <c r="J915" s="80">
        <f>SIN(RADIANS('11_발전량_모델'!$B$7))*SIN(RADIANS('11_발전량_모델'!$B$8))</f>
        <v/>
      </c>
      <c r="K915" s="80">
        <f>SIN(RADIANS('11_발전량_모델'!$B$7))*COS(RADIANS('11_발전량_모델'!$B$8))</f>
        <v/>
      </c>
      <c r="L915" s="80">
        <f>COS(RADIANS('11_발전량_모델'!$B$7))</f>
        <v/>
      </c>
      <c r="M915" s="80">
        <f>G915*J915+H915*K915+I915*L915</f>
        <v/>
      </c>
      <c r="N915" s="80">
        <f>MAX(0,I915)</f>
        <v/>
      </c>
      <c r="O915" s="80">
        <f>IF(I915&gt;0,MAX(0,M915),0)</f>
        <v/>
      </c>
      <c r="P915" s="80">
        <f>IF($I915&gt;0,MAX(0,$G915*SIN(RADIANS('13_시나리오비교'!$B$5))*SIN(RADIANS('13_시나리오비교'!$C$5))+$H915*SIN(RADIANS('13_시나리오비교'!$B$5))*COS(RADIANS('13_시나리오비교'!$C$5))+$I915*COS(RADIANS('13_시나리오비교'!$B$5))),0)</f>
        <v/>
      </c>
      <c r="Q915" s="80">
        <f>IF($I915&gt;0,MAX(0,$G915*SIN(RADIANS('13_시나리오비교'!$B$6))*SIN(RADIANS('13_시나리오비교'!$C$6))+$H915*SIN(RADIANS('13_시나리오비교'!$B$6))*COS(RADIANS('13_시나리오비교'!$C$6))+$I915*COS(RADIANS('13_시나리오비교'!$B$6))),0)</f>
        <v/>
      </c>
      <c r="R915" s="80">
        <f>IF($I915&gt;0,MAX(0,$G915*SIN(RADIANS('13_시나리오비교'!$B$7))*SIN(RADIANS('13_시나리오비교'!$C$7))+$H915*SIN(RADIANS('13_시나리오비교'!$B$7))*COS(RADIANS('13_시나리오비교'!$C$7))+$I915*COS(RADIANS('13_시나리오비교'!$B$7))),0)</f>
        <v/>
      </c>
      <c r="S915" s="80">
        <f>IF($I915&gt;0,MAX(0,$G915*SIN(RADIANS('13_시나리오비교'!$B$8))*SIN(RADIANS('13_시나리오비교'!$C$8))+$H915*SIN(RADIANS('13_시나리오비교'!$B$8))*COS(RADIANS('13_시나리오비교'!$C$8))+$I915*COS(RADIANS('13_시나리오비교'!$B$8))),0)</f>
        <v/>
      </c>
      <c r="T915" s="80">
        <f>IF($I915&gt;0,MAX(0,$G915*SIN(RADIANS('13_시나리오비교'!$B$9))*SIN(RADIANS('13_시나리오비교'!$C$9))+$H915*SIN(RADIANS('13_시나리오비교'!$B$9))*COS(RADIANS('13_시나리오비교'!$C$9))+$I915*COS(RADIANS('13_시나리오비교'!$B$9))),0)</f>
        <v/>
      </c>
      <c r="U915" s="80">
        <f>IF($I915&gt;0,MAX(0,$G915*SIN(RADIANS('13_시나리오비교'!$B$10))*SIN(RADIANS('13_시나리오비교'!$C$10))+$H915*SIN(RADIANS('13_시나리오비교'!$B$10))*COS(RADIANS('13_시나리오비교'!$C$10))+$I915*COS(RADIANS('13_시나리오비교'!$B$10))),0)</f>
        <v/>
      </c>
      <c r="V915" s="80">
        <f>IF($I915&gt;0,MAX(0,$G915*SIN(RADIANS('13_시나리오비교'!$B$11))*SIN(RADIANS('13_시나리오비교'!$C$11))+$H915*SIN(RADIANS('13_시나리오비교'!$B$11))*COS(RADIANS('13_시나리오비교'!$C$11))+$I915*COS(RADIANS('13_시나리오비교'!$B$11))),0)</f>
        <v/>
      </c>
      <c r="W915" s="80">
        <f>IF($I915&gt;0,MAX(0,$G915*SIN(RADIANS('13_시나리오비교'!$B$12))*SIN(RADIANS('13_시나리오비교'!$C$12))+$H915*SIN(RADIANS('13_시나리오비교'!$B$12))*COS(RADIANS('13_시나리오비교'!$C$12))+$I915*COS(RADIANS('13_시나리오비교'!$B$12))),0)</f>
        <v/>
      </c>
      <c r="X915" s="80">
        <f>IF($I915&gt;0,MAX(0,$G915*SIN(RADIANS('13_시나리오비교'!$B$13))*SIN(RADIANS('13_시나리오비교'!$C$13))+$H915*SIN(RADIANS('13_시나리오비교'!$B$13))*COS(RADIANS('13_시나리오비교'!$C$13))+$I915*COS(RADIANS('13_시나리오비교'!$B$13))),0)</f>
        <v/>
      </c>
      <c r="Y915" s="80">
        <f>IF($I915&gt;0,MAX(0,$G915*SIN(RADIANS('13_시나리오비교'!$B$14))*SIN(RADIANS('13_시나리오비교'!$C$14))+$H915*SIN(RADIANS('13_시나리오비교'!$B$14))*COS(RADIANS('13_시나리오비교'!$C$14))+$I915*COS(RADIANS('13_시나리오비교'!$B$14))),0)</f>
        <v/>
      </c>
    </row>
    <row r="916" hidden="1" outlineLevel="1">
      <c r="A916" s="79" t="n">
        <v>10</v>
      </c>
      <c r="B916" s="79" t="n">
        <v>32</v>
      </c>
      <c r="C916" s="80">
        <f>(B916-0.5)*'14_지역·상수'!$H$6</f>
        <v/>
      </c>
      <c r="D916" s="79" t="n">
        <v>288</v>
      </c>
      <c r="E916" s="80">
        <f>INDEX($C$4:$C$15,MATCH(A916,$A$4:$A$15,0))</f>
        <v/>
      </c>
      <c r="F916" s="80">
        <f>15*(C916-12)</f>
        <v/>
      </c>
      <c r="G916" s="80">
        <f>-COS(RADIANS(E916))*SIN(RADIANS(F916))</f>
        <v/>
      </c>
      <c r="H916" s="80">
        <f>COS(RADIANS('11_발전량_모델'!$B$17))*SIN(RADIANS(E916))-SIN(RADIANS('11_발전량_모델'!$B$17))*COS(RADIANS(E916))*COS(RADIANS(F916))</f>
        <v/>
      </c>
      <c r="I916" s="80">
        <f>SIN(RADIANS('11_발전량_모델'!$B$17))*SIN(RADIANS(E916))+COS(RADIANS('11_발전량_모델'!$B$17))*COS(RADIANS(E916))*COS(RADIANS(F916))</f>
        <v/>
      </c>
      <c r="J916" s="80">
        <f>SIN(RADIANS('11_발전량_모델'!$B$7))*SIN(RADIANS('11_발전량_모델'!$B$8))</f>
        <v/>
      </c>
      <c r="K916" s="80">
        <f>SIN(RADIANS('11_발전량_모델'!$B$7))*COS(RADIANS('11_발전량_모델'!$B$8))</f>
        <v/>
      </c>
      <c r="L916" s="80">
        <f>COS(RADIANS('11_발전량_모델'!$B$7))</f>
        <v/>
      </c>
      <c r="M916" s="80">
        <f>G916*J916+H916*K916+I916*L916</f>
        <v/>
      </c>
      <c r="N916" s="80">
        <f>MAX(0,I916)</f>
        <v/>
      </c>
      <c r="O916" s="80">
        <f>IF(I916&gt;0,MAX(0,M916),0)</f>
        <v/>
      </c>
      <c r="P916" s="80">
        <f>IF($I916&gt;0,MAX(0,$G916*SIN(RADIANS('13_시나리오비교'!$B$5))*SIN(RADIANS('13_시나리오비교'!$C$5))+$H916*SIN(RADIANS('13_시나리오비교'!$B$5))*COS(RADIANS('13_시나리오비교'!$C$5))+$I916*COS(RADIANS('13_시나리오비교'!$B$5))),0)</f>
        <v/>
      </c>
      <c r="Q916" s="80">
        <f>IF($I916&gt;0,MAX(0,$G916*SIN(RADIANS('13_시나리오비교'!$B$6))*SIN(RADIANS('13_시나리오비교'!$C$6))+$H916*SIN(RADIANS('13_시나리오비교'!$B$6))*COS(RADIANS('13_시나리오비교'!$C$6))+$I916*COS(RADIANS('13_시나리오비교'!$B$6))),0)</f>
        <v/>
      </c>
      <c r="R916" s="80">
        <f>IF($I916&gt;0,MAX(0,$G916*SIN(RADIANS('13_시나리오비교'!$B$7))*SIN(RADIANS('13_시나리오비교'!$C$7))+$H916*SIN(RADIANS('13_시나리오비교'!$B$7))*COS(RADIANS('13_시나리오비교'!$C$7))+$I916*COS(RADIANS('13_시나리오비교'!$B$7))),0)</f>
        <v/>
      </c>
      <c r="S916" s="80">
        <f>IF($I916&gt;0,MAX(0,$G916*SIN(RADIANS('13_시나리오비교'!$B$8))*SIN(RADIANS('13_시나리오비교'!$C$8))+$H916*SIN(RADIANS('13_시나리오비교'!$B$8))*COS(RADIANS('13_시나리오비교'!$C$8))+$I916*COS(RADIANS('13_시나리오비교'!$B$8))),0)</f>
        <v/>
      </c>
      <c r="T916" s="80">
        <f>IF($I916&gt;0,MAX(0,$G916*SIN(RADIANS('13_시나리오비교'!$B$9))*SIN(RADIANS('13_시나리오비교'!$C$9))+$H916*SIN(RADIANS('13_시나리오비교'!$B$9))*COS(RADIANS('13_시나리오비교'!$C$9))+$I916*COS(RADIANS('13_시나리오비교'!$B$9))),0)</f>
        <v/>
      </c>
      <c r="U916" s="80">
        <f>IF($I916&gt;0,MAX(0,$G916*SIN(RADIANS('13_시나리오비교'!$B$10))*SIN(RADIANS('13_시나리오비교'!$C$10))+$H916*SIN(RADIANS('13_시나리오비교'!$B$10))*COS(RADIANS('13_시나리오비교'!$C$10))+$I916*COS(RADIANS('13_시나리오비교'!$B$10))),0)</f>
        <v/>
      </c>
      <c r="V916" s="80">
        <f>IF($I916&gt;0,MAX(0,$G916*SIN(RADIANS('13_시나리오비교'!$B$11))*SIN(RADIANS('13_시나리오비교'!$C$11))+$H916*SIN(RADIANS('13_시나리오비교'!$B$11))*COS(RADIANS('13_시나리오비교'!$C$11))+$I916*COS(RADIANS('13_시나리오비교'!$B$11))),0)</f>
        <v/>
      </c>
      <c r="W916" s="80">
        <f>IF($I916&gt;0,MAX(0,$G916*SIN(RADIANS('13_시나리오비교'!$B$12))*SIN(RADIANS('13_시나리오비교'!$C$12))+$H916*SIN(RADIANS('13_시나리오비교'!$B$12))*COS(RADIANS('13_시나리오비교'!$C$12))+$I916*COS(RADIANS('13_시나리오비교'!$B$12))),0)</f>
        <v/>
      </c>
      <c r="X916" s="80">
        <f>IF($I916&gt;0,MAX(0,$G916*SIN(RADIANS('13_시나리오비교'!$B$13))*SIN(RADIANS('13_시나리오비교'!$C$13))+$H916*SIN(RADIANS('13_시나리오비교'!$B$13))*COS(RADIANS('13_시나리오비교'!$C$13))+$I916*COS(RADIANS('13_시나리오비교'!$B$13))),0)</f>
        <v/>
      </c>
      <c r="Y916" s="80">
        <f>IF($I916&gt;0,MAX(0,$G916*SIN(RADIANS('13_시나리오비교'!$B$14))*SIN(RADIANS('13_시나리오비교'!$C$14))+$H916*SIN(RADIANS('13_시나리오비교'!$B$14))*COS(RADIANS('13_시나리오비교'!$C$14))+$I916*COS(RADIANS('13_시나리오비교'!$B$14))),0)</f>
        <v/>
      </c>
    </row>
    <row r="917" hidden="1" outlineLevel="1">
      <c r="A917" s="79" t="n">
        <v>10</v>
      </c>
      <c r="B917" s="79" t="n">
        <v>33</v>
      </c>
      <c r="C917" s="80">
        <f>(B917-0.5)*'14_지역·상수'!$H$6</f>
        <v/>
      </c>
      <c r="D917" s="79" t="n">
        <v>288</v>
      </c>
      <c r="E917" s="80">
        <f>INDEX($C$4:$C$15,MATCH(A917,$A$4:$A$15,0))</f>
        <v/>
      </c>
      <c r="F917" s="80">
        <f>15*(C917-12)</f>
        <v/>
      </c>
      <c r="G917" s="80">
        <f>-COS(RADIANS(E917))*SIN(RADIANS(F917))</f>
        <v/>
      </c>
      <c r="H917" s="80">
        <f>COS(RADIANS('11_발전량_모델'!$B$17))*SIN(RADIANS(E917))-SIN(RADIANS('11_발전량_모델'!$B$17))*COS(RADIANS(E917))*COS(RADIANS(F917))</f>
        <v/>
      </c>
      <c r="I917" s="80">
        <f>SIN(RADIANS('11_발전량_모델'!$B$17))*SIN(RADIANS(E917))+COS(RADIANS('11_발전량_모델'!$B$17))*COS(RADIANS(E917))*COS(RADIANS(F917))</f>
        <v/>
      </c>
      <c r="J917" s="80">
        <f>SIN(RADIANS('11_발전량_모델'!$B$7))*SIN(RADIANS('11_발전량_모델'!$B$8))</f>
        <v/>
      </c>
      <c r="K917" s="80">
        <f>SIN(RADIANS('11_발전량_모델'!$B$7))*COS(RADIANS('11_발전량_모델'!$B$8))</f>
        <v/>
      </c>
      <c r="L917" s="80">
        <f>COS(RADIANS('11_발전량_모델'!$B$7))</f>
        <v/>
      </c>
      <c r="M917" s="80">
        <f>G917*J917+H917*K917+I917*L917</f>
        <v/>
      </c>
      <c r="N917" s="80">
        <f>MAX(0,I917)</f>
        <v/>
      </c>
      <c r="O917" s="80">
        <f>IF(I917&gt;0,MAX(0,M917),0)</f>
        <v/>
      </c>
      <c r="P917" s="80">
        <f>IF($I917&gt;0,MAX(0,$G917*SIN(RADIANS('13_시나리오비교'!$B$5))*SIN(RADIANS('13_시나리오비교'!$C$5))+$H917*SIN(RADIANS('13_시나리오비교'!$B$5))*COS(RADIANS('13_시나리오비교'!$C$5))+$I917*COS(RADIANS('13_시나리오비교'!$B$5))),0)</f>
        <v/>
      </c>
      <c r="Q917" s="80">
        <f>IF($I917&gt;0,MAX(0,$G917*SIN(RADIANS('13_시나리오비교'!$B$6))*SIN(RADIANS('13_시나리오비교'!$C$6))+$H917*SIN(RADIANS('13_시나리오비교'!$B$6))*COS(RADIANS('13_시나리오비교'!$C$6))+$I917*COS(RADIANS('13_시나리오비교'!$B$6))),0)</f>
        <v/>
      </c>
      <c r="R917" s="80">
        <f>IF($I917&gt;0,MAX(0,$G917*SIN(RADIANS('13_시나리오비교'!$B$7))*SIN(RADIANS('13_시나리오비교'!$C$7))+$H917*SIN(RADIANS('13_시나리오비교'!$B$7))*COS(RADIANS('13_시나리오비교'!$C$7))+$I917*COS(RADIANS('13_시나리오비교'!$B$7))),0)</f>
        <v/>
      </c>
      <c r="S917" s="80">
        <f>IF($I917&gt;0,MAX(0,$G917*SIN(RADIANS('13_시나리오비교'!$B$8))*SIN(RADIANS('13_시나리오비교'!$C$8))+$H917*SIN(RADIANS('13_시나리오비교'!$B$8))*COS(RADIANS('13_시나리오비교'!$C$8))+$I917*COS(RADIANS('13_시나리오비교'!$B$8))),0)</f>
        <v/>
      </c>
      <c r="T917" s="80">
        <f>IF($I917&gt;0,MAX(0,$G917*SIN(RADIANS('13_시나리오비교'!$B$9))*SIN(RADIANS('13_시나리오비교'!$C$9))+$H917*SIN(RADIANS('13_시나리오비교'!$B$9))*COS(RADIANS('13_시나리오비교'!$C$9))+$I917*COS(RADIANS('13_시나리오비교'!$B$9))),0)</f>
        <v/>
      </c>
      <c r="U917" s="80">
        <f>IF($I917&gt;0,MAX(0,$G917*SIN(RADIANS('13_시나리오비교'!$B$10))*SIN(RADIANS('13_시나리오비교'!$C$10))+$H917*SIN(RADIANS('13_시나리오비교'!$B$10))*COS(RADIANS('13_시나리오비교'!$C$10))+$I917*COS(RADIANS('13_시나리오비교'!$B$10))),0)</f>
        <v/>
      </c>
      <c r="V917" s="80">
        <f>IF($I917&gt;0,MAX(0,$G917*SIN(RADIANS('13_시나리오비교'!$B$11))*SIN(RADIANS('13_시나리오비교'!$C$11))+$H917*SIN(RADIANS('13_시나리오비교'!$B$11))*COS(RADIANS('13_시나리오비교'!$C$11))+$I917*COS(RADIANS('13_시나리오비교'!$B$11))),0)</f>
        <v/>
      </c>
      <c r="W917" s="80">
        <f>IF($I917&gt;0,MAX(0,$G917*SIN(RADIANS('13_시나리오비교'!$B$12))*SIN(RADIANS('13_시나리오비교'!$C$12))+$H917*SIN(RADIANS('13_시나리오비교'!$B$12))*COS(RADIANS('13_시나리오비교'!$C$12))+$I917*COS(RADIANS('13_시나리오비교'!$B$12))),0)</f>
        <v/>
      </c>
      <c r="X917" s="80">
        <f>IF($I917&gt;0,MAX(0,$G917*SIN(RADIANS('13_시나리오비교'!$B$13))*SIN(RADIANS('13_시나리오비교'!$C$13))+$H917*SIN(RADIANS('13_시나리오비교'!$B$13))*COS(RADIANS('13_시나리오비교'!$C$13))+$I917*COS(RADIANS('13_시나리오비교'!$B$13))),0)</f>
        <v/>
      </c>
      <c r="Y917" s="80">
        <f>IF($I917&gt;0,MAX(0,$G917*SIN(RADIANS('13_시나리오비교'!$B$14))*SIN(RADIANS('13_시나리오비교'!$C$14))+$H917*SIN(RADIANS('13_시나리오비교'!$B$14))*COS(RADIANS('13_시나리오비교'!$C$14))+$I917*COS(RADIANS('13_시나리오비교'!$B$14))),0)</f>
        <v/>
      </c>
    </row>
    <row r="918" hidden="1" outlineLevel="1">
      <c r="A918" s="79" t="n">
        <v>10</v>
      </c>
      <c r="B918" s="79" t="n">
        <v>34</v>
      </c>
      <c r="C918" s="80">
        <f>(B918-0.5)*'14_지역·상수'!$H$6</f>
        <v/>
      </c>
      <c r="D918" s="79" t="n">
        <v>288</v>
      </c>
      <c r="E918" s="80">
        <f>INDEX($C$4:$C$15,MATCH(A918,$A$4:$A$15,0))</f>
        <v/>
      </c>
      <c r="F918" s="80">
        <f>15*(C918-12)</f>
        <v/>
      </c>
      <c r="G918" s="80">
        <f>-COS(RADIANS(E918))*SIN(RADIANS(F918))</f>
        <v/>
      </c>
      <c r="H918" s="80">
        <f>COS(RADIANS('11_발전량_모델'!$B$17))*SIN(RADIANS(E918))-SIN(RADIANS('11_발전량_모델'!$B$17))*COS(RADIANS(E918))*COS(RADIANS(F918))</f>
        <v/>
      </c>
      <c r="I918" s="80">
        <f>SIN(RADIANS('11_발전량_모델'!$B$17))*SIN(RADIANS(E918))+COS(RADIANS('11_발전량_모델'!$B$17))*COS(RADIANS(E918))*COS(RADIANS(F918))</f>
        <v/>
      </c>
      <c r="J918" s="80">
        <f>SIN(RADIANS('11_발전량_모델'!$B$7))*SIN(RADIANS('11_발전량_모델'!$B$8))</f>
        <v/>
      </c>
      <c r="K918" s="80">
        <f>SIN(RADIANS('11_발전량_모델'!$B$7))*COS(RADIANS('11_발전량_모델'!$B$8))</f>
        <v/>
      </c>
      <c r="L918" s="80">
        <f>COS(RADIANS('11_발전량_모델'!$B$7))</f>
        <v/>
      </c>
      <c r="M918" s="80">
        <f>G918*J918+H918*K918+I918*L918</f>
        <v/>
      </c>
      <c r="N918" s="80">
        <f>MAX(0,I918)</f>
        <v/>
      </c>
      <c r="O918" s="80">
        <f>IF(I918&gt;0,MAX(0,M918),0)</f>
        <v/>
      </c>
      <c r="P918" s="80">
        <f>IF($I918&gt;0,MAX(0,$G918*SIN(RADIANS('13_시나리오비교'!$B$5))*SIN(RADIANS('13_시나리오비교'!$C$5))+$H918*SIN(RADIANS('13_시나리오비교'!$B$5))*COS(RADIANS('13_시나리오비교'!$C$5))+$I918*COS(RADIANS('13_시나리오비교'!$B$5))),0)</f>
        <v/>
      </c>
      <c r="Q918" s="80">
        <f>IF($I918&gt;0,MAX(0,$G918*SIN(RADIANS('13_시나리오비교'!$B$6))*SIN(RADIANS('13_시나리오비교'!$C$6))+$H918*SIN(RADIANS('13_시나리오비교'!$B$6))*COS(RADIANS('13_시나리오비교'!$C$6))+$I918*COS(RADIANS('13_시나리오비교'!$B$6))),0)</f>
        <v/>
      </c>
      <c r="R918" s="80">
        <f>IF($I918&gt;0,MAX(0,$G918*SIN(RADIANS('13_시나리오비교'!$B$7))*SIN(RADIANS('13_시나리오비교'!$C$7))+$H918*SIN(RADIANS('13_시나리오비교'!$B$7))*COS(RADIANS('13_시나리오비교'!$C$7))+$I918*COS(RADIANS('13_시나리오비교'!$B$7))),0)</f>
        <v/>
      </c>
      <c r="S918" s="80">
        <f>IF($I918&gt;0,MAX(0,$G918*SIN(RADIANS('13_시나리오비교'!$B$8))*SIN(RADIANS('13_시나리오비교'!$C$8))+$H918*SIN(RADIANS('13_시나리오비교'!$B$8))*COS(RADIANS('13_시나리오비교'!$C$8))+$I918*COS(RADIANS('13_시나리오비교'!$B$8))),0)</f>
        <v/>
      </c>
      <c r="T918" s="80">
        <f>IF($I918&gt;0,MAX(0,$G918*SIN(RADIANS('13_시나리오비교'!$B$9))*SIN(RADIANS('13_시나리오비교'!$C$9))+$H918*SIN(RADIANS('13_시나리오비교'!$B$9))*COS(RADIANS('13_시나리오비교'!$C$9))+$I918*COS(RADIANS('13_시나리오비교'!$B$9))),0)</f>
        <v/>
      </c>
      <c r="U918" s="80">
        <f>IF($I918&gt;0,MAX(0,$G918*SIN(RADIANS('13_시나리오비교'!$B$10))*SIN(RADIANS('13_시나리오비교'!$C$10))+$H918*SIN(RADIANS('13_시나리오비교'!$B$10))*COS(RADIANS('13_시나리오비교'!$C$10))+$I918*COS(RADIANS('13_시나리오비교'!$B$10))),0)</f>
        <v/>
      </c>
      <c r="V918" s="80">
        <f>IF($I918&gt;0,MAX(0,$G918*SIN(RADIANS('13_시나리오비교'!$B$11))*SIN(RADIANS('13_시나리오비교'!$C$11))+$H918*SIN(RADIANS('13_시나리오비교'!$B$11))*COS(RADIANS('13_시나리오비교'!$C$11))+$I918*COS(RADIANS('13_시나리오비교'!$B$11))),0)</f>
        <v/>
      </c>
      <c r="W918" s="80">
        <f>IF($I918&gt;0,MAX(0,$G918*SIN(RADIANS('13_시나리오비교'!$B$12))*SIN(RADIANS('13_시나리오비교'!$C$12))+$H918*SIN(RADIANS('13_시나리오비교'!$B$12))*COS(RADIANS('13_시나리오비교'!$C$12))+$I918*COS(RADIANS('13_시나리오비교'!$B$12))),0)</f>
        <v/>
      </c>
      <c r="X918" s="80">
        <f>IF($I918&gt;0,MAX(0,$G918*SIN(RADIANS('13_시나리오비교'!$B$13))*SIN(RADIANS('13_시나리오비교'!$C$13))+$H918*SIN(RADIANS('13_시나리오비교'!$B$13))*COS(RADIANS('13_시나리오비교'!$C$13))+$I918*COS(RADIANS('13_시나리오비교'!$B$13))),0)</f>
        <v/>
      </c>
      <c r="Y918" s="80">
        <f>IF($I918&gt;0,MAX(0,$G918*SIN(RADIANS('13_시나리오비교'!$B$14))*SIN(RADIANS('13_시나리오비교'!$C$14))+$H918*SIN(RADIANS('13_시나리오비교'!$B$14))*COS(RADIANS('13_시나리오비교'!$C$14))+$I918*COS(RADIANS('13_시나리오비교'!$B$14))),0)</f>
        <v/>
      </c>
    </row>
    <row r="919" hidden="1" outlineLevel="1">
      <c r="A919" s="79" t="n">
        <v>10</v>
      </c>
      <c r="B919" s="79" t="n">
        <v>35</v>
      </c>
      <c r="C919" s="80">
        <f>(B919-0.5)*'14_지역·상수'!$H$6</f>
        <v/>
      </c>
      <c r="D919" s="79" t="n">
        <v>288</v>
      </c>
      <c r="E919" s="80">
        <f>INDEX($C$4:$C$15,MATCH(A919,$A$4:$A$15,0))</f>
        <v/>
      </c>
      <c r="F919" s="80">
        <f>15*(C919-12)</f>
        <v/>
      </c>
      <c r="G919" s="80">
        <f>-COS(RADIANS(E919))*SIN(RADIANS(F919))</f>
        <v/>
      </c>
      <c r="H919" s="80">
        <f>COS(RADIANS('11_발전량_모델'!$B$17))*SIN(RADIANS(E919))-SIN(RADIANS('11_발전량_모델'!$B$17))*COS(RADIANS(E919))*COS(RADIANS(F919))</f>
        <v/>
      </c>
      <c r="I919" s="80">
        <f>SIN(RADIANS('11_발전량_모델'!$B$17))*SIN(RADIANS(E919))+COS(RADIANS('11_발전량_모델'!$B$17))*COS(RADIANS(E919))*COS(RADIANS(F919))</f>
        <v/>
      </c>
      <c r="J919" s="80">
        <f>SIN(RADIANS('11_발전량_모델'!$B$7))*SIN(RADIANS('11_발전량_모델'!$B$8))</f>
        <v/>
      </c>
      <c r="K919" s="80">
        <f>SIN(RADIANS('11_발전량_모델'!$B$7))*COS(RADIANS('11_발전량_모델'!$B$8))</f>
        <v/>
      </c>
      <c r="L919" s="80">
        <f>COS(RADIANS('11_발전량_모델'!$B$7))</f>
        <v/>
      </c>
      <c r="M919" s="80">
        <f>G919*J919+H919*K919+I919*L919</f>
        <v/>
      </c>
      <c r="N919" s="80">
        <f>MAX(0,I919)</f>
        <v/>
      </c>
      <c r="O919" s="80">
        <f>IF(I919&gt;0,MAX(0,M919),0)</f>
        <v/>
      </c>
      <c r="P919" s="80">
        <f>IF($I919&gt;0,MAX(0,$G919*SIN(RADIANS('13_시나리오비교'!$B$5))*SIN(RADIANS('13_시나리오비교'!$C$5))+$H919*SIN(RADIANS('13_시나리오비교'!$B$5))*COS(RADIANS('13_시나리오비교'!$C$5))+$I919*COS(RADIANS('13_시나리오비교'!$B$5))),0)</f>
        <v/>
      </c>
      <c r="Q919" s="80">
        <f>IF($I919&gt;0,MAX(0,$G919*SIN(RADIANS('13_시나리오비교'!$B$6))*SIN(RADIANS('13_시나리오비교'!$C$6))+$H919*SIN(RADIANS('13_시나리오비교'!$B$6))*COS(RADIANS('13_시나리오비교'!$C$6))+$I919*COS(RADIANS('13_시나리오비교'!$B$6))),0)</f>
        <v/>
      </c>
      <c r="R919" s="80">
        <f>IF($I919&gt;0,MAX(0,$G919*SIN(RADIANS('13_시나리오비교'!$B$7))*SIN(RADIANS('13_시나리오비교'!$C$7))+$H919*SIN(RADIANS('13_시나리오비교'!$B$7))*COS(RADIANS('13_시나리오비교'!$C$7))+$I919*COS(RADIANS('13_시나리오비교'!$B$7))),0)</f>
        <v/>
      </c>
      <c r="S919" s="80">
        <f>IF($I919&gt;0,MAX(0,$G919*SIN(RADIANS('13_시나리오비교'!$B$8))*SIN(RADIANS('13_시나리오비교'!$C$8))+$H919*SIN(RADIANS('13_시나리오비교'!$B$8))*COS(RADIANS('13_시나리오비교'!$C$8))+$I919*COS(RADIANS('13_시나리오비교'!$B$8))),0)</f>
        <v/>
      </c>
      <c r="T919" s="80">
        <f>IF($I919&gt;0,MAX(0,$G919*SIN(RADIANS('13_시나리오비교'!$B$9))*SIN(RADIANS('13_시나리오비교'!$C$9))+$H919*SIN(RADIANS('13_시나리오비교'!$B$9))*COS(RADIANS('13_시나리오비교'!$C$9))+$I919*COS(RADIANS('13_시나리오비교'!$B$9))),0)</f>
        <v/>
      </c>
      <c r="U919" s="80">
        <f>IF($I919&gt;0,MAX(0,$G919*SIN(RADIANS('13_시나리오비교'!$B$10))*SIN(RADIANS('13_시나리오비교'!$C$10))+$H919*SIN(RADIANS('13_시나리오비교'!$B$10))*COS(RADIANS('13_시나리오비교'!$C$10))+$I919*COS(RADIANS('13_시나리오비교'!$B$10))),0)</f>
        <v/>
      </c>
      <c r="V919" s="80">
        <f>IF($I919&gt;0,MAX(0,$G919*SIN(RADIANS('13_시나리오비교'!$B$11))*SIN(RADIANS('13_시나리오비교'!$C$11))+$H919*SIN(RADIANS('13_시나리오비교'!$B$11))*COS(RADIANS('13_시나리오비교'!$C$11))+$I919*COS(RADIANS('13_시나리오비교'!$B$11))),0)</f>
        <v/>
      </c>
      <c r="W919" s="80">
        <f>IF($I919&gt;0,MAX(0,$G919*SIN(RADIANS('13_시나리오비교'!$B$12))*SIN(RADIANS('13_시나리오비교'!$C$12))+$H919*SIN(RADIANS('13_시나리오비교'!$B$12))*COS(RADIANS('13_시나리오비교'!$C$12))+$I919*COS(RADIANS('13_시나리오비교'!$B$12))),0)</f>
        <v/>
      </c>
      <c r="X919" s="80">
        <f>IF($I919&gt;0,MAX(0,$G919*SIN(RADIANS('13_시나리오비교'!$B$13))*SIN(RADIANS('13_시나리오비교'!$C$13))+$H919*SIN(RADIANS('13_시나리오비교'!$B$13))*COS(RADIANS('13_시나리오비교'!$C$13))+$I919*COS(RADIANS('13_시나리오비교'!$B$13))),0)</f>
        <v/>
      </c>
      <c r="Y919" s="80">
        <f>IF($I919&gt;0,MAX(0,$G919*SIN(RADIANS('13_시나리오비교'!$B$14))*SIN(RADIANS('13_시나리오비교'!$C$14))+$H919*SIN(RADIANS('13_시나리오비교'!$B$14))*COS(RADIANS('13_시나리오비교'!$C$14))+$I919*COS(RADIANS('13_시나리오비교'!$B$14))),0)</f>
        <v/>
      </c>
    </row>
    <row r="920" hidden="1" outlineLevel="1">
      <c r="A920" s="79" t="n">
        <v>10</v>
      </c>
      <c r="B920" s="79" t="n">
        <v>36</v>
      </c>
      <c r="C920" s="80">
        <f>(B920-0.5)*'14_지역·상수'!$H$6</f>
        <v/>
      </c>
      <c r="D920" s="79" t="n">
        <v>288</v>
      </c>
      <c r="E920" s="80">
        <f>INDEX($C$4:$C$15,MATCH(A920,$A$4:$A$15,0))</f>
        <v/>
      </c>
      <c r="F920" s="80">
        <f>15*(C920-12)</f>
        <v/>
      </c>
      <c r="G920" s="80">
        <f>-COS(RADIANS(E920))*SIN(RADIANS(F920))</f>
        <v/>
      </c>
      <c r="H920" s="80">
        <f>COS(RADIANS('11_발전량_모델'!$B$17))*SIN(RADIANS(E920))-SIN(RADIANS('11_발전량_모델'!$B$17))*COS(RADIANS(E920))*COS(RADIANS(F920))</f>
        <v/>
      </c>
      <c r="I920" s="80">
        <f>SIN(RADIANS('11_발전량_모델'!$B$17))*SIN(RADIANS(E920))+COS(RADIANS('11_발전량_모델'!$B$17))*COS(RADIANS(E920))*COS(RADIANS(F920))</f>
        <v/>
      </c>
      <c r="J920" s="80">
        <f>SIN(RADIANS('11_발전량_모델'!$B$7))*SIN(RADIANS('11_발전량_모델'!$B$8))</f>
        <v/>
      </c>
      <c r="K920" s="80">
        <f>SIN(RADIANS('11_발전량_모델'!$B$7))*COS(RADIANS('11_발전량_모델'!$B$8))</f>
        <v/>
      </c>
      <c r="L920" s="80">
        <f>COS(RADIANS('11_발전량_모델'!$B$7))</f>
        <v/>
      </c>
      <c r="M920" s="80">
        <f>G920*J920+H920*K920+I920*L920</f>
        <v/>
      </c>
      <c r="N920" s="80">
        <f>MAX(0,I920)</f>
        <v/>
      </c>
      <c r="O920" s="80">
        <f>IF(I920&gt;0,MAX(0,M920),0)</f>
        <v/>
      </c>
      <c r="P920" s="80">
        <f>IF($I920&gt;0,MAX(0,$G920*SIN(RADIANS('13_시나리오비교'!$B$5))*SIN(RADIANS('13_시나리오비교'!$C$5))+$H920*SIN(RADIANS('13_시나리오비교'!$B$5))*COS(RADIANS('13_시나리오비교'!$C$5))+$I920*COS(RADIANS('13_시나리오비교'!$B$5))),0)</f>
        <v/>
      </c>
      <c r="Q920" s="80">
        <f>IF($I920&gt;0,MAX(0,$G920*SIN(RADIANS('13_시나리오비교'!$B$6))*SIN(RADIANS('13_시나리오비교'!$C$6))+$H920*SIN(RADIANS('13_시나리오비교'!$B$6))*COS(RADIANS('13_시나리오비교'!$C$6))+$I920*COS(RADIANS('13_시나리오비교'!$B$6))),0)</f>
        <v/>
      </c>
      <c r="R920" s="80">
        <f>IF($I920&gt;0,MAX(0,$G920*SIN(RADIANS('13_시나리오비교'!$B$7))*SIN(RADIANS('13_시나리오비교'!$C$7))+$H920*SIN(RADIANS('13_시나리오비교'!$B$7))*COS(RADIANS('13_시나리오비교'!$C$7))+$I920*COS(RADIANS('13_시나리오비교'!$B$7))),0)</f>
        <v/>
      </c>
      <c r="S920" s="80">
        <f>IF($I920&gt;0,MAX(0,$G920*SIN(RADIANS('13_시나리오비교'!$B$8))*SIN(RADIANS('13_시나리오비교'!$C$8))+$H920*SIN(RADIANS('13_시나리오비교'!$B$8))*COS(RADIANS('13_시나리오비교'!$C$8))+$I920*COS(RADIANS('13_시나리오비교'!$B$8))),0)</f>
        <v/>
      </c>
      <c r="T920" s="80">
        <f>IF($I920&gt;0,MAX(0,$G920*SIN(RADIANS('13_시나리오비교'!$B$9))*SIN(RADIANS('13_시나리오비교'!$C$9))+$H920*SIN(RADIANS('13_시나리오비교'!$B$9))*COS(RADIANS('13_시나리오비교'!$C$9))+$I920*COS(RADIANS('13_시나리오비교'!$B$9))),0)</f>
        <v/>
      </c>
      <c r="U920" s="80">
        <f>IF($I920&gt;0,MAX(0,$G920*SIN(RADIANS('13_시나리오비교'!$B$10))*SIN(RADIANS('13_시나리오비교'!$C$10))+$H920*SIN(RADIANS('13_시나리오비교'!$B$10))*COS(RADIANS('13_시나리오비교'!$C$10))+$I920*COS(RADIANS('13_시나리오비교'!$B$10))),0)</f>
        <v/>
      </c>
      <c r="V920" s="80">
        <f>IF($I920&gt;0,MAX(0,$G920*SIN(RADIANS('13_시나리오비교'!$B$11))*SIN(RADIANS('13_시나리오비교'!$C$11))+$H920*SIN(RADIANS('13_시나리오비교'!$B$11))*COS(RADIANS('13_시나리오비교'!$C$11))+$I920*COS(RADIANS('13_시나리오비교'!$B$11))),0)</f>
        <v/>
      </c>
      <c r="W920" s="80">
        <f>IF($I920&gt;0,MAX(0,$G920*SIN(RADIANS('13_시나리오비교'!$B$12))*SIN(RADIANS('13_시나리오비교'!$C$12))+$H920*SIN(RADIANS('13_시나리오비교'!$B$12))*COS(RADIANS('13_시나리오비교'!$C$12))+$I920*COS(RADIANS('13_시나리오비교'!$B$12))),0)</f>
        <v/>
      </c>
      <c r="X920" s="80">
        <f>IF($I920&gt;0,MAX(0,$G920*SIN(RADIANS('13_시나리오비교'!$B$13))*SIN(RADIANS('13_시나리오비교'!$C$13))+$H920*SIN(RADIANS('13_시나리오비교'!$B$13))*COS(RADIANS('13_시나리오비교'!$C$13))+$I920*COS(RADIANS('13_시나리오비교'!$B$13))),0)</f>
        <v/>
      </c>
      <c r="Y920" s="80">
        <f>IF($I920&gt;0,MAX(0,$G920*SIN(RADIANS('13_시나리오비교'!$B$14))*SIN(RADIANS('13_시나리오비교'!$C$14))+$H920*SIN(RADIANS('13_시나리오비교'!$B$14))*COS(RADIANS('13_시나리오비교'!$C$14))+$I920*COS(RADIANS('13_시나리오비교'!$B$14))),0)</f>
        <v/>
      </c>
    </row>
    <row r="921" hidden="1" outlineLevel="1">
      <c r="A921" s="79" t="n">
        <v>10</v>
      </c>
      <c r="B921" s="79" t="n">
        <v>37</v>
      </c>
      <c r="C921" s="80">
        <f>(B921-0.5)*'14_지역·상수'!$H$6</f>
        <v/>
      </c>
      <c r="D921" s="79" t="n">
        <v>288</v>
      </c>
      <c r="E921" s="80">
        <f>INDEX($C$4:$C$15,MATCH(A921,$A$4:$A$15,0))</f>
        <v/>
      </c>
      <c r="F921" s="80">
        <f>15*(C921-12)</f>
        <v/>
      </c>
      <c r="G921" s="80">
        <f>-COS(RADIANS(E921))*SIN(RADIANS(F921))</f>
        <v/>
      </c>
      <c r="H921" s="80">
        <f>COS(RADIANS('11_발전량_모델'!$B$17))*SIN(RADIANS(E921))-SIN(RADIANS('11_발전량_모델'!$B$17))*COS(RADIANS(E921))*COS(RADIANS(F921))</f>
        <v/>
      </c>
      <c r="I921" s="80">
        <f>SIN(RADIANS('11_발전량_모델'!$B$17))*SIN(RADIANS(E921))+COS(RADIANS('11_발전량_모델'!$B$17))*COS(RADIANS(E921))*COS(RADIANS(F921))</f>
        <v/>
      </c>
      <c r="J921" s="80">
        <f>SIN(RADIANS('11_발전량_모델'!$B$7))*SIN(RADIANS('11_발전량_모델'!$B$8))</f>
        <v/>
      </c>
      <c r="K921" s="80">
        <f>SIN(RADIANS('11_발전량_모델'!$B$7))*COS(RADIANS('11_발전량_모델'!$B$8))</f>
        <v/>
      </c>
      <c r="L921" s="80">
        <f>COS(RADIANS('11_발전량_모델'!$B$7))</f>
        <v/>
      </c>
      <c r="M921" s="80">
        <f>G921*J921+H921*K921+I921*L921</f>
        <v/>
      </c>
      <c r="N921" s="80">
        <f>MAX(0,I921)</f>
        <v/>
      </c>
      <c r="O921" s="80">
        <f>IF(I921&gt;0,MAX(0,M921),0)</f>
        <v/>
      </c>
      <c r="P921" s="80">
        <f>IF($I921&gt;0,MAX(0,$G921*SIN(RADIANS('13_시나리오비교'!$B$5))*SIN(RADIANS('13_시나리오비교'!$C$5))+$H921*SIN(RADIANS('13_시나리오비교'!$B$5))*COS(RADIANS('13_시나리오비교'!$C$5))+$I921*COS(RADIANS('13_시나리오비교'!$B$5))),0)</f>
        <v/>
      </c>
      <c r="Q921" s="80">
        <f>IF($I921&gt;0,MAX(0,$G921*SIN(RADIANS('13_시나리오비교'!$B$6))*SIN(RADIANS('13_시나리오비교'!$C$6))+$H921*SIN(RADIANS('13_시나리오비교'!$B$6))*COS(RADIANS('13_시나리오비교'!$C$6))+$I921*COS(RADIANS('13_시나리오비교'!$B$6))),0)</f>
        <v/>
      </c>
      <c r="R921" s="80">
        <f>IF($I921&gt;0,MAX(0,$G921*SIN(RADIANS('13_시나리오비교'!$B$7))*SIN(RADIANS('13_시나리오비교'!$C$7))+$H921*SIN(RADIANS('13_시나리오비교'!$B$7))*COS(RADIANS('13_시나리오비교'!$C$7))+$I921*COS(RADIANS('13_시나리오비교'!$B$7))),0)</f>
        <v/>
      </c>
      <c r="S921" s="80">
        <f>IF($I921&gt;0,MAX(0,$G921*SIN(RADIANS('13_시나리오비교'!$B$8))*SIN(RADIANS('13_시나리오비교'!$C$8))+$H921*SIN(RADIANS('13_시나리오비교'!$B$8))*COS(RADIANS('13_시나리오비교'!$C$8))+$I921*COS(RADIANS('13_시나리오비교'!$B$8))),0)</f>
        <v/>
      </c>
      <c r="T921" s="80">
        <f>IF($I921&gt;0,MAX(0,$G921*SIN(RADIANS('13_시나리오비교'!$B$9))*SIN(RADIANS('13_시나리오비교'!$C$9))+$H921*SIN(RADIANS('13_시나리오비교'!$B$9))*COS(RADIANS('13_시나리오비교'!$C$9))+$I921*COS(RADIANS('13_시나리오비교'!$B$9))),0)</f>
        <v/>
      </c>
      <c r="U921" s="80">
        <f>IF($I921&gt;0,MAX(0,$G921*SIN(RADIANS('13_시나리오비교'!$B$10))*SIN(RADIANS('13_시나리오비교'!$C$10))+$H921*SIN(RADIANS('13_시나리오비교'!$B$10))*COS(RADIANS('13_시나리오비교'!$C$10))+$I921*COS(RADIANS('13_시나리오비교'!$B$10))),0)</f>
        <v/>
      </c>
      <c r="V921" s="80">
        <f>IF($I921&gt;0,MAX(0,$G921*SIN(RADIANS('13_시나리오비교'!$B$11))*SIN(RADIANS('13_시나리오비교'!$C$11))+$H921*SIN(RADIANS('13_시나리오비교'!$B$11))*COS(RADIANS('13_시나리오비교'!$C$11))+$I921*COS(RADIANS('13_시나리오비교'!$B$11))),0)</f>
        <v/>
      </c>
      <c r="W921" s="80">
        <f>IF($I921&gt;0,MAX(0,$G921*SIN(RADIANS('13_시나리오비교'!$B$12))*SIN(RADIANS('13_시나리오비교'!$C$12))+$H921*SIN(RADIANS('13_시나리오비교'!$B$12))*COS(RADIANS('13_시나리오비교'!$C$12))+$I921*COS(RADIANS('13_시나리오비교'!$B$12))),0)</f>
        <v/>
      </c>
      <c r="X921" s="80">
        <f>IF($I921&gt;0,MAX(0,$G921*SIN(RADIANS('13_시나리오비교'!$B$13))*SIN(RADIANS('13_시나리오비교'!$C$13))+$H921*SIN(RADIANS('13_시나리오비교'!$B$13))*COS(RADIANS('13_시나리오비교'!$C$13))+$I921*COS(RADIANS('13_시나리오비교'!$B$13))),0)</f>
        <v/>
      </c>
      <c r="Y921" s="80">
        <f>IF($I921&gt;0,MAX(0,$G921*SIN(RADIANS('13_시나리오비교'!$B$14))*SIN(RADIANS('13_시나리오비교'!$C$14))+$H921*SIN(RADIANS('13_시나리오비교'!$B$14))*COS(RADIANS('13_시나리오비교'!$C$14))+$I921*COS(RADIANS('13_시나리오비교'!$B$14))),0)</f>
        <v/>
      </c>
    </row>
    <row r="922" hidden="1" outlineLevel="1">
      <c r="A922" s="79" t="n">
        <v>10</v>
      </c>
      <c r="B922" s="79" t="n">
        <v>38</v>
      </c>
      <c r="C922" s="80">
        <f>(B922-0.5)*'14_지역·상수'!$H$6</f>
        <v/>
      </c>
      <c r="D922" s="79" t="n">
        <v>288</v>
      </c>
      <c r="E922" s="80">
        <f>INDEX($C$4:$C$15,MATCH(A922,$A$4:$A$15,0))</f>
        <v/>
      </c>
      <c r="F922" s="80">
        <f>15*(C922-12)</f>
        <v/>
      </c>
      <c r="G922" s="80">
        <f>-COS(RADIANS(E922))*SIN(RADIANS(F922))</f>
        <v/>
      </c>
      <c r="H922" s="80">
        <f>COS(RADIANS('11_발전량_모델'!$B$17))*SIN(RADIANS(E922))-SIN(RADIANS('11_발전량_모델'!$B$17))*COS(RADIANS(E922))*COS(RADIANS(F922))</f>
        <v/>
      </c>
      <c r="I922" s="80">
        <f>SIN(RADIANS('11_발전량_모델'!$B$17))*SIN(RADIANS(E922))+COS(RADIANS('11_발전량_모델'!$B$17))*COS(RADIANS(E922))*COS(RADIANS(F922))</f>
        <v/>
      </c>
      <c r="J922" s="80">
        <f>SIN(RADIANS('11_발전량_모델'!$B$7))*SIN(RADIANS('11_발전량_모델'!$B$8))</f>
        <v/>
      </c>
      <c r="K922" s="80">
        <f>SIN(RADIANS('11_발전량_모델'!$B$7))*COS(RADIANS('11_발전량_모델'!$B$8))</f>
        <v/>
      </c>
      <c r="L922" s="80">
        <f>COS(RADIANS('11_발전량_모델'!$B$7))</f>
        <v/>
      </c>
      <c r="M922" s="80">
        <f>G922*J922+H922*K922+I922*L922</f>
        <v/>
      </c>
      <c r="N922" s="80">
        <f>MAX(0,I922)</f>
        <v/>
      </c>
      <c r="O922" s="80">
        <f>IF(I922&gt;0,MAX(0,M922),0)</f>
        <v/>
      </c>
      <c r="P922" s="80">
        <f>IF($I922&gt;0,MAX(0,$G922*SIN(RADIANS('13_시나리오비교'!$B$5))*SIN(RADIANS('13_시나리오비교'!$C$5))+$H922*SIN(RADIANS('13_시나리오비교'!$B$5))*COS(RADIANS('13_시나리오비교'!$C$5))+$I922*COS(RADIANS('13_시나리오비교'!$B$5))),0)</f>
        <v/>
      </c>
      <c r="Q922" s="80">
        <f>IF($I922&gt;0,MAX(0,$G922*SIN(RADIANS('13_시나리오비교'!$B$6))*SIN(RADIANS('13_시나리오비교'!$C$6))+$H922*SIN(RADIANS('13_시나리오비교'!$B$6))*COS(RADIANS('13_시나리오비교'!$C$6))+$I922*COS(RADIANS('13_시나리오비교'!$B$6))),0)</f>
        <v/>
      </c>
      <c r="R922" s="80">
        <f>IF($I922&gt;0,MAX(0,$G922*SIN(RADIANS('13_시나리오비교'!$B$7))*SIN(RADIANS('13_시나리오비교'!$C$7))+$H922*SIN(RADIANS('13_시나리오비교'!$B$7))*COS(RADIANS('13_시나리오비교'!$C$7))+$I922*COS(RADIANS('13_시나리오비교'!$B$7))),0)</f>
        <v/>
      </c>
      <c r="S922" s="80">
        <f>IF($I922&gt;0,MAX(0,$G922*SIN(RADIANS('13_시나리오비교'!$B$8))*SIN(RADIANS('13_시나리오비교'!$C$8))+$H922*SIN(RADIANS('13_시나리오비교'!$B$8))*COS(RADIANS('13_시나리오비교'!$C$8))+$I922*COS(RADIANS('13_시나리오비교'!$B$8))),0)</f>
        <v/>
      </c>
      <c r="T922" s="80">
        <f>IF($I922&gt;0,MAX(0,$G922*SIN(RADIANS('13_시나리오비교'!$B$9))*SIN(RADIANS('13_시나리오비교'!$C$9))+$H922*SIN(RADIANS('13_시나리오비교'!$B$9))*COS(RADIANS('13_시나리오비교'!$C$9))+$I922*COS(RADIANS('13_시나리오비교'!$B$9))),0)</f>
        <v/>
      </c>
      <c r="U922" s="80">
        <f>IF($I922&gt;0,MAX(0,$G922*SIN(RADIANS('13_시나리오비교'!$B$10))*SIN(RADIANS('13_시나리오비교'!$C$10))+$H922*SIN(RADIANS('13_시나리오비교'!$B$10))*COS(RADIANS('13_시나리오비교'!$C$10))+$I922*COS(RADIANS('13_시나리오비교'!$B$10))),0)</f>
        <v/>
      </c>
      <c r="V922" s="80">
        <f>IF($I922&gt;0,MAX(0,$G922*SIN(RADIANS('13_시나리오비교'!$B$11))*SIN(RADIANS('13_시나리오비교'!$C$11))+$H922*SIN(RADIANS('13_시나리오비교'!$B$11))*COS(RADIANS('13_시나리오비교'!$C$11))+$I922*COS(RADIANS('13_시나리오비교'!$B$11))),0)</f>
        <v/>
      </c>
      <c r="W922" s="80">
        <f>IF($I922&gt;0,MAX(0,$G922*SIN(RADIANS('13_시나리오비교'!$B$12))*SIN(RADIANS('13_시나리오비교'!$C$12))+$H922*SIN(RADIANS('13_시나리오비교'!$B$12))*COS(RADIANS('13_시나리오비교'!$C$12))+$I922*COS(RADIANS('13_시나리오비교'!$B$12))),0)</f>
        <v/>
      </c>
      <c r="X922" s="80">
        <f>IF($I922&gt;0,MAX(0,$G922*SIN(RADIANS('13_시나리오비교'!$B$13))*SIN(RADIANS('13_시나리오비교'!$C$13))+$H922*SIN(RADIANS('13_시나리오비교'!$B$13))*COS(RADIANS('13_시나리오비교'!$C$13))+$I922*COS(RADIANS('13_시나리오비교'!$B$13))),0)</f>
        <v/>
      </c>
      <c r="Y922" s="80">
        <f>IF($I922&gt;0,MAX(0,$G922*SIN(RADIANS('13_시나리오비교'!$B$14))*SIN(RADIANS('13_시나리오비교'!$C$14))+$H922*SIN(RADIANS('13_시나리오비교'!$B$14))*COS(RADIANS('13_시나리오비교'!$C$14))+$I922*COS(RADIANS('13_시나리오비교'!$B$14))),0)</f>
        <v/>
      </c>
    </row>
    <row r="923" hidden="1" outlineLevel="1">
      <c r="A923" s="79" t="n">
        <v>10</v>
      </c>
      <c r="B923" s="79" t="n">
        <v>39</v>
      </c>
      <c r="C923" s="80">
        <f>(B923-0.5)*'14_지역·상수'!$H$6</f>
        <v/>
      </c>
      <c r="D923" s="79" t="n">
        <v>288</v>
      </c>
      <c r="E923" s="80">
        <f>INDEX($C$4:$C$15,MATCH(A923,$A$4:$A$15,0))</f>
        <v/>
      </c>
      <c r="F923" s="80">
        <f>15*(C923-12)</f>
        <v/>
      </c>
      <c r="G923" s="80">
        <f>-COS(RADIANS(E923))*SIN(RADIANS(F923))</f>
        <v/>
      </c>
      <c r="H923" s="80">
        <f>COS(RADIANS('11_발전량_모델'!$B$17))*SIN(RADIANS(E923))-SIN(RADIANS('11_발전량_모델'!$B$17))*COS(RADIANS(E923))*COS(RADIANS(F923))</f>
        <v/>
      </c>
      <c r="I923" s="80">
        <f>SIN(RADIANS('11_발전량_모델'!$B$17))*SIN(RADIANS(E923))+COS(RADIANS('11_발전량_모델'!$B$17))*COS(RADIANS(E923))*COS(RADIANS(F923))</f>
        <v/>
      </c>
      <c r="J923" s="80">
        <f>SIN(RADIANS('11_발전량_모델'!$B$7))*SIN(RADIANS('11_발전량_모델'!$B$8))</f>
        <v/>
      </c>
      <c r="K923" s="80">
        <f>SIN(RADIANS('11_발전량_모델'!$B$7))*COS(RADIANS('11_발전량_모델'!$B$8))</f>
        <v/>
      </c>
      <c r="L923" s="80">
        <f>COS(RADIANS('11_발전량_모델'!$B$7))</f>
        <v/>
      </c>
      <c r="M923" s="80">
        <f>G923*J923+H923*K923+I923*L923</f>
        <v/>
      </c>
      <c r="N923" s="80">
        <f>MAX(0,I923)</f>
        <v/>
      </c>
      <c r="O923" s="80">
        <f>IF(I923&gt;0,MAX(0,M923),0)</f>
        <v/>
      </c>
      <c r="P923" s="80">
        <f>IF($I923&gt;0,MAX(0,$G923*SIN(RADIANS('13_시나리오비교'!$B$5))*SIN(RADIANS('13_시나리오비교'!$C$5))+$H923*SIN(RADIANS('13_시나리오비교'!$B$5))*COS(RADIANS('13_시나리오비교'!$C$5))+$I923*COS(RADIANS('13_시나리오비교'!$B$5))),0)</f>
        <v/>
      </c>
      <c r="Q923" s="80">
        <f>IF($I923&gt;0,MAX(0,$G923*SIN(RADIANS('13_시나리오비교'!$B$6))*SIN(RADIANS('13_시나리오비교'!$C$6))+$H923*SIN(RADIANS('13_시나리오비교'!$B$6))*COS(RADIANS('13_시나리오비교'!$C$6))+$I923*COS(RADIANS('13_시나리오비교'!$B$6))),0)</f>
        <v/>
      </c>
      <c r="R923" s="80">
        <f>IF($I923&gt;0,MAX(0,$G923*SIN(RADIANS('13_시나리오비교'!$B$7))*SIN(RADIANS('13_시나리오비교'!$C$7))+$H923*SIN(RADIANS('13_시나리오비교'!$B$7))*COS(RADIANS('13_시나리오비교'!$C$7))+$I923*COS(RADIANS('13_시나리오비교'!$B$7))),0)</f>
        <v/>
      </c>
      <c r="S923" s="80">
        <f>IF($I923&gt;0,MAX(0,$G923*SIN(RADIANS('13_시나리오비교'!$B$8))*SIN(RADIANS('13_시나리오비교'!$C$8))+$H923*SIN(RADIANS('13_시나리오비교'!$B$8))*COS(RADIANS('13_시나리오비교'!$C$8))+$I923*COS(RADIANS('13_시나리오비교'!$B$8))),0)</f>
        <v/>
      </c>
      <c r="T923" s="80">
        <f>IF($I923&gt;0,MAX(0,$G923*SIN(RADIANS('13_시나리오비교'!$B$9))*SIN(RADIANS('13_시나리오비교'!$C$9))+$H923*SIN(RADIANS('13_시나리오비교'!$B$9))*COS(RADIANS('13_시나리오비교'!$C$9))+$I923*COS(RADIANS('13_시나리오비교'!$B$9))),0)</f>
        <v/>
      </c>
      <c r="U923" s="80">
        <f>IF($I923&gt;0,MAX(0,$G923*SIN(RADIANS('13_시나리오비교'!$B$10))*SIN(RADIANS('13_시나리오비교'!$C$10))+$H923*SIN(RADIANS('13_시나리오비교'!$B$10))*COS(RADIANS('13_시나리오비교'!$C$10))+$I923*COS(RADIANS('13_시나리오비교'!$B$10))),0)</f>
        <v/>
      </c>
      <c r="V923" s="80">
        <f>IF($I923&gt;0,MAX(0,$G923*SIN(RADIANS('13_시나리오비교'!$B$11))*SIN(RADIANS('13_시나리오비교'!$C$11))+$H923*SIN(RADIANS('13_시나리오비교'!$B$11))*COS(RADIANS('13_시나리오비교'!$C$11))+$I923*COS(RADIANS('13_시나리오비교'!$B$11))),0)</f>
        <v/>
      </c>
      <c r="W923" s="80">
        <f>IF($I923&gt;0,MAX(0,$G923*SIN(RADIANS('13_시나리오비교'!$B$12))*SIN(RADIANS('13_시나리오비교'!$C$12))+$H923*SIN(RADIANS('13_시나리오비교'!$B$12))*COS(RADIANS('13_시나리오비교'!$C$12))+$I923*COS(RADIANS('13_시나리오비교'!$B$12))),0)</f>
        <v/>
      </c>
      <c r="X923" s="80">
        <f>IF($I923&gt;0,MAX(0,$G923*SIN(RADIANS('13_시나리오비교'!$B$13))*SIN(RADIANS('13_시나리오비교'!$C$13))+$H923*SIN(RADIANS('13_시나리오비교'!$B$13))*COS(RADIANS('13_시나리오비교'!$C$13))+$I923*COS(RADIANS('13_시나리오비교'!$B$13))),0)</f>
        <v/>
      </c>
      <c r="Y923" s="80">
        <f>IF($I923&gt;0,MAX(0,$G923*SIN(RADIANS('13_시나리오비교'!$B$14))*SIN(RADIANS('13_시나리오비교'!$C$14))+$H923*SIN(RADIANS('13_시나리오비교'!$B$14))*COS(RADIANS('13_시나리오비교'!$C$14))+$I923*COS(RADIANS('13_시나리오비교'!$B$14))),0)</f>
        <v/>
      </c>
    </row>
    <row r="924" hidden="1" outlineLevel="1">
      <c r="A924" s="79" t="n">
        <v>10</v>
      </c>
      <c r="B924" s="79" t="n">
        <v>40</v>
      </c>
      <c r="C924" s="80">
        <f>(B924-0.5)*'14_지역·상수'!$H$6</f>
        <v/>
      </c>
      <c r="D924" s="79" t="n">
        <v>288</v>
      </c>
      <c r="E924" s="80">
        <f>INDEX($C$4:$C$15,MATCH(A924,$A$4:$A$15,0))</f>
        <v/>
      </c>
      <c r="F924" s="80">
        <f>15*(C924-12)</f>
        <v/>
      </c>
      <c r="G924" s="80">
        <f>-COS(RADIANS(E924))*SIN(RADIANS(F924))</f>
        <v/>
      </c>
      <c r="H924" s="80">
        <f>COS(RADIANS('11_발전량_모델'!$B$17))*SIN(RADIANS(E924))-SIN(RADIANS('11_발전량_모델'!$B$17))*COS(RADIANS(E924))*COS(RADIANS(F924))</f>
        <v/>
      </c>
      <c r="I924" s="80">
        <f>SIN(RADIANS('11_발전량_모델'!$B$17))*SIN(RADIANS(E924))+COS(RADIANS('11_발전량_모델'!$B$17))*COS(RADIANS(E924))*COS(RADIANS(F924))</f>
        <v/>
      </c>
      <c r="J924" s="80">
        <f>SIN(RADIANS('11_발전량_모델'!$B$7))*SIN(RADIANS('11_발전량_모델'!$B$8))</f>
        <v/>
      </c>
      <c r="K924" s="80">
        <f>SIN(RADIANS('11_발전량_모델'!$B$7))*COS(RADIANS('11_발전량_모델'!$B$8))</f>
        <v/>
      </c>
      <c r="L924" s="80">
        <f>COS(RADIANS('11_발전량_모델'!$B$7))</f>
        <v/>
      </c>
      <c r="M924" s="80">
        <f>G924*J924+H924*K924+I924*L924</f>
        <v/>
      </c>
      <c r="N924" s="80">
        <f>MAX(0,I924)</f>
        <v/>
      </c>
      <c r="O924" s="80">
        <f>IF(I924&gt;0,MAX(0,M924),0)</f>
        <v/>
      </c>
      <c r="P924" s="80">
        <f>IF($I924&gt;0,MAX(0,$G924*SIN(RADIANS('13_시나리오비교'!$B$5))*SIN(RADIANS('13_시나리오비교'!$C$5))+$H924*SIN(RADIANS('13_시나리오비교'!$B$5))*COS(RADIANS('13_시나리오비교'!$C$5))+$I924*COS(RADIANS('13_시나리오비교'!$B$5))),0)</f>
        <v/>
      </c>
      <c r="Q924" s="80">
        <f>IF($I924&gt;0,MAX(0,$G924*SIN(RADIANS('13_시나리오비교'!$B$6))*SIN(RADIANS('13_시나리오비교'!$C$6))+$H924*SIN(RADIANS('13_시나리오비교'!$B$6))*COS(RADIANS('13_시나리오비교'!$C$6))+$I924*COS(RADIANS('13_시나리오비교'!$B$6))),0)</f>
        <v/>
      </c>
      <c r="R924" s="80">
        <f>IF($I924&gt;0,MAX(0,$G924*SIN(RADIANS('13_시나리오비교'!$B$7))*SIN(RADIANS('13_시나리오비교'!$C$7))+$H924*SIN(RADIANS('13_시나리오비교'!$B$7))*COS(RADIANS('13_시나리오비교'!$C$7))+$I924*COS(RADIANS('13_시나리오비교'!$B$7))),0)</f>
        <v/>
      </c>
      <c r="S924" s="80">
        <f>IF($I924&gt;0,MAX(0,$G924*SIN(RADIANS('13_시나리오비교'!$B$8))*SIN(RADIANS('13_시나리오비교'!$C$8))+$H924*SIN(RADIANS('13_시나리오비교'!$B$8))*COS(RADIANS('13_시나리오비교'!$C$8))+$I924*COS(RADIANS('13_시나리오비교'!$B$8))),0)</f>
        <v/>
      </c>
      <c r="T924" s="80">
        <f>IF($I924&gt;0,MAX(0,$G924*SIN(RADIANS('13_시나리오비교'!$B$9))*SIN(RADIANS('13_시나리오비교'!$C$9))+$H924*SIN(RADIANS('13_시나리오비교'!$B$9))*COS(RADIANS('13_시나리오비교'!$C$9))+$I924*COS(RADIANS('13_시나리오비교'!$B$9))),0)</f>
        <v/>
      </c>
      <c r="U924" s="80">
        <f>IF($I924&gt;0,MAX(0,$G924*SIN(RADIANS('13_시나리오비교'!$B$10))*SIN(RADIANS('13_시나리오비교'!$C$10))+$H924*SIN(RADIANS('13_시나리오비교'!$B$10))*COS(RADIANS('13_시나리오비교'!$C$10))+$I924*COS(RADIANS('13_시나리오비교'!$B$10))),0)</f>
        <v/>
      </c>
      <c r="V924" s="80">
        <f>IF($I924&gt;0,MAX(0,$G924*SIN(RADIANS('13_시나리오비교'!$B$11))*SIN(RADIANS('13_시나리오비교'!$C$11))+$H924*SIN(RADIANS('13_시나리오비교'!$B$11))*COS(RADIANS('13_시나리오비교'!$C$11))+$I924*COS(RADIANS('13_시나리오비교'!$B$11))),0)</f>
        <v/>
      </c>
      <c r="W924" s="80">
        <f>IF($I924&gt;0,MAX(0,$G924*SIN(RADIANS('13_시나리오비교'!$B$12))*SIN(RADIANS('13_시나리오비교'!$C$12))+$H924*SIN(RADIANS('13_시나리오비교'!$B$12))*COS(RADIANS('13_시나리오비교'!$C$12))+$I924*COS(RADIANS('13_시나리오비교'!$B$12))),0)</f>
        <v/>
      </c>
      <c r="X924" s="80">
        <f>IF($I924&gt;0,MAX(0,$G924*SIN(RADIANS('13_시나리오비교'!$B$13))*SIN(RADIANS('13_시나리오비교'!$C$13))+$H924*SIN(RADIANS('13_시나리오비교'!$B$13))*COS(RADIANS('13_시나리오비교'!$C$13))+$I924*COS(RADIANS('13_시나리오비교'!$B$13))),0)</f>
        <v/>
      </c>
      <c r="Y924" s="80">
        <f>IF($I924&gt;0,MAX(0,$G924*SIN(RADIANS('13_시나리오비교'!$B$14))*SIN(RADIANS('13_시나리오비교'!$C$14))+$H924*SIN(RADIANS('13_시나리오비교'!$B$14))*COS(RADIANS('13_시나리오비교'!$C$14))+$I924*COS(RADIANS('13_시나리오비교'!$B$14))),0)</f>
        <v/>
      </c>
    </row>
    <row r="925" hidden="1" outlineLevel="1">
      <c r="A925" s="79" t="n">
        <v>10</v>
      </c>
      <c r="B925" s="79" t="n">
        <v>41</v>
      </c>
      <c r="C925" s="80">
        <f>(B925-0.5)*'14_지역·상수'!$H$6</f>
        <v/>
      </c>
      <c r="D925" s="79" t="n">
        <v>288</v>
      </c>
      <c r="E925" s="80">
        <f>INDEX($C$4:$C$15,MATCH(A925,$A$4:$A$15,0))</f>
        <v/>
      </c>
      <c r="F925" s="80">
        <f>15*(C925-12)</f>
        <v/>
      </c>
      <c r="G925" s="80">
        <f>-COS(RADIANS(E925))*SIN(RADIANS(F925))</f>
        <v/>
      </c>
      <c r="H925" s="80">
        <f>COS(RADIANS('11_발전량_모델'!$B$17))*SIN(RADIANS(E925))-SIN(RADIANS('11_발전량_모델'!$B$17))*COS(RADIANS(E925))*COS(RADIANS(F925))</f>
        <v/>
      </c>
      <c r="I925" s="80">
        <f>SIN(RADIANS('11_발전량_모델'!$B$17))*SIN(RADIANS(E925))+COS(RADIANS('11_발전량_모델'!$B$17))*COS(RADIANS(E925))*COS(RADIANS(F925))</f>
        <v/>
      </c>
      <c r="J925" s="80">
        <f>SIN(RADIANS('11_발전량_모델'!$B$7))*SIN(RADIANS('11_발전량_모델'!$B$8))</f>
        <v/>
      </c>
      <c r="K925" s="80">
        <f>SIN(RADIANS('11_발전량_모델'!$B$7))*COS(RADIANS('11_발전량_모델'!$B$8))</f>
        <v/>
      </c>
      <c r="L925" s="80">
        <f>COS(RADIANS('11_발전량_모델'!$B$7))</f>
        <v/>
      </c>
      <c r="M925" s="80">
        <f>G925*J925+H925*K925+I925*L925</f>
        <v/>
      </c>
      <c r="N925" s="80">
        <f>MAX(0,I925)</f>
        <v/>
      </c>
      <c r="O925" s="80">
        <f>IF(I925&gt;0,MAX(0,M925),0)</f>
        <v/>
      </c>
      <c r="P925" s="80">
        <f>IF($I925&gt;0,MAX(0,$G925*SIN(RADIANS('13_시나리오비교'!$B$5))*SIN(RADIANS('13_시나리오비교'!$C$5))+$H925*SIN(RADIANS('13_시나리오비교'!$B$5))*COS(RADIANS('13_시나리오비교'!$C$5))+$I925*COS(RADIANS('13_시나리오비교'!$B$5))),0)</f>
        <v/>
      </c>
      <c r="Q925" s="80">
        <f>IF($I925&gt;0,MAX(0,$G925*SIN(RADIANS('13_시나리오비교'!$B$6))*SIN(RADIANS('13_시나리오비교'!$C$6))+$H925*SIN(RADIANS('13_시나리오비교'!$B$6))*COS(RADIANS('13_시나리오비교'!$C$6))+$I925*COS(RADIANS('13_시나리오비교'!$B$6))),0)</f>
        <v/>
      </c>
      <c r="R925" s="80">
        <f>IF($I925&gt;0,MAX(0,$G925*SIN(RADIANS('13_시나리오비교'!$B$7))*SIN(RADIANS('13_시나리오비교'!$C$7))+$H925*SIN(RADIANS('13_시나리오비교'!$B$7))*COS(RADIANS('13_시나리오비교'!$C$7))+$I925*COS(RADIANS('13_시나리오비교'!$B$7))),0)</f>
        <v/>
      </c>
      <c r="S925" s="80">
        <f>IF($I925&gt;0,MAX(0,$G925*SIN(RADIANS('13_시나리오비교'!$B$8))*SIN(RADIANS('13_시나리오비교'!$C$8))+$H925*SIN(RADIANS('13_시나리오비교'!$B$8))*COS(RADIANS('13_시나리오비교'!$C$8))+$I925*COS(RADIANS('13_시나리오비교'!$B$8))),0)</f>
        <v/>
      </c>
      <c r="T925" s="80">
        <f>IF($I925&gt;0,MAX(0,$G925*SIN(RADIANS('13_시나리오비교'!$B$9))*SIN(RADIANS('13_시나리오비교'!$C$9))+$H925*SIN(RADIANS('13_시나리오비교'!$B$9))*COS(RADIANS('13_시나리오비교'!$C$9))+$I925*COS(RADIANS('13_시나리오비교'!$B$9))),0)</f>
        <v/>
      </c>
      <c r="U925" s="80">
        <f>IF($I925&gt;0,MAX(0,$G925*SIN(RADIANS('13_시나리오비교'!$B$10))*SIN(RADIANS('13_시나리오비교'!$C$10))+$H925*SIN(RADIANS('13_시나리오비교'!$B$10))*COS(RADIANS('13_시나리오비교'!$C$10))+$I925*COS(RADIANS('13_시나리오비교'!$B$10))),0)</f>
        <v/>
      </c>
      <c r="V925" s="80">
        <f>IF($I925&gt;0,MAX(0,$G925*SIN(RADIANS('13_시나리오비교'!$B$11))*SIN(RADIANS('13_시나리오비교'!$C$11))+$H925*SIN(RADIANS('13_시나리오비교'!$B$11))*COS(RADIANS('13_시나리오비교'!$C$11))+$I925*COS(RADIANS('13_시나리오비교'!$B$11))),0)</f>
        <v/>
      </c>
      <c r="W925" s="80">
        <f>IF($I925&gt;0,MAX(0,$G925*SIN(RADIANS('13_시나리오비교'!$B$12))*SIN(RADIANS('13_시나리오비교'!$C$12))+$H925*SIN(RADIANS('13_시나리오비교'!$B$12))*COS(RADIANS('13_시나리오비교'!$C$12))+$I925*COS(RADIANS('13_시나리오비교'!$B$12))),0)</f>
        <v/>
      </c>
      <c r="X925" s="80">
        <f>IF($I925&gt;0,MAX(0,$G925*SIN(RADIANS('13_시나리오비교'!$B$13))*SIN(RADIANS('13_시나리오비교'!$C$13))+$H925*SIN(RADIANS('13_시나리오비교'!$B$13))*COS(RADIANS('13_시나리오비교'!$C$13))+$I925*COS(RADIANS('13_시나리오비교'!$B$13))),0)</f>
        <v/>
      </c>
      <c r="Y925" s="80">
        <f>IF($I925&gt;0,MAX(0,$G925*SIN(RADIANS('13_시나리오비교'!$B$14))*SIN(RADIANS('13_시나리오비교'!$C$14))+$H925*SIN(RADIANS('13_시나리오비교'!$B$14))*COS(RADIANS('13_시나리오비교'!$C$14))+$I925*COS(RADIANS('13_시나리오비교'!$B$14))),0)</f>
        <v/>
      </c>
    </row>
    <row r="926" hidden="1" outlineLevel="1">
      <c r="A926" s="79" t="n">
        <v>10</v>
      </c>
      <c r="B926" s="79" t="n">
        <v>42</v>
      </c>
      <c r="C926" s="80">
        <f>(B926-0.5)*'14_지역·상수'!$H$6</f>
        <v/>
      </c>
      <c r="D926" s="79" t="n">
        <v>288</v>
      </c>
      <c r="E926" s="80">
        <f>INDEX($C$4:$C$15,MATCH(A926,$A$4:$A$15,0))</f>
        <v/>
      </c>
      <c r="F926" s="80">
        <f>15*(C926-12)</f>
        <v/>
      </c>
      <c r="G926" s="80">
        <f>-COS(RADIANS(E926))*SIN(RADIANS(F926))</f>
        <v/>
      </c>
      <c r="H926" s="80">
        <f>COS(RADIANS('11_발전량_모델'!$B$17))*SIN(RADIANS(E926))-SIN(RADIANS('11_발전량_모델'!$B$17))*COS(RADIANS(E926))*COS(RADIANS(F926))</f>
        <v/>
      </c>
      <c r="I926" s="80">
        <f>SIN(RADIANS('11_발전량_모델'!$B$17))*SIN(RADIANS(E926))+COS(RADIANS('11_발전량_모델'!$B$17))*COS(RADIANS(E926))*COS(RADIANS(F926))</f>
        <v/>
      </c>
      <c r="J926" s="80">
        <f>SIN(RADIANS('11_발전량_모델'!$B$7))*SIN(RADIANS('11_발전량_모델'!$B$8))</f>
        <v/>
      </c>
      <c r="K926" s="80">
        <f>SIN(RADIANS('11_발전량_모델'!$B$7))*COS(RADIANS('11_발전량_모델'!$B$8))</f>
        <v/>
      </c>
      <c r="L926" s="80">
        <f>COS(RADIANS('11_발전량_모델'!$B$7))</f>
        <v/>
      </c>
      <c r="M926" s="80">
        <f>G926*J926+H926*K926+I926*L926</f>
        <v/>
      </c>
      <c r="N926" s="80">
        <f>MAX(0,I926)</f>
        <v/>
      </c>
      <c r="O926" s="80">
        <f>IF(I926&gt;0,MAX(0,M926),0)</f>
        <v/>
      </c>
      <c r="P926" s="80">
        <f>IF($I926&gt;0,MAX(0,$G926*SIN(RADIANS('13_시나리오비교'!$B$5))*SIN(RADIANS('13_시나리오비교'!$C$5))+$H926*SIN(RADIANS('13_시나리오비교'!$B$5))*COS(RADIANS('13_시나리오비교'!$C$5))+$I926*COS(RADIANS('13_시나리오비교'!$B$5))),0)</f>
        <v/>
      </c>
      <c r="Q926" s="80">
        <f>IF($I926&gt;0,MAX(0,$G926*SIN(RADIANS('13_시나리오비교'!$B$6))*SIN(RADIANS('13_시나리오비교'!$C$6))+$H926*SIN(RADIANS('13_시나리오비교'!$B$6))*COS(RADIANS('13_시나리오비교'!$C$6))+$I926*COS(RADIANS('13_시나리오비교'!$B$6))),0)</f>
        <v/>
      </c>
      <c r="R926" s="80">
        <f>IF($I926&gt;0,MAX(0,$G926*SIN(RADIANS('13_시나리오비교'!$B$7))*SIN(RADIANS('13_시나리오비교'!$C$7))+$H926*SIN(RADIANS('13_시나리오비교'!$B$7))*COS(RADIANS('13_시나리오비교'!$C$7))+$I926*COS(RADIANS('13_시나리오비교'!$B$7))),0)</f>
        <v/>
      </c>
      <c r="S926" s="80">
        <f>IF($I926&gt;0,MAX(0,$G926*SIN(RADIANS('13_시나리오비교'!$B$8))*SIN(RADIANS('13_시나리오비교'!$C$8))+$H926*SIN(RADIANS('13_시나리오비교'!$B$8))*COS(RADIANS('13_시나리오비교'!$C$8))+$I926*COS(RADIANS('13_시나리오비교'!$B$8))),0)</f>
        <v/>
      </c>
      <c r="T926" s="80">
        <f>IF($I926&gt;0,MAX(0,$G926*SIN(RADIANS('13_시나리오비교'!$B$9))*SIN(RADIANS('13_시나리오비교'!$C$9))+$H926*SIN(RADIANS('13_시나리오비교'!$B$9))*COS(RADIANS('13_시나리오비교'!$C$9))+$I926*COS(RADIANS('13_시나리오비교'!$B$9))),0)</f>
        <v/>
      </c>
      <c r="U926" s="80">
        <f>IF($I926&gt;0,MAX(0,$G926*SIN(RADIANS('13_시나리오비교'!$B$10))*SIN(RADIANS('13_시나리오비교'!$C$10))+$H926*SIN(RADIANS('13_시나리오비교'!$B$10))*COS(RADIANS('13_시나리오비교'!$C$10))+$I926*COS(RADIANS('13_시나리오비교'!$B$10))),0)</f>
        <v/>
      </c>
      <c r="V926" s="80">
        <f>IF($I926&gt;0,MAX(0,$G926*SIN(RADIANS('13_시나리오비교'!$B$11))*SIN(RADIANS('13_시나리오비교'!$C$11))+$H926*SIN(RADIANS('13_시나리오비교'!$B$11))*COS(RADIANS('13_시나리오비교'!$C$11))+$I926*COS(RADIANS('13_시나리오비교'!$B$11))),0)</f>
        <v/>
      </c>
      <c r="W926" s="80">
        <f>IF($I926&gt;0,MAX(0,$G926*SIN(RADIANS('13_시나리오비교'!$B$12))*SIN(RADIANS('13_시나리오비교'!$C$12))+$H926*SIN(RADIANS('13_시나리오비교'!$B$12))*COS(RADIANS('13_시나리오비교'!$C$12))+$I926*COS(RADIANS('13_시나리오비교'!$B$12))),0)</f>
        <v/>
      </c>
      <c r="X926" s="80">
        <f>IF($I926&gt;0,MAX(0,$G926*SIN(RADIANS('13_시나리오비교'!$B$13))*SIN(RADIANS('13_시나리오비교'!$C$13))+$H926*SIN(RADIANS('13_시나리오비교'!$B$13))*COS(RADIANS('13_시나리오비교'!$C$13))+$I926*COS(RADIANS('13_시나리오비교'!$B$13))),0)</f>
        <v/>
      </c>
      <c r="Y926" s="80">
        <f>IF($I926&gt;0,MAX(0,$G926*SIN(RADIANS('13_시나리오비교'!$B$14))*SIN(RADIANS('13_시나리오비교'!$C$14))+$H926*SIN(RADIANS('13_시나리오비교'!$B$14))*COS(RADIANS('13_시나리오비교'!$C$14))+$I926*COS(RADIANS('13_시나리오비교'!$B$14))),0)</f>
        <v/>
      </c>
    </row>
    <row r="927" hidden="1" outlineLevel="1">
      <c r="A927" s="79" t="n">
        <v>10</v>
      </c>
      <c r="B927" s="79" t="n">
        <v>43</v>
      </c>
      <c r="C927" s="80">
        <f>(B927-0.5)*'14_지역·상수'!$H$6</f>
        <v/>
      </c>
      <c r="D927" s="79" t="n">
        <v>288</v>
      </c>
      <c r="E927" s="80">
        <f>INDEX($C$4:$C$15,MATCH(A927,$A$4:$A$15,0))</f>
        <v/>
      </c>
      <c r="F927" s="80">
        <f>15*(C927-12)</f>
        <v/>
      </c>
      <c r="G927" s="80">
        <f>-COS(RADIANS(E927))*SIN(RADIANS(F927))</f>
        <v/>
      </c>
      <c r="H927" s="80">
        <f>COS(RADIANS('11_발전량_모델'!$B$17))*SIN(RADIANS(E927))-SIN(RADIANS('11_발전량_모델'!$B$17))*COS(RADIANS(E927))*COS(RADIANS(F927))</f>
        <v/>
      </c>
      <c r="I927" s="80">
        <f>SIN(RADIANS('11_발전량_모델'!$B$17))*SIN(RADIANS(E927))+COS(RADIANS('11_발전량_모델'!$B$17))*COS(RADIANS(E927))*COS(RADIANS(F927))</f>
        <v/>
      </c>
      <c r="J927" s="80">
        <f>SIN(RADIANS('11_발전량_모델'!$B$7))*SIN(RADIANS('11_발전량_모델'!$B$8))</f>
        <v/>
      </c>
      <c r="K927" s="80">
        <f>SIN(RADIANS('11_발전량_모델'!$B$7))*COS(RADIANS('11_발전량_모델'!$B$8))</f>
        <v/>
      </c>
      <c r="L927" s="80">
        <f>COS(RADIANS('11_발전량_모델'!$B$7))</f>
        <v/>
      </c>
      <c r="M927" s="80">
        <f>G927*J927+H927*K927+I927*L927</f>
        <v/>
      </c>
      <c r="N927" s="80">
        <f>MAX(0,I927)</f>
        <v/>
      </c>
      <c r="O927" s="80">
        <f>IF(I927&gt;0,MAX(0,M927),0)</f>
        <v/>
      </c>
      <c r="P927" s="80">
        <f>IF($I927&gt;0,MAX(0,$G927*SIN(RADIANS('13_시나리오비교'!$B$5))*SIN(RADIANS('13_시나리오비교'!$C$5))+$H927*SIN(RADIANS('13_시나리오비교'!$B$5))*COS(RADIANS('13_시나리오비교'!$C$5))+$I927*COS(RADIANS('13_시나리오비교'!$B$5))),0)</f>
        <v/>
      </c>
      <c r="Q927" s="80">
        <f>IF($I927&gt;0,MAX(0,$G927*SIN(RADIANS('13_시나리오비교'!$B$6))*SIN(RADIANS('13_시나리오비교'!$C$6))+$H927*SIN(RADIANS('13_시나리오비교'!$B$6))*COS(RADIANS('13_시나리오비교'!$C$6))+$I927*COS(RADIANS('13_시나리오비교'!$B$6))),0)</f>
        <v/>
      </c>
      <c r="R927" s="80">
        <f>IF($I927&gt;0,MAX(0,$G927*SIN(RADIANS('13_시나리오비교'!$B$7))*SIN(RADIANS('13_시나리오비교'!$C$7))+$H927*SIN(RADIANS('13_시나리오비교'!$B$7))*COS(RADIANS('13_시나리오비교'!$C$7))+$I927*COS(RADIANS('13_시나리오비교'!$B$7))),0)</f>
        <v/>
      </c>
      <c r="S927" s="80">
        <f>IF($I927&gt;0,MAX(0,$G927*SIN(RADIANS('13_시나리오비교'!$B$8))*SIN(RADIANS('13_시나리오비교'!$C$8))+$H927*SIN(RADIANS('13_시나리오비교'!$B$8))*COS(RADIANS('13_시나리오비교'!$C$8))+$I927*COS(RADIANS('13_시나리오비교'!$B$8))),0)</f>
        <v/>
      </c>
      <c r="T927" s="80">
        <f>IF($I927&gt;0,MAX(0,$G927*SIN(RADIANS('13_시나리오비교'!$B$9))*SIN(RADIANS('13_시나리오비교'!$C$9))+$H927*SIN(RADIANS('13_시나리오비교'!$B$9))*COS(RADIANS('13_시나리오비교'!$C$9))+$I927*COS(RADIANS('13_시나리오비교'!$B$9))),0)</f>
        <v/>
      </c>
      <c r="U927" s="80">
        <f>IF($I927&gt;0,MAX(0,$G927*SIN(RADIANS('13_시나리오비교'!$B$10))*SIN(RADIANS('13_시나리오비교'!$C$10))+$H927*SIN(RADIANS('13_시나리오비교'!$B$10))*COS(RADIANS('13_시나리오비교'!$C$10))+$I927*COS(RADIANS('13_시나리오비교'!$B$10))),0)</f>
        <v/>
      </c>
      <c r="V927" s="80">
        <f>IF($I927&gt;0,MAX(0,$G927*SIN(RADIANS('13_시나리오비교'!$B$11))*SIN(RADIANS('13_시나리오비교'!$C$11))+$H927*SIN(RADIANS('13_시나리오비교'!$B$11))*COS(RADIANS('13_시나리오비교'!$C$11))+$I927*COS(RADIANS('13_시나리오비교'!$B$11))),0)</f>
        <v/>
      </c>
      <c r="W927" s="80">
        <f>IF($I927&gt;0,MAX(0,$G927*SIN(RADIANS('13_시나리오비교'!$B$12))*SIN(RADIANS('13_시나리오비교'!$C$12))+$H927*SIN(RADIANS('13_시나리오비교'!$B$12))*COS(RADIANS('13_시나리오비교'!$C$12))+$I927*COS(RADIANS('13_시나리오비교'!$B$12))),0)</f>
        <v/>
      </c>
      <c r="X927" s="80">
        <f>IF($I927&gt;0,MAX(0,$G927*SIN(RADIANS('13_시나리오비교'!$B$13))*SIN(RADIANS('13_시나리오비교'!$C$13))+$H927*SIN(RADIANS('13_시나리오비교'!$B$13))*COS(RADIANS('13_시나리오비교'!$C$13))+$I927*COS(RADIANS('13_시나리오비교'!$B$13))),0)</f>
        <v/>
      </c>
      <c r="Y927" s="80">
        <f>IF($I927&gt;0,MAX(0,$G927*SIN(RADIANS('13_시나리오비교'!$B$14))*SIN(RADIANS('13_시나리오비교'!$C$14))+$H927*SIN(RADIANS('13_시나리오비교'!$B$14))*COS(RADIANS('13_시나리오비교'!$C$14))+$I927*COS(RADIANS('13_시나리오비교'!$B$14))),0)</f>
        <v/>
      </c>
    </row>
    <row r="928" hidden="1" outlineLevel="1">
      <c r="A928" s="79" t="n">
        <v>10</v>
      </c>
      <c r="B928" s="79" t="n">
        <v>44</v>
      </c>
      <c r="C928" s="80">
        <f>(B928-0.5)*'14_지역·상수'!$H$6</f>
        <v/>
      </c>
      <c r="D928" s="79" t="n">
        <v>288</v>
      </c>
      <c r="E928" s="80">
        <f>INDEX($C$4:$C$15,MATCH(A928,$A$4:$A$15,0))</f>
        <v/>
      </c>
      <c r="F928" s="80">
        <f>15*(C928-12)</f>
        <v/>
      </c>
      <c r="G928" s="80">
        <f>-COS(RADIANS(E928))*SIN(RADIANS(F928))</f>
        <v/>
      </c>
      <c r="H928" s="80">
        <f>COS(RADIANS('11_발전량_모델'!$B$17))*SIN(RADIANS(E928))-SIN(RADIANS('11_발전량_모델'!$B$17))*COS(RADIANS(E928))*COS(RADIANS(F928))</f>
        <v/>
      </c>
      <c r="I928" s="80">
        <f>SIN(RADIANS('11_발전량_모델'!$B$17))*SIN(RADIANS(E928))+COS(RADIANS('11_발전량_모델'!$B$17))*COS(RADIANS(E928))*COS(RADIANS(F928))</f>
        <v/>
      </c>
      <c r="J928" s="80">
        <f>SIN(RADIANS('11_발전량_모델'!$B$7))*SIN(RADIANS('11_발전량_모델'!$B$8))</f>
        <v/>
      </c>
      <c r="K928" s="80">
        <f>SIN(RADIANS('11_발전량_모델'!$B$7))*COS(RADIANS('11_발전량_모델'!$B$8))</f>
        <v/>
      </c>
      <c r="L928" s="80">
        <f>COS(RADIANS('11_발전량_모델'!$B$7))</f>
        <v/>
      </c>
      <c r="M928" s="80">
        <f>G928*J928+H928*K928+I928*L928</f>
        <v/>
      </c>
      <c r="N928" s="80">
        <f>MAX(0,I928)</f>
        <v/>
      </c>
      <c r="O928" s="80">
        <f>IF(I928&gt;0,MAX(0,M928),0)</f>
        <v/>
      </c>
      <c r="P928" s="80">
        <f>IF($I928&gt;0,MAX(0,$G928*SIN(RADIANS('13_시나리오비교'!$B$5))*SIN(RADIANS('13_시나리오비교'!$C$5))+$H928*SIN(RADIANS('13_시나리오비교'!$B$5))*COS(RADIANS('13_시나리오비교'!$C$5))+$I928*COS(RADIANS('13_시나리오비교'!$B$5))),0)</f>
        <v/>
      </c>
      <c r="Q928" s="80">
        <f>IF($I928&gt;0,MAX(0,$G928*SIN(RADIANS('13_시나리오비교'!$B$6))*SIN(RADIANS('13_시나리오비교'!$C$6))+$H928*SIN(RADIANS('13_시나리오비교'!$B$6))*COS(RADIANS('13_시나리오비교'!$C$6))+$I928*COS(RADIANS('13_시나리오비교'!$B$6))),0)</f>
        <v/>
      </c>
      <c r="R928" s="80">
        <f>IF($I928&gt;0,MAX(0,$G928*SIN(RADIANS('13_시나리오비교'!$B$7))*SIN(RADIANS('13_시나리오비교'!$C$7))+$H928*SIN(RADIANS('13_시나리오비교'!$B$7))*COS(RADIANS('13_시나리오비교'!$C$7))+$I928*COS(RADIANS('13_시나리오비교'!$B$7))),0)</f>
        <v/>
      </c>
      <c r="S928" s="80">
        <f>IF($I928&gt;0,MAX(0,$G928*SIN(RADIANS('13_시나리오비교'!$B$8))*SIN(RADIANS('13_시나리오비교'!$C$8))+$H928*SIN(RADIANS('13_시나리오비교'!$B$8))*COS(RADIANS('13_시나리오비교'!$C$8))+$I928*COS(RADIANS('13_시나리오비교'!$B$8))),0)</f>
        <v/>
      </c>
      <c r="T928" s="80">
        <f>IF($I928&gt;0,MAX(0,$G928*SIN(RADIANS('13_시나리오비교'!$B$9))*SIN(RADIANS('13_시나리오비교'!$C$9))+$H928*SIN(RADIANS('13_시나리오비교'!$B$9))*COS(RADIANS('13_시나리오비교'!$C$9))+$I928*COS(RADIANS('13_시나리오비교'!$B$9))),0)</f>
        <v/>
      </c>
      <c r="U928" s="80">
        <f>IF($I928&gt;0,MAX(0,$G928*SIN(RADIANS('13_시나리오비교'!$B$10))*SIN(RADIANS('13_시나리오비교'!$C$10))+$H928*SIN(RADIANS('13_시나리오비교'!$B$10))*COS(RADIANS('13_시나리오비교'!$C$10))+$I928*COS(RADIANS('13_시나리오비교'!$B$10))),0)</f>
        <v/>
      </c>
      <c r="V928" s="80">
        <f>IF($I928&gt;0,MAX(0,$G928*SIN(RADIANS('13_시나리오비교'!$B$11))*SIN(RADIANS('13_시나리오비교'!$C$11))+$H928*SIN(RADIANS('13_시나리오비교'!$B$11))*COS(RADIANS('13_시나리오비교'!$C$11))+$I928*COS(RADIANS('13_시나리오비교'!$B$11))),0)</f>
        <v/>
      </c>
      <c r="W928" s="80">
        <f>IF($I928&gt;0,MAX(0,$G928*SIN(RADIANS('13_시나리오비교'!$B$12))*SIN(RADIANS('13_시나리오비교'!$C$12))+$H928*SIN(RADIANS('13_시나리오비교'!$B$12))*COS(RADIANS('13_시나리오비교'!$C$12))+$I928*COS(RADIANS('13_시나리오비교'!$B$12))),0)</f>
        <v/>
      </c>
      <c r="X928" s="80">
        <f>IF($I928&gt;0,MAX(0,$G928*SIN(RADIANS('13_시나리오비교'!$B$13))*SIN(RADIANS('13_시나리오비교'!$C$13))+$H928*SIN(RADIANS('13_시나리오비교'!$B$13))*COS(RADIANS('13_시나리오비교'!$C$13))+$I928*COS(RADIANS('13_시나리오비교'!$B$13))),0)</f>
        <v/>
      </c>
      <c r="Y928" s="80">
        <f>IF($I928&gt;0,MAX(0,$G928*SIN(RADIANS('13_시나리오비교'!$B$14))*SIN(RADIANS('13_시나리오비교'!$C$14))+$H928*SIN(RADIANS('13_시나리오비교'!$B$14))*COS(RADIANS('13_시나리오비교'!$C$14))+$I928*COS(RADIANS('13_시나리오비교'!$B$14))),0)</f>
        <v/>
      </c>
    </row>
    <row r="929" hidden="1" outlineLevel="1">
      <c r="A929" s="79" t="n">
        <v>10</v>
      </c>
      <c r="B929" s="79" t="n">
        <v>45</v>
      </c>
      <c r="C929" s="80">
        <f>(B929-0.5)*'14_지역·상수'!$H$6</f>
        <v/>
      </c>
      <c r="D929" s="79" t="n">
        <v>288</v>
      </c>
      <c r="E929" s="80">
        <f>INDEX($C$4:$C$15,MATCH(A929,$A$4:$A$15,0))</f>
        <v/>
      </c>
      <c r="F929" s="80">
        <f>15*(C929-12)</f>
        <v/>
      </c>
      <c r="G929" s="80">
        <f>-COS(RADIANS(E929))*SIN(RADIANS(F929))</f>
        <v/>
      </c>
      <c r="H929" s="80">
        <f>COS(RADIANS('11_발전량_모델'!$B$17))*SIN(RADIANS(E929))-SIN(RADIANS('11_발전량_모델'!$B$17))*COS(RADIANS(E929))*COS(RADIANS(F929))</f>
        <v/>
      </c>
      <c r="I929" s="80">
        <f>SIN(RADIANS('11_발전량_모델'!$B$17))*SIN(RADIANS(E929))+COS(RADIANS('11_발전량_모델'!$B$17))*COS(RADIANS(E929))*COS(RADIANS(F929))</f>
        <v/>
      </c>
      <c r="J929" s="80">
        <f>SIN(RADIANS('11_발전량_모델'!$B$7))*SIN(RADIANS('11_발전량_모델'!$B$8))</f>
        <v/>
      </c>
      <c r="K929" s="80">
        <f>SIN(RADIANS('11_발전량_모델'!$B$7))*COS(RADIANS('11_발전량_모델'!$B$8))</f>
        <v/>
      </c>
      <c r="L929" s="80">
        <f>COS(RADIANS('11_발전량_모델'!$B$7))</f>
        <v/>
      </c>
      <c r="M929" s="80">
        <f>G929*J929+H929*K929+I929*L929</f>
        <v/>
      </c>
      <c r="N929" s="80">
        <f>MAX(0,I929)</f>
        <v/>
      </c>
      <c r="O929" s="80">
        <f>IF(I929&gt;0,MAX(0,M929),0)</f>
        <v/>
      </c>
      <c r="P929" s="80">
        <f>IF($I929&gt;0,MAX(0,$G929*SIN(RADIANS('13_시나리오비교'!$B$5))*SIN(RADIANS('13_시나리오비교'!$C$5))+$H929*SIN(RADIANS('13_시나리오비교'!$B$5))*COS(RADIANS('13_시나리오비교'!$C$5))+$I929*COS(RADIANS('13_시나리오비교'!$B$5))),0)</f>
        <v/>
      </c>
      <c r="Q929" s="80">
        <f>IF($I929&gt;0,MAX(0,$G929*SIN(RADIANS('13_시나리오비교'!$B$6))*SIN(RADIANS('13_시나리오비교'!$C$6))+$H929*SIN(RADIANS('13_시나리오비교'!$B$6))*COS(RADIANS('13_시나리오비교'!$C$6))+$I929*COS(RADIANS('13_시나리오비교'!$B$6))),0)</f>
        <v/>
      </c>
      <c r="R929" s="80">
        <f>IF($I929&gt;0,MAX(0,$G929*SIN(RADIANS('13_시나리오비교'!$B$7))*SIN(RADIANS('13_시나리오비교'!$C$7))+$H929*SIN(RADIANS('13_시나리오비교'!$B$7))*COS(RADIANS('13_시나리오비교'!$C$7))+$I929*COS(RADIANS('13_시나리오비교'!$B$7))),0)</f>
        <v/>
      </c>
      <c r="S929" s="80">
        <f>IF($I929&gt;0,MAX(0,$G929*SIN(RADIANS('13_시나리오비교'!$B$8))*SIN(RADIANS('13_시나리오비교'!$C$8))+$H929*SIN(RADIANS('13_시나리오비교'!$B$8))*COS(RADIANS('13_시나리오비교'!$C$8))+$I929*COS(RADIANS('13_시나리오비교'!$B$8))),0)</f>
        <v/>
      </c>
      <c r="T929" s="80">
        <f>IF($I929&gt;0,MAX(0,$G929*SIN(RADIANS('13_시나리오비교'!$B$9))*SIN(RADIANS('13_시나리오비교'!$C$9))+$H929*SIN(RADIANS('13_시나리오비교'!$B$9))*COS(RADIANS('13_시나리오비교'!$C$9))+$I929*COS(RADIANS('13_시나리오비교'!$B$9))),0)</f>
        <v/>
      </c>
      <c r="U929" s="80">
        <f>IF($I929&gt;0,MAX(0,$G929*SIN(RADIANS('13_시나리오비교'!$B$10))*SIN(RADIANS('13_시나리오비교'!$C$10))+$H929*SIN(RADIANS('13_시나리오비교'!$B$10))*COS(RADIANS('13_시나리오비교'!$C$10))+$I929*COS(RADIANS('13_시나리오비교'!$B$10))),0)</f>
        <v/>
      </c>
      <c r="V929" s="80">
        <f>IF($I929&gt;0,MAX(0,$G929*SIN(RADIANS('13_시나리오비교'!$B$11))*SIN(RADIANS('13_시나리오비교'!$C$11))+$H929*SIN(RADIANS('13_시나리오비교'!$B$11))*COS(RADIANS('13_시나리오비교'!$C$11))+$I929*COS(RADIANS('13_시나리오비교'!$B$11))),0)</f>
        <v/>
      </c>
      <c r="W929" s="80">
        <f>IF($I929&gt;0,MAX(0,$G929*SIN(RADIANS('13_시나리오비교'!$B$12))*SIN(RADIANS('13_시나리오비교'!$C$12))+$H929*SIN(RADIANS('13_시나리오비교'!$B$12))*COS(RADIANS('13_시나리오비교'!$C$12))+$I929*COS(RADIANS('13_시나리오비교'!$B$12))),0)</f>
        <v/>
      </c>
      <c r="X929" s="80">
        <f>IF($I929&gt;0,MAX(0,$G929*SIN(RADIANS('13_시나리오비교'!$B$13))*SIN(RADIANS('13_시나리오비교'!$C$13))+$H929*SIN(RADIANS('13_시나리오비교'!$B$13))*COS(RADIANS('13_시나리오비교'!$C$13))+$I929*COS(RADIANS('13_시나리오비교'!$B$13))),0)</f>
        <v/>
      </c>
      <c r="Y929" s="80">
        <f>IF($I929&gt;0,MAX(0,$G929*SIN(RADIANS('13_시나리오비교'!$B$14))*SIN(RADIANS('13_시나리오비교'!$C$14))+$H929*SIN(RADIANS('13_시나리오비교'!$B$14))*COS(RADIANS('13_시나리오비교'!$C$14))+$I929*COS(RADIANS('13_시나리오비교'!$B$14))),0)</f>
        <v/>
      </c>
    </row>
    <row r="930" hidden="1" outlineLevel="1">
      <c r="A930" s="79" t="n">
        <v>10</v>
      </c>
      <c r="B930" s="79" t="n">
        <v>46</v>
      </c>
      <c r="C930" s="80">
        <f>(B930-0.5)*'14_지역·상수'!$H$6</f>
        <v/>
      </c>
      <c r="D930" s="79" t="n">
        <v>288</v>
      </c>
      <c r="E930" s="80">
        <f>INDEX($C$4:$C$15,MATCH(A930,$A$4:$A$15,0))</f>
        <v/>
      </c>
      <c r="F930" s="80">
        <f>15*(C930-12)</f>
        <v/>
      </c>
      <c r="G930" s="80">
        <f>-COS(RADIANS(E930))*SIN(RADIANS(F930))</f>
        <v/>
      </c>
      <c r="H930" s="80">
        <f>COS(RADIANS('11_발전량_모델'!$B$17))*SIN(RADIANS(E930))-SIN(RADIANS('11_발전량_모델'!$B$17))*COS(RADIANS(E930))*COS(RADIANS(F930))</f>
        <v/>
      </c>
      <c r="I930" s="80">
        <f>SIN(RADIANS('11_발전량_모델'!$B$17))*SIN(RADIANS(E930))+COS(RADIANS('11_발전량_모델'!$B$17))*COS(RADIANS(E930))*COS(RADIANS(F930))</f>
        <v/>
      </c>
      <c r="J930" s="80">
        <f>SIN(RADIANS('11_발전량_모델'!$B$7))*SIN(RADIANS('11_발전량_모델'!$B$8))</f>
        <v/>
      </c>
      <c r="K930" s="80">
        <f>SIN(RADIANS('11_발전량_모델'!$B$7))*COS(RADIANS('11_발전량_모델'!$B$8))</f>
        <v/>
      </c>
      <c r="L930" s="80">
        <f>COS(RADIANS('11_발전량_모델'!$B$7))</f>
        <v/>
      </c>
      <c r="M930" s="80">
        <f>G930*J930+H930*K930+I930*L930</f>
        <v/>
      </c>
      <c r="N930" s="80">
        <f>MAX(0,I930)</f>
        <v/>
      </c>
      <c r="O930" s="80">
        <f>IF(I930&gt;0,MAX(0,M930),0)</f>
        <v/>
      </c>
      <c r="P930" s="80">
        <f>IF($I930&gt;0,MAX(0,$G930*SIN(RADIANS('13_시나리오비교'!$B$5))*SIN(RADIANS('13_시나리오비교'!$C$5))+$H930*SIN(RADIANS('13_시나리오비교'!$B$5))*COS(RADIANS('13_시나리오비교'!$C$5))+$I930*COS(RADIANS('13_시나리오비교'!$B$5))),0)</f>
        <v/>
      </c>
      <c r="Q930" s="80">
        <f>IF($I930&gt;0,MAX(0,$G930*SIN(RADIANS('13_시나리오비교'!$B$6))*SIN(RADIANS('13_시나리오비교'!$C$6))+$H930*SIN(RADIANS('13_시나리오비교'!$B$6))*COS(RADIANS('13_시나리오비교'!$C$6))+$I930*COS(RADIANS('13_시나리오비교'!$B$6))),0)</f>
        <v/>
      </c>
      <c r="R930" s="80">
        <f>IF($I930&gt;0,MAX(0,$G930*SIN(RADIANS('13_시나리오비교'!$B$7))*SIN(RADIANS('13_시나리오비교'!$C$7))+$H930*SIN(RADIANS('13_시나리오비교'!$B$7))*COS(RADIANS('13_시나리오비교'!$C$7))+$I930*COS(RADIANS('13_시나리오비교'!$B$7))),0)</f>
        <v/>
      </c>
      <c r="S930" s="80">
        <f>IF($I930&gt;0,MAX(0,$G930*SIN(RADIANS('13_시나리오비교'!$B$8))*SIN(RADIANS('13_시나리오비교'!$C$8))+$H930*SIN(RADIANS('13_시나리오비교'!$B$8))*COS(RADIANS('13_시나리오비교'!$C$8))+$I930*COS(RADIANS('13_시나리오비교'!$B$8))),0)</f>
        <v/>
      </c>
      <c r="T930" s="80">
        <f>IF($I930&gt;0,MAX(0,$G930*SIN(RADIANS('13_시나리오비교'!$B$9))*SIN(RADIANS('13_시나리오비교'!$C$9))+$H930*SIN(RADIANS('13_시나리오비교'!$B$9))*COS(RADIANS('13_시나리오비교'!$C$9))+$I930*COS(RADIANS('13_시나리오비교'!$B$9))),0)</f>
        <v/>
      </c>
      <c r="U930" s="80">
        <f>IF($I930&gt;0,MAX(0,$G930*SIN(RADIANS('13_시나리오비교'!$B$10))*SIN(RADIANS('13_시나리오비교'!$C$10))+$H930*SIN(RADIANS('13_시나리오비교'!$B$10))*COS(RADIANS('13_시나리오비교'!$C$10))+$I930*COS(RADIANS('13_시나리오비교'!$B$10))),0)</f>
        <v/>
      </c>
      <c r="V930" s="80">
        <f>IF($I930&gt;0,MAX(0,$G930*SIN(RADIANS('13_시나리오비교'!$B$11))*SIN(RADIANS('13_시나리오비교'!$C$11))+$H930*SIN(RADIANS('13_시나리오비교'!$B$11))*COS(RADIANS('13_시나리오비교'!$C$11))+$I930*COS(RADIANS('13_시나리오비교'!$B$11))),0)</f>
        <v/>
      </c>
      <c r="W930" s="80">
        <f>IF($I930&gt;0,MAX(0,$G930*SIN(RADIANS('13_시나리오비교'!$B$12))*SIN(RADIANS('13_시나리오비교'!$C$12))+$H930*SIN(RADIANS('13_시나리오비교'!$B$12))*COS(RADIANS('13_시나리오비교'!$C$12))+$I930*COS(RADIANS('13_시나리오비교'!$B$12))),0)</f>
        <v/>
      </c>
      <c r="X930" s="80">
        <f>IF($I930&gt;0,MAX(0,$G930*SIN(RADIANS('13_시나리오비교'!$B$13))*SIN(RADIANS('13_시나리오비교'!$C$13))+$H930*SIN(RADIANS('13_시나리오비교'!$B$13))*COS(RADIANS('13_시나리오비교'!$C$13))+$I930*COS(RADIANS('13_시나리오비교'!$B$13))),0)</f>
        <v/>
      </c>
      <c r="Y930" s="80">
        <f>IF($I930&gt;0,MAX(0,$G930*SIN(RADIANS('13_시나리오비교'!$B$14))*SIN(RADIANS('13_시나리오비교'!$C$14))+$H930*SIN(RADIANS('13_시나리오비교'!$B$14))*COS(RADIANS('13_시나리오비교'!$C$14))+$I930*COS(RADIANS('13_시나리오비교'!$B$14))),0)</f>
        <v/>
      </c>
    </row>
    <row r="931" hidden="1" outlineLevel="1">
      <c r="A931" s="79" t="n">
        <v>10</v>
      </c>
      <c r="B931" s="79" t="n">
        <v>47</v>
      </c>
      <c r="C931" s="80">
        <f>(B931-0.5)*'14_지역·상수'!$H$6</f>
        <v/>
      </c>
      <c r="D931" s="79" t="n">
        <v>288</v>
      </c>
      <c r="E931" s="80">
        <f>INDEX($C$4:$C$15,MATCH(A931,$A$4:$A$15,0))</f>
        <v/>
      </c>
      <c r="F931" s="80">
        <f>15*(C931-12)</f>
        <v/>
      </c>
      <c r="G931" s="80">
        <f>-COS(RADIANS(E931))*SIN(RADIANS(F931))</f>
        <v/>
      </c>
      <c r="H931" s="80">
        <f>COS(RADIANS('11_발전량_모델'!$B$17))*SIN(RADIANS(E931))-SIN(RADIANS('11_발전량_모델'!$B$17))*COS(RADIANS(E931))*COS(RADIANS(F931))</f>
        <v/>
      </c>
      <c r="I931" s="80">
        <f>SIN(RADIANS('11_발전량_모델'!$B$17))*SIN(RADIANS(E931))+COS(RADIANS('11_발전량_모델'!$B$17))*COS(RADIANS(E931))*COS(RADIANS(F931))</f>
        <v/>
      </c>
      <c r="J931" s="80">
        <f>SIN(RADIANS('11_발전량_모델'!$B$7))*SIN(RADIANS('11_발전량_모델'!$B$8))</f>
        <v/>
      </c>
      <c r="K931" s="80">
        <f>SIN(RADIANS('11_발전량_모델'!$B$7))*COS(RADIANS('11_발전량_모델'!$B$8))</f>
        <v/>
      </c>
      <c r="L931" s="80">
        <f>COS(RADIANS('11_발전량_모델'!$B$7))</f>
        <v/>
      </c>
      <c r="M931" s="80">
        <f>G931*J931+H931*K931+I931*L931</f>
        <v/>
      </c>
      <c r="N931" s="80">
        <f>MAX(0,I931)</f>
        <v/>
      </c>
      <c r="O931" s="80">
        <f>IF(I931&gt;0,MAX(0,M931),0)</f>
        <v/>
      </c>
      <c r="P931" s="80">
        <f>IF($I931&gt;0,MAX(0,$G931*SIN(RADIANS('13_시나리오비교'!$B$5))*SIN(RADIANS('13_시나리오비교'!$C$5))+$H931*SIN(RADIANS('13_시나리오비교'!$B$5))*COS(RADIANS('13_시나리오비교'!$C$5))+$I931*COS(RADIANS('13_시나리오비교'!$B$5))),0)</f>
        <v/>
      </c>
      <c r="Q931" s="80">
        <f>IF($I931&gt;0,MAX(0,$G931*SIN(RADIANS('13_시나리오비교'!$B$6))*SIN(RADIANS('13_시나리오비교'!$C$6))+$H931*SIN(RADIANS('13_시나리오비교'!$B$6))*COS(RADIANS('13_시나리오비교'!$C$6))+$I931*COS(RADIANS('13_시나리오비교'!$B$6))),0)</f>
        <v/>
      </c>
      <c r="R931" s="80">
        <f>IF($I931&gt;0,MAX(0,$G931*SIN(RADIANS('13_시나리오비교'!$B$7))*SIN(RADIANS('13_시나리오비교'!$C$7))+$H931*SIN(RADIANS('13_시나리오비교'!$B$7))*COS(RADIANS('13_시나리오비교'!$C$7))+$I931*COS(RADIANS('13_시나리오비교'!$B$7))),0)</f>
        <v/>
      </c>
      <c r="S931" s="80">
        <f>IF($I931&gt;0,MAX(0,$G931*SIN(RADIANS('13_시나리오비교'!$B$8))*SIN(RADIANS('13_시나리오비교'!$C$8))+$H931*SIN(RADIANS('13_시나리오비교'!$B$8))*COS(RADIANS('13_시나리오비교'!$C$8))+$I931*COS(RADIANS('13_시나리오비교'!$B$8))),0)</f>
        <v/>
      </c>
      <c r="T931" s="80">
        <f>IF($I931&gt;0,MAX(0,$G931*SIN(RADIANS('13_시나리오비교'!$B$9))*SIN(RADIANS('13_시나리오비교'!$C$9))+$H931*SIN(RADIANS('13_시나리오비교'!$B$9))*COS(RADIANS('13_시나리오비교'!$C$9))+$I931*COS(RADIANS('13_시나리오비교'!$B$9))),0)</f>
        <v/>
      </c>
      <c r="U931" s="80">
        <f>IF($I931&gt;0,MAX(0,$G931*SIN(RADIANS('13_시나리오비교'!$B$10))*SIN(RADIANS('13_시나리오비교'!$C$10))+$H931*SIN(RADIANS('13_시나리오비교'!$B$10))*COS(RADIANS('13_시나리오비교'!$C$10))+$I931*COS(RADIANS('13_시나리오비교'!$B$10))),0)</f>
        <v/>
      </c>
      <c r="V931" s="80">
        <f>IF($I931&gt;0,MAX(0,$G931*SIN(RADIANS('13_시나리오비교'!$B$11))*SIN(RADIANS('13_시나리오비교'!$C$11))+$H931*SIN(RADIANS('13_시나리오비교'!$B$11))*COS(RADIANS('13_시나리오비교'!$C$11))+$I931*COS(RADIANS('13_시나리오비교'!$B$11))),0)</f>
        <v/>
      </c>
      <c r="W931" s="80">
        <f>IF($I931&gt;0,MAX(0,$G931*SIN(RADIANS('13_시나리오비교'!$B$12))*SIN(RADIANS('13_시나리오비교'!$C$12))+$H931*SIN(RADIANS('13_시나리오비교'!$B$12))*COS(RADIANS('13_시나리오비교'!$C$12))+$I931*COS(RADIANS('13_시나리오비교'!$B$12))),0)</f>
        <v/>
      </c>
      <c r="X931" s="80">
        <f>IF($I931&gt;0,MAX(0,$G931*SIN(RADIANS('13_시나리오비교'!$B$13))*SIN(RADIANS('13_시나리오비교'!$C$13))+$H931*SIN(RADIANS('13_시나리오비교'!$B$13))*COS(RADIANS('13_시나리오비교'!$C$13))+$I931*COS(RADIANS('13_시나리오비교'!$B$13))),0)</f>
        <v/>
      </c>
      <c r="Y931" s="80">
        <f>IF($I931&gt;0,MAX(0,$G931*SIN(RADIANS('13_시나리오비교'!$B$14))*SIN(RADIANS('13_시나리오비교'!$C$14))+$H931*SIN(RADIANS('13_시나리오비교'!$B$14))*COS(RADIANS('13_시나리오비교'!$C$14))+$I931*COS(RADIANS('13_시나리오비교'!$B$14))),0)</f>
        <v/>
      </c>
    </row>
    <row r="932" hidden="1" outlineLevel="1">
      <c r="A932" s="79" t="n">
        <v>10</v>
      </c>
      <c r="B932" s="79" t="n">
        <v>48</v>
      </c>
      <c r="C932" s="80">
        <f>(B932-0.5)*'14_지역·상수'!$H$6</f>
        <v/>
      </c>
      <c r="D932" s="79" t="n">
        <v>288</v>
      </c>
      <c r="E932" s="80">
        <f>INDEX($C$4:$C$15,MATCH(A932,$A$4:$A$15,0))</f>
        <v/>
      </c>
      <c r="F932" s="80">
        <f>15*(C932-12)</f>
        <v/>
      </c>
      <c r="G932" s="80">
        <f>-COS(RADIANS(E932))*SIN(RADIANS(F932))</f>
        <v/>
      </c>
      <c r="H932" s="80">
        <f>COS(RADIANS('11_발전량_모델'!$B$17))*SIN(RADIANS(E932))-SIN(RADIANS('11_발전량_모델'!$B$17))*COS(RADIANS(E932))*COS(RADIANS(F932))</f>
        <v/>
      </c>
      <c r="I932" s="80">
        <f>SIN(RADIANS('11_발전량_모델'!$B$17))*SIN(RADIANS(E932))+COS(RADIANS('11_발전량_모델'!$B$17))*COS(RADIANS(E932))*COS(RADIANS(F932))</f>
        <v/>
      </c>
      <c r="J932" s="80">
        <f>SIN(RADIANS('11_발전량_모델'!$B$7))*SIN(RADIANS('11_발전량_모델'!$B$8))</f>
        <v/>
      </c>
      <c r="K932" s="80">
        <f>SIN(RADIANS('11_발전량_모델'!$B$7))*COS(RADIANS('11_발전량_모델'!$B$8))</f>
        <v/>
      </c>
      <c r="L932" s="80">
        <f>COS(RADIANS('11_발전량_모델'!$B$7))</f>
        <v/>
      </c>
      <c r="M932" s="80">
        <f>G932*J932+H932*K932+I932*L932</f>
        <v/>
      </c>
      <c r="N932" s="80">
        <f>MAX(0,I932)</f>
        <v/>
      </c>
      <c r="O932" s="80">
        <f>IF(I932&gt;0,MAX(0,M932),0)</f>
        <v/>
      </c>
      <c r="P932" s="80">
        <f>IF($I932&gt;0,MAX(0,$G932*SIN(RADIANS('13_시나리오비교'!$B$5))*SIN(RADIANS('13_시나리오비교'!$C$5))+$H932*SIN(RADIANS('13_시나리오비교'!$B$5))*COS(RADIANS('13_시나리오비교'!$C$5))+$I932*COS(RADIANS('13_시나리오비교'!$B$5))),0)</f>
        <v/>
      </c>
      <c r="Q932" s="80">
        <f>IF($I932&gt;0,MAX(0,$G932*SIN(RADIANS('13_시나리오비교'!$B$6))*SIN(RADIANS('13_시나리오비교'!$C$6))+$H932*SIN(RADIANS('13_시나리오비교'!$B$6))*COS(RADIANS('13_시나리오비교'!$C$6))+$I932*COS(RADIANS('13_시나리오비교'!$B$6))),0)</f>
        <v/>
      </c>
      <c r="R932" s="80">
        <f>IF($I932&gt;0,MAX(0,$G932*SIN(RADIANS('13_시나리오비교'!$B$7))*SIN(RADIANS('13_시나리오비교'!$C$7))+$H932*SIN(RADIANS('13_시나리오비교'!$B$7))*COS(RADIANS('13_시나리오비교'!$C$7))+$I932*COS(RADIANS('13_시나리오비교'!$B$7))),0)</f>
        <v/>
      </c>
      <c r="S932" s="80">
        <f>IF($I932&gt;0,MAX(0,$G932*SIN(RADIANS('13_시나리오비교'!$B$8))*SIN(RADIANS('13_시나리오비교'!$C$8))+$H932*SIN(RADIANS('13_시나리오비교'!$B$8))*COS(RADIANS('13_시나리오비교'!$C$8))+$I932*COS(RADIANS('13_시나리오비교'!$B$8))),0)</f>
        <v/>
      </c>
      <c r="T932" s="80">
        <f>IF($I932&gt;0,MAX(0,$G932*SIN(RADIANS('13_시나리오비교'!$B$9))*SIN(RADIANS('13_시나리오비교'!$C$9))+$H932*SIN(RADIANS('13_시나리오비교'!$B$9))*COS(RADIANS('13_시나리오비교'!$C$9))+$I932*COS(RADIANS('13_시나리오비교'!$B$9))),0)</f>
        <v/>
      </c>
      <c r="U932" s="80">
        <f>IF($I932&gt;0,MAX(0,$G932*SIN(RADIANS('13_시나리오비교'!$B$10))*SIN(RADIANS('13_시나리오비교'!$C$10))+$H932*SIN(RADIANS('13_시나리오비교'!$B$10))*COS(RADIANS('13_시나리오비교'!$C$10))+$I932*COS(RADIANS('13_시나리오비교'!$B$10))),0)</f>
        <v/>
      </c>
      <c r="V932" s="80">
        <f>IF($I932&gt;0,MAX(0,$G932*SIN(RADIANS('13_시나리오비교'!$B$11))*SIN(RADIANS('13_시나리오비교'!$C$11))+$H932*SIN(RADIANS('13_시나리오비교'!$B$11))*COS(RADIANS('13_시나리오비교'!$C$11))+$I932*COS(RADIANS('13_시나리오비교'!$B$11))),0)</f>
        <v/>
      </c>
      <c r="W932" s="80">
        <f>IF($I932&gt;0,MAX(0,$G932*SIN(RADIANS('13_시나리오비교'!$B$12))*SIN(RADIANS('13_시나리오비교'!$C$12))+$H932*SIN(RADIANS('13_시나리오비교'!$B$12))*COS(RADIANS('13_시나리오비교'!$C$12))+$I932*COS(RADIANS('13_시나리오비교'!$B$12))),0)</f>
        <v/>
      </c>
      <c r="X932" s="80">
        <f>IF($I932&gt;0,MAX(0,$G932*SIN(RADIANS('13_시나리오비교'!$B$13))*SIN(RADIANS('13_시나리오비교'!$C$13))+$H932*SIN(RADIANS('13_시나리오비교'!$B$13))*COS(RADIANS('13_시나리오비교'!$C$13))+$I932*COS(RADIANS('13_시나리오비교'!$B$13))),0)</f>
        <v/>
      </c>
      <c r="Y932" s="80">
        <f>IF($I932&gt;0,MAX(0,$G932*SIN(RADIANS('13_시나리오비교'!$B$14))*SIN(RADIANS('13_시나리오비교'!$C$14))+$H932*SIN(RADIANS('13_시나리오비교'!$B$14))*COS(RADIANS('13_시나리오비교'!$C$14))+$I932*COS(RADIANS('13_시나리오비교'!$B$14))),0)</f>
        <v/>
      </c>
    </row>
    <row r="933" hidden="1" outlineLevel="1">
      <c r="A933" s="79" t="n">
        <v>10</v>
      </c>
      <c r="B933" s="79" t="n">
        <v>49</v>
      </c>
      <c r="C933" s="80">
        <f>(B933-0.5)*'14_지역·상수'!$H$6</f>
        <v/>
      </c>
      <c r="D933" s="79" t="n">
        <v>288</v>
      </c>
      <c r="E933" s="80">
        <f>INDEX($C$4:$C$15,MATCH(A933,$A$4:$A$15,0))</f>
        <v/>
      </c>
      <c r="F933" s="80">
        <f>15*(C933-12)</f>
        <v/>
      </c>
      <c r="G933" s="80">
        <f>-COS(RADIANS(E933))*SIN(RADIANS(F933))</f>
        <v/>
      </c>
      <c r="H933" s="80">
        <f>COS(RADIANS('11_발전량_모델'!$B$17))*SIN(RADIANS(E933))-SIN(RADIANS('11_발전량_모델'!$B$17))*COS(RADIANS(E933))*COS(RADIANS(F933))</f>
        <v/>
      </c>
      <c r="I933" s="80">
        <f>SIN(RADIANS('11_발전량_모델'!$B$17))*SIN(RADIANS(E933))+COS(RADIANS('11_발전량_모델'!$B$17))*COS(RADIANS(E933))*COS(RADIANS(F933))</f>
        <v/>
      </c>
      <c r="J933" s="80">
        <f>SIN(RADIANS('11_발전량_모델'!$B$7))*SIN(RADIANS('11_발전량_모델'!$B$8))</f>
        <v/>
      </c>
      <c r="K933" s="80">
        <f>SIN(RADIANS('11_발전량_모델'!$B$7))*COS(RADIANS('11_발전량_모델'!$B$8))</f>
        <v/>
      </c>
      <c r="L933" s="80">
        <f>COS(RADIANS('11_발전량_모델'!$B$7))</f>
        <v/>
      </c>
      <c r="M933" s="80">
        <f>G933*J933+H933*K933+I933*L933</f>
        <v/>
      </c>
      <c r="N933" s="80">
        <f>MAX(0,I933)</f>
        <v/>
      </c>
      <c r="O933" s="80">
        <f>IF(I933&gt;0,MAX(0,M933),0)</f>
        <v/>
      </c>
      <c r="P933" s="80">
        <f>IF($I933&gt;0,MAX(0,$G933*SIN(RADIANS('13_시나리오비교'!$B$5))*SIN(RADIANS('13_시나리오비교'!$C$5))+$H933*SIN(RADIANS('13_시나리오비교'!$B$5))*COS(RADIANS('13_시나리오비교'!$C$5))+$I933*COS(RADIANS('13_시나리오비교'!$B$5))),0)</f>
        <v/>
      </c>
      <c r="Q933" s="80">
        <f>IF($I933&gt;0,MAX(0,$G933*SIN(RADIANS('13_시나리오비교'!$B$6))*SIN(RADIANS('13_시나리오비교'!$C$6))+$H933*SIN(RADIANS('13_시나리오비교'!$B$6))*COS(RADIANS('13_시나리오비교'!$C$6))+$I933*COS(RADIANS('13_시나리오비교'!$B$6))),0)</f>
        <v/>
      </c>
      <c r="R933" s="80">
        <f>IF($I933&gt;0,MAX(0,$G933*SIN(RADIANS('13_시나리오비교'!$B$7))*SIN(RADIANS('13_시나리오비교'!$C$7))+$H933*SIN(RADIANS('13_시나리오비교'!$B$7))*COS(RADIANS('13_시나리오비교'!$C$7))+$I933*COS(RADIANS('13_시나리오비교'!$B$7))),0)</f>
        <v/>
      </c>
      <c r="S933" s="80">
        <f>IF($I933&gt;0,MAX(0,$G933*SIN(RADIANS('13_시나리오비교'!$B$8))*SIN(RADIANS('13_시나리오비교'!$C$8))+$H933*SIN(RADIANS('13_시나리오비교'!$B$8))*COS(RADIANS('13_시나리오비교'!$C$8))+$I933*COS(RADIANS('13_시나리오비교'!$B$8))),0)</f>
        <v/>
      </c>
      <c r="T933" s="80">
        <f>IF($I933&gt;0,MAX(0,$G933*SIN(RADIANS('13_시나리오비교'!$B$9))*SIN(RADIANS('13_시나리오비교'!$C$9))+$H933*SIN(RADIANS('13_시나리오비교'!$B$9))*COS(RADIANS('13_시나리오비교'!$C$9))+$I933*COS(RADIANS('13_시나리오비교'!$B$9))),0)</f>
        <v/>
      </c>
      <c r="U933" s="80">
        <f>IF($I933&gt;0,MAX(0,$G933*SIN(RADIANS('13_시나리오비교'!$B$10))*SIN(RADIANS('13_시나리오비교'!$C$10))+$H933*SIN(RADIANS('13_시나리오비교'!$B$10))*COS(RADIANS('13_시나리오비교'!$C$10))+$I933*COS(RADIANS('13_시나리오비교'!$B$10))),0)</f>
        <v/>
      </c>
      <c r="V933" s="80">
        <f>IF($I933&gt;0,MAX(0,$G933*SIN(RADIANS('13_시나리오비교'!$B$11))*SIN(RADIANS('13_시나리오비교'!$C$11))+$H933*SIN(RADIANS('13_시나리오비교'!$B$11))*COS(RADIANS('13_시나리오비교'!$C$11))+$I933*COS(RADIANS('13_시나리오비교'!$B$11))),0)</f>
        <v/>
      </c>
      <c r="W933" s="80">
        <f>IF($I933&gt;0,MAX(0,$G933*SIN(RADIANS('13_시나리오비교'!$B$12))*SIN(RADIANS('13_시나리오비교'!$C$12))+$H933*SIN(RADIANS('13_시나리오비교'!$B$12))*COS(RADIANS('13_시나리오비교'!$C$12))+$I933*COS(RADIANS('13_시나리오비교'!$B$12))),0)</f>
        <v/>
      </c>
      <c r="X933" s="80">
        <f>IF($I933&gt;0,MAX(0,$G933*SIN(RADIANS('13_시나리오비교'!$B$13))*SIN(RADIANS('13_시나리오비교'!$C$13))+$H933*SIN(RADIANS('13_시나리오비교'!$B$13))*COS(RADIANS('13_시나리오비교'!$C$13))+$I933*COS(RADIANS('13_시나리오비교'!$B$13))),0)</f>
        <v/>
      </c>
      <c r="Y933" s="80">
        <f>IF($I933&gt;0,MAX(0,$G933*SIN(RADIANS('13_시나리오비교'!$B$14))*SIN(RADIANS('13_시나리오비교'!$C$14))+$H933*SIN(RADIANS('13_시나리오비교'!$B$14))*COS(RADIANS('13_시나리오비교'!$C$14))+$I933*COS(RADIANS('13_시나리오비교'!$B$14))),0)</f>
        <v/>
      </c>
    </row>
    <row r="934" hidden="1" outlineLevel="1">
      <c r="A934" s="79" t="n">
        <v>10</v>
      </c>
      <c r="B934" s="79" t="n">
        <v>50</v>
      </c>
      <c r="C934" s="80">
        <f>(B934-0.5)*'14_지역·상수'!$H$6</f>
        <v/>
      </c>
      <c r="D934" s="79" t="n">
        <v>288</v>
      </c>
      <c r="E934" s="80">
        <f>INDEX($C$4:$C$15,MATCH(A934,$A$4:$A$15,0))</f>
        <v/>
      </c>
      <c r="F934" s="80">
        <f>15*(C934-12)</f>
        <v/>
      </c>
      <c r="G934" s="80">
        <f>-COS(RADIANS(E934))*SIN(RADIANS(F934))</f>
        <v/>
      </c>
      <c r="H934" s="80">
        <f>COS(RADIANS('11_발전량_모델'!$B$17))*SIN(RADIANS(E934))-SIN(RADIANS('11_발전량_모델'!$B$17))*COS(RADIANS(E934))*COS(RADIANS(F934))</f>
        <v/>
      </c>
      <c r="I934" s="80">
        <f>SIN(RADIANS('11_발전량_모델'!$B$17))*SIN(RADIANS(E934))+COS(RADIANS('11_발전량_모델'!$B$17))*COS(RADIANS(E934))*COS(RADIANS(F934))</f>
        <v/>
      </c>
      <c r="J934" s="80">
        <f>SIN(RADIANS('11_발전량_모델'!$B$7))*SIN(RADIANS('11_발전량_모델'!$B$8))</f>
        <v/>
      </c>
      <c r="K934" s="80">
        <f>SIN(RADIANS('11_발전량_모델'!$B$7))*COS(RADIANS('11_발전량_모델'!$B$8))</f>
        <v/>
      </c>
      <c r="L934" s="80">
        <f>COS(RADIANS('11_발전량_모델'!$B$7))</f>
        <v/>
      </c>
      <c r="M934" s="80">
        <f>G934*J934+H934*K934+I934*L934</f>
        <v/>
      </c>
      <c r="N934" s="80">
        <f>MAX(0,I934)</f>
        <v/>
      </c>
      <c r="O934" s="80">
        <f>IF(I934&gt;0,MAX(0,M934),0)</f>
        <v/>
      </c>
      <c r="P934" s="80">
        <f>IF($I934&gt;0,MAX(0,$G934*SIN(RADIANS('13_시나리오비교'!$B$5))*SIN(RADIANS('13_시나리오비교'!$C$5))+$H934*SIN(RADIANS('13_시나리오비교'!$B$5))*COS(RADIANS('13_시나리오비교'!$C$5))+$I934*COS(RADIANS('13_시나리오비교'!$B$5))),0)</f>
        <v/>
      </c>
      <c r="Q934" s="80">
        <f>IF($I934&gt;0,MAX(0,$G934*SIN(RADIANS('13_시나리오비교'!$B$6))*SIN(RADIANS('13_시나리오비교'!$C$6))+$H934*SIN(RADIANS('13_시나리오비교'!$B$6))*COS(RADIANS('13_시나리오비교'!$C$6))+$I934*COS(RADIANS('13_시나리오비교'!$B$6))),0)</f>
        <v/>
      </c>
      <c r="R934" s="80">
        <f>IF($I934&gt;0,MAX(0,$G934*SIN(RADIANS('13_시나리오비교'!$B$7))*SIN(RADIANS('13_시나리오비교'!$C$7))+$H934*SIN(RADIANS('13_시나리오비교'!$B$7))*COS(RADIANS('13_시나리오비교'!$C$7))+$I934*COS(RADIANS('13_시나리오비교'!$B$7))),0)</f>
        <v/>
      </c>
      <c r="S934" s="80">
        <f>IF($I934&gt;0,MAX(0,$G934*SIN(RADIANS('13_시나리오비교'!$B$8))*SIN(RADIANS('13_시나리오비교'!$C$8))+$H934*SIN(RADIANS('13_시나리오비교'!$B$8))*COS(RADIANS('13_시나리오비교'!$C$8))+$I934*COS(RADIANS('13_시나리오비교'!$B$8))),0)</f>
        <v/>
      </c>
      <c r="T934" s="80">
        <f>IF($I934&gt;0,MAX(0,$G934*SIN(RADIANS('13_시나리오비교'!$B$9))*SIN(RADIANS('13_시나리오비교'!$C$9))+$H934*SIN(RADIANS('13_시나리오비교'!$B$9))*COS(RADIANS('13_시나리오비교'!$C$9))+$I934*COS(RADIANS('13_시나리오비교'!$B$9))),0)</f>
        <v/>
      </c>
      <c r="U934" s="80">
        <f>IF($I934&gt;0,MAX(0,$G934*SIN(RADIANS('13_시나리오비교'!$B$10))*SIN(RADIANS('13_시나리오비교'!$C$10))+$H934*SIN(RADIANS('13_시나리오비교'!$B$10))*COS(RADIANS('13_시나리오비교'!$C$10))+$I934*COS(RADIANS('13_시나리오비교'!$B$10))),0)</f>
        <v/>
      </c>
      <c r="V934" s="80">
        <f>IF($I934&gt;0,MAX(0,$G934*SIN(RADIANS('13_시나리오비교'!$B$11))*SIN(RADIANS('13_시나리오비교'!$C$11))+$H934*SIN(RADIANS('13_시나리오비교'!$B$11))*COS(RADIANS('13_시나리오비교'!$C$11))+$I934*COS(RADIANS('13_시나리오비교'!$B$11))),0)</f>
        <v/>
      </c>
      <c r="W934" s="80">
        <f>IF($I934&gt;0,MAX(0,$G934*SIN(RADIANS('13_시나리오비교'!$B$12))*SIN(RADIANS('13_시나리오비교'!$C$12))+$H934*SIN(RADIANS('13_시나리오비교'!$B$12))*COS(RADIANS('13_시나리오비교'!$C$12))+$I934*COS(RADIANS('13_시나리오비교'!$B$12))),0)</f>
        <v/>
      </c>
      <c r="X934" s="80">
        <f>IF($I934&gt;0,MAX(0,$G934*SIN(RADIANS('13_시나리오비교'!$B$13))*SIN(RADIANS('13_시나리오비교'!$C$13))+$H934*SIN(RADIANS('13_시나리오비교'!$B$13))*COS(RADIANS('13_시나리오비교'!$C$13))+$I934*COS(RADIANS('13_시나리오비교'!$B$13))),0)</f>
        <v/>
      </c>
      <c r="Y934" s="80">
        <f>IF($I934&gt;0,MAX(0,$G934*SIN(RADIANS('13_시나리오비교'!$B$14))*SIN(RADIANS('13_시나리오비교'!$C$14))+$H934*SIN(RADIANS('13_시나리오비교'!$B$14))*COS(RADIANS('13_시나리오비교'!$C$14))+$I934*COS(RADIANS('13_시나리오비교'!$B$14))),0)</f>
        <v/>
      </c>
    </row>
    <row r="935" hidden="1" outlineLevel="1">
      <c r="A935" s="79" t="n">
        <v>10</v>
      </c>
      <c r="B935" s="79" t="n">
        <v>51</v>
      </c>
      <c r="C935" s="80">
        <f>(B935-0.5)*'14_지역·상수'!$H$6</f>
        <v/>
      </c>
      <c r="D935" s="79" t="n">
        <v>288</v>
      </c>
      <c r="E935" s="80">
        <f>INDEX($C$4:$C$15,MATCH(A935,$A$4:$A$15,0))</f>
        <v/>
      </c>
      <c r="F935" s="80">
        <f>15*(C935-12)</f>
        <v/>
      </c>
      <c r="G935" s="80">
        <f>-COS(RADIANS(E935))*SIN(RADIANS(F935))</f>
        <v/>
      </c>
      <c r="H935" s="80">
        <f>COS(RADIANS('11_발전량_모델'!$B$17))*SIN(RADIANS(E935))-SIN(RADIANS('11_발전량_모델'!$B$17))*COS(RADIANS(E935))*COS(RADIANS(F935))</f>
        <v/>
      </c>
      <c r="I935" s="80">
        <f>SIN(RADIANS('11_발전량_모델'!$B$17))*SIN(RADIANS(E935))+COS(RADIANS('11_발전량_모델'!$B$17))*COS(RADIANS(E935))*COS(RADIANS(F935))</f>
        <v/>
      </c>
      <c r="J935" s="80">
        <f>SIN(RADIANS('11_발전량_모델'!$B$7))*SIN(RADIANS('11_발전량_모델'!$B$8))</f>
        <v/>
      </c>
      <c r="K935" s="80">
        <f>SIN(RADIANS('11_발전량_모델'!$B$7))*COS(RADIANS('11_발전량_모델'!$B$8))</f>
        <v/>
      </c>
      <c r="L935" s="80">
        <f>COS(RADIANS('11_발전량_모델'!$B$7))</f>
        <v/>
      </c>
      <c r="M935" s="80">
        <f>G935*J935+H935*K935+I935*L935</f>
        <v/>
      </c>
      <c r="N935" s="80">
        <f>MAX(0,I935)</f>
        <v/>
      </c>
      <c r="O935" s="80">
        <f>IF(I935&gt;0,MAX(0,M935),0)</f>
        <v/>
      </c>
      <c r="P935" s="80">
        <f>IF($I935&gt;0,MAX(0,$G935*SIN(RADIANS('13_시나리오비교'!$B$5))*SIN(RADIANS('13_시나리오비교'!$C$5))+$H935*SIN(RADIANS('13_시나리오비교'!$B$5))*COS(RADIANS('13_시나리오비교'!$C$5))+$I935*COS(RADIANS('13_시나리오비교'!$B$5))),0)</f>
        <v/>
      </c>
      <c r="Q935" s="80">
        <f>IF($I935&gt;0,MAX(0,$G935*SIN(RADIANS('13_시나리오비교'!$B$6))*SIN(RADIANS('13_시나리오비교'!$C$6))+$H935*SIN(RADIANS('13_시나리오비교'!$B$6))*COS(RADIANS('13_시나리오비교'!$C$6))+$I935*COS(RADIANS('13_시나리오비교'!$B$6))),0)</f>
        <v/>
      </c>
      <c r="R935" s="80">
        <f>IF($I935&gt;0,MAX(0,$G935*SIN(RADIANS('13_시나리오비교'!$B$7))*SIN(RADIANS('13_시나리오비교'!$C$7))+$H935*SIN(RADIANS('13_시나리오비교'!$B$7))*COS(RADIANS('13_시나리오비교'!$C$7))+$I935*COS(RADIANS('13_시나리오비교'!$B$7))),0)</f>
        <v/>
      </c>
      <c r="S935" s="80">
        <f>IF($I935&gt;0,MAX(0,$G935*SIN(RADIANS('13_시나리오비교'!$B$8))*SIN(RADIANS('13_시나리오비교'!$C$8))+$H935*SIN(RADIANS('13_시나리오비교'!$B$8))*COS(RADIANS('13_시나리오비교'!$C$8))+$I935*COS(RADIANS('13_시나리오비교'!$B$8))),0)</f>
        <v/>
      </c>
      <c r="T935" s="80">
        <f>IF($I935&gt;0,MAX(0,$G935*SIN(RADIANS('13_시나리오비교'!$B$9))*SIN(RADIANS('13_시나리오비교'!$C$9))+$H935*SIN(RADIANS('13_시나리오비교'!$B$9))*COS(RADIANS('13_시나리오비교'!$C$9))+$I935*COS(RADIANS('13_시나리오비교'!$B$9))),0)</f>
        <v/>
      </c>
      <c r="U935" s="80">
        <f>IF($I935&gt;0,MAX(0,$G935*SIN(RADIANS('13_시나리오비교'!$B$10))*SIN(RADIANS('13_시나리오비교'!$C$10))+$H935*SIN(RADIANS('13_시나리오비교'!$B$10))*COS(RADIANS('13_시나리오비교'!$C$10))+$I935*COS(RADIANS('13_시나리오비교'!$B$10))),0)</f>
        <v/>
      </c>
      <c r="V935" s="80">
        <f>IF($I935&gt;0,MAX(0,$G935*SIN(RADIANS('13_시나리오비교'!$B$11))*SIN(RADIANS('13_시나리오비교'!$C$11))+$H935*SIN(RADIANS('13_시나리오비교'!$B$11))*COS(RADIANS('13_시나리오비교'!$C$11))+$I935*COS(RADIANS('13_시나리오비교'!$B$11))),0)</f>
        <v/>
      </c>
      <c r="W935" s="80">
        <f>IF($I935&gt;0,MAX(0,$G935*SIN(RADIANS('13_시나리오비교'!$B$12))*SIN(RADIANS('13_시나리오비교'!$C$12))+$H935*SIN(RADIANS('13_시나리오비교'!$B$12))*COS(RADIANS('13_시나리오비교'!$C$12))+$I935*COS(RADIANS('13_시나리오비교'!$B$12))),0)</f>
        <v/>
      </c>
      <c r="X935" s="80">
        <f>IF($I935&gt;0,MAX(0,$G935*SIN(RADIANS('13_시나리오비교'!$B$13))*SIN(RADIANS('13_시나리오비교'!$C$13))+$H935*SIN(RADIANS('13_시나리오비교'!$B$13))*COS(RADIANS('13_시나리오비교'!$C$13))+$I935*COS(RADIANS('13_시나리오비교'!$B$13))),0)</f>
        <v/>
      </c>
      <c r="Y935" s="80">
        <f>IF($I935&gt;0,MAX(0,$G935*SIN(RADIANS('13_시나리오비교'!$B$14))*SIN(RADIANS('13_시나리오비교'!$C$14))+$H935*SIN(RADIANS('13_시나리오비교'!$B$14))*COS(RADIANS('13_시나리오비교'!$C$14))+$I935*COS(RADIANS('13_시나리오비교'!$B$14))),0)</f>
        <v/>
      </c>
    </row>
    <row r="936" hidden="1" outlineLevel="1">
      <c r="A936" s="79" t="n">
        <v>10</v>
      </c>
      <c r="B936" s="79" t="n">
        <v>52</v>
      </c>
      <c r="C936" s="80">
        <f>(B936-0.5)*'14_지역·상수'!$H$6</f>
        <v/>
      </c>
      <c r="D936" s="79" t="n">
        <v>288</v>
      </c>
      <c r="E936" s="80">
        <f>INDEX($C$4:$C$15,MATCH(A936,$A$4:$A$15,0))</f>
        <v/>
      </c>
      <c r="F936" s="80">
        <f>15*(C936-12)</f>
        <v/>
      </c>
      <c r="G936" s="80">
        <f>-COS(RADIANS(E936))*SIN(RADIANS(F936))</f>
        <v/>
      </c>
      <c r="H936" s="80">
        <f>COS(RADIANS('11_발전량_모델'!$B$17))*SIN(RADIANS(E936))-SIN(RADIANS('11_발전량_모델'!$B$17))*COS(RADIANS(E936))*COS(RADIANS(F936))</f>
        <v/>
      </c>
      <c r="I936" s="80">
        <f>SIN(RADIANS('11_발전량_모델'!$B$17))*SIN(RADIANS(E936))+COS(RADIANS('11_발전량_모델'!$B$17))*COS(RADIANS(E936))*COS(RADIANS(F936))</f>
        <v/>
      </c>
      <c r="J936" s="80">
        <f>SIN(RADIANS('11_발전량_모델'!$B$7))*SIN(RADIANS('11_발전량_모델'!$B$8))</f>
        <v/>
      </c>
      <c r="K936" s="80">
        <f>SIN(RADIANS('11_발전량_모델'!$B$7))*COS(RADIANS('11_발전량_모델'!$B$8))</f>
        <v/>
      </c>
      <c r="L936" s="80">
        <f>COS(RADIANS('11_발전량_모델'!$B$7))</f>
        <v/>
      </c>
      <c r="M936" s="80">
        <f>G936*J936+H936*K936+I936*L936</f>
        <v/>
      </c>
      <c r="N936" s="80">
        <f>MAX(0,I936)</f>
        <v/>
      </c>
      <c r="O936" s="80">
        <f>IF(I936&gt;0,MAX(0,M936),0)</f>
        <v/>
      </c>
      <c r="P936" s="80">
        <f>IF($I936&gt;0,MAX(0,$G936*SIN(RADIANS('13_시나리오비교'!$B$5))*SIN(RADIANS('13_시나리오비교'!$C$5))+$H936*SIN(RADIANS('13_시나리오비교'!$B$5))*COS(RADIANS('13_시나리오비교'!$C$5))+$I936*COS(RADIANS('13_시나리오비교'!$B$5))),0)</f>
        <v/>
      </c>
      <c r="Q936" s="80">
        <f>IF($I936&gt;0,MAX(0,$G936*SIN(RADIANS('13_시나리오비교'!$B$6))*SIN(RADIANS('13_시나리오비교'!$C$6))+$H936*SIN(RADIANS('13_시나리오비교'!$B$6))*COS(RADIANS('13_시나리오비교'!$C$6))+$I936*COS(RADIANS('13_시나리오비교'!$B$6))),0)</f>
        <v/>
      </c>
      <c r="R936" s="80">
        <f>IF($I936&gt;0,MAX(0,$G936*SIN(RADIANS('13_시나리오비교'!$B$7))*SIN(RADIANS('13_시나리오비교'!$C$7))+$H936*SIN(RADIANS('13_시나리오비교'!$B$7))*COS(RADIANS('13_시나리오비교'!$C$7))+$I936*COS(RADIANS('13_시나리오비교'!$B$7))),0)</f>
        <v/>
      </c>
      <c r="S936" s="80">
        <f>IF($I936&gt;0,MAX(0,$G936*SIN(RADIANS('13_시나리오비교'!$B$8))*SIN(RADIANS('13_시나리오비교'!$C$8))+$H936*SIN(RADIANS('13_시나리오비교'!$B$8))*COS(RADIANS('13_시나리오비교'!$C$8))+$I936*COS(RADIANS('13_시나리오비교'!$B$8))),0)</f>
        <v/>
      </c>
      <c r="T936" s="80">
        <f>IF($I936&gt;0,MAX(0,$G936*SIN(RADIANS('13_시나리오비교'!$B$9))*SIN(RADIANS('13_시나리오비교'!$C$9))+$H936*SIN(RADIANS('13_시나리오비교'!$B$9))*COS(RADIANS('13_시나리오비교'!$C$9))+$I936*COS(RADIANS('13_시나리오비교'!$B$9))),0)</f>
        <v/>
      </c>
      <c r="U936" s="80">
        <f>IF($I936&gt;0,MAX(0,$G936*SIN(RADIANS('13_시나리오비교'!$B$10))*SIN(RADIANS('13_시나리오비교'!$C$10))+$H936*SIN(RADIANS('13_시나리오비교'!$B$10))*COS(RADIANS('13_시나리오비교'!$C$10))+$I936*COS(RADIANS('13_시나리오비교'!$B$10))),0)</f>
        <v/>
      </c>
      <c r="V936" s="80">
        <f>IF($I936&gt;0,MAX(0,$G936*SIN(RADIANS('13_시나리오비교'!$B$11))*SIN(RADIANS('13_시나리오비교'!$C$11))+$H936*SIN(RADIANS('13_시나리오비교'!$B$11))*COS(RADIANS('13_시나리오비교'!$C$11))+$I936*COS(RADIANS('13_시나리오비교'!$B$11))),0)</f>
        <v/>
      </c>
      <c r="W936" s="80">
        <f>IF($I936&gt;0,MAX(0,$G936*SIN(RADIANS('13_시나리오비교'!$B$12))*SIN(RADIANS('13_시나리오비교'!$C$12))+$H936*SIN(RADIANS('13_시나리오비교'!$B$12))*COS(RADIANS('13_시나리오비교'!$C$12))+$I936*COS(RADIANS('13_시나리오비교'!$B$12))),0)</f>
        <v/>
      </c>
      <c r="X936" s="80">
        <f>IF($I936&gt;0,MAX(0,$G936*SIN(RADIANS('13_시나리오비교'!$B$13))*SIN(RADIANS('13_시나리오비교'!$C$13))+$H936*SIN(RADIANS('13_시나리오비교'!$B$13))*COS(RADIANS('13_시나리오비교'!$C$13))+$I936*COS(RADIANS('13_시나리오비교'!$B$13))),0)</f>
        <v/>
      </c>
      <c r="Y936" s="80">
        <f>IF($I936&gt;0,MAX(0,$G936*SIN(RADIANS('13_시나리오비교'!$B$14))*SIN(RADIANS('13_시나리오비교'!$C$14))+$H936*SIN(RADIANS('13_시나리오비교'!$B$14))*COS(RADIANS('13_시나리오비교'!$C$14))+$I936*COS(RADIANS('13_시나리오비교'!$B$14))),0)</f>
        <v/>
      </c>
    </row>
    <row r="937" hidden="1" outlineLevel="1">
      <c r="A937" s="79" t="n">
        <v>10</v>
      </c>
      <c r="B937" s="79" t="n">
        <v>53</v>
      </c>
      <c r="C937" s="80">
        <f>(B937-0.5)*'14_지역·상수'!$H$6</f>
        <v/>
      </c>
      <c r="D937" s="79" t="n">
        <v>288</v>
      </c>
      <c r="E937" s="80">
        <f>INDEX($C$4:$C$15,MATCH(A937,$A$4:$A$15,0))</f>
        <v/>
      </c>
      <c r="F937" s="80">
        <f>15*(C937-12)</f>
        <v/>
      </c>
      <c r="G937" s="80">
        <f>-COS(RADIANS(E937))*SIN(RADIANS(F937))</f>
        <v/>
      </c>
      <c r="H937" s="80">
        <f>COS(RADIANS('11_발전량_모델'!$B$17))*SIN(RADIANS(E937))-SIN(RADIANS('11_발전량_모델'!$B$17))*COS(RADIANS(E937))*COS(RADIANS(F937))</f>
        <v/>
      </c>
      <c r="I937" s="80">
        <f>SIN(RADIANS('11_발전량_모델'!$B$17))*SIN(RADIANS(E937))+COS(RADIANS('11_발전량_모델'!$B$17))*COS(RADIANS(E937))*COS(RADIANS(F937))</f>
        <v/>
      </c>
      <c r="J937" s="80">
        <f>SIN(RADIANS('11_발전량_모델'!$B$7))*SIN(RADIANS('11_발전량_모델'!$B$8))</f>
        <v/>
      </c>
      <c r="K937" s="80">
        <f>SIN(RADIANS('11_발전량_모델'!$B$7))*COS(RADIANS('11_발전량_모델'!$B$8))</f>
        <v/>
      </c>
      <c r="L937" s="80">
        <f>COS(RADIANS('11_발전량_모델'!$B$7))</f>
        <v/>
      </c>
      <c r="M937" s="80">
        <f>G937*J937+H937*K937+I937*L937</f>
        <v/>
      </c>
      <c r="N937" s="80">
        <f>MAX(0,I937)</f>
        <v/>
      </c>
      <c r="O937" s="80">
        <f>IF(I937&gt;0,MAX(0,M937),0)</f>
        <v/>
      </c>
      <c r="P937" s="80">
        <f>IF($I937&gt;0,MAX(0,$G937*SIN(RADIANS('13_시나리오비교'!$B$5))*SIN(RADIANS('13_시나리오비교'!$C$5))+$H937*SIN(RADIANS('13_시나리오비교'!$B$5))*COS(RADIANS('13_시나리오비교'!$C$5))+$I937*COS(RADIANS('13_시나리오비교'!$B$5))),0)</f>
        <v/>
      </c>
      <c r="Q937" s="80">
        <f>IF($I937&gt;0,MAX(0,$G937*SIN(RADIANS('13_시나리오비교'!$B$6))*SIN(RADIANS('13_시나리오비교'!$C$6))+$H937*SIN(RADIANS('13_시나리오비교'!$B$6))*COS(RADIANS('13_시나리오비교'!$C$6))+$I937*COS(RADIANS('13_시나리오비교'!$B$6))),0)</f>
        <v/>
      </c>
      <c r="R937" s="80">
        <f>IF($I937&gt;0,MAX(0,$G937*SIN(RADIANS('13_시나리오비교'!$B$7))*SIN(RADIANS('13_시나리오비교'!$C$7))+$H937*SIN(RADIANS('13_시나리오비교'!$B$7))*COS(RADIANS('13_시나리오비교'!$C$7))+$I937*COS(RADIANS('13_시나리오비교'!$B$7))),0)</f>
        <v/>
      </c>
      <c r="S937" s="80">
        <f>IF($I937&gt;0,MAX(0,$G937*SIN(RADIANS('13_시나리오비교'!$B$8))*SIN(RADIANS('13_시나리오비교'!$C$8))+$H937*SIN(RADIANS('13_시나리오비교'!$B$8))*COS(RADIANS('13_시나리오비교'!$C$8))+$I937*COS(RADIANS('13_시나리오비교'!$B$8))),0)</f>
        <v/>
      </c>
      <c r="T937" s="80">
        <f>IF($I937&gt;0,MAX(0,$G937*SIN(RADIANS('13_시나리오비교'!$B$9))*SIN(RADIANS('13_시나리오비교'!$C$9))+$H937*SIN(RADIANS('13_시나리오비교'!$B$9))*COS(RADIANS('13_시나리오비교'!$C$9))+$I937*COS(RADIANS('13_시나리오비교'!$B$9))),0)</f>
        <v/>
      </c>
      <c r="U937" s="80">
        <f>IF($I937&gt;0,MAX(0,$G937*SIN(RADIANS('13_시나리오비교'!$B$10))*SIN(RADIANS('13_시나리오비교'!$C$10))+$H937*SIN(RADIANS('13_시나리오비교'!$B$10))*COS(RADIANS('13_시나리오비교'!$C$10))+$I937*COS(RADIANS('13_시나리오비교'!$B$10))),0)</f>
        <v/>
      </c>
      <c r="V937" s="80">
        <f>IF($I937&gt;0,MAX(0,$G937*SIN(RADIANS('13_시나리오비교'!$B$11))*SIN(RADIANS('13_시나리오비교'!$C$11))+$H937*SIN(RADIANS('13_시나리오비교'!$B$11))*COS(RADIANS('13_시나리오비교'!$C$11))+$I937*COS(RADIANS('13_시나리오비교'!$B$11))),0)</f>
        <v/>
      </c>
      <c r="W937" s="80">
        <f>IF($I937&gt;0,MAX(0,$G937*SIN(RADIANS('13_시나리오비교'!$B$12))*SIN(RADIANS('13_시나리오비교'!$C$12))+$H937*SIN(RADIANS('13_시나리오비교'!$B$12))*COS(RADIANS('13_시나리오비교'!$C$12))+$I937*COS(RADIANS('13_시나리오비교'!$B$12))),0)</f>
        <v/>
      </c>
      <c r="X937" s="80">
        <f>IF($I937&gt;0,MAX(0,$G937*SIN(RADIANS('13_시나리오비교'!$B$13))*SIN(RADIANS('13_시나리오비교'!$C$13))+$H937*SIN(RADIANS('13_시나리오비교'!$B$13))*COS(RADIANS('13_시나리오비교'!$C$13))+$I937*COS(RADIANS('13_시나리오비교'!$B$13))),0)</f>
        <v/>
      </c>
      <c r="Y937" s="80">
        <f>IF($I937&gt;0,MAX(0,$G937*SIN(RADIANS('13_시나리오비교'!$B$14))*SIN(RADIANS('13_시나리오비교'!$C$14))+$H937*SIN(RADIANS('13_시나리오비교'!$B$14))*COS(RADIANS('13_시나리오비교'!$C$14))+$I937*COS(RADIANS('13_시나리오비교'!$B$14))),0)</f>
        <v/>
      </c>
    </row>
    <row r="938" hidden="1" outlineLevel="1">
      <c r="A938" s="79" t="n">
        <v>10</v>
      </c>
      <c r="B938" s="79" t="n">
        <v>54</v>
      </c>
      <c r="C938" s="80">
        <f>(B938-0.5)*'14_지역·상수'!$H$6</f>
        <v/>
      </c>
      <c r="D938" s="79" t="n">
        <v>288</v>
      </c>
      <c r="E938" s="80">
        <f>INDEX($C$4:$C$15,MATCH(A938,$A$4:$A$15,0))</f>
        <v/>
      </c>
      <c r="F938" s="80">
        <f>15*(C938-12)</f>
        <v/>
      </c>
      <c r="G938" s="80">
        <f>-COS(RADIANS(E938))*SIN(RADIANS(F938))</f>
        <v/>
      </c>
      <c r="H938" s="80">
        <f>COS(RADIANS('11_발전량_모델'!$B$17))*SIN(RADIANS(E938))-SIN(RADIANS('11_발전량_모델'!$B$17))*COS(RADIANS(E938))*COS(RADIANS(F938))</f>
        <v/>
      </c>
      <c r="I938" s="80">
        <f>SIN(RADIANS('11_발전량_모델'!$B$17))*SIN(RADIANS(E938))+COS(RADIANS('11_발전량_모델'!$B$17))*COS(RADIANS(E938))*COS(RADIANS(F938))</f>
        <v/>
      </c>
      <c r="J938" s="80">
        <f>SIN(RADIANS('11_발전량_모델'!$B$7))*SIN(RADIANS('11_발전량_모델'!$B$8))</f>
        <v/>
      </c>
      <c r="K938" s="80">
        <f>SIN(RADIANS('11_발전량_모델'!$B$7))*COS(RADIANS('11_발전량_모델'!$B$8))</f>
        <v/>
      </c>
      <c r="L938" s="80">
        <f>COS(RADIANS('11_발전량_모델'!$B$7))</f>
        <v/>
      </c>
      <c r="M938" s="80">
        <f>G938*J938+H938*K938+I938*L938</f>
        <v/>
      </c>
      <c r="N938" s="80">
        <f>MAX(0,I938)</f>
        <v/>
      </c>
      <c r="O938" s="80">
        <f>IF(I938&gt;0,MAX(0,M938),0)</f>
        <v/>
      </c>
      <c r="P938" s="80">
        <f>IF($I938&gt;0,MAX(0,$G938*SIN(RADIANS('13_시나리오비교'!$B$5))*SIN(RADIANS('13_시나리오비교'!$C$5))+$H938*SIN(RADIANS('13_시나리오비교'!$B$5))*COS(RADIANS('13_시나리오비교'!$C$5))+$I938*COS(RADIANS('13_시나리오비교'!$B$5))),0)</f>
        <v/>
      </c>
      <c r="Q938" s="80">
        <f>IF($I938&gt;0,MAX(0,$G938*SIN(RADIANS('13_시나리오비교'!$B$6))*SIN(RADIANS('13_시나리오비교'!$C$6))+$H938*SIN(RADIANS('13_시나리오비교'!$B$6))*COS(RADIANS('13_시나리오비교'!$C$6))+$I938*COS(RADIANS('13_시나리오비교'!$B$6))),0)</f>
        <v/>
      </c>
      <c r="R938" s="80">
        <f>IF($I938&gt;0,MAX(0,$G938*SIN(RADIANS('13_시나리오비교'!$B$7))*SIN(RADIANS('13_시나리오비교'!$C$7))+$H938*SIN(RADIANS('13_시나리오비교'!$B$7))*COS(RADIANS('13_시나리오비교'!$C$7))+$I938*COS(RADIANS('13_시나리오비교'!$B$7))),0)</f>
        <v/>
      </c>
      <c r="S938" s="80">
        <f>IF($I938&gt;0,MAX(0,$G938*SIN(RADIANS('13_시나리오비교'!$B$8))*SIN(RADIANS('13_시나리오비교'!$C$8))+$H938*SIN(RADIANS('13_시나리오비교'!$B$8))*COS(RADIANS('13_시나리오비교'!$C$8))+$I938*COS(RADIANS('13_시나리오비교'!$B$8))),0)</f>
        <v/>
      </c>
      <c r="T938" s="80">
        <f>IF($I938&gt;0,MAX(0,$G938*SIN(RADIANS('13_시나리오비교'!$B$9))*SIN(RADIANS('13_시나리오비교'!$C$9))+$H938*SIN(RADIANS('13_시나리오비교'!$B$9))*COS(RADIANS('13_시나리오비교'!$C$9))+$I938*COS(RADIANS('13_시나리오비교'!$B$9))),0)</f>
        <v/>
      </c>
      <c r="U938" s="80">
        <f>IF($I938&gt;0,MAX(0,$G938*SIN(RADIANS('13_시나리오비교'!$B$10))*SIN(RADIANS('13_시나리오비교'!$C$10))+$H938*SIN(RADIANS('13_시나리오비교'!$B$10))*COS(RADIANS('13_시나리오비교'!$C$10))+$I938*COS(RADIANS('13_시나리오비교'!$B$10))),0)</f>
        <v/>
      </c>
      <c r="V938" s="80">
        <f>IF($I938&gt;0,MAX(0,$G938*SIN(RADIANS('13_시나리오비교'!$B$11))*SIN(RADIANS('13_시나리오비교'!$C$11))+$H938*SIN(RADIANS('13_시나리오비교'!$B$11))*COS(RADIANS('13_시나리오비교'!$C$11))+$I938*COS(RADIANS('13_시나리오비교'!$B$11))),0)</f>
        <v/>
      </c>
      <c r="W938" s="80">
        <f>IF($I938&gt;0,MAX(0,$G938*SIN(RADIANS('13_시나리오비교'!$B$12))*SIN(RADIANS('13_시나리오비교'!$C$12))+$H938*SIN(RADIANS('13_시나리오비교'!$B$12))*COS(RADIANS('13_시나리오비교'!$C$12))+$I938*COS(RADIANS('13_시나리오비교'!$B$12))),0)</f>
        <v/>
      </c>
      <c r="X938" s="80">
        <f>IF($I938&gt;0,MAX(0,$G938*SIN(RADIANS('13_시나리오비교'!$B$13))*SIN(RADIANS('13_시나리오비교'!$C$13))+$H938*SIN(RADIANS('13_시나리오비교'!$B$13))*COS(RADIANS('13_시나리오비교'!$C$13))+$I938*COS(RADIANS('13_시나리오비교'!$B$13))),0)</f>
        <v/>
      </c>
      <c r="Y938" s="80">
        <f>IF($I938&gt;0,MAX(0,$G938*SIN(RADIANS('13_시나리오비교'!$B$14))*SIN(RADIANS('13_시나리오비교'!$C$14))+$H938*SIN(RADIANS('13_시나리오비교'!$B$14))*COS(RADIANS('13_시나리오비교'!$C$14))+$I938*COS(RADIANS('13_시나리오비교'!$B$14))),0)</f>
        <v/>
      </c>
    </row>
    <row r="939" hidden="1" outlineLevel="1">
      <c r="A939" s="79" t="n">
        <v>10</v>
      </c>
      <c r="B939" s="79" t="n">
        <v>55</v>
      </c>
      <c r="C939" s="80">
        <f>(B939-0.5)*'14_지역·상수'!$H$6</f>
        <v/>
      </c>
      <c r="D939" s="79" t="n">
        <v>288</v>
      </c>
      <c r="E939" s="80">
        <f>INDEX($C$4:$C$15,MATCH(A939,$A$4:$A$15,0))</f>
        <v/>
      </c>
      <c r="F939" s="80">
        <f>15*(C939-12)</f>
        <v/>
      </c>
      <c r="G939" s="80">
        <f>-COS(RADIANS(E939))*SIN(RADIANS(F939))</f>
        <v/>
      </c>
      <c r="H939" s="80">
        <f>COS(RADIANS('11_발전량_모델'!$B$17))*SIN(RADIANS(E939))-SIN(RADIANS('11_발전량_모델'!$B$17))*COS(RADIANS(E939))*COS(RADIANS(F939))</f>
        <v/>
      </c>
      <c r="I939" s="80">
        <f>SIN(RADIANS('11_발전량_모델'!$B$17))*SIN(RADIANS(E939))+COS(RADIANS('11_발전량_모델'!$B$17))*COS(RADIANS(E939))*COS(RADIANS(F939))</f>
        <v/>
      </c>
      <c r="J939" s="80">
        <f>SIN(RADIANS('11_발전량_모델'!$B$7))*SIN(RADIANS('11_발전량_모델'!$B$8))</f>
        <v/>
      </c>
      <c r="K939" s="80">
        <f>SIN(RADIANS('11_발전량_모델'!$B$7))*COS(RADIANS('11_발전량_모델'!$B$8))</f>
        <v/>
      </c>
      <c r="L939" s="80">
        <f>COS(RADIANS('11_발전량_모델'!$B$7))</f>
        <v/>
      </c>
      <c r="M939" s="80">
        <f>G939*J939+H939*K939+I939*L939</f>
        <v/>
      </c>
      <c r="N939" s="80">
        <f>MAX(0,I939)</f>
        <v/>
      </c>
      <c r="O939" s="80">
        <f>IF(I939&gt;0,MAX(0,M939),0)</f>
        <v/>
      </c>
      <c r="P939" s="80">
        <f>IF($I939&gt;0,MAX(0,$G939*SIN(RADIANS('13_시나리오비교'!$B$5))*SIN(RADIANS('13_시나리오비교'!$C$5))+$H939*SIN(RADIANS('13_시나리오비교'!$B$5))*COS(RADIANS('13_시나리오비교'!$C$5))+$I939*COS(RADIANS('13_시나리오비교'!$B$5))),0)</f>
        <v/>
      </c>
      <c r="Q939" s="80">
        <f>IF($I939&gt;0,MAX(0,$G939*SIN(RADIANS('13_시나리오비교'!$B$6))*SIN(RADIANS('13_시나리오비교'!$C$6))+$H939*SIN(RADIANS('13_시나리오비교'!$B$6))*COS(RADIANS('13_시나리오비교'!$C$6))+$I939*COS(RADIANS('13_시나리오비교'!$B$6))),0)</f>
        <v/>
      </c>
      <c r="R939" s="80">
        <f>IF($I939&gt;0,MAX(0,$G939*SIN(RADIANS('13_시나리오비교'!$B$7))*SIN(RADIANS('13_시나리오비교'!$C$7))+$H939*SIN(RADIANS('13_시나리오비교'!$B$7))*COS(RADIANS('13_시나리오비교'!$C$7))+$I939*COS(RADIANS('13_시나리오비교'!$B$7))),0)</f>
        <v/>
      </c>
      <c r="S939" s="80">
        <f>IF($I939&gt;0,MAX(0,$G939*SIN(RADIANS('13_시나리오비교'!$B$8))*SIN(RADIANS('13_시나리오비교'!$C$8))+$H939*SIN(RADIANS('13_시나리오비교'!$B$8))*COS(RADIANS('13_시나리오비교'!$C$8))+$I939*COS(RADIANS('13_시나리오비교'!$B$8))),0)</f>
        <v/>
      </c>
      <c r="T939" s="80">
        <f>IF($I939&gt;0,MAX(0,$G939*SIN(RADIANS('13_시나리오비교'!$B$9))*SIN(RADIANS('13_시나리오비교'!$C$9))+$H939*SIN(RADIANS('13_시나리오비교'!$B$9))*COS(RADIANS('13_시나리오비교'!$C$9))+$I939*COS(RADIANS('13_시나리오비교'!$B$9))),0)</f>
        <v/>
      </c>
      <c r="U939" s="80">
        <f>IF($I939&gt;0,MAX(0,$G939*SIN(RADIANS('13_시나리오비교'!$B$10))*SIN(RADIANS('13_시나리오비교'!$C$10))+$H939*SIN(RADIANS('13_시나리오비교'!$B$10))*COS(RADIANS('13_시나리오비교'!$C$10))+$I939*COS(RADIANS('13_시나리오비교'!$B$10))),0)</f>
        <v/>
      </c>
      <c r="V939" s="80">
        <f>IF($I939&gt;0,MAX(0,$G939*SIN(RADIANS('13_시나리오비교'!$B$11))*SIN(RADIANS('13_시나리오비교'!$C$11))+$H939*SIN(RADIANS('13_시나리오비교'!$B$11))*COS(RADIANS('13_시나리오비교'!$C$11))+$I939*COS(RADIANS('13_시나리오비교'!$B$11))),0)</f>
        <v/>
      </c>
      <c r="W939" s="80">
        <f>IF($I939&gt;0,MAX(0,$G939*SIN(RADIANS('13_시나리오비교'!$B$12))*SIN(RADIANS('13_시나리오비교'!$C$12))+$H939*SIN(RADIANS('13_시나리오비교'!$B$12))*COS(RADIANS('13_시나리오비교'!$C$12))+$I939*COS(RADIANS('13_시나리오비교'!$B$12))),0)</f>
        <v/>
      </c>
      <c r="X939" s="80">
        <f>IF($I939&gt;0,MAX(0,$G939*SIN(RADIANS('13_시나리오비교'!$B$13))*SIN(RADIANS('13_시나리오비교'!$C$13))+$H939*SIN(RADIANS('13_시나리오비교'!$B$13))*COS(RADIANS('13_시나리오비교'!$C$13))+$I939*COS(RADIANS('13_시나리오비교'!$B$13))),0)</f>
        <v/>
      </c>
      <c r="Y939" s="80">
        <f>IF($I939&gt;0,MAX(0,$G939*SIN(RADIANS('13_시나리오비교'!$B$14))*SIN(RADIANS('13_시나리오비교'!$C$14))+$H939*SIN(RADIANS('13_시나리오비교'!$B$14))*COS(RADIANS('13_시나리오비교'!$C$14))+$I939*COS(RADIANS('13_시나리오비교'!$B$14))),0)</f>
        <v/>
      </c>
    </row>
    <row r="940" hidden="1" outlineLevel="1">
      <c r="A940" s="79" t="n">
        <v>10</v>
      </c>
      <c r="B940" s="79" t="n">
        <v>56</v>
      </c>
      <c r="C940" s="80">
        <f>(B940-0.5)*'14_지역·상수'!$H$6</f>
        <v/>
      </c>
      <c r="D940" s="79" t="n">
        <v>288</v>
      </c>
      <c r="E940" s="80">
        <f>INDEX($C$4:$C$15,MATCH(A940,$A$4:$A$15,0))</f>
        <v/>
      </c>
      <c r="F940" s="80">
        <f>15*(C940-12)</f>
        <v/>
      </c>
      <c r="G940" s="80">
        <f>-COS(RADIANS(E940))*SIN(RADIANS(F940))</f>
        <v/>
      </c>
      <c r="H940" s="80">
        <f>COS(RADIANS('11_발전량_모델'!$B$17))*SIN(RADIANS(E940))-SIN(RADIANS('11_발전량_모델'!$B$17))*COS(RADIANS(E940))*COS(RADIANS(F940))</f>
        <v/>
      </c>
      <c r="I940" s="80">
        <f>SIN(RADIANS('11_발전량_모델'!$B$17))*SIN(RADIANS(E940))+COS(RADIANS('11_발전량_모델'!$B$17))*COS(RADIANS(E940))*COS(RADIANS(F940))</f>
        <v/>
      </c>
      <c r="J940" s="80">
        <f>SIN(RADIANS('11_발전량_모델'!$B$7))*SIN(RADIANS('11_발전량_모델'!$B$8))</f>
        <v/>
      </c>
      <c r="K940" s="80">
        <f>SIN(RADIANS('11_발전량_모델'!$B$7))*COS(RADIANS('11_발전량_모델'!$B$8))</f>
        <v/>
      </c>
      <c r="L940" s="80">
        <f>COS(RADIANS('11_발전량_모델'!$B$7))</f>
        <v/>
      </c>
      <c r="M940" s="80">
        <f>G940*J940+H940*K940+I940*L940</f>
        <v/>
      </c>
      <c r="N940" s="80">
        <f>MAX(0,I940)</f>
        <v/>
      </c>
      <c r="O940" s="80">
        <f>IF(I940&gt;0,MAX(0,M940),0)</f>
        <v/>
      </c>
      <c r="P940" s="80">
        <f>IF($I940&gt;0,MAX(0,$G940*SIN(RADIANS('13_시나리오비교'!$B$5))*SIN(RADIANS('13_시나리오비교'!$C$5))+$H940*SIN(RADIANS('13_시나리오비교'!$B$5))*COS(RADIANS('13_시나리오비교'!$C$5))+$I940*COS(RADIANS('13_시나리오비교'!$B$5))),0)</f>
        <v/>
      </c>
      <c r="Q940" s="80">
        <f>IF($I940&gt;0,MAX(0,$G940*SIN(RADIANS('13_시나리오비교'!$B$6))*SIN(RADIANS('13_시나리오비교'!$C$6))+$H940*SIN(RADIANS('13_시나리오비교'!$B$6))*COS(RADIANS('13_시나리오비교'!$C$6))+$I940*COS(RADIANS('13_시나리오비교'!$B$6))),0)</f>
        <v/>
      </c>
      <c r="R940" s="80">
        <f>IF($I940&gt;0,MAX(0,$G940*SIN(RADIANS('13_시나리오비교'!$B$7))*SIN(RADIANS('13_시나리오비교'!$C$7))+$H940*SIN(RADIANS('13_시나리오비교'!$B$7))*COS(RADIANS('13_시나리오비교'!$C$7))+$I940*COS(RADIANS('13_시나리오비교'!$B$7))),0)</f>
        <v/>
      </c>
      <c r="S940" s="80">
        <f>IF($I940&gt;0,MAX(0,$G940*SIN(RADIANS('13_시나리오비교'!$B$8))*SIN(RADIANS('13_시나리오비교'!$C$8))+$H940*SIN(RADIANS('13_시나리오비교'!$B$8))*COS(RADIANS('13_시나리오비교'!$C$8))+$I940*COS(RADIANS('13_시나리오비교'!$B$8))),0)</f>
        <v/>
      </c>
      <c r="T940" s="80">
        <f>IF($I940&gt;0,MAX(0,$G940*SIN(RADIANS('13_시나리오비교'!$B$9))*SIN(RADIANS('13_시나리오비교'!$C$9))+$H940*SIN(RADIANS('13_시나리오비교'!$B$9))*COS(RADIANS('13_시나리오비교'!$C$9))+$I940*COS(RADIANS('13_시나리오비교'!$B$9))),0)</f>
        <v/>
      </c>
      <c r="U940" s="80">
        <f>IF($I940&gt;0,MAX(0,$G940*SIN(RADIANS('13_시나리오비교'!$B$10))*SIN(RADIANS('13_시나리오비교'!$C$10))+$H940*SIN(RADIANS('13_시나리오비교'!$B$10))*COS(RADIANS('13_시나리오비교'!$C$10))+$I940*COS(RADIANS('13_시나리오비교'!$B$10))),0)</f>
        <v/>
      </c>
      <c r="V940" s="80">
        <f>IF($I940&gt;0,MAX(0,$G940*SIN(RADIANS('13_시나리오비교'!$B$11))*SIN(RADIANS('13_시나리오비교'!$C$11))+$H940*SIN(RADIANS('13_시나리오비교'!$B$11))*COS(RADIANS('13_시나리오비교'!$C$11))+$I940*COS(RADIANS('13_시나리오비교'!$B$11))),0)</f>
        <v/>
      </c>
      <c r="W940" s="80">
        <f>IF($I940&gt;0,MAX(0,$G940*SIN(RADIANS('13_시나리오비교'!$B$12))*SIN(RADIANS('13_시나리오비교'!$C$12))+$H940*SIN(RADIANS('13_시나리오비교'!$B$12))*COS(RADIANS('13_시나리오비교'!$C$12))+$I940*COS(RADIANS('13_시나리오비교'!$B$12))),0)</f>
        <v/>
      </c>
      <c r="X940" s="80">
        <f>IF($I940&gt;0,MAX(0,$G940*SIN(RADIANS('13_시나리오비교'!$B$13))*SIN(RADIANS('13_시나리오비교'!$C$13))+$H940*SIN(RADIANS('13_시나리오비교'!$B$13))*COS(RADIANS('13_시나리오비교'!$C$13))+$I940*COS(RADIANS('13_시나리오비교'!$B$13))),0)</f>
        <v/>
      </c>
      <c r="Y940" s="80">
        <f>IF($I940&gt;0,MAX(0,$G940*SIN(RADIANS('13_시나리오비교'!$B$14))*SIN(RADIANS('13_시나리오비교'!$C$14))+$H940*SIN(RADIANS('13_시나리오비교'!$B$14))*COS(RADIANS('13_시나리오비교'!$C$14))+$I940*COS(RADIANS('13_시나리오비교'!$B$14))),0)</f>
        <v/>
      </c>
    </row>
    <row r="941" hidden="1" outlineLevel="1">
      <c r="A941" s="79" t="n">
        <v>10</v>
      </c>
      <c r="B941" s="79" t="n">
        <v>57</v>
      </c>
      <c r="C941" s="80">
        <f>(B941-0.5)*'14_지역·상수'!$H$6</f>
        <v/>
      </c>
      <c r="D941" s="79" t="n">
        <v>288</v>
      </c>
      <c r="E941" s="80">
        <f>INDEX($C$4:$C$15,MATCH(A941,$A$4:$A$15,0))</f>
        <v/>
      </c>
      <c r="F941" s="80">
        <f>15*(C941-12)</f>
        <v/>
      </c>
      <c r="G941" s="80">
        <f>-COS(RADIANS(E941))*SIN(RADIANS(F941))</f>
        <v/>
      </c>
      <c r="H941" s="80">
        <f>COS(RADIANS('11_발전량_모델'!$B$17))*SIN(RADIANS(E941))-SIN(RADIANS('11_발전량_모델'!$B$17))*COS(RADIANS(E941))*COS(RADIANS(F941))</f>
        <v/>
      </c>
      <c r="I941" s="80">
        <f>SIN(RADIANS('11_발전량_모델'!$B$17))*SIN(RADIANS(E941))+COS(RADIANS('11_발전량_모델'!$B$17))*COS(RADIANS(E941))*COS(RADIANS(F941))</f>
        <v/>
      </c>
      <c r="J941" s="80">
        <f>SIN(RADIANS('11_발전량_모델'!$B$7))*SIN(RADIANS('11_발전량_모델'!$B$8))</f>
        <v/>
      </c>
      <c r="K941" s="80">
        <f>SIN(RADIANS('11_발전량_모델'!$B$7))*COS(RADIANS('11_발전량_모델'!$B$8))</f>
        <v/>
      </c>
      <c r="L941" s="80">
        <f>COS(RADIANS('11_발전량_모델'!$B$7))</f>
        <v/>
      </c>
      <c r="M941" s="80">
        <f>G941*J941+H941*K941+I941*L941</f>
        <v/>
      </c>
      <c r="N941" s="80">
        <f>MAX(0,I941)</f>
        <v/>
      </c>
      <c r="O941" s="80">
        <f>IF(I941&gt;0,MAX(0,M941),0)</f>
        <v/>
      </c>
      <c r="P941" s="80">
        <f>IF($I941&gt;0,MAX(0,$G941*SIN(RADIANS('13_시나리오비교'!$B$5))*SIN(RADIANS('13_시나리오비교'!$C$5))+$H941*SIN(RADIANS('13_시나리오비교'!$B$5))*COS(RADIANS('13_시나리오비교'!$C$5))+$I941*COS(RADIANS('13_시나리오비교'!$B$5))),0)</f>
        <v/>
      </c>
      <c r="Q941" s="80">
        <f>IF($I941&gt;0,MAX(0,$G941*SIN(RADIANS('13_시나리오비교'!$B$6))*SIN(RADIANS('13_시나리오비교'!$C$6))+$H941*SIN(RADIANS('13_시나리오비교'!$B$6))*COS(RADIANS('13_시나리오비교'!$C$6))+$I941*COS(RADIANS('13_시나리오비교'!$B$6))),0)</f>
        <v/>
      </c>
      <c r="R941" s="80">
        <f>IF($I941&gt;0,MAX(0,$G941*SIN(RADIANS('13_시나리오비교'!$B$7))*SIN(RADIANS('13_시나리오비교'!$C$7))+$H941*SIN(RADIANS('13_시나리오비교'!$B$7))*COS(RADIANS('13_시나리오비교'!$C$7))+$I941*COS(RADIANS('13_시나리오비교'!$B$7))),0)</f>
        <v/>
      </c>
      <c r="S941" s="80">
        <f>IF($I941&gt;0,MAX(0,$G941*SIN(RADIANS('13_시나리오비교'!$B$8))*SIN(RADIANS('13_시나리오비교'!$C$8))+$H941*SIN(RADIANS('13_시나리오비교'!$B$8))*COS(RADIANS('13_시나리오비교'!$C$8))+$I941*COS(RADIANS('13_시나리오비교'!$B$8))),0)</f>
        <v/>
      </c>
      <c r="T941" s="80">
        <f>IF($I941&gt;0,MAX(0,$G941*SIN(RADIANS('13_시나리오비교'!$B$9))*SIN(RADIANS('13_시나리오비교'!$C$9))+$H941*SIN(RADIANS('13_시나리오비교'!$B$9))*COS(RADIANS('13_시나리오비교'!$C$9))+$I941*COS(RADIANS('13_시나리오비교'!$B$9))),0)</f>
        <v/>
      </c>
      <c r="U941" s="80">
        <f>IF($I941&gt;0,MAX(0,$G941*SIN(RADIANS('13_시나리오비교'!$B$10))*SIN(RADIANS('13_시나리오비교'!$C$10))+$H941*SIN(RADIANS('13_시나리오비교'!$B$10))*COS(RADIANS('13_시나리오비교'!$C$10))+$I941*COS(RADIANS('13_시나리오비교'!$B$10))),0)</f>
        <v/>
      </c>
      <c r="V941" s="80">
        <f>IF($I941&gt;0,MAX(0,$G941*SIN(RADIANS('13_시나리오비교'!$B$11))*SIN(RADIANS('13_시나리오비교'!$C$11))+$H941*SIN(RADIANS('13_시나리오비교'!$B$11))*COS(RADIANS('13_시나리오비교'!$C$11))+$I941*COS(RADIANS('13_시나리오비교'!$B$11))),0)</f>
        <v/>
      </c>
      <c r="W941" s="80">
        <f>IF($I941&gt;0,MAX(0,$G941*SIN(RADIANS('13_시나리오비교'!$B$12))*SIN(RADIANS('13_시나리오비교'!$C$12))+$H941*SIN(RADIANS('13_시나리오비교'!$B$12))*COS(RADIANS('13_시나리오비교'!$C$12))+$I941*COS(RADIANS('13_시나리오비교'!$B$12))),0)</f>
        <v/>
      </c>
      <c r="X941" s="80">
        <f>IF($I941&gt;0,MAX(0,$G941*SIN(RADIANS('13_시나리오비교'!$B$13))*SIN(RADIANS('13_시나리오비교'!$C$13))+$H941*SIN(RADIANS('13_시나리오비교'!$B$13))*COS(RADIANS('13_시나리오비교'!$C$13))+$I941*COS(RADIANS('13_시나리오비교'!$B$13))),0)</f>
        <v/>
      </c>
      <c r="Y941" s="80">
        <f>IF($I941&gt;0,MAX(0,$G941*SIN(RADIANS('13_시나리오비교'!$B$14))*SIN(RADIANS('13_시나리오비교'!$C$14))+$H941*SIN(RADIANS('13_시나리오비교'!$B$14))*COS(RADIANS('13_시나리오비교'!$C$14))+$I941*COS(RADIANS('13_시나리오비교'!$B$14))),0)</f>
        <v/>
      </c>
    </row>
    <row r="942" hidden="1" outlineLevel="1">
      <c r="A942" s="79" t="n">
        <v>10</v>
      </c>
      <c r="B942" s="79" t="n">
        <v>58</v>
      </c>
      <c r="C942" s="80">
        <f>(B942-0.5)*'14_지역·상수'!$H$6</f>
        <v/>
      </c>
      <c r="D942" s="79" t="n">
        <v>288</v>
      </c>
      <c r="E942" s="80">
        <f>INDEX($C$4:$C$15,MATCH(A942,$A$4:$A$15,0))</f>
        <v/>
      </c>
      <c r="F942" s="80">
        <f>15*(C942-12)</f>
        <v/>
      </c>
      <c r="G942" s="80">
        <f>-COS(RADIANS(E942))*SIN(RADIANS(F942))</f>
        <v/>
      </c>
      <c r="H942" s="80">
        <f>COS(RADIANS('11_발전량_모델'!$B$17))*SIN(RADIANS(E942))-SIN(RADIANS('11_발전량_모델'!$B$17))*COS(RADIANS(E942))*COS(RADIANS(F942))</f>
        <v/>
      </c>
      <c r="I942" s="80">
        <f>SIN(RADIANS('11_발전량_모델'!$B$17))*SIN(RADIANS(E942))+COS(RADIANS('11_발전량_모델'!$B$17))*COS(RADIANS(E942))*COS(RADIANS(F942))</f>
        <v/>
      </c>
      <c r="J942" s="80">
        <f>SIN(RADIANS('11_발전량_모델'!$B$7))*SIN(RADIANS('11_발전량_모델'!$B$8))</f>
        <v/>
      </c>
      <c r="K942" s="80">
        <f>SIN(RADIANS('11_발전량_모델'!$B$7))*COS(RADIANS('11_발전량_모델'!$B$8))</f>
        <v/>
      </c>
      <c r="L942" s="80">
        <f>COS(RADIANS('11_발전량_모델'!$B$7))</f>
        <v/>
      </c>
      <c r="M942" s="80">
        <f>G942*J942+H942*K942+I942*L942</f>
        <v/>
      </c>
      <c r="N942" s="80">
        <f>MAX(0,I942)</f>
        <v/>
      </c>
      <c r="O942" s="80">
        <f>IF(I942&gt;0,MAX(0,M942),0)</f>
        <v/>
      </c>
      <c r="P942" s="80">
        <f>IF($I942&gt;0,MAX(0,$G942*SIN(RADIANS('13_시나리오비교'!$B$5))*SIN(RADIANS('13_시나리오비교'!$C$5))+$H942*SIN(RADIANS('13_시나리오비교'!$B$5))*COS(RADIANS('13_시나리오비교'!$C$5))+$I942*COS(RADIANS('13_시나리오비교'!$B$5))),0)</f>
        <v/>
      </c>
      <c r="Q942" s="80">
        <f>IF($I942&gt;0,MAX(0,$G942*SIN(RADIANS('13_시나리오비교'!$B$6))*SIN(RADIANS('13_시나리오비교'!$C$6))+$H942*SIN(RADIANS('13_시나리오비교'!$B$6))*COS(RADIANS('13_시나리오비교'!$C$6))+$I942*COS(RADIANS('13_시나리오비교'!$B$6))),0)</f>
        <v/>
      </c>
      <c r="R942" s="80">
        <f>IF($I942&gt;0,MAX(0,$G942*SIN(RADIANS('13_시나리오비교'!$B$7))*SIN(RADIANS('13_시나리오비교'!$C$7))+$H942*SIN(RADIANS('13_시나리오비교'!$B$7))*COS(RADIANS('13_시나리오비교'!$C$7))+$I942*COS(RADIANS('13_시나리오비교'!$B$7))),0)</f>
        <v/>
      </c>
      <c r="S942" s="80">
        <f>IF($I942&gt;0,MAX(0,$G942*SIN(RADIANS('13_시나리오비교'!$B$8))*SIN(RADIANS('13_시나리오비교'!$C$8))+$H942*SIN(RADIANS('13_시나리오비교'!$B$8))*COS(RADIANS('13_시나리오비교'!$C$8))+$I942*COS(RADIANS('13_시나리오비교'!$B$8))),0)</f>
        <v/>
      </c>
      <c r="T942" s="80">
        <f>IF($I942&gt;0,MAX(0,$G942*SIN(RADIANS('13_시나리오비교'!$B$9))*SIN(RADIANS('13_시나리오비교'!$C$9))+$H942*SIN(RADIANS('13_시나리오비교'!$B$9))*COS(RADIANS('13_시나리오비교'!$C$9))+$I942*COS(RADIANS('13_시나리오비교'!$B$9))),0)</f>
        <v/>
      </c>
      <c r="U942" s="80">
        <f>IF($I942&gt;0,MAX(0,$G942*SIN(RADIANS('13_시나리오비교'!$B$10))*SIN(RADIANS('13_시나리오비교'!$C$10))+$H942*SIN(RADIANS('13_시나리오비교'!$B$10))*COS(RADIANS('13_시나리오비교'!$C$10))+$I942*COS(RADIANS('13_시나리오비교'!$B$10))),0)</f>
        <v/>
      </c>
      <c r="V942" s="80">
        <f>IF($I942&gt;0,MAX(0,$G942*SIN(RADIANS('13_시나리오비교'!$B$11))*SIN(RADIANS('13_시나리오비교'!$C$11))+$H942*SIN(RADIANS('13_시나리오비교'!$B$11))*COS(RADIANS('13_시나리오비교'!$C$11))+$I942*COS(RADIANS('13_시나리오비교'!$B$11))),0)</f>
        <v/>
      </c>
      <c r="W942" s="80">
        <f>IF($I942&gt;0,MAX(0,$G942*SIN(RADIANS('13_시나리오비교'!$B$12))*SIN(RADIANS('13_시나리오비교'!$C$12))+$H942*SIN(RADIANS('13_시나리오비교'!$B$12))*COS(RADIANS('13_시나리오비교'!$C$12))+$I942*COS(RADIANS('13_시나리오비교'!$B$12))),0)</f>
        <v/>
      </c>
      <c r="X942" s="80">
        <f>IF($I942&gt;0,MAX(0,$G942*SIN(RADIANS('13_시나리오비교'!$B$13))*SIN(RADIANS('13_시나리오비교'!$C$13))+$H942*SIN(RADIANS('13_시나리오비교'!$B$13))*COS(RADIANS('13_시나리오비교'!$C$13))+$I942*COS(RADIANS('13_시나리오비교'!$B$13))),0)</f>
        <v/>
      </c>
      <c r="Y942" s="80">
        <f>IF($I942&gt;0,MAX(0,$G942*SIN(RADIANS('13_시나리오비교'!$B$14))*SIN(RADIANS('13_시나리오비교'!$C$14))+$H942*SIN(RADIANS('13_시나리오비교'!$B$14))*COS(RADIANS('13_시나리오비교'!$C$14))+$I942*COS(RADIANS('13_시나리오비교'!$B$14))),0)</f>
        <v/>
      </c>
    </row>
    <row r="943" hidden="1" outlineLevel="1">
      <c r="A943" s="79" t="n">
        <v>10</v>
      </c>
      <c r="B943" s="79" t="n">
        <v>59</v>
      </c>
      <c r="C943" s="80">
        <f>(B943-0.5)*'14_지역·상수'!$H$6</f>
        <v/>
      </c>
      <c r="D943" s="79" t="n">
        <v>288</v>
      </c>
      <c r="E943" s="80">
        <f>INDEX($C$4:$C$15,MATCH(A943,$A$4:$A$15,0))</f>
        <v/>
      </c>
      <c r="F943" s="80">
        <f>15*(C943-12)</f>
        <v/>
      </c>
      <c r="G943" s="80">
        <f>-COS(RADIANS(E943))*SIN(RADIANS(F943))</f>
        <v/>
      </c>
      <c r="H943" s="80">
        <f>COS(RADIANS('11_발전량_모델'!$B$17))*SIN(RADIANS(E943))-SIN(RADIANS('11_발전량_모델'!$B$17))*COS(RADIANS(E943))*COS(RADIANS(F943))</f>
        <v/>
      </c>
      <c r="I943" s="80">
        <f>SIN(RADIANS('11_발전량_모델'!$B$17))*SIN(RADIANS(E943))+COS(RADIANS('11_발전량_모델'!$B$17))*COS(RADIANS(E943))*COS(RADIANS(F943))</f>
        <v/>
      </c>
      <c r="J943" s="80">
        <f>SIN(RADIANS('11_발전량_모델'!$B$7))*SIN(RADIANS('11_발전량_모델'!$B$8))</f>
        <v/>
      </c>
      <c r="K943" s="80">
        <f>SIN(RADIANS('11_발전량_모델'!$B$7))*COS(RADIANS('11_발전량_모델'!$B$8))</f>
        <v/>
      </c>
      <c r="L943" s="80">
        <f>COS(RADIANS('11_발전량_모델'!$B$7))</f>
        <v/>
      </c>
      <c r="M943" s="80">
        <f>G943*J943+H943*K943+I943*L943</f>
        <v/>
      </c>
      <c r="N943" s="80">
        <f>MAX(0,I943)</f>
        <v/>
      </c>
      <c r="O943" s="80">
        <f>IF(I943&gt;0,MAX(0,M943),0)</f>
        <v/>
      </c>
      <c r="P943" s="80">
        <f>IF($I943&gt;0,MAX(0,$G943*SIN(RADIANS('13_시나리오비교'!$B$5))*SIN(RADIANS('13_시나리오비교'!$C$5))+$H943*SIN(RADIANS('13_시나리오비교'!$B$5))*COS(RADIANS('13_시나리오비교'!$C$5))+$I943*COS(RADIANS('13_시나리오비교'!$B$5))),0)</f>
        <v/>
      </c>
      <c r="Q943" s="80">
        <f>IF($I943&gt;0,MAX(0,$G943*SIN(RADIANS('13_시나리오비교'!$B$6))*SIN(RADIANS('13_시나리오비교'!$C$6))+$H943*SIN(RADIANS('13_시나리오비교'!$B$6))*COS(RADIANS('13_시나리오비교'!$C$6))+$I943*COS(RADIANS('13_시나리오비교'!$B$6))),0)</f>
        <v/>
      </c>
      <c r="R943" s="80">
        <f>IF($I943&gt;0,MAX(0,$G943*SIN(RADIANS('13_시나리오비교'!$B$7))*SIN(RADIANS('13_시나리오비교'!$C$7))+$H943*SIN(RADIANS('13_시나리오비교'!$B$7))*COS(RADIANS('13_시나리오비교'!$C$7))+$I943*COS(RADIANS('13_시나리오비교'!$B$7))),0)</f>
        <v/>
      </c>
      <c r="S943" s="80">
        <f>IF($I943&gt;0,MAX(0,$G943*SIN(RADIANS('13_시나리오비교'!$B$8))*SIN(RADIANS('13_시나리오비교'!$C$8))+$H943*SIN(RADIANS('13_시나리오비교'!$B$8))*COS(RADIANS('13_시나리오비교'!$C$8))+$I943*COS(RADIANS('13_시나리오비교'!$B$8))),0)</f>
        <v/>
      </c>
      <c r="T943" s="80">
        <f>IF($I943&gt;0,MAX(0,$G943*SIN(RADIANS('13_시나리오비교'!$B$9))*SIN(RADIANS('13_시나리오비교'!$C$9))+$H943*SIN(RADIANS('13_시나리오비교'!$B$9))*COS(RADIANS('13_시나리오비교'!$C$9))+$I943*COS(RADIANS('13_시나리오비교'!$B$9))),0)</f>
        <v/>
      </c>
      <c r="U943" s="80">
        <f>IF($I943&gt;0,MAX(0,$G943*SIN(RADIANS('13_시나리오비교'!$B$10))*SIN(RADIANS('13_시나리오비교'!$C$10))+$H943*SIN(RADIANS('13_시나리오비교'!$B$10))*COS(RADIANS('13_시나리오비교'!$C$10))+$I943*COS(RADIANS('13_시나리오비교'!$B$10))),0)</f>
        <v/>
      </c>
      <c r="V943" s="80">
        <f>IF($I943&gt;0,MAX(0,$G943*SIN(RADIANS('13_시나리오비교'!$B$11))*SIN(RADIANS('13_시나리오비교'!$C$11))+$H943*SIN(RADIANS('13_시나리오비교'!$B$11))*COS(RADIANS('13_시나리오비교'!$C$11))+$I943*COS(RADIANS('13_시나리오비교'!$B$11))),0)</f>
        <v/>
      </c>
      <c r="W943" s="80">
        <f>IF($I943&gt;0,MAX(0,$G943*SIN(RADIANS('13_시나리오비교'!$B$12))*SIN(RADIANS('13_시나리오비교'!$C$12))+$H943*SIN(RADIANS('13_시나리오비교'!$B$12))*COS(RADIANS('13_시나리오비교'!$C$12))+$I943*COS(RADIANS('13_시나리오비교'!$B$12))),0)</f>
        <v/>
      </c>
      <c r="X943" s="80">
        <f>IF($I943&gt;0,MAX(0,$G943*SIN(RADIANS('13_시나리오비교'!$B$13))*SIN(RADIANS('13_시나리오비교'!$C$13))+$H943*SIN(RADIANS('13_시나리오비교'!$B$13))*COS(RADIANS('13_시나리오비교'!$C$13))+$I943*COS(RADIANS('13_시나리오비교'!$B$13))),0)</f>
        <v/>
      </c>
      <c r="Y943" s="80">
        <f>IF($I943&gt;0,MAX(0,$G943*SIN(RADIANS('13_시나리오비교'!$B$14))*SIN(RADIANS('13_시나리오비교'!$C$14))+$H943*SIN(RADIANS('13_시나리오비교'!$B$14))*COS(RADIANS('13_시나리오비교'!$C$14))+$I943*COS(RADIANS('13_시나리오비교'!$B$14))),0)</f>
        <v/>
      </c>
    </row>
    <row r="944" hidden="1" outlineLevel="1">
      <c r="A944" s="79" t="n">
        <v>10</v>
      </c>
      <c r="B944" s="79" t="n">
        <v>60</v>
      </c>
      <c r="C944" s="80">
        <f>(B944-0.5)*'14_지역·상수'!$H$6</f>
        <v/>
      </c>
      <c r="D944" s="79" t="n">
        <v>288</v>
      </c>
      <c r="E944" s="80">
        <f>INDEX($C$4:$C$15,MATCH(A944,$A$4:$A$15,0))</f>
        <v/>
      </c>
      <c r="F944" s="80">
        <f>15*(C944-12)</f>
        <v/>
      </c>
      <c r="G944" s="80">
        <f>-COS(RADIANS(E944))*SIN(RADIANS(F944))</f>
        <v/>
      </c>
      <c r="H944" s="80">
        <f>COS(RADIANS('11_발전량_모델'!$B$17))*SIN(RADIANS(E944))-SIN(RADIANS('11_발전량_모델'!$B$17))*COS(RADIANS(E944))*COS(RADIANS(F944))</f>
        <v/>
      </c>
      <c r="I944" s="80">
        <f>SIN(RADIANS('11_발전량_모델'!$B$17))*SIN(RADIANS(E944))+COS(RADIANS('11_발전량_모델'!$B$17))*COS(RADIANS(E944))*COS(RADIANS(F944))</f>
        <v/>
      </c>
      <c r="J944" s="80">
        <f>SIN(RADIANS('11_발전량_모델'!$B$7))*SIN(RADIANS('11_발전량_모델'!$B$8))</f>
        <v/>
      </c>
      <c r="K944" s="80">
        <f>SIN(RADIANS('11_발전량_모델'!$B$7))*COS(RADIANS('11_발전량_모델'!$B$8))</f>
        <v/>
      </c>
      <c r="L944" s="80">
        <f>COS(RADIANS('11_발전량_모델'!$B$7))</f>
        <v/>
      </c>
      <c r="M944" s="80">
        <f>G944*J944+H944*K944+I944*L944</f>
        <v/>
      </c>
      <c r="N944" s="80">
        <f>MAX(0,I944)</f>
        <v/>
      </c>
      <c r="O944" s="80">
        <f>IF(I944&gt;0,MAX(0,M944),0)</f>
        <v/>
      </c>
      <c r="P944" s="80">
        <f>IF($I944&gt;0,MAX(0,$G944*SIN(RADIANS('13_시나리오비교'!$B$5))*SIN(RADIANS('13_시나리오비교'!$C$5))+$H944*SIN(RADIANS('13_시나리오비교'!$B$5))*COS(RADIANS('13_시나리오비교'!$C$5))+$I944*COS(RADIANS('13_시나리오비교'!$B$5))),0)</f>
        <v/>
      </c>
      <c r="Q944" s="80">
        <f>IF($I944&gt;0,MAX(0,$G944*SIN(RADIANS('13_시나리오비교'!$B$6))*SIN(RADIANS('13_시나리오비교'!$C$6))+$H944*SIN(RADIANS('13_시나리오비교'!$B$6))*COS(RADIANS('13_시나리오비교'!$C$6))+$I944*COS(RADIANS('13_시나리오비교'!$B$6))),0)</f>
        <v/>
      </c>
      <c r="R944" s="80">
        <f>IF($I944&gt;0,MAX(0,$G944*SIN(RADIANS('13_시나리오비교'!$B$7))*SIN(RADIANS('13_시나리오비교'!$C$7))+$H944*SIN(RADIANS('13_시나리오비교'!$B$7))*COS(RADIANS('13_시나리오비교'!$C$7))+$I944*COS(RADIANS('13_시나리오비교'!$B$7))),0)</f>
        <v/>
      </c>
      <c r="S944" s="80">
        <f>IF($I944&gt;0,MAX(0,$G944*SIN(RADIANS('13_시나리오비교'!$B$8))*SIN(RADIANS('13_시나리오비교'!$C$8))+$H944*SIN(RADIANS('13_시나리오비교'!$B$8))*COS(RADIANS('13_시나리오비교'!$C$8))+$I944*COS(RADIANS('13_시나리오비교'!$B$8))),0)</f>
        <v/>
      </c>
      <c r="T944" s="80">
        <f>IF($I944&gt;0,MAX(0,$G944*SIN(RADIANS('13_시나리오비교'!$B$9))*SIN(RADIANS('13_시나리오비교'!$C$9))+$H944*SIN(RADIANS('13_시나리오비교'!$B$9))*COS(RADIANS('13_시나리오비교'!$C$9))+$I944*COS(RADIANS('13_시나리오비교'!$B$9))),0)</f>
        <v/>
      </c>
      <c r="U944" s="80">
        <f>IF($I944&gt;0,MAX(0,$G944*SIN(RADIANS('13_시나리오비교'!$B$10))*SIN(RADIANS('13_시나리오비교'!$C$10))+$H944*SIN(RADIANS('13_시나리오비교'!$B$10))*COS(RADIANS('13_시나리오비교'!$C$10))+$I944*COS(RADIANS('13_시나리오비교'!$B$10))),0)</f>
        <v/>
      </c>
      <c r="V944" s="80">
        <f>IF($I944&gt;0,MAX(0,$G944*SIN(RADIANS('13_시나리오비교'!$B$11))*SIN(RADIANS('13_시나리오비교'!$C$11))+$H944*SIN(RADIANS('13_시나리오비교'!$B$11))*COS(RADIANS('13_시나리오비교'!$C$11))+$I944*COS(RADIANS('13_시나리오비교'!$B$11))),0)</f>
        <v/>
      </c>
      <c r="W944" s="80">
        <f>IF($I944&gt;0,MAX(0,$G944*SIN(RADIANS('13_시나리오비교'!$B$12))*SIN(RADIANS('13_시나리오비교'!$C$12))+$H944*SIN(RADIANS('13_시나리오비교'!$B$12))*COS(RADIANS('13_시나리오비교'!$C$12))+$I944*COS(RADIANS('13_시나리오비교'!$B$12))),0)</f>
        <v/>
      </c>
      <c r="X944" s="80">
        <f>IF($I944&gt;0,MAX(0,$G944*SIN(RADIANS('13_시나리오비교'!$B$13))*SIN(RADIANS('13_시나리오비교'!$C$13))+$H944*SIN(RADIANS('13_시나리오비교'!$B$13))*COS(RADIANS('13_시나리오비교'!$C$13))+$I944*COS(RADIANS('13_시나리오비교'!$B$13))),0)</f>
        <v/>
      </c>
      <c r="Y944" s="80">
        <f>IF($I944&gt;0,MAX(0,$G944*SIN(RADIANS('13_시나리오비교'!$B$14))*SIN(RADIANS('13_시나리오비교'!$C$14))+$H944*SIN(RADIANS('13_시나리오비교'!$B$14))*COS(RADIANS('13_시나리오비교'!$C$14))+$I944*COS(RADIANS('13_시나리오비교'!$B$14))),0)</f>
        <v/>
      </c>
    </row>
    <row r="945" hidden="1" outlineLevel="1">
      <c r="A945" s="79" t="n">
        <v>10</v>
      </c>
      <c r="B945" s="79" t="n">
        <v>61</v>
      </c>
      <c r="C945" s="80">
        <f>(B945-0.5)*'14_지역·상수'!$H$6</f>
        <v/>
      </c>
      <c r="D945" s="79" t="n">
        <v>288</v>
      </c>
      <c r="E945" s="80">
        <f>INDEX($C$4:$C$15,MATCH(A945,$A$4:$A$15,0))</f>
        <v/>
      </c>
      <c r="F945" s="80">
        <f>15*(C945-12)</f>
        <v/>
      </c>
      <c r="G945" s="80">
        <f>-COS(RADIANS(E945))*SIN(RADIANS(F945))</f>
        <v/>
      </c>
      <c r="H945" s="80">
        <f>COS(RADIANS('11_발전량_모델'!$B$17))*SIN(RADIANS(E945))-SIN(RADIANS('11_발전량_모델'!$B$17))*COS(RADIANS(E945))*COS(RADIANS(F945))</f>
        <v/>
      </c>
      <c r="I945" s="80">
        <f>SIN(RADIANS('11_발전량_모델'!$B$17))*SIN(RADIANS(E945))+COS(RADIANS('11_발전량_모델'!$B$17))*COS(RADIANS(E945))*COS(RADIANS(F945))</f>
        <v/>
      </c>
      <c r="J945" s="80">
        <f>SIN(RADIANS('11_발전량_모델'!$B$7))*SIN(RADIANS('11_발전량_모델'!$B$8))</f>
        <v/>
      </c>
      <c r="K945" s="80">
        <f>SIN(RADIANS('11_발전량_모델'!$B$7))*COS(RADIANS('11_발전량_모델'!$B$8))</f>
        <v/>
      </c>
      <c r="L945" s="80">
        <f>COS(RADIANS('11_발전량_모델'!$B$7))</f>
        <v/>
      </c>
      <c r="M945" s="80">
        <f>G945*J945+H945*K945+I945*L945</f>
        <v/>
      </c>
      <c r="N945" s="80">
        <f>MAX(0,I945)</f>
        <v/>
      </c>
      <c r="O945" s="80">
        <f>IF(I945&gt;0,MAX(0,M945),0)</f>
        <v/>
      </c>
      <c r="P945" s="80">
        <f>IF($I945&gt;0,MAX(0,$G945*SIN(RADIANS('13_시나리오비교'!$B$5))*SIN(RADIANS('13_시나리오비교'!$C$5))+$H945*SIN(RADIANS('13_시나리오비교'!$B$5))*COS(RADIANS('13_시나리오비교'!$C$5))+$I945*COS(RADIANS('13_시나리오비교'!$B$5))),0)</f>
        <v/>
      </c>
      <c r="Q945" s="80">
        <f>IF($I945&gt;0,MAX(0,$G945*SIN(RADIANS('13_시나리오비교'!$B$6))*SIN(RADIANS('13_시나리오비교'!$C$6))+$H945*SIN(RADIANS('13_시나리오비교'!$B$6))*COS(RADIANS('13_시나리오비교'!$C$6))+$I945*COS(RADIANS('13_시나리오비교'!$B$6))),0)</f>
        <v/>
      </c>
      <c r="R945" s="80">
        <f>IF($I945&gt;0,MAX(0,$G945*SIN(RADIANS('13_시나리오비교'!$B$7))*SIN(RADIANS('13_시나리오비교'!$C$7))+$H945*SIN(RADIANS('13_시나리오비교'!$B$7))*COS(RADIANS('13_시나리오비교'!$C$7))+$I945*COS(RADIANS('13_시나리오비교'!$B$7))),0)</f>
        <v/>
      </c>
      <c r="S945" s="80">
        <f>IF($I945&gt;0,MAX(0,$G945*SIN(RADIANS('13_시나리오비교'!$B$8))*SIN(RADIANS('13_시나리오비교'!$C$8))+$H945*SIN(RADIANS('13_시나리오비교'!$B$8))*COS(RADIANS('13_시나리오비교'!$C$8))+$I945*COS(RADIANS('13_시나리오비교'!$B$8))),0)</f>
        <v/>
      </c>
      <c r="T945" s="80">
        <f>IF($I945&gt;0,MAX(0,$G945*SIN(RADIANS('13_시나리오비교'!$B$9))*SIN(RADIANS('13_시나리오비교'!$C$9))+$H945*SIN(RADIANS('13_시나리오비교'!$B$9))*COS(RADIANS('13_시나리오비교'!$C$9))+$I945*COS(RADIANS('13_시나리오비교'!$B$9))),0)</f>
        <v/>
      </c>
      <c r="U945" s="80">
        <f>IF($I945&gt;0,MAX(0,$G945*SIN(RADIANS('13_시나리오비교'!$B$10))*SIN(RADIANS('13_시나리오비교'!$C$10))+$H945*SIN(RADIANS('13_시나리오비교'!$B$10))*COS(RADIANS('13_시나리오비교'!$C$10))+$I945*COS(RADIANS('13_시나리오비교'!$B$10))),0)</f>
        <v/>
      </c>
      <c r="V945" s="80">
        <f>IF($I945&gt;0,MAX(0,$G945*SIN(RADIANS('13_시나리오비교'!$B$11))*SIN(RADIANS('13_시나리오비교'!$C$11))+$H945*SIN(RADIANS('13_시나리오비교'!$B$11))*COS(RADIANS('13_시나리오비교'!$C$11))+$I945*COS(RADIANS('13_시나리오비교'!$B$11))),0)</f>
        <v/>
      </c>
      <c r="W945" s="80">
        <f>IF($I945&gt;0,MAX(0,$G945*SIN(RADIANS('13_시나리오비교'!$B$12))*SIN(RADIANS('13_시나리오비교'!$C$12))+$H945*SIN(RADIANS('13_시나리오비교'!$B$12))*COS(RADIANS('13_시나리오비교'!$C$12))+$I945*COS(RADIANS('13_시나리오비교'!$B$12))),0)</f>
        <v/>
      </c>
      <c r="X945" s="80">
        <f>IF($I945&gt;0,MAX(0,$G945*SIN(RADIANS('13_시나리오비교'!$B$13))*SIN(RADIANS('13_시나리오비교'!$C$13))+$H945*SIN(RADIANS('13_시나리오비교'!$B$13))*COS(RADIANS('13_시나리오비교'!$C$13))+$I945*COS(RADIANS('13_시나리오비교'!$B$13))),0)</f>
        <v/>
      </c>
      <c r="Y945" s="80">
        <f>IF($I945&gt;0,MAX(0,$G945*SIN(RADIANS('13_시나리오비교'!$B$14))*SIN(RADIANS('13_시나리오비교'!$C$14))+$H945*SIN(RADIANS('13_시나리오비교'!$B$14))*COS(RADIANS('13_시나리오비교'!$C$14))+$I945*COS(RADIANS('13_시나리오비교'!$B$14))),0)</f>
        <v/>
      </c>
    </row>
    <row r="946" hidden="1" outlineLevel="1">
      <c r="A946" s="79" t="n">
        <v>10</v>
      </c>
      <c r="B946" s="79" t="n">
        <v>62</v>
      </c>
      <c r="C946" s="80">
        <f>(B946-0.5)*'14_지역·상수'!$H$6</f>
        <v/>
      </c>
      <c r="D946" s="79" t="n">
        <v>288</v>
      </c>
      <c r="E946" s="80">
        <f>INDEX($C$4:$C$15,MATCH(A946,$A$4:$A$15,0))</f>
        <v/>
      </c>
      <c r="F946" s="80">
        <f>15*(C946-12)</f>
        <v/>
      </c>
      <c r="G946" s="80">
        <f>-COS(RADIANS(E946))*SIN(RADIANS(F946))</f>
        <v/>
      </c>
      <c r="H946" s="80">
        <f>COS(RADIANS('11_발전량_모델'!$B$17))*SIN(RADIANS(E946))-SIN(RADIANS('11_발전량_모델'!$B$17))*COS(RADIANS(E946))*COS(RADIANS(F946))</f>
        <v/>
      </c>
      <c r="I946" s="80">
        <f>SIN(RADIANS('11_발전량_모델'!$B$17))*SIN(RADIANS(E946))+COS(RADIANS('11_발전량_모델'!$B$17))*COS(RADIANS(E946))*COS(RADIANS(F946))</f>
        <v/>
      </c>
      <c r="J946" s="80">
        <f>SIN(RADIANS('11_발전량_모델'!$B$7))*SIN(RADIANS('11_발전량_모델'!$B$8))</f>
        <v/>
      </c>
      <c r="K946" s="80">
        <f>SIN(RADIANS('11_발전량_모델'!$B$7))*COS(RADIANS('11_발전량_모델'!$B$8))</f>
        <v/>
      </c>
      <c r="L946" s="80">
        <f>COS(RADIANS('11_발전량_모델'!$B$7))</f>
        <v/>
      </c>
      <c r="M946" s="80">
        <f>G946*J946+H946*K946+I946*L946</f>
        <v/>
      </c>
      <c r="N946" s="80">
        <f>MAX(0,I946)</f>
        <v/>
      </c>
      <c r="O946" s="80">
        <f>IF(I946&gt;0,MAX(0,M946),0)</f>
        <v/>
      </c>
      <c r="P946" s="80">
        <f>IF($I946&gt;0,MAX(0,$G946*SIN(RADIANS('13_시나리오비교'!$B$5))*SIN(RADIANS('13_시나리오비교'!$C$5))+$H946*SIN(RADIANS('13_시나리오비교'!$B$5))*COS(RADIANS('13_시나리오비교'!$C$5))+$I946*COS(RADIANS('13_시나리오비교'!$B$5))),0)</f>
        <v/>
      </c>
      <c r="Q946" s="80">
        <f>IF($I946&gt;0,MAX(0,$G946*SIN(RADIANS('13_시나리오비교'!$B$6))*SIN(RADIANS('13_시나리오비교'!$C$6))+$H946*SIN(RADIANS('13_시나리오비교'!$B$6))*COS(RADIANS('13_시나리오비교'!$C$6))+$I946*COS(RADIANS('13_시나리오비교'!$B$6))),0)</f>
        <v/>
      </c>
      <c r="R946" s="80">
        <f>IF($I946&gt;0,MAX(0,$G946*SIN(RADIANS('13_시나리오비교'!$B$7))*SIN(RADIANS('13_시나리오비교'!$C$7))+$H946*SIN(RADIANS('13_시나리오비교'!$B$7))*COS(RADIANS('13_시나리오비교'!$C$7))+$I946*COS(RADIANS('13_시나리오비교'!$B$7))),0)</f>
        <v/>
      </c>
      <c r="S946" s="80">
        <f>IF($I946&gt;0,MAX(0,$G946*SIN(RADIANS('13_시나리오비교'!$B$8))*SIN(RADIANS('13_시나리오비교'!$C$8))+$H946*SIN(RADIANS('13_시나리오비교'!$B$8))*COS(RADIANS('13_시나리오비교'!$C$8))+$I946*COS(RADIANS('13_시나리오비교'!$B$8))),0)</f>
        <v/>
      </c>
      <c r="T946" s="80">
        <f>IF($I946&gt;0,MAX(0,$G946*SIN(RADIANS('13_시나리오비교'!$B$9))*SIN(RADIANS('13_시나리오비교'!$C$9))+$H946*SIN(RADIANS('13_시나리오비교'!$B$9))*COS(RADIANS('13_시나리오비교'!$C$9))+$I946*COS(RADIANS('13_시나리오비교'!$B$9))),0)</f>
        <v/>
      </c>
      <c r="U946" s="80">
        <f>IF($I946&gt;0,MAX(0,$G946*SIN(RADIANS('13_시나리오비교'!$B$10))*SIN(RADIANS('13_시나리오비교'!$C$10))+$H946*SIN(RADIANS('13_시나리오비교'!$B$10))*COS(RADIANS('13_시나리오비교'!$C$10))+$I946*COS(RADIANS('13_시나리오비교'!$B$10))),0)</f>
        <v/>
      </c>
      <c r="V946" s="80">
        <f>IF($I946&gt;0,MAX(0,$G946*SIN(RADIANS('13_시나리오비교'!$B$11))*SIN(RADIANS('13_시나리오비교'!$C$11))+$H946*SIN(RADIANS('13_시나리오비교'!$B$11))*COS(RADIANS('13_시나리오비교'!$C$11))+$I946*COS(RADIANS('13_시나리오비교'!$B$11))),0)</f>
        <v/>
      </c>
      <c r="W946" s="80">
        <f>IF($I946&gt;0,MAX(0,$G946*SIN(RADIANS('13_시나리오비교'!$B$12))*SIN(RADIANS('13_시나리오비교'!$C$12))+$H946*SIN(RADIANS('13_시나리오비교'!$B$12))*COS(RADIANS('13_시나리오비교'!$C$12))+$I946*COS(RADIANS('13_시나리오비교'!$B$12))),0)</f>
        <v/>
      </c>
      <c r="X946" s="80">
        <f>IF($I946&gt;0,MAX(0,$G946*SIN(RADIANS('13_시나리오비교'!$B$13))*SIN(RADIANS('13_시나리오비교'!$C$13))+$H946*SIN(RADIANS('13_시나리오비교'!$B$13))*COS(RADIANS('13_시나리오비교'!$C$13))+$I946*COS(RADIANS('13_시나리오비교'!$B$13))),0)</f>
        <v/>
      </c>
      <c r="Y946" s="80">
        <f>IF($I946&gt;0,MAX(0,$G946*SIN(RADIANS('13_시나리오비교'!$B$14))*SIN(RADIANS('13_시나리오비교'!$C$14))+$H946*SIN(RADIANS('13_시나리오비교'!$B$14))*COS(RADIANS('13_시나리오비교'!$C$14))+$I946*COS(RADIANS('13_시나리오비교'!$B$14))),0)</f>
        <v/>
      </c>
    </row>
    <row r="947" hidden="1" outlineLevel="1">
      <c r="A947" s="79" t="n">
        <v>10</v>
      </c>
      <c r="B947" s="79" t="n">
        <v>63</v>
      </c>
      <c r="C947" s="80">
        <f>(B947-0.5)*'14_지역·상수'!$H$6</f>
        <v/>
      </c>
      <c r="D947" s="79" t="n">
        <v>288</v>
      </c>
      <c r="E947" s="80">
        <f>INDEX($C$4:$C$15,MATCH(A947,$A$4:$A$15,0))</f>
        <v/>
      </c>
      <c r="F947" s="80">
        <f>15*(C947-12)</f>
        <v/>
      </c>
      <c r="G947" s="80">
        <f>-COS(RADIANS(E947))*SIN(RADIANS(F947))</f>
        <v/>
      </c>
      <c r="H947" s="80">
        <f>COS(RADIANS('11_발전량_모델'!$B$17))*SIN(RADIANS(E947))-SIN(RADIANS('11_발전량_모델'!$B$17))*COS(RADIANS(E947))*COS(RADIANS(F947))</f>
        <v/>
      </c>
      <c r="I947" s="80">
        <f>SIN(RADIANS('11_발전량_모델'!$B$17))*SIN(RADIANS(E947))+COS(RADIANS('11_발전량_모델'!$B$17))*COS(RADIANS(E947))*COS(RADIANS(F947))</f>
        <v/>
      </c>
      <c r="J947" s="80">
        <f>SIN(RADIANS('11_발전량_모델'!$B$7))*SIN(RADIANS('11_발전량_모델'!$B$8))</f>
        <v/>
      </c>
      <c r="K947" s="80">
        <f>SIN(RADIANS('11_발전량_모델'!$B$7))*COS(RADIANS('11_발전량_모델'!$B$8))</f>
        <v/>
      </c>
      <c r="L947" s="80">
        <f>COS(RADIANS('11_발전량_모델'!$B$7))</f>
        <v/>
      </c>
      <c r="M947" s="80">
        <f>G947*J947+H947*K947+I947*L947</f>
        <v/>
      </c>
      <c r="N947" s="80">
        <f>MAX(0,I947)</f>
        <v/>
      </c>
      <c r="O947" s="80">
        <f>IF(I947&gt;0,MAX(0,M947),0)</f>
        <v/>
      </c>
      <c r="P947" s="80">
        <f>IF($I947&gt;0,MAX(0,$G947*SIN(RADIANS('13_시나리오비교'!$B$5))*SIN(RADIANS('13_시나리오비교'!$C$5))+$H947*SIN(RADIANS('13_시나리오비교'!$B$5))*COS(RADIANS('13_시나리오비교'!$C$5))+$I947*COS(RADIANS('13_시나리오비교'!$B$5))),0)</f>
        <v/>
      </c>
      <c r="Q947" s="80">
        <f>IF($I947&gt;0,MAX(0,$G947*SIN(RADIANS('13_시나리오비교'!$B$6))*SIN(RADIANS('13_시나리오비교'!$C$6))+$H947*SIN(RADIANS('13_시나리오비교'!$B$6))*COS(RADIANS('13_시나리오비교'!$C$6))+$I947*COS(RADIANS('13_시나리오비교'!$B$6))),0)</f>
        <v/>
      </c>
      <c r="R947" s="80">
        <f>IF($I947&gt;0,MAX(0,$G947*SIN(RADIANS('13_시나리오비교'!$B$7))*SIN(RADIANS('13_시나리오비교'!$C$7))+$H947*SIN(RADIANS('13_시나리오비교'!$B$7))*COS(RADIANS('13_시나리오비교'!$C$7))+$I947*COS(RADIANS('13_시나리오비교'!$B$7))),0)</f>
        <v/>
      </c>
      <c r="S947" s="80">
        <f>IF($I947&gt;0,MAX(0,$G947*SIN(RADIANS('13_시나리오비교'!$B$8))*SIN(RADIANS('13_시나리오비교'!$C$8))+$H947*SIN(RADIANS('13_시나리오비교'!$B$8))*COS(RADIANS('13_시나리오비교'!$C$8))+$I947*COS(RADIANS('13_시나리오비교'!$B$8))),0)</f>
        <v/>
      </c>
      <c r="T947" s="80">
        <f>IF($I947&gt;0,MAX(0,$G947*SIN(RADIANS('13_시나리오비교'!$B$9))*SIN(RADIANS('13_시나리오비교'!$C$9))+$H947*SIN(RADIANS('13_시나리오비교'!$B$9))*COS(RADIANS('13_시나리오비교'!$C$9))+$I947*COS(RADIANS('13_시나리오비교'!$B$9))),0)</f>
        <v/>
      </c>
      <c r="U947" s="80">
        <f>IF($I947&gt;0,MAX(0,$G947*SIN(RADIANS('13_시나리오비교'!$B$10))*SIN(RADIANS('13_시나리오비교'!$C$10))+$H947*SIN(RADIANS('13_시나리오비교'!$B$10))*COS(RADIANS('13_시나리오비교'!$C$10))+$I947*COS(RADIANS('13_시나리오비교'!$B$10))),0)</f>
        <v/>
      </c>
      <c r="V947" s="80">
        <f>IF($I947&gt;0,MAX(0,$G947*SIN(RADIANS('13_시나리오비교'!$B$11))*SIN(RADIANS('13_시나리오비교'!$C$11))+$H947*SIN(RADIANS('13_시나리오비교'!$B$11))*COS(RADIANS('13_시나리오비교'!$C$11))+$I947*COS(RADIANS('13_시나리오비교'!$B$11))),0)</f>
        <v/>
      </c>
      <c r="W947" s="80">
        <f>IF($I947&gt;0,MAX(0,$G947*SIN(RADIANS('13_시나리오비교'!$B$12))*SIN(RADIANS('13_시나리오비교'!$C$12))+$H947*SIN(RADIANS('13_시나리오비교'!$B$12))*COS(RADIANS('13_시나리오비교'!$C$12))+$I947*COS(RADIANS('13_시나리오비교'!$B$12))),0)</f>
        <v/>
      </c>
      <c r="X947" s="80">
        <f>IF($I947&gt;0,MAX(0,$G947*SIN(RADIANS('13_시나리오비교'!$B$13))*SIN(RADIANS('13_시나리오비교'!$C$13))+$H947*SIN(RADIANS('13_시나리오비교'!$B$13))*COS(RADIANS('13_시나리오비교'!$C$13))+$I947*COS(RADIANS('13_시나리오비교'!$B$13))),0)</f>
        <v/>
      </c>
      <c r="Y947" s="80">
        <f>IF($I947&gt;0,MAX(0,$G947*SIN(RADIANS('13_시나리오비교'!$B$14))*SIN(RADIANS('13_시나리오비교'!$C$14))+$H947*SIN(RADIANS('13_시나리오비교'!$B$14))*COS(RADIANS('13_시나리오비교'!$C$14))+$I947*COS(RADIANS('13_시나리오비교'!$B$14))),0)</f>
        <v/>
      </c>
    </row>
    <row r="948" hidden="1" outlineLevel="1">
      <c r="A948" s="79" t="n">
        <v>10</v>
      </c>
      <c r="B948" s="79" t="n">
        <v>64</v>
      </c>
      <c r="C948" s="80">
        <f>(B948-0.5)*'14_지역·상수'!$H$6</f>
        <v/>
      </c>
      <c r="D948" s="79" t="n">
        <v>288</v>
      </c>
      <c r="E948" s="80">
        <f>INDEX($C$4:$C$15,MATCH(A948,$A$4:$A$15,0))</f>
        <v/>
      </c>
      <c r="F948" s="80">
        <f>15*(C948-12)</f>
        <v/>
      </c>
      <c r="G948" s="80">
        <f>-COS(RADIANS(E948))*SIN(RADIANS(F948))</f>
        <v/>
      </c>
      <c r="H948" s="80">
        <f>COS(RADIANS('11_발전량_모델'!$B$17))*SIN(RADIANS(E948))-SIN(RADIANS('11_발전량_모델'!$B$17))*COS(RADIANS(E948))*COS(RADIANS(F948))</f>
        <v/>
      </c>
      <c r="I948" s="80">
        <f>SIN(RADIANS('11_발전량_모델'!$B$17))*SIN(RADIANS(E948))+COS(RADIANS('11_발전량_모델'!$B$17))*COS(RADIANS(E948))*COS(RADIANS(F948))</f>
        <v/>
      </c>
      <c r="J948" s="80">
        <f>SIN(RADIANS('11_발전량_모델'!$B$7))*SIN(RADIANS('11_발전량_모델'!$B$8))</f>
        <v/>
      </c>
      <c r="K948" s="80">
        <f>SIN(RADIANS('11_발전량_모델'!$B$7))*COS(RADIANS('11_발전량_모델'!$B$8))</f>
        <v/>
      </c>
      <c r="L948" s="80">
        <f>COS(RADIANS('11_발전량_모델'!$B$7))</f>
        <v/>
      </c>
      <c r="M948" s="80">
        <f>G948*J948+H948*K948+I948*L948</f>
        <v/>
      </c>
      <c r="N948" s="80">
        <f>MAX(0,I948)</f>
        <v/>
      </c>
      <c r="O948" s="80">
        <f>IF(I948&gt;0,MAX(0,M948),0)</f>
        <v/>
      </c>
      <c r="P948" s="80">
        <f>IF($I948&gt;0,MAX(0,$G948*SIN(RADIANS('13_시나리오비교'!$B$5))*SIN(RADIANS('13_시나리오비교'!$C$5))+$H948*SIN(RADIANS('13_시나리오비교'!$B$5))*COS(RADIANS('13_시나리오비교'!$C$5))+$I948*COS(RADIANS('13_시나리오비교'!$B$5))),0)</f>
        <v/>
      </c>
      <c r="Q948" s="80">
        <f>IF($I948&gt;0,MAX(0,$G948*SIN(RADIANS('13_시나리오비교'!$B$6))*SIN(RADIANS('13_시나리오비교'!$C$6))+$H948*SIN(RADIANS('13_시나리오비교'!$B$6))*COS(RADIANS('13_시나리오비교'!$C$6))+$I948*COS(RADIANS('13_시나리오비교'!$B$6))),0)</f>
        <v/>
      </c>
      <c r="R948" s="80">
        <f>IF($I948&gt;0,MAX(0,$G948*SIN(RADIANS('13_시나리오비교'!$B$7))*SIN(RADIANS('13_시나리오비교'!$C$7))+$H948*SIN(RADIANS('13_시나리오비교'!$B$7))*COS(RADIANS('13_시나리오비교'!$C$7))+$I948*COS(RADIANS('13_시나리오비교'!$B$7))),0)</f>
        <v/>
      </c>
      <c r="S948" s="80">
        <f>IF($I948&gt;0,MAX(0,$G948*SIN(RADIANS('13_시나리오비교'!$B$8))*SIN(RADIANS('13_시나리오비교'!$C$8))+$H948*SIN(RADIANS('13_시나리오비교'!$B$8))*COS(RADIANS('13_시나리오비교'!$C$8))+$I948*COS(RADIANS('13_시나리오비교'!$B$8))),0)</f>
        <v/>
      </c>
      <c r="T948" s="80">
        <f>IF($I948&gt;0,MAX(0,$G948*SIN(RADIANS('13_시나리오비교'!$B$9))*SIN(RADIANS('13_시나리오비교'!$C$9))+$H948*SIN(RADIANS('13_시나리오비교'!$B$9))*COS(RADIANS('13_시나리오비교'!$C$9))+$I948*COS(RADIANS('13_시나리오비교'!$B$9))),0)</f>
        <v/>
      </c>
      <c r="U948" s="80">
        <f>IF($I948&gt;0,MAX(0,$G948*SIN(RADIANS('13_시나리오비교'!$B$10))*SIN(RADIANS('13_시나리오비교'!$C$10))+$H948*SIN(RADIANS('13_시나리오비교'!$B$10))*COS(RADIANS('13_시나리오비교'!$C$10))+$I948*COS(RADIANS('13_시나리오비교'!$B$10))),0)</f>
        <v/>
      </c>
      <c r="V948" s="80">
        <f>IF($I948&gt;0,MAX(0,$G948*SIN(RADIANS('13_시나리오비교'!$B$11))*SIN(RADIANS('13_시나리오비교'!$C$11))+$H948*SIN(RADIANS('13_시나리오비교'!$B$11))*COS(RADIANS('13_시나리오비교'!$C$11))+$I948*COS(RADIANS('13_시나리오비교'!$B$11))),0)</f>
        <v/>
      </c>
      <c r="W948" s="80">
        <f>IF($I948&gt;0,MAX(0,$G948*SIN(RADIANS('13_시나리오비교'!$B$12))*SIN(RADIANS('13_시나리오비교'!$C$12))+$H948*SIN(RADIANS('13_시나리오비교'!$B$12))*COS(RADIANS('13_시나리오비교'!$C$12))+$I948*COS(RADIANS('13_시나리오비교'!$B$12))),0)</f>
        <v/>
      </c>
      <c r="X948" s="80">
        <f>IF($I948&gt;0,MAX(0,$G948*SIN(RADIANS('13_시나리오비교'!$B$13))*SIN(RADIANS('13_시나리오비교'!$C$13))+$H948*SIN(RADIANS('13_시나리오비교'!$B$13))*COS(RADIANS('13_시나리오비교'!$C$13))+$I948*COS(RADIANS('13_시나리오비교'!$B$13))),0)</f>
        <v/>
      </c>
      <c r="Y948" s="80">
        <f>IF($I948&gt;0,MAX(0,$G948*SIN(RADIANS('13_시나리오비교'!$B$14))*SIN(RADIANS('13_시나리오비교'!$C$14))+$H948*SIN(RADIANS('13_시나리오비교'!$B$14))*COS(RADIANS('13_시나리오비교'!$C$14))+$I948*COS(RADIANS('13_시나리오비교'!$B$14))),0)</f>
        <v/>
      </c>
    </row>
    <row r="949" hidden="1" outlineLevel="1">
      <c r="A949" s="79" t="n">
        <v>10</v>
      </c>
      <c r="B949" s="79" t="n">
        <v>65</v>
      </c>
      <c r="C949" s="80">
        <f>(B949-0.5)*'14_지역·상수'!$H$6</f>
        <v/>
      </c>
      <c r="D949" s="79" t="n">
        <v>288</v>
      </c>
      <c r="E949" s="80">
        <f>INDEX($C$4:$C$15,MATCH(A949,$A$4:$A$15,0))</f>
        <v/>
      </c>
      <c r="F949" s="80">
        <f>15*(C949-12)</f>
        <v/>
      </c>
      <c r="G949" s="80">
        <f>-COS(RADIANS(E949))*SIN(RADIANS(F949))</f>
        <v/>
      </c>
      <c r="H949" s="80">
        <f>COS(RADIANS('11_발전량_모델'!$B$17))*SIN(RADIANS(E949))-SIN(RADIANS('11_발전량_모델'!$B$17))*COS(RADIANS(E949))*COS(RADIANS(F949))</f>
        <v/>
      </c>
      <c r="I949" s="80">
        <f>SIN(RADIANS('11_발전량_모델'!$B$17))*SIN(RADIANS(E949))+COS(RADIANS('11_발전량_모델'!$B$17))*COS(RADIANS(E949))*COS(RADIANS(F949))</f>
        <v/>
      </c>
      <c r="J949" s="80">
        <f>SIN(RADIANS('11_발전량_모델'!$B$7))*SIN(RADIANS('11_발전량_모델'!$B$8))</f>
        <v/>
      </c>
      <c r="K949" s="80">
        <f>SIN(RADIANS('11_발전량_모델'!$B$7))*COS(RADIANS('11_발전량_모델'!$B$8))</f>
        <v/>
      </c>
      <c r="L949" s="80">
        <f>COS(RADIANS('11_발전량_모델'!$B$7))</f>
        <v/>
      </c>
      <c r="M949" s="80">
        <f>G949*J949+H949*K949+I949*L949</f>
        <v/>
      </c>
      <c r="N949" s="80">
        <f>MAX(0,I949)</f>
        <v/>
      </c>
      <c r="O949" s="80">
        <f>IF(I949&gt;0,MAX(0,M949),0)</f>
        <v/>
      </c>
      <c r="P949" s="80">
        <f>IF($I949&gt;0,MAX(0,$G949*SIN(RADIANS('13_시나리오비교'!$B$5))*SIN(RADIANS('13_시나리오비교'!$C$5))+$H949*SIN(RADIANS('13_시나리오비교'!$B$5))*COS(RADIANS('13_시나리오비교'!$C$5))+$I949*COS(RADIANS('13_시나리오비교'!$B$5))),0)</f>
        <v/>
      </c>
      <c r="Q949" s="80">
        <f>IF($I949&gt;0,MAX(0,$G949*SIN(RADIANS('13_시나리오비교'!$B$6))*SIN(RADIANS('13_시나리오비교'!$C$6))+$H949*SIN(RADIANS('13_시나리오비교'!$B$6))*COS(RADIANS('13_시나리오비교'!$C$6))+$I949*COS(RADIANS('13_시나리오비교'!$B$6))),0)</f>
        <v/>
      </c>
      <c r="R949" s="80">
        <f>IF($I949&gt;0,MAX(0,$G949*SIN(RADIANS('13_시나리오비교'!$B$7))*SIN(RADIANS('13_시나리오비교'!$C$7))+$H949*SIN(RADIANS('13_시나리오비교'!$B$7))*COS(RADIANS('13_시나리오비교'!$C$7))+$I949*COS(RADIANS('13_시나리오비교'!$B$7))),0)</f>
        <v/>
      </c>
      <c r="S949" s="80">
        <f>IF($I949&gt;0,MAX(0,$G949*SIN(RADIANS('13_시나리오비교'!$B$8))*SIN(RADIANS('13_시나리오비교'!$C$8))+$H949*SIN(RADIANS('13_시나리오비교'!$B$8))*COS(RADIANS('13_시나리오비교'!$C$8))+$I949*COS(RADIANS('13_시나리오비교'!$B$8))),0)</f>
        <v/>
      </c>
      <c r="T949" s="80">
        <f>IF($I949&gt;0,MAX(0,$G949*SIN(RADIANS('13_시나리오비교'!$B$9))*SIN(RADIANS('13_시나리오비교'!$C$9))+$H949*SIN(RADIANS('13_시나리오비교'!$B$9))*COS(RADIANS('13_시나리오비교'!$C$9))+$I949*COS(RADIANS('13_시나리오비교'!$B$9))),0)</f>
        <v/>
      </c>
      <c r="U949" s="80">
        <f>IF($I949&gt;0,MAX(0,$G949*SIN(RADIANS('13_시나리오비교'!$B$10))*SIN(RADIANS('13_시나리오비교'!$C$10))+$H949*SIN(RADIANS('13_시나리오비교'!$B$10))*COS(RADIANS('13_시나리오비교'!$C$10))+$I949*COS(RADIANS('13_시나리오비교'!$B$10))),0)</f>
        <v/>
      </c>
      <c r="V949" s="80">
        <f>IF($I949&gt;0,MAX(0,$G949*SIN(RADIANS('13_시나리오비교'!$B$11))*SIN(RADIANS('13_시나리오비교'!$C$11))+$H949*SIN(RADIANS('13_시나리오비교'!$B$11))*COS(RADIANS('13_시나리오비교'!$C$11))+$I949*COS(RADIANS('13_시나리오비교'!$B$11))),0)</f>
        <v/>
      </c>
      <c r="W949" s="80">
        <f>IF($I949&gt;0,MAX(0,$G949*SIN(RADIANS('13_시나리오비교'!$B$12))*SIN(RADIANS('13_시나리오비교'!$C$12))+$H949*SIN(RADIANS('13_시나리오비교'!$B$12))*COS(RADIANS('13_시나리오비교'!$C$12))+$I949*COS(RADIANS('13_시나리오비교'!$B$12))),0)</f>
        <v/>
      </c>
      <c r="X949" s="80">
        <f>IF($I949&gt;0,MAX(0,$G949*SIN(RADIANS('13_시나리오비교'!$B$13))*SIN(RADIANS('13_시나리오비교'!$C$13))+$H949*SIN(RADIANS('13_시나리오비교'!$B$13))*COS(RADIANS('13_시나리오비교'!$C$13))+$I949*COS(RADIANS('13_시나리오비교'!$B$13))),0)</f>
        <v/>
      </c>
      <c r="Y949" s="80">
        <f>IF($I949&gt;0,MAX(0,$G949*SIN(RADIANS('13_시나리오비교'!$B$14))*SIN(RADIANS('13_시나리오비교'!$C$14))+$H949*SIN(RADIANS('13_시나리오비교'!$B$14))*COS(RADIANS('13_시나리오비교'!$C$14))+$I949*COS(RADIANS('13_시나리오비교'!$B$14))),0)</f>
        <v/>
      </c>
    </row>
    <row r="950" hidden="1" outlineLevel="1">
      <c r="A950" s="79" t="n">
        <v>10</v>
      </c>
      <c r="B950" s="79" t="n">
        <v>66</v>
      </c>
      <c r="C950" s="80">
        <f>(B950-0.5)*'14_지역·상수'!$H$6</f>
        <v/>
      </c>
      <c r="D950" s="79" t="n">
        <v>288</v>
      </c>
      <c r="E950" s="80">
        <f>INDEX($C$4:$C$15,MATCH(A950,$A$4:$A$15,0))</f>
        <v/>
      </c>
      <c r="F950" s="80">
        <f>15*(C950-12)</f>
        <v/>
      </c>
      <c r="G950" s="80">
        <f>-COS(RADIANS(E950))*SIN(RADIANS(F950))</f>
        <v/>
      </c>
      <c r="H950" s="80">
        <f>COS(RADIANS('11_발전량_모델'!$B$17))*SIN(RADIANS(E950))-SIN(RADIANS('11_발전량_모델'!$B$17))*COS(RADIANS(E950))*COS(RADIANS(F950))</f>
        <v/>
      </c>
      <c r="I950" s="80">
        <f>SIN(RADIANS('11_발전량_모델'!$B$17))*SIN(RADIANS(E950))+COS(RADIANS('11_발전량_모델'!$B$17))*COS(RADIANS(E950))*COS(RADIANS(F950))</f>
        <v/>
      </c>
      <c r="J950" s="80">
        <f>SIN(RADIANS('11_발전량_모델'!$B$7))*SIN(RADIANS('11_발전량_모델'!$B$8))</f>
        <v/>
      </c>
      <c r="K950" s="80">
        <f>SIN(RADIANS('11_발전량_모델'!$B$7))*COS(RADIANS('11_발전량_모델'!$B$8))</f>
        <v/>
      </c>
      <c r="L950" s="80">
        <f>COS(RADIANS('11_발전량_모델'!$B$7))</f>
        <v/>
      </c>
      <c r="M950" s="80">
        <f>G950*J950+H950*K950+I950*L950</f>
        <v/>
      </c>
      <c r="N950" s="80">
        <f>MAX(0,I950)</f>
        <v/>
      </c>
      <c r="O950" s="80">
        <f>IF(I950&gt;0,MAX(0,M950),0)</f>
        <v/>
      </c>
      <c r="P950" s="80">
        <f>IF($I950&gt;0,MAX(0,$G950*SIN(RADIANS('13_시나리오비교'!$B$5))*SIN(RADIANS('13_시나리오비교'!$C$5))+$H950*SIN(RADIANS('13_시나리오비교'!$B$5))*COS(RADIANS('13_시나리오비교'!$C$5))+$I950*COS(RADIANS('13_시나리오비교'!$B$5))),0)</f>
        <v/>
      </c>
      <c r="Q950" s="80">
        <f>IF($I950&gt;0,MAX(0,$G950*SIN(RADIANS('13_시나리오비교'!$B$6))*SIN(RADIANS('13_시나리오비교'!$C$6))+$H950*SIN(RADIANS('13_시나리오비교'!$B$6))*COS(RADIANS('13_시나리오비교'!$C$6))+$I950*COS(RADIANS('13_시나리오비교'!$B$6))),0)</f>
        <v/>
      </c>
      <c r="R950" s="80">
        <f>IF($I950&gt;0,MAX(0,$G950*SIN(RADIANS('13_시나리오비교'!$B$7))*SIN(RADIANS('13_시나리오비교'!$C$7))+$H950*SIN(RADIANS('13_시나리오비교'!$B$7))*COS(RADIANS('13_시나리오비교'!$C$7))+$I950*COS(RADIANS('13_시나리오비교'!$B$7))),0)</f>
        <v/>
      </c>
      <c r="S950" s="80">
        <f>IF($I950&gt;0,MAX(0,$G950*SIN(RADIANS('13_시나리오비교'!$B$8))*SIN(RADIANS('13_시나리오비교'!$C$8))+$H950*SIN(RADIANS('13_시나리오비교'!$B$8))*COS(RADIANS('13_시나리오비교'!$C$8))+$I950*COS(RADIANS('13_시나리오비교'!$B$8))),0)</f>
        <v/>
      </c>
      <c r="T950" s="80">
        <f>IF($I950&gt;0,MAX(0,$G950*SIN(RADIANS('13_시나리오비교'!$B$9))*SIN(RADIANS('13_시나리오비교'!$C$9))+$H950*SIN(RADIANS('13_시나리오비교'!$B$9))*COS(RADIANS('13_시나리오비교'!$C$9))+$I950*COS(RADIANS('13_시나리오비교'!$B$9))),0)</f>
        <v/>
      </c>
      <c r="U950" s="80">
        <f>IF($I950&gt;0,MAX(0,$G950*SIN(RADIANS('13_시나리오비교'!$B$10))*SIN(RADIANS('13_시나리오비교'!$C$10))+$H950*SIN(RADIANS('13_시나리오비교'!$B$10))*COS(RADIANS('13_시나리오비교'!$C$10))+$I950*COS(RADIANS('13_시나리오비교'!$B$10))),0)</f>
        <v/>
      </c>
      <c r="V950" s="80">
        <f>IF($I950&gt;0,MAX(0,$G950*SIN(RADIANS('13_시나리오비교'!$B$11))*SIN(RADIANS('13_시나리오비교'!$C$11))+$H950*SIN(RADIANS('13_시나리오비교'!$B$11))*COS(RADIANS('13_시나리오비교'!$C$11))+$I950*COS(RADIANS('13_시나리오비교'!$B$11))),0)</f>
        <v/>
      </c>
      <c r="W950" s="80">
        <f>IF($I950&gt;0,MAX(0,$G950*SIN(RADIANS('13_시나리오비교'!$B$12))*SIN(RADIANS('13_시나리오비교'!$C$12))+$H950*SIN(RADIANS('13_시나리오비교'!$B$12))*COS(RADIANS('13_시나리오비교'!$C$12))+$I950*COS(RADIANS('13_시나리오비교'!$B$12))),0)</f>
        <v/>
      </c>
      <c r="X950" s="80">
        <f>IF($I950&gt;0,MAX(0,$G950*SIN(RADIANS('13_시나리오비교'!$B$13))*SIN(RADIANS('13_시나리오비교'!$C$13))+$H950*SIN(RADIANS('13_시나리오비교'!$B$13))*COS(RADIANS('13_시나리오비교'!$C$13))+$I950*COS(RADIANS('13_시나리오비교'!$B$13))),0)</f>
        <v/>
      </c>
      <c r="Y950" s="80">
        <f>IF($I950&gt;0,MAX(0,$G950*SIN(RADIANS('13_시나리오비교'!$B$14))*SIN(RADIANS('13_시나리오비교'!$C$14))+$H950*SIN(RADIANS('13_시나리오비교'!$B$14))*COS(RADIANS('13_시나리오비교'!$C$14))+$I950*COS(RADIANS('13_시나리오비교'!$B$14))),0)</f>
        <v/>
      </c>
    </row>
    <row r="951" hidden="1" outlineLevel="1">
      <c r="A951" s="79" t="n">
        <v>10</v>
      </c>
      <c r="B951" s="79" t="n">
        <v>67</v>
      </c>
      <c r="C951" s="80">
        <f>(B951-0.5)*'14_지역·상수'!$H$6</f>
        <v/>
      </c>
      <c r="D951" s="79" t="n">
        <v>288</v>
      </c>
      <c r="E951" s="80">
        <f>INDEX($C$4:$C$15,MATCH(A951,$A$4:$A$15,0))</f>
        <v/>
      </c>
      <c r="F951" s="80">
        <f>15*(C951-12)</f>
        <v/>
      </c>
      <c r="G951" s="80">
        <f>-COS(RADIANS(E951))*SIN(RADIANS(F951))</f>
        <v/>
      </c>
      <c r="H951" s="80">
        <f>COS(RADIANS('11_발전량_모델'!$B$17))*SIN(RADIANS(E951))-SIN(RADIANS('11_발전량_모델'!$B$17))*COS(RADIANS(E951))*COS(RADIANS(F951))</f>
        <v/>
      </c>
      <c r="I951" s="80">
        <f>SIN(RADIANS('11_발전량_모델'!$B$17))*SIN(RADIANS(E951))+COS(RADIANS('11_발전량_모델'!$B$17))*COS(RADIANS(E951))*COS(RADIANS(F951))</f>
        <v/>
      </c>
      <c r="J951" s="80">
        <f>SIN(RADIANS('11_발전량_모델'!$B$7))*SIN(RADIANS('11_발전량_모델'!$B$8))</f>
        <v/>
      </c>
      <c r="K951" s="80">
        <f>SIN(RADIANS('11_발전량_모델'!$B$7))*COS(RADIANS('11_발전량_모델'!$B$8))</f>
        <v/>
      </c>
      <c r="L951" s="80">
        <f>COS(RADIANS('11_발전량_모델'!$B$7))</f>
        <v/>
      </c>
      <c r="M951" s="80">
        <f>G951*J951+H951*K951+I951*L951</f>
        <v/>
      </c>
      <c r="N951" s="80">
        <f>MAX(0,I951)</f>
        <v/>
      </c>
      <c r="O951" s="80">
        <f>IF(I951&gt;0,MAX(0,M951),0)</f>
        <v/>
      </c>
      <c r="P951" s="80">
        <f>IF($I951&gt;0,MAX(0,$G951*SIN(RADIANS('13_시나리오비교'!$B$5))*SIN(RADIANS('13_시나리오비교'!$C$5))+$H951*SIN(RADIANS('13_시나리오비교'!$B$5))*COS(RADIANS('13_시나리오비교'!$C$5))+$I951*COS(RADIANS('13_시나리오비교'!$B$5))),0)</f>
        <v/>
      </c>
      <c r="Q951" s="80">
        <f>IF($I951&gt;0,MAX(0,$G951*SIN(RADIANS('13_시나리오비교'!$B$6))*SIN(RADIANS('13_시나리오비교'!$C$6))+$H951*SIN(RADIANS('13_시나리오비교'!$B$6))*COS(RADIANS('13_시나리오비교'!$C$6))+$I951*COS(RADIANS('13_시나리오비교'!$B$6))),0)</f>
        <v/>
      </c>
      <c r="R951" s="80">
        <f>IF($I951&gt;0,MAX(0,$G951*SIN(RADIANS('13_시나리오비교'!$B$7))*SIN(RADIANS('13_시나리오비교'!$C$7))+$H951*SIN(RADIANS('13_시나리오비교'!$B$7))*COS(RADIANS('13_시나리오비교'!$C$7))+$I951*COS(RADIANS('13_시나리오비교'!$B$7))),0)</f>
        <v/>
      </c>
      <c r="S951" s="80">
        <f>IF($I951&gt;0,MAX(0,$G951*SIN(RADIANS('13_시나리오비교'!$B$8))*SIN(RADIANS('13_시나리오비교'!$C$8))+$H951*SIN(RADIANS('13_시나리오비교'!$B$8))*COS(RADIANS('13_시나리오비교'!$C$8))+$I951*COS(RADIANS('13_시나리오비교'!$B$8))),0)</f>
        <v/>
      </c>
      <c r="T951" s="80">
        <f>IF($I951&gt;0,MAX(0,$G951*SIN(RADIANS('13_시나리오비교'!$B$9))*SIN(RADIANS('13_시나리오비교'!$C$9))+$H951*SIN(RADIANS('13_시나리오비교'!$B$9))*COS(RADIANS('13_시나리오비교'!$C$9))+$I951*COS(RADIANS('13_시나리오비교'!$B$9))),0)</f>
        <v/>
      </c>
      <c r="U951" s="80">
        <f>IF($I951&gt;0,MAX(0,$G951*SIN(RADIANS('13_시나리오비교'!$B$10))*SIN(RADIANS('13_시나리오비교'!$C$10))+$H951*SIN(RADIANS('13_시나리오비교'!$B$10))*COS(RADIANS('13_시나리오비교'!$C$10))+$I951*COS(RADIANS('13_시나리오비교'!$B$10))),0)</f>
        <v/>
      </c>
      <c r="V951" s="80">
        <f>IF($I951&gt;0,MAX(0,$G951*SIN(RADIANS('13_시나리오비교'!$B$11))*SIN(RADIANS('13_시나리오비교'!$C$11))+$H951*SIN(RADIANS('13_시나리오비교'!$B$11))*COS(RADIANS('13_시나리오비교'!$C$11))+$I951*COS(RADIANS('13_시나리오비교'!$B$11))),0)</f>
        <v/>
      </c>
      <c r="W951" s="80">
        <f>IF($I951&gt;0,MAX(0,$G951*SIN(RADIANS('13_시나리오비교'!$B$12))*SIN(RADIANS('13_시나리오비교'!$C$12))+$H951*SIN(RADIANS('13_시나리오비교'!$B$12))*COS(RADIANS('13_시나리오비교'!$C$12))+$I951*COS(RADIANS('13_시나리오비교'!$B$12))),0)</f>
        <v/>
      </c>
      <c r="X951" s="80">
        <f>IF($I951&gt;0,MAX(0,$G951*SIN(RADIANS('13_시나리오비교'!$B$13))*SIN(RADIANS('13_시나리오비교'!$C$13))+$H951*SIN(RADIANS('13_시나리오비교'!$B$13))*COS(RADIANS('13_시나리오비교'!$C$13))+$I951*COS(RADIANS('13_시나리오비교'!$B$13))),0)</f>
        <v/>
      </c>
      <c r="Y951" s="80">
        <f>IF($I951&gt;0,MAX(0,$G951*SIN(RADIANS('13_시나리오비교'!$B$14))*SIN(RADIANS('13_시나리오비교'!$C$14))+$H951*SIN(RADIANS('13_시나리오비교'!$B$14))*COS(RADIANS('13_시나리오비교'!$C$14))+$I951*COS(RADIANS('13_시나리오비교'!$B$14))),0)</f>
        <v/>
      </c>
    </row>
    <row r="952" hidden="1" outlineLevel="1">
      <c r="A952" s="79" t="n">
        <v>10</v>
      </c>
      <c r="B952" s="79" t="n">
        <v>68</v>
      </c>
      <c r="C952" s="80">
        <f>(B952-0.5)*'14_지역·상수'!$H$6</f>
        <v/>
      </c>
      <c r="D952" s="79" t="n">
        <v>288</v>
      </c>
      <c r="E952" s="80">
        <f>INDEX($C$4:$C$15,MATCH(A952,$A$4:$A$15,0))</f>
        <v/>
      </c>
      <c r="F952" s="80">
        <f>15*(C952-12)</f>
        <v/>
      </c>
      <c r="G952" s="80">
        <f>-COS(RADIANS(E952))*SIN(RADIANS(F952))</f>
        <v/>
      </c>
      <c r="H952" s="80">
        <f>COS(RADIANS('11_발전량_모델'!$B$17))*SIN(RADIANS(E952))-SIN(RADIANS('11_발전량_모델'!$B$17))*COS(RADIANS(E952))*COS(RADIANS(F952))</f>
        <v/>
      </c>
      <c r="I952" s="80">
        <f>SIN(RADIANS('11_발전량_모델'!$B$17))*SIN(RADIANS(E952))+COS(RADIANS('11_발전량_모델'!$B$17))*COS(RADIANS(E952))*COS(RADIANS(F952))</f>
        <v/>
      </c>
      <c r="J952" s="80">
        <f>SIN(RADIANS('11_발전량_모델'!$B$7))*SIN(RADIANS('11_발전량_모델'!$B$8))</f>
        <v/>
      </c>
      <c r="K952" s="80">
        <f>SIN(RADIANS('11_발전량_모델'!$B$7))*COS(RADIANS('11_발전량_모델'!$B$8))</f>
        <v/>
      </c>
      <c r="L952" s="80">
        <f>COS(RADIANS('11_발전량_모델'!$B$7))</f>
        <v/>
      </c>
      <c r="M952" s="80">
        <f>G952*J952+H952*K952+I952*L952</f>
        <v/>
      </c>
      <c r="N952" s="80">
        <f>MAX(0,I952)</f>
        <v/>
      </c>
      <c r="O952" s="80">
        <f>IF(I952&gt;0,MAX(0,M952),0)</f>
        <v/>
      </c>
      <c r="P952" s="80">
        <f>IF($I952&gt;0,MAX(0,$G952*SIN(RADIANS('13_시나리오비교'!$B$5))*SIN(RADIANS('13_시나리오비교'!$C$5))+$H952*SIN(RADIANS('13_시나리오비교'!$B$5))*COS(RADIANS('13_시나리오비교'!$C$5))+$I952*COS(RADIANS('13_시나리오비교'!$B$5))),0)</f>
        <v/>
      </c>
      <c r="Q952" s="80">
        <f>IF($I952&gt;0,MAX(0,$G952*SIN(RADIANS('13_시나리오비교'!$B$6))*SIN(RADIANS('13_시나리오비교'!$C$6))+$H952*SIN(RADIANS('13_시나리오비교'!$B$6))*COS(RADIANS('13_시나리오비교'!$C$6))+$I952*COS(RADIANS('13_시나리오비교'!$B$6))),0)</f>
        <v/>
      </c>
      <c r="R952" s="80">
        <f>IF($I952&gt;0,MAX(0,$G952*SIN(RADIANS('13_시나리오비교'!$B$7))*SIN(RADIANS('13_시나리오비교'!$C$7))+$H952*SIN(RADIANS('13_시나리오비교'!$B$7))*COS(RADIANS('13_시나리오비교'!$C$7))+$I952*COS(RADIANS('13_시나리오비교'!$B$7))),0)</f>
        <v/>
      </c>
      <c r="S952" s="80">
        <f>IF($I952&gt;0,MAX(0,$G952*SIN(RADIANS('13_시나리오비교'!$B$8))*SIN(RADIANS('13_시나리오비교'!$C$8))+$H952*SIN(RADIANS('13_시나리오비교'!$B$8))*COS(RADIANS('13_시나리오비교'!$C$8))+$I952*COS(RADIANS('13_시나리오비교'!$B$8))),0)</f>
        <v/>
      </c>
      <c r="T952" s="80">
        <f>IF($I952&gt;0,MAX(0,$G952*SIN(RADIANS('13_시나리오비교'!$B$9))*SIN(RADIANS('13_시나리오비교'!$C$9))+$H952*SIN(RADIANS('13_시나리오비교'!$B$9))*COS(RADIANS('13_시나리오비교'!$C$9))+$I952*COS(RADIANS('13_시나리오비교'!$B$9))),0)</f>
        <v/>
      </c>
      <c r="U952" s="80">
        <f>IF($I952&gt;0,MAX(0,$G952*SIN(RADIANS('13_시나리오비교'!$B$10))*SIN(RADIANS('13_시나리오비교'!$C$10))+$H952*SIN(RADIANS('13_시나리오비교'!$B$10))*COS(RADIANS('13_시나리오비교'!$C$10))+$I952*COS(RADIANS('13_시나리오비교'!$B$10))),0)</f>
        <v/>
      </c>
      <c r="V952" s="80">
        <f>IF($I952&gt;0,MAX(0,$G952*SIN(RADIANS('13_시나리오비교'!$B$11))*SIN(RADIANS('13_시나리오비교'!$C$11))+$H952*SIN(RADIANS('13_시나리오비교'!$B$11))*COS(RADIANS('13_시나리오비교'!$C$11))+$I952*COS(RADIANS('13_시나리오비교'!$B$11))),0)</f>
        <v/>
      </c>
      <c r="W952" s="80">
        <f>IF($I952&gt;0,MAX(0,$G952*SIN(RADIANS('13_시나리오비교'!$B$12))*SIN(RADIANS('13_시나리오비교'!$C$12))+$H952*SIN(RADIANS('13_시나리오비교'!$B$12))*COS(RADIANS('13_시나리오비교'!$C$12))+$I952*COS(RADIANS('13_시나리오비교'!$B$12))),0)</f>
        <v/>
      </c>
      <c r="X952" s="80">
        <f>IF($I952&gt;0,MAX(0,$G952*SIN(RADIANS('13_시나리오비교'!$B$13))*SIN(RADIANS('13_시나리오비교'!$C$13))+$H952*SIN(RADIANS('13_시나리오비교'!$B$13))*COS(RADIANS('13_시나리오비교'!$C$13))+$I952*COS(RADIANS('13_시나리오비교'!$B$13))),0)</f>
        <v/>
      </c>
      <c r="Y952" s="80">
        <f>IF($I952&gt;0,MAX(0,$G952*SIN(RADIANS('13_시나리오비교'!$B$14))*SIN(RADIANS('13_시나리오비교'!$C$14))+$H952*SIN(RADIANS('13_시나리오비교'!$B$14))*COS(RADIANS('13_시나리오비교'!$C$14))+$I952*COS(RADIANS('13_시나리오비교'!$B$14))),0)</f>
        <v/>
      </c>
    </row>
    <row r="953" hidden="1" outlineLevel="1">
      <c r="A953" s="79" t="n">
        <v>10</v>
      </c>
      <c r="B953" s="79" t="n">
        <v>69</v>
      </c>
      <c r="C953" s="80">
        <f>(B953-0.5)*'14_지역·상수'!$H$6</f>
        <v/>
      </c>
      <c r="D953" s="79" t="n">
        <v>288</v>
      </c>
      <c r="E953" s="80">
        <f>INDEX($C$4:$C$15,MATCH(A953,$A$4:$A$15,0))</f>
        <v/>
      </c>
      <c r="F953" s="80">
        <f>15*(C953-12)</f>
        <v/>
      </c>
      <c r="G953" s="80">
        <f>-COS(RADIANS(E953))*SIN(RADIANS(F953))</f>
        <v/>
      </c>
      <c r="H953" s="80">
        <f>COS(RADIANS('11_발전량_모델'!$B$17))*SIN(RADIANS(E953))-SIN(RADIANS('11_발전량_모델'!$B$17))*COS(RADIANS(E953))*COS(RADIANS(F953))</f>
        <v/>
      </c>
      <c r="I953" s="80">
        <f>SIN(RADIANS('11_발전량_모델'!$B$17))*SIN(RADIANS(E953))+COS(RADIANS('11_발전량_모델'!$B$17))*COS(RADIANS(E953))*COS(RADIANS(F953))</f>
        <v/>
      </c>
      <c r="J953" s="80">
        <f>SIN(RADIANS('11_발전량_모델'!$B$7))*SIN(RADIANS('11_발전량_모델'!$B$8))</f>
        <v/>
      </c>
      <c r="K953" s="80">
        <f>SIN(RADIANS('11_발전량_모델'!$B$7))*COS(RADIANS('11_발전량_모델'!$B$8))</f>
        <v/>
      </c>
      <c r="L953" s="80">
        <f>COS(RADIANS('11_발전량_모델'!$B$7))</f>
        <v/>
      </c>
      <c r="M953" s="80">
        <f>G953*J953+H953*K953+I953*L953</f>
        <v/>
      </c>
      <c r="N953" s="80">
        <f>MAX(0,I953)</f>
        <v/>
      </c>
      <c r="O953" s="80">
        <f>IF(I953&gt;0,MAX(0,M953),0)</f>
        <v/>
      </c>
      <c r="P953" s="80">
        <f>IF($I953&gt;0,MAX(0,$G953*SIN(RADIANS('13_시나리오비교'!$B$5))*SIN(RADIANS('13_시나리오비교'!$C$5))+$H953*SIN(RADIANS('13_시나리오비교'!$B$5))*COS(RADIANS('13_시나리오비교'!$C$5))+$I953*COS(RADIANS('13_시나리오비교'!$B$5))),0)</f>
        <v/>
      </c>
      <c r="Q953" s="80">
        <f>IF($I953&gt;0,MAX(0,$G953*SIN(RADIANS('13_시나리오비교'!$B$6))*SIN(RADIANS('13_시나리오비교'!$C$6))+$H953*SIN(RADIANS('13_시나리오비교'!$B$6))*COS(RADIANS('13_시나리오비교'!$C$6))+$I953*COS(RADIANS('13_시나리오비교'!$B$6))),0)</f>
        <v/>
      </c>
      <c r="R953" s="80">
        <f>IF($I953&gt;0,MAX(0,$G953*SIN(RADIANS('13_시나리오비교'!$B$7))*SIN(RADIANS('13_시나리오비교'!$C$7))+$H953*SIN(RADIANS('13_시나리오비교'!$B$7))*COS(RADIANS('13_시나리오비교'!$C$7))+$I953*COS(RADIANS('13_시나리오비교'!$B$7))),0)</f>
        <v/>
      </c>
      <c r="S953" s="80">
        <f>IF($I953&gt;0,MAX(0,$G953*SIN(RADIANS('13_시나리오비교'!$B$8))*SIN(RADIANS('13_시나리오비교'!$C$8))+$H953*SIN(RADIANS('13_시나리오비교'!$B$8))*COS(RADIANS('13_시나리오비교'!$C$8))+$I953*COS(RADIANS('13_시나리오비교'!$B$8))),0)</f>
        <v/>
      </c>
      <c r="T953" s="80">
        <f>IF($I953&gt;0,MAX(0,$G953*SIN(RADIANS('13_시나리오비교'!$B$9))*SIN(RADIANS('13_시나리오비교'!$C$9))+$H953*SIN(RADIANS('13_시나리오비교'!$B$9))*COS(RADIANS('13_시나리오비교'!$C$9))+$I953*COS(RADIANS('13_시나리오비교'!$B$9))),0)</f>
        <v/>
      </c>
      <c r="U953" s="80">
        <f>IF($I953&gt;0,MAX(0,$G953*SIN(RADIANS('13_시나리오비교'!$B$10))*SIN(RADIANS('13_시나리오비교'!$C$10))+$H953*SIN(RADIANS('13_시나리오비교'!$B$10))*COS(RADIANS('13_시나리오비교'!$C$10))+$I953*COS(RADIANS('13_시나리오비교'!$B$10))),0)</f>
        <v/>
      </c>
      <c r="V953" s="80">
        <f>IF($I953&gt;0,MAX(0,$G953*SIN(RADIANS('13_시나리오비교'!$B$11))*SIN(RADIANS('13_시나리오비교'!$C$11))+$H953*SIN(RADIANS('13_시나리오비교'!$B$11))*COS(RADIANS('13_시나리오비교'!$C$11))+$I953*COS(RADIANS('13_시나리오비교'!$B$11))),0)</f>
        <v/>
      </c>
      <c r="W953" s="80">
        <f>IF($I953&gt;0,MAX(0,$G953*SIN(RADIANS('13_시나리오비교'!$B$12))*SIN(RADIANS('13_시나리오비교'!$C$12))+$H953*SIN(RADIANS('13_시나리오비교'!$B$12))*COS(RADIANS('13_시나리오비교'!$C$12))+$I953*COS(RADIANS('13_시나리오비교'!$B$12))),0)</f>
        <v/>
      </c>
      <c r="X953" s="80">
        <f>IF($I953&gt;0,MAX(0,$G953*SIN(RADIANS('13_시나리오비교'!$B$13))*SIN(RADIANS('13_시나리오비교'!$C$13))+$H953*SIN(RADIANS('13_시나리오비교'!$B$13))*COS(RADIANS('13_시나리오비교'!$C$13))+$I953*COS(RADIANS('13_시나리오비교'!$B$13))),0)</f>
        <v/>
      </c>
      <c r="Y953" s="80">
        <f>IF($I953&gt;0,MAX(0,$G953*SIN(RADIANS('13_시나리오비교'!$B$14))*SIN(RADIANS('13_시나리오비교'!$C$14))+$H953*SIN(RADIANS('13_시나리오비교'!$B$14))*COS(RADIANS('13_시나리오비교'!$C$14))+$I953*COS(RADIANS('13_시나리오비교'!$B$14))),0)</f>
        <v/>
      </c>
    </row>
    <row r="954" hidden="1" outlineLevel="1">
      <c r="A954" s="79" t="n">
        <v>10</v>
      </c>
      <c r="B954" s="79" t="n">
        <v>70</v>
      </c>
      <c r="C954" s="80">
        <f>(B954-0.5)*'14_지역·상수'!$H$6</f>
        <v/>
      </c>
      <c r="D954" s="79" t="n">
        <v>288</v>
      </c>
      <c r="E954" s="80">
        <f>INDEX($C$4:$C$15,MATCH(A954,$A$4:$A$15,0))</f>
        <v/>
      </c>
      <c r="F954" s="80">
        <f>15*(C954-12)</f>
        <v/>
      </c>
      <c r="G954" s="80">
        <f>-COS(RADIANS(E954))*SIN(RADIANS(F954))</f>
        <v/>
      </c>
      <c r="H954" s="80">
        <f>COS(RADIANS('11_발전량_모델'!$B$17))*SIN(RADIANS(E954))-SIN(RADIANS('11_발전량_모델'!$B$17))*COS(RADIANS(E954))*COS(RADIANS(F954))</f>
        <v/>
      </c>
      <c r="I954" s="80">
        <f>SIN(RADIANS('11_발전량_모델'!$B$17))*SIN(RADIANS(E954))+COS(RADIANS('11_발전량_모델'!$B$17))*COS(RADIANS(E954))*COS(RADIANS(F954))</f>
        <v/>
      </c>
      <c r="J954" s="80">
        <f>SIN(RADIANS('11_발전량_모델'!$B$7))*SIN(RADIANS('11_발전량_모델'!$B$8))</f>
        <v/>
      </c>
      <c r="K954" s="80">
        <f>SIN(RADIANS('11_발전량_모델'!$B$7))*COS(RADIANS('11_발전량_모델'!$B$8))</f>
        <v/>
      </c>
      <c r="L954" s="80">
        <f>COS(RADIANS('11_발전량_모델'!$B$7))</f>
        <v/>
      </c>
      <c r="M954" s="80">
        <f>G954*J954+H954*K954+I954*L954</f>
        <v/>
      </c>
      <c r="N954" s="80">
        <f>MAX(0,I954)</f>
        <v/>
      </c>
      <c r="O954" s="80">
        <f>IF(I954&gt;0,MAX(0,M954),0)</f>
        <v/>
      </c>
      <c r="P954" s="80">
        <f>IF($I954&gt;0,MAX(0,$G954*SIN(RADIANS('13_시나리오비교'!$B$5))*SIN(RADIANS('13_시나리오비교'!$C$5))+$H954*SIN(RADIANS('13_시나리오비교'!$B$5))*COS(RADIANS('13_시나리오비교'!$C$5))+$I954*COS(RADIANS('13_시나리오비교'!$B$5))),0)</f>
        <v/>
      </c>
      <c r="Q954" s="80">
        <f>IF($I954&gt;0,MAX(0,$G954*SIN(RADIANS('13_시나리오비교'!$B$6))*SIN(RADIANS('13_시나리오비교'!$C$6))+$H954*SIN(RADIANS('13_시나리오비교'!$B$6))*COS(RADIANS('13_시나리오비교'!$C$6))+$I954*COS(RADIANS('13_시나리오비교'!$B$6))),0)</f>
        <v/>
      </c>
      <c r="R954" s="80">
        <f>IF($I954&gt;0,MAX(0,$G954*SIN(RADIANS('13_시나리오비교'!$B$7))*SIN(RADIANS('13_시나리오비교'!$C$7))+$H954*SIN(RADIANS('13_시나리오비교'!$B$7))*COS(RADIANS('13_시나리오비교'!$C$7))+$I954*COS(RADIANS('13_시나리오비교'!$B$7))),0)</f>
        <v/>
      </c>
      <c r="S954" s="80">
        <f>IF($I954&gt;0,MAX(0,$G954*SIN(RADIANS('13_시나리오비교'!$B$8))*SIN(RADIANS('13_시나리오비교'!$C$8))+$H954*SIN(RADIANS('13_시나리오비교'!$B$8))*COS(RADIANS('13_시나리오비교'!$C$8))+$I954*COS(RADIANS('13_시나리오비교'!$B$8))),0)</f>
        <v/>
      </c>
      <c r="T954" s="80">
        <f>IF($I954&gt;0,MAX(0,$G954*SIN(RADIANS('13_시나리오비교'!$B$9))*SIN(RADIANS('13_시나리오비교'!$C$9))+$H954*SIN(RADIANS('13_시나리오비교'!$B$9))*COS(RADIANS('13_시나리오비교'!$C$9))+$I954*COS(RADIANS('13_시나리오비교'!$B$9))),0)</f>
        <v/>
      </c>
      <c r="U954" s="80">
        <f>IF($I954&gt;0,MAX(0,$G954*SIN(RADIANS('13_시나리오비교'!$B$10))*SIN(RADIANS('13_시나리오비교'!$C$10))+$H954*SIN(RADIANS('13_시나리오비교'!$B$10))*COS(RADIANS('13_시나리오비교'!$C$10))+$I954*COS(RADIANS('13_시나리오비교'!$B$10))),0)</f>
        <v/>
      </c>
      <c r="V954" s="80">
        <f>IF($I954&gt;0,MAX(0,$G954*SIN(RADIANS('13_시나리오비교'!$B$11))*SIN(RADIANS('13_시나리오비교'!$C$11))+$H954*SIN(RADIANS('13_시나리오비교'!$B$11))*COS(RADIANS('13_시나리오비교'!$C$11))+$I954*COS(RADIANS('13_시나리오비교'!$B$11))),0)</f>
        <v/>
      </c>
      <c r="W954" s="80">
        <f>IF($I954&gt;0,MAX(0,$G954*SIN(RADIANS('13_시나리오비교'!$B$12))*SIN(RADIANS('13_시나리오비교'!$C$12))+$H954*SIN(RADIANS('13_시나리오비교'!$B$12))*COS(RADIANS('13_시나리오비교'!$C$12))+$I954*COS(RADIANS('13_시나리오비교'!$B$12))),0)</f>
        <v/>
      </c>
      <c r="X954" s="80">
        <f>IF($I954&gt;0,MAX(0,$G954*SIN(RADIANS('13_시나리오비교'!$B$13))*SIN(RADIANS('13_시나리오비교'!$C$13))+$H954*SIN(RADIANS('13_시나리오비교'!$B$13))*COS(RADIANS('13_시나리오비교'!$C$13))+$I954*COS(RADIANS('13_시나리오비교'!$B$13))),0)</f>
        <v/>
      </c>
      <c r="Y954" s="80">
        <f>IF($I954&gt;0,MAX(0,$G954*SIN(RADIANS('13_시나리오비교'!$B$14))*SIN(RADIANS('13_시나리오비교'!$C$14))+$H954*SIN(RADIANS('13_시나리오비교'!$B$14))*COS(RADIANS('13_시나리오비교'!$C$14))+$I954*COS(RADIANS('13_시나리오비교'!$B$14))),0)</f>
        <v/>
      </c>
    </row>
    <row r="955" hidden="1" outlineLevel="1">
      <c r="A955" s="79" t="n">
        <v>10</v>
      </c>
      <c r="B955" s="79" t="n">
        <v>71</v>
      </c>
      <c r="C955" s="80">
        <f>(B955-0.5)*'14_지역·상수'!$H$6</f>
        <v/>
      </c>
      <c r="D955" s="79" t="n">
        <v>288</v>
      </c>
      <c r="E955" s="80">
        <f>INDEX($C$4:$C$15,MATCH(A955,$A$4:$A$15,0))</f>
        <v/>
      </c>
      <c r="F955" s="80">
        <f>15*(C955-12)</f>
        <v/>
      </c>
      <c r="G955" s="80">
        <f>-COS(RADIANS(E955))*SIN(RADIANS(F955))</f>
        <v/>
      </c>
      <c r="H955" s="80">
        <f>COS(RADIANS('11_발전량_모델'!$B$17))*SIN(RADIANS(E955))-SIN(RADIANS('11_발전량_모델'!$B$17))*COS(RADIANS(E955))*COS(RADIANS(F955))</f>
        <v/>
      </c>
      <c r="I955" s="80">
        <f>SIN(RADIANS('11_발전량_모델'!$B$17))*SIN(RADIANS(E955))+COS(RADIANS('11_발전량_모델'!$B$17))*COS(RADIANS(E955))*COS(RADIANS(F955))</f>
        <v/>
      </c>
      <c r="J955" s="80">
        <f>SIN(RADIANS('11_발전량_모델'!$B$7))*SIN(RADIANS('11_발전량_모델'!$B$8))</f>
        <v/>
      </c>
      <c r="K955" s="80">
        <f>SIN(RADIANS('11_발전량_모델'!$B$7))*COS(RADIANS('11_발전량_모델'!$B$8))</f>
        <v/>
      </c>
      <c r="L955" s="80">
        <f>COS(RADIANS('11_발전량_모델'!$B$7))</f>
        <v/>
      </c>
      <c r="M955" s="80">
        <f>G955*J955+H955*K955+I955*L955</f>
        <v/>
      </c>
      <c r="N955" s="80">
        <f>MAX(0,I955)</f>
        <v/>
      </c>
      <c r="O955" s="80">
        <f>IF(I955&gt;0,MAX(0,M955),0)</f>
        <v/>
      </c>
      <c r="P955" s="80">
        <f>IF($I955&gt;0,MAX(0,$G955*SIN(RADIANS('13_시나리오비교'!$B$5))*SIN(RADIANS('13_시나리오비교'!$C$5))+$H955*SIN(RADIANS('13_시나리오비교'!$B$5))*COS(RADIANS('13_시나리오비교'!$C$5))+$I955*COS(RADIANS('13_시나리오비교'!$B$5))),0)</f>
        <v/>
      </c>
      <c r="Q955" s="80">
        <f>IF($I955&gt;0,MAX(0,$G955*SIN(RADIANS('13_시나리오비교'!$B$6))*SIN(RADIANS('13_시나리오비교'!$C$6))+$H955*SIN(RADIANS('13_시나리오비교'!$B$6))*COS(RADIANS('13_시나리오비교'!$C$6))+$I955*COS(RADIANS('13_시나리오비교'!$B$6))),0)</f>
        <v/>
      </c>
      <c r="R955" s="80">
        <f>IF($I955&gt;0,MAX(0,$G955*SIN(RADIANS('13_시나리오비교'!$B$7))*SIN(RADIANS('13_시나리오비교'!$C$7))+$H955*SIN(RADIANS('13_시나리오비교'!$B$7))*COS(RADIANS('13_시나리오비교'!$C$7))+$I955*COS(RADIANS('13_시나리오비교'!$B$7))),0)</f>
        <v/>
      </c>
      <c r="S955" s="80">
        <f>IF($I955&gt;0,MAX(0,$G955*SIN(RADIANS('13_시나리오비교'!$B$8))*SIN(RADIANS('13_시나리오비교'!$C$8))+$H955*SIN(RADIANS('13_시나리오비교'!$B$8))*COS(RADIANS('13_시나리오비교'!$C$8))+$I955*COS(RADIANS('13_시나리오비교'!$B$8))),0)</f>
        <v/>
      </c>
      <c r="T955" s="80">
        <f>IF($I955&gt;0,MAX(0,$G955*SIN(RADIANS('13_시나리오비교'!$B$9))*SIN(RADIANS('13_시나리오비교'!$C$9))+$H955*SIN(RADIANS('13_시나리오비교'!$B$9))*COS(RADIANS('13_시나리오비교'!$C$9))+$I955*COS(RADIANS('13_시나리오비교'!$B$9))),0)</f>
        <v/>
      </c>
      <c r="U955" s="80">
        <f>IF($I955&gt;0,MAX(0,$G955*SIN(RADIANS('13_시나리오비교'!$B$10))*SIN(RADIANS('13_시나리오비교'!$C$10))+$H955*SIN(RADIANS('13_시나리오비교'!$B$10))*COS(RADIANS('13_시나리오비교'!$C$10))+$I955*COS(RADIANS('13_시나리오비교'!$B$10))),0)</f>
        <v/>
      </c>
      <c r="V955" s="80">
        <f>IF($I955&gt;0,MAX(0,$G955*SIN(RADIANS('13_시나리오비교'!$B$11))*SIN(RADIANS('13_시나리오비교'!$C$11))+$H955*SIN(RADIANS('13_시나리오비교'!$B$11))*COS(RADIANS('13_시나리오비교'!$C$11))+$I955*COS(RADIANS('13_시나리오비교'!$B$11))),0)</f>
        <v/>
      </c>
      <c r="W955" s="80">
        <f>IF($I955&gt;0,MAX(0,$G955*SIN(RADIANS('13_시나리오비교'!$B$12))*SIN(RADIANS('13_시나리오비교'!$C$12))+$H955*SIN(RADIANS('13_시나리오비교'!$B$12))*COS(RADIANS('13_시나리오비교'!$C$12))+$I955*COS(RADIANS('13_시나리오비교'!$B$12))),0)</f>
        <v/>
      </c>
      <c r="X955" s="80">
        <f>IF($I955&gt;0,MAX(0,$G955*SIN(RADIANS('13_시나리오비교'!$B$13))*SIN(RADIANS('13_시나리오비교'!$C$13))+$H955*SIN(RADIANS('13_시나리오비교'!$B$13))*COS(RADIANS('13_시나리오비교'!$C$13))+$I955*COS(RADIANS('13_시나리오비교'!$B$13))),0)</f>
        <v/>
      </c>
      <c r="Y955" s="80">
        <f>IF($I955&gt;0,MAX(0,$G955*SIN(RADIANS('13_시나리오비교'!$B$14))*SIN(RADIANS('13_시나리오비교'!$C$14))+$H955*SIN(RADIANS('13_시나리오비교'!$B$14))*COS(RADIANS('13_시나리오비교'!$C$14))+$I955*COS(RADIANS('13_시나리오비교'!$B$14))),0)</f>
        <v/>
      </c>
    </row>
    <row r="956" hidden="1" outlineLevel="1">
      <c r="A956" s="79" t="n">
        <v>10</v>
      </c>
      <c r="B956" s="79" t="n">
        <v>72</v>
      </c>
      <c r="C956" s="80">
        <f>(B956-0.5)*'14_지역·상수'!$H$6</f>
        <v/>
      </c>
      <c r="D956" s="79" t="n">
        <v>288</v>
      </c>
      <c r="E956" s="80">
        <f>INDEX($C$4:$C$15,MATCH(A956,$A$4:$A$15,0))</f>
        <v/>
      </c>
      <c r="F956" s="80">
        <f>15*(C956-12)</f>
        <v/>
      </c>
      <c r="G956" s="80">
        <f>-COS(RADIANS(E956))*SIN(RADIANS(F956))</f>
        <v/>
      </c>
      <c r="H956" s="80">
        <f>COS(RADIANS('11_발전량_모델'!$B$17))*SIN(RADIANS(E956))-SIN(RADIANS('11_발전량_모델'!$B$17))*COS(RADIANS(E956))*COS(RADIANS(F956))</f>
        <v/>
      </c>
      <c r="I956" s="80">
        <f>SIN(RADIANS('11_발전량_모델'!$B$17))*SIN(RADIANS(E956))+COS(RADIANS('11_발전량_모델'!$B$17))*COS(RADIANS(E956))*COS(RADIANS(F956))</f>
        <v/>
      </c>
      <c r="J956" s="80">
        <f>SIN(RADIANS('11_발전량_모델'!$B$7))*SIN(RADIANS('11_발전량_모델'!$B$8))</f>
        <v/>
      </c>
      <c r="K956" s="80">
        <f>SIN(RADIANS('11_발전량_모델'!$B$7))*COS(RADIANS('11_발전량_모델'!$B$8))</f>
        <v/>
      </c>
      <c r="L956" s="80">
        <f>COS(RADIANS('11_발전량_모델'!$B$7))</f>
        <v/>
      </c>
      <c r="M956" s="80">
        <f>G956*J956+H956*K956+I956*L956</f>
        <v/>
      </c>
      <c r="N956" s="80">
        <f>MAX(0,I956)</f>
        <v/>
      </c>
      <c r="O956" s="80">
        <f>IF(I956&gt;0,MAX(0,M956),0)</f>
        <v/>
      </c>
      <c r="P956" s="80">
        <f>IF($I956&gt;0,MAX(0,$G956*SIN(RADIANS('13_시나리오비교'!$B$5))*SIN(RADIANS('13_시나리오비교'!$C$5))+$H956*SIN(RADIANS('13_시나리오비교'!$B$5))*COS(RADIANS('13_시나리오비교'!$C$5))+$I956*COS(RADIANS('13_시나리오비교'!$B$5))),0)</f>
        <v/>
      </c>
      <c r="Q956" s="80">
        <f>IF($I956&gt;0,MAX(0,$G956*SIN(RADIANS('13_시나리오비교'!$B$6))*SIN(RADIANS('13_시나리오비교'!$C$6))+$H956*SIN(RADIANS('13_시나리오비교'!$B$6))*COS(RADIANS('13_시나리오비교'!$C$6))+$I956*COS(RADIANS('13_시나리오비교'!$B$6))),0)</f>
        <v/>
      </c>
      <c r="R956" s="80">
        <f>IF($I956&gt;0,MAX(0,$G956*SIN(RADIANS('13_시나리오비교'!$B$7))*SIN(RADIANS('13_시나리오비교'!$C$7))+$H956*SIN(RADIANS('13_시나리오비교'!$B$7))*COS(RADIANS('13_시나리오비교'!$C$7))+$I956*COS(RADIANS('13_시나리오비교'!$B$7))),0)</f>
        <v/>
      </c>
      <c r="S956" s="80">
        <f>IF($I956&gt;0,MAX(0,$G956*SIN(RADIANS('13_시나리오비교'!$B$8))*SIN(RADIANS('13_시나리오비교'!$C$8))+$H956*SIN(RADIANS('13_시나리오비교'!$B$8))*COS(RADIANS('13_시나리오비교'!$C$8))+$I956*COS(RADIANS('13_시나리오비교'!$B$8))),0)</f>
        <v/>
      </c>
      <c r="T956" s="80">
        <f>IF($I956&gt;0,MAX(0,$G956*SIN(RADIANS('13_시나리오비교'!$B$9))*SIN(RADIANS('13_시나리오비교'!$C$9))+$H956*SIN(RADIANS('13_시나리오비교'!$B$9))*COS(RADIANS('13_시나리오비교'!$C$9))+$I956*COS(RADIANS('13_시나리오비교'!$B$9))),0)</f>
        <v/>
      </c>
      <c r="U956" s="80">
        <f>IF($I956&gt;0,MAX(0,$G956*SIN(RADIANS('13_시나리오비교'!$B$10))*SIN(RADIANS('13_시나리오비교'!$C$10))+$H956*SIN(RADIANS('13_시나리오비교'!$B$10))*COS(RADIANS('13_시나리오비교'!$C$10))+$I956*COS(RADIANS('13_시나리오비교'!$B$10))),0)</f>
        <v/>
      </c>
      <c r="V956" s="80">
        <f>IF($I956&gt;0,MAX(0,$G956*SIN(RADIANS('13_시나리오비교'!$B$11))*SIN(RADIANS('13_시나리오비교'!$C$11))+$H956*SIN(RADIANS('13_시나리오비교'!$B$11))*COS(RADIANS('13_시나리오비교'!$C$11))+$I956*COS(RADIANS('13_시나리오비교'!$B$11))),0)</f>
        <v/>
      </c>
      <c r="W956" s="80">
        <f>IF($I956&gt;0,MAX(0,$G956*SIN(RADIANS('13_시나리오비교'!$B$12))*SIN(RADIANS('13_시나리오비교'!$C$12))+$H956*SIN(RADIANS('13_시나리오비교'!$B$12))*COS(RADIANS('13_시나리오비교'!$C$12))+$I956*COS(RADIANS('13_시나리오비교'!$B$12))),0)</f>
        <v/>
      </c>
      <c r="X956" s="80">
        <f>IF($I956&gt;0,MAX(0,$G956*SIN(RADIANS('13_시나리오비교'!$B$13))*SIN(RADIANS('13_시나리오비교'!$C$13))+$H956*SIN(RADIANS('13_시나리오비교'!$B$13))*COS(RADIANS('13_시나리오비교'!$C$13))+$I956*COS(RADIANS('13_시나리오비교'!$B$13))),0)</f>
        <v/>
      </c>
      <c r="Y956" s="80">
        <f>IF($I956&gt;0,MAX(0,$G956*SIN(RADIANS('13_시나리오비교'!$B$14))*SIN(RADIANS('13_시나리오비교'!$C$14))+$H956*SIN(RADIANS('13_시나리오비교'!$B$14))*COS(RADIANS('13_시나리오비교'!$C$14))+$I956*COS(RADIANS('13_시나리오비교'!$B$14))),0)</f>
        <v/>
      </c>
    </row>
    <row r="957" hidden="1" outlineLevel="1">
      <c r="A957" s="79" t="n">
        <v>10</v>
      </c>
      <c r="B957" s="79" t="n">
        <v>73</v>
      </c>
      <c r="C957" s="80">
        <f>(B957-0.5)*'14_지역·상수'!$H$6</f>
        <v/>
      </c>
      <c r="D957" s="79" t="n">
        <v>288</v>
      </c>
      <c r="E957" s="80">
        <f>INDEX($C$4:$C$15,MATCH(A957,$A$4:$A$15,0))</f>
        <v/>
      </c>
      <c r="F957" s="80">
        <f>15*(C957-12)</f>
        <v/>
      </c>
      <c r="G957" s="80">
        <f>-COS(RADIANS(E957))*SIN(RADIANS(F957))</f>
        <v/>
      </c>
      <c r="H957" s="80">
        <f>COS(RADIANS('11_발전량_모델'!$B$17))*SIN(RADIANS(E957))-SIN(RADIANS('11_발전량_모델'!$B$17))*COS(RADIANS(E957))*COS(RADIANS(F957))</f>
        <v/>
      </c>
      <c r="I957" s="80">
        <f>SIN(RADIANS('11_발전량_모델'!$B$17))*SIN(RADIANS(E957))+COS(RADIANS('11_발전량_모델'!$B$17))*COS(RADIANS(E957))*COS(RADIANS(F957))</f>
        <v/>
      </c>
      <c r="J957" s="80">
        <f>SIN(RADIANS('11_발전량_모델'!$B$7))*SIN(RADIANS('11_발전량_모델'!$B$8))</f>
        <v/>
      </c>
      <c r="K957" s="80">
        <f>SIN(RADIANS('11_발전량_모델'!$B$7))*COS(RADIANS('11_발전량_모델'!$B$8))</f>
        <v/>
      </c>
      <c r="L957" s="80">
        <f>COS(RADIANS('11_발전량_모델'!$B$7))</f>
        <v/>
      </c>
      <c r="M957" s="80">
        <f>G957*J957+H957*K957+I957*L957</f>
        <v/>
      </c>
      <c r="N957" s="80">
        <f>MAX(0,I957)</f>
        <v/>
      </c>
      <c r="O957" s="80">
        <f>IF(I957&gt;0,MAX(0,M957),0)</f>
        <v/>
      </c>
      <c r="P957" s="80">
        <f>IF($I957&gt;0,MAX(0,$G957*SIN(RADIANS('13_시나리오비교'!$B$5))*SIN(RADIANS('13_시나리오비교'!$C$5))+$H957*SIN(RADIANS('13_시나리오비교'!$B$5))*COS(RADIANS('13_시나리오비교'!$C$5))+$I957*COS(RADIANS('13_시나리오비교'!$B$5))),0)</f>
        <v/>
      </c>
      <c r="Q957" s="80">
        <f>IF($I957&gt;0,MAX(0,$G957*SIN(RADIANS('13_시나리오비교'!$B$6))*SIN(RADIANS('13_시나리오비교'!$C$6))+$H957*SIN(RADIANS('13_시나리오비교'!$B$6))*COS(RADIANS('13_시나리오비교'!$C$6))+$I957*COS(RADIANS('13_시나리오비교'!$B$6))),0)</f>
        <v/>
      </c>
      <c r="R957" s="80">
        <f>IF($I957&gt;0,MAX(0,$G957*SIN(RADIANS('13_시나리오비교'!$B$7))*SIN(RADIANS('13_시나리오비교'!$C$7))+$H957*SIN(RADIANS('13_시나리오비교'!$B$7))*COS(RADIANS('13_시나리오비교'!$C$7))+$I957*COS(RADIANS('13_시나리오비교'!$B$7))),0)</f>
        <v/>
      </c>
      <c r="S957" s="80">
        <f>IF($I957&gt;0,MAX(0,$G957*SIN(RADIANS('13_시나리오비교'!$B$8))*SIN(RADIANS('13_시나리오비교'!$C$8))+$H957*SIN(RADIANS('13_시나리오비교'!$B$8))*COS(RADIANS('13_시나리오비교'!$C$8))+$I957*COS(RADIANS('13_시나리오비교'!$B$8))),0)</f>
        <v/>
      </c>
      <c r="T957" s="80">
        <f>IF($I957&gt;0,MAX(0,$G957*SIN(RADIANS('13_시나리오비교'!$B$9))*SIN(RADIANS('13_시나리오비교'!$C$9))+$H957*SIN(RADIANS('13_시나리오비교'!$B$9))*COS(RADIANS('13_시나리오비교'!$C$9))+$I957*COS(RADIANS('13_시나리오비교'!$B$9))),0)</f>
        <v/>
      </c>
      <c r="U957" s="80">
        <f>IF($I957&gt;0,MAX(0,$G957*SIN(RADIANS('13_시나리오비교'!$B$10))*SIN(RADIANS('13_시나리오비교'!$C$10))+$H957*SIN(RADIANS('13_시나리오비교'!$B$10))*COS(RADIANS('13_시나리오비교'!$C$10))+$I957*COS(RADIANS('13_시나리오비교'!$B$10))),0)</f>
        <v/>
      </c>
      <c r="V957" s="80">
        <f>IF($I957&gt;0,MAX(0,$G957*SIN(RADIANS('13_시나리오비교'!$B$11))*SIN(RADIANS('13_시나리오비교'!$C$11))+$H957*SIN(RADIANS('13_시나리오비교'!$B$11))*COS(RADIANS('13_시나리오비교'!$C$11))+$I957*COS(RADIANS('13_시나리오비교'!$B$11))),0)</f>
        <v/>
      </c>
      <c r="W957" s="80">
        <f>IF($I957&gt;0,MAX(0,$G957*SIN(RADIANS('13_시나리오비교'!$B$12))*SIN(RADIANS('13_시나리오비교'!$C$12))+$H957*SIN(RADIANS('13_시나리오비교'!$B$12))*COS(RADIANS('13_시나리오비교'!$C$12))+$I957*COS(RADIANS('13_시나리오비교'!$B$12))),0)</f>
        <v/>
      </c>
      <c r="X957" s="80">
        <f>IF($I957&gt;0,MAX(0,$G957*SIN(RADIANS('13_시나리오비교'!$B$13))*SIN(RADIANS('13_시나리오비교'!$C$13))+$H957*SIN(RADIANS('13_시나리오비교'!$B$13))*COS(RADIANS('13_시나리오비교'!$C$13))+$I957*COS(RADIANS('13_시나리오비교'!$B$13))),0)</f>
        <v/>
      </c>
      <c r="Y957" s="80">
        <f>IF($I957&gt;0,MAX(0,$G957*SIN(RADIANS('13_시나리오비교'!$B$14))*SIN(RADIANS('13_시나리오비교'!$C$14))+$H957*SIN(RADIANS('13_시나리오비교'!$B$14))*COS(RADIANS('13_시나리오비교'!$C$14))+$I957*COS(RADIANS('13_시나리오비교'!$B$14))),0)</f>
        <v/>
      </c>
    </row>
    <row r="958" hidden="1" outlineLevel="1">
      <c r="A958" s="79" t="n">
        <v>10</v>
      </c>
      <c r="B958" s="79" t="n">
        <v>74</v>
      </c>
      <c r="C958" s="80">
        <f>(B958-0.5)*'14_지역·상수'!$H$6</f>
        <v/>
      </c>
      <c r="D958" s="79" t="n">
        <v>288</v>
      </c>
      <c r="E958" s="80">
        <f>INDEX($C$4:$C$15,MATCH(A958,$A$4:$A$15,0))</f>
        <v/>
      </c>
      <c r="F958" s="80">
        <f>15*(C958-12)</f>
        <v/>
      </c>
      <c r="G958" s="80">
        <f>-COS(RADIANS(E958))*SIN(RADIANS(F958))</f>
        <v/>
      </c>
      <c r="H958" s="80">
        <f>COS(RADIANS('11_발전량_모델'!$B$17))*SIN(RADIANS(E958))-SIN(RADIANS('11_발전량_모델'!$B$17))*COS(RADIANS(E958))*COS(RADIANS(F958))</f>
        <v/>
      </c>
      <c r="I958" s="80">
        <f>SIN(RADIANS('11_발전량_모델'!$B$17))*SIN(RADIANS(E958))+COS(RADIANS('11_발전량_모델'!$B$17))*COS(RADIANS(E958))*COS(RADIANS(F958))</f>
        <v/>
      </c>
      <c r="J958" s="80">
        <f>SIN(RADIANS('11_발전량_모델'!$B$7))*SIN(RADIANS('11_발전량_모델'!$B$8))</f>
        <v/>
      </c>
      <c r="K958" s="80">
        <f>SIN(RADIANS('11_발전량_모델'!$B$7))*COS(RADIANS('11_발전량_모델'!$B$8))</f>
        <v/>
      </c>
      <c r="L958" s="80">
        <f>COS(RADIANS('11_발전량_모델'!$B$7))</f>
        <v/>
      </c>
      <c r="M958" s="80">
        <f>G958*J958+H958*K958+I958*L958</f>
        <v/>
      </c>
      <c r="N958" s="80">
        <f>MAX(0,I958)</f>
        <v/>
      </c>
      <c r="O958" s="80">
        <f>IF(I958&gt;0,MAX(0,M958),0)</f>
        <v/>
      </c>
      <c r="P958" s="80">
        <f>IF($I958&gt;0,MAX(0,$G958*SIN(RADIANS('13_시나리오비교'!$B$5))*SIN(RADIANS('13_시나리오비교'!$C$5))+$H958*SIN(RADIANS('13_시나리오비교'!$B$5))*COS(RADIANS('13_시나리오비교'!$C$5))+$I958*COS(RADIANS('13_시나리오비교'!$B$5))),0)</f>
        <v/>
      </c>
      <c r="Q958" s="80">
        <f>IF($I958&gt;0,MAX(0,$G958*SIN(RADIANS('13_시나리오비교'!$B$6))*SIN(RADIANS('13_시나리오비교'!$C$6))+$H958*SIN(RADIANS('13_시나리오비교'!$B$6))*COS(RADIANS('13_시나리오비교'!$C$6))+$I958*COS(RADIANS('13_시나리오비교'!$B$6))),0)</f>
        <v/>
      </c>
      <c r="R958" s="80">
        <f>IF($I958&gt;0,MAX(0,$G958*SIN(RADIANS('13_시나리오비교'!$B$7))*SIN(RADIANS('13_시나리오비교'!$C$7))+$H958*SIN(RADIANS('13_시나리오비교'!$B$7))*COS(RADIANS('13_시나리오비교'!$C$7))+$I958*COS(RADIANS('13_시나리오비교'!$B$7))),0)</f>
        <v/>
      </c>
      <c r="S958" s="80">
        <f>IF($I958&gt;0,MAX(0,$G958*SIN(RADIANS('13_시나리오비교'!$B$8))*SIN(RADIANS('13_시나리오비교'!$C$8))+$H958*SIN(RADIANS('13_시나리오비교'!$B$8))*COS(RADIANS('13_시나리오비교'!$C$8))+$I958*COS(RADIANS('13_시나리오비교'!$B$8))),0)</f>
        <v/>
      </c>
      <c r="T958" s="80">
        <f>IF($I958&gt;0,MAX(0,$G958*SIN(RADIANS('13_시나리오비교'!$B$9))*SIN(RADIANS('13_시나리오비교'!$C$9))+$H958*SIN(RADIANS('13_시나리오비교'!$B$9))*COS(RADIANS('13_시나리오비교'!$C$9))+$I958*COS(RADIANS('13_시나리오비교'!$B$9))),0)</f>
        <v/>
      </c>
      <c r="U958" s="80">
        <f>IF($I958&gt;0,MAX(0,$G958*SIN(RADIANS('13_시나리오비교'!$B$10))*SIN(RADIANS('13_시나리오비교'!$C$10))+$H958*SIN(RADIANS('13_시나리오비교'!$B$10))*COS(RADIANS('13_시나리오비교'!$C$10))+$I958*COS(RADIANS('13_시나리오비교'!$B$10))),0)</f>
        <v/>
      </c>
      <c r="V958" s="80">
        <f>IF($I958&gt;0,MAX(0,$G958*SIN(RADIANS('13_시나리오비교'!$B$11))*SIN(RADIANS('13_시나리오비교'!$C$11))+$H958*SIN(RADIANS('13_시나리오비교'!$B$11))*COS(RADIANS('13_시나리오비교'!$C$11))+$I958*COS(RADIANS('13_시나리오비교'!$B$11))),0)</f>
        <v/>
      </c>
      <c r="W958" s="80">
        <f>IF($I958&gt;0,MAX(0,$G958*SIN(RADIANS('13_시나리오비교'!$B$12))*SIN(RADIANS('13_시나리오비교'!$C$12))+$H958*SIN(RADIANS('13_시나리오비교'!$B$12))*COS(RADIANS('13_시나리오비교'!$C$12))+$I958*COS(RADIANS('13_시나리오비교'!$B$12))),0)</f>
        <v/>
      </c>
      <c r="X958" s="80">
        <f>IF($I958&gt;0,MAX(0,$G958*SIN(RADIANS('13_시나리오비교'!$B$13))*SIN(RADIANS('13_시나리오비교'!$C$13))+$H958*SIN(RADIANS('13_시나리오비교'!$B$13))*COS(RADIANS('13_시나리오비교'!$C$13))+$I958*COS(RADIANS('13_시나리오비교'!$B$13))),0)</f>
        <v/>
      </c>
      <c r="Y958" s="80">
        <f>IF($I958&gt;0,MAX(0,$G958*SIN(RADIANS('13_시나리오비교'!$B$14))*SIN(RADIANS('13_시나리오비교'!$C$14))+$H958*SIN(RADIANS('13_시나리오비교'!$B$14))*COS(RADIANS('13_시나리오비교'!$C$14))+$I958*COS(RADIANS('13_시나리오비교'!$B$14))),0)</f>
        <v/>
      </c>
    </row>
    <row r="959" hidden="1" outlineLevel="1">
      <c r="A959" s="79" t="n">
        <v>10</v>
      </c>
      <c r="B959" s="79" t="n">
        <v>75</v>
      </c>
      <c r="C959" s="80">
        <f>(B959-0.5)*'14_지역·상수'!$H$6</f>
        <v/>
      </c>
      <c r="D959" s="79" t="n">
        <v>288</v>
      </c>
      <c r="E959" s="80">
        <f>INDEX($C$4:$C$15,MATCH(A959,$A$4:$A$15,0))</f>
        <v/>
      </c>
      <c r="F959" s="80">
        <f>15*(C959-12)</f>
        <v/>
      </c>
      <c r="G959" s="80">
        <f>-COS(RADIANS(E959))*SIN(RADIANS(F959))</f>
        <v/>
      </c>
      <c r="H959" s="80">
        <f>COS(RADIANS('11_발전량_모델'!$B$17))*SIN(RADIANS(E959))-SIN(RADIANS('11_발전량_모델'!$B$17))*COS(RADIANS(E959))*COS(RADIANS(F959))</f>
        <v/>
      </c>
      <c r="I959" s="80">
        <f>SIN(RADIANS('11_발전량_모델'!$B$17))*SIN(RADIANS(E959))+COS(RADIANS('11_발전량_모델'!$B$17))*COS(RADIANS(E959))*COS(RADIANS(F959))</f>
        <v/>
      </c>
      <c r="J959" s="80">
        <f>SIN(RADIANS('11_발전량_모델'!$B$7))*SIN(RADIANS('11_발전량_모델'!$B$8))</f>
        <v/>
      </c>
      <c r="K959" s="80">
        <f>SIN(RADIANS('11_발전량_모델'!$B$7))*COS(RADIANS('11_발전량_모델'!$B$8))</f>
        <v/>
      </c>
      <c r="L959" s="80">
        <f>COS(RADIANS('11_발전량_모델'!$B$7))</f>
        <v/>
      </c>
      <c r="M959" s="80">
        <f>G959*J959+H959*K959+I959*L959</f>
        <v/>
      </c>
      <c r="N959" s="80">
        <f>MAX(0,I959)</f>
        <v/>
      </c>
      <c r="O959" s="80">
        <f>IF(I959&gt;0,MAX(0,M959),0)</f>
        <v/>
      </c>
      <c r="P959" s="80">
        <f>IF($I959&gt;0,MAX(0,$G959*SIN(RADIANS('13_시나리오비교'!$B$5))*SIN(RADIANS('13_시나리오비교'!$C$5))+$H959*SIN(RADIANS('13_시나리오비교'!$B$5))*COS(RADIANS('13_시나리오비교'!$C$5))+$I959*COS(RADIANS('13_시나리오비교'!$B$5))),0)</f>
        <v/>
      </c>
      <c r="Q959" s="80">
        <f>IF($I959&gt;0,MAX(0,$G959*SIN(RADIANS('13_시나리오비교'!$B$6))*SIN(RADIANS('13_시나리오비교'!$C$6))+$H959*SIN(RADIANS('13_시나리오비교'!$B$6))*COS(RADIANS('13_시나리오비교'!$C$6))+$I959*COS(RADIANS('13_시나리오비교'!$B$6))),0)</f>
        <v/>
      </c>
      <c r="R959" s="80">
        <f>IF($I959&gt;0,MAX(0,$G959*SIN(RADIANS('13_시나리오비교'!$B$7))*SIN(RADIANS('13_시나리오비교'!$C$7))+$H959*SIN(RADIANS('13_시나리오비교'!$B$7))*COS(RADIANS('13_시나리오비교'!$C$7))+$I959*COS(RADIANS('13_시나리오비교'!$B$7))),0)</f>
        <v/>
      </c>
      <c r="S959" s="80">
        <f>IF($I959&gt;0,MAX(0,$G959*SIN(RADIANS('13_시나리오비교'!$B$8))*SIN(RADIANS('13_시나리오비교'!$C$8))+$H959*SIN(RADIANS('13_시나리오비교'!$B$8))*COS(RADIANS('13_시나리오비교'!$C$8))+$I959*COS(RADIANS('13_시나리오비교'!$B$8))),0)</f>
        <v/>
      </c>
      <c r="T959" s="80">
        <f>IF($I959&gt;0,MAX(0,$G959*SIN(RADIANS('13_시나리오비교'!$B$9))*SIN(RADIANS('13_시나리오비교'!$C$9))+$H959*SIN(RADIANS('13_시나리오비교'!$B$9))*COS(RADIANS('13_시나리오비교'!$C$9))+$I959*COS(RADIANS('13_시나리오비교'!$B$9))),0)</f>
        <v/>
      </c>
      <c r="U959" s="80">
        <f>IF($I959&gt;0,MAX(0,$G959*SIN(RADIANS('13_시나리오비교'!$B$10))*SIN(RADIANS('13_시나리오비교'!$C$10))+$H959*SIN(RADIANS('13_시나리오비교'!$B$10))*COS(RADIANS('13_시나리오비교'!$C$10))+$I959*COS(RADIANS('13_시나리오비교'!$B$10))),0)</f>
        <v/>
      </c>
      <c r="V959" s="80">
        <f>IF($I959&gt;0,MAX(0,$G959*SIN(RADIANS('13_시나리오비교'!$B$11))*SIN(RADIANS('13_시나리오비교'!$C$11))+$H959*SIN(RADIANS('13_시나리오비교'!$B$11))*COS(RADIANS('13_시나리오비교'!$C$11))+$I959*COS(RADIANS('13_시나리오비교'!$B$11))),0)</f>
        <v/>
      </c>
      <c r="W959" s="80">
        <f>IF($I959&gt;0,MAX(0,$G959*SIN(RADIANS('13_시나리오비교'!$B$12))*SIN(RADIANS('13_시나리오비교'!$C$12))+$H959*SIN(RADIANS('13_시나리오비교'!$B$12))*COS(RADIANS('13_시나리오비교'!$C$12))+$I959*COS(RADIANS('13_시나리오비교'!$B$12))),0)</f>
        <v/>
      </c>
      <c r="X959" s="80">
        <f>IF($I959&gt;0,MAX(0,$G959*SIN(RADIANS('13_시나리오비교'!$B$13))*SIN(RADIANS('13_시나리오비교'!$C$13))+$H959*SIN(RADIANS('13_시나리오비교'!$B$13))*COS(RADIANS('13_시나리오비교'!$C$13))+$I959*COS(RADIANS('13_시나리오비교'!$B$13))),0)</f>
        <v/>
      </c>
      <c r="Y959" s="80">
        <f>IF($I959&gt;0,MAX(0,$G959*SIN(RADIANS('13_시나리오비교'!$B$14))*SIN(RADIANS('13_시나리오비교'!$C$14))+$H959*SIN(RADIANS('13_시나리오비교'!$B$14))*COS(RADIANS('13_시나리오비교'!$C$14))+$I959*COS(RADIANS('13_시나리오비교'!$B$14))),0)</f>
        <v/>
      </c>
    </row>
    <row r="960" hidden="1" outlineLevel="1">
      <c r="A960" s="79" t="n">
        <v>10</v>
      </c>
      <c r="B960" s="79" t="n">
        <v>76</v>
      </c>
      <c r="C960" s="80">
        <f>(B960-0.5)*'14_지역·상수'!$H$6</f>
        <v/>
      </c>
      <c r="D960" s="79" t="n">
        <v>288</v>
      </c>
      <c r="E960" s="80">
        <f>INDEX($C$4:$C$15,MATCH(A960,$A$4:$A$15,0))</f>
        <v/>
      </c>
      <c r="F960" s="80">
        <f>15*(C960-12)</f>
        <v/>
      </c>
      <c r="G960" s="80">
        <f>-COS(RADIANS(E960))*SIN(RADIANS(F960))</f>
        <v/>
      </c>
      <c r="H960" s="80">
        <f>COS(RADIANS('11_발전량_모델'!$B$17))*SIN(RADIANS(E960))-SIN(RADIANS('11_발전량_모델'!$B$17))*COS(RADIANS(E960))*COS(RADIANS(F960))</f>
        <v/>
      </c>
      <c r="I960" s="80">
        <f>SIN(RADIANS('11_발전량_모델'!$B$17))*SIN(RADIANS(E960))+COS(RADIANS('11_발전량_모델'!$B$17))*COS(RADIANS(E960))*COS(RADIANS(F960))</f>
        <v/>
      </c>
      <c r="J960" s="80">
        <f>SIN(RADIANS('11_발전량_모델'!$B$7))*SIN(RADIANS('11_발전량_모델'!$B$8))</f>
        <v/>
      </c>
      <c r="K960" s="80">
        <f>SIN(RADIANS('11_발전량_모델'!$B$7))*COS(RADIANS('11_발전량_모델'!$B$8))</f>
        <v/>
      </c>
      <c r="L960" s="80">
        <f>COS(RADIANS('11_발전량_모델'!$B$7))</f>
        <v/>
      </c>
      <c r="M960" s="80">
        <f>G960*J960+H960*K960+I960*L960</f>
        <v/>
      </c>
      <c r="N960" s="80">
        <f>MAX(0,I960)</f>
        <v/>
      </c>
      <c r="O960" s="80">
        <f>IF(I960&gt;0,MAX(0,M960),0)</f>
        <v/>
      </c>
      <c r="P960" s="80">
        <f>IF($I960&gt;0,MAX(0,$G960*SIN(RADIANS('13_시나리오비교'!$B$5))*SIN(RADIANS('13_시나리오비교'!$C$5))+$H960*SIN(RADIANS('13_시나리오비교'!$B$5))*COS(RADIANS('13_시나리오비교'!$C$5))+$I960*COS(RADIANS('13_시나리오비교'!$B$5))),0)</f>
        <v/>
      </c>
      <c r="Q960" s="80">
        <f>IF($I960&gt;0,MAX(0,$G960*SIN(RADIANS('13_시나리오비교'!$B$6))*SIN(RADIANS('13_시나리오비교'!$C$6))+$H960*SIN(RADIANS('13_시나리오비교'!$B$6))*COS(RADIANS('13_시나리오비교'!$C$6))+$I960*COS(RADIANS('13_시나리오비교'!$B$6))),0)</f>
        <v/>
      </c>
      <c r="R960" s="80">
        <f>IF($I960&gt;0,MAX(0,$G960*SIN(RADIANS('13_시나리오비교'!$B$7))*SIN(RADIANS('13_시나리오비교'!$C$7))+$H960*SIN(RADIANS('13_시나리오비교'!$B$7))*COS(RADIANS('13_시나리오비교'!$C$7))+$I960*COS(RADIANS('13_시나리오비교'!$B$7))),0)</f>
        <v/>
      </c>
      <c r="S960" s="80">
        <f>IF($I960&gt;0,MAX(0,$G960*SIN(RADIANS('13_시나리오비교'!$B$8))*SIN(RADIANS('13_시나리오비교'!$C$8))+$H960*SIN(RADIANS('13_시나리오비교'!$B$8))*COS(RADIANS('13_시나리오비교'!$C$8))+$I960*COS(RADIANS('13_시나리오비교'!$B$8))),0)</f>
        <v/>
      </c>
      <c r="T960" s="80">
        <f>IF($I960&gt;0,MAX(0,$G960*SIN(RADIANS('13_시나리오비교'!$B$9))*SIN(RADIANS('13_시나리오비교'!$C$9))+$H960*SIN(RADIANS('13_시나리오비교'!$B$9))*COS(RADIANS('13_시나리오비교'!$C$9))+$I960*COS(RADIANS('13_시나리오비교'!$B$9))),0)</f>
        <v/>
      </c>
      <c r="U960" s="80">
        <f>IF($I960&gt;0,MAX(0,$G960*SIN(RADIANS('13_시나리오비교'!$B$10))*SIN(RADIANS('13_시나리오비교'!$C$10))+$H960*SIN(RADIANS('13_시나리오비교'!$B$10))*COS(RADIANS('13_시나리오비교'!$C$10))+$I960*COS(RADIANS('13_시나리오비교'!$B$10))),0)</f>
        <v/>
      </c>
      <c r="V960" s="80">
        <f>IF($I960&gt;0,MAX(0,$G960*SIN(RADIANS('13_시나리오비교'!$B$11))*SIN(RADIANS('13_시나리오비교'!$C$11))+$H960*SIN(RADIANS('13_시나리오비교'!$B$11))*COS(RADIANS('13_시나리오비교'!$C$11))+$I960*COS(RADIANS('13_시나리오비교'!$B$11))),0)</f>
        <v/>
      </c>
      <c r="W960" s="80">
        <f>IF($I960&gt;0,MAX(0,$G960*SIN(RADIANS('13_시나리오비교'!$B$12))*SIN(RADIANS('13_시나리오비교'!$C$12))+$H960*SIN(RADIANS('13_시나리오비교'!$B$12))*COS(RADIANS('13_시나리오비교'!$C$12))+$I960*COS(RADIANS('13_시나리오비교'!$B$12))),0)</f>
        <v/>
      </c>
      <c r="X960" s="80">
        <f>IF($I960&gt;0,MAX(0,$G960*SIN(RADIANS('13_시나리오비교'!$B$13))*SIN(RADIANS('13_시나리오비교'!$C$13))+$H960*SIN(RADIANS('13_시나리오비교'!$B$13))*COS(RADIANS('13_시나리오비교'!$C$13))+$I960*COS(RADIANS('13_시나리오비교'!$B$13))),0)</f>
        <v/>
      </c>
      <c r="Y960" s="80">
        <f>IF($I960&gt;0,MAX(0,$G960*SIN(RADIANS('13_시나리오비교'!$B$14))*SIN(RADIANS('13_시나리오비교'!$C$14))+$H960*SIN(RADIANS('13_시나리오비교'!$B$14))*COS(RADIANS('13_시나리오비교'!$C$14))+$I960*COS(RADIANS('13_시나리오비교'!$B$14))),0)</f>
        <v/>
      </c>
    </row>
    <row r="961" hidden="1" outlineLevel="1">
      <c r="A961" s="79" t="n">
        <v>10</v>
      </c>
      <c r="B961" s="79" t="n">
        <v>77</v>
      </c>
      <c r="C961" s="80">
        <f>(B961-0.5)*'14_지역·상수'!$H$6</f>
        <v/>
      </c>
      <c r="D961" s="79" t="n">
        <v>288</v>
      </c>
      <c r="E961" s="80">
        <f>INDEX($C$4:$C$15,MATCH(A961,$A$4:$A$15,0))</f>
        <v/>
      </c>
      <c r="F961" s="80">
        <f>15*(C961-12)</f>
        <v/>
      </c>
      <c r="G961" s="80">
        <f>-COS(RADIANS(E961))*SIN(RADIANS(F961))</f>
        <v/>
      </c>
      <c r="H961" s="80">
        <f>COS(RADIANS('11_발전량_모델'!$B$17))*SIN(RADIANS(E961))-SIN(RADIANS('11_발전량_모델'!$B$17))*COS(RADIANS(E961))*COS(RADIANS(F961))</f>
        <v/>
      </c>
      <c r="I961" s="80">
        <f>SIN(RADIANS('11_발전량_모델'!$B$17))*SIN(RADIANS(E961))+COS(RADIANS('11_발전량_모델'!$B$17))*COS(RADIANS(E961))*COS(RADIANS(F961))</f>
        <v/>
      </c>
      <c r="J961" s="80">
        <f>SIN(RADIANS('11_발전량_모델'!$B$7))*SIN(RADIANS('11_발전량_모델'!$B$8))</f>
        <v/>
      </c>
      <c r="K961" s="80">
        <f>SIN(RADIANS('11_발전량_모델'!$B$7))*COS(RADIANS('11_발전량_모델'!$B$8))</f>
        <v/>
      </c>
      <c r="L961" s="80">
        <f>COS(RADIANS('11_발전량_모델'!$B$7))</f>
        <v/>
      </c>
      <c r="M961" s="80">
        <f>G961*J961+H961*K961+I961*L961</f>
        <v/>
      </c>
      <c r="N961" s="80">
        <f>MAX(0,I961)</f>
        <v/>
      </c>
      <c r="O961" s="80">
        <f>IF(I961&gt;0,MAX(0,M961),0)</f>
        <v/>
      </c>
      <c r="P961" s="80">
        <f>IF($I961&gt;0,MAX(0,$G961*SIN(RADIANS('13_시나리오비교'!$B$5))*SIN(RADIANS('13_시나리오비교'!$C$5))+$H961*SIN(RADIANS('13_시나리오비교'!$B$5))*COS(RADIANS('13_시나리오비교'!$C$5))+$I961*COS(RADIANS('13_시나리오비교'!$B$5))),0)</f>
        <v/>
      </c>
      <c r="Q961" s="80">
        <f>IF($I961&gt;0,MAX(0,$G961*SIN(RADIANS('13_시나리오비교'!$B$6))*SIN(RADIANS('13_시나리오비교'!$C$6))+$H961*SIN(RADIANS('13_시나리오비교'!$B$6))*COS(RADIANS('13_시나리오비교'!$C$6))+$I961*COS(RADIANS('13_시나리오비교'!$B$6))),0)</f>
        <v/>
      </c>
      <c r="R961" s="80">
        <f>IF($I961&gt;0,MAX(0,$G961*SIN(RADIANS('13_시나리오비교'!$B$7))*SIN(RADIANS('13_시나리오비교'!$C$7))+$H961*SIN(RADIANS('13_시나리오비교'!$B$7))*COS(RADIANS('13_시나리오비교'!$C$7))+$I961*COS(RADIANS('13_시나리오비교'!$B$7))),0)</f>
        <v/>
      </c>
      <c r="S961" s="80">
        <f>IF($I961&gt;0,MAX(0,$G961*SIN(RADIANS('13_시나리오비교'!$B$8))*SIN(RADIANS('13_시나리오비교'!$C$8))+$H961*SIN(RADIANS('13_시나리오비교'!$B$8))*COS(RADIANS('13_시나리오비교'!$C$8))+$I961*COS(RADIANS('13_시나리오비교'!$B$8))),0)</f>
        <v/>
      </c>
      <c r="T961" s="80">
        <f>IF($I961&gt;0,MAX(0,$G961*SIN(RADIANS('13_시나리오비교'!$B$9))*SIN(RADIANS('13_시나리오비교'!$C$9))+$H961*SIN(RADIANS('13_시나리오비교'!$B$9))*COS(RADIANS('13_시나리오비교'!$C$9))+$I961*COS(RADIANS('13_시나리오비교'!$B$9))),0)</f>
        <v/>
      </c>
      <c r="U961" s="80">
        <f>IF($I961&gt;0,MAX(0,$G961*SIN(RADIANS('13_시나리오비교'!$B$10))*SIN(RADIANS('13_시나리오비교'!$C$10))+$H961*SIN(RADIANS('13_시나리오비교'!$B$10))*COS(RADIANS('13_시나리오비교'!$C$10))+$I961*COS(RADIANS('13_시나리오비교'!$B$10))),0)</f>
        <v/>
      </c>
      <c r="V961" s="80">
        <f>IF($I961&gt;0,MAX(0,$G961*SIN(RADIANS('13_시나리오비교'!$B$11))*SIN(RADIANS('13_시나리오비교'!$C$11))+$H961*SIN(RADIANS('13_시나리오비교'!$B$11))*COS(RADIANS('13_시나리오비교'!$C$11))+$I961*COS(RADIANS('13_시나리오비교'!$B$11))),0)</f>
        <v/>
      </c>
      <c r="W961" s="80">
        <f>IF($I961&gt;0,MAX(0,$G961*SIN(RADIANS('13_시나리오비교'!$B$12))*SIN(RADIANS('13_시나리오비교'!$C$12))+$H961*SIN(RADIANS('13_시나리오비교'!$B$12))*COS(RADIANS('13_시나리오비교'!$C$12))+$I961*COS(RADIANS('13_시나리오비교'!$B$12))),0)</f>
        <v/>
      </c>
      <c r="X961" s="80">
        <f>IF($I961&gt;0,MAX(0,$G961*SIN(RADIANS('13_시나리오비교'!$B$13))*SIN(RADIANS('13_시나리오비교'!$C$13))+$H961*SIN(RADIANS('13_시나리오비교'!$B$13))*COS(RADIANS('13_시나리오비교'!$C$13))+$I961*COS(RADIANS('13_시나리오비교'!$B$13))),0)</f>
        <v/>
      </c>
      <c r="Y961" s="80">
        <f>IF($I961&gt;0,MAX(0,$G961*SIN(RADIANS('13_시나리오비교'!$B$14))*SIN(RADIANS('13_시나리오비교'!$C$14))+$H961*SIN(RADIANS('13_시나리오비교'!$B$14))*COS(RADIANS('13_시나리오비교'!$C$14))+$I961*COS(RADIANS('13_시나리오비교'!$B$14))),0)</f>
        <v/>
      </c>
    </row>
    <row r="962" hidden="1" outlineLevel="1">
      <c r="A962" s="79" t="n">
        <v>10</v>
      </c>
      <c r="B962" s="79" t="n">
        <v>78</v>
      </c>
      <c r="C962" s="80">
        <f>(B962-0.5)*'14_지역·상수'!$H$6</f>
        <v/>
      </c>
      <c r="D962" s="79" t="n">
        <v>288</v>
      </c>
      <c r="E962" s="80">
        <f>INDEX($C$4:$C$15,MATCH(A962,$A$4:$A$15,0))</f>
        <v/>
      </c>
      <c r="F962" s="80">
        <f>15*(C962-12)</f>
        <v/>
      </c>
      <c r="G962" s="80">
        <f>-COS(RADIANS(E962))*SIN(RADIANS(F962))</f>
        <v/>
      </c>
      <c r="H962" s="80">
        <f>COS(RADIANS('11_발전량_모델'!$B$17))*SIN(RADIANS(E962))-SIN(RADIANS('11_발전량_모델'!$B$17))*COS(RADIANS(E962))*COS(RADIANS(F962))</f>
        <v/>
      </c>
      <c r="I962" s="80">
        <f>SIN(RADIANS('11_발전량_모델'!$B$17))*SIN(RADIANS(E962))+COS(RADIANS('11_발전량_모델'!$B$17))*COS(RADIANS(E962))*COS(RADIANS(F962))</f>
        <v/>
      </c>
      <c r="J962" s="80">
        <f>SIN(RADIANS('11_발전량_모델'!$B$7))*SIN(RADIANS('11_발전량_모델'!$B$8))</f>
        <v/>
      </c>
      <c r="K962" s="80">
        <f>SIN(RADIANS('11_발전량_모델'!$B$7))*COS(RADIANS('11_발전량_모델'!$B$8))</f>
        <v/>
      </c>
      <c r="L962" s="80">
        <f>COS(RADIANS('11_발전량_모델'!$B$7))</f>
        <v/>
      </c>
      <c r="M962" s="80">
        <f>G962*J962+H962*K962+I962*L962</f>
        <v/>
      </c>
      <c r="N962" s="80">
        <f>MAX(0,I962)</f>
        <v/>
      </c>
      <c r="O962" s="80">
        <f>IF(I962&gt;0,MAX(0,M962),0)</f>
        <v/>
      </c>
      <c r="P962" s="80">
        <f>IF($I962&gt;0,MAX(0,$G962*SIN(RADIANS('13_시나리오비교'!$B$5))*SIN(RADIANS('13_시나리오비교'!$C$5))+$H962*SIN(RADIANS('13_시나리오비교'!$B$5))*COS(RADIANS('13_시나리오비교'!$C$5))+$I962*COS(RADIANS('13_시나리오비교'!$B$5))),0)</f>
        <v/>
      </c>
      <c r="Q962" s="80">
        <f>IF($I962&gt;0,MAX(0,$G962*SIN(RADIANS('13_시나리오비교'!$B$6))*SIN(RADIANS('13_시나리오비교'!$C$6))+$H962*SIN(RADIANS('13_시나리오비교'!$B$6))*COS(RADIANS('13_시나리오비교'!$C$6))+$I962*COS(RADIANS('13_시나리오비교'!$B$6))),0)</f>
        <v/>
      </c>
      <c r="R962" s="80">
        <f>IF($I962&gt;0,MAX(0,$G962*SIN(RADIANS('13_시나리오비교'!$B$7))*SIN(RADIANS('13_시나리오비교'!$C$7))+$H962*SIN(RADIANS('13_시나리오비교'!$B$7))*COS(RADIANS('13_시나리오비교'!$C$7))+$I962*COS(RADIANS('13_시나리오비교'!$B$7))),0)</f>
        <v/>
      </c>
      <c r="S962" s="80">
        <f>IF($I962&gt;0,MAX(0,$G962*SIN(RADIANS('13_시나리오비교'!$B$8))*SIN(RADIANS('13_시나리오비교'!$C$8))+$H962*SIN(RADIANS('13_시나리오비교'!$B$8))*COS(RADIANS('13_시나리오비교'!$C$8))+$I962*COS(RADIANS('13_시나리오비교'!$B$8))),0)</f>
        <v/>
      </c>
      <c r="T962" s="80">
        <f>IF($I962&gt;0,MAX(0,$G962*SIN(RADIANS('13_시나리오비교'!$B$9))*SIN(RADIANS('13_시나리오비교'!$C$9))+$H962*SIN(RADIANS('13_시나리오비교'!$B$9))*COS(RADIANS('13_시나리오비교'!$C$9))+$I962*COS(RADIANS('13_시나리오비교'!$B$9))),0)</f>
        <v/>
      </c>
      <c r="U962" s="80">
        <f>IF($I962&gt;0,MAX(0,$G962*SIN(RADIANS('13_시나리오비교'!$B$10))*SIN(RADIANS('13_시나리오비교'!$C$10))+$H962*SIN(RADIANS('13_시나리오비교'!$B$10))*COS(RADIANS('13_시나리오비교'!$C$10))+$I962*COS(RADIANS('13_시나리오비교'!$B$10))),0)</f>
        <v/>
      </c>
      <c r="V962" s="80">
        <f>IF($I962&gt;0,MAX(0,$G962*SIN(RADIANS('13_시나리오비교'!$B$11))*SIN(RADIANS('13_시나리오비교'!$C$11))+$H962*SIN(RADIANS('13_시나리오비교'!$B$11))*COS(RADIANS('13_시나리오비교'!$C$11))+$I962*COS(RADIANS('13_시나리오비교'!$B$11))),0)</f>
        <v/>
      </c>
      <c r="W962" s="80">
        <f>IF($I962&gt;0,MAX(0,$G962*SIN(RADIANS('13_시나리오비교'!$B$12))*SIN(RADIANS('13_시나리오비교'!$C$12))+$H962*SIN(RADIANS('13_시나리오비교'!$B$12))*COS(RADIANS('13_시나리오비교'!$C$12))+$I962*COS(RADIANS('13_시나리오비교'!$B$12))),0)</f>
        <v/>
      </c>
      <c r="X962" s="80">
        <f>IF($I962&gt;0,MAX(0,$G962*SIN(RADIANS('13_시나리오비교'!$B$13))*SIN(RADIANS('13_시나리오비교'!$C$13))+$H962*SIN(RADIANS('13_시나리오비교'!$B$13))*COS(RADIANS('13_시나리오비교'!$C$13))+$I962*COS(RADIANS('13_시나리오비교'!$B$13))),0)</f>
        <v/>
      </c>
      <c r="Y962" s="80">
        <f>IF($I962&gt;0,MAX(0,$G962*SIN(RADIANS('13_시나리오비교'!$B$14))*SIN(RADIANS('13_시나리오비교'!$C$14))+$H962*SIN(RADIANS('13_시나리오비교'!$B$14))*COS(RADIANS('13_시나리오비교'!$C$14))+$I962*COS(RADIANS('13_시나리오비교'!$B$14))),0)</f>
        <v/>
      </c>
    </row>
    <row r="963" hidden="1" outlineLevel="1">
      <c r="A963" s="79" t="n">
        <v>10</v>
      </c>
      <c r="B963" s="79" t="n">
        <v>79</v>
      </c>
      <c r="C963" s="80">
        <f>(B963-0.5)*'14_지역·상수'!$H$6</f>
        <v/>
      </c>
      <c r="D963" s="79" t="n">
        <v>288</v>
      </c>
      <c r="E963" s="80">
        <f>INDEX($C$4:$C$15,MATCH(A963,$A$4:$A$15,0))</f>
        <v/>
      </c>
      <c r="F963" s="80">
        <f>15*(C963-12)</f>
        <v/>
      </c>
      <c r="G963" s="80">
        <f>-COS(RADIANS(E963))*SIN(RADIANS(F963))</f>
        <v/>
      </c>
      <c r="H963" s="80">
        <f>COS(RADIANS('11_발전량_모델'!$B$17))*SIN(RADIANS(E963))-SIN(RADIANS('11_발전량_모델'!$B$17))*COS(RADIANS(E963))*COS(RADIANS(F963))</f>
        <v/>
      </c>
      <c r="I963" s="80">
        <f>SIN(RADIANS('11_발전량_모델'!$B$17))*SIN(RADIANS(E963))+COS(RADIANS('11_발전량_모델'!$B$17))*COS(RADIANS(E963))*COS(RADIANS(F963))</f>
        <v/>
      </c>
      <c r="J963" s="80">
        <f>SIN(RADIANS('11_발전량_모델'!$B$7))*SIN(RADIANS('11_발전량_모델'!$B$8))</f>
        <v/>
      </c>
      <c r="K963" s="80">
        <f>SIN(RADIANS('11_발전량_모델'!$B$7))*COS(RADIANS('11_발전량_모델'!$B$8))</f>
        <v/>
      </c>
      <c r="L963" s="80">
        <f>COS(RADIANS('11_발전량_모델'!$B$7))</f>
        <v/>
      </c>
      <c r="M963" s="80">
        <f>G963*J963+H963*K963+I963*L963</f>
        <v/>
      </c>
      <c r="N963" s="80">
        <f>MAX(0,I963)</f>
        <v/>
      </c>
      <c r="O963" s="80">
        <f>IF(I963&gt;0,MAX(0,M963),0)</f>
        <v/>
      </c>
      <c r="P963" s="80">
        <f>IF($I963&gt;0,MAX(0,$G963*SIN(RADIANS('13_시나리오비교'!$B$5))*SIN(RADIANS('13_시나리오비교'!$C$5))+$H963*SIN(RADIANS('13_시나리오비교'!$B$5))*COS(RADIANS('13_시나리오비교'!$C$5))+$I963*COS(RADIANS('13_시나리오비교'!$B$5))),0)</f>
        <v/>
      </c>
      <c r="Q963" s="80">
        <f>IF($I963&gt;0,MAX(0,$G963*SIN(RADIANS('13_시나리오비교'!$B$6))*SIN(RADIANS('13_시나리오비교'!$C$6))+$H963*SIN(RADIANS('13_시나리오비교'!$B$6))*COS(RADIANS('13_시나리오비교'!$C$6))+$I963*COS(RADIANS('13_시나리오비교'!$B$6))),0)</f>
        <v/>
      </c>
      <c r="R963" s="80">
        <f>IF($I963&gt;0,MAX(0,$G963*SIN(RADIANS('13_시나리오비교'!$B$7))*SIN(RADIANS('13_시나리오비교'!$C$7))+$H963*SIN(RADIANS('13_시나리오비교'!$B$7))*COS(RADIANS('13_시나리오비교'!$C$7))+$I963*COS(RADIANS('13_시나리오비교'!$B$7))),0)</f>
        <v/>
      </c>
      <c r="S963" s="80">
        <f>IF($I963&gt;0,MAX(0,$G963*SIN(RADIANS('13_시나리오비교'!$B$8))*SIN(RADIANS('13_시나리오비교'!$C$8))+$H963*SIN(RADIANS('13_시나리오비교'!$B$8))*COS(RADIANS('13_시나리오비교'!$C$8))+$I963*COS(RADIANS('13_시나리오비교'!$B$8))),0)</f>
        <v/>
      </c>
      <c r="T963" s="80">
        <f>IF($I963&gt;0,MAX(0,$G963*SIN(RADIANS('13_시나리오비교'!$B$9))*SIN(RADIANS('13_시나리오비교'!$C$9))+$H963*SIN(RADIANS('13_시나리오비교'!$B$9))*COS(RADIANS('13_시나리오비교'!$C$9))+$I963*COS(RADIANS('13_시나리오비교'!$B$9))),0)</f>
        <v/>
      </c>
      <c r="U963" s="80">
        <f>IF($I963&gt;0,MAX(0,$G963*SIN(RADIANS('13_시나리오비교'!$B$10))*SIN(RADIANS('13_시나리오비교'!$C$10))+$H963*SIN(RADIANS('13_시나리오비교'!$B$10))*COS(RADIANS('13_시나리오비교'!$C$10))+$I963*COS(RADIANS('13_시나리오비교'!$B$10))),0)</f>
        <v/>
      </c>
      <c r="V963" s="80">
        <f>IF($I963&gt;0,MAX(0,$G963*SIN(RADIANS('13_시나리오비교'!$B$11))*SIN(RADIANS('13_시나리오비교'!$C$11))+$H963*SIN(RADIANS('13_시나리오비교'!$B$11))*COS(RADIANS('13_시나리오비교'!$C$11))+$I963*COS(RADIANS('13_시나리오비교'!$B$11))),0)</f>
        <v/>
      </c>
      <c r="W963" s="80">
        <f>IF($I963&gt;0,MAX(0,$G963*SIN(RADIANS('13_시나리오비교'!$B$12))*SIN(RADIANS('13_시나리오비교'!$C$12))+$H963*SIN(RADIANS('13_시나리오비교'!$B$12))*COS(RADIANS('13_시나리오비교'!$C$12))+$I963*COS(RADIANS('13_시나리오비교'!$B$12))),0)</f>
        <v/>
      </c>
      <c r="X963" s="80">
        <f>IF($I963&gt;0,MAX(0,$G963*SIN(RADIANS('13_시나리오비교'!$B$13))*SIN(RADIANS('13_시나리오비교'!$C$13))+$H963*SIN(RADIANS('13_시나리오비교'!$B$13))*COS(RADIANS('13_시나리오비교'!$C$13))+$I963*COS(RADIANS('13_시나리오비교'!$B$13))),0)</f>
        <v/>
      </c>
      <c r="Y963" s="80">
        <f>IF($I963&gt;0,MAX(0,$G963*SIN(RADIANS('13_시나리오비교'!$B$14))*SIN(RADIANS('13_시나리오비교'!$C$14))+$H963*SIN(RADIANS('13_시나리오비교'!$B$14))*COS(RADIANS('13_시나리오비교'!$C$14))+$I963*COS(RADIANS('13_시나리오비교'!$B$14))),0)</f>
        <v/>
      </c>
    </row>
    <row r="964" hidden="1" outlineLevel="1">
      <c r="A964" s="79" t="n">
        <v>10</v>
      </c>
      <c r="B964" s="79" t="n">
        <v>80</v>
      </c>
      <c r="C964" s="80">
        <f>(B964-0.5)*'14_지역·상수'!$H$6</f>
        <v/>
      </c>
      <c r="D964" s="79" t="n">
        <v>288</v>
      </c>
      <c r="E964" s="80">
        <f>INDEX($C$4:$C$15,MATCH(A964,$A$4:$A$15,0))</f>
        <v/>
      </c>
      <c r="F964" s="80">
        <f>15*(C964-12)</f>
        <v/>
      </c>
      <c r="G964" s="80">
        <f>-COS(RADIANS(E964))*SIN(RADIANS(F964))</f>
        <v/>
      </c>
      <c r="H964" s="80">
        <f>COS(RADIANS('11_발전량_모델'!$B$17))*SIN(RADIANS(E964))-SIN(RADIANS('11_발전량_모델'!$B$17))*COS(RADIANS(E964))*COS(RADIANS(F964))</f>
        <v/>
      </c>
      <c r="I964" s="80">
        <f>SIN(RADIANS('11_발전량_모델'!$B$17))*SIN(RADIANS(E964))+COS(RADIANS('11_발전량_모델'!$B$17))*COS(RADIANS(E964))*COS(RADIANS(F964))</f>
        <v/>
      </c>
      <c r="J964" s="80">
        <f>SIN(RADIANS('11_발전량_모델'!$B$7))*SIN(RADIANS('11_발전량_모델'!$B$8))</f>
        <v/>
      </c>
      <c r="K964" s="80">
        <f>SIN(RADIANS('11_발전량_모델'!$B$7))*COS(RADIANS('11_발전량_모델'!$B$8))</f>
        <v/>
      </c>
      <c r="L964" s="80">
        <f>COS(RADIANS('11_발전량_모델'!$B$7))</f>
        <v/>
      </c>
      <c r="M964" s="80">
        <f>G964*J964+H964*K964+I964*L964</f>
        <v/>
      </c>
      <c r="N964" s="80">
        <f>MAX(0,I964)</f>
        <v/>
      </c>
      <c r="O964" s="80">
        <f>IF(I964&gt;0,MAX(0,M964),0)</f>
        <v/>
      </c>
      <c r="P964" s="80">
        <f>IF($I964&gt;0,MAX(0,$G964*SIN(RADIANS('13_시나리오비교'!$B$5))*SIN(RADIANS('13_시나리오비교'!$C$5))+$H964*SIN(RADIANS('13_시나리오비교'!$B$5))*COS(RADIANS('13_시나리오비교'!$C$5))+$I964*COS(RADIANS('13_시나리오비교'!$B$5))),0)</f>
        <v/>
      </c>
      <c r="Q964" s="80">
        <f>IF($I964&gt;0,MAX(0,$G964*SIN(RADIANS('13_시나리오비교'!$B$6))*SIN(RADIANS('13_시나리오비교'!$C$6))+$H964*SIN(RADIANS('13_시나리오비교'!$B$6))*COS(RADIANS('13_시나리오비교'!$C$6))+$I964*COS(RADIANS('13_시나리오비교'!$B$6))),0)</f>
        <v/>
      </c>
      <c r="R964" s="80">
        <f>IF($I964&gt;0,MAX(0,$G964*SIN(RADIANS('13_시나리오비교'!$B$7))*SIN(RADIANS('13_시나리오비교'!$C$7))+$H964*SIN(RADIANS('13_시나리오비교'!$B$7))*COS(RADIANS('13_시나리오비교'!$C$7))+$I964*COS(RADIANS('13_시나리오비교'!$B$7))),0)</f>
        <v/>
      </c>
      <c r="S964" s="80">
        <f>IF($I964&gt;0,MAX(0,$G964*SIN(RADIANS('13_시나리오비교'!$B$8))*SIN(RADIANS('13_시나리오비교'!$C$8))+$H964*SIN(RADIANS('13_시나리오비교'!$B$8))*COS(RADIANS('13_시나리오비교'!$C$8))+$I964*COS(RADIANS('13_시나리오비교'!$B$8))),0)</f>
        <v/>
      </c>
      <c r="T964" s="80">
        <f>IF($I964&gt;0,MAX(0,$G964*SIN(RADIANS('13_시나리오비교'!$B$9))*SIN(RADIANS('13_시나리오비교'!$C$9))+$H964*SIN(RADIANS('13_시나리오비교'!$B$9))*COS(RADIANS('13_시나리오비교'!$C$9))+$I964*COS(RADIANS('13_시나리오비교'!$B$9))),0)</f>
        <v/>
      </c>
      <c r="U964" s="80">
        <f>IF($I964&gt;0,MAX(0,$G964*SIN(RADIANS('13_시나리오비교'!$B$10))*SIN(RADIANS('13_시나리오비교'!$C$10))+$H964*SIN(RADIANS('13_시나리오비교'!$B$10))*COS(RADIANS('13_시나리오비교'!$C$10))+$I964*COS(RADIANS('13_시나리오비교'!$B$10))),0)</f>
        <v/>
      </c>
      <c r="V964" s="80">
        <f>IF($I964&gt;0,MAX(0,$G964*SIN(RADIANS('13_시나리오비교'!$B$11))*SIN(RADIANS('13_시나리오비교'!$C$11))+$H964*SIN(RADIANS('13_시나리오비교'!$B$11))*COS(RADIANS('13_시나리오비교'!$C$11))+$I964*COS(RADIANS('13_시나리오비교'!$B$11))),0)</f>
        <v/>
      </c>
      <c r="W964" s="80">
        <f>IF($I964&gt;0,MAX(0,$G964*SIN(RADIANS('13_시나리오비교'!$B$12))*SIN(RADIANS('13_시나리오비교'!$C$12))+$H964*SIN(RADIANS('13_시나리오비교'!$B$12))*COS(RADIANS('13_시나리오비교'!$C$12))+$I964*COS(RADIANS('13_시나리오비교'!$B$12))),0)</f>
        <v/>
      </c>
      <c r="X964" s="80">
        <f>IF($I964&gt;0,MAX(0,$G964*SIN(RADIANS('13_시나리오비교'!$B$13))*SIN(RADIANS('13_시나리오비교'!$C$13))+$H964*SIN(RADIANS('13_시나리오비교'!$B$13))*COS(RADIANS('13_시나리오비교'!$C$13))+$I964*COS(RADIANS('13_시나리오비교'!$B$13))),0)</f>
        <v/>
      </c>
      <c r="Y964" s="80">
        <f>IF($I964&gt;0,MAX(0,$G964*SIN(RADIANS('13_시나리오비교'!$B$14))*SIN(RADIANS('13_시나리오비교'!$C$14))+$H964*SIN(RADIANS('13_시나리오비교'!$B$14))*COS(RADIANS('13_시나리오비교'!$C$14))+$I964*COS(RADIANS('13_시나리오비교'!$B$14))),0)</f>
        <v/>
      </c>
    </row>
    <row r="965" hidden="1" outlineLevel="1">
      <c r="A965" s="79" t="n">
        <v>10</v>
      </c>
      <c r="B965" s="79" t="n">
        <v>81</v>
      </c>
      <c r="C965" s="80">
        <f>(B965-0.5)*'14_지역·상수'!$H$6</f>
        <v/>
      </c>
      <c r="D965" s="79" t="n">
        <v>288</v>
      </c>
      <c r="E965" s="80">
        <f>INDEX($C$4:$C$15,MATCH(A965,$A$4:$A$15,0))</f>
        <v/>
      </c>
      <c r="F965" s="80">
        <f>15*(C965-12)</f>
        <v/>
      </c>
      <c r="G965" s="80">
        <f>-COS(RADIANS(E965))*SIN(RADIANS(F965))</f>
        <v/>
      </c>
      <c r="H965" s="80">
        <f>COS(RADIANS('11_발전량_모델'!$B$17))*SIN(RADIANS(E965))-SIN(RADIANS('11_발전량_모델'!$B$17))*COS(RADIANS(E965))*COS(RADIANS(F965))</f>
        <v/>
      </c>
      <c r="I965" s="80">
        <f>SIN(RADIANS('11_발전량_모델'!$B$17))*SIN(RADIANS(E965))+COS(RADIANS('11_발전량_모델'!$B$17))*COS(RADIANS(E965))*COS(RADIANS(F965))</f>
        <v/>
      </c>
      <c r="J965" s="80">
        <f>SIN(RADIANS('11_발전량_모델'!$B$7))*SIN(RADIANS('11_발전량_모델'!$B$8))</f>
        <v/>
      </c>
      <c r="K965" s="80">
        <f>SIN(RADIANS('11_발전량_모델'!$B$7))*COS(RADIANS('11_발전량_모델'!$B$8))</f>
        <v/>
      </c>
      <c r="L965" s="80">
        <f>COS(RADIANS('11_발전량_모델'!$B$7))</f>
        <v/>
      </c>
      <c r="M965" s="80">
        <f>G965*J965+H965*K965+I965*L965</f>
        <v/>
      </c>
      <c r="N965" s="80">
        <f>MAX(0,I965)</f>
        <v/>
      </c>
      <c r="O965" s="80">
        <f>IF(I965&gt;0,MAX(0,M965),0)</f>
        <v/>
      </c>
      <c r="P965" s="80">
        <f>IF($I965&gt;0,MAX(0,$G965*SIN(RADIANS('13_시나리오비교'!$B$5))*SIN(RADIANS('13_시나리오비교'!$C$5))+$H965*SIN(RADIANS('13_시나리오비교'!$B$5))*COS(RADIANS('13_시나리오비교'!$C$5))+$I965*COS(RADIANS('13_시나리오비교'!$B$5))),0)</f>
        <v/>
      </c>
      <c r="Q965" s="80">
        <f>IF($I965&gt;0,MAX(0,$G965*SIN(RADIANS('13_시나리오비교'!$B$6))*SIN(RADIANS('13_시나리오비교'!$C$6))+$H965*SIN(RADIANS('13_시나리오비교'!$B$6))*COS(RADIANS('13_시나리오비교'!$C$6))+$I965*COS(RADIANS('13_시나리오비교'!$B$6))),0)</f>
        <v/>
      </c>
      <c r="R965" s="80">
        <f>IF($I965&gt;0,MAX(0,$G965*SIN(RADIANS('13_시나리오비교'!$B$7))*SIN(RADIANS('13_시나리오비교'!$C$7))+$H965*SIN(RADIANS('13_시나리오비교'!$B$7))*COS(RADIANS('13_시나리오비교'!$C$7))+$I965*COS(RADIANS('13_시나리오비교'!$B$7))),0)</f>
        <v/>
      </c>
      <c r="S965" s="80">
        <f>IF($I965&gt;0,MAX(0,$G965*SIN(RADIANS('13_시나리오비교'!$B$8))*SIN(RADIANS('13_시나리오비교'!$C$8))+$H965*SIN(RADIANS('13_시나리오비교'!$B$8))*COS(RADIANS('13_시나리오비교'!$C$8))+$I965*COS(RADIANS('13_시나리오비교'!$B$8))),0)</f>
        <v/>
      </c>
      <c r="T965" s="80">
        <f>IF($I965&gt;0,MAX(0,$G965*SIN(RADIANS('13_시나리오비교'!$B$9))*SIN(RADIANS('13_시나리오비교'!$C$9))+$H965*SIN(RADIANS('13_시나리오비교'!$B$9))*COS(RADIANS('13_시나리오비교'!$C$9))+$I965*COS(RADIANS('13_시나리오비교'!$B$9))),0)</f>
        <v/>
      </c>
      <c r="U965" s="80">
        <f>IF($I965&gt;0,MAX(0,$G965*SIN(RADIANS('13_시나리오비교'!$B$10))*SIN(RADIANS('13_시나리오비교'!$C$10))+$H965*SIN(RADIANS('13_시나리오비교'!$B$10))*COS(RADIANS('13_시나리오비교'!$C$10))+$I965*COS(RADIANS('13_시나리오비교'!$B$10))),0)</f>
        <v/>
      </c>
      <c r="V965" s="80">
        <f>IF($I965&gt;0,MAX(0,$G965*SIN(RADIANS('13_시나리오비교'!$B$11))*SIN(RADIANS('13_시나리오비교'!$C$11))+$H965*SIN(RADIANS('13_시나리오비교'!$B$11))*COS(RADIANS('13_시나리오비교'!$C$11))+$I965*COS(RADIANS('13_시나리오비교'!$B$11))),0)</f>
        <v/>
      </c>
      <c r="W965" s="80">
        <f>IF($I965&gt;0,MAX(0,$G965*SIN(RADIANS('13_시나리오비교'!$B$12))*SIN(RADIANS('13_시나리오비교'!$C$12))+$H965*SIN(RADIANS('13_시나리오비교'!$B$12))*COS(RADIANS('13_시나리오비교'!$C$12))+$I965*COS(RADIANS('13_시나리오비교'!$B$12))),0)</f>
        <v/>
      </c>
      <c r="X965" s="80">
        <f>IF($I965&gt;0,MAX(0,$G965*SIN(RADIANS('13_시나리오비교'!$B$13))*SIN(RADIANS('13_시나리오비교'!$C$13))+$H965*SIN(RADIANS('13_시나리오비교'!$B$13))*COS(RADIANS('13_시나리오비교'!$C$13))+$I965*COS(RADIANS('13_시나리오비교'!$B$13))),0)</f>
        <v/>
      </c>
      <c r="Y965" s="80">
        <f>IF($I965&gt;0,MAX(0,$G965*SIN(RADIANS('13_시나리오비교'!$B$14))*SIN(RADIANS('13_시나리오비교'!$C$14))+$H965*SIN(RADIANS('13_시나리오비교'!$B$14))*COS(RADIANS('13_시나리오비교'!$C$14))+$I965*COS(RADIANS('13_시나리오비교'!$B$14))),0)</f>
        <v/>
      </c>
    </row>
    <row r="966" hidden="1" outlineLevel="1">
      <c r="A966" s="79" t="n">
        <v>10</v>
      </c>
      <c r="B966" s="79" t="n">
        <v>82</v>
      </c>
      <c r="C966" s="80">
        <f>(B966-0.5)*'14_지역·상수'!$H$6</f>
        <v/>
      </c>
      <c r="D966" s="79" t="n">
        <v>288</v>
      </c>
      <c r="E966" s="80">
        <f>INDEX($C$4:$C$15,MATCH(A966,$A$4:$A$15,0))</f>
        <v/>
      </c>
      <c r="F966" s="80">
        <f>15*(C966-12)</f>
        <v/>
      </c>
      <c r="G966" s="80">
        <f>-COS(RADIANS(E966))*SIN(RADIANS(F966))</f>
        <v/>
      </c>
      <c r="H966" s="80">
        <f>COS(RADIANS('11_발전량_모델'!$B$17))*SIN(RADIANS(E966))-SIN(RADIANS('11_발전량_모델'!$B$17))*COS(RADIANS(E966))*COS(RADIANS(F966))</f>
        <v/>
      </c>
      <c r="I966" s="80">
        <f>SIN(RADIANS('11_발전량_모델'!$B$17))*SIN(RADIANS(E966))+COS(RADIANS('11_발전량_모델'!$B$17))*COS(RADIANS(E966))*COS(RADIANS(F966))</f>
        <v/>
      </c>
      <c r="J966" s="80">
        <f>SIN(RADIANS('11_발전량_모델'!$B$7))*SIN(RADIANS('11_발전량_모델'!$B$8))</f>
        <v/>
      </c>
      <c r="K966" s="80">
        <f>SIN(RADIANS('11_발전량_모델'!$B$7))*COS(RADIANS('11_발전량_모델'!$B$8))</f>
        <v/>
      </c>
      <c r="L966" s="80">
        <f>COS(RADIANS('11_발전량_모델'!$B$7))</f>
        <v/>
      </c>
      <c r="M966" s="80">
        <f>G966*J966+H966*K966+I966*L966</f>
        <v/>
      </c>
      <c r="N966" s="80">
        <f>MAX(0,I966)</f>
        <v/>
      </c>
      <c r="O966" s="80">
        <f>IF(I966&gt;0,MAX(0,M966),0)</f>
        <v/>
      </c>
      <c r="P966" s="80">
        <f>IF($I966&gt;0,MAX(0,$G966*SIN(RADIANS('13_시나리오비교'!$B$5))*SIN(RADIANS('13_시나리오비교'!$C$5))+$H966*SIN(RADIANS('13_시나리오비교'!$B$5))*COS(RADIANS('13_시나리오비교'!$C$5))+$I966*COS(RADIANS('13_시나리오비교'!$B$5))),0)</f>
        <v/>
      </c>
      <c r="Q966" s="80">
        <f>IF($I966&gt;0,MAX(0,$G966*SIN(RADIANS('13_시나리오비교'!$B$6))*SIN(RADIANS('13_시나리오비교'!$C$6))+$H966*SIN(RADIANS('13_시나리오비교'!$B$6))*COS(RADIANS('13_시나리오비교'!$C$6))+$I966*COS(RADIANS('13_시나리오비교'!$B$6))),0)</f>
        <v/>
      </c>
      <c r="R966" s="80">
        <f>IF($I966&gt;0,MAX(0,$G966*SIN(RADIANS('13_시나리오비교'!$B$7))*SIN(RADIANS('13_시나리오비교'!$C$7))+$H966*SIN(RADIANS('13_시나리오비교'!$B$7))*COS(RADIANS('13_시나리오비교'!$C$7))+$I966*COS(RADIANS('13_시나리오비교'!$B$7))),0)</f>
        <v/>
      </c>
      <c r="S966" s="80">
        <f>IF($I966&gt;0,MAX(0,$G966*SIN(RADIANS('13_시나리오비교'!$B$8))*SIN(RADIANS('13_시나리오비교'!$C$8))+$H966*SIN(RADIANS('13_시나리오비교'!$B$8))*COS(RADIANS('13_시나리오비교'!$C$8))+$I966*COS(RADIANS('13_시나리오비교'!$B$8))),0)</f>
        <v/>
      </c>
      <c r="T966" s="80">
        <f>IF($I966&gt;0,MAX(0,$G966*SIN(RADIANS('13_시나리오비교'!$B$9))*SIN(RADIANS('13_시나리오비교'!$C$9))+$H966*SIN(RADIANS('13_시나리오비교'!$B$9))*COS(RADIANS('13_시나리오비교'!$C$9))+$I966*COS(RADIANS('13_시나리오비교'!$B$9))),0)</f>
        <v/>
      </c>
      <c r="U966" s="80">
        <f>IF($I966&gt;0,MAX(0,$G966*SIN(RADIANS('13_시나리오비교'!$B$10))*SIN(RADIANS('13_시나리오비교'!$C$10))+$H966*SIN(RADIANS('13_시나리오비교'!$B$10))*COS(RADIANS('13_시나리오비교'!$C$10))+$I966*COS(RADIANS('13_시나리오비교'!$B$10))),0)</f>
        <v/>
      </c>
      <c r="V966" s="80">
        <f>IF($I966&gt;0,MAX(0,$G966*SIN(RADIANS('13_시나리오비교'!$B$11))*SIN(RADIANS('13_시나리오비교'!$C$11))+$H966*SIN(RADIANS('13_시나리오비교'!$B$11))*COS(RADIANS('13_시나리오비교'!$C$11))+$I966*COS(RADIANS('13_시나리오비교'!$B$11))),0)</f>
        <v/>
      </c>
      <c r="W966" s="80">
        <f>IF($I966&gt;0,MAX(0,$G966*SIN(RADIANS('13_시나리오비교'!$B$12))*SIN(RADIANS('13_시나리오비교'!$C$12))+$H966*SIN(RADIANS('13_시나리오비교'!$B$12))*COS(RADIANS('13_시나리오비교'!$C$12))+$I966*COS(RADIANS('13_시나리오비교'!$B$12))),0)</f>
        <v/>
      </c>
      <c r="X966" s="80">
        <f>IF($I966&gt;0,MAX(0,$G966*SIN(RADIANS('13_시나리오비교'!$B$13))*SIN(RADIANS('13_시나리오비교'!$C$13))+$H966*SIN(RADIANS('13_시나리오비교'!$B$13))*COS(RADIANS('13_시나리오비교'!$C$13))+$I966*COS(RADIANS('13_시나리오비교'!$B$13))),0)</f>
        <v/>
      </c>
      <c r="Y966" s="80">
        <f>IF($I966&gt;0,MAX(0,$G966*SIN(RADIANS('13_시나리오비교'!$B$14))*SIN(RADIANS('13_시나리오비교'!$C$14))+$H966*SIN(RADIANS('13_시나리오비교'!$B$14))*COS(RADIANS('13_시나리오비교'!$C$14))+$I966*COS(RADIANS('13_시나리오비교'!$B$14))),0)</f>
        <v/>
      </c>
    </row>
    <row r="967" hidden="1" outlineLevel="1">
      <c r="A967" s="79" t="n">
        <v>10</v>
      </c>
      <c r="B967" s="79" t="n">
        <v>83</v>
      </c>
      <c r="C967" s="80">
        <f>(B967-0.5)*'14_지역·상수'!$H$6</f>
        <v/>
      </c>
      <c r="D967" s="79" t="n">
        <v>288</v>
      </c>
      <c r="E967" s="80">
        <f>INDEX($C$4:$C$15,MATCH(A967,$A$4:$A$15,0))</f>
        <v/>
      </c>
      <c r="F967" s="80">
        <f>15*(C967-12)</f>
        <v/>
      </c>
      <c r="G967" s="80">
        <f>-COS(RADIANS(E967))*SIN(RADIANS(F967))</f>
        <v/>
      </c>
      <c r="H967" s="80">
        <f>COS(RADIANS('11_발전량_모델'!$B$17))*SIN(RADIANS(E967))-SIN(RADIANS('11_발전량_모델'!$B$17))*COS(RADIANS(E967))*COS(RADIANS(F967))</f>
        <v/>
      </c>
      <c r="I967" s="80">
        <f>SIN(RADIANS('11_발전량_모델'!$B$17))*SIN(RADIANS(E967))+COS(RADIANS('11_발전량_모델'!$B$17))*COS(RADIANS(E967))*COS(RADIANS(F967))</f>
        <v/>
      </c>
      <c r="J967" s="80">
        <f>SIN(RADIANS('11_발전량_모델'!$B$7))*SIN(RADIANS('11_발전량_모델'!$B$8))</f>
        <v/>
      </c>
      <c r="K967" s="80">
        <f>SIN(RADIANS('11_발전량_모델'!$B$7))*COS(RADIANS('11_발전량_모델'!$B$8))</f>
        <v/>
      </c>
      <c r="L967" s="80">
        <f>COS(RADIANS('11_발전량_모델'!$B$7))</f>
        <v/>
      </c>
      <c r="M967" s="80">
        <f>G967*J967+H967*K967+I967*L967</f>
        <v/>
      </c>
      <c r="N967" s="80">
        <f>MAX(0,I967)</f>
        <v/>
      </c>
      <c r="O967" s="80">
        <f>IF(I967&gt;0,MAX(0,M967),0)</f>
        <v/>
      </c>
      <c r="P967" s="80">
        <f>IF($I967&gt;0,MAX(0,$G967*SIN(RADIANS('13_시나리오비교'!$B$5))*SIN(RADIANS('13_시나리오비교'!$C$5))+$H967*SIN(RADIANS('13_시나리오비교'!$B$5))*COS(RADIANS('13_시나리오비교'!$C$5))+$I967*COS(RADIANS('13_시나리오비교'!$B$5))),0)</f>
        <v/>
      </c>
      <c r="Q967" s="80">
        <f>IF($I967&gt;0,MAX(0,$G967*SIN(RADIANS('13_시나리오비교'!$B$6))*SIN(RADIANS('13_시나리오비교'!$C$6))+$H967*SIN(RADIANS('13_시나리오비교'!$B$6))*COS(RADIANS('13_시나리오비교'!$C$6))+$I967*COS(RADIANS('13_시나리오비교'!$B$6))),0)</f>
        <v/>
      </c>
      <c r="R967" s="80">
        <f>IF($I967&gt;0,MAX(0,$G967*SIN(RADIANS('13_시나리오비교'!$B$7))*SIN(RADIANS('13_시나리오비교'!$C$7))+$H967*SIN(RADIANS('13_시나리오비교'!$B$7))*COS(RADIANS('13_시나리오비교'!$C$7))+$I967*COS(RADIANS('13_시나리오비교'!$B$7))),0)</f>
        <v/>
      </c>
      <c r="S967" s="80">
        <f>IF($I967&gt;0,MAX(0,$G967*SIN(RADIANS('13_시나리오비교'!$B$8))*SIN(RADIANS('13_시나리오비교'!$C$8))+$H967*SIN(RADIANS('13_시나리오비교'!$B$8))*COS(RADIANS('13_시나리오비교'!$C$8))+$I967*COS(RADIANS('13_시나리오비교'!$B$8))),0)</f>
        <v/>
      </c>
      <c r="T967" s="80">
        <f>IF($I967&gt;0,MAX(0,$G967*SIN(RADIANS('13_시나리오비교'!$B$9))*SIN(RADIANS('13_시나리오비교'!$C$9))+$H967*SIN(RADIANS('13_시나리오비교'!$B$9))*COS(RADIANS('13_시나리오비교'!$C$9))+$I967*COS(RADIANS('13_시나리오비교'!$B$9))),0)</f>
        <v/>
      </c>
      <c r="U967" s="80">
        <f>IF($I967&gt;0,MAX(0,$G967*SIN(RADIANS('13_시나리오비교'!$B$10))*SIN(RADIANS('13_시나리오비교'!$C$10))+$H967*SIN(RADIANS('13_시나리오비교'!$B$10))*COS(RADIANS('13_시나리오비교'!$C$10))+$I967*COS(RADIANS('13_시나리오비교'!$B$10))),0)</f>
        <v/>
      </c>
      <c r="V967" s="80">
        <f>IF($I967&gt;0,MAX(0,$G967*SIN(RADIANS('13_시나리오비교'!$B$11))*SIN(RADIANS('13_시나리오비교'!$C$11))+$H967*SIN(RADIANS('13_시나리오비교'!$B$11))*COS(RADIANS('13_시나리오비교'!$C$11))+$I967*COS(RADIANS('13_시나리오비교'!$B$11))),0)</f>
        <v/>
      </c>
      <c r="W967" s="80">
        <f>IF($I967&gt;0,MAX(0,$G967*SIN(RADIANS('13_시나리오비교'!$B$12))*SIN(RADIANS('13_시나리오비교'!$C$12))+$H967*SIN(RADIANS('13_시나리오비교'!$B$12))*COS(RADIANS('13_시나리오비교'!$C$12))+$I967*COS(RADIANS('13_시나리오비교'!$B$12))),0)</f>
        <v/>
      </c>
      <c r="X967" s="80">
        <f>IF($I967&gt;0,MAX(0,$G967*SIN(RADIANS('13_시나리오비교'!$B$13))*SIN(RADIANS('13_시나리오비교'!$C$13))+$H967*SIN(RADIANS('13_시나리오비교'!$B$13))*COS(RADIANS('13_시나리오비교'!$C$13))+$I967*COS(RADIANS('13_시나리오비교'!$B$13))),0)</f>
        <v/>
      </c>
      <c r="Y967" s="80">
        <f>IF($I967&gt;0,MAX(0,$G967*SIN(RADIANS('13_시나리오비교'!$B$14))*SIN(RADIANS('13_시나리오비교'!$C$14))+$H967*SIN(RADIANS('13_시나리오비교'!$B$14))*COS(RADIANS('13_시나리오비교'!$C$14))+$I967*COS(RADIANS('13_시나리오비교'!$B$14))),0)</f>
        <v/>
      </c>
    </row>
    <row r="968" hidden="1" outlineLevel="1">
      <c r="A968" s="79" t="n">
        <v>10</v>
      </c>
      <c r="B968" s="79" t="n">
        <v>84</v>
      </c>
      <c r="C968" s="80">
        <f>(B968-0.5)*'14_지역·상수'!$H$6</f>
        <v/>
      </c>
      <c r="D968" s="79" t="n">
        <v>288</v>
      </c>
      <c r="E968" s="80">
        <f>INDEX($C$4:$C$15,MATCH(A968,$A$4:$A$15,0))</f>
        <v/>
      </c>
      <c r="F968" s="80">
        <f>15*(C968-12)</f>
        <v/>
      </c>
      <c r="G968" s="80">
        <f>-COS(RADIANS(E968))*SIN(RADIANS(F968))</f>
        <v/>
      </c>
      <c r="H968" s="80">
        <f>COS(RADIANS('11_발전량_모델'!$B$17))*SIN(RADIANS(E968))-SIN(RADIANS('11_발전량_모델'!$B$17))*COS(RADIANS(E968))*COS(RADIANS(F968))</f>
        <v/>
      </c>
      <c r="I968" s="80">
        <f>SIN(RADIANS('11_발전량_모델'!$B$17))*SIN(RADIANS(E968))+COS(RADIANS('11_발전량_모델'!$B$17))*COS(RADIANS(E968))*COS(RADIANS(F968))</f>
        <v/>
      </c>
      <c r="J968" s="80">
        <f>SIN(RADIANS('11_발전량_모델'!$B$7))*SIN(RADIANS('11_발전량_모델'!$B$8))</f>
        <v/>
      </c>
      <c r="K968" s="80">
        <f>SIN(RADIANS('11_발전량_모델'!$B$7))*COS(RADIANS('11_발전량_모델'!$B$8))</f>
        <v/>
      </c>
      <c r="L968" s="80">
        <f>COS(RADIANS('11_발전량_모델'!$B$7))</f>
        <v/>
      </c>
      <c r="M968" s="80">
        <f>G968*J968+H968*K968+I968*L968</f>
        <v/>
      </c>
      <c r="N968" s="80">
        <f>MAX(0,I968)</f>
        <v/>
      </c>
      <c r="O968" s="80">
        <f>IF(I968&gt;0,MAX(0,M968),0)</f>
        <v/>
      </c>
      <c r="P968" s="80">
        <f>IF($I968&gt;0,MAX(0,$G968*SIN(RADIANS('13_시나리오비교'!$B$5))*SIN(RADIANS('13_시나리오비교'!$C$5))+$H968*SIN(RADIANS('13_시나리오비교'!$B$5))*COS(RADIANS('13_시나리오비교'!$C$5))+$I968*COS(RADIANS('13_시나리오비교'!$B$5))),0)</f>
        <v/>
      </c>
      <c r="Q968" s="80">
        <f>IF($I968&gt;0,MAX(0,$G968*SIN(RADIANS('13_시나리오비교'!$B$6))*SIN(RADIANS('13_시나리오비교'!$C$6))+$H968*SIN(RADIANS('13_시나리오비교'!$B$6))*COS(RADIANS('13_시나리오비교'!$C$6))+$I968*COS(RADIANS('13_시나리오비교'!$B$6))),0)</f>
        <v/>
      </c>
      <c r="R968" s="80">
        <f>IF($I968&gt;0,MAX(0,$G968*SIN(RADIANS('13_시나리오비교'!$B$7))*SIN(RADIANS('13_시나리오비교'!$C$7))+$H968*SIN(RADIANS('13_시나리오비교'!$B$7))*COS(RADIANS('13_시나리오비교'!$C$7))+$I968*COS(RADIANS('13_시나리오비교'!$B$7))),0)</f>
        <v/>
      </c>
      <c r="S968" s="80">
        <f>IF($I968&gt;0,MAX(0,$G968*SIN(RADIANS('13_시나리오비교'!$B$8))*SIN(RADIANS('13_시나리오비교'!$C$8))+$H968*SIN(RADIANS('13_시나리오비교'!$B$8))*COS(RADIANS('13_시나리오비교'!$C$8))+$I968*COS(RADIANS('13_시나리오비교'!$B$8))),0)</f>
        <v/>
      </c>
      <c r="T968" s="80">
        <f>IF($I968&gt;0,MAX(0,$G968*SIN(RADIANS('13_시나리오비교'!$B$9))*SIN(RADIANS('13_시나리오비교'!$C$9))+$H968*SIN(RADIANS('13_시나리오비교'!$B$9))*COS(RADIANS('13_시나리오비교'!$C$9))+$I968*COS(RADIANS('13_시나리오비교'!$B$9))),0)</f>
        <v/>
      </c>
      <c r="U968" s="80">
        <f>IF($I968&gt;0,MAX(0,$G968*SIN(RADIANS('13_시나리오비교'!$B$10))*SIN(RADIANS('13_시나리오비교'!$C$10))+$H968*SIN(RADIANS('13_시나리오비교'!$B$10))*COS(RADIANS('13_시나리오비교'!$C$10))+$I968*COS(RADIANS('13_시나리오비교'!$B$10))),0)</f>
        <v/>
      </c>
      <c r="V968" s="80">
        <f>IF($I968&gt;0,MAX(0,$G968*SIN(RADIANS('13_시나리오비교'!$B$11))*SIN(RADIANS('13_시나리오비교'!$C$11))+$H968*SIN(RADIANS('13_시나리오비교'!$B$11))*COS(RADIANS('13_시나리오비교'!$C$11))+$I968*COS(RADIANS('13_시나리오비교'!$B$11))),0)</f>
        <v/>
      </c>
      <c r="W968" s="80">
        <f>IF($I968&gt;0,MAX(0,$G968*SIN(RADIANS('13_시나리오비교'!$B$12))*SIN(RADIANS('13_시나리오비교'!$C$12))+$H968*SIN(RADIANS('13_시나리오비교'!$B$12))*COS(RADIANS('13_시나리오비교'!$C$12))+$I968*COS(RADIANS('13_시나리오비교'!$B$12))),0)</f>
        <v/>
      </c>
      <c r="X968" s="80">
        <f>IF($I968&gt;0,MAX(0,$G968*SIN(RADIANS('13_시나리오비교'!$B$13))*SIN(RADIANS('13_시나리오비교'!$C$13))+$H968*SIN(RADIANS('13_시나리오비교'!$B$13))*COS(RADIANS('13_시나리오비교'!$C$13))+$I968*COS(RADIANS('13_시나리오비교'!$B$13))),0)</f>
        <v/>
      </c>
      <c r="Y968" s="80">
        <f>IF($I968&gt;0,MAX(0,$G968*SIN(RADIANS('13_시나리오비교'!$B$14))*SIN(RADIANS('13_시나리오비교'!$C$14))+$H968*SIN(RADIANS('13_시나리오비교'!$B$14))*COS(RADIANS('13_시나리오비교'!$C$14))+$I968*COS(RADIANS('13_시나리오비교'!$B$14))),0)</f>
        <v/>
      </c>
    </row>
    <row r="969" hidden="1" outlineLevel="1">
      <c r="A969" s="79" t="n">
        <v>10</v>
      </c>
      <c r="B969" s="79" t="n">
        <v>85</v>
      </c>
      <c r="C969" s="80">
        <f>(B969-0.5)*'14_지역·상수'!$H$6</f>
        <v/>
      </c>
      <c r="D969" s="79" t="n">
        <v>288</v>
      </c>
      <c r="E969" s="80">
        <f>INDEX($C$4:$C$15,MATCH(A969,$A$4:$A$15,0))</f>
        <v/>
      </c>
      <c r="F969" s="80">
        <f>15*(C969-12)</f>
        <v/>
      </c>
      <c r="G969" s="80">
        <f>-COS(RADIANS(E969))*SIN(RADIANS(F969))</f>
        <v/>
      </c>
      <c r="H969" s="80">
        <f>COS(RADIANS('11_발전량_모델'!$B$17))*SIN(RADIANS(E969))-SIN(RADIANS('11_발전량_모델'!$B$17))*COS(RADIANS(E969))*COS(RADIANS(F969))</f>
        <v/>
      </c>
      <c r="I969" s="80">
        <f>SIN(RADIANS('11_발전량_모델'!$B$17))*SIN(RADIANS(E969))+COS(RADIANS('11_발전량_모델'!$B$17))*COS(RADIANS(E969))*COS(RADIANS(F969))</f>
        <v/>
      </c>
      <c r="J969" s="80">
        <f>SIN(RADIANS('11_발전량_모델'!$B$7))*SIN(RADIANS('11_발전량_모델'!$B$8))</f>
        <v/>
      </c>
      <c r="K969" s="80">
        <f>SIN(RADIANS('11_발전량_모델'!$B$7))*COS(RADIANS('11_발전량_모델'!$B$8))</f>
        <v/>
      </c>
      <c r="L969" s="80">
        <f>COS(RADIANS('11_발전량_모델'!$B$7))</f>
        <v/>
      </c>
      <c r="M969" s="80">
        <f>G969*J969+H969*K969+I969*L969</f>
        <v/>
      </c>
      <c r="N969" s="80">
        <f>MAX(0,I969)</f>
        <v/>
      </c>
      <c r="O969" s="80">
        <f>IF(I969&gt;0,MAX(0,M969),0)</f>
        <v/>
      </c>
      <c r="P969" s="80">
        <f>IF($I969&gt;0,MAX(0,$G969*SIN(RADIANS('13_시나리오비교'!$B$5))*SIN(RADIANS('13_시나리오비교'!$C$5))+$H969*SIN(RADIANS('13_시나리오비교'!$B$5))*COS(RADIANS('13_시나리오비교'!$C$5))+$I969*COS(RADIANS('13_시나리오비교'!$B$5))),0)</f>
        <v/>
      </c>
      <c r="Q969" s="80">
        <f>IF($I969&gt;0,MAX(0,$G969*SIN(RADIANS('13_시나리오비교'!$B$6))*SIN(RADIANS('13_시나리오비교'!$C$6))+$H969*SIN(RADIANS('13_시나리오비교'!$B$6))*COS(RADIANS('13_시나리오비교'!$C$6))+$I969*COS(RADIANS('13_시나리오비교'!$B$6))),0)</f>
        <v/>
      </c>
      <c r="R969" s="80">
        <f>IF($I969&gt;0,MAX(0,$G969*SIN(RADIANS('13_시나리오비교'!$B$7))*SIN(RADIANS('13_시나리오비교'!$C$7))+$H969*SIN(RADIANS('13_시나리오비교'!$B$7))*COS(RADIANS('13_시나리오비교'!$C$7))+$I969*COS(RADIANS('13_시나리오비교'!$B$7))),0)</f>
        <v/>
      </c>
      <c r="S969" s="80">
        <f>IF($I969&gt;0,MAX(0,$G969*SIN(RADIANS('13_시나리오비교'!$B$8))*SIN(RADIANS('13_시나리오비교'!$C$8))+$H969*SIN(RADIANS('13_시나리오비교'!$B$8))*COS(RADIANS('13_시나리오비교'!$C$8))+$I969*COS(RADIANS('13_시나리오비교'!$B$8))),0)</f>
        <v/>
      </c>
      <c r="T969" s="80">
        <f>IF($I969&gt;0,MAX(0,$G969*SIN(RADIANS('13_시나리오비교'!$B$9))*SIN(RADIANS('13_시나리오비교'!$C$9))+$H969*SIN(RADIANS('13_시나리오비교'!$B$9))*COS(RADIANS('13_시나리오비교'!$C$9))+$I969*COS(RADIANS('13_시나리오비교'!$B$9))),0)</f>
        <v/>
      </c>
      <c r="U969" s="80">
        <f>IF($I969&gt;0,MAX(0,$G969*SIN(RADIANS('13_시나리오비교'!$B$10))*SIN(RADIANS('13_시나리오비교'!$C$10))+$H969*SIN(RADIANS('13_시나리오비교'!$B$10))*COS(RADIANS('13_시나리오비교'!$C$10))+$I969*COS(RADIANS('13_시나리오비교'!$B$10))),0)</f>
        <v/>
      </c>
      <c r="V969" s="80">
        <f>IF($I969&gt;0,MAX(0,$G969*SIN(RADIANS('13_시나리오비교'!$B$11))*SIN(RADIANS('13_시나리오비교'!$C$11))+$H969*SIN(RADIANS('13_시나리오비교'!$B$11))*COS(RADIANS('13_시나리오비교'!$C$11))+$I969*COS(RADIANS('13_시나리오비교'!$B$11))),0)</f>
        <v/>
      </c>
      <c r="W969" s="80">
        <f>IF($I969&gt;0,MAX(0,$G969*SIN(RADIANS('13_시나리오비교'!$B$12))*SIN(RADIANS('13_시나리오비교'!$C$12))+$H969*SIN(RADIANS('13_시나리오비교'!$B$12))*COS(RADIANS('13_시나리오비교'!$C$12))+$I969*COS(RADIANS('13_시나리오비교'!$B$12))),0)</f>
        <v/>
      </c>
      <c r="X969" s="80">
        <f>IF($I969&gt;0,MAX(0,$G969*SIN(RADIANS('13_시나리오비교'!$B$13))*SIN(RADIANS('13_시나리오비교'!$C$13))+$H969*SIN(RADIANS('13_시나리오비교'!$B$13))*COS(RADIANS('13_시나리오비교'!$C$13))+$I969*COS(RADIANS('13_시나리오비교'!$B$13))),0)</f>
        <v/>
      </c>
      <c r="Y969" s="80">
        <f>IF($I969&gt;0,MAX(0,$G969*SIN(RADIANS('13_시나리오비교'!$B$14))*SIN(RADIANS('13_시나리오비교'!$C$14))+$H969*SIN(RADIANS('13_시나리오비교'!$B$14))*COS(RADIANS('13_시나리오비교'!$C$14))+$I969*COS(RADIANS('13_시나리오비교'!$B$14))),0)</f>
        <v/>
      </c>
    </row>
    <row r="970" hidden="1" outlineLevel="1">
      <c r="A970" s="79" t="n">
        <v>10</v>
      </c>
      <c r="B970" s="79" t="n">
        <v>86</v>
      </c>
      <c r="C970" s="80">
        <f>(B970-0.5)*'14_지역·상수'!$H$6</f>
        <v/>
      </c>
      <c r="D970" s="79" t="n">
        <v>288</v>
      </c>
      <c r="E970" s="80">
        <f>INDEX($C$4:$C$15,MATCH(A970,$A$4:$A$15,0))</f>
        <v/>
      </c>
      <c r="F970" s="80">
        <f>15*(C970-12)</f>
        <v/>
      </c>
      <c r="G970" s="80">
        <f>-COS(RADIANS(E970))*SIN(RADIANS(F970))</f>
        <v/>
      </c>
      <c r="H970" s="80">
        <f>COS(RADIANS('11_발전량_모델'!$B$17))*SIN(RADIANS(E970))-SIN(RADIANS('11_발전량_모델'!$B$17))*COS(RADIANS(E970))*COS(RADIANS(F970))</f>
        <v/>
      </c>
      <c r="I970" s="80">
        <f>SIN(RADIANS('11_발전량_모델'!$B$17))*SIN(RADIANS(E970))+COS(RADIANS('11_발전량_모델'!$B$17))*COS(RADIANS(E970))*COS(RADIANS(F970))</f>
        <v/>
      </c>
      <c r="J970" s="80">
        <f>SIN(RADIANS('11_발전량_모델'!$B$7))*SIN(RADIANS('11_발전량_모델'!$B$8))</f>
        <v/>
      </c>
      <c r="K970" s="80">
        <f>SIN(RADIANS('11_발전량_모델'!$B$7))*COS(RADIANS('11_발전량_모델'!$B$8))</f>
        <v/>
      </c>
      <c r="L970" s="80">
        <f>COS(RADIANS('11_발전량_모델'!$B$7))</f>
        <v/>
      </c>
      <c r="M970" s="80">
        <f>G970*J970+H970*K970+I970*L970</f>
        <v/>
      </c>
      <c r="N970" s="80">
        <f>MAX(0,I970)</f>
        <v/>
      </c>
      <c r="O970" s="80">
        <f>IF(I970&gt;0,MAX(0,M970),0)</f>
        <v/>
      </c>
      <c r="P970" s="80">
        <f>IF($I970&gt;0,MAX(0,$G970*SIN(RADIANS('13_시나리오비교'!$B$5))*SIN(RADIANS('13_시나리오비교'!$C$5))+$H970*SIN(RADIANS('13_시나리오비교'!$B$5))*COS(RADIANS('13_시나리오비교'!$C$5))+$I970*COS(RADIANS('13_시나리오비교'!$B$5))),0)</f>
        <v/>
      </c>
      <c r="Q970" s="80">
        <f>IF($I970&gt;0,MAX(0,$G970*SIN(RADIANS('13_시나리오비교'!$B$6))*SIN(RADIANS('13_시나리오비교'!$C$6))+$H970*SIN(RADIANS('13_시나리오비교'!$B$6))*COS(RADIANS('13_시나리오비교'!$C$6))+$I970*COS(RADIANS('13_시나리오비교'!$B$6))),0)</f>
        <v/>
      </c>
      <c r="R970" s="80">
        <f>IF($I970&gt;0,MAX(0,$G970*SIN(RADIANS('13_시나리오비교'!$B$7))*SIN(RADIANS('13_시나리오비교'!$C$7))+$H970*SIN(RADIANS('13_시나리오비교'!$B$7))*COS(RADIANS('13_시나리오비교'!$C$7))+$I970*COS(RADIANS('13_시나리오비교'!$B$7))),0)</f>
        <v/>
      </c>
      <c r="S970" s="80">
        <f>IF($I970&gt;0,MAX(0,$G970*SIN(RADIANS('13_시나리오비교'!$B$8))*SIN(RADIANS('13_시나리오비교'!$C$8))+$H970*SIN(RADIANS('13_시나리오비교'!$B$8))*COS(RADIANS('13_시나리오비교'!$C$8))+$I970*COS(RADIANS('13_시나리오비교'!$B$8))),0)</f>
        <v/>
      </c>
      <c r="T970" s="80">
        <f>IF($I970&gt;0,MAX(0,$G970*SIN(RADIANS('13_시나리오비교'!$B$9))*SIN(RADIANS('13_시나리오비교'!$C$9))+$H970*SIN(RADIANS('13_시나리오비교'!$B$9))*COS(RADIANS('13_시나리오비교'!$C$9))+$I970*COS(RADIANS('13_시나리오비교'!$B$9))),0)</f>
        <v/>
      </c>
      <c r="U970" s="80">
        <f>IF($I970&gt;0,MAX(0,$G970*SIN(RADIANS('13_시나리오비교'!$B$10))*SIN(RADIANS('13_시나리오비교'!$C$10))+$H970*SIN(RADIANS('13_시나리오비교'!$B$10))*COS(RADIANS('13_시나리오비교'!$C$10))+$I970*COS(RADIANS('13_시나리오비교'!$B$10))),0)</f>
        <v/>
      </c>
      <c r="V970" s="80">
        <f>IF($I970&gt;0,MAX(0,$G970*SIN(RADIANS('13_시나리오비교'!$B$11))*SIN(RADIANS('13_시나리오비교'!$C$11))+$H970*SIN(RADIANS('13_시나리오비교'!$B$11))*COS(RADIANS('13_시나리오비교'!$C$11))+$I970*COS(RADIANS('13_시나리오비교'!$B$11))),0)</f>
        <v/>
      </c>
      <c r="W970" s="80">
        <f>IF($I970&gt;0,MAX(0,$G970*SIN(RADIANS('13_시나리오비교'!$B$12))*SIN(RADIANS('13_시나리오비교'!$C$12))+$H970*SIN(RADIANS('13_시나리오비교'!$B$12))*COS(RADIANS('13_시나리오비교'!$C$12))+$I970*COS(RADIANS('13_시나리오비교'!$B$12))),0)</f>
        <v/>
      </c>
      <c r="X970" s="80">
        <f>IF($I970&gt;0,MAX(0,$G970*SIN(RADIANS('13_시나리오비교'!$B$13))*SIN(RADIANS('13_시나리오비교'!$C$13))+$H970*SIN(RADIANS('13_시나리오비교'!$B$13))*COS(RADIANS('13_시나리오비교'!$C$13))+$I970*COS(RADIANS('13_시나리오비교'!$B$13))),0)</f>
        <v/>
      </c>
      <c r="Y970" s="80">
        <f>IF($I970&gt;0,MAX(0,$G970*SIN(RADIANS('13_시나리오비교'!$B$14))*SIN(RADIANS('13_시나리오비교'!$C$14))+$H970*SIN(RADIANS('13_시나리오비교'!$B$14))*COS(RADIANS('13_시나리오비교'!$C$14))+$I970*COS(RADIANS('13_시나리오비교'!$B$14))),0)</f>
        <v/>
      </c>
    </row>
    <row r="971" hidden="1" outlineLevel="1">
      <c r="A971" s="79" t="n">
        <v>10</v>
      </c>
      <c r="B971" s="79" t="n">
        <v>87</v>
      </c>
      <c r="C971" s="80">
        <f>(B971-0.5)*'14_지역·상수'!$H$6</f>
        <v/>
      </c>
      <c r="D971" s="79" t="n">
        <v>288</v>
      </c>
      <c r="E971" s="80">
        <f>INDEX($C$4:$C$15,MATCH(A971,$A$4:$A$15,0))</f>
        <v/>
      </c>
      <c r="F971" s="80">
        <f>15*(C971-12)</f>
        <v/>
      </c>
      <c r="G971" s="80">
        <f>-COS(RADIANS(E971))*SIN(RADIANS(F971))</f>
        <v/>
      </c>
      <c r="H971" s="80">
        <f>COS(RADIANS('11_발전량_모델'!$B$17))*SIN(RADIANS(E971))-SIN(RADIANS('11_발전량_모델'!$B$17))*COS(RADIANS(E971))*COS(RADIANS(F971))</f>
        <v/>
      </c>
      <c r="I971" s="80">
        <f>SIN(RADIANS('11_발전량_모델'!$B$17))*SIN(RADIANS(E971))+COS(RADIANS('11_발전량_모델'!$B$17))*COS(RADIANS(E971))*COS(RADIANS(F971))</f>
        <v/>
      </c>
      <c r="J971" s="80">
        <f>SIN(RADIANS('11_발전량_모델'!$B$7))*SIN(RADIANS('11_발전량_모델'!$B$8))</f>
        <v/>
      </c>
      <c r="K971" s="80">
        <f>SIN(RADIANS('11_발전량_모델'!$B$7))*COS(RADIANS('11_발전량_모델'!$B$8))</f>
        <v/>
      </c>
      <c r="L971" s="80">
        <f>COS(RADIANS('11_발전량_모델'!$B$7))</f>
        <v/>
      </c>
      <c r="M971" s="80">
        <f>G971*J971+H971*K971+I971*L971</f>
        <v/>
      </c>
      <c r="N971" s="80">
        <f>MAX(0,I971)</f>
        <v/>
      </c>
      <c r="O971" s="80">
        <f>IF(I971&gt;0,MAX(0,M971),0)</f>
        <v/>
      </c>
      <c r="P971" s="80">
        <f>IF($I971&gt;0,MAX(0,$G971*SIN(RADIANS('13_시나리오비교'!$B$5))*SIN(RADIANS('13_시나리오비교'!$C$5))+$H971*SIN(RADIANS('13_시나리오비교'!$B$5))*COS(RADIANS('13_시나리오비교'!$C$5))+$I971*COS(RADIANS('13_시나리오비교'!$B$5))),0)</f>
        <v/>
      </c>
      <c r="Q971" s="80">
        <f>IF($I971&gt;0,MAX(0,$G971*SIN(RADIANS('13_시나리오비교'!$B$6))*SIN(RADIANS('13_시나리오비교'!$C$6))+$H971*SIN(RADIANS('13_시나리오비교'!$B$6))*COS(RADIANS('13_시나리오비교'!$C$6))+$I971*COS(RADIANS('13_시나리오비교'!$B$6))),0)</f>
        <v/>
      </c>
      <c r="R971" s="80">
        <f>IF($I971&gt;0,MAX(0,$G971*SIN(RADIANS('13_시나리오비교'!$B$7))*SIN(RADIANS('13_시나리오비교'!$C$7))+$H971*SIN(RADIANS('13_시나리오비교'!$B$7))*COS(RADIANS('13_시나리오비교'!$C$7))+$I971*COS(RADIANS('13_시나리오비교'!$B$7))),0)</f>
        <v/>
      </c>
      <c r="S971" s="80">
        <f>IF($I971&gt;0,MAX(0,$G971*SIN(RADIANS('13_시나리오비교'!$B$8))*SIN(RADIANS('13_시나리오비교'!$C$8))+$H971*SIN(RADIANS('13_시나리오비교'!$B$8))*COS(RADIANS('13_시나리오비교'!$C$8))+$I971*COS(RADIANS('13_시나리오비교'!$B$8))),0)</f>
        <v/>
      </c>
      <c r="T971" s="80">
        <f>IF($I971&gt;0,MAX(0,$G971*SIN(RADIANS('13_시나리오비교'!$B$9))*SIN(RADIANS('13_시나리오비교'!$C$9))+$H971*SIN(RADIANS('13_시나리오비교'!$B$9))*COS(RADIANS('13_시나리오비교'!$C$9))+$I971*COS(RADIANS('13_시나리오비교'!$B$9))),0)</f>
        <v/>
      </c>
      <c r="U971" s="80">
        <f>IF($I971&gt;0,MAX(0,$G971*SIN(RADIANS('13_시나리오비교'!$B$10))*SIN(RADIANS('13_시나리오비교'!$C$10))+$H971*SIN(RADIANS('13_시나리오비교'!$B$10))*COS(RADIANS('13_시나리오비교'!$C$10))+$I971*COS(RADIANS('13_시나리오비교'!$B$10))),0)</f>
        <v/>
      </c>
      <c r="V971" s="80">
        <f>IF($I971&gt;0,MAX(0,$G971*SIN(RADIANS('13_시나리오비교'!$B$11))*SIN(RADIANS('13_시나리오비교'!$C$11))+$H971*SIN(RADIANS('13_시나리오비교'!$B$11))*COS(RADIANS('13_시나리오비교'!$C$11))+$I971*COS(RADIANS('13_시나리오비교'!$B$11))),0)</f>
        <v/>
      </c>
      <c r="W971" s="80">
        <f>IF($I971&gt;0,MAX(0,$G971*SIN(RADIANS('13_시나리오비교'!$B$12))*SIN(RADIANS('13_시나리오비교'!$C$12))+$H971*SIN(RADIANS('13_시나리오비교'!$B$12))*COS(RADIANS('13_시나리오비교'!$C$12))+$I971*COS(RADIANS('13_시나리오비교'!$B$12))),0)</f>
        <v/>
      </c>
      <c r="X971" s="80">
        <f>IF($I971&gt;0,MAX(0,$G971*SIN(RADIANS('13_시나리오비교'!$B$13))*SIN(RADIANS('13_시나리오비교'!$C$13))+$H971*SIN(RADIANS('13_시나리오비교'!$B$13))*COS(RADIANS('13_시나리오비교'!$C$13))+$I971*COS(RADIANS('13_시나리오비교'!$B$13))),0)</f>
        <v/>
      </c>
      <c r="Y971" s="80">
        <f>IF($I971&gt;0,MAX(0,$G971*SIN(RADIANS('13_시나리오비교'!$B$14))*SIN(RADIANS('13_시나리오비교'!$C$14))+$H971*SIN(RADIANS('13_시나리오비교'!$B$14))*COS(RADIANS('13_시나리오비교'!$C$14))+$I971*COS(RADIANS('13_시나리오비교'!$B$14))),0)</f>
        <v/>
      </c>
    </row>
    <row r="972" hidden="1" outlineLevel="1">
      <c r="A972" s="79" t="n">
        <v>10</v>
      </c>
      <c r="B972" s="79" t="n">
        <v>88</v>
      </c>
      <c r="C972" s="80">
        <f>(B972-0.5)*'14_지역·상수'!$H$6</f>
        <v/>
      </c>
      <c r="D972" s="79" t="n">
        <v>288</v>
      </c>
      <c r="E972" s="80">
        <f>INDEX($C$4:$C$15,MATCH(A972,$A$4:$A$15,0))</f>
        <v/>
      </c>
      <c r="F972" s="80">
        <f>15*(C972-12)</f>
        <v/>
      </c>
      <c r="G972" s="80">
        <f>-COS(RADIANS(E972))*SIN(RADIANS(F972))</f>
        <v/>
      </c>
      <c r="H972" s="80">
        <f>COS(RADIANS('11_발전량_모델'!$B$17))*SIN(RADIANS(E972))-SIN(RADIANS('11_발전량_모델'!$B$17))*COS(RADIANS(E972))*COS(RADIANS(F972))</f>
        <v/>
      </c>
      <c r="I972" s="80">
        <f>SIN(RADIANS('11_발전량_모델'!$B$17))*SIN(RADIANS(E972))+COS(RADIANS('11_발전량_모델'!$B$17))*COS(RADIANS(E972))*COS(RADIANS(F972))</f>
        <v/>
      </c>
      <c r="J972" s="80">
        <f>SIN(RADIANS('11_발전량_모델'!$B$7))*SIN(RADIANS('11_발전량_모델'!$B$8))</f>
        <v/>
      </c>
      <c r="K972" s="80">
        <f>SIN(RADIANS('11_발전량_모델'!$B$7))*COS(RADIANS('11_발전량_모델'!$B$8))</f>
        <v/>
      </c>
      <c r="L972" s="80">
        <f>COS(RADIANS('11_발전량_모델'!$B$7))</f>
        <v/>
      </c>
      <c r="M972" s="80">
        <f>G972*J972+H972*K972+I972*L972</f>
        <v/>
      </c>
      <c r="N972" s="80">
        <f>MAX(0,I972)</f>
        <v/>
      </c>
      <c r="O972" s="80">
        <f>IF(I972&gt;0,MAX(0,M972),0)</f>
        <v/>
      </c>
      <c r="P972" s="80">
        <f>IF($I972&gt;0,MAX(0,$G972*SIN(RADIANS('13_시나리오비교'!$B$5))*SIN(RADIANS('13_시나리오비교'!$C$5))+$H972*SIN(RADIANS('13_시나리오비교'!$B$5))*COS(RADIANS('13_시나리오비교'!$C$5))+$I972*COS(RADIANS('13_시나리오비교'!$B$5))),0)</f>
        <v/>
      </c>
      <c r="Q972" s="80">
        <f>IF($I972&gt;0,MAX(0,$G972*SIN(RADIANS('13_시나리오비교'!$B$6))*SIN(RADIANS('13_시나리오비교'!$C$6))+$H972*SIN(RADIANS('13_시나리오비교'!$B$6))*COS(RADIANS('13_시나리오비교'!$C$6))+$I972*COS(RADIANS('13_시나리오비교'!$B$6))),0)</f>
        <v/>
      </c>
      <c r="R972" s="80">
        <f>IF($I972&gt;0,MAX(0,$G972*SIN(RADIANS('13_시나리오비교'!$B$7))*SIN(RADIANS('13_시나리오비교'!$C$7))+$H972*SIN(RADIANS('13_시나리오비교'!$B$7))*COS(RADIANS('13_시나리오비교'!$C$7))+$I972*COS(RADIANS('13_시나리오비교'!$B$7))),0)</f>
        <v/>
      </c>
      <c r="S972" s="80">
        <f>IF($I972&gt;0,MAX(0,$G972*SIN(RADIANS('13_시나리오비교'!$B$8))*SIN(RADIANS('13_시나리오비교'!$C$8))+$H972*SIN(RADIANS('13_시나리오비교'!$B$8))*COS(RADIANS('13_시나리오비교'!$C$8))+$I972*COS(RADIANS('13_시나리오비교'!$B$8))),0)</f>
        <v/>
      </c>
      <c r="T972" s="80">
        <f>IF($I972&gt;0,MAX(0,$G972*SIN(RADIANS('13_시나리오비교'!$B$9))*SIN(RADIANS('13_시나리오비교'!$C$9))+$H972*SIN(RADIANS('13_시나리오비교'!$B$9))*COS(RADIANS('13_시나리오비교'!$C$9))+$I972*COS(RADIANS('13_시나리오비교'!$B$9))),0)</f>
        <v/>
      </c>
      <c r="U972" s="80">
        <f>IF($I972&gt;0,MAX(0,$G972*SIN(RADIANS('13_시나리오비교'!$B$10))*SIN(RADIANS('13_시나리오비교'!$C$10))+$H972*SIN(RADIANS('13_시나리오비교'!$B$10))*COS(RADIANS('13_시나리오비교'!$C$10))+$I972*COS(RADIANS('13_시나리오비교'!$B$10))),0)</f>
        <v/>
      </c>
      <c r="V972" s="80">
        <f>IF($I972&gt;0,MAX(0,$G972*SIN(RADIANS('13_시나리오비교'!$B$11))*SIN(RADIANS('13_시나리오비교'!$C$11))+$H972*SIN(RADIANS('13_시나리오비교'!$B$11))*COS(RADIANS('13_시나리오비교'!$C$11))+$I972*COS(RADIANS('13_시나리오비교'!$B$11))),0)</f>
        <v/>
      </c>
      <c r="W972" s="80">
        <f>IF($I972&gt;0,MAX(0,$G972*SIN(RADIANS('13_시나리오비교'!$B$12))*SIN(RADIANS('13_시나리오비교'!$C$12))+$H972*SIN(RADIANS('13_시나리오비교'!$B$12))*COS(RADIANS('13_시나리오비교'!$C$12))+$I972*COS(RADIANS('13_시나리오비교'!$B$12))),0)</f>
        <v/>
      </c>
      <c r="X972" s="80">
        <f>IF($I972&gt;0,MAX(0,$G972*SIN(RADIANS('13_시나리오비교'!$B$13))*SIN(RADIANS('13_시나리오비교'!$C$13))+$H972*SIN(RADIANS('13_시나리오비교'!$B$13))*COS(RADIANS('13_시나리오비교'!$C$13))+$I972*COS(RADIANS('13_시나리오비교'!$B$13))),0)</f>
        <v/>
      </c>
      <c r="Y972" s="80">
        <f>IF($I972&gt;0,MAX(0,$G972*SIN(RADIANS('13_시나리오비교'!$B$14))*SIN(RADIANS('13_시나리오비교'!$C$14))+$H972*SIN(RADIANS('13_시나리오비교'!$B$14))*COS(RADIANS('13_시나리오비교'!$C$14))+$I972*COS(RADIANS('13_시나리오비교'!$B$14))),0)</f>
        <v/>
      </c>
    </row>
    <row r="973" hidden="1" outlineLevel="1">
      <c r="A973" s="79" t="n">
        <v>10</v>
      </c>
      <c r="B973" s="79" t="n">
        <v>89</v>
      </c>
      <c r="C973" s="80">
        <f>(B973-0.5)*'14_지역·상수'!$H$6</f>
        <v/>
      </c>
      <c r="D973" s="79" t="n">
        <v>288</v>
      </c>
      <c r="E973" s="80">
        <f>INDEX($C$4:$C$15,MATCH(A973,$A$4:$A$15,0))</f>
        <v/>
      </c>
      <c r="F973" s="80">
        <f>15*(C973-12)</f>
        <v/>
      </c>
      <c r="G973" s="80">
        <f>-COS(RADIANS(E973))*SIN(RADIANS(F973))</f>
        <v/>
      </c>
      <c r="H973" s="80">
        <f>COS(RADIANS('11_발전량_모델'!$B$17))*SIN(RADIANS(E973))-SIN(RADIANS('11_발전량_모델'!$B$17))*COS(RADIANS(E973))*COS(RADIANS(F973))</f>
        <v/>
      </c>
      <c r="I973" s="80">
        <f>SIN(RADIANS('11_발전량_모델'!$B$17))*SIN(RADIANS(E973))+COS(RADIANS('11_발전량_모델'!$B$17))*COS(RADIANS(E973))*COS(RADIANS(F973))</f>
        <v/>
      </c>
      <c r="J973" s="80">
        <f>SIN(RADIANS('11_발전량_모델'!$B$7))*SIN(RADIANS('11_발전량_모델'!$B$8))</f>
        <v/>
      </c>
      <c r="K973" s="80">
        <f>SIN(RADIANS('11_발전량_모델'!$B$7))*COS(RADIANS('11_발전량_모델'!$B$8))</f>
        <v/>
      </c>
      <c r="L973" s="80">
        <f>COS(RADIANS('11_발전량_모델'!$B$7))</f>
        <v/>
      </c>
      <c r="M973" s="80">
        <f>G973*J973+H973*K973+I973*L973</f>
        <v/>
      </c>
      <c r="N973" s="80">
        <f>MAX(0,I973)</f>
        <v/>
      </c>
      <c r="O973" s="80">
        <f>IF(I973&gt;0,MAX(0,M973),0)</f>
        <v/>
      </c>
      <c r="P973" s="80">
        <f>IF($I973&gt;0,MAX(0,$G973*SIN(RADIANS('13_시나리오비교'!$B$5))*SIN(RADIANS('13_시나리오비교'!$C$5))+$H973*SIN(RADIANS('13_시나리오비교'!$B$5))*COS(RADIANS('13_시나리오비교'!$C$5))+$I973*COS(RADIANS('13_시나리오비교'!$B$5))),0)</f>
        <v/>
      </c>
      <c r="Q973" s="80">
        <f>IF($I973&gt;0,MAX(0,$G973*SIN(RADIANS('13_시나리오비교'!$B$6))*SIN(RADIANS('13_시나리오비교'!$C$6))+$H973*SIN(RADIANS('13_시나리오비교'!$B$6))*COS(RADIANS('13_시나리오비교'!$C$6))+$I973*COS(RADIANS('13_시나리오비교'!$B$6))),0)</f>
        <v/>
      </c>
      <c r="R973" s="80">
        <f>IF($I973&gt;0,MAX(0,$G973*SIN(RADIANS('13_시나리오비교'!$B$7))*SIN(RADIANS('13_시나리오비교'!$C$7))+$H973*SIN(RADIANS('13_시나리오비교'!$B$7))*COS(RADIANS('13_시나리오비교'!$C$7))+$I973*COS(RADIANS('13_시나리오비교'!$B$7))),0)</f>
        <v/>
      </c>
      <c r="S973" s="80">
        <f>IF($I973&gt;0,MAX(0,$G973*SIN(RADIANS('13_시나리오비교'!$B$8))*SIN(RADIANS('13_시나리오비교'!$C$8))+$H973*SIN(RADIANS('13_시나리오비교'!$B$8))*COS(RADIANS('13_시나리오비교'!$C$8))+$I973*COS(RADIANS('13_시나리오비교'!$B$8))),0)</f>
        <v/>
      </c>
      <c r="T973" s="80">
        <f>IF($I973&gt;0,MAX(0,$G973*SIN(RADIANS('13_시나리오비교'!$B$9))*SIN(RADIANS('13_시나리오비교'!$C$9))+$H973*SIN(RADIANS('13_시나리오비교'!$B$9))*COS(RADIANS('13_시나리오비교'!$C$9))+$I973*COS(RADIANS('13_시나리오비교'!$B$9))),0)</f>
        <v/>
      </c>
      <c r="U973" s="80">
        <f>IF($I973&gt;0,MAX(0,$G973*SIN(RADIANS('13_시나리오비교'!$B$10))*SIN(RADIANS('13_시나리오비교'!$C$10))+$H973*SIN(RADIANS('13_시나리오비교'!$B$10))*COS(RADIANS('13_시나리오비교'!$C$10))+$I973*COS(RADIANS('13_시나리오비교'!$B$10))),0)</f>
        <v/>
      </c>
      <c r="V973" s="80">
        <f>IF($I973&gt;0,MAX(0,$G973*SIN(RADIANS('13_시나리오비교'!$B$11))*SIN(RADIANS('13_시나리오비교'!$C$11))+$H973*SIN(RADIANS('13_시나리오비교'!$B$11))*COS(RADIANS('13_시나리오비교'!$C$11))+$I973*COS(RADIANS('13_시나리오비교'!$B$11))),0)</f>
        <v/>
      </c>
      <c r="W973" s="80">
        <f>IF($I973&gt;0,MAX(0,$G973*SIN(RADIANS('13_시나리오비교'!$B$12))*SIN(RADIANS('13_시나리오비교'!$C$12))+$H973*SIN(RADIANS('13_시나리오비교'!$B$12))*COS(RADIANS('13_시나리오비교'!$C$12))+$I973*COS(RADIANS('13_시나리오비교'!$B$12))),0)</f>
        <v/>
      </c>
      <c r="X973" s="80">
        <f>IF($I973&gt;0,MAX(0,$G973*SIN(RADIANS('13_시나리오비교'!$B$13))*SIN(RADIANS('13_시나리오비교'!$C$13))+$H973*SIN(RADIANS('13_시나리오비교'!$B$13))*COS(RADIANS('13_시나리오비교'!$C$13))+$I973*COS(RADIANS('13_시나리오비교'!$B$13))),0)</f>
        <v/>
      </c>
      <c r="Y973" s="80">
        <f>IF($I973&gt;0,MAX(0,$G973*SIN(RADIANS('13_시나리오비교'!$B$14))*SIN(RADIANS('13_시나리오비교'!$C$14))+$H973*SIN(RADIANS('13_시나리오비교'!$B$14))*COS(RADIANS('13_시나리오비교'!$C$14))+$I973*COS(RADIANS('13_시나리오비교'!$B$14))),0)</f>
        <v/>
      </c>
    </row>
    <row r="974" hidden="1" outlineLevel="1">
      <c r="A974" s="79" t="n">
        <v>10</v>
      </c>
      <c r="B974" s="79" t="n">
        <v>90</v>
      </c>
      <c r="C974" s="80">
        <f>(B974-0.5)*'14_지역·상수'!$H$6</f>
        <v/>
      </c>
      <c r="D974" s="79" t="n">
        <v>288</v>
      </c>
      <c r="E974" s="80">
        <f>INDEX($C$4:$C$15,MATCH(A974,$A$4:$A$15,0))</f>
        <v/>
      </c>
      <c r="F974" s="80">
        <f>15*(C974-12)</f>
        <v/>
      </c>
      <c r="G974" s="80">
        <f>-COS(RADIANS(E974))*SIN(RADIANS(F974))</f>
        <v/>
      </c>
      <c r="H974" s="80">
        <f>COS(RADIANS('11_발전량_모델'!$B$17))*SIN(RADIANS(E974))-SIN(RADIANS('11_발전량_모델'!$B$17))*COS(RADIANS(E974))*COS(RADIANS(F974))</f>
        <v/>
      </c>
      <c r="I974" s="80">
        <f>SIN(RADIANS('11_발전량_모델'!$B$17))*SIN(RADIANS(E974))+COS(RADIANS('11_발전량_모델'!$B$17))*COS(RADIANS(E974))*COS(RADIANS(F974))</f>
        <v/>
      </c>
      <c r="J974" s="80">
        <f>SIN(RADIANS('11_발전량_모델'!$B$7))*SIN(RADIANS('11_발전량_모델'!$B$8))</f>
        <v/>
      </c>
      <c r="K974" s="80">
        <f>SIN(RADIANS('11_발전량_모델'!$B$7))*COS(RADIANS('11_발전량_모델'!$B$8))</f>
        <v/>
      </c>
      <c r="L974" s="80">
        <f>COS(RADIANS('11_발전량_모델'!$B$7))</f>
        <v/>
      </c>
      <c r="M974" s="80">
        <f>G974*J974+H974*K974+I974*L974</f>
        <v/>
      </c>
      <c r="N974" s="80">
        <f>MAX(0,I974)</f>
        <v/>
      </c>
      <c r="O974" s="80">
        <f>IF(I974&gt;0,MAX(0,M974),0)</f>
        <v/>
      </c>
      <c r="P974" s="80">
        <f>IF($I974&gt;0,MAX(0,$G974*SIN(RADIANS('13_시나리오비교'!$B$5))*SIN(RADIANS('13_시나리오비교'!$C$5))+$H974*SIN(RADIANS('13_시나리오비교'!$B$5))*COS(RADIANS('13_시나리오비교'!$C$5))+$I974*COS(RADIANS('13_시나리오비교'!$B$5))),0)</f>
        <v/>
      </c>
      <c r="Q974" s="80">
        <f>IF($I974&gt;0,MAX(0,$G974*SIN(RADIANS('13_시나리오비교'!$B$6))*SIN(RADIANS('13_시나리오비교'!$C$6))+$H974*SIN(RADIANS('13_시나리오비교'!$B$6))*COS(RADIANS('13_시나리오비교'!$C$6))+$I974*COS(RADIANS('13_시나리오비교'!$B$6))),0)</f>
        <v/>
      </c>
      <c r="R974" s="80">
        <f>IF($I974&gt;0,MAX(0,$G974*SIN(RADIANS('13_시나리오비교'!$B$7))*SIN(RADIANS('13_시나리오비교'!$C$7))+$H974*SIN(RADIANS('13_시나리오비교'!$B$7))*COS(RADIANS('13_시나리오비교'!$C$7))+$I974*COS(RADIANS('13_시나리오비교'!$B$7))),0)</f>
        <v/>
      </c>
      <c r="S974" s="80">
        <f>IF($I974&gt;0,MAX(0,$G974*SIN(RADIANS('13_시나리오비교'!$B$8))*SIN(RADIANS('13_시나리오비교'!$C$8))+$H974*SIN(RADIANS('13_시나리오비교'!$B$8))*COS(RADIANS('13_시나리오비교'!$C$8))+$I974*COS(RADIANS('13_시나리오비교'!$B$8))),0)</f>
        <v/>
      </c>
      <c r="T974" s="80">
        <f>IF($I974&gt;0,MAX(0,$G974*SIN(RADIANS('13_시나리오비교'!$B$9))*SIN(RADIANS('13_시나리오비교'!$C$9))+$H974*SIN(RADIANS('13_시나리오비교'!$B$9))*COS(RADIANS('13_시나리오비교'!$C$9))+$I974*COS(RADIANS('13_시나리오비교'!$B$9))),0)</f>
        <v/>
      </c>
      <c r="U974" s="80">
        <f>IF($I974&gt;0,MAX(0,$G974*SIN(RADIANS('13_시나리오비교'!$B$10))*SIN(RADIANS('13_시나리오비교'!$C$10))+$H974*SIN(RADIANS('13_시나리오비교'!$B$10))*COS(RADIANS('13_시나리오비교'!$C$10))+$I974*COS(RADIANS('13_시나리오비교'!$B$10))),0)</f>
        <v/>
      </c>
      <c r="V974" s="80">
        <f>IF($I974&gt;0,MAX(0,$G974*SIN(RADIANS('13_시나리오비교'!$B$11))*SIN(RADIANS('13_시나리오비교'!$C$11))+$H974*SIN(RADIANS('13_시나리오비교'!$B$11))*COS(RADIANS('13_시나리오비교'!$C$11))+$I974*COS(RADIANS('13_시나리오비교'!$B$11))),0)</f>
        <v/>
      </c>
      <c r="W974" s="80">
        <f>IF($I974&gt;0,MAX(0,$G974*SIN(RADIANS('13_시나리오비교'!$B$12))*SIN(RADIANS('13_시나리오비교'!$C$12))+$H974*SIN(RADIANS('13_시나리오비교'!$B$12))*COS(RADIANS('13_시나리오비교'!$C$12))+$I974*COS(RADIANS('13_시나리오비교'!$B$12))),0)</f>
        <v/>
      </c>
      <c r="X974" s="80">
        <f>IF($I974&gt;0,MAX(0,$G974*SIN(RADIANS('13_시나리오비교'!$B$13))*SIN(RADIANS('13_시나리오비교'!$C$13))+$H974*SIN(RADIANS('13_시나리오비교'!$B$13))*COS(RADIANS('13_시나리오비교'!$C$13))+$I974*COS(RADIANS('13_시나리오비교'!$B$13))),0)</f>
        <v/>
      </c>
      <c r="Y974" s="80">
        <f>IF($I974&gt;0,MAX(0,$G974*SIN(RADIANS('13_시나리오비교'!$B$14))*SIN(RADIANS('13_시나리오비교'!$C$14))+$H974*SIN(RADIANS('13_시나리오비교'!$B$14))*COS(RADIANS('13_시나리오비교'!$C$14))+$I974*COS(RADIANS('13_시나리오비교'!$B$14))),0)</f>
        <v/>
      </c>
    </row>
    <row r="975" hidden="1" outlineLevel="1">
      <c r="A975" s="79" t="n">
        <v>10</v>
      </c>
      <c r="B975" s="79" t="n">
        <v>91</v>
      </c>
      <c r="C975" s="80">
        <f>(B975-0.5)*'14_지역·상수'!$H$6</f>
        <v/>
      </c>
      <c r="D975" s="79" t="n">
        <v>288</v>
      </c>
      <c r="E975" s="80">
        <f>INDEX($C$4:$C$15,MATCH(A975,$A$4:$A$15,0))</f>
        <v/>
      </c>
      <c r="F975" s="80">
        <f>15*(C975-12)</f>
        <v/>
      </c>
      <c r="G975" s="80">
        <f>-COS(RADIANS(E975))*SIN(RADIANS(F975))</f>
        <v/>
      </c>
      <c r="H975" s="80">
        <f>COS(RADIANS('11_발전량_모델'!$B$17))*SIN(RADIANS(E975))-SIN(RADIANS('11_발전량_모델'!$B$17))*COS(RADIANS(E975))*COS(RADIANS(F975))</f>
        <v/>
      </c>
      <c r="I975" s="80">
        <f>SIN(RADIANS('11_발전량_모델'!$B$17))*SIN(RADIANS(E975))+COS(RADIANS('11_발전량_모델'!$B$17))*COS(RADIANS(E975))*COS(RADIANS(F975))</f>
        <v/>
      </c>
      <c r="J975" s="80">
        <f>SIN(RADIANS('11_발전량_모델'!$B$7))*SIN(RADIANS('11_발전량_모델'!$B$8))</f>
        <v/>
      </c>
      <c r="K975" s="80">
        <f>SIN(RADIANS('11_발전량_모델'!$B$7))*COS(RADIANS('11_발전량_모델'!$B$8))</f>
        <v/>
      </c>
      <c r="L975" s="80">
        <f>COS(RADIANS('11_발전량_모델'!$B$7))</f>
        <v/>
      </c>
      <c r="M975" s="80">
        <f>G975*J975+H975*K975+I975*L975</f>
        <v/>
      </c>
      <c r="N975" s="80">
        <f>MAX(0,I975)</f>
        <v/>
      </c>
      <c r="O975" s="80">
        <f>IF(I975&gt;0,MAX(0,M975),0)</f>
        <v/>
      </c>
      <c r="P975" s="80">
        <f>IF($I975&gt;0,MAX(0,$G975*SIN(RADIANS('13_시나리오비교'!$B$5))*SIN(RADIANS('13_시나리오비교'!$C$5))+$H975*SIN(RADIANS('13_시나리오비교'!$B$5))*COS(RADIANS('13_시나리오비교'!$C$5))+$I975*COS(RADIANS('13_시나리오비교'!$B$5))),0)</f>
        <v/>
      </c>
      <c r="Q975" s="80">
        <f>IF($I975&gt;0,MAX(0,$G975*SIN(RADIANS('13_시나리오비교'!$B$6))*SIN(RADIANS('13_시나리오비교'!$C$6))+$H975*SIN(RADIANS('13_시나리오비교'!$B$6))*COS(RADIANS('13_시나리오비교'!$C$6))+$I975*COS(RADIANS('13_시나리오비교'!$B$6))),0)</f>
        <v/>
      </c>
      <c r="R975" s="80">
        <f>IF($I975&gt;0,MAX(0,$G975*SIN(RADIANS('13_시나리오비교'!$B$7))*SIN(RADIANS('13_시나리오비교'!$C$7))+$H975*SIN(RADIANS('13_시나리오비교'!$B$7))*COS(RADIANS('13_시나리오비교'!$C$7))+$I975*COS(RADIANS('13_시나리오비교'!$B$7))),0)</f>
        <v/>
      </c>
      <c r="S975" s="80">
        <f>IF($I975&gt;0,MAX(0,$G975*SIN(RADIANS('13_시나리오비교'!$B$8))*SIN(RADIANS('13_시나리오비교'!$C$8))+$H975*SIN(RADIANS('13_시나리오비교'!$B$8))*COS(RADIANS('13_시나리오비교'!$C$8))+$I975*COS(RADIANS('13_시나리오비교'!$B$8))),0)</f>
        <v/>
      </c>
      <c r="T975" s="80">
        <f>IF($I975&gt;0,MAX(0,$G975*SIN(RADIANS('13_시나리오비교'!$B$9))*SIN(RADIANS('13_시나리오비교'!$C$9))+$H975*SIN(RADIANS('13_시나리오비교'!$B$9))*COS(RADIANS('13_시나리오비교'!$C$9))+$I975*COS(RADIANS('13_시나리오비교'!$B$9))),0)</f>
        <v/>
      </c>
      <c r="U975" s="80">
        <f>IF($I975&gt;0,MAX(0,$G975*SIN(RADIANS('13_시나리오비교'!$B$10))*SIN(RADIANS('13_시나리오비교'!$C$10))+$H975*SIN(RADIANS('13_시나리오비교'!$B$10))*COS(RADIANS('13_시나리오비교'!$C$10))+$I975*COS(RADIANS('13_시나리오비교'!$B$10))),0)</f>
        <v/>
      </c>
      <c r="V975" s="80">
        <f>IF($I975&gt;0,MAX(0,$G975*SIN(RADIANS('13_시나리오비교'!$B$11))*SIN(RADIANS('13_시나리오비교'!$C$11))+$H975*SIN(RADIANS('13_시나리오비교'!$B$11))*COS(RADIANS('13_시나리오비교'!$C$11))+$I975*COS(RADIANS('13_시나리오비교'!$B$11))),0)</f>
        <v/>
      </c>
      <c r="W975" s="80">
        <f>IF($I975&gt;0,MAX(0,$G975*SIN(RADIANS('13_시나리오비교'!$B$12))*SIN(RADIANS('13_시나리오비교'!$C$12))+$H975*SIN(RADIANS('13_시나리오비교'!$B$12))*COS(RADIANS('13_시나리오비교'!$C$12))+$I975*COS(RADIANS('13_시나리오비교'!$B$12))),0)</f>
        <v/>
      </c>
      <c r="X975" s="80">
        <f>IF($I975&gt;0,MAX(0,$G975*SIN(RADIANS('13_시나리오비교'!$B$13))*SIN(RADIANS('13_시나리오비교'!$C$13))+$H975*SIN(RADIANS('13_시나리오비교'!$B$13))*COS(RADIANS('13_시나리오비교'!$C$13))+$I975*COS(RADIANS('13_시나리오비교'!$B$13))),0)</f>
        <v/>
      </c>
      <c r="Y975" s="80">
        <f>IF($I975&gt;0,MAX(0,$G975*SIN(RADIANS('13_시나리오비교'!$B$14))*SIN(RADIANS('13_시나리오비교'!$C$14))+$H975*SIN(RADIANS('13_시나리오비교'!$B$14))*COS(RADIANS('13_시나리오비교'!$C$14))+$I975*COS(RADIANS('13_시나리오비교'!$B$14))),0)</f>
        <v/>
      </c>
    </row>
    <row r="976" hidden="1" outlineLevel="1">
      <c r="A976" s="79" t="n">
        <v>10</v>
      </c>
      <c r="B976" s="79" t="n">
        <v>92</v>
      </c>
      <c r="C976" s="80">
        <f>(B976-0.5)*'14_지역·상수'!$H$6</f>
        <v/>
      </c>
      <c r="D976" s="79" t="n">
        <v>288</v>
      </c>
      <c r="E976" s="80">
        <f>INDEX($C$4:$C$15,MATCH(A976,$A$4:$A$15,0))</f>
        <v/>
      </c>
      <c r="F976" s="80">
        <f>15*(C976-12)</f>
        <v/>
      </c>
      <c r="G976" s="80">
        <f>-COS(RADIANS(E976))*SIN(RADIANS(F976))</f>
        <v/>
      </c>
      <c r="H976" s="80">
        <f>COS(RADIANS('11_발전량_모델'!$B$17))*SIN(RADIANS(E976))-SIN(RADIANS('11_발전량_모델'!$B$17))*COS(RADIANS(E976))*COS(RADIANS(F976))</f>
        <v/>
      </c>
      <c r="I976" s="80">
        <f>SIN(RADIANS('11_발전량_모델'!$B$17))*SIN(RADIANS(E976))+COS(RADIANS('11_발전량_모델'!$B$17))*COS(RADIANS(E976))*COS(RADIANS(F976))</f>
        <v/>
      </c>
      <c r="J976" s="80">
        <f>SIN(RADIANS('11_발전량_모델'!$B$7))*SIN(RADIANS('11_발전량_모델'!$B$8))</f>
        <v/>
      </c>
      <c r="K976" s="80">
        <f>SIN(RADIANS('11_발전량_모델'!$B$7))*COS(RADIANS('11_발전량_모델'!$B$8))</f>
        <v/>
      </c>
      <c r="L976" s="80">
        <f>COS(RADIANS('11_발전량_모델'!$B$7))</f>
        <v/>
      </c>
      <c r="M976" s="80">
        <f>G976*J976+H976*K976+I976*L976</f>
        <v/>
      </c>
      <c r="N976" s="80">
        <f>MAX(0,I976)</f>
        <v/>
      </c>
      <c r="O976" s="80">
        <f>IF(I976&gt;0,MAX(0,M976),0)</f>
        <v/>
      </c>
      <c r="P976" s="80">
        <f>IF($I976&gt;0,MAX(0,$G976*SIN(RADIANS('13_시나리오비교'!$B$5))*SIN(RADIANS('13_시나리오비교'!$C$5))+$H976*SIN(RADIANS('13_시나리오비교'!$B$5))*COS(RADIANS('13_시나리오비교'!$C$5))+$I976*COS(RADIANS('13_시나리오비교'!$B$5))),0)</f>
        <v/>
      </c>
      <c r="Q976" s="80">
        <f>IF($I976&gt;0,MAX(0,$G976*SIN(RADIANS('13_시나리오비교'!$B$6))*SIN(RADIANS('13_시나리오비교'!$C$6))+$H976*SIN(RADIANS('13_시나리오비교'!$B$6))*COS(RADIANS('13_시나리오비교'!$C$6))+$I976*COS(RADIANS('13_시나리오비교'!$B$6))),0)</f>
        <v/>
      </c>
      <c r="R976" s="80">
        <f>IF($I976&gt;0,MAX(0,$G976*SIN(RADIANS('13_시나리오비교'!$B$7))*SIN(RADIANS('13_시나리오비교'!$C$7))+$H976*SIN(RADIANS('13_시나리오비교'!$B$7))*COS(RADIANS('13_시나리오비교'!$C$7))+$I976*COS(RADIANS('13_시나리오비교'!$B$7))),0)</f>
        <v/>
      </c>
      <c r="S976" s="80">
        <f>IF($I976&gt;0,MAX(0,$G976*SIN(RADIANS('13_시나리오비교'!$B$8))*SIN(RADIANS('13_시나리오비교'!$C$8))+$H976*SIN(RADIANS('13_시나리오비교'!$B$8))*COS(RADIANS('13_시나리오비교'!$C$8))+$I976*COS(RADIANS('13_시나리오비교'!$B$8))),0)</f>
        <v/>
      </c>
      <c r="T976" s="80">
        <f>IF($I976&gt;0,MAX(0,$G976*SIN(RADIANS('13_시나리오비교'!$B$9))*SIN(RADIANS('13_시나리오비교'!$C$9))+$H976*SIN(RADIANS('13_시나리오비교'!$B$9))*COS(RADIANS('13_시나리오비교'!$C$9))+$I976*COS(RADIANS('13_시나리오비교'!$B$9))),0)</f>
        <v/>
      </c>
      <c r="U976" s="80">
        <f>IF($I976&gt;0,MAX(0,$G976*SIN(RADIANS('13_시나리오비교'!$B$10))*SIN(RADIANS('13_시나리오비교'!$C$10))+$H976*SIN(RADIANS('13_시나리오비교'!$B$10))*COS(RADIANS('13_시나리오비교'!$C$10))+$I976*COS(RADIANS('13_시나리오비교'!$B$10))),0)</f>
        <v/>
      </c>
      <c r="V976" s="80">
        <f>IF($I976&gt;0,MAX(0,$G976*SIN(RADIANS('13_시나리오비교'!$B$11))*SIN(RADIANS('13_시나리오비교'!$C$11))+$H976*SIN(RADIANS('13_시나리오비교'!$B$11))*COS(RADIANS('13_시나리오비교'!$C$11))+$I976*COS(RADIANS('13_시나리오비교'!$B$11))),0)</f>
        <v/>
      </c>
      <c r="W976" s="80">
        <f>IF($I976&gt;0,MAX(0,$G976*SIN(RADIANS('13_시나리오비교'!$B$12))*SIN(RADIANS('13_시나리오비교'!$C$12))+$H976*SIN(RADIANS('13_시나리오비교'!$B$12))*COS(RADIANS('13_시나리오비교'!$C$12))+$I976*COS(RADIANS('13_시나리오비교'!$B$12))),0)</f>
        <v/>
      </c>
      <c r="X976" s="80">
        <f>IF($I976&gt;0,MAX(0,$G976*SIN(RADIANS('13_시나리오비교'!$B$13))*SIN(RADIANS('13_시나리오비교'!$C$13))+$H976*SIN(RADIANS('13_시나리오비교'!$B$13))*COS(RADIANS('13_시나리오비교'!$C$13))+$I976*COS(RADIANS('13_시나리오비교'!$B$13))),0)</f>
        <v/>
      </c>
      <c r="Y976" s="80">
        <f>IF($I976&gt;0,MAX(0,$G976*SIN(RADIANS('13_시나리오비교'!$B$14))*SIN(RADIANS('13_시나리오비교'!$C$14))+$H976*SIN(RADIANS('13_시나리오비교'!$B$14))*COS(RADIANS('13_시나리오비교'!$C$14))+$I976*COS(RADIANS('13_시나리오비교'!$B$14))),0)</f>
        <v/>
      </c>
    </row>
    <row r="977" hidden="1" outlineLevel="1">
      <c r="A977" s="79" t="n">
        <v>10</v>
      </c>
      <c r="B977" s="79" t="n">
        <v>93</v>
      </c>
      <c r="C977" s="80">
        <f>(B977-0.5)*'14_지역·상수'!$H$6</f>
        <v/>
      </c>
      <c r="D977" s="79" t="n">
        <v>288</v>
      </c>
      <c r="E977" s="80">
        <f>INDEX($C$4:$C$15,MATCH(A977,$A$4:$A$15,0))</f>
        <v/>
      </c>
      <c r="F977" s="80">
        <f>15*(C977-12)</f>
        <v/>
      </c>
      <c r="G977" s="80">
        <f>-COS(RADIANS(E977))*SIN(RADIANS(F977))</f>
        <v/>
      </c>
      <c r="H977" s="80">
        <f>COS(RADIANS('11_발전량_모델'!$B$17))*SIN(RADIANS(E977))-SIN(RADIANS('11_발전량_모델'!$B$17))*COS(RADIANS(E977))*COS(RADIANS(F977))</f>
        <v/>
      </c>
      <c r="I977" s="80">
        <f>SIN(RADIANS('11_발전량_모델'!$B$17))*SIN(RADIANS(E977))+COS(RADIANS('11_발전량_모델'!$B$17))*COS(RADIANS(E977))*COS(RADIANS(F977))</f>
        <v/>
      </c>
      <c r="J977" s="80">
        <f>SIN(RADIANS('11_발전량_모델'!$B$7))*SIN(RADIANS('11_발전량_모델'!$B$8))</f>
        <v/>
      </c>
      <c r="K977" s="80">
        <f>SIN(RADIANS('11_발전량_모델'!$B$7))*COS(RADIANS('11_발전량_모델'!$B$8))</f>
        <v/>
      </c>
      <c r="L977" s="80">
        <f>COS(RADIANS('11_발전량_모델'!$B$7))</f>
        <v/>
      </c>
      <c r="M977" s="80">
        <f>G977*J977+H977*K977+I977*L977</f>
        <v/>
      </c>
      <c r="N977" s="80">
        <f>MAX(0,I977)</f>
        <v/>
      </c>
      <c r="O977" s="80">
        <f>IF(I977&gt;0,MAX(0,M977),0)</f>
        <v/>
      </c>
      <c r="P977" s="80">
        <f>IF($I977&gt;0,MAX(0,$G977*SIN(RADIANS('13_시나리오비교'!$B$5))*SIN(RADIANS('13_시나리오비교'!$C$5))+$H977*SIN(RADIANS('13_시나리오비교'!$B$5))*COS(RADIANS('13_시나리오비교'!$C$5))+$I977*COS(RADIANS('13_시나리오비교'!$B$5))),0)</f>
        <v/>
      </c>
      <c r="Q977" s="80">
        <f>IF($I977&gt;0,MAX(0,$G977*SIN(RADIANS('13_시나리오비교'!$B$6))*SIN(RADIANS('13_시나리오비교'!$C$6))+$H977*SIN(RADIANS('13_시나리오비교'!$B$6))*COS(RADIANS('13_시나리오비교'!$C$6))+$I977*COS(RADIANS('13_시나리오비교'!$B$6))),0)</f>
        <v/>
      </c>
      <c r="R977" s="80">
        <f>IF($I977&gt;0,MAX(0,$G977*SIN(RADIANS('13_시나리오비교'!$B$7))*SIN(RADIANS('13_시나리오비교'!$C$7))+$H977*SIN(RADIANS('13_시나리오비교'!$B$7))*COS(RADIANS('13_시나리오비교'!$C$7))+$I977*COS(RADIANS('13_시나리오비교'!$B$7))),0)</f>
        <v/>
      </c>
      <c r="S977" s="80">
        <f>IF($I977&gt;0,MAX(0,$G977*SIN(RADIANS('13_시나리오비교'!$B$8))*SIN(RADIANS('13_시나리오비교'!$C$8))+$H977*SIN(RADIANS('13_시나리오비교'!$B$8))*COS(RADIANS('13_시나리오비교'!$C$8))+$I977*COS(RADIANS('13_시나리오비교'!$B$8))),0)</f>
        <v/>
      </c>
      <c r="T977" s="80">
        <f>IF($I977&gt;0,MAX(0,$G977*SIN(RADIANS('13_시나리오비교'!$B$9))*SIN(RADIANS('13_시나리오비교'!$C$9))+$H977*SIN(RADIANS('13_시나리오비교'!$B$9))*COS(RADIANS('13_시나리오비교'!$C$9))+$I977*COS(RADIANS('13_시나리오비교'!$B$9))),0)</f>
        <v/>
      </c>
      <c r="U977" s="80">
        <f>IF($I977&gt;0,MAX(0,$G977*SIN(RADIANS('13_시나리오비교'!$B$10))*SIN(RADIANS('13_시나리오비교'!$C$10))+$H977*SIN(RADIANS('13_시나리오비교'!$B$10))*COS(RADIANS('13_시나리오비교'!$C$10))+$I977*COS(RADIANS('13_시나리오비교'!$B$10))),0)</f>
        <v/>
      </c>
      <c r="V977" s="80">
        <f>IF($I977&gt;0,MAX(0,$G977*SIN(RADIANS('13_시나리오비교'!$B$11))*SIN(RADIANS('13_시나리오비교'!$C$11))+$H977*SIN(RADIANS('13_시나리오비교'!$B$11))*COS(RADIANS('13_시나리오비교'!$C$11))+$I977*COS(RADIANS('13_시나리오비교'!$B$11))),0)</f>
        <v/>
      </c>
      <c r="W977" s="80">
        <f>IF($I977&gt;0,MAX(0,$G977*SIN(RADIANS('13_시나리오비교'!$B$12))*SIN(RADIANS('13_시나리오비교'!$C$12))+$H977*SIN(RADIANS('13_시나리오비교'!$B$12))*COS(RADIANS('13_시나리오비교'!$C$12))+$I977*COS(RADIANS('13_시나리오비교'!$B$12))),0)</f>
        <v/>
      </c>
      <c r="X977" s="80">
        <f>IF($I977&gt;0,MAX(0,$G977*SIN(RADIANS('13_시나리오비교'!$B$13))*SIN(RADIANS('13_시나리오비교'!$C$13))+$H977*SIN(RADIANS('13_시나리오비교'!$B$13))*COS(RADIANS('13_시나리오비교'!$C$13))+$I977*COS(RADIANS('13_시나리오비교'!$B$13))),0)</f>
        <v/>
      </c>
      <c r="Y977" s="80">
        <f>IF($I977&gt;0,MAX(0,$G977*SIN(RADIANS('13_시나리오비교'!$B$14))*SIN(RADIANS('13_시나리오비교'!$C$14))+$H977*SIN(RADIANS('13_시나리오비교'!$B$14))*COS(RADIANS('13_시나리오비교'!$C$14))+$I977*COS(RADIANS('13_시나리오비교'!$B$14))),0)</f>
        <v/>
      </c>
    </row>
    <row r="978" hidden="1" outlineLevel="1">
      <c r="A978" s="79" t="n">
        <v>10</v>
      </c>
      <c r="B978" s="79" t="n">
        <v>94</v>
      </c>
      <c r="C978" s="80">
        <f>(B978-0.5)*'14_지역·상수'!$H$6</f>
        <v/>
      </c>
      <c r="D978" s="79" t="n">
        <v>288</v>
      </c>
      <c r="E978" s="80">
        <f>INDEX($C$4:$C$15,MATCH(A978,$A$4:$A$15,0))</f>
        <v/>
      </c>
      <c r="F978" s="80">
        <f>15*(C978-12)</f>
        <v/>
      </c>
      <c r="G978" s="80">
        <f>-COS(RADIANS(E978))*SIN(RADIANS(F978))</f>
        <v/>
      </c>
      <c r="H978" s="80">
        <f>COS(RADIANS('11_발전량_모델'!$B$17))*SIN(RADIANS(E978))-SIN(RADIANS('11_발전량_모델'!$B$17))*COS(RADIANS(E978))*COS(RADIANS(F978))</f>
        <v/>
      </c>
      <c r="I978" s="80">
        <f>SIN(RADIANS('11_발전량_모델'!$B$17))*SIN(RADIANS(E978))+COS(RADIANS('11_발전량_모델'!$B$17))*COS(RADIANS(E978))*COS(RADIANS(F978))</f>
        <v/>
      </c>
      <c r="J978" s="80">
        <f>SIN(RADIANS('11_발전량_모델'!$B$7))*SIN(RADIANS('11_발전량_모델'!$B$8))</f>
        <v/>
      </c>
      <c r="K978" s="80">
        <f>SIN(RADIANS('11_발전량_모델'!$B$7))*COS(RADIANS('11_발전량_모델'!$B$8))</f>
        <v/>
      </c>
      <c r="L978" s="80">
        <f>COS(RADIANS('11_발전량_모델'!$B$7))</f>
        <v/>
      </c>
      <c r="M978" s="80">
        <f>G978*J978+H978*K978+I978*L978</f>
        <v/>
      </c>
      <c r="N978" s="80">
        <f>MAX(0,I978)</f>
        <v/>
      </c>
      <c r="O978" s="80">
        <f>IF(I978&gt;0,MAX(0,M978),0)</f>
        <v/>
      </c>
      <c r="P978" s="80">
        <f>IF($I978&gt;0,MAX(0,$G978*SIN(RADIANS('13_시나리오비교'!$B$5))*SIN(RADIANS('13_시나리오비교'!$C$5))+$H978*SIN(RADIANS('13_시나리오비교'!$B$5))*COS(RADIANS('13_시나리오비교'!$C$5))+$I978*COS(RADIANS('13_시나리오비교'!$B$5))),0)</f>
        <v/>
      </c>
      <c r="Q978" s="80">
        <f>IF($I978&gt;0,MAX(0,$G978*SIN(RADIANS('13_시나리오비교'!$B$6))*SIN(RADIANS('13_시나리오비교'!$C$6))+$H978*SIN(RADIANS('13_시나리오비교'!$B$6))*COS(RADIANS('13_시나리오비교'!$C$6))+$I978*COS(RADIANS('13_시나리오비교'!$B$6))),0)</f>
        <v/>
      </c>
      <c r="R978" s="80">
        <f>IF($I978&gt;0,MAX(0,$G978*SIN(RADIANS('13_시나리오비교'!$B$7))*SIN(RADIANS('13_시나리오비교'!$C$7))+$H978*SIN(RADIANS('13_시나리오비교'!$B$7))*COS(RADIANS('13_시나리오비교'!$C$7))+$I978*COS(RADIANS('13_시나리오비교'!$B$7))),0)</f>
        <v/>
      </c>
      <c r="S978" s="80">
        <f>IF($I978&gt;0,MAX(0,$G978*SIN(RADIANS('13_시나리오비교'!$B$8))*SIN(RADIANS('13_시나리오비교'!$C$8))+$H978*SIN(RADIANS('13_시나리오비교'!$B$8))*COS(RADIANS('13_시나리오비교'!$C$8))+$I978*COS(RADIANS('13_시나리오비교'!$B$8))),0)</f>
        <v/>
      </c>
      <c r="T978" s="80">
        <f>IF($I978&gt;0,MAX(0,$G978*SIN(RADIANS('13_시나리오비교'!$B$9))*SIN(RADIANS('13_시나리오비교'!$C$9))+$H978*SIN(RADIANS('13_시나리오비교'!$B$9))*COS(RADIANS('13_시나리오비교'!$C$9))+$I978*COS(RADIANS('13_시나리오비교'!$B$9))),0)</f>
        <v/>
      </c>
      <c r="U978" s="80">
        <f>IF($I978&gt;0,MAX(0,$G978*SIN(RADIANS('13_시나리오비교'!$B$10))*SIN(RADIANS('13_시나리오비교'!$C$10))+$H978*SIN(RADIANS('13_시나리오비교'!$B$10))*COS(RADIANS('13_시나리오비교'!$C$10))+$I978*COS(RADIANS('13_시나리오비교'!$B$10))),0)</f>
        <v/>
      </c>
      <c r="V978" s="80">
        <f>IF($I978&gt;0,MAX(0,$G978*SIN(RADIANS('13_시나리오비교'!$B$11))*SIN(RADIANS('13_시나리오비교'!$C$11))+$H978*SIN(RADIANS('13_시나리오비교'!$B$11))*COS(RADIANS('13_시나리오비교'!$C$11))+$I978*COS(RADIANS('13_시나리오비교'!$B$11))),0)</f>
        <v/>
      </c>
      <c r="W978" s="80">
        <f>IF($I978&gt;0,MAX(0,$G978*SIN(RADIANS('13_시나리오비교'!$B$12))*SIN(RADIANS('13_시나리오비교'!$C$12))+$H978*SIN(RADIANS('13_시나리오비교'!$B$12))*COS(RADIANS('13_시나리오비교'!$C$12))+$I978*COS(RADIANS('13_시나리오비교'!$B$12))),0)</f>
        <v/>
      </c>
      <c r="X978" s="80">
        <f>IF($I978&gt;0,MAX(0,$G978*SIN(RADIANS('13_시나리오비교'!$B$13))*SIN(RADIANS('13_시나리오비교'!$C$13))+$H978*SIN(RADIANS('13_시나리오비교'!$B$13))*COS(RADIANS('13_시나리오비교'!$C$13))+$I978*COS(RADIANS('13_시나리오비교'!$B$13))),0)</f>
        <v/>
      </c>
      <c r="Y978" s="80">
        <f>IF($I978&gt;0,MAX(0,$G978*SIN(RADIANS('13_시나리오비교'!$B$14))*SIN(RADIANS('13_시나리오비교'!$C$14))+$H978*SIN(RADIANS('13_시나리오비교'!$B$14))*COS(RADIANS('13_시나리오비교'!$C$14))+$I978*COS(RADIANS('13_시나리오비교'!$B$14))),0)</f>
        <v/>
      </c>
    </row>
    <row r="979" hidden="1" outlineLevel="1">
      <c r="A979" s="79" t="n">
        <v>10</v>
      </c>
      <c r="B979" s="79" t="n">
        <v>95</v>
      </c>
      <c r="C979" s="80">
        <f>(B979-0.5)*'14_지역·상수'!$H$6</f>
        <v/>
      </c>
      <c r="D979" s="79" t="n">
        <v>288</v>
      </c>
      <c r="E979" s="80">
        <f>INDEX($C$4:$C$15,MATCH(A979,$A$4:$A$15,0))</f>
        <v/>
      </c>
      <c r="F979" s="80">
        <f>15*(C979-12)</f>
        <v/>
      </c>
      <c r="G979" s="80">
        <f>-COS(RADIANS(E979))*SIN(RADIANS(F979))</f>
        <v/>
      </c>
      <c r="H979" s="80">
        <f>COS(RADIANS('11_발전량_모델'!$B$17))*SIN(RADIANS(E979))-SIN(RADIANS('11_발전량_모델'!$B$17))*COS(RADIANS(E979))*COS(RADIANS(F979))</f>
        <v/>
      </c>
      <c r="I979" s="80">
        <f>SIN(RADIANS('11_발전량_모델'!$B$17))*SIN(RADIANS(E979))+COS(RADIANS('11_발전량_모델'!$B$17))*COS(RADIANS(E979))*COS(RADIANS(F979))</f>
        <v/>
      </c>
      <c r="J979" s="80">
        <f>SIN(RADIANS('11_발전량_모델'!$B$7))*SIN(RADIANS('11_발전량_모델'!$B$8))</f>
        <v/>
      </c>
      <c r="K979" s="80">
        <f>SIN(RADIANS('11_발전량_모델'!$B$7))*COS(RADIANS('11_발전량_모델'!$B$8))</f>
        <v/>
      </c>
      <c r="L979" s="80">
        <f>COS(RADIANS('11_발전량_모델'!$B$7))</f>
        <v/>
      </c>
      <c r="M979" s="80">
        <f>G979*J979+H979*K979+I979*L979</f>
        <v/>
      </c>
      <c r="N979" s="80">
        <f>MAX(0,I979)</f>
        <v/>
      </c>
      <c r="O979" s="80">
        <f>IF(I979&gt;0,MAX(0,M979),0)</f>
        <v/>
      </c>
      <c r="P979" s="80">
        <f>IF($I979&gt;0,MAX(0,$G979*SIN(RADIANS('13_시나리오비교'!$B$5))*SIN(RADIANS('13_시나리오비교'!$C$5))+$H979*SIN(RADIANS('13_시나리오비교'!$B$5))*COS(RADIANS('13_시나리오비교'!$C$5))+$I979*COS(RADIANS('13_시나리오비교'!$B$5))),0)</f>
        <v/>
      </c>
      <c r="Q979" s="80">
        <f>IF($I979&gt;0,MAX(0,$G979*SIN(RADIANS('13_시나리오비교'!$B$6))*SIN(RADIANS('13_시나리오비교'!$C$6))+$H979*SIN(RADIANS('13_시나리오비교'!$B$6))*COS(RADIANS('13_시나리오비교'!$C$6))+$I979*COS(RADIANS('13_시나리오비교'!$B$6))),0)</f>
        <v/>
      </c>
      <c r="R979" s="80">
        <f>IF($I979&gt;0,MAX(0,$G979*SIN(RADIANS('13_시나리오비교'!$B$7))*SIN(RADIANS('13_시나리오비교'!$C$7))+$H979*SIN(RADIANS('13_시나리오비교'!$B$7))*COS(RADIANS('13_시나리오비교'!$C$7))+$I979*COS(RADIANS('13_시나리오비교'!$B$7))),0)</f>
        <v/>
      </c>
      <c r="S979" s="80">
        <f>IF($I979&gt;0,MAX(0,$G979*SIN(RADIANS('13_시나리오비교'!$B$8))*SIN(RADIANS('13_시나리오비교'!$C$8))+$H979*SIN(RADIANS('13_시나리오비교'!$B$8))*COS(RADIANS('13_시나리오비교'!$C$8))+$I979*COS(RADIANS('13_시나리오비교'!$B$8))),0)</f>
        <v/>
      </c>
      <c r="T979" s="80">
        <f>IF($I979&gt;0,MAX(0,$G979*SIN(RADIANS('13_시나리오비교'!$B$9))*SIN(RADIANS('13_시나리오비교'!$C$9))+$H979*SIN(RADIANS('13_시나리오비교'!$B$9))*COS(RADIANS('13_시나리오비교'!$C$9))+$I979*COS(RADIANS('13_시나리오비교'!$B$9))),0)</f>
        <v/>
      </c>
      <c r="U979" s="80">
        <f>IF($I979&gt;0,MAX(0,$G979*SIN(RADIANS('13_시나리오비교'!$B$10))*SIN(RADIANS('13_시나리오비교'!$C$10))+$H979*SIN(RADIANS('13_시나리오비교'!$B$10))*COS(RADIANS('13_시나리오비교'!$C$10))+$I979*COS(RADIANS('13_시나리오비교'!$B$10))),0)</f>
        <v/>
      </c>
      <c r="V979" s="80">
        <f>IF($I979&gt;0,MAX(0,$G979*SIN(RADIANS('13_시나리오비교'!$B$11))*SIN(RADIANS('13_시나리오비교'!$C$11))+$H979*SIN(RADIANS('13_시나리오비교'!$B$11))*COS(RADIANS('13_시나리오비교'!$C$11))+$I979*COS(RADIANS('13_시나리오비교'!$B$11))),0)</f>
        <v/>
      </c>
      <c r="W979" s="80">
        <f>IF($I979&gt;0,MAX(0,$G979*SIN(RADIANS('13_시나리오비교'!$B$12))*SIN(RADIANS('13_시나리오비교'!$C$12))+$H979*SIN(RADIANS('13_시나리오비교'!$B$12))*COS(RADIANS('13_시나리오비교'!$C$12))+$I979*COS(RADIANS('13_시나리오비교'!$B$12))),0)</f>
        <v/>
      </c>
      <c r="X979" s="80">
        <f>IF($I979&gt;0,MAX(0,$G979*SIN(RADIANS('13_시나리오비교'!$B$13))*SIN(RADIANS('13_시나리오비교'!$C$13))+$H979*SIN(RADIANS('13_시나리오비교'!$B$13))*COS(RADIANS('13_시나리오비교'!$C$13))+$I979*COS(RADIANS('13_시나리오비교'!$B$13))),0)</f>
        <v/>
      </c>
      <c r="Y979" s="80">
        <f>IF($I979&gt;0,MAX(0,$G979*SIN(RADIANS('13_시나리오비교'!$B$14))*SIN(RADIANS('13_시나리오비교'!$C$14))+$H979*SIN(RADIANS('13_시나리오비교'!$B$14))*COS(RADIANS('13_시나리오비교'!$C$14))+$I979*COS(RADIANS('13_시나리오비교'!$B$14))),0)</f>
        <v/>
      </c>
    </row>
    <row r="980" hidden="1" outlineLevel="1">
      <c r="A980" s="79" t="n">
        <v>10</v>
      </c>
      <c r="B980" s="79" t="n">
        <v>96</v>
      </c>
      <c r="C980" s="80">
        <f>(B980-0.5)*'14_지역·상수'!$H$6</f>
        <v/>
      </c>
      <c r="D980" s="79" t="n">
        <v>288</v>
      </c>
      <c r="E980" s="80">
        <f>INDEX($C$4:$C$15,MATCH(A980,$A$4:$A$15,0))</f>
        <v/>
      </c>
      <c r="F980" s="80">
        <f>15*(C980-12)</f>
        <v/>
      </c>
      <c r="G980" s="80">
        <f>-COS(RADIANS(E980))*SIN(RADIANS(F980))</f>
        <v/>
      </c>
      <c r="H980" s="80">
        <f>COS(RADIANS('11_발전량_모델'!$B$17))*SIN(RADIANS(E980))-SIN(RADIANS('11_발전량_모델'!$B$17))*COS(RADIANS(E980))*COS(RADIANS(F980))</f>
        <v/>
      </c>
      <c r="I980" s="80">
        <f>SIN(RADIANS('11_발전량_모델'!$B$17))*SIN(RADIANS(E980))+COS(RADIANS('11_발전량_모델'!$B$17))*COS(RADIANS(E980))*COS(RADIANS(F980))</f>
        <v/>
      </c>
      <c r="J980" s="80">
        <f>SIN(RADIANS('11_발전량_모델'!$B$7))*SIN(RADIANS('11_발전량_모델'!$B$8))</f>
        <v/>
      </c>
      <c r="K980" s="80">
        <f>SIN(RADIANS('11_발전량_모델'!$B$7))*COS(RADIANS('11_발전량_모델'!$B$8))</f>
        <v/>
      </c>
      <c r="L980" s="80">
        <f>COS(RADIANS('11_발전량_모델'!$B$7))</f>
        <v/>
      </c>
      <c r="M980" s="80">
        <f>G980*J980+H980*K980+I980*L980</f>
        <v/>
      </c>
      <c r="N980" s="80">
        <f>MAX(0,I980)</f>
        <v/>
      </c>
      <c r="O980" s="80">
        <f>IF(I980&gt;0,MAX(0,M980),0)</f>
        <v/>
      </c>
      <c r="P980" s="80">
        <f>IF($I980&gt;0,MAX(0,$G980*SIN(RADIANS('13_시나리오비교'!$B$5))*SIN(RADIANS('13_시나리오비교'!$C$5))+$H980*SIN(RADIANS('13_시나리오비교'!$B$5))*COS(RADIANS('13_시나리오비교'!$C$5))+$I980*COS(RADIANS('13_시나리오비교'!$B$5))),0)</f>
        <v/>
      </c>
      <c r="Q980" s="80">
        <f>IF($I980&gt;0,MAX(0,$G980*SIN(RADIANS('13_시나리오비교'!$B$6))*SIN(RADIANS('13_시나리오비교'!$C$6))+$H980*SIN(RADIANS('13_시나리오비교'!$B$6))*COS(RADIANS('13_시나리오비교'!$C$6))+$I980*COS(RADIANS('13_시나리오비교'!$B$6))),0)</f>
        <v/>
      </c>
      <c r="R980" s="80">
        <f>IF($I980&gt;0,MAX(0,$G980*SIN(RADIANS('13_시나리오비교'!$B$7))*SIN(RADIANS('13_시나리오비교'!$C$7))+$H980*SIN(RADIANS('13_시나리오비교'!$B$7))*COS(RADIANS('13_시나리오비교'!$C$7))+$I980*COS(RADIANS('13_시나리오비교'!$B$7))),0)</f>
        <v/>
      </c>
      <c r="S980" s="80">
        <f>IF($I980&gt;0,MAX(0,$G980*SIN(RADIANS('13_시나리오비교'!$B$8))*SIN(RADIANS('13_시나리오비교'!$C$8))+$H980*SIN(RADIANS('13_시나리오비교'!$B$8))*COS(RADIANS('13_시나리오비교'!$C$8))+$I980*COS(RADIANS('13_시나리오비교'!$B$8))),0)</f>
        <v/>
      </c>
      <c r="T980" s="80">
        <f>IF($I980&gt;0,MAX(0,$G980*SIN(RADIANS('13_시나리오비교'!$B$9))*SIN(RADIANS('13_시나리오비교'!$C$9))+$H980*SIN(RADIANS('13_시나리오비교'!$B$9))*COS(RADIANS('13_시나리오비교'!$C$9))+$I980*COS(RADIANS('13_시나리오비교'!$B$9))),0)</f>
        <v/>
      </c>
      <c r="U980" s="80">
        <f>IF($I980&gt;0,MAX(0,$G980*SIN(RADIANS('13_시나리오비교'!$B$10))*SIN(RADIANS('13_시나리오비교'!$C$10))+$H980*SIN(RADIANS('13_시나리오비교'!$B$10))*COS(RADIANS('13_시나리오비교'!$C$10))+$I980*COS(RADIANS('13_시나리오비교'!$B$10))),0)</f>
        <v/>
      </c>
      <c r="V980" s="80">
        <f>IF($I980&gt;0,MAX(0,$G980*SIN(RADIANS('13_시나리오비교'!$B$11))*SIN(RADIANS('13_시나리오비교'!$C$11))+$H980*SIN(RADIANS('13_시나리오비교'!$B$11))*COS(RADIANS('13_시나리오비교'!$C$11))+$I980*COS(RADIANS('13_시나리오비교'!$B$11))),0)</f>
        <v/>
      </c>
      <c r="W980" s="80">
        <f>IF($I980&gt;0,MAX(0,$G980*SIN(RADIANS('13_시나리오비교'!$B$12))*SIN(RADIANS('13_시나리오비교'!$C$12))+$H980*SIN(RADIANS('13_시나리오비교'!$B$12))*COS(RADIANS('13_시나리오비교'!$C$12))+$I980*COS(RADIANS('13_시나리오비교'!$B$12))),0)</f>
        <v/>
      </c>
      <c r="X980" s="80">
        <f>IF($I980&gt;0,MAX(0,$G980*SIN(RADIANS('13_시나리오비교'!$B$13))*SIN(RADIANS('13_시나리오비교'!$C$13))+$H980*SIN(RADIANS('13_시나리오비교'!$B$13))*COS(RADIANS('13_시나리오비교'!$C$13))+$I980*COS(RADIANS('13_시나리오비교'!$B$13))),0)</f>
        <v/>
      </c>
      <c r="Y980" s="80">
        <f>IF($I980&gt;0,MAX(0,$G980*SIN(RADIANS('13_시나리오비교'!$B$14))*SIN(RADIANS('13_시나리오비교'!$C$14))+$H980*SIN(RADIANS('13_시나리오비교'!$B$14))*COS(RADIANS('13_시나리오비교'!$C$14))+$I980*COS(RADIANS('13_시나리오비교'!$B$14))),0)</f>
        <v/>
      </c>
    </row>
    <row r="981" hidden="1" outlineLevel="1">
      <c r="A981" s="79" t="n">
        <v>11</v>
      </c>
      <c r="B981" s="79" t="n">
        <v>1</v>
      </c>
      <c r="C981" s="80">
        <f>(B981-0.5)*'14_지역·상수'!$H$6</f>
        <v/>
      </c>
      <c r="D981" s="79" t="n">
        <v>318</v>
      </c>
      <c r="E981" s="80">
        <f>INDEX($C$4:$C$15,MATCH(A981,$A$4:$A$15,0))</f>
        <v/>
      </c>
      <c r="F981" s="80">
        <f>15*(C981-12)</f>
        <v/>
      </c>
      <c r="G981" s="80">
        <f>-COS(RADIANS(E981))*SIN(RADIANS(F981))</f>
        <v/>
      </c>
      <c r="H981" s="80">
        <f>COS(RADIANS('11_발전량_모델'!$B$17))*SIN(RADIANS(E981))-SIN(RADIANS('11_발전량_모델'!$B$17))*COS(RADIANS(E981))*COS(RADIANS(F981))</f>
        <v/>
      </c>
      <c r="I981" s="80">
        <f>SIN(RADIANS('11_발전량_모델'!$B$17))*SIN(RADIANS(E981))+COS(RADIANS('11_발전량_모델'!$B$17))*COS(RADIANS(E981))*COS(RADIANS(F981))</f>
        <v/>
      </c>
      <c r="J981" s="80">
        <f>SIN(RADIANS('11_발전량_모델'!$B$7))*SIN(RADIANS('11_발전량_모델'!$B$8))</f>
        <v/>
      </c>
      <c r="K981" s="80">
        <f>SIN(RADIANS('11_발전량_모델'!$B$7))*COS(RADIANS('11_발전량_모델'!$B$8))</f>
        <v/>
      </c>
      <c r="L981" s="80">
        <f>COS(RADIANS('11_발전량_모델'!$B$7))</f>
        <v/>
      </c>
      <c r="M981" s="80">
        <f>G981*J981+H981*K981+I981*L981</f>
        <v/>
      </c>
      <c r="N981" s="80">
        <f>MAX(0,I981)</f>
        <v/>
      </c>
      <c r="O981" s="80">
        <f>IF(I981&gt;0,MAX(0,M981),0)</f>
        <v/>
      </c>
      <c r="P981" s="80">
        <f>IF($I981&gt;0,MAX(0,$G981*SIN(RADIANS('13_시나리오비교'!$B$5))*SIN(RADIANS('13_시나리오비교'!$C$5))+$H981*SIN(RADIANS('13_시나리오비교'!$B$5))*COS(RADIANS('13_시나리오비교'!$C$5))+$I981*COS(RADIANS('13_시나리오비교'!$B$5))),0)</f>
        <v/>
      </c>
      <c r="Q981" s="80">
        <f>IF($I981&gt;0,MAX(0,$G981*SIN(RADIANS('13_시나리오비교'!$B$6))*SIN(RADIANS('13_시나리오비교'!$C$6))+$H981*SIN(RADIANS('13_시나리오비교'!$B$6))*COS(RADIANS('13_시나리오비교'!$C$6))+$I981*COS(RADIANS('13_시나리오비교'!$B$6))),0)</f>
        <v/>
      </c>
      <c r="R981" s="80">
        <f>IF($I981&gt;0,MAX(0,$G981*SIN(RADIANS('13_시나리오비교'!$B$7))*SIN(RADIANS('13_시나리오비교'!$C$7))+$H981*SIN(RADIANS('13_시나리오비교'!$B$7))*COS(RADIANS('13_시나리오비교'!$C$7))+$I981*COS(RADIANS('13_시나리오비교'!$B$7))),0)</f>
        <v/>
      </c>
      <c r="S981" s="80">
        <f>IF($I981&gt;0,MAX(0,$G981*SIN(RADIANS('13_시나리오비교'!$B$8))*SIN(RADIANS('13_시나리오비교'!$C$8))+$H981*SIN(RADIANS('13_시나리오비교'!$B$8))*COS(RADIANS('13_시나리오비교'!$C$8))+$I981*COS(RADIANS('13_시나리오비교'!$B$8))),0)</f>
        <v/>
      </c>
      <c r="T981" s="80">
        <f>IF($I981&gt;0,MAX(0,$G981*SIN(RADIANS('13_시나리오비교'!$B$9))*SIN(RADIANS('13_시나리오비교'!$C$9))+$H981*SIN(RADIANS('13_시나리오비교'!$B$9))*COS(RADIANS('13_시나리오비교'!$C$9))+$I981*COS(RADIANS('13_시나리오비교'!$B$9))),0)</f>
        <v/>
      </c>
      <c r="U981" s="80">
        <f>IF($I981&gt;0,MAX(0,$G981*SIN(RADIANS('13_시나리오비교'!$B$10))*SIN(RADIANS('13_시나리오비교'!$C$10))+$H981*SIN(RADIANS('13_시나리오비교'!$B$10))*COS(RADIANS('13_시나리오비교'!$C$10))+$I981*COS(RADIANS('13_시나리오비교'!$B$10))),0)</f>
        <v/>
      </c>
      <c r="V981" s="80">
        <f>IF($I981&gt;0,MAX(0,$G981*SIN(RADIANS('13_시나리오비교'!$B$11))*SIN(RADIANS('13_시나리오비교'!$C$11))+$H981*SIN(RADIANS('13_시나리오비교'!$B$11))*COS(RADIANS('13_시나리오비교'!$C$11))+$I981*COS(RADIANS('13_시나리오비교'!$B$11))),0)</f>
        <v/>
      </c>
      <c r="W981" s="80">
        <f>IF($I981&gt;0,MAX(0,$G981*SIN(RADIANS('13_시나리오비교'!$B$12))*SIN(RADIANS('13_시나리오비교'!$C$12))+$H981*SIN(RADIANS('13_시나리오비교'!$B$12))*COS(RADIANS('13_시나리오비교'!$C$12))+$I981*COS(RADIANS('13_시나리오비교'!$B$12))),0)</f>
        <v/>
      </c>
      <c r="X981" s="80">
        <f>IF($I981&gt;0,MAX(0,$G981*SIN(RADIANS('13_시나리오비교'!$B$13))*SIN(RADIANS('13_시나리오비교'!$C$13))+$H981*SIN(RADIANS('13_시나리오비교'!$B$13))*COS(RADIANS('13_시나리오비교'!$C$13))+$I981*COS(RADIANS('13_시나리오비교'!$B$13))),0)</f>
        <v/>
      </c>
      <c r="Y981" s="80">
        <f>IF($I981&gt;0,MAX(0,$G981*SIN(RADIANS('13_시나리오비교'!$B$14))*SIN(RADIANS('13_시나리오비교'!$C$14))+$H981*SIN(RADIANS('13_시나리오비교'!$B$14))*COS(RADIANS('13_시나리오비교'!$C$14))+$I981*COS(RADIANS('13_시나리오비교'!$B$14))),0)</f>
        <v/>
      </c>
    </row>
    <row r="982" hidden="1" outlineLevel="1">
      <c r="A982" s="79" t="n">
        <v>11</v>
      </c>
      <c r="B982" s="79" t="n">
        <v>2</v>
      </c>
      <c r="C982" s="80">
        <f>(B982-0.5)*'14_지역·상수'!$H$6</f>
        <v/>
      </c>
      <c r="D982" s="79" t="n">
        <v>318</v>
      </c>
      <c r="E982" s="80">
        <f>INDEX($C$4:$C$15,MATCH(A982,$A$4:$A$15,0))</f>
        <v/>
      </c>
      <c r="F982" s="80">
        <f>15*(C982-12)</f>
        <v/>
      </c>
      <c r="G982" s="80">
        <f>-COS(RADIANS(E982))*SIN(RADIANS(F982))</f>
        <v/>
      </c>
      <c r="H982" s="80">
        <f>COS(RADIANS('11_발전량_모델'!$B$17))*SIN(RADIANS(E982))-SIN(RADIANS('11_발전량_모델'!$B$17))*COS(RADIANS(E982))*COS(RADIANS(F982))</f>
        <v/>
      </c>
      <c r="I982" s="80">
        <f>SIN(RADIANS('11_발전량_모델'!$B$17))*SIN(RADIANS(E982))+COS(RADIANS('11_발전량_모델'!$B$17))*COS(RADIANS(E982))*COS(RADIANS(F982))</f>
        <v/>
      </c>
      <c r="J982" s="80">
        <f>SIN(RADIANS('11_발전량_모델'!$B$7))*SIN(RADIANS('11_발전량_모델'!$B$8))</f>
        <v/>
      </c>
      <c r="K982" s="80">
        <f>SIN(RADIANS('11_발전량_모델'!$B$7))*COS(RADIANS('11_발전량_모델'!$B$8))</f>
        <v/>
      </c>
      <c r="L982" s="80">
        <f>COS(RADIANS('11_발전량_모델'!$B$7))</f>
        <v/>
      </c>
      <c r="M982" s="80">
        <f>G982*J982+H982*K982+I982*L982</f>
        <v/>
      </c>
      <c r="N982" s="80">
        <f>MAX(0,I982)</f>
        <v/>
      </c>
      <c r="O982" s="80">
        <f>IF(I982&gt;0,MAX(0,M982),0)</f>
        <v/>
      </c>
      <c r="P982" s="80">
        <f>IF($I982&gt;0,MAX(0,$G982*SIN(RADIANS('13_시나리오비교'!$B$5))*SIN(RADIANS('13_시나리오비교'!$C$5))+$H982*SIN(RADIANS('13_시나리오비교'!$B$5))*COS(RADIANS('13_시나리오비교'!$C$5))+$I982*COS(RADIANS('13_시나리오비교'!$B$5))),0)</f>
        <v/>
      </c>
      <c r="Q982" s="80">
        <f>IF($I982&gt;0,MAX(0,$G982*SIN(RADIANS('13_시나리오비교'!$B$6))*SIN(RADIANS('13_시나리오비교'!$C$6))+$H982*SIN(RADIANS('13_시나리오비교'!$B$6))*COS(RADIANS('13_시나리오비교'!$C$6))+$I982*COS(RADIANS('13_시나리오비교'!$B$6))),0)</f>
        <v/>
      </c>
      <c r="R982" s="80">
        <f>IF($I982&gt;0,MAX(0,$G982*SIN(RADIANS('13_시나리오비교'!$B$7))*SIN(RADIANS('13_시나리오비교'!$C$7))+$H982*SIN(RADIANS('13_시나리오비교'!$B$7))*COS(RADIANS('13_시나리오비교'!$C$7))+$I982*COS(RADIANS('13_시나리오비교'!$B$7))),0)</f>
        <v/>
      </c>
      <c r="S982" s="80">
        <f>IF($I982&gt;0,MAX(0,$G982*SIN(RADIANS('13_시나리오비교'!$B$8))*SIN(RADIANS('13_시나리오비교'!$C$8))+$H982*SIN(RADIANS('13_시나리오비교'!$B$8))*COS(RADIANS('13_시나리오비교'!$C$8))+$I982*COS(RADIANS('13_시나리오비교'!$B$8))),0)</f>
        <v/>
      </c>
      <c r="T982" s="80">
        <f>IF($I982&gt;0,MAX(0,$G982*SIN(RADIANS('13_시나리오비교'!$B$9))*SIN(RADIANS('13_시나리오비교'!$C$9))+$H982*SIN(RADIANS('13_시나리오비교'!$B$9))*COS(RADIANS('13_시나리오비교'!$C$9))+$I982*COS(RADIANS('13_시나리오비교'!$B$9))),0)</f>
        <v/>
      </c>
      <c r="U982" s="80">
        <f>IF($I982&gt;0,MAX(0,$G982*SIN(RADIANS('13_시나리오비교'!$B$10))*SIN(RADIANS('13_시나리오비교'!$C$10))+$H982*SIN(RADIANS('13_시나리오비교'!$B$10))*COS(RADIANS('13_시나리오비교'!$C$10))+$I982*COS(RADIANS('13_시나리오비교'!$B$10))),0)</f>
        <v/>
      </c>
      <c r="V982" s="80">
        <f>IF($I982&gt;0,MAX(0,$G982*SIN(RADIANS('13_시나리오비교'!$B$11))*SIN(RADIANS('13_시나리오비교'!$C$11))+$H982*SIN(RADIANS('13_시나리오비교'!$B$11))*COS(RADIANS('13_시나리오비교'!$C$11))+$I982*COS(RADIANS('13_시나리오비교'!$B$11))),0)</f>
        <v/>
      </c>
      <c r="W982" s="80">
        <f>IF($I982&gt;0,MAX(0,$G982*SIN(RADIANS('13_시나리오비교'!$B$12))*SIN(RADIANS('13_시나리오비교'!$C$12))+$H982*SIN(RADIANS('13_시나리오비교'!$B$12))*COS(RADIANS('13_시나리오비교'!$C$12))+$I982*COS(RADIANS('13_시나리오비교'!$B$12))),0)</f>
        <v/>
      </c>
      <c r="X982" s="80">
        <f>IF($I982&gt;0,MAX(0,$G982*SIN(RADIANS('13_시나리오비교'!$B$13))*SIN(RADIANS('13_시나리오비교'!$C$13))+$H982*SIN(RADIANS('13_시나리오비교'!$B$13))*COS(RADIANS('13_시나리오비교'!$C$13))+$I982*COS(RADIANS('13_시나리오비교'!$B$13))),0)</f>
        <v/>
      </c>
      <c r="Y982" s="80">
        <f>IF($I982&gt;0,MAX(0,$G982*SIN(RADIANS('13_시나리오비교'!$B$14))*SIN(RADIANS('13_시나리오비교'!$C$14))+$H982*SIN(RADIANS('13_시나리오비교'!$B$14))*COS(RADIANS('13_시나리오비교'!$C$14))+$I982*COS(RADIANS('13_시나리오비교'!$B$14))),0)</f>
        <v/>
      </c>
    </row>
    <row r="983" hidden="1" outlineLevel="1">
      <c r="A983" s="79" t="n">
        <v>11</v>
      </c>
      <c r="B983" s="79" t="n">
        <v>3</v>
      </c>
      <c r="C983" s="80">
        <f>(B983-0.5)*'14_지역·상수'!$H$6</f>
        <v/>
      </c>
      <c r="D983" s="79" t="n">
        <v>318</v>
      </c>
      <c r="E983" s="80">
        <f>INDEX($C$4:$C$15,MATCH(A983,$A$4:$A$15,0))</f>
        <v/>
      </c>
      <c r="F983" s="80">
        <f>15*(C983-12)</f>
        <v/>
      </c>
      <c r="G983" s="80">
        <f>-COS(RADIANS(E983))*SIN(RADIANS(F983))</f>
        <v/>
      </c>
      <c r="H983" s="80">
        <f>COS(RADIANS('11_발전량_모델'!$B$17))*SIN(RADIANS(E983))-SIN(RADIANS('11_발전량_모델'!$B$17))*COS(RADIANS(E983))*COS(RADIANS(F983))</f>
        <v/>
      </c>
      <c r="I983" s="80">
        <f>SIN(RADIANS('11_발전량_모델'!$B$17))*SIN(RADIANS(E983))+COS(RADIANS('11_발전량_모델'!$B$17))*COS(RADIANS(E983))*COS(RADIANS(F983))</f>
        <v/>
      </c>
      <c r="J983" s="80">
        <f>SIN(RADIANS('11_발전량_모델'!$B$7))*SIN(RADIANS('11_발전량_모델'!$B$8))</f>
        <v/>
      </c>
      <c r="K983" s="80">
        <f>SIN(RADIANS('11_발전량_모델'!$B$7))*COS(RADIANS('11_발전량_모델'!$B$8))</f>
        <v/>
      </c>
      <c r="L983" s="80">
        <f>COS(RADIANS('11_발전량_모델'!$B$7))</f>
        <v/>
      </c>
      <c r="M983" s="80">
        <f>G983*J983+H983*K983+I983*L983</f>
        <v/>
      </c>
      <c r="N983" s="80">
        <f>MAX(0,I983)</f>
        <v/>
      </c>
      <c r="O983" s="80">
        <f>IF(I983&gt;0,MAX(0,M983),0)</f>
        <v/>
      </c>
      <c r="P983" s="80">
        <f>IF($I983&gt;0,MAX(0,$G983*SIN(RADIANS('13_시나리오비교'!$B$5))*SIN(RADIANS('13_시나리오비교'!$C$5))+$H983*SIN(RADIANS('13_시나리오비교'!$B$5))*COS(RADIANS('13_시나리오비교'!$C$5))+$I983*COS(RADIANS('13_시나리오비교'!$B$5))),0)</f>
        <v/>
      </c>
      <c r="Q983" s="80">
        <f>IF($I983&gt;0,MAX(0,$G983*SIN(RADIANS('13_시나리오비교'!$B$6))*SIN(RADIANS('13_시나리오비교'!$C$6))+$H983*SIN(RADIANS('13_시나리오비교'!$B$6))*COS(RADIANS('13_시나리오비교'!$C$6))+$I983*COS(RADIANS('13_시나리오비교'!$B$6))),0)</f>
        <v/>
      </c>
      <c r="R983" s="80">
        <f>IF($I983&gt;0,MAX(0,$G983*SIN(RADIANS('13_시나리오비교'!$B$7))*SIN(RADIANS('13_시나리오비교'!$C$7))+$H983*SIN(RADIANS('13_시나리오비교'!$B$7))*COS(RADIANS('13_시나리오비교'!$C$7))+$I983*COS(RADIANS('13_시나리오비교'!$B$7))),0)</f>
        <v/>
      </c>
      <c r="S983" s="80">
        <f>IF($I983&gt;0,MAX(0,$G983*SIN(RADIANS('13_시나리오비교'!$B$8))*SIN(RADIANS('13_시나리오비교'!$C$8))+$H983*SIN(RADIANS('13_시나리오비교'!$B$8))*COS(RADIANS('13_시나리오비교'!$C$8))+$I983*COS(RADIANS('13_시나리오비교'!$B$8))),0)</f>
        <v/>
      </c>
      <c r="T983" s="80">
        <f>IF($I983&gt;0,MAX(0,$G983*SIN(RADIANS('13_시나리오비교'!$B$9))*SIN(RADIANS('13_시나리오비교'!$C$9))+$H983*SIN(RADIANS('13_시나리오비교'!$B$9))*COS(RADIANS('13_시나리오비교'!$C$9))+$I983*COS(RADIANS('13_시나리오비교'!$B$9))),0)</f>
        <v/>
      </c>
      <c r="U983" s="80">
        <f>IF($I983&gt;0,MAX(0,$G983*SIN(RADIANS('13_시나리오비교'!$B$10))*SIN(RADIANS('13_시나리오비교'!$C$10))+$H983*SIN(RADIANS('13_시나리오비교'!$B$10))*COS(RADIANS('13_시나리오비교'!$C$10))+$I983*COS(RADIANS('13_시나리오비교'!$B$10))),0)</f>
        <v/>
      </c>
      <c r="V983" s="80">
        <f>IF($I983&gt;0,MAX(0,$G983*SIN(RADIANS('13_시나리오비교'!$B$11))*SIN(RADIANS('13_시나리오비교'!$C$11))+$H983*SIN(RADIANS('13_시나리오비교'!$B$11))*COS(RADIANS('13_시나리오비교'!$C$11))+$I983*COS(RADIANS('13_시나리오비교'!$B$11))),0)</f>
        <v/>
      </c>
      <c r="W983" s="80">
        <f>IF($I983&gt;0,MAX(0,$G983*SIN(RADIANS('13_시나리오비교'!$B$12))*SIN(RADIANS('13_시나리오비교'!$C$12))+$H983*SIN(RADIANS('13_시나리오비교'!$B$12))*COS(RADIANS('13_시나리오비교'!$C$12))+$I983*COS(RADIANS('13_시나리오비교'!$B$12))),0)</f>
        <v/>
      </c>
      <c r="X983" s="80">
        <f>IF($I983&gt;0,MAX(0,$G983*SIN(RADIANS('13_시나리오비교'!$B$13))*SIN(RADIANS('13_시나리오비교'!$C$13))+$H983*SIN(RADIANS('13_시나리오비교'!$B$13))*COS(RADIANS('13_시나리오비교'!$C$13))+$I983*COS(RADIANS('13_시나리오비교'!$B$13))),0)</f>
        <v/>
      </c>
      <c r="Y983" s="80">
        <f>IF($I983&gt;0,MAX(0,$G983*SIN(RADIANS('13_시나리오비교'!$B$14))*SIN(RADIANS('13_시나리오비교'!$C$14))+$H983*SIN(RADIANS('13_시나리오비교'!$B$14))*COS(RADIANS('13_시나리오비교'!$C$14))+$I983*COS(RADIANS('13_시나리오비교'!$B$14))),0)</f>
        <v/>
      </c>
    </row>
    <row r="984" hidden="1" outlineLevel="1">
      <c r="A984" s="79" t="n">
        <v>11</v>
      </c>
      <c r="B984" s="79" t="n">
        <v>4</v>
      </c>
      <c r="C984" s="80">
        <f>(B984-0.5)*'14_지역·상수'!$H$6</f>
        <v/>
      </c>
      <c r="D984" s="79" t="n">
        <v>318</v>
      </c>
      <c r="E984" s="80">
        <f>INDEX($C$4:$C$15,MATCH(A984,$A$4:$A$15,0))</f>
        <v/>
      </c>
      <c r="F984" s="80">
        <f>15*(C984-12)</f>
        <v/>
      </c>
      <c r="G984" s="80">
        <f>-COS(RADIANS(E984))*SIN(RADIANS(F984))</f>
        <v/>
      </c>
      <c r="H984" s="80">
        <f>COS(RADIANS('11_발전량_모델'!$B$17))*SIN(RADIANS(E984))-SIN(RADIANS('11_발전량_모델'!$B$17))*COS(RADIANS(E984))*COS(RADIANS(F984))</f>
        <v/>
      </c>
      <c r="I984" s="80">
        <f>SIN(RADIANS('11_발전량_모델'!$B$17))*SIN(RADIANS(E984))+COS(RADIANS('11_발전량_모델'!$B$17))*COS(RADIANS(E984))*COS(RADIANS(F984))</f>
        <v/>
      </c>
      <c r="J984" s="80">
        <f>SIN(RADIANS('11_발전량_모델'!$B$7))*SIN(RADIANS('11_발전량_모델'!$B$8))</f>
        <v/>
      </c>
      <c r="K984" s="80">
        <f>SIN(RADIANS('11_발전량_모델'!$B$7))*COS(RADIANS('11_발전량_모델'!$B$8))</f>
        <v/>
      </c>
      <c r="L984" s="80">
        <f>COS(RADIANS('11_발전량_모델'!$B$7))</f>
        <v/>
      </c>
      <c r="M984" s="80">
        <f>G984*J984+H984*K984+I984*L984</f>
        <v/>
      </c>
      <c r="N984" s="80">
        <f>MAX(0,I984)</f>
        <v/>
      </c>
      <c r="O984" s="80">
        <f>IF(I984&gt;0,MAX(0,M984),0)</f>
        <v/>
      </c>
      <c r="P984" s="80">
        <f>IF($I984&gt;0,MAX(0,$G984*SIN(RADIANS('13_시나리오비교'!$B$5))*SIN(RADIANS('13_시나리오비교'!$C$5))+$H984*SIN(RADIANS('13_시나리오비교'!$B$5))*COS(RADIANS('13_시나리오비교'!$C$5))+$I984*COS(RADIANS('13_시나리오비교'!$B$5))),0)</f>
        <v/>
      </c>
      <c r="Q984" s="80">
        <f>IF($I984&gt;0,MAX(0,$G984*SIN(RADIANS('13_시나리오비교'!$B$6))*SIN(RADIANS('13_시나리오비교'!$C$6))+$H984*SIN(RADIANS('13_시나리오비교'!$B$6))*COS(RADIANS('13_시나리오비교'!$C$6))+$I984*COS(RADIANS('13_시나리오비교'!$B$6))),0)</f>
        <v/>
      </c>
      <c r="R984" s="80">
        <f>IF($I984&gt;0,MAX(0,$G984*SIN(RADIANS('13_시나리오비교'!$B$7))*SIN(RADIANS('13_시나리오비교'!$C$7))+$H984*SIN(RADIANS('13_시나리오비교'!$B$7))*COS(RADIANS('13_시나리오비교'!$C$7))+$I984*COS(RADIANS('13_시나리오비교'!$B$7))),0)</f>
        <v/>
      </c>
      <c r="S984" s="80">
        <f>IF($I984&gt;0,MAX(0,$G984*SIN(RADIANS('13_시나리오비교'!$B$8))*SIN(RADIANS('13_시나리오비교'!$C$8))+$H984*SIN(RADIANS('13_시나리오비교'!$B$8))*COS(RADIANS('13_시나리오비교'!$C$8))+$I984*COS(RADIANS('13_시나리오비교'!$B$8))),0)</f>
        <v/>
      </c>
      <c r="T984" s="80">
        <f>IF($I984&gt;0,MAX(0,$G984*SIN(RADIANS('13_시나리오비교'!$B$9))*SIN(RADIANS('13_시나리오비교'!$C$9))+$H984*SIN(RADIANS('13_시나리오비교'!$B$9))*COS(RADIANS('13_시나리오비교'!$C$9))+$I984*COS(RADIANS('13_시나리오비교'!$B$9))),0)</f>
        <v/>
      </c>
      <c r="U984" s="80">
        <f>IF($I984&gt;0,MAX(0,$G984*SIN(RADIANS('13_시나리오비교'!$B$10))*SIN(RADIANS('13_시나리오비교'!$C$10))+$H984*SIN(RADIANS('13_시나리오비교'!$B$10))*COS(RADIANS('13_시나리오비교'!$C$10))+$I984*COS(RADIANS('13_시나리오비교'!$B$10))),0)</f>
        <v/>
      </c>
      <c r="V984" s="80">
        <f>IF($I984&gt;0,MAX(0,$G984*SIN(RADIANS('13_시나리오비교'!$B$11))*SIN(RADIANS('13_시나리오비교'!$C$11))+$H984*SIN(RADIANS('13_시나리오비교'!$B$11))*COS(RADIANS('13_시나리오비교'!$C$11))+$I984*COS(RADIANS('13_시나리오비교'!$B$11))),0)</f>
        <v/>
      </c>
      <c r="W984" s="80">
        <f>IF($I984&gt;0,MAX(0,$G984*SIN(RADIANS('13_시나리오비교'!$B$12))*SIN(RADIANS('13_시나리오비교'!$C$12))+$H984*SIN(RADIANS('13_시나리오비교'!$B$12))*COS(RADIANS('13_시나리오비교'!$C$12))+$I984*COS(RADIANS('13_시나리오비교'!$B$12))),0)</f>
        <v/>
      </c>
      <c r="X984" s="80">
        <f>IF($I984&gt;0,MAX(0,$G984*SIN(RADIANS('13_시나리오비교'!$B$13))*SIN(RADIANS('13_시나리오비교'!$C$13))+$H984*SIN(RADIANS('13_시나리오비교'!$B$13))*COS(RADIANS('13_시나리오비교'!$C$13))+$I984*COS(RADIANS('13_시나리오비교'!$B$13))),0)</f>
        <v/>
      </c>
      <c r="Y984" s="80">
        <f>IF($I984&gt;0,MAX(0,$G984*SIN(RADIANS('13_시나리오비교'!$B$14))*SIN(RADIANS('13_시나리오비교'!$C$14))+$H984*SIN(RADIANS('13_시나리오비교'!$B$14))*COS(RADIANS('13_시나리오비교'!$C$14))+$I984*COS(RADIANS('13_시나리오비교'!$B$14))),0)</f>
        <v/>
      </c>
    </row>
    <row r="985" hidden="1" outlineLevel="1">
      <c r="A985" s="79" t="n">
        <v>11</v>
      </c>
      <c r="B985" s="79" t="n">
        <v>5</v>
      </c>
      <c r="C985" s="80">
        <f>(B985-0.5)*'14_지역·상수'!$H$6</f>
        <v/>
      </c>
      <c r="D985" s="79" t="n">
        <v>318</v>
      </c>
      <c r="E985" s="80">
        <f>INDEX($C$4:$C$15,MATCH(A985,$A$4:$A$15,0))</f>
        <v/>
      </c>
      <c r="F985" s="80">
        <f>15*(C985-12)</f>
        <v/>
      </c>
      <c r="G985" s="80">
        <f>-COS(RADIANS(E985))*SIN(RADIANS(F985))</f>
        <v/>
      </c>
      <c r="H985" s="80">
        <f>COS(RADIANS('11_발전량_모델'!$B$17))*SIN(RADIANS(E985))-SIN(RADIANS('11_발전량_모델'!$B$17))*COS(RADIANS(E985))*COS(RADIANS(F985))</f>
        <v/>
      </c>
      <c r="I985" s="80">
        <f>SIN(RADIANS('11_발전량_모델'!$B$17))*SIN(RADIANS(E985))+COS(RADIANS('11_발전량_모델'!$B$17))*COS(RADIANS(E985))*COS(RADIANS(F985))</f>
        <v/>
      </c>
      <c r="J985" s="80">
        <f>SIN(RADIANS('11_발전량_모델'!$B$7))*SIN(RADIANS('11_발전량_모델'!$B$8))</f>
        <v/>
      </c>
      <c r="K985" s="80">
        <f>SIN(RADIANS('11_발전량_모델'!$B$7))*COS(RADIANS('11_발전량_모델'!$B$8))</f>
        <v/>
      </c>
      <c r="L985" s="80">
        <f>COS(RADIANS('11_발전량_모델'!$B$7))</f>
        <v/>
      </c>
      <c r="M985" s="80">
        <f>G985*J985+H985*K985+I985*L985</f>
        <v/>
      </c>
      <c r="N985" s="80">
        <f>MAX(0,I985)</f>
        <v/>
      </c>
      <c r="O985" s="80">
        <f>IF(I985&gt;0,MAX(0,M985),0)</f>
        <v/>
      </c>
      <c r="P985" s="80">
        <f>IF($I985&gt;0,MAX(0,$G985*SIN(RADIANS('13_시나리오비교'!$B$5))*SIN(RADIANS('13_시나리오비교'!$C$5))+$H985*SIN(RADIANS('13_시나리오비교'!$B$5))*COS(RADIANS('13_시나리오비교'!$C$5))+$I985*COS(RADIANS('13_시나리오비교'!$B$5))),0)</f>
        <v/>
      </c>
      <c r="Q985" s="80">
        <f>IF($I985&gt;0,MAX(0,$G985*SIN(RADIANS('13_시나리오비교'!$B$6))*SIN(RADIANS('13_시나리오비교'!$C$6))+$H985*SIN(RADIANS('13_시나리오비교'!$B$6))*COS(RADIANS('13_시나리오비교'!$C$6))+$I985*COS(RADIANS('13_시나리오비교'!$B$6))),0)</f>
        <v/>
      </c>
      <c r="R985" s="80">
        <f>IF($I985&gt;0,MAX(0,$G985*SIN(RADIANS('13_시나리오비교'!$B$7))*SIN(RADIANS('13_시나리오비교'!$C$7))+$H985*SIN(RADIANS('13_시나리오비교'!$B$7))*COS(RADIANS('13_시나리오비교'!$C$7))+$I985*COS(RADIANS('13_시나리오비교'!$B$7))),0)</f>
        <v/>
      </c>
      <c r="S985" s="80">
        <f>IF($I985&gt;0,MAX(0,$G985*SIN(RADIANS('13_시나리오비교'!$B$8))*SIN(RADIANS('13_시나리오비교'!$C$8))+$H985*SIN(RADIANS('13_시나리오비교'!$B$8))*COS(RADIANS('13_시나리오비교'!$C$8))+$I985*COS(RADIANS('13_시나리오비교'!$B$8))),0)</f>
        <v/>
      </c>
      <c r="T985" s="80">
        <f>IF($I985&gt;0,MAX(0,$G985*SIN(RADIANS('13_시나리오비교'!$B$9))*SIN(RADIANS('13_시나리오비교'!$C$9))+$H985*SIN(RADIANS('13_시나리오비교'!$B$9))*COS(RADIANS('13_시나리오비교'!$C$9))+$I985*COS(RADIANS('13_시나리오비교'!$B$9))),0)</f>
        <v/>
      </c>
      <c r="U985" s="80">
        <f>IF($I985&gt;0,MAX(0,$G985*SIN(RADIANS('13_시나리오비교'!$B$10))*SIN(RADIANS('13_시나리오비교'!$C$10))+$H985*SIN(RADIANS('13_시나리오비교'!$B$10))*COS(RADIANS('13_시나리오비교'!$C$10))+$I985*COS(RADIANS('13_시나리오비교'!$B$10))),0)</f>
        <v/>
      </c>
      <c r="V985" s="80">
        <f>IF($I985&gt;0,MAX(0,$G985*SIN(RADIANS('13_시나리오비교'!$B$11))*SIN(RADIANS('13_시나리오비교'!$C$11))+$H985*SIN(RADIANS('13_시나리오비교'!$B$11))*COS(RADIANS('13_시나리오비교'!$C$11))+$I985*COS(RADIANS('13_시나리오비교'!$B$11))),0)</f>
        <v/>
      </c>
      <c r="W985" s="80">
        <f>IF($I985&gt;0,MAX(0,$G985*SIN(RADIANS('13_시나리오비교'!$B$12))*SIN(RADIANS('13_시나리오비교'!$C$12))+$H985*SIN(RADIANS('13_시나리오비교'!$B$12))*COS(RADIANS('13_시나리오비교'!$C$12))+$I985*COS(RADIANS('13_시나리오비교'!$B$12))),0)</f>
        <v/>
      </c>
      <c r="X985" s="80">
        <f>IF($I985&gt;0,MAX(0,$G985*SIN(RADIANS('13_시나리오비교'!$B$13))*SIN(RADIANS('13_시나리오비교'!$C$13))+$H985*SIN(RADIANS('13_시나리오비교'!$B$13))*COS(RADIANS('13_시나리오비교'!$C$13))+$I985*COS(RADIANS('13_시나리오비교'!$B$13))),0)</f>
        <v/>
      </c>
      <c r="Y985" s="80">
        <f>IF($I985&gt;0,MAX(0,$G985*SIN(RADIANS('13_시나리오비교'!$B$14))*SIN(RADIANS('13_시나리오비교'!$C$14))+$H985*SIN(RADIANS('13_시나리오비교'!$B$14))*COS(RADIANS('13_시나리오비교'!$C$14))+$I985*COS(RADIANS('13_시나리오비교'!$B$14))),0)</f>
        <v/>
      </c>
    </row>
    <row r="986" hidden="1" outlineLevel="1">
      <c r="A986" s="79" t="n">
        <v>11</v>
      </c>
      <c r="B986" s="79" t="n">
        <v>6</v>
      </c>
      <c r="C986" s="80">
        <f>(B986-0.5)*'14_지역·상수'!$H$6</f>
        <v/>
      </c>
      <c r="D986" s="79" t="n">
        <v>318</v>
      </c>
      <c r="E986" s="80">
        <f>INDEX($C$4:$C$15,MATCH(A986,$A$4:$A$15,0))</f>
        <v/>
      </c>
      <c r="F986" s="80">
        <f>15*(C986-12)</f>
        <v/>
      </c>
      <c r="G986" s="80">
        <f>-COS(RADIANS(E986))*SIN(RADIANS(F986))</f>
        <v/>
      </c>
      <c r="H986" s="80">
        <f>COS(RADIANS('11_발전량_모델'!$B$17))*SIN(RADIANS(E986))-SIN(RADIANS('11_발전량_모델'!$B$17))*COS(RADIANS(E986))*COS(RADIANS(F986))</f>
        <v/>
      </c>
      <c r="I986" s="80">
        <f>SIN(RADIANS('11_발전량_모델'!$B$17))*SIN(RADIANS(E986))+COS(RADIANS('11_발전량_모델'!$B$17))*COS(RADIANS(E986))*COS(RADIANS(F986))</f>
        <v/>
      </c>
      <c r="J986" s="80">
        <f>SIN(RADIANS('11_발전량_모델'!$B$7))*SIN(RADIANS('11_발전량_모델'!$B$8))</f>
        <v/>
      </c>
      <c r="K986" s="80">
        <f>SIN(RADIANS('11_발전량_모델'!$B$7))*COS(RADIANS('11_발전량_모델'!$B$8))</f>
        <v/>
      </c>
      <c r="L986" s="80">
        <f>COS(RADIANS('11_발전량_모델'!$B$7))</f>
        <v/>
      </c>
      <c r="M986" s="80">
        <f>G986*J986+H986*K986+I986*L986</f>
        <v/>
      </c>
      <c r="N986" s="80">
        <f>MAX(0,I986)</f>
        <v/>
      </c>
      <c r="O986" s="80">
        <f>IF(I986&gt;0,MAX(0,M986),0)</f>
        <v/>
      </c>
      <c r="P986" s="80">
        <f>IF($I986&gt;0,MAX(0,$G986*SIN(RADIANS('13_시나리오비교'!$B$5))*SIN(RADIANS('13_시나리오비교'!$C$5))+$H986*SIN(RADIANS('13_시나리오비교'!$B$5))*COS(RADIANS('13_시나리오비교'!$C$5))+$I986*COS(RADIANS('13_시나리오비교'!$B$5))),0)</f>
        <v/>
      </c>
      <c r="Q986" s="80">
        <f>IF($I986&gt;0,MAX(0,$G986*SIN(RADIANS('13_시나리오비교'!$B$6))*SIN(RADIANS('13_시나리오비교'!$C$6))+$H986*SIN(RADIANS('13_시나리오비교'!$B$6))*COS(RADIANS('13_시나리오비교'!$C$6))+$I986*COS(RADIANS('13_시나리오비교'!$B$6))),0)</f>
        <v/>
      </c>
      <c r="R986" s="80">
        <f>IF($I986&gt;0,MAX(0,$G986*SIN(RADIANS('13_시나리오비교'!$B$7))*SIN(RADIANS('13_시나리오비교'!$C$7))+$H986*SIN(RADIANS('13_시나리오비교'!$B$7))*COS(RADIANS('13_시나리오비교'!$C$7))+$I986*COS(RADIANS('13_시나리오비교'!$B$7))),0)</f>
        <v/>
      </c>
      <c r="S986" s="80">
        <f>IF($I986&gt;0,MAX(0,$G986*SIN(RADIANS('13_시나리오비교'!$B$8))*SIN(RADIANS('13_시나리오비교'!$C$8))+$H986*SIN(RADIANS('13_시나리오비교'!$B$8))*COS(RADIANS('13_시나리오비교'!$C$8))+$I986*COS(RADIANS('13_시나리오비교'!$B$8))),0)</f>
        <v/>
      </c>
      <c r="T986" s="80">
        <f>IF($I986&gt;0,MAX(0,$G986*SIN(RADIANS('13_시나리오비교'!$B$9))*SIN(RADIANS('13_시나리오비교'!$C$9))+$H986*SIN(RADIANS('13_시나리오비교'!$B$9))*COS(RADIANS('13_시나리오비교'!$C$9))+$I986*COS(RADIANS('13_시나리오비교'!$B$9))),0)</f>
        <v/>
      </c>
      <c r="U986" s="80">
        <f>IF($I986&gt;0,MAX(0,$G986*SIN(RADIANS('13_시나리오비교'!$B$10))*SIN(RADIANS('13_시나리오비교'!$C$10))+$H986*SIN(RADIANS('13_시나리오비교'!$B$10))*COS(RADIANS('13_시나리오비교'!$C$10))+$I986*COS(RADIANS('13_시나리오비교'!$B$10))),0)</f>
        <v/>
      </c>
      <c r="V986" s="80">
        <f>IF($I986&gt;0,MAX(0,$G986*SIN(RADIANS('13_시나리오비교'!$B$11))*SIN(RADIANS('13_시나리오비교'!$C$11))+$H986*SIN(RADIANS('13_시나리오비교'!$B$11))*COS(RADIANS('13_시나리오비교'!$C$11))+$I986*COS(RADIANS('13_시나리오비교'!$B$11))),0)</f>
        <v/>
      </c>
      <c r="W986" s="80">
        <f>IF($I986&gt;0,MAX(0,$G986*SIN(RADIANS('13_시나리오비교'!$B$12))*SIN(RADIANS('13_시나리오비교'!$C$12))+$H986*SIN(RADIANS('13_시나리오비교'!$B$12))*COS(RADIANS('13_시나리오비교'!$C$12))+$I986*COS(RADIANS('13_시나리오비교'!$B$12))),0)</f>
        <v/>
      </c>
      <c r="X986" s="80">
        <f>IF($I986&gt;0,MAX(0,$G986*SIN(RADIANS('13_시나리오비교'!$B$13))*SIN(RADIANS('13_시나리오비교'!$C$13))+$H986*SIN(RADIANS('13_시나리오비교'!$B$13))*COS(RADIANS('13_시나리오비교'!$C$13))+$I986*COS(RADIANS('13_시나리오비교'!$B$13))),0)</f>
        <v/>
      </c>
      <c r="Y986" s="80">
        <f>IF($I986&gt;0,MAX(0,$G986*SIN(RADIANS('13_시나리오비교'!$B$14))*SIN(RADIANS('13_시나리오비교'!$C$14))+$H986*SIN(RADIANS('13_시나리오비교'!$B$14))*COS(RADIANS('13_시나리오비교'!$C$14))+$I986*COS(RADIANS('13_시나리오비교'!$B$14))),0)</f>
        <v/>
      </c>
    </row>
    <row r="987" hidden="1" outlineLevel="1">
      <c r="A987" s="79" t="n">
        <v>11</v>
      </c>
      <c r="B987" s="79" t="n">
        <v>7</v>
      </c>
      <c r="C987" s="80">
        <f>(B987-0.5)*'14_지역·상수'!$H$6</f>
        <v/>
      </c>
      <c r="D987" s="79" t="n">
        <v>318</v>
      </c>
      <c r="E987" s="80">
        <f>INDEX($C$4:$C$15,MATCH(A987,$A$4:$A$15,0))</f>
        <v/>
      </c>
      <c r="F987" s="80">
        <f>15*(C987-12)</f>
        <v/>
      </c>
      <c r="G987" s="80">
        <f>-COS(RADIANS(E987))*SIN(RADIANS(F987))</f>
        <v/>
      </c>
      <c r="H987" s="80">
        <f>COS(RADIANS('11_발전량_모델'!$B$17))*SIN(RADIANS(E987))-SIN(RADIANS('11_발전량_모델'!$B$17))*COS(RADIANS(E987))*COS(RADIANS(F987))</f>
        <v/>
      </c>
      <c r="I987" s="80">
        <f>SIN(RADIANS('11_발전량_모델'!$B$17))*SIN(RADIANS(E987))+COS(RADIANS('11_발전량_모델'!$B$17))*COS(RADIANS(E987))*COS(RADIANS(F987))</f>
        <v/>
      </c>
      <c r="J987" s="80">
        <f>SIN(RADIANS('11_발전량_모델'!$B$7))*SIN(RADIANS('11_발전량_모델'!$B$8))</f>
        <v/>
      </c>
      <c r="K987" s="80">
        <f>SIN(RADIANS('11_발전량_모델'!$B$7))*COS(RADIANS('11_발전량_모델'!$B$8))</f>
        <v/>
      </c>
      <c r="L987" s="80">
        <f>COS(RADIANS('11_발전량_모델'!$B$7))</f>
        <v/>
      </c>
      <c r="M987" s="80">
        <f>G987*J987+H987*K987+I987*L987</f>
        <v/>
      </c>
      <c r="N987" s="80">
        <f>MAX(0,I987)</f>
        <v/>
      </c>
      <c r="O987" s="80">
        <f>IF(I987&gt;0,MAX(0,M987),0)</f>
        <v/>
      </c>
      <c r="P987" s="80">
        <f>IF($I987&gt;0,MAX(0,$G987*SIN(RADIANS('13_시나리오비교'!$B$5))*SIN(RADIANS('13_시나리오비교'!$C$5))+$H987*SIN(RADIANS('13_시나리오비교'!$B$5))*COS(RADIANS('13_시나리오비교'!$C$5))+$I987*COS(RADIANS('13_시나리오비교'!$B$5))),0)</f>
        <v/>
      </c>
      <c r="Q987" s="80">
        <f>IF($I987&gt;0,MAX(0,$G987*SIN(RADIANS('13_시나리오비교'!$B$6))*SIN(RADIANS('13_시나리오비교'!$C$6))+$H987*SIN(RADIANS('13_시나리오비교'!$B$6))*COS(RADIANS('13_시나리오비교'!$C$6))+$I987*COS(RADIANS('13_시나리오비교'!$B$6))),0)</f>
        <v/>
      </c>
      <c r="R987" s="80">
        <f>IF($I987&gt;0,MAX(0,$G987*SIN(RADIANS('13_시나리오비교'!$B$7))*SIN(RADIANS('13_시나리오비교'!$C$7))+$H987*SIN(RADIANS('13_시나리오비교'!$B$7))*COS(RADIANS('13_시나리오비교'!$C$7))+$I987*COS(RADIANS('13_시나리오비교'!$B$7))),0)</f>
        <v/>
      </c>
      <c r="S987" s="80">
        <f>IF($I987&gt;0,MAX(0,$G987*SIN(RADIANS('13_시나리오비교'!$B$8))*SIN(RADIANS('13_시나리오비교'!$C$8))+$H987*SIN(RADIANS('13_시나리오비교'!$B$8))*COS(RADIANS('13_시나리오비교'!$C$8))+$I987*COS(RADIANS('13_시나리오비교'!$B$8))),0)</f>
        <v/>
      </c>
      <c r="T987" s="80">
        <f>IF($I987&gt;0,MAX(0,$G987*SIN(RADIANS('13_시나리오비교'!$B$9))*SIN(RADIANS('13_시나리오비교'!$C$9))+$H987*SIN(RADIANS('13_시나리오비교'!$B$9))*COS(RADIANS('13_시나리오비교'!$C$9))+$I987*COS(RADIANS('13_시나리오비교'!$B$9))),0)</f>
        <v/>
      </c>
      <c r="U987" s="80">
        <f>IF($I987&gt;0,MAX(0,$G987*SIN(RADIANS('13_시나리오비교'!$B$10))*SIN(RADIANS('13_시나리오비교'!$C$10))+$H987*SIN(RADIANS('13_시나리오비교'!$B$10))*COS(RADIANS('13_시나리오비교'!$C$10))+$I987*COS(RADIANS('13_시나리오비교'!$B$10))),0)</f>
        <v/>
      </c>
      <c r="V987" s="80">
        <f>IF($I987&gt;0,MAX(0,$G987*SIN(RADIANS('13_시나리오비교'!$B$11))*SIN(RADIANS('13_시나리오비교'!$C$11))+$H987*SIN(RADIANS('13_시나리오비교'!$B$11))*COS(RADIANS('13_시나리오비교'!$C$11))+$I987*COS(RADIANS('13_시나리오비교'!$B$11))),0)</f>
        <v/>
      </c>
      <c r="W987" s="80">
        <f>IF($I987&gt;0,MAX(0,$G987*SIN(RADIANS('13_시나리오비교'!$B$12))*SIN(RADIANS('13_시나리오비교'!$C$12))+$H987*SIN(RADIANS('13_시나리오비교'!$B$12))*COS(RADIANS('13_시나리오비교'!$C$12))+$I987*COS(RADIANS('13_시나리오비교'!$B$12))),0)</f>
        <v/>
      </c>
      <c r="X987" s="80">
        <f>IF($I987&gt;0,MAX(0,$G987*SIN(RADIANS('13_시나리오비교'!$B$13))*SIN(RADIANS('13_시나리오비교'!$C$13))+$H987*SIN(RADIANS('13_시나리오비교'!$B$13))*COS(RADIANS('13_시나리오비교'!$C$13))+$I987*COS(RADIANS('13_시나리오비교'!$B$13))),0)</f>
        <v/>
      </c>
      <c r="Y987" s="80">
        <f>IF($I987&gt;0,MAX(0,$G987*SIN(RADIANS('13_시나리오비교'!$B$14))*SIN(RADIANS('13_시나리오비교'!$C$14))+$H987*SIN(RADIANS('13_시나리오비교'!$B$14))*COS(RADIANS('13_시나리오비교'!$C$14))+$I987*COS(RADIANS('13_시나리오비교'!$B$14))),0)</f>
        <v/>
      </c>
    </row>
    <row r="988" hidden="1" outlineLevel="1">
      <c r="A988" s="79" t="n">
        <v>11</v>
      </c>
      <c r="B988" s="79" t="n">
        <v>8</v>
      </c>
      <c r="C988" s="80">
        <f>(B988-0.5)*'14_지역·상수'!$H$6</f>
        <v/>
      </c>
      <c r="D988" s="79" t="n">
        <v>318</v>
      </c>
      <c r="E988" s="80">
        <f>INDEX($C$4:$C$15,MATCH(A988,$A$4:$A$15,0))</f>
        <v/>
      </c>
      <c r="F988" s="80">
        <f>15*(C988-12)</f>
        <v/>
      </c>
      <c r="G988" s="80">
        <f>-COS(RADIANS(E988))*SIN(RADIANS(F988))</f>
        <v/>
      </c>
      <c r="H988" s="80">
        <f>COS(RADIANS('11_발전량_모델'!$B$17))*SIN(RADIANS(E988))-SIN(RADIANS('11_발전량_모델'!$B$17))*COS(RADIANS(E988))*COS(RADIANS(F988))</f>
        <v/>
      </c>
      <c r="I988" s="80">
        <f>SIN(RADIANS('11_발전량_모델'!$B$17))*SIN(RADIANS(E988))+COS(RADIANS('11_발전량_모델'!$B$17))*COS(RADIANS(E988))*COS(RADIANS(F988))</f>
        <v/>
      </c>
      <c r="J988" s="80">
        <f>SIN(RADIANS('11_발전량_모델'!$B$7))*SIN(RADIANS('11_발전량_모델'!$B$8))</f>
        <v/>
      </c>
      <c r="K988" s="80">
        <f>SIN(RADIANS('11_발전량_모델'!$B$7))*COS(RADIANS('11_발전량_모델'!$B$8))</f>
        <v/>
      </c>
      <c r="L988" s="80">
        <f>COS(RADIANS('11_발전량_모델'!$B$7))</f>
        <v/>
      </c>
      <c r="M988" s="80">
        <f>G988*J988+H988*K988+I988*L988</f>
        <v/>
      </c>
      <c r="N988" s="80">
        <f>MAX(0,I988)</f>
        <v/>
      </c>
      <c r="O988" s="80">
        <f>IF(I988&gt;0,MAX(0,M988),0)</f>
        <v/>
      </c>
      <c r="P988" s="80">
        <f>IF($I988&gt;0,MAX(0,$G988*SIN(RADIANS('13_시나리오비교'!$B$5))*SIN(RADIANS('13_시나리오비교'!$C$5))+$H988*SIN(RADIANS('13_시나리오비교'!$B$5))*COS(RADIANS('13_시나리오비교'!$C$5))+$I988*COS(RADIANS('13_시나리오비교'!$B$5))),0)</f>
        <v/>
      </c>
      <c r="Q988" s="80">
        <f>IF($I988&gt;0,MAX(0,$G988*SIN(RADIANS('13_시나리오비교'!$B$6))*SIN(RADIANS('13_시나리오비교'!$C$6))+$H988*SIN(RADIANS('13_시나리오비교'!$B$6))*COS(RADIANS('13_시나리오비교'!$C$6))+$I988*COS(RADIANS('13_시나리오비교'!$B$6))),0)</f>
        <v/>
      </c>
      <c r="R988" s="80">
        <f>IF($I988&gt;0,MAX(0,$G988*SIN(RADIANS('13_시나리오비교'!$B$7))*SIN(RADIANS('13_시나리오비교'!$C$7))+$H988*SIN(RADIANS('13_시나리오비교'!$B$7))*COS(RADIANS('13_시나리오비교'!$C$7))+$I988*COS(RADIANS('13_시나리오비교'!$B$7))),0)</f>
        <v/>
      </c>
      <c r="S988" s="80">
        <f>IF($I988&gt;0,MAX(0,$G988*SIN(RADIANS('13_시나리오비교'!$B$8))*SIN(RADIANS('13_시나리오비교'!$C$8))+$H988*SIN(RADIANS('13_시나리오비교'!$B$8))*COS(RADIANS('13_시나리오비교'!$C$8))+$I988*COS(RADIANS('13_시나리오비교'!$B$8))),0)</f>
        <v/>
      </c>
      <c r="T988" s="80">
        <f>IF($I988&gt;0,MAX(0,$G988*SIN(RADIANS('13_시나리오비교'!$B$9))*SIN(RADIANS('13_시나리오비교'!$C$9))+$H988*SIN(RADIANS('13_시나리오비교'!$B$9))*COS(RADIANS('13_시나리오비교'!$C$9))+$I988*COS(RADIANS('13_시나리오비교'!$B$9))),0)</f>
        <v/>
      </c>
      <c r="U988" s="80">
        <f>IF($I988&gt;0,MAX(0,$G988*SIN(RADIANS('13_시나리오비교'!$B$10))*SIN(RADIANS('13_시나리오비교'!$C$10))+$H988*SIN(RADIANS('13_시나리오비교'!$B$10))*COS(RADIANS('13_시나리오비교'!$C$10))+$I988*COS(RADIANS('13_시나리오비교'!$B$10))),0)</f>
        <v/>
      </c>
      <c r="V988" s="80">
        <f>IF($I988&gt;0,MAX(0,$G988*SIN(RADIANS('13_시나리오비교'!$B$11))*SIN(RADIANS('13_시나리오비교'!$C$11))+$H988*SIN(RADIANS('13_시나리오비교'!$B$11))*COS(RADIANS('13_시나리오비교'!$C$11))+$I988*COS(RADIANS('13_시나리오비교'!$B$11))),0)</f>
        <v/>
      </c>
      <c r="W988" s="80">
        <f>IF($I988&gt;0,MAX(0,$G988*SIN(RADIANS('13_시나리오비교'!$B$12))*SIN(RADIANS('13_시나리오비교'!$C$12))+$H988*SIN(RADIANS('13_시나리오비교'!$B$12))*COS(RADIANS('13_시나리오비교'!$C$12))+$I988*COS(RADIANS('13_시나리오비교'!$B$12))),0)</f>
        <v/>
      </c>
      <c r="X988" s="80">
        <f>IF($I988&gt;0,MAX(0,$G988*SIN(RADIANS('13_시나리오비교'!$B$13))*SIN(RADIANS('13_시나리오비교'!$C$13))+$H988*SIN(RADIANS('13_시나리오비교'!$B$13))*COS(RADIANS('13_시나리오비교'!$C$13))+$I988*COS(RADIANS('13_시나리오비교'!$B$13))),0)</f>
        <v/>
      </c>
      <c r="Y988" s="80">
        <f>IF($I988&gt;0,MAX(0,$G988*SIN(RADIANS('13_시나리오비교'!$B$14))*SIN(RADIANS('13_시나리오비교'!$C$14))+$H988*SIN(RADIANS('13_시나리오비교'!$B$14))*COS(RADIANS('13_시나리오비교'!$C$14))+$I988*COS(RADIANS('13_시나리오비교'!$B$14))),0)</f>
        <v/>
      </c>
    </row>
    <row r="989" hidden="1" outlineLevel="1">
      <c r="A989" s="79" t="n">
        <v>11</v>
      </c>
      <c r="B989" s="79" t="n">
        <v>9</v>
      </c>
      <c r="C989" s="80">
        <f>(B989-0.5)*'14_지역·상수'!$H$6</f>
        <v/>
      </c>
      <c r="D989" s="79" t="n">
        <v>318</v>
      </c>
      <c r="E989" s="80">
        <f>INDEX($C$4:$C$15,MATCH(A989,$A$4:$A$15,0))</f>
        <v/>
      </c>
      <c r="F989" s="80">
        <f>15*(C989-12)</f>
        <v/>
      </c>
      <c r="G989" s="80">
        <f>-COS(RADIANS(E989))*SIN(RADIANS(F989))</f>
        <v/>
      </c>
      <c r="H989" s="80">
        <f>COS(RADIANS('11_발전량_모델'!$B$17))*SIN(RADIANS(E989))-SIN(RADIANS('11_발전량_모델'!$B$17))*COS(RADIANS(E989))*COS(RADIANS(F989))</f>
        <v/>
      </c>
      <c r="I989" s="80">
        <f>SIN(RADIANS('11_발전량_모델'!$B$17))*SIN(RADIANS(E989))+COS(RADIANS('11_발전량_모델'!$B$17))*COS(RADIANS(E989))*COS(RADIANS(F989))</f>
        <v/>
      </c>
      <c r="J989" s="80">
        <f>SIN(RADIANS('11_발전량_모델'!$B$7))*SIN(RADIANS('11_발전량_모델'!$B$8))</f>
        <v/>
      </c>
      <c r="K989" s="80">
        <f>SIN(RADIANS('11_발전량_모델'!$B$7))*COS(RADIANS('11_발전량_모델'!$B$8))</f>
        <v/>
      </c>
      <c r="L989" s="80">
        <f>COS(RADIANS('11_발전량_모델'!$B$7))</f>
        <v/>
      </c>
      <c r="M989" s="80">
        <f>G989*J989+H989*K989+I989*L989</f>
        <v/>
      </c>
      <c r="N989" s="80">
        <f>MAX(0,I989)</f>
        <v/>
      </c>
      <c r="O989" s="80">
        <f>IF(I989&gt;0,MAX(0,M989),0)</f>
        <v/>
      </c>
      <c r="P989" s="80">
        <f>IF($I989&gt;0,MAX(0,$G989*SIN(RADIANS('13_시나리오비교'!$B$5))*SIN(RADIANS('13_시나리오비교'!$C$5))+$H989*SIN(RADIANS('13_시나리오비교'!$B$5))*COS(RADIANS('13_시나리오비교'!$C$5))+$I989*COS(RADIANS('13_시나리오비교'!$B$5))),0)</f>
        <v/>
      </c>
      <c r="Q989" s="80">
        <f>IF($I989&gt;0,MAX(0,$G989*SIN(RADIANS('13_시나리오비교'!$B$6))*SIN(RADIANS('13_시나리오비교'!$C$6))+$H989*SIN(RADIANS('13_시나리오비교'!$B$6))*COS(RADIANS('13_시나리오비교'!$C$6))+$I989*COS(RADIANS('13_시나리오비교'!$B$6))),0)</f>
        <v/>
      </c>
      <c r="R989" s="80">
        <f>IF($I989&gt;0,MAX(0,$G989*SIN(RADIANS('13_시나리오비교'!$B$7))*SIN(RADIANS('13_시나리오비교'!$C$7))+$H989*SIN(RADIANS('13_시나리오비교'!$B$7))*COS(RADIANS('13_시나리오비교'!$C$7))+$I989*COS(RADIANS('13_시나리오비교'!$B$7))),0)</f>
        <v/>
      </c>
      <c r="S989" s="80">
        <f>IF($I989&gt;0,MAX(0,$G989*SIN(RADIANS('13_시나리오비교'!$B$8))*SIN(RADIANS('13_시나리오비교'!$C$8))+$H989*SIN(RADIANS('13_시나리오비교'!$B$8))*COS(RADIANS('13_시나리오비교'!$C$8))+$I989*COS(RADIANS('13_시나리오비교'!$B$8))),0)</f>
        <v/>
      </c>
      <c r="T989" s="80">
        <f>IF($I989&gt;0,MAX(0,$G989*SIN(RADIANS('13_시나리오비교'!$B$9))*SIN(RADIANS('13_시나리오비교'!$C$9))+$H989*SIN(RADIANS('13_시나리오비교'!$B$9))*COS(RADIANS('13_시나리오비교'!$C$9))+$I989*COS(RADIANS('13_시나리오비교'!$B$9))),0)</f>
        <v/>
      </c>
      <c r="U989" s="80">
        <f>IF($I989&gt;0,MAX(0,$G989*SIN(RADIANS('13_시나리오비교'!$B$10))*SIN(RADIANS('13_시나리오비교'!$C$10))+$H989*SIN(RADIANS('13_시나리오비교'!$B$10))*COS(RADIANS('13_시나리오비교'!$C$10))+$I989*COS(RADIANS('13_시나리오비교'!$B$10))),0)</f>
        <v/>
      </c>
      <c r="V989" s="80">
        <f>IF($I989&gt;0,MAX(0,$G989*SIN(RADIANS('13_시나리오비교'!$B$11))*SIN(RADIANS('13_시나리오비교'!$C$11))+$H989*SIN(RADIANS('13_시나리오비교'!$B$11))*COS(RADIANS('13_시나리오비교'!$C$11))+$I989*COS(RADIANS('13_시나리오비교'!$B$11))),0)</f>
        <v/>
      </c>
      <c r="W989" s="80">
        <f>IF($I989&gt;0,MAX(0,$G989*SIN(RADIANS('13_시나리오비교'!$B$12))*SIN(RADIANS('13_시나리오비교'!$C$12))+$H989*SIN(RADIANS('13_시나리오비교'!$B$12))*COS(RADIANS('13_시나리오비교'!$C$12))+$I989*COS(RADIANS('13_시나리오비교'!$B$12))),0)</f>
        <v/>
      </c>
      <c r="X989" s="80">
        <f>IF($I989&gt;0,MAX(0,$G989*SIN(RADIANS('13_시나리오비교'!$B$13))*SIN(RADIANS('13_시나리오비교'!$C$13))+$H989*SIN(RADIANS('13_시나리오비교'!$B$13))*COS(RADIANS('13_시나리오비교'!$C$13))+$I989*COS(RADIANS('13_시나리오비교'!$B$13))),0)</f>
        <v/>
      </c>
      <c r="Y989" s="80">
        <f>IF($I989&gt;0,MAX(0,$G989*SIN(RADIANS('13_시나리오비교'!$B$14))*SIN(RADIANS('13_시나리오비교'!$C$14))+$H989*SIN(RADIANS('13_시나리오비교'!$B$14))*COS(RADIANS('13_시나리오비교'!$C$14))+$I989*COS(RADIANS('13_시나리오비교'!$B$14))),0)</f>
        <v/>
      </c>
    </row>
    <row r="990" hidden="1" outlineLevel="1">
      <c r="A990" s="79" t="n">
        <v>11</v>
      </c>
      <c r="B990" s="79" t="n">
        <v>10</v>
      </c>
      <c r="C990" s="80">
        <f>(B990-0.5)*'14_지역·상수'!$H$6</f>
        <v/>
      </c>
      <c r="D990" s="79" t="n">
        <v>318</v>
      </c>
      <c r="E990" s="80">
        <f>INDEX($C$4:$C$15,MATCH(A990,$A$4:$A$15,0))</f>
        <v/>
      </c>
      <c r="F990" s="80">
        <f>15*(C990-12)</f>
        <v/>
      </c>
      <c r="G990" s="80">
        <f>-COS(RADIANS(E990))*SIN(RADIANS(F990))</f>
        <v/>
      </c>
      <c r="H990" s="80">
        <f>COS(RADIANS('11_발전량_모델'!$B$17))*SIN(RADIANS(E990))-SIN(RADIANS('11_발전량_모델'!$B$17))*COS(RADIANS(E990))*COS(RADIANS(F990))</f>
        <v/>
      </c>
      <c r="I990" s="80">
        <f>SIN(RADIANS('11_발전량_모델'!$B$17))*SIN(RADIANS(E990))+COS(RADIANS('11_발전량_모델'!$B$17))*COS(RADIANS(E990))*COS(RADIANS(F990))</f>
        <v/>
      </c>
      <c r="J990" s="80">
        <f>SIN(RADIANS('11_발전량_모델'!$B$7))*SIN(RADIANS('11_발전량_모델'!$B$8))</f>
        <v/>
      </c>
      <c r="K990" s="80">
        <f>SIN(RADIANS('11_발전량_모델'!$B$7))*COS(RADIANS('11_발전량_모델'!$B$8))</f>
        <v/>
      </c>
      <c r="L990" s="80">
        <f>COS(RADIANS('11_발전량_모델'!$B$7))</f>
        <v/>
      </c>
      <c r="M990" s="80">
        <f>G990*J990+H990*K990+I990*L990</f>
        <v/>
      </c>
      <c r="N990" s="80">
        <f>MAX(0,I990)</f>
        <v/>
      </c>
      <c r="O990" s="80">
        <f>IF(I990&gt;0,MAX(0,M990),0)</f>
        <v/>
      </c>
      <c r="P990" s="80">
        <f>IF($I990&gt;0,MAX(0,$G990*SIN(RADIANS('13_시나리오비교'!$B$5))*SIN(RADIANS('13_시나리오비교'!$C$5))+$H990*SIN(RADIANS('13_시나리오비교'!$B$5))*COS(RADIANS('13_시나리오비교'!$C$5))+$I990*COS(RADIANS('13_시나리오비교'!$B$5))),0)</f>
        <v/>
      </c>
      <c r="Q990" s="80">
        <f>IF($I990&gt;0,MAX(0,$G990*SIN(RADIANS('13_시나리오비교'!$B$6))*SIN(RADIANS('13_시나리오비교'!$C$6))+$H990*SIN(RADIANS('13_시나리오비교'!$B$6))*COS(RADIANS('13_시나리오비교'!$C$6))+$I990*COS(RADIANS('13_시나리오비교'!$B$6))),0)</f>
        <v/>
      </c>
      <c r="R990" s="80">
        <f>IF($I990&gt;0,MAX(0,$G990*SIN(RADIANS('13_시나리오비교'!$B$7))*SIN(RADIANS('13_시나리오비교'!$C$7))+$H990*SIN(RADIANS('13_시나리오비교'!$B$7))*COS(RADIANS('13_시나리오비교'!$C$7))+$I990*COS(RADIANS('13_시나리오비교'!$B$7))),0)</f>
        <v/>
      </c>
      <c r="S990" s="80">
        <f>IF($I990&gt;0,MAX(0,$G990*SIN(RADIANS('13_시나리오비교'!$B$8))*SIN(RADIANS('13_시나리오비교'!$C$8))+$H990*SIN(RADIANS('13_시나리오비교'!$B$8))*COS(RADIANS('13_시나리오비교'!$C$8))+$I990*COS(RADIANS('13_시나리오비교'!$B$8))),0)</f>
        <v/>
      </c>
      <c r="T990" s="80">
        <f>IF($I990&gt;0,MAX(0,$G990*SIN(RADIANS('13_시나리오비교'!$B$9))*SIN(RADIANS('13_시나리오비교'!$C$9))+$H990*SIN(RADIANS('13_시나리오비교'!$B$9))*COS(RADIANS('13_시나리오비교'!$C$9))+$I990*COS(RADIANS('13_시나리오비교'!$B$9))),0)</f>
        <v/>
      </c>
      <c r="U990" s="80">
        <f>IF($I990&gt;0,MAX(0,$G990*SIN(RADIANS('13_시나리오비교'!$B$10))*SIN(RADIANS('13_시나리오비교'!$C$10))+$H990*SIN(RADIANS('13_시나리오비교'!$B$10))*COS(RADIANS('13_시나리오비교'!$C$10))+$I990*COS(RADIANS('13_시나리오비교'!$B$10))),0)</f>
        <v/>
      </c>
      <c r="V990" s="80">
        <f>IF($I990&gt;0,MAX(0,$G990*SIN(RADIANS('13_시나리오비교'!$B$11))*SIN(RADIANS('13_시나리오비교'!$C$11))+$H990*SIN(RADIANS('13_시나리오비교'!$B$11))*COS(RADIANS('13_시나리오비교'!$C$11))+$I990*COS(RADIANS('13_시나리오비교'!$B$11))),0)</f>
        <v/>
      </c>
      <c r="W990" s="80">
        <f>IF($I990&gt;0,MAX(0,$G990*SIN(RADIANS('13_시나리오비교'!$B$12))*SIN(RADIANS('13_시나리오비교'!$C$12))+$H990*SIN(RADIANS('13_시나리오비교'!$B$12))*COS(RADIANS('13_시나리오비교'!$C$12))+$I990*COS(RADIANS('13_시나리오비교'!$B$12))),0)</f>
        <v/>
      </c>
      <c r="X990" s="80">
        <f>IF($I990&gt;0,MAX(0,$G990*SIN(RADIANS('13_시나리오비교'!$B$13))*SIN(RADIANS('13_시나리오비교'!$C$13))+$H990*SIN(RADIANS('13_시나리오비교'!$B$13))*COS(RADIANS('13_시나리오비교'!$C$13))+$I990*COS(RADIANS('13_시나리오비교'!$B$13))),0)</f>
        <v/>
      </c>
      <c r="Y990" s="80">
        <f>IF($I990&gt;0,MAX(0,$G990*SIN(RADIANS('13_시나리오비교'!$B$14))*SIN(RADIANS('13_시나리오비교'!$C$14))+$H990*SIN(RADIANS('13_시나리오비교'!$B$14))*COS(RADIANS('13_시나리오비교'!$C$14))+$I990*COS(RADIANS('13_시나리오비교'!$B$14))),0)</f>
        <v/>
      </c>
    </row>
    <row r="991" hidden="1" outlineLevel="1">
      <c r="A991" s="79" t="n">
        <v>11</v>
      </c>
      <c r="B991" s="79" t="n">
        <v>11</v>
      </c>
      <c r="C991" s="80">
        <f>(B991-0.5)*'14_지역·상수'!$H$6</f>
        <v/>
      </c>
      <c r="D991" s="79" t="n">
        <v>318</v>
      </c>
      <c r="E991" s="80">
        <f>INDEX($C$4:$C$15,MATCH(A991,$A$4:$A$15,0))</f>
        <v/>
      </c>
      <c r="F991" s="80">
        <f>15*(C991-12)</f>
        <v/>
      </c>
      <c r="G991" s="80">
        <f>-COS(RADIANS(E991))*SIN(RADIANS(F991))</f>
        <v/>
      </c>
      <c r="H991" s="80">
        <f>COS(RADIANS('11_발전량_모델'!$B$17))*SIN(RADIANS(E991))-SIN(RADIANS('11_발전량_모델'!$B$17))*COS(RADIANS(E991))*COS(RADIANS(F991))</f>
        <v/>
      </c>
      <c r="I991" s="80">
        <f>SIN(RADIANS('11_발전량_모델'!$B$17))*SIN(RADIANS(E991))+COS(RADIANS('11_발전량_모델'!$B$17))*COS(RADIANS(E991))*COS(RADIANS(F991))</f>
        <v/>
      </c>
      <c r="J991" s="80">
        <f>SIN(RADIANS('11_발전량_모델'!$B$7))*SIN(RADIANS('11_발전량_모델'!$B$8))</f>
        <v/>
      </c>
      <c r="K991" s="80">
        <f>SIN(RADIANS('11_발전량_모델'!$B$7))*COS(RADIANS('11_발전량_모델'!$B$8))</f>
        <v/>
      </c>
      <c r="L991" s="80">
        <f>COS(RADIANS('11_발전량_모델'!$B$7))</f>
        <v/>
      </c>
      <c r="M991" s="80">
        <f>G991*J991+H991*K991+I991*L991</f>
        <v/>
      </c>
      <c r="N991" s="80">
        <f>MAX(0,I991)</f>
        <v/>
      </c>
      <c r="O991" s="80">
        <f>IF(I991&gt;0,MAX(0,M991),0)</f>
        <v/>
      </c>
      <c r="P991" s="80">
        <f>IF($I991&gt;0,MAX(0,$G991*SIN(RADIANS('13_시나리오비교'!$B$5))*SIN(RADIANS('13_시나리오비교'!$C$5))+$H991*SIN(RADIANS('13_시나리오비교'!$B$5))*COS(RADIANS('13_시나리오비교'!$C$5))+$I991*COS(RADIANS('13_시나리오비교'!$B$5))),0)</f>
        <v/>
      </c>
      <c r="Q991" s="80">
        <f>IF($I991&gt;0,MAX(0,$G991*SIN(RADIANS('13_시나리오비교'!$B$6))*SIN(RADIANS('13_시나리오비교'!$C$6))+$H991*SIN(RADIANS('13_시나리오비교'!$B$6))*COS(RADIANS('13_시나리오비교'!$C$6))+$I991*COS(RADIANS('13_시나리오비교'!$B$6))),0)</f>
        <v/>
      </c>
      <c r="R991" s="80">
        <f>IF($I991&gt;0,MAX(0,$G991*SIN(RADIANS('13_시나리오비교'!$B$7))*SIN(RADIANS('13_시나리오비교'!$C$7))+$H991*SIN(RADIANS('13_시나리오비교'!$B$7))*COS(RADIANS('13_시나리오비교'!$C$7))+$I991*COS(RADIANS('13_시나리오비교'!$B$7))),0)</f>
        <v/>
      </c>
      <c r="S991" s="80">
        <f>IF($I991&gt;0,MAX(0,$G991*SIN(RADIANS('13_시나리오비교'!$B$8))*SIN(RADIANS('13_시나리오비교'!$C$8))+$H991*SIN(RADIANS('13_시나리오비교'!$B$8))*COS(RADIANS('13_시나리오비교'!$C$8))+$I991*COS(RADIANS('13_시나리오비교'!$B$8))),0)</f>
        <v/>
      </c>
      <c r="T991" s="80">
        <f>IF($I991&gt;0,MAX(0,$G991*SIN(RADIANS('13_시나리오비교'!$B$9))*SIN(RADIANS('13_시나리오비교'!$C$9))+$H991*SIN(RADIANS('13_시나리오비교'!$B$9))*COS(RADIANS('13_시나리오비교'!$C$9))+$I991*COS(RADIANS('13_시나리오비교'!$B$9))),0)</f>
        <v/>
      </c>
      <c r="U991" s="80">
        <f>IF($I991&gt;0,MAX(0,$G991*SIN(RADIANS('13_시나리오비교'!$B$10))*SIN(RADIANS('13_시나리오비교'!$C$10))+$H991*SIN(RADIANS('13_시나리오비교'!$B$10))*COS(RADIANS('13_시나리오비교'!$C$10))+$I991*COS(RADIANS('13_시나리오비교'!$B$10))),0)</f>
        <v/>
      </c>
      <c r="V991" s="80">
        <f>IF($I991&gt;0,MAX(0,$G991*SIN(RADIANS('13_시나리오비교'!$B$11))*SIN(RADIANS('13_시나리오비교'!$C$11))+$H991*SIN(RADIANS('13_시나리오비교'!$B$11))*COS(RADIANS('13_시나리오비교'!$C$11))+$I991*COS(RADIANS('13_시나리오비교'!$B$11))),0)</f>
        <v/>
      </c>
      <c r="W991" s="80">
        <f>IF($I991&gt;0,MAX(0,$G991*SIN(RADIANS('13_시나리오비교'!$B$12))*SIN(RADIANS('13_시나리오비교'!$C$12))+$H991*SIN(RADIANS('13_시나리오비교'!$B$12))*COS(RADIANS('13_시나리오비교'!$C$12))+$I991*COS(RADIANS('13_시나리오비교'!$B$12))),0)</f>
        <v/>
      </c>
      <c r="X991" s="80">
        <f>IF($I991&gt;0,MAX(0,$G991*SIN(RADIANS('13_시나리오비교'!$B$13))*SIN(RADIANS('13_시나리오비교'!$C$13))+$H991*SIN(RADIANS('13_시나리오비교'!$B$13))*COS(RADIANS('13_시나리오비교'!$C$13))+$I991*COS(RADIANS('13_시나리오비교'!$B$13))),0)</f>
        <v/>
      </c>
      <c r="Y991" s="80">
        <f>IF($I991&gt;0,MAX(0,$G991*SIN(RADIANS('13_시나리오비교'!$B$14))*SIN(RADIANS('13_시나리오비교'!$C$14))+$H991*SIN(RADIANS('13_시나리오비교'!$B$14))*COS(RADIANS('13_시나리오비교'!$C$14))+$I991*COS(RADIANS('13_시나리오비교'!$B$14))),0)</f>
        <v/>
      </c>
    </row>
    <row r="992" hidden="1" outlineLevel="1">
      <c r="A992" s="79" t="n">
        <v>11</v>
      </c>
      <c r="B992" s="79" t="n">
        <v>12</v>
      </c>
      <c r="C992" s="80">
        <f>(B992-0.5)*'14_지역·상수'!$H$6</f>
        <v/>
      </c>
      <c r="D992" s="79" t="n">
        <v>318</v>
      </c>
      <c r="E992" s="80">
        <f>INDEX($C$4:$C$15,MATCH(A992,$A$4:$A$15,0))</f>
        <v/>
      </c>
      <c r="F992" s="80">
        <f>15*(C992-12)</f>
        <v/>
      </c>
      <c r="G992" s="80">
        <f>-COS(RADIANS(E992))*SIN(RADIANS(F992))</f>
        <v/>
      </c>
      <c r="H992" s="80">
        <f>COS(RADIANS('11_발전량_모델'!$B$17))*SIN(RADIANS(E992))-SIN(RADIANS('11_발전량_모델'!$B$17))*COS(RADIANS(E992))*COS(RADIANS(F992))</f>
        <v/>
      </c>
      <c r="I992" s="80">
        <f>SIN(RADIANS('11_발전량_모델'!$B$17))*SIN(RADIANS(E992))+COS(RADIANS('11_발전량_모델'!$B$17))*COS(RADIANS(E992))*COS(RADIANS(F992))</f>
        <v/>
      </c>
      <c r="J992" s="80">
        <f>SIN(RADIANS('11_발전량_모델'!$B$7))*SIN(RADIANS('11_발전량_모델'!$B$8))</f>
        <v/>
      </c>
      <c r="K992" s="80">
        <f>SIN(RADIANS('11_발전량_모델'!$B$7))*COS(RADIANS('11_발전량_모델'!$B$8))</f>
        <v/>
      </c>
      <c r="L992" s="80">
        <f>COS(RADIANS('11_발전량_모델'!$B$7))</f>
        <v/>
      </c>
      <c r="M992" s="80">
        <f>G992*J992+H992*K992+I992*L992</f>
        <v/>
      </c>
      <c r="N992" s="80">
        <f>MAX(0,I992)</f>
        <v/>
      </c>
      <c r="O992" s="80">
        <f>IF(I992&gt;0,MAX(0,M992),0)</f>
        <v/>
      </c>
      <c r="P992" s="80">
        <f>IF($I992&gt;0,MAX(0,$G992*SIN(RADIANS('13_시나리오비교'!$B$5))*SIN(RADIANS('13_시나리오비교'!$C$5))+$H992*SIN(RADIANS('13_시나리오비교'!$B$5))*COS(RADIANS('13_시나리오비교'!$C$5))+$I992*COS(RADIANS('13_시나리오비교'!$B$5))),0)</f>
        <v/>
      </c>
      <c r="Q992" s="80">
        <f>IF($I992&gt;0,MAX(0,$G992*SIN(RADIANS('13_시나리오비교'!$B$6))*SIN(RADIANS('13_시나리오비교'!$C$6))+$H992*SIN(RADIANS('13_시나리오비교'!$B$6))*COS(RADIANS('13_시나리오비교'!$C$6))+$I992*COS(RADIANS('13_시나리오비교'!$B$6))),0)</f>
        <v/>
      </c>
      <c r="R992" s="80">
        <f>IF($I992&gt;0,MAX(0,$G992*SIN(RADIANS('13_시나리오비교'!$B$7))*SIN(RADIANS('13_시나리오비교'!$C$7))+$H992*SIN(RADIANS('13_시나리오비교'!$B$7))*COS(RADIANS('13_시나리오비교'!$C$7))+$I992*COS(RADIANS('13_시나리오비교'!$B$7))),0)</f>
        <v/>
      </c>
      <c r="S992" s="80">
        <f>IF($I992&gt;0,MAX(0,$G992*SIN(RADIANS('13_시나리오비교'!$B$8))*SIN(RADIANS('13_시나리오비교'!$C$8))+$H992*SIN(RADIANS('13_시나리오비교'!$B$8))*COS(RADIANS('13_시나리오비교'!$C$8))+$I992*COS(RADIANS('13_시나리오비교'!$B$8))),0)</f>
        <v/>
      </c>
      <c r="T992" s="80">
        <f>IF($I992&gt;0,MAX(0,$G992*SIN(RADIANS('13_시나리오비교'!$B$9))*SIN(RADIANS('13_시나리오비교'!$C$9))+$H992*SIN(RADIANS('13_시나리오비교'!$B$9))*COS(RADIANS('13_시나리오비교'!$C$9))+$I992*COS(RADIANS('13_시나리오비교'!$B$9))),0)</f>
        <v/>
      </c>
      <c r="U992" s="80">
        <f>IF($I992&gt;0,MAX(0,$G992*SIN(RADIANS('13_시나리오비교'!$B$10))*SIN(RADIANS('13_시나리오비교'!$C$10))+$H992*SIN(RADIANS('13_시나리오비교'!$B$10))*COS(RADIANS('13_시나리오비교'!$C$10))+$I992*COS(RADIANS('13_시나리오비교'!$B$10))),0)</f>
        <v/>
      </c>
      <c r="V992" s="80">
        <f>IF($I992&gt;0,MAX(0,$G992*SIN(RADIANS('13_시나리오비교'!$B$11))*SIN(RADIANS('13_시나리오비교'!$C$11))+$H992*SIN(RADIANS('13_시나리오비교'!$B$11))*COS(RADIANS('13_시나리오비교'!$C$11))+$I992*COS(RADIANS('13_시나리오비교'!$B$11))),0)</f>
        <v/>
      </c>
      <c r="W992" s="80">
        <f>IF($I992&gt;0,MAX(0,$G992*SIN(RADIANS('13_시나리오비교'!$B$12))*SIN(RADIANS('13_시나리오비교'!$C$12))+$H992*SIN(RADIANS('13_시나리오비교'!$B$12))*COS(RADIANS('13_시나리오비교'!$C$12))+$I992*COS(RADIANS('13_시나리오비교'!$B$12))),0)</f>
        <v/>
      </c>
      <c r="X992" s="80">
        <f>IF($I992&gt;0,MAX(0,$G992*SIN(RADIANS('13_시나리오비교'!$B$13))*SIN(RADIANS('13_시나리오비교'!$C$13))+$H992*SIN(RADIANS('13_시나리오비교'!$B$13))*COS(RADIANS('13_시나리오비교'!$C$13))+$I992*COS(RADIANS('13_시나리오비교'!$B$13))),0)</f>
        <v/>
      </c>
      <c r="Y992" s="80">
        <f>IF($I992&gt;0,MAX(0,$G992*SIN(RADIANS('13_시나리오비교'!$B$14))*SIN(RADIANS('13_시나리오비교'!$C$14))+$H992*SIN(RADIANS('13_시나리오비교'!$B$14))*COS(RADIANS('13_시나리오비교'!$C$14))+$I992*COS(RADIANS('13_시나리오비교'!$B$14))),0)</f>
        <v/>
      </c>
    </row>
    <row r="993" hidden="1" outlineLevel="1">
      <c r="A993" s="79" t="n">
        <v>11</v>
      </c>
      <c r="B993" s="79" t="n">
        <v>13</v>
      </c>
      <c r="C993" s="80">
        <f>(B993-0.5)*'14_지역·상수'!$H$6</f>
        <v/>
      </c>
      <c r="D993" s="79" t="n">
        <v>318</v>
      </c>
      <c r="E993" s="80">
        <f>INDEX($C$4:$C$15,MATCH(A993,$A$4:$A$15,0))</f>
        <v/>
      </c>
      <c r="F993" s="80">
        <f>15*(C993-12)</f>
        <v/>
      </c>
      <c r="G993" s="80">
        <f>-COS(RADIANS(E993))*SIN(RADIANS(F993))</f>
        <v/>
      </c>
      <c r="H993" s="80">
        <f>COS(RADIANS('11_발전량_모델'!$B$17))*SIN(RADIANS(E993))-SIN(RADIANS('11_발전량_모델'!$B$17))*COS(RADIANS(E993))*COS(RADIANS(F993))</f>
        <v/>
      </c>
      <c r="I993" s="80">
        <f>SIN(RADIANS('11_발전량_모델'!$B$17))*SIN(RADIANS(E993))+COS(RADIANS('11_발전량_모델'!$B$17))*COS(RADIANS(E993))*COS(RADIANS(F993))</f>
        <v/>
      </c>
      <c r="J993" s="80">
        <f>SIN(RADIANS('11_발전량_모델'!$B$7))*SIN(RADIANS('11_발전량_모델'!$B$8))</f>
        <v/>
      </c>
      <c r="K993" s="80">
        <f>SIN(RADIANS('11_발전량_모델'!$B$7))*COS(RADIANS('11_발전량_모델'!$B$8))</f>
        <v/>
      </c>
      <c r="L993" s="80">
        <f>COS(RADIANS('11_발전량_모델'!$B$7))</f>
        <v/>
      </c>
      <c r="M993" s="80">
        <f>G993*J993+H993*K993+I993*L993</f>
        <v/>
      </c>
      <c r="N993" s="80">
        <f>MAX(0,I993)</f>
        <v/>
      </c>
      <c r="O993" s="80">
        <f>IF(I993&gt;0,MAX(0,M993),0)</f>
        <v/>
      </c>
      <c r="P993" s="80">
        <f>IF($I993&gt;0,MAX(0,$G993*SIN(RADIANS('13_시나리오비교'!$B$5))*SIN(RADIANS('13_시나리오비교'!$C$5))+$H993*SIN(RADIANS('13_시나리오비교'!$B$5))*COS(RADIANS('13_시나리오비교'!$C$5))+$I993*COS(RADIANS('13_시나리오비교'!$B$5))),0)</f>
        <v/>
      </c>
      <c r="Q993" s="80">
        <f>IF($I993&gt;0,MAX(0,$G993*SIN(RADIANS('13_시나리오비교'!$B$6))*SIN(RADIANS('13_시나리오비교'!$C$6))+$H993*SIN(RADIANS('13_시나리오비교'!$B$6))*COS(RADIANS('13_시나리오비교'!$C$6))+$I993*COS(RADIANS('13_시나리오비교'!$B$6))),0)</f>
        <v/>
      </c>
      <c r="R993" s="80">
        <f>IF($I993&gt;0,MAX(0,$G993*SIN(RADIANS('13_시나리오비교'!$B$7))*SIN(RADIANS('13_시나리오비교'!$C$7))+$H993*SIN(RADIANS('13_시나리오비교'!$B$7))*COS(RADIANS('13_시나리오비교'!$C$7))+$I993*COS(RADIANS('13_시나리오비교'!$B$7))),0)</f>
        <v/>
      </c>
      <c r="S993" s="80">
        <f>IF($I993&gt;0,MAX(0,$G993*SIN(RADIANS('13_시나리오비교'!$B$8))*SIN(RADIANS('13_시나리오비교'!$C$8))+$H993*SIN(RADIANS('13_시나리오비교'!$B$8))*COS(RADIANS('13_시나리오비교'!$C$8))+$I993*COS(RADIANS('13_시나리오비교'!$B$8))),0)</f>
        <v/>
      </c>
      <c r="T993" s="80">
        <f>IF($I993&gt;0,MAX(0,$G993*SIN(RADIANS('13_시나리오비교'!$B$9))*SIN(RADIANS('13_시나리오비교'!$C$9))+$H993*SIN(RADIANS('13_시나리오비교'!$B$9))*COS(RADIANS('13_시나리오비교'!$C$9))+$I993*COS(RADIANS('13_시나리오비교'!$B$9))),0)</f>
        <v/>
      </c>
      <c r="U993" s="80">
        <f>IF($I993&gt;0,MAX(0,$G993*SIN(RADIANS('13_시나리오비교'!$B$10))*SIN(RADIANS('13_시나리오비교'!$C$10))+$H993*SIN(RADIANS('13_시나리오비교'!$B$10))*COS(RADIANS('13_시나리오비교'!$C$10))+$I993*COS(RADIANS('13_시나리오비교'!$B$10))),0)</f>
        <v/>
      </c>
      <c r="V993" s="80">
        <f>IF($I993&gt;0,MAX(0,$G993*SIN(RADIANS('13_시나리오비교'!$B$11))*SIN(RADIANS('13_시나리오비교'!$C$11))+$H993*SIN(RADIANS('13_시나리오비교'!$B$11))*COS(RADIANS('13_시나리오비교'!$C$11))+$I993*COS(RADIANS('13_시나리오비교'!$B$11))),0)</f>
        <v/>
      </c>
      <c r="W993" s="80">
        <f>IF($I993&gt;0,MAX(0,$G993*SIN(RADIANS('13_시나리오비교'!$B$12))*SIN(RADIANS('13_시나리오비교'!$C$12))+$H993*SIN(RADIANS('13_시나리오비교'!$B$12))*COS(RADIANS('13_시나리오비교'!$C$12))+$I993*COS(RADIANS('13_시나리오비교'!$B$12))),0)</f>
        <v/>
      </c>
      <c r="X993" s="80">
        <f>IF($I993&gt;0,MAX(0,$G993*SIN(RADIANS('13_시나리오비교'!$B$13))*SIN(RADIANS('13_시나리오비교'!$C$13))+$H993*SIN(RADIANS('13_시나리오비교'!$B$13))*COS(RADIANS('13_시나리오비교'!$C$13))+$I993*COS(RADIANS('13_시나리오비교'!$B$13))),0)</f>
        <v/>
      </c>
      <c r="Y993" s="80">
        <f>IF($I993&gt;0,MAX(0,$G993*SIN(RADIANS('13_시나리오비교'!$B$14))*SIN(RADIANS('13_시나리오비교'!$C$14))+$H993*SIN(RADIANS('13_시나리오비교'!$B$14))*COS(RADIANS('13_시나리오비교'!$C$14))+$I993*COS(RADIANS('13_시나리오비교'!$B$14))),0)</f>
        <v/>
      </c>
    </row>
    <row r="994" hidden="1" outlineLevel="1">
      <c r="A994" s="79" t="n">
        <v>11</v>
      </c>
      <c r="B994" s="79" t="n">
        <v>14</v>
      </c>
      <c r="C994" s="80">
        <f>(B994-0.5)*'14_지역·상수'!$H$6</f>
        <v/>
      </c>
      <c r="D994" s="79" t="n">
        <v>318</v>
      </c>
      <c r="E994" s="80">
        <f>INDEX($C$4:$C$15,MATCH(A994,$A$4:$A$15,0))</f>
        <v/>
      </c>
      <c r="F994" s="80">
        <f>15*(C994-12)</f>
        <v/>
      </c>
      <c r="G994" s="80">
        <f>-COS(RADIANS(E994))*SIN(RADIANS(F994))</f>
        <v/>
      </c>
      <c r="H994" s="80">
        <f>COS(RADIANS('11_발전량_모델'!$B$17))*SIN(RADIANS(E994))-SIN(RADIANS('11_발전량_모델'!$B$17))*COS(RADIANS(E994))*COS(RADIANS(F994))</f>
        <v/>
      </c>
      <c r="I994" s="80">
        <f>SIN(RADIANS('11_발전량_모델'!$B$17))*SIN(RADIANS(E994))+COS(RADIANS('11_발전량_모델'!$B$17))*COS(RADIANS(E994))*COS(RADIANS(F994))</f>
        <v/>
      </c>
      <c r="J994" s="80">
        <f>SIN(RADIANS('11_발전량_모델'!$B$7))*SIN(RADIANS('11_발전량_모델'!$B$8))</f>
        <v/>
      </c>
      <c r="K994" s="80">
        <f>SIN(RADIANS('11_발전량_모델'!$B$7))*COS(RADIANS('11_발전량_모델'!$B$8))</f>
        <v/>
      </c>
      <c r="L994" s="80">
        <f>COS(RADIANS('11_발전량_모델'!$B$7))</f>
        <v/>
      </c>
      <c r="M994" s="80">
        <f>G994*J994+H994*K994+I994*L994</f>
        <v/>
      </c>
      <c r="N994" s="80">
        <f>MAX(0,I994)</f>
        <v/>
      </c>
      <c r="O994" s="80">
        <f>IF(I994&gt;0,MAX(0,M994),0)</f>
        <v/>
      </c>
      <c r="P994" s="80">
        <f>IF($I994&gt;0,MAX(0,$G994*SIN(RADIANS('13_시나리오비교'!$B$5))*SIN(RADIANS('13_시나리오비교'!$C$5))+$H994*SIN(RADIANS('13_시나리오비교'!$B$5))*COS(RADIANS('13_시나리오비교'!$C$5))+$I994*COS(RADIANS('13_시나리오비교'!$B$5))),0)</f>
        <v/>
      </c>
      <c r="Q994" s="80">
        <f>IF($I994&gt;0,MAX(0,$G994*SIN(RADIANS('13_시나리오비교'!$B$6))*SIN(RADIANS('13_시나리오비교'!$C$6))+$H994*SIN(RADIANS('13_시나리오비교'!$B$6))*COS(RADIANS('13_시나리오비교'!$C$6))+$I994*COS(RADIANS('13_시나리오비교'!$B$6))),0)</f>
        <v/>
      </c>
      <c r="R994" s="80">
        <f>IF($I994&gt;0,MAX(0,$G994*SIN(RADIANS('13_시나리오비교'!$B$7))*SIN(RADIANS('13_시나리오비교'!$C$7))+$H994*SIN(RADIANS('13_시나리오비교'!$B$7))*COS(RADIANS('13_시나리오비교'!$C$7))+$I994*COS(RADIANS('13_시나리오비교'!$B$7))),0)</f>
        <v/>
      </c>
      <c r="S994" s="80">
        <f>IF($I994&gt;0,MAX(0,$G994*SIN(RADIANS('13_시나리오비교'!$B$8))*SIN(RADIANS('13_시나리오비교'!$C$8))+$H994*SIN(RADIANS('13_시나리오비교'!$B$8))*COS(RADIANS('13_시나리오비교'!$C$8))+$I994*COS(RADIANS('13_시나리오비교'!$B$8))),0)</f>
        <v/>
      </c>
      <c r="T994" s="80">
        <f>IF($I994&gt;0,MAX(0,$G994*SIN(RADIANS('13_시나리오비교'!$B$9))*SIN(RADIANS('13_시나리오비교'!$C$9))+$H994*SIN(RADIANS('13_시나리오비교'!$B$9))*COS(RADIANS('13_시나리오비교'!$C$9))+$I994*COS(RADIANS('13_시나리오비교'!$B$9))),0)</f>
        <v/>
      </c>
      <c r="U994" s="80">
        <f>IF($I994&gt;0,MAX(0,$G994*SIN(RADIANS('13_시나리오비교'!$B$10))*SIN(RADIANS('13_시나리오비교'!$C$10))+$H994*SIN(RADIANS('13_시나리오비교'!$B$10))*COS(RADIANS('13_시나리오비교'!$C$10))+$I994*COS(RADIANS('13_시나리오비교'!$B$10))),0)</f>
        <v/>
      </c>
      <c r="V994" s="80">
        <f>IF($I994&gt;0,MAX(0,$G994*SIN(RADIANS('13_시나리오비교'!$B$11))*SIN(RADIANS('13_시나리오비교'!$C$11))+$H994*SIN(RADIANS('13_시나리오비교'!$B$11))*COS(RADIANS('13_시나리오비교'!$C$11))+$I994*COS(RADIANS('13_시나리오비교'!$B$11))),0)</f>
        <v/>
      </c>
      <c r="W994" s="80">
        <f>IF($I994&gt;0,MAX(0,$G994*SIN(RADIANS('13_시나리오비교'!$B$12))*SIN(RADIANS('13_시나리오비교'!$C$12))+$H994*SIN(RADIANS('13_시나리오비교'!$B$12))*COS(RADIANS('13_시나리오비교'!$C$12))+$I994*COS(RADIANS('13_시나리오비교'!$B$12))),0)</f>
        <v/>
      </c>
      <c r="X994" s="80">
        <f>IF($I994&gt;0,MAX(0,$G994*SIN(RADIANS('13_시나리오비교'!$B$13))*SIN(RADIANS('13_시나리오비교'!$C$13))+$H994*SIN(RADIANS('13_시나리오비교'!$B$13))*COS(RADIANS('13_시나리오비교'!$C$13))+$I994*COS(RADIANS('13_시나리오비교'!$B$13))),0)</f>
        <v/>
      </c>
      <c r="Y994" s="80">
        <f>IF($I994&gt;0,MAX(0,$G994*SIN(RADIANS('13_시나리오비교'!$B$14))*SIN(RADIANS('13_시나리오비교'!$C$14))+$H994*SIN(RADIANS('13_시나리오비교'!$B$14))*COS(RADIANS('13_시나리오비교'!$C$14))+$I994*COS(RADIANS('13_시나리오비교'!$B$14))),0)</f>
        <v/>
      </c>
    </row>
    <row r="995" hidden="1" outlineLevel="1">
      <c r="A995" s="79" t="n">
        <v>11</v>
      </c>
      <c r="B995" s="79" t="n">
        <v>15</v>
      </c>
      <c r="C995" s="80">
        <f>(B995-0.5)*'14_지역·상수'!$H$6</f>
        <v/>
      </c>
      <c r="D995" s="79" t="n">
        <v>318</v>
      </c>
      <c r="E995" s="80">
        <f>INDEX($C$4:$C$15,MATCH(A995,$A$4:$A$15,0))</f>
        <v/>
      </c>
      <c r="F995" s="80">
        <f>15*(C995-12)</f>
        <v/>
      </c>
      <c r="G995" s="80">
        <f>-COS(RADIANS(E995))*SIN(RADIANS(F995))</f>
        <v/>
      </c>
      <c r="H995" s="80">
        <f>COS(RADIANS('11_발전량_모델'!$B$17))*SIN(RADIANS(E995))-SIN(RADIANS('11_발전량_모델'!$B$17))*COS(RADIANS(E995))*COS(RADIANS(F995))</f>
        <v/>
      </c>
      <c r="I995" s="80">
        <f>SIN(RADIANS('11_발전량_모델'!$B$17))*SIN(RADIANS(E995))+COS(RADIANS('11_발전량_모델'!$B$17))*COS(RADIANS(E995))*COS(RADIANS(F995))</f>
        <v/>
      </c>
      <c r="J995" s="80">
        <f>SIN(RADIANS('11_발전량_모델'!$B$7))*SIN(RADIANS('11_발전량_모델'!$B$8))</f>
        <v/>
      </c>
      <c r="K995" s="80">
        <f>SIN(RADIANS('11_발전량_모델'!$B$7))*COS(RADIANS('11_발전량_모델'!$B$8))</f>
        <v/>
      </c>
      <c r="L995" s="80">
        <f>COS(RADIANS('11_발전량_모델'!$B$7))</f>
        <v/>
      </c>
      <c r="M995" s="80">
        <f>G995*J995+H995*K995+I995*L995</f>
        <v/>
      </c>
      <c r="N995" s="80">
        <f>MAX(0,I995)</f>
        <v/>
      </c>
      <c r="O995" s="80">
        <f>IF(I995&gt;0,MAX(0,M995),0)</f>
        <v/>
      </c>
      <c r="P995" s="80">
        <f>IF($I995&gt;0,MAX(0,$G995*SIN(RADIANS('13_시나리오비교'!$B$5))*SIN(RADIANS('13_시나리오비교'!$C$5))+$H995*SIN(RADIANS('13_시나리오비교'!$B$5))*COS(RADIANS('13_시나리오비교'!$C$5))+$I995*COS(RADIANS('13_시나리오비교'!$B$5))),0)</f>
        <v/>
      </c>
      <c r="Q995" s="80">
        <f>IF($I995&gt;0,MAX(0,$G995*SIN(RADIANS('13_시나리오비교'!$B$6))*SIN(RADIANS('13_시나리오비교'!$C$6))+$H995*SIN(RADIANS('13_시나리오비교'!$B$6))*COS(RADIANS('13_시나리오비교'!$C$6))+$I995*COS(RADIANS('13_시나리오비교'!$B$6))),0)</f>
        <v/>
      </c>
      <c r="R995" s="80">
        <f>IF($I995&gt;0,MAX(0,$G995*SIN(RADIANS('13_시나리오비교'!$B$7))*SIN(RADIANS('13_시나리오비교'!$C$7))+$H995*SIN(RADIANS('13_시나리오비교'!$B$7))*COS(RADIANS('13_시나리오비교'!$C$7))+$I995*COS(RADIANS('13_시나리오비교'!$B$7))),0)</f>
        <v/>
      </c>
      <c r="S995" s="80">
        <f>IF($I995&gt;0,MAX(0,$G995*SIN(RADIANS('13_시나리오비교'!$B$8))*SIN(RADIANS('13_시나리오비교'!$C$8))+$H995*SIN(RADIANS('13_시나리오비교'!$B$8))*COS(RADIANS('13_시나리오비교'!$C$8))+$I995*COS(RADIANS('13_시나리오비교'!$B$8))),0)</f>
        <v/>
      </c>
      <c r="T995" s="80">
        <f>IF($I995&gt;0,MAX(0,$G995*SIN(RADIANS('13_시나리오비교'!$B$9))*SIN(RADIANS('13_시나리오비교'!$C$9))+$H995*SIN(RADIANS('13_시나리오비교'!$B$9))*COS(RADIANS('13_시나리오비교'!$C$9))+$I995*COS(RADIANS('13_시나리오비교'!$B$9))),0)</f>
        <v/>
      </c>
      <c r="U995" s="80">
        <f>IF($I995&gt;0,MAX(0,$G995*SIN(RADIANS('13_시나리오비교'!$B$10))*SIN(RADIANS('13_시나리오비교'!$C$10))+$H995*SIN(RADIANS('13_시나리오비교'!$B$10))*COS(RADIANS('13_시나리오비교'!$C$10))+$I995*COS(RADIANS('13_시나리오비교'!$B$10))),0)</f>
        <v/>
      </c>
      <c r="V995" s="80">
        <f>IF($I995&gt;0,MAX(0,$G995*SIN(RADIANS('13_시나리오비교'!$B$11))*SIN(RADIANS('13_시나리오비교'!$C$11))+$H995*SIN(RADIANS('13_시나리오비교'!$B$11))*COS(RADIANS('13_시나리오비교'!$C$11))+$I995*COS(RADIANS('13_시나리오비교'!$B$11))),0)</f>
        <v/>
      </c>
      <c r="W995" s="80">
        <f>IF($I995&gt;0,MAX(0,$G995*SIN(RADIANS('13_시나리오비교'!$B$12))*SIN(RADIANS('13_시나리오비교'!$C$12))+$H995*SIN(RADIANS('13_시나리오비교'!$B$12))*COS(RADIANS('13_시나리오비교'!$C$12))+$I995*COS(RADIANS('13_시나리오비교'!$B$12))),0)</f>
        <v/>
      </c>
      <c r="X995" s="80">
        <f>IF($I995&gt;0,MAX(0,$G995*SIN(RADIANS('13_시나리오비교'!$B$13))*SIN(RADIANS('13_시나리오비교'!$C$13))+$H995*SIN(RADIANS('13_시나리오비교'!$B$13))*COS(RADIANS('13_시나리오비교'!$C$13))+$I995*COS(RADIANS('13_시나리오비교'!$B$13))),0)</f>
        <v/>
      </c>
      <c r="Y995" s="80">
        <f>IF($I995&gt;0,MAX(0,$G995*SIN(RADIANS('13_시나리오비교'!$B$14))*SIN(RADIANS('13_시나리오비교'!$C$14))+$H995*SIN(RADIANS('13_시나리오비교'!$B$14))*COS(RADIANS('13_시나리오비교'!$C$14))+$I995*COS(RADIANS('13_시나리오비교'!$B$14))),0)</f>
        <v/>
      </c>
    </row>
    <row r="996" hidden="1" outlineLevel="1">
      <c r="A996" s="79" t="n">
        <v>11</v>
      </c>
      <c r="B996" s="79" t="n">
        <v>16</v>
      </c>
      <c r="C996" s="80">
        <f>(B996-0.5)*'14_지역·상수'!$H$6</f>
        <v/>
      </c>
      <c r="D996" s="79" t="n">
        <v>318</v>
      </c>
      <c r="E996" s="80">
        <f>INDEX($C$4:$C$15,MATCH(A996,$A$4:$A$15,0))</f>
        <v/>
      </c>
      <c r="F996" s="80">
        <f>15*(C996-12)</f>
        <v/>
      </c>
      <c r="G996" s="80">
        <f>-COS(RADIANS(E996))*SIN(RADIANS(F996))</f>
        <v/>
      </c>
      <c r="H996" s="80">
        <f>COS(RADIANS('11_발전량_모델'!$B$17))*SIN(RADIANS(E996))-SIN(RADIANS('11_발전량_모델'!$B$17))*COS(RADIANS(E996))*COS(RADIANS(F996))</f>
        <v/>
      </c>
      <c r="I996" s="80">
        <f>SIN(RADIANS('11_발전량_모델'!$B$17))*SIN(RADIANS(E996))+COS(RADIANS('11_발전량_모델'!$B$17))*COS(RADIANS(E996))*COS(RADIANS(F996))</f>
        <v/>
      </c>
      <c r="J996" s="80">
        <f>SIN(RADIANS('11_발전량_모델'!$B$7))*SIN(RADIANS('11_발전량_모델'!$B$8))</f>
        <v/>
      </c>
      <c r="K996" s="80">
        <f>SIN(RADIANS('11_발전량_모델'!$B$7))*COS(RADIANS('11_발전량_모델'!$B$8))</f>
        <v/>
      </c>
      <c r="L996" s="80">
        <f>COS(RADIANS('11_발전량_모델'!$B$7))</f>
        <v/>
      </c>
      <c r="M996" s="80">
        <f>G996*J996+H996*K996+I996*L996</f>
        <v/>
      </c>
      <c r="N996" s="80">
        <f>MAX(0,I996)</f>
        <v/>
      </c>
      <c r="O996" s="80">
        <f>IF(I996&gt;0,MAX(0,M996),0)</f>
        <v/>
      </c>
      <c r="P996" s="80">
        <f>IF($I996&gt;0,MAX(0,$G996*SIN(RADIANS('13_시나리오비교'!$B$5))*SIN(RADIANS('13_시나리오비교'!$C$5))+$H996*SIN(RADIANS('13_시나리오비교'!$B$5))*COS(RADIANS('13_시나리오비교'!$C$5))+$I996*COS(RADIANS('13_시나리오비교'!$B$5))),0)</f>
        <v/>
      </c>
      <c r="Q996" s="80">
        <f>IF($I996&gt;0,MAX(0,$G996*SIN(RADIANS('13_시나리오비교'!$B$6))*SIN(RADIANS('13_시나리오비교'!$C$6))+$H996*SIN(RADIANS('13_시나리오비교'!$B$6))*COS(RADIANS('13_시나리오비교'!$C$6))+$I996*COS(RADIANS('13_시나리오비교'!$B$6))),0)</f>
        <v/>
      </c>
      <c r="R996" s="80">
        <f>IF($I996&gt;0,MAX(0,$G996*SIN(RADIANS('13_시나리오비교'!$B$7))*SIN(RADIANS('13_시나리오비교'!$C$7))+$H996*SIN(RADIANS('13_시나리오비교'!$B$7))*COS(RADIANS('13_시나리오비교'!$C$7))+$I996*COS(RADIANS('13_시나리오비교'!$B$7))),0)</f>
        <v/>
      </c>
      <c r="S996" s="80">
        <f>IF($I996&gt;0,MAX(0,$G996*SIN(RADIANS('13_시나리오비교'!$B$8))*SIN(RADIANS('13_시나리오비교'!$C$8))+$H996*SIN(RADIANS('13_시나리오비교'!$B$8))*COS(RADIANS('13_시나리오비교'!$C$8))+$I996*COS(RADIANS('13_시나리오비교'!$B$8))),0)</f>
        <v/>
      </c>
      <c r="T996" s="80">
        <f>IF($I996&gt;0,MAX(0,$G996*SIN(RADIANS('13_시나리오비교'!$B$9))*SIN(RADIANS('13_시나리오비교'!$C$9))+$H996*SIN(RADIANS('13_시나리오비교'!$B$9))*COS(RADIANS('13_시나리오비교'!$C$9))+$I996*COS(RADIANS('13_시나리오비교'!$B$9))),0)</f>
        <v/>
      </c>
      <c r="U996" s="80">
        <f>IF($I996&gt;0,MAX(0,$G996*SIN(RADIANS('13_시나리오비교'!$B$10))*SIN(RADIANS('13_시나리오비교'!$C$10))+$H996*SIN(RADIANS('13_시나리오비교'!$B$10))*COS(RADIANS('13_시나리오비교'!$C$10))+$I996*COS(RADIANS('13_시나리오비교'!$B$10))),0)</f>
        <v/>
      </c>
      <c r="V996" s="80">
        <f>IF($I996&gt;0,MAX(0,$G996*SIN(RADIANS('13_시나리오비교'!$B$11))*SIN(RADIANS('13_시나리오비교'!$C$11))+$H996*SIN(RADIANS('13_시나리오비교'!$B$11))*COS(RADIANS('13_시나리오비교'!$C$11))+$I996*COS(RADIANS('13_시나리오비교'!$B$11))),0)</f>
        <v/>
      </c>
      <c r="W996" s="80">
        <f>IF($I996&gt;0,MAX(0,$G996*SIN(RADIANS('13_시나리오비교'!$B$12))*SIN(RADIANS('13_시나리오비교'!$C$12))+$H996*SIN(RADIANS('13_시나리오비교'!$B$12))*COS(RADIANS('13_시나리오비교'!$C$12))+$I996*COS(RADIANS('13_시나리오비교'!$B$12))),0)</f>
        <v/>
      </c>
      <c r="X996" s="80">
        <f>IF($I996&gt;0,MAX(0,$G996*SIN(RADIANS('13_시나리오비교'!$B$13))*SIN(RADIANS('13_시나리오비교'!$C$13))+$H996*SIN(RADIANS('13_시나리오비교'!$B$13))*COS(RADIANS('13_시나리오비교'!$C$13))+$I996*COS(RADIANS('13_시나리오비교'!$B$13))),0)</f>
        <v/>
      </c>
      <c r="Y996" s="80">
        <f>IF($I996&gt;0,MAX(0,$G996*SIN(RADIANS('13_시나리오비교'!$B$14))*SIN(RADIANS('13_시나리오비교'!$C$14))+$H996*SIN(RADIANS('13_시나리오비교'!$B$14))*COS(RADIANS('13_시나리오비교'!$C$14))+$I996*COS(RADIANS('13_시나리오비교'!$B$14))),0)</f>
        <v/>
      </c>
    </row>
    <row r="997" hidden="1" outlineLevel="1">
      <c r="A997" s="79" t="n">
        <v>11</v>
      </c>
      <c r="B997" s="79" t="n">
        <v>17</v>
      </c>
      <c r="C997" s="80">
        <f>(B997-0.5)*'14_지역·상수'!$H$6</f>
        <v/>
      </c>
      <c r="D997" s="79" t="n">
        <v>318</v>
      </c>
      <c r="E997" s="80">
        <f>INDEX($C$4:$C$15,MATCH(A997,$A$4:$A$15,0))</f>
        <v/>
      </c>
      <c r="F997" s="80">
        <f>15*(C997-12)</f>
        <v/>
      </c>
      <c r="G997" s="80">
        <f>-COS(RADIANS(E997))*SIN(RADIANS(F997))</f>
        <v/>
      </c>
      <c r="H997" s="80">
        <f>COS(RADIANS('11_발전량_모델'!$B$17))*SIN(RADIANS(E997))-SIN(RADIANS('11_발전량_모델'!$B$17))*COS(RADIANS(E997))*COS(RADIANS(F997))</f>
        <v/>
      </c>
      <c r="I997" s="80">
        <f>SIN(RADIANS('11_발전량_모델'!$B$17))*SIN(RADIANS(E997))+COS(RADIANS('11_발전량_모델'!$B$17))*COS(RADIANS(E997))*COS(RADIANS(F997))</f>
        <v/>
      </c>
      <c r="J997" s="80">
        <f>SIN(RADIANS('11_발전량_모델'!$B$7))*SIN(RADIANS('11_발전량_모델'!$B$8))</f>
        <v/>
      </c>
      <c r="K997" s="80">
        <f>SIN(RADIANS('11_발전량_모델'!$B$7))*COS(RADIANS('11_발전량_모델'!$B$8))</f>
        <v/>
      </c>
      <c r="L997" s="80">
        <f>COS(RADIANS('11_발전량_모델'!$B$7))</f>
        <v/>
      </c>
      <c r="M997" s="80">
        <f>G997*J997+H997*K997+I997*L997</f>
        <v/>
      </c>
      <c r="N997" s="80">
        <f>MAX(0,I997)</f>
        <v/>
      </c>
      <c r="O997" s="80">
        <f>IF(I997&gt;0,MAX(0,M997),0)</f>
        <v/>
      </c>
      <c r="P997" s="80">
        <f>IF($I997&gt;0,MAX(0,$G997*SIN(RADIANS('13_시나리오비교'!$B$5))*SIN(RADIANS('13_시나리오비교'!$C$5))+$H997*SIN(RADIANS('13_시나리오비교'!$B$5))*COS(RADIANS('13_시나리오비교'!$C$5))+$I997*COS(RADIANS('13_시나리오비교'!$B$5))),0)</f>
        <v/>
      </c>
      <c r="Q997" s="80">
        <f>IF($I997&gt;0,MAX(0,$G997*SIN(RADIANS('13_시나리오비교'!$B$6))*SIN(RADIANS('13_시나리오비교'!$C$6))+$H997*SIN(RADIANS('13_시나리오비교'!$B$6))*COS(RADIANS('13_시나리오비교'!$C$6))+$I997*COS(RADIANS('13_시나리오비교'!$B$6))),0)</f>
        <v/>
      </c>
      <c r="R997" s="80">
        <f>IF($I997&gt;0,MAX(0,$G997*SIN(RADIANS('13_시나리오비교'!$B$7))*SIN(RADIANS('13_시나리오비교'!$C$7))+$H997*SIN(RADIANS('13_시나리오비교'!$B$7))*COS(RADIANS('13_시나리오비교'!$C$7))+$I997*COS(RADIANS('13_시나리오비교'!$B$7))),0)</f>
        <v/>
      </c>
      <c r="S997" s="80">
        <f>IF($I997&gt;0,MAX(0,$G997*SIN(RADIANS('13_시나리오비교'!$B$8))*SIN(RADIANS('13_시나리오비교'!$C$8))+$H997*SIN(RADIANS('13_시나리오비교'!$B$8))*COS(RADIANS('13_시나리오비교'!$C$8))+$I997*COS(RADIANS('13_시나리오비교'!$B$8))),0)</f>
        <v/>
      </c>
      <c r="T997" s="80">
        <f>IF($I997&gt;0,MAX(0,$G997*SIN(RADIANS('13_시나리오비교'!$B$9))*SIN(RADIANS('13_시나리오비교'!$C$9))+$H997*SIN(RADIANS('13_시나리오비교'!$B$9))*COS(RADIANS('13_시나리오비교'!$C$9))+$I997*COS(RADIANS('13_시나리오비교'!$B$9))),0)</f>
        <v/>
      </c>
      <c r="U997" s="80">
        <f>IF($I997&gt;0,MAX(0,$G997*SIN(RADIANS('13_시나리오비교'!$B$10))*SIN(RADIANS('13_시나리오비교'!$C$10))+$H997*SIN(RADIANS('13_시나리오비교'!$B$10))*COS(RADIANS('13_시나리오비교'!$C$10))+$I997*COS(RADIANS('13_시나리오비교'!$B$10))),0)</f>
        <v/>
      </c>
      <c r="V997" s="80">
        <f>IF($I997&gt;0,MAX(0,$G997*SIN(RADIANS('13_시나리오비교'!$B$11))*SIN(RADIANS('13_시나리오비교'!$C$11))+$H997*SIN(RADIANS('13_시나리오비교'!$B$11))*COS(RADIANS('13_시나리오비교'!$C$11))+$I997*COS(RADIANS('13_시나리오비교'!$B$11))),0)</f>
        <v/>
      </c>
      <c r="W997" s="80">
        <f>IF($I997&gt;0,MAX(0,$G997*SIN(RADIANS('13_시나리오비교'!$B$12))*SIN(RADIANS('13_시나리오비교'!$C$12))+$H997*SIN(RADIANS('13_시나리오비교'!$B$12))*COS(RADIANS('13_시나리오비교'!$C$12))+$I997*COS(RADIANS('13_시나리오비교'!$B$12))),0)</f>
        <v/>
      </c>
      <c r="X997" s="80">
        <f>IF($I997&gt;0,MAX(0,$G997*SIN(RADIANS('13_시나리오비교'!$B$13))*SIN(RADIANS('13_시나리오비교'!$C$13))+$H997*SIN(RADIANS('13_시나리오비교'!$B$13))*COS(RADIANS('13_시나리오비교'!$C$13))+$I997*COS(RADIANS('13_시나리오비교'!$B$13))),0)</f>
        <v/>
      </c>
      <c r="Y997" s="80">
        <f>IF($I997&gt;0,MAX(0,$G997*SIN(RADIANS('13_시나리오비교'!$B$14))*SIN(RADIANS('13_시나리오비교'!$C$14))+$H997*SIN(RADIANS('13_시나리오비교'!$B$14))*COS(RADIANS('13_시나리오비교'!$C$14))+$I997*COS(RADIANS('13_시나리오비교'!$B$14))),0)</f>
        <v/>
      </c>
    </row>
    <row r="998" hidden="1" outlineLevel="1">
      <c r="A998" s="79" t="n">
        <v>11</v>
      </c>
      <c r="B998" s="79" t="n">
        <v>18</v>
      </c>
      <c r="C998" s="80">
        <f>(B998-0.5)*'14_지역·상수'!$H$6</f>
        <v/>
      </c>
      <c r="D998" s="79" t="n">
        <v>318</v>
      </c>
      <c r="E998" s="80">
        <f>INDEX($C$4:$C$15,MATCH(A998,$A$4:$A$15,0))</f>
        <v/>
      </c>
      <c r="F998" s="80">
        <f>15*(C998-12)</f>
        <v/>
      </c>
      <c r="G998" s="80">
        <f>-COS(RADIANS(E998))*SIN(RADIANS(F998))</f>
        <v/>
      </c>
      <c r="H998" s="80">
        <f>COS(RADIANS('11_발전량_모델'!$B$17))*SIN(RADIANS(E998))-SIN(RADIANS('11_발전량_모델'!$B$17))*COS(RADIANS(E998))*COS(RADIANS(F998))</f>
        <v/>
      </c>
      <c r="I998" s="80">
        <f>SIN(RADIANS('11_발전량_모델'!$B$17))*SIN(RADIANS(E998))+COS(RADIANS('11_발전량_모델'!$B$17))*COS(RADIANS(E998))*COS(RADIANS(F998))</f>
        <v/>
      </c>
      <c r="J998" s="80">
        <f>SIN(RADIANS('11_발전량_모델'!$B$7))*SIN(RADIANS('11_발전량_모델'!$B$8))</f>
        <v/>
      </c>
      <c r="K998" s="80">
        <f>SIN(RADIANS('11_발전량_모델'!$B$7))*COS(RADIANS('11_발전량_모델'!$B$8))</f>
        <v/>
      </c>
      <c r="L998" s="80">
        <f>COS(RADIANS('11_발전량_모델'!$B$7))</f>
        <v/>
      </c>
      <c r="M998" s="80">
        <f>G998*J998+H998*K998+I998*L998</f>
        <v/>
      </c>
      <c r="N998" s="80">
        <f>MAX(0,I998)</f>
        <v/>
      </c>
      <c r="O998" s="80">
        <f>IF(I998&gt;0,MAX(0,M998),0)</f>
        <v/>
      </c>
      <c r="P998" s="80">
        <f>IF($I998&gt;0,MAX(0,$G998*SIN(RADIANS('13_시나리오비교'!$B$5))*SIN(RADIANS('13_시나리오비교'!$C$5))+$H998*SIN(RADIANS('13_시나리오비교'!$B$5))*COS(RADIANS('13_시나리오비교'!$C$5))+$I998*COS(RADIANS('13_시나리오비교'!$B$5))),0)</f>
        <v/>
      </c>
      <c r="Q998" s="80">
        <f>IF($I998&gt;0,MAX(0,$G998*SIN(RADIANS('13_시나리오비교'!$B$6))*SIN(RADIANS('13_시나리오비교'!$C$6))+$H998*SIN(RADIANS('13_시나리오비교'!$B$6))*COS(RADIANS('13_시나리오비교'!$C$6))+$I998*COS(RADIANS('13_시나리오비교'!$B$6))),0)</f>
        <v/>
      </c>
      <c r="R998" s="80">
        <f>IF($I998&gt;0,MAX(0,$G998*SIN(RADIANS('13_시나리오비교'!$B$7))*SIN(RADIANS('13_시나리오비교'!$C$7))+$H998*SIN(RADIANS('13_시나리오비교'!$B$7))*COS(RADIANS('13_시나리오비교'!$C$7))+$I998*COS(RADIANS('13_시나리오비교'!$B$7))),0)</f>
        <v/>
      </c>
      <c r="S998" s="80">
        <f>IF($I998&gt;0,MAX(0,$G998*SIN(RADIANS('13_시나리오비교'!$B$8))*SIN(RADIANS('13_시나리오비교'!$C$8))+$H998*SIN(RADIANS('13_시나리오비교'!$B$8))*COS(RADIANS('13_시나리오비교'!$C$8))+$I998*COS(RADIANS('13_시나리오비교'!$B$8))),0)</f>
        <v/>
      </c>
      <c r="T998" s="80">
        <f>IF($I998&gt;0,MAX(0,$G998*SIN(RADIANS('13_시나리오비교'!$B$9))*SIN(RADIANS('13_시나리오비교'!$C$9))+$H998*SIN(RADIANS('13_시나리오비교'!$B$9))*COS(RADIANS('13_시나리오비교'!$C$9))+$I998*COS(RADIANS('13_시나리오비교'!$B$9))),0)</f>
        <v/>
      </c>
      <c r="U998" s="80">
        <f>IF($I998&gt;0,MAX(0,$G998*SIN(RADIANS('13_시나리오비교'!$B$10))*SIN(RADIANS('13_시나리오비교'!$C$10))+$H998*SIN(RADIANS('13_시나리오비교'!$B$10))*COS(RADIANS('13_시나리오비교'!$C$10))+$I998*COS(RADIANS('13_시나리오비교'!$B$10))),0)</f>
        <v/>
      </c>
      <c r="V998" s="80">
        <f>IF($I998&gt;0,MAX(0,$G998*SIN(RADIANS('13_시나리오비교'!$B$11))*SIN(RADIANS('13_시나리오비교'!$C$11))+$H998*SIN(RADIANS('13_시나리오비교'!$B$11))*COS(RADIANS('13_시나리오비교'!$C$11))+$I998*COS(RADIANS('13_시나리오비교'!$B$11))),0)</f>
        <v/>
      </c>
      <c r="W998" s="80">
        <f>IF($I998&gt;0,MAX(0,$G998*SIN(RADIANS('13_시나리오비교'!$B$12))*SIN(RADIANS('13_시나리오비교'!$C$12))+$H998*SIN(RADIANS('13_시나리오비교'!$B$12))*COS(RADIANS('13_시나리오비교'!$C$12))+$I998*COS(RADIANS('13_시나리오비교'!$B$12))),0)</f>
        <v/>
      </c>
      <c r="X998" s="80">
        <f>IF($I998&gt;0,MAX(0,$G998*SIN(RADIANS('13_시나리오비교'!$B$13))*SIN(RADIANS('13_시나리오비교'!$C$13))+$H998*SIN(RADIANS('13_시나리오비교'!$B$13))*COS(RADIANS('13_시나리오비교'!$C$13))+$I998*COS(RADIANS('13_시나리오비교'!$B$13))),0)</f>
        <v/>
      </c>
      <c r="Y998" s="80">
        <f>IF($I998&gt;0,MAX(0,$G998*SIN(RADIANS('13_시나리오비교'!$B$14))*SIN(RADIANS('13_시나리오비교'!$C$14))+$H998*SIN(RADIANS('13_시나리오비교'!$B$14))*COS(RADIANS('13_시나리오비교'!$C$14))+$I998*COS(RADIANS('13_시나리오비교'!$B$14))),0)</f>
        <v/>
      </c>
    </row>
    <row r="999" hidden="1" outlineLevel="1">
      <c r="A999" s="79" t="n">
        <v>11</v>
      </c>
      <c r="B999" s="79" t="n">
        <v>19</v>
      </c>
      <c r="C999" s="80">
        <f>(B999-0.5)*'14_지역·상수'!$H$6</f>
        <v/>
      </c>
      <c r="D999" s="79" t="n">
        <v>318</v>
      </c>
      <c r="E999" s="80">
        <f>INDEX($C$4:$C$15,MATCH(A999,$A$4:$A$15,0))</f>
        <v/>
      </c>
      <c r="F999" s="80">
        <f>15*(C999-12)</f>
        <v/>
      </c>
      <c r="G999" s="80">
        <f>-COS(RADIANS(E999))*SIN(RADIANS(F999))</f>
        <v/>
      </c>
      <c r="H999" s="80">
        <f>COS(RADIANS('11_발전량_모델'!$B$17))*SIN(RADIANS(E999))-SIN(RADIANS('11_발전량_모델'!$B$17))*COS(RADIANS(E999))*COS(RADIANS(F999))</f>
        <v/>
      </c>
      <c r="I999" s="80">
        <f>SIN(RADIANS('11_발전량_모델'!$B$17))*SIN(RADIANS(E999))+COS(RADIANS('11_발전량_모델'!$B$17))*COS(RADIANS(E999))*COS(RADIANS(F999))</f>
        <v/>
      </c>
      <c r="J999" s="80">
        <f>SIN(RADIANS('11_발전량_모델'!$B$7))*SIN(RADIANS('11_발전량_모델'!$B$8))</f>
        <v/>
      </c>
      <c r="K999" s="80">
        <f>SIN(RADIANS('11_발전량_모델'!$B$7))*COS(RADIANS('11_발전량_모델'!$B$8))</f>
        <v/>
      </c>
      <c r="L999" s="80">
        <f>COS(RADIANS('11_발전량_모델'!$B$7))</f>
        <v/>
      </c>
      <c r="M999" s="80">
        <f>G999*J999+H999*K999+I999*L999</f>
        <v/>
      </c>
      <c r="N999" s="80">
        <f>MAX(0,I999)</f>
        <v/>
      </c>
      <c r="O999" s="80">
        <f>IF(I999&gt;0,MAX(0,M999),0)</f>
        <v/>
      </c>
      <c r="P999" s="80">
        <f>IF($I999&gt;0,MAX(0,$G999*SIN(RADIANS('13_시나리오비교'!$B$5))*SIN(RADIANS('13_시나리오비교'!$C$5))+$H999*SIN(RADIANS('13_시나리오비교'!$B$5))*COS(RADIANS('13_시나리오비교'!$C$5))+$I999*COS(RADIANS('13_시나리오비교'!$B$5))),0)</f>
        <v/>
      </c>
      <c r="Q999" s="80">
        <f>IF($I999&gt;0,MAX(0,$G999*SIN(RADIANS('13_시나리오비교'!$B$6))*SIN(RADIANS('13_시나리오비교'!$C$6))+$H999*SIN(RADIANS('13_시나리오비교'!$B$6))*COS(RADIANS('13_시나리오비교'!$C$6))+$I999*COS(RADIANS('13_시나리오비교'!$B$6))),0)</f>
        <v/>
      </c>
      <c r="R999" s="80">
        <f>IF($I999&gt;0,MAX(0,$G999*SIN(RADIANS('13_시나리오비교'!$B$7))*SIN(RADIANS('13_시나리오비교'!$C$7))+$H999*SIN(RADIANS('13_시나리오비교'!$B$7))*COS(RADIANS('13_시나리오비교'!$C$7))+$I999*COS(RADIANS('13_시나리오비교'!$B$7))),0)</f>
        <v/>
      </c>
      <c r="S999" s="80">
        <f>IF($I999&gt;0,MAX(0,$G999*SIN(RADIANS('13_시나리오비교'!$B$8))*SIN(RADIANS('13_시나리오비교'!$C$8))+$H999*SIN(RADIANS('13_시나리오비교'!$B$8))*COS(RADIANS('13_시나리오비교'!$C$8))+$I999*COS(RADIANS('13_시나리오비교'!$B$8))),0)</f>
        <v/>
      </c>
      <c r="T999" s="80">
        <f>IF($I999&gt;0,MAX(0,$G999*SIN(RADIANS('13_시나리오비교'!$B$9))*SIN(RADIANS('13_시나리오비교'!$C$9))+$H999*SIN(RADIANS('13_시나리오비교'!$B$9))*COS(RADIANS('13_시나리오비교'!$C$9))+$I999*COS(RADIANS('13_시나리오비교'!$B$9))),0)</f>
        <v/>
      </c>
      <c r="U999" s="80">
        <f>IF($I999&gt;0,MAX(0,$G999*SIN(RADIANS('13_시나리오비교'!$B$10))*SIN(RADIANS('13_시나리오비교'!$C$10))+$H999*SIN(RADIANS('13_시나리오비교'!$B$10))*COS(RADIANS('13_시나리오비교'!$C$10))+$I999*COS(RADIANS('13_시나리오비교'!$B$10))),0)</f>
        <v/>
      </c>
      <c r="V999" s="80">
        <f>IF($I999&gt;0,MAX(0,$G999*SIN(RADIANS('13_시나리오비교'!$B$11))*SIN(RADIANS('13_시나리오비교'!$C$11))+$H999*SIN(RADIANS('13_시나리오비교'!$B$11))*COS(RADIANS('13_시나리오비교'!$C$11))+$I999*COS(RADIANS('13_시나리오비교'!$B$11))),0)</f>
        <v/>
      </c>
      <c r="W999" s="80">
        <f>IF($I999&gt;0,MAX(0,$G999*SIN(RADIANS('13_시나리오비교'!$B$12))*SIN(RADIANS('13_시나리오비교'!$C$12))+$H999*SIN(RADIANS('13_시나리오비교'!$B$12))*COS(RADIANS('13_시나리오비교'!$C$12))+$I999*COS(RADIANS('13_시나리오비교'!$B$12))),0)</f>
        <v/>
      </c>
      <c r="X999" s="80">
        <f>IF($I999&gt;0,MAX(0,$G999*SIN(RADIANS('13_시나리오비교'!$B$13))*SIN(RADIANS('13_시나리오비교'!$C$13))+$H999*SIN(RADIANS('13_시나리오비교'!$B$13))*COS(RADIANS('13_시나리오비교'!$C$13))+$I999*COS(RADIANS('13_시나리오비교'!$B$13))),0)</f>
        <v/>
      </c>
      <c r="Y999" s="80">
        <f>IF($I999&gt;0,MAX(0,$G999*SIN(RADIANS('13_시나리오비교'!$B$14))*SIN(RADIANS('13_시나리오비교'!$C$14))+$H999*SIN(RADIANS('13_시나리오비교'!$B$14))*COS(RADIANS('13_시나리오비교'!$C$14))+$I999*COS(RADIANS('13_시나리오비교'!$B$14))),0)</f>
        <v/>
      </c>
    </row>
    <row r="1000" hidden="1" outlineLevel="1">
      <c r="A1000" s="79" t="n">
        <v>11</v>
      </c>
      <c r="B1000" s="79" t="n">
        <v>20</v>
      </c>
      <c r="C1000" s="80">
        <f>(B1000-0.5)*'14_지역·상수'!$H$6</f>
        <v/>
      </c>
      <c r="D1000" s="79" t="n">
        <v>318</v>
      </c>
      <c r="E1000" s="80">
        <f>INDEX($C$4:$C$15,MATCH(A1000,$A$4:$A$15,0))</f>
        <v/>
      </c>
      <c r="F1000" s="80">
        <f>15*(C1000-12)</f>
        <v/>
      </c>
      <c r="G1000" s="80">
        <f>-COS(RADIANS(E1000))*SIN(RADIANS(F1000))</f>
        <v/>
      </c>
      <c r="H1000" s="80">
        <f>COS(RADIANS('11_발전량_모델'!$B$17))*SIN(RADIANS(E1000))-SIN(RADIANS('11_발전량_모델'!$B$17))*COS(RADIANS(E1000))*COS(RADIANS(F1000))</f>
        <v/>
      </c>
      <c r="I1000" s="80">
        <f>SIN(RADIANS('11_발전량_모델'!$B$17))*SIN(RADIANS(E1000))+COS(RADIANS('11_발전량_모델'!$B$17))*COS(RADIANS(E1000))*COS(RADIANS(F1000))</f>
        <v/>
      </c>
      <c r="J1000" s="80">
        <f>SIN(RADIANS('11_발전량_모델'!$B$7))*SIN(RADIANS('11_발전량_모델'!$B$8))</f>
        <v/>
      </c>
      <c r="K1000" s="80">
        <f>SIN(RADIANS('11_발전량_모델'!$B$7))*COS(RADIANS('11_발전량_모델'!$B$8))</f>
        <v/>
      </c>
      <c r="L1000" s="80">
        <f>COS(RADIANS('11_발전량_모델'!$B$7))</f>
        <v/>
      </c>
      <c r="M1000" s="80">
        <f>G1000*J1000+H1000*K1000+I1000*L1000</f>
        <v/>
      </c>
      <c r="N1000" s="80">
        <f>MAX(0,I1000)</f>
        <v/>
      </c>
      <c r="O1000" s="80">
        <f>IF(I1000&gt;0,MAX(0,M1000),0)</f>
        <v/>
      </c>
      <c r="P1000" s="80">
        <f>IF($I1000&gt;0,MAX(0,$G1000*SIN(RADIANS('13_시나리오비교'!$B$5))*SIN(RADIANS('13_시나리오비교'!$C$5))+$H1000*SIN(RADIANS('13_시나리오비교'!$B$5))*COS(RADIANS('13_시나리오비교'!$C$5))+$I1000*COS(RADIANS('13_시나리오비교'!$B$5))),0)</f>
        <v/>
      </c>
      <c r="Q1000" s="80">
        <f>IF($I1000&gt;0,MAX(0,$G1000*SIN(RADIANS('13_시나리오비교'!$B$6))*SIN(RADIANS('13_시나리오비교'!$C$6))+$H1000*SIN(RADIANS('13_시나리오비교'!$B$6))*COS(RADIANS('13_시나리오비교'!$C$6))+$I1000*COS(RADIANS('13_시나리오비교'!$B$6))),0)</f>
        <v/>
      </c>
      <c r="R1000" s="80">
        <f>IF($I1000&gt;0,MAX(0,$G1000*SIN(RADIANS('13_시나리오비교'!$B$7))*SIN(RADIANS('13_시나리오비교'!$C$7))+$H1000*SIN(RADIANS('13_시나리오비교'!$B$7))*COS(RADIANS('13_시나리오비교'!$C$7))+$I1000*COS(RADIANS('13_시나리오비교'!$B$7))),0)</f>
        <v/>
      </c>
      <c r="S1000" s="80">
        <f>IF($I1000&gt;0,MAX(0,$G1000*SIN(RADIANS('13_시나리오비교'!$B$8))*SIN(RADIANS('13_시나리오비교'!$C$8))+$H1000*SIN(RADIANS('13_시나리오비교'!$B$8))*COS(RADIANS('13_시나리오비교'!$C$8))+$I1000*COS(RADIANS('13_시나리오비교'!$B$8))),0)</f>
        <v/>
      </c>
      <c r="T1000" s="80">
        <f>IF($I1000&gt;0,MAX(0,$G1000*SIN(RADIANS('13_시나리오비교'!$B$9))*SIN(RADIANS('13_시나리오비교'!$C$9))+$H1000*SIN(RADIANS('13_시나리오비교'!$B$9))*COS(RADIANS('13_시나리오비교'!$C$9))+$I1000*COS(RADIANS('13_시나리오비교'!$B$9))),0)</f>
        <v/>
      </c>
      <c r="U1000" s="80">
        <f>IF($I1000&gt;0,MAX(0,$G1000*SIN(RADIANS('13_시나리오비교'!$B$10))*SIN(RADIANS('13_시나리오비교'!$C$10))+$H1000*SIN(RADIANS('13_시나리오비교'!$B$10))*COS(RADIANS('13_시나리오비교'!$C$10))+$I1000*COS(RADIANS('13_시나리오비교'!$B$10))),0)</f>
        <v/>
      </c>
      <c r="V1000" s="80">
        <f>IF($I1000&gt;0,MAX(0,$G1000*SIN(RADIANS('13_시나리오비교'!$B$11))*SIN(RADIANS('13_시나리오비교'!$C$11))+$H1000*SIN(RADIANS('13_시나리오비교'!$B$11))*COS(RADIANS('13_시나리오비교'!$C$11))+$I1000*COS(RADIANS('13_시나리오비교'!$B$11))),0)</f>
        <v/>
      </c>
      <c r="W1000" s="80">
        <f>IF($I1000&gt;0,MAX(0,$G1000*SIN(RADIANS('13_시나리오비교'!$B$12))*SIN(RADIANS('13_시나리오비교'!$C$12))+$H1000*SIN(RADIANS('13_시나리오비교'!$B$12))*COS(RADIANS('13_시나리오비교'!$C$12))+$I1000*COS(RADIANS('13_시나리오비교'!$B$12))),0)</f>
        <v/>
      </c>
      <c r="X1000" s="80">
        <f>IF($I1000&gt;0,MAX(0,$G1000*SIN(RADIANS('13_시나리오비교'!$B$13))*SIN(RADIANS('13_시나리오비교'!$C$13))+$H1000*SIN(RADIANS('13_시나리오비교'!$B$13))*COS(RADIANS('13_시나리오비교'!$C$13))+$I1000*COS(RADIANS('13_시나리오비교'!$B$13))),0)</f>
        <v/>
      </c>
      <c r="Y1000" s="80">
        <f>IF($I1000&gt;0,MAX(0,$G1000*SIN(RADIANS('13_시나리오비교'!$B$14))*SIN(RADIANS('13_시나리오비교'!$C$14))+$H1000*SIN(RADIANS('13_시나리오비교'!$B$14))*COS(RADIANS('13_시나리오비교'!$C$14))+$I1000*COS(RADIANS('13_시나리오비교'!$B$14))),0)</f>
        <v/>
      </c>
    </row>
    <row r="1001" hidden="1" outlineLevel="1">
      <c r="A1001" s="79" t="n">
        <v>11</v>
      </c>
      <c r="B1001" s="79" t="n">
        <v>21</v>
      </c>
      <c r="C1001" s="80">
        <f>(B1001-0.5)*'14_지역·상수'!$H$6</f>
        <v/>
      </c>
      <c r="D1001" s="79" t="n">
        <v>318</v>
      </c>
      <c r="E1001" s="80">
        <f>INDEX($C$4:$C$15,MATCH(A1001,$A$4:$A$15,0))</f>
        <v/>
      </c>
      <c r="F1001" s="80">
        <f>15*(C1001-12)</f>
        <v/>
      </c>
      <c r="G1001" s="80">
        <f>-COS(RADIANS(E1001))*SIN(RADIANS(F1001))</f>
        <v/>
      </c>
      <c r="H1001" s="80">
        <f>COS(RADIANS('11_발전량_모델'!$B$17))*SIN(RADIANS(E1001))-SIN(RADIANS('11_발전량_모델'!$B$17))*COS(RADIANS(E1001))*COS(RADIANS(F1001))</f>
        <v/>
      </c>
      <c r="I1001" s="80">
        <f>SIN(RADIANS('11_발전량_모델'!$B$17))*SIN(RADIANS(E1001))+COS(RADIANS('11_발전량_모델'!$B$17))*COS(RADIANS(E1001))*COS(RADIANS(F1001))</f>
        <v/>
      </c>
      <c r="J1001" s="80">
        <f>SIN(RADIANS('11_발전량_모델'!$B$7))*SIN(RADIANS('11_발전량_모델'!$B$8))</f>
        <v/>
      </c>
      <c r="K1001" s="80">
        <f>SIN(RADIANS('11_발전량_모델'!$B$7))*COS(RADIANS('11_발전량_모델'!$B$8))</f>
        <v/>
      </c>
      <c r="L1001" s="80">
        <f>COS(RADIANS('11_발전량_모델'!$B$7))</f>
        <v/>
      </c>
      <c r="M1001" s="80">
        <f>G1001*J1001+H1001*K1001+I1001*L1001</f>
        <v/>
      </c>
      <c r="N1001" s="80">
        <f>MAX(0,I1001)</f>
        <v/>
      </c>
      <c r="O1001" s="80">
        <f>IF(I1001&gt;0,MAX(0,M1001),0)</f>
        <v/>
      </c>
      <c r="P1001" s="80">
        <f>IF($I1001&gt;0,MAX(0,$G1001*SIN(RADIANS('13_시나리오비교'!$B$5))*SIN(RADIANS('13_시나리오비교'!$C$5))+$H1001*SIN(RADIANS('13_시나리오비교'!$B$5))*COS(RADIANS('13_시나리오비교'!$C$5))+$I1001*COS(RADIANS('13_시나리오비교'!$B$5))),0)</f>
        <v/>
      </c>
      <c r="Q1001" s="80">
        <f>IF($I1001&gt;0,MAX(0,$G1001*SIN(RADIANS('13_시나리오비교'!$B$6))*SIN(RADIANS('13_시나리오비교'!$C$6))+$H1001*SIN(RADIANS('13_시나리오비교'!$B$6))*COS(RADIANS('13_시나리오비교'!$C$6))+$I1001*COS(RADIANS('13_시나리오비교'!$B$6))),0)</f>
        <v/>
      </c>
      <c r="R1001" s="80">
        <f>IF($I1001&gt;0,MAX(0,$G1001*SIN(RADIANS('13_시나리오비교'!$B$7))*SIN(RADIANS('13_시나리오비교'!$C$7))+$H1001*SIN(RADIANS('13_시나리오비교'!$B$7))*COS(RADIANS('13_시나리오비교'!$C$7))+$I1001*COS(RADIANS('13_시나리오비교'!$B$7))),0)</f>
        <v/>
      </c>
      <c r="S1001" s="80">
        <f>IF($I1001&gt;0,MAX(0,$G1001*SIN(RADIANS('13_시나리오비교'!$B$8))*SIN(RADIANS('13_시나리오비교'!$C$8))+$H1001*SIN(RADIANS('13_시나리오비교'!$B$8))*COS(RADIANS('13_시나리오비교'!$C$8))+$I1001*COS(RADIANS('13_시나리오비교'!$B$8))),0)</f>
        <v/>
      </c>
      <c r="T1001" s="80">
        <f>IF($I1001&gt;0,MAX(0,$G1001*SIN(RADIANS('13_시나리오비교'!$B$9))*SIN(RADIANS('13_시나리오비교'!$C$9))+$H1001*SIN(RADIANS('13_시나리오비교'!$B$9))*COS(RADIANS('13_시나리오비교'!$C$9))+$I1001*COS(RADIANS('13_시나리오비교'!$B$9))),0)</f>
        <v/>
      </c>
      <c r="U1001" s="80">
        <f>IF($I1001&gt;0,MAX(0,$G1001*SIN(RADIANS('13_시나리오비교'!$B$10))*SIN(RADIANS('13_시나리오비교'!$C$10))+$H1001*SIN(RADIANS('13_시나리오비교'!$B$10))*COS(RADIANS('13_시나리오비교'!$C$10))+$I1001*COS(RADIANS('13_시나리오비교'!$B$10))),0)</f>
        <v/>
      </c>
      <c r="V1001" s="80">
        <f>IF($I1001&gt;0,MAX(0,$G1001*SIN(RADIANS('13_시나리오비교'!$B$11))*SIN(RADIANS('13_시나리오비교'!$C$11))+$H1001*SIN(RADIANS('13_시나리오비교'!$B$11))*COS(RADIANS('13_시나리오비교'!$C$11))+$I1001*COS(RADIANS('13_시나리오비교'!$B$11))),0)</f>
        <v/>
      </c>
      <c r="W1001" s="80">
        <f>IF($I1001&gt;0,MAX(0,$G1001*SIN(RADIANS('13_시나리오비교'!$B$12))*SIN(RADIANS('13_시나리오비교'!$C$12))+$H1001*SIN(RADIANS('13_시나리오비교'!$B$12))*COS(RADIANS('13_시나리오비교'!$C$12))+$I1001*COS(RADIANS('13_시나리오비교'!$B$12))),0)</f>
        <v/>
      </c>
      <c r="X1001" s="80">
        <f>IF($I1001&gt;0,MAX(0,$G1001*SIN(RADIANS('13_시나리오비교'!$B$13))*SIN(RADIANS('13_시나리오비교'!$C$13))+$H1001*SIN(RADIANS('13_시나리오비교'!$B$13))*COS(RADIANS('13_시나리오비교'!$C$13))+$I1001*COS(RADIANS('13_시나리오비교'!$B$13))),0)</f>
        <v/>
      </c>
      <c r="Y1001" s="80">
        <f>IF($I1001&gt;0,MAX(0,$G1001*SIN(RADIANS('13_시나리오비교'!$B$14))*SIN(RADIANS('13_시나리오비교'!$C$14))+$H1001*SIN(RADIANS('13_시나리오비교'!$B$14))*COS(RADIANS('13_시나리오비교'!$C$14))+$I1001*COS(RADIANS('13_시나리오비교'!$B$14))),0)</f>
        <v/>
      </c>
    </row>
    <row r="1002" hidden="1" outlineLevel="1">
      <c r="A1002" s="79" t="n">
        <v>11</v>
      </c>
      <c r="B1002" s="79" t="n">
        <v>22</v>
      </c>
      <c r="C1002" s="80">
        <f>(B1002-0.5)*'14_지역·상수'!$H$6</f>
        <v/>
      </c>
      <c r="D1002" s="79" t="n">
        <v>318</v>
      </c>
      <c r="E1002" s="80">
        <f>INDEX($C$4:$C$15,MATCH(A1002,$A$4:$A$15,0))</f>
        <v/>
      </c>
      <c r="F1002" s="80">
        <f>15*(C1002-12)</f>
        <v/>
      </c>
      <c r="G1002" s="80">
        <f>-COS(RADIANS(E1002))*SIN(RADIANS(F1002))</f>
        <v/>
      </c>
      <c r="H1002" s="80">
        <f>COS(RADIANS('11_발전량_모델'!$B$17))*SIN(RADIANS(E1002))-SIN(RADIANS('11_발전량_모델'!$B$17))*COS(RADIANS(E1002))*COS(RADIANS(F1002))</f>
        <v/>
      </c>
      <c r="I1002" s="80">
        <f>SIN(RADIANS('11_발전량_모델'!$B$17))*SIN(RADIANS(E1002))+COS(RADIANS('11_발전량_모델'!$B$17))*COS(RADIANS(E1002))*COS(RADIANS(F1002))</f>
        <v/>
      </c>
      <c r="J1002" s="80">
        <f>SIN(RADIANS('11_발전량_모델'!$B$7))*SIN(RADIANS('11_발전량_모델'!$B$8))</f>
        <v/>
      </c>
      <c r="K1002" s="80">
        <f>SIN(RADIANS('11_발전량_모델'!$B$7))*COS(RADIANS('11_발전량_모델'!$B$8))</f>
        <v/>
      </c>
      <c r="L1002" s="80">
        <f>COS(RADIANS('11_발전량_모델'!$B$7))</f>
        <v/>
      </c>
      <c r="M1002" s="80">
        <f>G1002*J1002+H1002*K1002+I1002*L1002</f>
        <v/>
      </c>
      <c r="N1002" s="80">
        <f>MAX(0,I1002)</f>
        <v/>
      </c>
      <c r="O1002" s="80">
        <f>IF(I1002&gt;0,MAX(0,M1002),0)</f>
        <v/>
      </c>
      <c r="P1002" s="80">
        <f>IF($I1002&gt;0,MAX(0,$G1002*SIN(RADIANS('13_시나리오비교'!$B$5))*SIN(RADIANS('13_시나리오비교'!$C$5))+$H1002*SIN(RADIANS('13_시나리오비교'!$B$5))*COS(RADIANS('13_시나리오비교'!$C$5))+$I1002*COS(RADIANS('13_시나리오비교'!$B$5))),0)</f>
        <v/>
      </c>
      <c r="Q1002" s="80">
        <f>IF($I1002&gt;0,MAX(0,$G1002*SIN(RADIANS('13_시나리오비교'!$B$6))*SIN(RADIANS('13_시나리오비교'!$C$6))+$H1002*SIN(RADIANS('13_시나리오비교'!$B$6))*COS(RADIANS('13_시나리오비교'!$C$6))+$I1002*COS(RADIANS('13_시나리오비교'!$B$6))),0)</f>
        <v/>
      </c>
      <c r="R1002" s="80">
        <f>IF($I1002&gt;0,MAX(0,$G1002*SIN(RADIANS('13_시나리오비교'!$B$7))*SIN(RADIANS('13_시나리오비교'!$C$7))+$H1002*SIN(RADIANS('13_시나리오비교'!$B$7))*COS(RADIANS('13_시나리오비교'!$C$7))+$I1002*COS(RADIANS('13_시나리오비교'!$B$7))),0)</f>
        <v/>
      </c>
      <c r="S1002" s="80">
        <f>IF($I1002&gt;0,MAX(0,$G1002*SIN(RADIANS('13_시나리오비교'!$B$8))*SIN(RADIANS('13_시나리오비교'!$C$8))+$H1002*SIN(RADIANS('13_시나리오비교'!$B$8))*COS(RADIANS('13_시나리오비교'!$C$8))+$I1002*COS(RADIANS('13_시나리오비교'!$B$8))),0)</f>
        <v/>
      </c>
      <c r="T1002" s="80">
        <f>IF($I1002&gt;0,MAX(0,$G1002*SIN(RADIANS('13_시나리오비교'!$B$9))*SIN(RADIANS('13_시나리오비교'!$C$9))+$H1002*SIN(RADIANS('13_시나리오비교'!$B$9))*COS(RADIANS('13_시나리오비교'!$C$9))+$I1002*COS(RADIANS('13_시나리오비교'!$B$9))),0)</f>
        <v/>
      </c>
      <c r="U1002" s="80">
        <f>IF($I1002&gt;0,MAX(0,$G1002*SIN(RADIANS('13_시나리오비교'!$B$10))*SIN(RADIANS('13_시나리오비교'!$C$10))+$H1002*SIN(RADIANS('13_시나리오비교'!$B$10))*COS(RADIANS('13_시나리오비교'!$C$10))+$I1002*COS(RADIANS('13_시나리오비교'!$B$10))),0)</f>
        <v/>
      </c>
      <c r="V1002" s="80">
        <f>IF($I1002&gt;0,MAX(0,$G1002*SIN(RADIANS('13_시나리오비교'!$B$11))*SIN(RADIANS('13_시나리오비교'!$C$11))+$H1002*SIN(RADIANS('13_시나리오비교'!$B$11))*COS(RADIANS('13_시나리오비교'!$C$11))+$I1002*COS(RADIANS('13_시나리오비교'!$B$11))),0)</f>
        <v/>
      </c>
      <c r="W1002" s="80">
        <f>IF($I1002&gt;0,MAX(0,$G1002*SIN(RADIANS('13_시나리오비교'!$B$12))*SIN(RADIANS('13_시나리오비교'!$C$12))+$H1002*SIN(RADIANS('13_시나리오비교'!$B$12))*COS(RADIANS('13_시나리오비교'!$C$12))+$I1002*COS(RADIANS('13_시나리오비교'!$B$12))),0)</f>
        <v/>
      </c>
      <c r="X1002" s="80">
        <f>IF($I1002&gt;0,MAX(0,$G1002*SIN(RADIANS('13_시나리오비교'!$B$13))*SIN(RADIANS('13_시나리오비교'!$C$13))+$H1002*SIN(RADIANS('13_시나리오비교'!$B$13))*COS(RADIANS('13_시나리오비교'!$C$13))+$I1002*COS(RADIANS('13_시나리오비교'!$B$13))),0)</f>
        <v/>
      </c>
      <c r="Y1002" s="80">
        <f>IF($I1002&gt;0,MAX(0,$G1002*SIN(RADIANS('13_시나리오비교'!$B$14))*SIN(RADIANS('13_시나리오비교'!$C$14))+$H1002*SIN(RADIANS('13_시나리오비교'!$B$14))*COS(RADIANS('13_시나리오비교'!$C$14))+$I1002*COS(RADIANS('13_시나리오비교'!$B$14))),0)</f>
        <v/>
      </c>
    </row>
    <row r="1003" hidden="1" outlineLevel="1">
      <c r="A1003" s="79" t="n">
        <v>11</v>
      </c>
      <c r="B1003" s="79" t="n">
        <v>23</v>
      </c>
      <c r="C1003" s="80">
        <f>(B1003-0.5)*'14_지역·상수'!$H$6</f>
        <v/>
      </c>
      <c r="D1003" s="79" t="n">
        <v>318</v>
      </c>
      <c r="E1003" s="80">
        <f>INDEX($C$4:$C$15,MATCH(A1003,$A$4:$A$15,0))</f>
        <v/>
      </c>
      <c r="F1003" s="80">
        <f>15*(C1003-12)</f>
        <v/>
      </c>
      <c r="G1003" s="80">
        <f>-COS(RADIANS(E1003))*SIN(RADIANS(F1003))</f>
        <v/>
      </c>
      <c r="H1003" s="80">
        <f>COS(RADIANS('11_발전량_모델'!$B$17))*SIN(RADIANS(E1003))-SIN(RADIANS('11_발전량_모델'!$B$17))*COS(RADIANS(E1003))*COS(RADIANS(F1003))</f>
        <v/>
      </c>
      <c r="I1003" s="80">
        <f>SIN(RADIANS('11_발전량_모델'!$B$17))*SIN(RADIANS(E1003))+COS(RADIANS('11_발전량_모델'!$B$17))*COS(RADIANS(E1003))*COS(RADIANS(F1003))</f>
        <v/>
      </c>
      <c r="J1003" s="80">
        <f>SIN(RADIANS('11_발전량_모델'!$B$7))*SIN(RADIANS('11_발전량_모델'!$B$8))</f>
        <v/>
      </c>
      <c r="K1003" s="80">
        <f>SIN(RADIANS('11_발전량_모델'!$B$7))*COS(RADIANS('11_발전량_모델'!$B$8))</f>
        <v/>
      </c>
      <c r="L1003" s="80">
        <f>COS(RADIANS('11_발전량_모델'!$B$7))</f>
        <v/>
      </c>
      <c r="M1003" s="80">
        <f>G1003*J1003+H1003*K1003+I1003*L1003</f>
        <v/>
      </c>
      <c r="N1003" s="80">
        <f>MAX(0,I1003)</f>
        <v/>
      </c>
      <c r="O1003" s="80">
        <f>IF(I1003&gt;0,MAX(0,M1003),0)</f>
        <v/>
      </c>
      <c r="P1003" s="80">
        <f>IF($I1003&gt;0,MAX(0,$G1003*SIN(RADIANS('13_시나리오비교'!$B$5))*SIN(RADIANS('13_시나리오비교'!$C$5))+$H1003*SIN(RADIANS('13_시나리오비교'!$B$5))*COS(RADIANS('13_시나리오비교'!$C$5))+$I1003*COS(RADIANS('13_시나리오비교'!$B$5))),0)</f>
        <v/>
      </c>
      <c r="Q1003" s="80">
        <f>IF($I1003&gt;0,MAX(0,$G1003*SIN(RADIANS('13_시나리오비교'!$B$6))*SIN(RADIANS('13_시나리오비교'!$C$6))+$H1003*SIN(RADIANS('13_시나리오비교'!$B$6))*COS(RADIANS('13_시나리오비교'!$C$6))+$I1003*COS(RADIANS('13_시나리오비교'!$B$6))),0)</f>
        <v/>
      </c>
      <c r="R1003" s="80">
        <f>IF($I1003&gt;0,MAX(0,$G1003*SIN(RADIANS('13_시나리오비교'!$B$7))*SIN(RADIANS('13_시나리오비교'!$C$7))+$H1003*SIN(RADIANS('13_시나리오비교'!$B$7))*COS(RADIANS('13_시나리오비교'!$C$7))+$I1003*COS(RADIANS('13_시나리오비교'!$B$7))),0)</f>
        <v/>
      </c>
      <c r="S1003" s="80">
        <f>IF($I1003&gt;0,MAX(0,$G1003*SIN(RADIANS('13_시나리오비교'!$B$8))*SIN(RADIANS('13_시나리오비교'!$C$8))+$H1003*SIN(RADIANS('13_시나리오비교'!$B$8))*COS(RADIANS('13_시나리오비교'!$C$8))+$I1003*COS(RADIANS('13_시나리오비교'!$B$8))),0)</f>
        <v/>
      </c>
      <c r="T1003" s="80">
        <f>IF($I1003&gt;0,MAX(0,$G1003*SIN(RADIANS('13_시나리오비교'!$B$9))*SIN(RADIANS('13_시나리오비교'!$C$9))+$H1003*SIN(RADIANS('13_시나리오비교'!$B$9))*COS(RADIANS('13_시나리오비교'!$C$9))+$I1003*COS(RADIANS('13_시나리오비교'!$B$9))),0)</f>
        <v/>
      </c>
      <c r="U1003" s="80">
        <f>IF($I1003&gt;0,MAX(0,$G1003*SIN(RADIANS('13_시나리오비교'!$B$10))*SIN(RADIANS('13_시나리오비교'!$C$10))+$H1003*SIN(RADIANS('13_시나리오비교'!$B$10))*COS(RADIANS('13_시나리오비교'!$C$10))+$I1003*COS(RADIANS('13_시나리오비교'!$B$10))),0)</f>
        <v/>
      </c>
      <c r="V1003" s="80">
        <f>IF($I1003&gt;0,MAX(0,$G1003*SIN(RADIANS('13_시나리오비교'!$B$11))*SIN(RADIANS('13_시나리오비교'!$C$11))+$H1003*SIN(RADIANS('13_시나리오비교'!$B$11))*COS(RADIANS('13_시나리오비교'!$C$11))+$I1003*COS(RADIANS('13_시나리오비교'!$B$11))),0)</f>
        <v/>
      </c>
      <c r="W1003" s="80">
        <f>IF($I1003&gt;0,MAX(0,$G1003*SIN(RADIANS('13_시나리오비교'!$B$12))*SIN(RADIANS('13_시나리오비교'!$C$12))+$H1003*SIN(RADIANS('13_시나리오비교'!$B$12))*COS(RADIANS('13_시나리오비교'!$C$12))+$I1003*COS(RADIANS('13_시나리오비교'!$B$12))),0)</f>
        <v/>
      </c>
      <c r="X1003" s="80">
        <f>IF($I1003&gt;0,MAX(0,$G1003*SIN(RADIANS('13_시나리오비교'!$B$13))*SIN(RADIANS('13_시나리오비교'!$C$13))+$H1003*SIN(RADIANS('13_시나리오비교'!$B$13))*COS(RADIANS('13_시나리오비교'!$C$13))+$I1003*COS(RADIANS('13_시나리오비교'!$B$13))),0)</f>
        <v/>
      </c>
      <c r="Y1003" s="80">
        <f>IF($I1003&gt;0,MAX(0,$G1003*SIN(RADIANS('13_시나리오비교'!$B$14))*SIN(RADIANS('13_시나리오비교'!$C$14))+$H1003*SIN(RADIANS('13_시나리오비교'!$B$14))*COS(RADIANS('13_시나리오비교'!$C$14))+$I1003*COS(RADIANS('13_시나리오비교'!$B$14))),0)</f>
        <v/>
      </c>
    </row>
    <row r="1004" hidden="1" outlineLevel="1">
      <c r="A1004" s="79" t="n">
        <v>11</v>
      </c>
      <c r="B1004" s="79" t="n">
        <v>24</v>
      </c>
      <c r="C1004" s="80">
        <f>(B1004-0.5)*'14_지역·상수'!$H$6</f>
        <v/>
      </c>
      <c r="D1004" s="79" t="n">
        <v>318</v>
      </c>
      <c r="E1004" s="80">
        <f>INDEX($C$4:$C$15,MATCH(A1004,$A$4:$A$15,0))</f>
        <v/>
      </c>
      <c r="F1004" s="80">
        <f>15*(C1004-12)</f>
        <v/>
      </c>
      <c r="G1004" s="80">
        <f>-COS(RADIANS(E1004))*SIN(RADIANS(F1004))</f>
        <v/>
      </c>
      <c r="H1004" s="80">
        <f>COS(RADIANS('11_발전량_모델'!$B$17))*SIN(RADIANS(E1004))-SIN(RADIANS('11_발전량_모델'!$B$17))*COS(RADIANS(E1004))*COS(RADIANS(F1004))</f>
        <v/>
      </c>
      <c r="I1004" s="80">
        <f>SIN(RADIANS('11_발전량_모델'!$B$17))*SIN(RADIANS(E1004))+COS(RADIANS('11_발전량_모델'!$B$17))*COS(RADIANS(E1004))*COS(RADIANS(F1004))</f>
        <v/>
      </c>
      <c r="J1004" s="80">
        <f>SIN(RADIANS('11_발전량_모델'!$B$7))*SIN(RADIANS('11_발전량_모델'!$B$8))</f>
        <v/>
      </c>
      <c r="K1004" s="80">
        <f>SIN(RADIANS('11_발전량_모델'!$B$7))*COS(RADIANS('11_발전량_모델'!$B$8))</f>
        <v/>
      </c>
      <c r="L1004" s="80">
        <f>COS(RADIANS('11_발전량_모델'!$B$7))</f>
        <v/>
      </c>
      <c r="M1004" s="80">
        <f>G1004*J1004+H1004*K1004+I1004*L1004</f>
        <v/>
      </c>
      <c r="N1004" s="80">
        <f>MAX(0,I1004)</f>
        <v/>
      </c>
      <c r="O1004" s="80">
        <f>IF(I1004&gt;0,MAX(0,M1004),0)</f>
        <v/>
      </c>
      <c r="P1004" s="80">
        <f>IF($I1004&gt;0,MAX(0,$G1004*SIN(RADIANS('13_시나리오비교'!$B$5))*SIN(RADIANS('13_시나리오비교'!$C$5))+$H1004*SIN(RADIANS('13_시나리오비교'!$B$5))*COS(RADIANS('13_시나리오비교'!$C$5))+$I1004*COS(RADIANS('13_시나리오비교'!$B$5))),0)</f>
        <v/>
      </c>
      <c r="Q1004" s="80">
        <f>IF($I1004&gt;0,MAX(0,$G1004*SIN(RADIANS('13_시나리오비교'!$B$6))*SIN(RADIANS('13_시나리오비교'!$C$6))+$H1004*SIN(RADIANS('13_시나리오비교'!$B$6))*COS(RADIANS('13_시나리오비교'!$C$6))+$I1004*COS(RADIANS('13_시나리오비교'!$B$6))),0)</f>
        <v/>
      </c>
      <c r="R1004" s="80">
        <f>IF($I1004&gt;0,MAX(0,$G1004*SIN(RADIANS('13_시나리오비교'!$B$7))*SIN(RADIANS('13_시나리오비교'!$C$7))+$H1004*SIN(RADIANS('13_시나리오비교'!$B$7))*COS(RADIANS('13_시나리오비교'!$C$7))+$I1004*COS(RADIANS('13_시나리오비교'!$B$7))),0)</f>
        <v/>
      </c>
      <c r="S1004" s="80">
        <f>IF($I1004&gt;0,MAX(0,$G1004*SIN(RADIANS('13_시나리오비교'!$B$8))*SIN(RADIANS('13_시나리오비교'!$C$8))+$H1004*SIN(RADIANS('13_시나리오비교'!$B$8))*COS(RADIANS('13_시나리오비교'!$C$8))+$I1004*COS(RADIANS('13_시나리오비교'!$B$8))),0)</f>
        <v/>
      </c>
      <c r="T1004" s="80">
        <f>IF($I1004&gt;0,MAX(0,$G1004*SIN(RADIANS('13_시나리오비교'!$B$9))*SIN(RADIANS('13_시나리오비교'!$C$9))+$H1004*SIN(RADIANS('13_시나리오비교'!$B$9))*COS(RADIANS('13_시나리오비교'!$C$9))+$I1004*COS(RADIANS('13_시나리오비교'!$B$9))),0)</f>
        <v/>
      </c>
      <c r="U1004" s="80">
        <f>IF($I1004&gt;0,MAX(0,$G1004*SIN(RADIANS('13_시나리오비교'!$B$10))*SIN(RADIANS('13_시나리오비교'!$C$10))+$H1004*SIN(RADIANS('13_시나리오비교'!$B$10))*COS(RADIANS('13_시나리오비교'!$C$10))+$I1004*COS(RADIANS('13_시나리오비교'!$B$10))),0)</f>
        <v/>
      </c>
      <c r="V1004" s="80">
        <f>IF($I1004&gt;0,MAX(0,$G1004*SIN(RADIANS('13_시나리오비교'!$B$11))*SIN(RADIANS('13_시나리오비교'!$C$11))+$H1004*SIN(RADIANS('13_시나리오비교'!$B$11))*COS(RADIANS('13_시나리오비교'!$C$11))+$I1004*COS(RADIANS('13_시나리오비교'!$B$11))),0)</f>
        <v/>
      </c>
      <c r="W1004" s="80">
        <f>IF($I1004&gt;0,MAX(0,$G1004*SIN(RADIANS('13_시나리오비교'!$B$12))*SIN(RADIANS('13_시나리오비교'!$C$12))+$H1004*SIN(RADIANS('13_시나리오비교'!$B$12))*COS(RADIANS('13_시나리오비교'!$C$12))+$I1004*COS(RADIANS('13_시나리오비교'!$B$12))),0)</f>
        <v/>
      </c>
      <c r="X1004" s="80">
        <f>IF($I1004&gt;0,MAX(0,$G1004*SIN(RADIANS('13_시나리오비교'!$B$13))*SIN(RADIANS('13_시나리오비교'!$C$13))+$H1004*SIN(RADIANS('13_시나리오비교'!$B$13))*COS(RADIANS('13_시나리오비교'!$C$13))+$I1004*COS(RADIANS('13_시나리오비교'!$B$13))),0)</f>
        <v/>
      </c>
      <c r="Y1004" s="80">
        <f>IF($I1004&gt;0,MAX(0,$G1004*SIN(RADIANS('13_시나리오비교'!$B$14))*SIN(RADIANS('13_시나리오비교'!$C$14))+$H1004*SIN(RADIANS('13_시나리오비교'!$B$14))*COS(RADIANS('13_시나리오비교'!$C$14))+$I1004*COS(RADIANS('13_시나리오비교'!$B$14))),0)</f>
        <v/>
      </c>
    </row>
    <row r="1005" hidden="1" outlineLevel="1">
      <c r="A1005" s="79" t="n">
        <v>11</v>
      </c>
      <c r="B1005" s="79" t="n">
        <v>25</v>
      </c>
      <c r="C1005" s="80">
        <f>(B1005-0.5)*'14_지역·상수'!$H$6</f>
        <v/>
      </c>
      <c r="D1005" s="79" t="n">
        <v>318</v>
      </c>
      <c r="E1005" s="80">
        <f>INDEX($C$4:$C$15,MATCH(A1005,$A$4:$A$15,0))</f>
        <v/>
      </c>
      <c r="F1005" s="80">
        <f>15*(C1005-12)</f>
        <v/>
      </c>
      <c r="G1005" s="80">
        <f>-COS(RADIANS(E1005))*SIN(RADIANS(F1005))</f>
        <v/>
      </c>
      <c r="H1005" s="80">
        <f>COS(RADIANS('11_발전량_모델'!$B$17))*SIN(RADIANS(E1005))-SIN(RADIANS('11_발전량_모델'!$B$17))*COS(RADIANS(E1005))*COS(RADIANS(F1005))</f>
        <v/>
      </c>
      <c r="I1005" s="80">
        <f>SIN(RADIANS('11_발전량_모델'!$B$17))*SIN(RADIANS(E1005))+COS(RADIANS('11_발전량_모델'!$B$17))*COS(RADIANS(E1005))*COS(RADIANS(F1005))</f>
        <v/>
      </c>
      <c r="J1005" s="80">
        <f>SIN(RADIANS('11_발전량_모델'!$B$7))*SIN(RADIANS('11_발전량_모델'!$B$8))</f>
        <v/>
      </c>
      <c r="K1005" s="80">
        <f>SIN(RADIANS('11_발전량_모델'!$B$7))*COS(RADIANS('11_발전량_모델'!$B$8))</f>
        <v/>
      </c>
      <c r="L1005" s="80">
        <f>COS(RADIANS('11_발전량_모델'!$B$7))</f>
        <v/>
      </c>
      <c r="M1005" s="80">
        <f>G1005*J1005+H1005*K1005+I1005*L1005</f>
        <v/>
      </c>
      <c r="N1005" s="80">
        <f>MAX(0,I1005)</f>
        <v/>
      </c>
      <c r="O1005" s="80">
        <f>IF(I1005&gt;0,MAX(0,M1005),0)</f>
        <v/>
      </c>
      <c r="P1005" s="80">
        <f>IF($I1005&gt;0,MAX(0,$G1005*SIN(RADIANS('13_시나리오비교'!$B$5))*SIN(RADIANS('13_시나리오비교'!$C$5))+$H1005*SIN(RADIANS('13_시나리오비교'!$B$5))*COS(RADIANS('13_시나리오비교'!$C$5))+$I1005*COS(RADIANS('13_시나리오비교'!$B$5))),0)</f>
        <v/>
      </c>
      <c r="Q1005" s="80">
        <f>IF($I1005&gt;0,MAX(0,$G1005*SIN(RADIANS('13_시나리오비교'!$B$6))*SIN(RADIANS('13_시나리오비교'!$C$6))+$H1005*SIN(RADIANS('13_시나리오비교'!$B$6))*COS(RADIANS('13_시나리오비교'!$C$6))+$I1005*COS(RADIANS('13_시나리오비교'!$B$6))),0)</f>
        <v/>
      </c>
      <c r="R1005" s="80">
        <f>IF($I1005&gt;0,MAX(0,$G1005*SIN(RADIANS('13_시나리오비교'!$B$7))*SIN(RADIANS('13_시나리오비교'!$C$7))+$H1005*SIN(RADIANS('13_시나리오비교'!$B$7))*COS(RADIANS('13_시나리오비교'!$C$7))+$I1005*COS(RADIANS('13_시나리오비교'!$B$7))),0)</f>
        <v/>
      </c>
      <c r="S1005" s="80">
        <f>IF($I1005&gt;0,MAX(0,$G1005*SIN(RADIANS('13_시나리오비교'!$B$8))*SIN(RADIANS('13_시나리오비교'!$C$8))+$H1005*SIN(RADIANS('13_시나리오비교'!$B$8))*COS(RADIANS('13_시나리오비교'!$C$8))+$I1005*COS(RADIANS('13_시나리오비교'!$B$8))),0)</f>
        <v/>
      </c>
      <c r="T1005" s="80">
        <f>IF($I1005&gt;0,MAX(0,$G1005*SIN(RADIANS('13_시나리오비교'!$B$9))*SIN(RADIANS('13_시나리오비교'!$C$9))+$H1005*SIN(RADIANS('13_시나리오비교'!$B$9))*COS(RADIANS('13_시나리오비교'!$C$9))+$I1005*COS(RADIANS('13_시나리오비교'!$B$9))),0)</f>
        <v/>
      </c>
      <c r="U1005" s="80">
        <f>IF($I1005&gt;0,MAX(0,$G1005*SIN(RADIANS('13_시나리오비교'!$B$10))*SIN(RADIANS('13_시나리오비교'!$C$10))+$H1005*SIN(RADIANS('13_시나리오비교'!$B$10))*COS(RADIANS('13_시나리오비교'!$C$10))+$I1005*COS(RADIANS('13_시나리오비교'!$B$10))),0)</f>
        <v/>
      </c>
      <c r="V1005" s="80">
        <f>IF($I1005&gt;0,MAX(0,$G1005*SIN(RADIANS('13_시나리오비교'!$B$11))*SIN(RADIANS('13_시나리오비교'!$C$11))+$H1005*SIN(RADIANS('13_시나리오비교'!$B$11))*COS(RADIANS('13_시나리오비교'!$C$11))+$I1005*COS(RADIANS('13_시나리오비교'!$B$11))),0)</f>
        <v/>
      </c>
      <c r="W1005" s="80">
        <f>IF($I1005&gt;0,MAX(0,$G1005*SIN(RADIANS('13_시나리오비교'!$B$12))*SIN(RADIANS('13_시나리오비교'!$C$12))+$H1005*SIN(RADIANS('13_시나리오비교'!$B$12))*COS(RADIANS('13_시나리오비교'!$C$12))+$I1005*COS(RADIANS('13_시나리오비교'!$B$12))),0)</f>
        <v/>
      </c>
      <c r="X1005" s="80">
        <f>IF($I1005&gt;0,MAX(0,$G1005*SIN(RADIANS('13_시나리오비교'!$B$13))*SIN(RADIANS('13_시나리오비교'!$C$13))+$H1005*SIN(RADIANS('13_시나리오비교'!$B$13))*COS(RADIANS('13_시나리오비교'!$C$13))+$I1005*COS(RADIANS('13_시나리오비교'!$B$13))),0)</f>
        <v/>
      </c>
      <c r="Y1005" s="80">
        <f>IF($I1005&gt;0,MAX(0,$G1005*SIN(RADIANS('13_시나리오비교'!$B$14))*SIN(RADIANS('13_시나리오비교'!$C$14))+$H1005*SIN(RADIANS('13_시나리오비교'!$B$14))*COS(RADIANS('13_시나리오비교'!$C$14))+$I1005*COS(RADIANS('13_시나리오비교'!$B$14))),0)</f>
        <v/>
      </c>
    </row>
    <row r="1006" hidden="1" outlineLevel="1">
      <c r="A1006" s="79" t="n">
        <v>11</v>
      </c>
      <c r="B1006" s="79" t="n">
        <v>26</v>
      </c>
      <c r="C1006" s="80">
        <f>(B1006-0.5)*'14_지역·상수'!$H$6</f>
        <v/>
      </c>
      <c r="D1006" s="79" t="n">
        <v>318</v>
      </c>
      <c r="E1006" s="80">
        <f>INDEX($C$4:$C$15,MATCH(A1006,$A$4:$A$15,0))</f>
        <v/>
      </c>
      <c r="F1006" s="80">
        <f>15*(C1006-12)</f>
        <v/>
      </c>
      <c r="G1006" s="80">
        <f>-COS(RADIANS(E1006))*SIN(RADIANS(F1006))</f>
        <v/>
      </c>
      <c r="H1006" s="80">
        <f>COS(RADIANS('11_발전량_모델'!$B$17))*SIN(RADIANS(E1006))-SIN(RADIANS('11_발전량_모델'!$B$17))*COS(RADIANS(E1006))*COS(RADIANS(F1006))</f>
        <v/>
      </c>
      <c r="I1006" s="80">
        <f>SIN(RADIANS('11_발전량_모델'!$B$17))*SIN(RADIANS(E1006))+COS(RADIANS('11_발전량_모델'!$B$17))*COS(RADIANS(E1006))*COS(RADIANS(F1006))</f>
        <v/>
      </c>
      <c r="J1006" s="80">
        <f>SIN(RADIANS('11_발전량_모델'!$B$7))*SIN(RADIANS('11_발전량_모델'!$B$8))</f>
        <v/>
      </c>
      <c r="K1006" s="80">
        <f>SIN(RADIANS('11_발전량_모델'!$B$7))*COS(RADIANS('11_발전량_모델'!$B$8))</f>
        <v/>
      </c>
      <c r="L1006" s="80">
        <f>COS(RADIANS('11_발전량_모델'!$B$7))</f>
        <v/>
      </c>
      <c r="M1006" s="80">
        <f>G1006*J1006+H1006*K1006+I1006*L1006</f>
        <v/>
      </c>
      <c r="N1006" s="80">
        <f>MAX(0,I1006)</f>
        <v/>
      </c>
      <c r="O1006" s="80">
        <f>IF(I1006&gt;0,MAX(0,M1006),0)</f>
        <v/>
      </c>
      <c r="P1006" s="80">
        <f>IF($I1006&gt;0,MAX(0,$G1006*SIN(RADIANS('13_시나리오비교'!$B$5))*SIN(RADIANS('13_시나리오비교'!$C$5))+$H1006*SIN(RADIANS('13_시나리오비교'!$B$5))*COS(RADIANS('13_시나리오비교'!$C$5))+$I1006*COS(RADIANS('13_시나리오비교'!$B$5))),0)</f>
        <v/>
      </c>
      <c r="Q1006" s="80">
        <f>IF($I1006&gt;0,MAX(0,$G1006*SIN(RADIANS('13_시나리오비교'!$B$6))*SIN(RADIANS('13_시나리오비교'!$C$6))+$H1006*SIN(RADIANS('13_시나리오비교'!$B$6))*COS(RADIANS('13_시나리오비교'!$C$6))+$I1006*COS(RADIANS('13_시나리오비교'!$B$6))),0)</f>
        <v/>
      </c>
      <c r="R1006" s="80">
        <f>IF($I1006&gt;0,MAX(0,$G1006*SIN(RADIANS('13_시나리오비교'!$B$7))*SIN(RADIANS('13_시나리오비교'!$C$7))+$H1006*SIN(RADIANS('13_시나리오비교'!$B$7))*COS(RADIANS('13_시나리오비교'!$C$7))+$I1006*COS(RADIANS('13_시나리오비교'!$B$7))),0)</f>
        <v/>
      </c>
      <c r="S1006" s="80">
        <f>IF($I1006&gt;0,MAX(0,$G1006*SIN(RADIANS('13_시나리오비교'!$B$8))*SIN(RADIANS('13_시나리오비교'!$C$8))+$H1006*SIN(RADIANS('13_시나리오비교'!$B$8))*COS(RADIANS('13_시나리오비교'!$C$8))+$I1006*COS(RADIANS('13_시나리오비교'!$B$8))),0)</f>
        <v/>
      </c>
      <c r="T1006" s="80">
        <f>IF($I1006&gt;0,MAX(0,$G1006*SIN(RADIANS('13_시나리오비교'!$B$9))*SIN(RADIANS('13_시나리오비교'!$C$9))+$H1006*SIN(RADIANS('13_시나리오비교'!$B$9))*COS(RADIANS('13_시나리오비교'!$C$9))+$I1006*COS(RADIANS('13_시나리오비교'!$B$9))),0)</f>
        <v/>
      </c>
      <c r="U1006" s="80">
        <f>IF($I1006&gt;0,MAX(0,$G1006*SIN(RADIANS('13_시나리오비교'!$B$10))*SIN(RADIANS('13_시나리오비교'!$C$10))+$H1006*SIN(RADIANS('13_시나리오비교'!$B$10))*COS(RADIANS('13_시나리오비교'!$C$10))+$I1006*COS(RADIANS('13_시나리오비교'!$B$10))),0)</f>
        <v/>
      </c>
      <c r="V1006" s="80">
        <f>IF($I1006&gt;0,MAX(0,$G1006*SIN(RADIANS('13_시나리오비교'!$B$11))*SIN(RADIANS('13_시나리오비교'!$C$11))+$H1006*SIN(RADIANS('13_시나리오비교'!$B$11))*COS(RADIANS('13_시나리오비교'!$C$11))+$I1006*COS(RADIANS('13_시나리오비교'!$B$11))),0)</f>
        <v/>
      </c>
      <c r="W1006" s="80">
        <f>IF($I1006&gt;0,MAX(0,$G1006*SIN(RADIANS('13_시나리오비교'!$B$12))*SIN(RADIANS('13_시나리오비교'!$C$12))+$H1006*SIN(RADIANS('13_시나리오비교'!$B$12))*COS(RADIANS('13_시나리오비교'!$C$12))+$I1006*COS(RADIANS('13_시나리오비교'!$B$12))),0)</f>
        <v/>
      </c>
      <c r="X1006" s="80">
        <f>IF($I1006&gt;0,MAX(0,$G1006*SIN(RADIANS('13_시나리오비교'!$B$13))*SIN(RADIANS('13_시나리오비교'!$C$13))+$H1006*SIN(RADIANS('13_시나리오비교'!$B$13))*COS(RADIANS('13_시나리오비교'!$C$13))+$I1006*COS(RADIANS('13_시나리오비교'!$B$13))),0)</f>
        <v/>
      </c>
      <c r="Y1006" s="80">
        <f>IF($I1006&gt;0,MAX(0,$G1006*SIN(RADIANS('13_시나리오비교'!$B$14))*SIN(RADIANS('13_시나리오비교'!$C$14))+$H1006*SIN(RADIANS('13_시나리오비교'!$B$14))*COS(RADIANS('13_시나리오비교'!$C$14))+$I1006*COS(RADIANS('13_시나리오비교'!$B$14))),0)</f>
        <v/>
      </c>
    </row>
    <row r="1007" hidden="1" outlineLevel="1">
      <c r="A1007" s="79" t="n">
        <v>11</v>
      </c>
      <c r="B1007" s="79" t="n">
        <v>27</v>
      </c>
      <c r="C1007" s="80">
        <f>(B1007-0.5)*'14_지역·상수'!$H$6</f>
        <v/>
      </c>
      <c r="D1007" s="79" t="n">
        <v>318</v>
      </c>
      <c r="E1007" s="80">
        <f>INDEX($C$4:$C$15,MATCH(A1007,$A$4:$A$15,0))</f>
        <v/>
      </c>
      <c r="F1007" s="80">
        <f>15*(C1007-12)</f>
        <v/>
      </c>
      <c r="G1007" s="80">
        <f>-COS(RADIANS(E1007))*SIN(RADIANS(F1007))</f>
        <v/>
      </c>
      <c r="H1007" s="80">
        <f>COS(RADIANS('11_발전량_모델'!$B$17))*SIN(RADIANS(E1007))-SIN(RADIANS('11_발전량_모델'!$B$17))*COS(RADIANS(E1007))*COS(RADIANS(F1007))</f>
        <v/>
      </c>
      <c r="I1007" s="80">
        <f>SIN(RADIANS('11_발전량_모델'!$B$17))*SIN(RADIANS(E1007))+COS(RADIANS('11_발전량_모델'!$B$17))*COS(RADIANS(E1007))*COS(RADIANS(F1007))</f>
        <v/>
      </c>
      <c r="J1007" s="80">
        <f>SIN(RADIANS('11_발전량_모델'!$B$7))*SIN(RADIANS('11_발전량_모델'!$B$8))</f>
        <v/>
      </c>
      <c r="K1007" s="80">
        <f>SIN(RADIANS('11_발전량_모델'!$B$7))*COS(RADIANS('11_발전량_모델'!$B$8))</f>
        <v/>
      </c>
      <c r="L1007" s="80">
        <f>COS(RADIANS('11_발전량_모델'!$B$7))</f>
        <v/>
      </c>
      <c r="M1007" s="80">
        <f>G1007*J1007+H1007*K1007+I1007*L1007</f>
        <v/>
      </c>
      <c r="N1007" s="80">
        <f>MAX(0,I1007)</f>
        <v/>
      </c>
      <c r="O1007" s="80">
        <f>IF(I1007&gt;0,MAX(0,M1007),0)</f>
        <v/>
      </c>
      <c r="P1007" s="80">
        <f>IF($I1007&gt;0,MAX(0,$G1007*SIN(RADIANS('13_시나리오비교'!$B$5))*SIN(RADIANS('13_시나리오비교'!$C$5))+$H1007*SIN(RADIANS('13_시나리오비교'!$B$5))*COS(RADIANS('13_시나리오비교'!$C$5))+$I1007*COS(RADIANS('13_시나리오비교'!$B$5))),0)</f>
        <v/>
      </c>
      <c r="Q1007" s="80">
        <f>IF($I1007&gt;0,MAX(0,$G1007*SIN(RADIANS('13_시나리오비교'!$B$6))*SIN(RADIANS('13_시나리오비교'!$C$6))+$H1007*SIN(RADIANS('13_시나리오비교'!$B$6))*COS(RADIANS('13_시나리오비교'!$C$6))+$I1007*COS(RADIANS('13_시나리오비교'!$B$6))),0)</f>
        <v/>
      </c>
      <c r="R1007" s="80">
        <f>IF($I1007&gt;0,MAX(0,$G1007*SIN(RADIANS('13_시나리오비교'!$B$7))*SIN(RADIANS('13_시나리오비교'!$C$7))+$H1007*SIN(RADIANS('13_시나리오비교'!$B$7))*COS(RADIANS('13_시나리오비교'!$C$7))+$I1007*COS(RADIANS('13_시나리오비교'!$B$7))),0)</f>
        <v/>
      </c>
      <c r="S1007" s="80">
        <f>IF($I1007&gt;0,MAX(0,$G1007*SIN(RADIANS('13_시나리오비교'!$B$8))*SIN(RADIANS('13_시나리오비교'!$C$8))+$H1007*SIN(RADIANS('13_시나리오비교'!$B$8))*COS(RADIANS('13_시나리오비교'!$C$8))+$I1007*COS(RADIANS('13_시나리오비교'!$B$8))),0)</f>
        <v/>
      </c>
      <c r="T1007" s="80">
        <f>IF($I1007&gt;0,MAX(0,$G1007*SIN(RADIANS('13_시나리오비교'!$B$9))*SIN(RADIANS('13_시나리오비교'!$C$9))+$H1007*SIN(RADIANS('13_시나리오비교'!$B$9))*COS(RADIANS('13_시나리오비교'!$C$9))+$I1007*COS(RADIANS('13_시나리오비교'!$B$9))),0)</f>
        <v/>
      </c>
      <c r="U1007" s="80">
        <f>IF($I1007&gt;0,MAX(0,$G1007*SIN(RADIANS('13_시나리오비교'!$B$10))*SIN(RADIANS('13_시나리오비교'!$C$10))+$H1007*SIN(RADIANS('13_시나리오비교'!$B$10))*COS(RADIANS('13_시나리오비교'!$C$10))+$I1007*COS(RADIANS('13_시나리오비교'!$B$10))),0)</f>
        <v/>
      </c>
      <c r="V1007" s="80">
        <f>IF($I1007&gt;0,MAX(0,$G1007*SIN(RADIANS('13_시나리오비교'!$B$11))*SIN(RADIANS('13_시나리오비교'!$C$11))+$H1007*SIN(RADIANS('13_시나리오비교'!$B$11))*COS(RADIANS('13_시나리오비교'!$C$11))+$I1007*COS(RADIANS('13_시나리오비교'!$B$11))),0)</f>
        <v/>
      </c>
      <c r="W1007" s="80">
        <f>IF($I1007&gt;0,MAX(0,$G1007*SIN(RADIANS('13_시나리오비교'!$B$12))*SIN(RADIANS('13_시나리오비교'!$C$12))+$H1007*SIN(RADIANS('13_시나리오비교'!$B$12))*COS(RADIANS('13_시나리오비교'!$C$12))+$I1007*COS(RADIANS('13_시나리오비교'!$B$12))),0)</f>
        <v/>
      </c>
      <c r="X1007" s="80">
        <f>IF($I1007&gt;0,MAX(0,$G1007*SIN(RADIANS('13_시나리오비교'!$B$13))*SIN(RADIANS('13_시나리오비교'!$C$13))+$H1007*SIN(RADIANS('13_시나리오비교'!$B$13))*COS(RADIANS('13_시나리오비교'!$C$13))+$I1007*COS(RADIANS('13_시나리오비교'!$B$13))),0)</f>
        <v/>
      </c>
      <c r="Y1007" s="80">
        <f>IF($I1007&gt;0,MAX(0,$G1007*SIN(RADIANS('13_시나리오비교'!$B$14))*SIN(RADIANS('13_시나리오비교'!$C$14))+$H1007*SIN(RADIANS('13_시나리오비교'!$B$14))*COS(RADIANS('13_시나리오비교'!$C$14))+$I1007*COS(RADIANS('13_시나리오비교'!$B$14))),0)</f>
        <v/>
      </c>
    </row>
    <row r="1008" hidden="1" outlineLevel="1">
      <c r="A1008" s="79" t="n">
        <v>11</v>
      </c>
      <c r="B1008" s="79" t="n">
        <v>28</v>
      </c>
      <c r="C1008" s="80">
        <f>(B1008-0.5)*'14_지역·상수'!$H$6</f>
        <v/>
      </c>
      <c r="D1008" s="79" t="n">
        <v>318</v>
      </c>
      <c r="E1008" s="80">
        <f>INDEX($C$4:$C$15,MATCH(A1008,$A$4:$A$15,0))</f>
        <v/>
      </c>
      <c r="F1008" s="80">
        <f>15*(C1008-12)</f>
        <v/>
      </c>
      <c r="G1008" s="80">
        <f>-COS(RADIANS(E1008))*SIN(RADIANS(F1008))</f>
        <v/>
      </c>
      <c r="H1008" s="80">
        <f>COS(RADIANS('11_발전량_모델'!$B$17))*SIN(RADIANS(E1008))-SIN(RADIANS('11_발전량_모델'!$B$17))*COS(RADIANS(E1008))*COS(RADIANS(F1008))</f>
        <v/>
      </c>
      <c r="I1008" s="80">
        <f>SIN(RADIANS('11_발전량_모델'!$B$17))*SIN(RADIANS(E1008))+COS(RADIANS('11_발전량_모델'!$B$17))*COS(RADIANS(E1008))*COS(RADIANS(F1008))</f>
        <v/>
      </c>
      <c r="J1008" s="80">
        <f>SIN(RADIANS('11_발전량_모델'!$B$7))*SIN(RADIANS('11_발전량_모델'!$B$8))</f>
        <v/>
      </c>
      <c r="K1008" s="80">
        <f>SIN(RADIANS('11_발전량_모델'!$B$7))*COS(RADIANS('11_발전량_모델'!$B$8))</f>
        <v/>
      </c>
      <c r="L1008" s="80">
        <f>COS(RADIANS('11_발전량_모델'!$B$7))</f>
        <v/>
      </c>
      <c r="M1008" s="80">
        <f>G1008*J1008+H1008*K1008+I1008*L1008</f>
        <v/>
      </c>
      <c r="N1008" s="80">
        <f>MAX(0,I1008)</f>
        <v/>
      </c>
      <c r="O1008" s="80">
        <f>IF(I1008&gt;0,MAX(0,M1008),0)</f>
        <v/>
      </c>
      <c r="P1008" s="80">
        <f>IF($I1008&gt;0,MAX(0,$G1008*SIN(RADIANS('13_시나리오비교'!$B$5))*SIN(RADIANS('13_시나리오비교'!$C$5))+$H1008*SIN(RADIANS('13_시나리오비교'!$B$5))*COS(RADIANS('13_시나리오비교'!$C$5))+$I1008*COS(RADIANS('13_시나리오비교'!$B$5))),0)</f>
        <v/>
      </c>
      <c r="Q1008" s="80">
        <f>IF($I1008&gt;0,MAX(0,$G1008*SIN(RADIANS('13_시나리오비교'!$B$6))*SIN(RADIANS('13_시나리오비교'!$C$6))+$H1008*SIN(RADIANS('13_시나리오비교'!$B$6))*COS(RADIANS('13_시나리오비교'!$C$6))+$I1008*COS(RADIANS('13_시나리오비교'!$B$6))),0)</f>
        <v/>
      </c>
      <c r="R1008" s="80">
        <f>IF($I1008&gt;0,MAX(0,$G1008*SIN(RADIANS('13_시나리오비교'!$B$7))*SIN(RADIANS('13_시나리오비교'!$C$7))+$H1008*SIN(RADIANS('13_시나리오비교'!$B$7))*COS(RADIANS('13_시나리오비교'!$C$7))+$I1008*COS(RADIANS('13_시나리오비교'!$B$7))),0)</f>
        <v/>
      </c>
      <c r="S1008" s="80">
        <f>IF($I1008&gt;0,MAX(0,$G1008*SIN(RADIANS('13_시나리오비교'!$B$8))*SIN(RADIANS('13_시나리오비교'!$C$8))+$H1008*SIN(RADIANS('13_시나리오비교'!$B$8))*COS(RADIANS('13_시나리오비교'!$C$8))+$I1008*COS(RADIANS('13_시나리오비교'!$B$8))),0)</f>
        <v/>
      </c>
      <c r="T1008" s="80">
        <f>IF($I1008&gt;0,MAX(0,$G1008*SIN(RADIANS('13_시나리오비교'!$B$9))*SIN(RADIANS('13_시나리오비교'!$C$9))+$H1008*SIN(RADIANS('13_시나리오비교'!$B$9))*COS(RADIANS('13_시나리오비교'!$C$9))+$I1008*COS(RADIANS('13_시나리오비교'!$B$9))),0)</f>
        <v/>
      </c>
      <c r="U1008" s="80">
        <f>IF($I1008&gt;0,MAX(0,$G1008*SIN(RADIANS('13_시나리오비교'!$B$10))*SIN(RADIANS('13_시나리오비교'!$C$10))+$H1008*SIN(RADIANS('13_시나리오비교'!$B$10))*COS(RADIANS('13_시나리오비교'!$C$10))+$I1008*COS(RADIANS('13_시나리오비교'!$B$10))),0)</f>
        <v/>
      </c>
      <c r="V1008" s="80">
        <f>IF($I1008&gt;0,MAX(0,$G1008*SIN(RADIANS('13_시나리오비교'!$B$11))*SIN(RADIANS('13_시나리오비교'!$C$11))+$H1008*SIN(RADIANS('13_시나리오비교'!$B$11))*COS(RADIANS('13_시나리오비교'!$C$11))+$I1008*COS(RADIANS('13_시나리오비교'!$B$11))),0)</f>
        <v/>
      </c>
      <c r="W1008" s="80">
        <f>IF($I1008&gt;0,MAX(0,$G1008*SIN(RADIANS('13_시나리오비교'!$B$12))*SIN(RADIANS('13_시나리오비교'!$C$12))+$H1008*SIN(RADIANS('13_시나리오비교'!$B$12))*COS(RADIANS('13_시나리오비교'!$C$12))+$I1008*COS(RADIANS('13_시나리오비교'!$B$12))),0)</f>
        <v/>
      </c>
      <c r="X1008" s="80">
        <f>IF($I1008&gt;0,MAX(0,$G1008*SIN(RADIANS('13_시나리오비교'!$B$13))*SIN(RADIANS('13_시나리오비교'!$C$13))+$H1008*SIN(RADIANS('13_시나리오비교'!$B$13))*COS(RADIANS('13_시나리오비교'!$C$13))+$I1008*COS(RADIANS('13_시나리오비교'!$B$13))),0)</f>
        <v/>
      </c>
      <c r="Y1008" s="80">
        <f>IF($I1008&gt;0,MAX(0,$G1008*SIN(RADIANS('13_시나리오비교'!$B$14))*SIN(RADIANS('13_시나리오비교'!$C$14))+$H1008*SIN(RADIANS('13_시나리오비교'!$B$14))*COS(RADIANS('13_시나리오비교'!$C$14))+$I1008*COS(RADIANS('13_시나리오비교'!$B$14))),0)</f>
        <v/>
      </c>
    </row>
    <row r="1009" hidden="1" outlineLevel="1">
      <c r="A1009" s="79" t="n">
        <v>11</v>
      </c>
      <c r="B1009" s="79" t="n">
        <v>29</v>
      </c>
      <c r="C1009" s="80">
        <f>(B1009-0.5)*'14_지역·상수'!$H$6</f>
        <v/>
      </c>
      <c r="D1009" s="79" t="n">
        <v>318</v>
      </c>
      <c r="E1009" s="80">
        <f>INDEX($C$4:$C$15,MATCH(A1009,$A$4:$A$15,0))</f>
        <v/>
      </c>
      <c r="F1009" s="80">
        <f>15*(C1009-12)</f>
        <v/>
      </c>
      <c r="G1009" s="80">
        <f>-COS(RADIANS(E1009))*SIN(RADIANS(F1009))</f>
        <v/>
      </c>
      <c r="H1009" s="80">
        <f>COS(RADIANS('11_발전량_모델'!$B$17))*SIN(RADIANS(E1009))-SIN(RADIANS('11_발전량_모델'!$B$17))*COS(RADIANS(E1009))*COS(RADIANS(F1009))</f>
        <v/>
      </c>
      <c r="I1009" s="80">
        <f>SIN(RADIANS('11_발전량_모델'!$B$17))*SIN(RADIANS(E1009))+COS(RADIANS('11_발전량_모델'!$B$17))*COS(RADIANS(E1009))*COS(RADIANS(F1009))</f>
        <v/>
      </c>
      <c r="J1009" s="80">
        <f>SIN(RADIANS('11_발전량_모델'!$B$7))*SIN(RADIANS('11_발전량_모델'!$B$8))</f>
        <v/>
      </c>
      <c r="K1009" s="80">
        <f>SIN(RADIANS('11_발전량_모델'!$B$7))*COS(RADIANS('11_발전량_모델'!$B$8))</f>
        <v/>
      </c>
      <c r="L1009" s="80">
        <f>COS(RADIANS('11_발전량_모델'!$B$7))</f>
        <v/>
      </c>
      <c r="M1009" s="80">
        <f>G1009*J1009+H1009*K1009+I1009*L1009</f>
        <v/>
      </c>
      <c r="N1009" s="80">
        <f>MAX(0,I1009)</f>
        <v/>
      </c>
      <c r="O1009" s="80">
        <f>IF(I1009&gt;0,MAX(0,M1009),0)</f>
        <v/>
      </c>
      <c r="P1009" s="80">
        <f>IF($I1009&gt;0,MAX(0,$G1009*SIN(RADIANS('13_시나리오비교'!$B$5))*SIN(RADIANS('13_시나리오비교'!$C$5))+$H1009*SIN(RADIANS('13_시나리오비교'!$B$5))*COS(RADIANS('13_시나리오비교'!$C$5))+$I1009*COS(RADIANS('13_시나리오비교'!$B$5))),0)</f>
        <v/>
      </c>
      <c r="Q1009" s="80">
        <f>IF($I1009&gt;0,MAX(0,$G1009*SIN(RADIANS('13_시나리오비교'!$B$6))*SIN(RADIANS('13_시나리오비교'!$C$6))+$H1009*SIN(RADIANS('13_시나리오비교'!$B$6))*COS(RADIANS('13_시나리오비교'!$C$6))+$I1009*COS(RADIANS('13_시나리오비교'!$B$6))),0)</f>
        <v/>
      </c>
      <c r="R1009" s="80">
        <f>IF($I1009&gt;0,MAX(0,$G1009*SIN(RADIANS('13_시나리오비교'!$B$7))*SIN(RADIANS('13_시나리오비교'!$C$7))+$H1009*SIN(RADIANS('13_시나리오비교'!$B$7))*COS(RADIANS('13_시나리오비교'!$C$7))+$I1009*COS(RADIANS('13_시나리오비교'!$B$7))),0)</f>
        <v/>
      </c>
      <c r="S1009" s="80">
        <f>IF($I1009&gt;0,MAX(0,$G1009*SIN(RADIANS('13_시나리오비교'!$B$8))*SIN(RADIANS('13_시나리오비교'!$C$8))+$H1009*SIN(RADIANS('13_시나리오비교'!$B$8))*COS(RADIANS('13_시나리오비교'!$C$8))+$I1009*COS(RADIANS('13_시나리오비교'!$B$8))),0)</f>
        <v/>
      </c>
      <c r="T1009" s="80">
        <f>IF($I1009&gt;0,MAX(0,$G1009*SIN(RADIANS('13_시나리오비교'!$B$9))*SIN(RADIANS('13_시나리오비교'!$C$9))+$H1009*SIN(RADIANS('13_시나리오비교'!$B$9))*COS(RADIANS('13_시나리오비교'!$C$9))+$I1009*COS(RADIANS('13_시나리오비교'!$B$9))),0)</f>
        <v/>
      </c>
      <c r="U1009" s="80">
        <f>IF($I1009&gt;0,MAX(0,$G1009*SIN(RADIANS('13_시나리오비교'!$B$10))*SIN(RADIANS('13_시나리오비교'!$C$10))+$H1009*SIN(RADIANS('13_시나리오비교'!$B$10))*COS(RADIANS('13_시나리오비교'!$C$10))+$I1009*COS(RADIANS('13_시나리오비교'!$B$10))),0)</f>
        <v/>
      </c>
      <c r="V1009" s="80">
        <f>IF($I1009&gt;0,MAX(0,$G1009*SIN(RADIANS('13_시나리오비교'!$B$11))*SIN(RADIANS('13_시나리오비교'!$C$11))+$H1009*SIN(RADIANS('13_시나리오비교'!$B$11))*COS(RADIANS('13_시나리오비교'!$C$11))+$I1009*COS(RADIANS('13_시나리오비교'!$B$11))),0)</f>
        <v/>
      </c>
      <c r="W1009" s="80">
        <f>IF($I1009&gt;0,MAX(0,$G1009*SIN(RADIANS('13_시나리오비교'!$B$12))*SIN(RADIANS('13_시나리오비교'!$C$12))+$H1009*SIN(RADIANS('13_시나리오비교'!$B$12))*COS(RADIANS('13_시나리오비교'!$C$12))+$I1009*COS(RADIANS('13_시나리오비교'!$B$12))),0)</f>
        <v/>
      </c>
      <c r="X1009" s="80">
        <f>IF($I1009&gt;0,MAX(0,$G1009*SIN(RADIANS('13_시나리오비교'!$B$13))*SIN(RADIANS('13_시나리오비교'!$C$13))+$H1009*SIN(RADIANS('13_시나리오비교'!$B$13))*COS(RADIANS('13_시나리오비교'!$C$13))+$I1009*COS(RADIANS('13_시나리오비교'!$B$13))),0)</f>
        <v/>
      </c>
      <c r="Y1009" s="80">
        <f>IF($I1009&gt;0,MAX(0,$G1009*SIN(RADIANS('13_시나리오비교'!$B$14))*SIN(RADIANS('13_시나리오비교'!$C$14))+$H1009*SIN(RADIANS('13_시나리오비교'!$B$14))*COS(RADIANS('13_시나리오비교'!$C$14))+$I1009*COS(RADIANS('13_시나리오비교'!$B$14))),0)</f>
        <v/>
      </c>
    </row>
    <row r="1010" hidden="1" outlineLevel="1">
      <c r="A1010" s="79" t="n">
        <v>11</v>
      </c>
      <c r="B1010" s="79" t="n">
        <v>30</v>
      </c>
      <c r="C1010" s="80">
        <f>(B1010-0.5)*'14_지역·상수'!$H$6</f>
        <v/>
      </c>
      <c r="D1010" s="79" t="n">
        <v>318</v>
      </c>
      <c r="E1010" s="80">
        <f>INDEX($C$4:$C$15,MATCH(A1010,$A$4:$A$15,0))</f>
        <v/>
      </c>
      <c r="F1010" s="80">
        <f>15*(C1010-12)</f>
        <v/>
      </c>
      <c r="G1010" s="80">
        <f>-COS(RADIANS(E1010))*SIN(RADIANS(F1010))</f>
        <v/>
      </c>
      <c r="H1010" s="80">
        <f>COS(RADIANS('11_발전량_모델'!$B$17))*SIN(RADIANS(E1010))-SIN(RADIANS('11_발전량_모델'!$B$17))*COS(RADIANS(E1010))*COS(RADIANS(F1010))</f>
        <v/>
      </c>
      <c r="I1010" s="80">
        <f>SIN(RADIANS('11_발전량_모델'!$B$17))*SIN(RADIANS(E1010))+COS(RADIANS('11_발전량_모델'!$B$17))*COS(RADIANS(E1010))*COS(RADIANS(F1010))</f>
        <v/>
      </c>
      <c r="J1010" s="80">
        <f>SIN(RADIANS('11_발전량_모델'!$B$7))*SIN(RADIANS('11_발전량_모델'!$B$8))</f>
        <v/>
      </c>
      <c r="K1010" s="80">
        <f>SIN(RADIANS('11_발전량_모델'!$B$7))*COS(RADIANS('11_발전량_모델'!$B$8))</f>
        <v/>
      </c>
      <c r="L1010" s="80">
        <f>COS(RADIANS('11_발전량_모델'!$B$7))</f>
        <v/>
      </c>
      <c r="M1010" s="80">
        <f>G1010*J1010+H1010*K1010+I1010*L1010</f>
        <v/>
      </c>
      <c r="N1010" s="80">
        <f>MAX(0,I1010)</f>
        <v/>
      </c>
      <c r="O1010" s="80">
        <f>IF(I1010&gt;0,MAX(0,M1010),0)</f>
        <v/>
      </c>
      <c r="P1010" s="80">
        <f>IF($I1010&gt;0,MAX(0,$G1010*SIN(RADIANS('13_시나리오비교'!$B$5))*SIN(RADIANS('13_시나리오비교'!$C$5))+$H1010*SIN(RADIANS('13_시나리오비교'!$B$5))*COS(RADIANS('13_시나리오비교'!$C$5))+$I1010*COS(RADIANS('13_시나리오비교'!$B$5))),0)</f>
        <v/>
      </c>
      <c r="Q1010" s="80">
        <f>IF($I1010&gt;0,MAX(0,$G1010*SIN(RADIANS('13_시나리오비교'!$B$6))*SIN(RADIANS('13_시나리오비교'!$C$6))+$H1010*SIN(RADIANS('13_시나리오비교'!$B$6))*COS(RADIANS('13_시나리오비교'!$C$6))+$I1010*COS(RADIANS('13_시나리오비교'!$B$6))),0)</f>
        <v/>
      </c>
      <c r="R1010" s="80">
        <f>IF($I1010&gt;0,MAX(0,$G1010*SIN(RADIANS('13_시나리오비교'!$B$7))*SIN(RADIANS('13_시나리오비교'!$C$7))+$H1010*SIN(RADIANS('13_시나리오비교'!$B$7))*COS(RADIANS('13_시나리오비교'!$C$7))+$I1010*COS(RADIANS('13_시나리오비교'!$B$7))),0)</f>
        <v/>
      </c>
      <c r="S1010" s="80">
        <f>IF($I1010&gt;0,MAX(0,$G1010*SIN(RADIANS('13_시나리오비교'!$B$8))*SIN(RADIANS('13_시나리오비교'!$C$8))+$H1010*SIN(RADIANS('13_시나리오비교'!$B$8))*COS(RADIANS('13_시나리오비교'!$C$8))+$I1010*COS(RADIANS('13_시나리오비교'!$B$8))),0)</f>
        <v/>
      </c>
      <c r="T1010" s="80">
        <f>IF($I1010&gt;0,MAX(0,$G1010*SIN(RADIANS('13_시나리오비교'!$B$9))*SIN(RADIANS('13_시나리오비교'!$C$9))+$H1010*SIN(RADIANS('13_시나리오비교'!$B$9))*COS(RADIANS('13_시나리오비교'!$C$9))+$I1010*COS(RADIANS('13_시나리오비교'!$B$9))),0)</f>
        <v/>
      </c>
      <c r="U1010" s="80">
        <f>IF($I1010&gt;0,MAX(0,$G1010*SIN(RADIANS('13_시나리오비교'!$B$10))*SIN(RADIANS('13_시나리오비교'!$C$10))+$H1010*SIN(RADIANS('13_시나리오비교'!$B$10))*COS(RADIANS('13_시나리오비교'!$C$10))+$I1010*COS(RADIANS('13_시나리오비교'!$B$10))),0)</f>
        <v/>
      </c>
      <c r="V1010" s="80">
        <f>IF($I1010&gt;0,MAX(0,$G1010*SIN(RADIANS('13_시나리오비교'!$B$11))*SIN(RADIANS('13_시나리오비교'!$C$11))+$H1010*SIN(RADIANS('13_시나리오비교'!$B$11))*COS(RADIANS('13_시나리오비교'!$C$11))+$I1010*COS(RADIANS('13_시나리오비교'!$B$11))),0)</f>
        <v/>
      </c>
      <c r="W1010" s="80">
        <f>IF($I1010&gt;0,MAX(0,$G1010*SIN(RADIANS('13_시나리오비교'!$B$12))*SIN(RADIANS('13_시나리오비교'!$C$12))+$H1010*SIN(RADIANS('13_시나리오비교'!$B$12))*COS(RADIANS('13_시나리오비교'!$C$12))+$I1010*COS(RADIANS('13_시나리오비교'!$B$12))),0)</f>
        <v/>
      </c>
      <c r="X1010" s="80">
        <f>IF($I1010&gt;0,MAX(0,$G1010*SIN(RADIANS('13_시나리오비교'!$B$13))*SIN(RADIANS('13_시나리오비교'!$C$13))+$H1010*SIN(RADIANS('13_시나리오비교'!$B$13))*COS(RADIANS('13_시나리오비교'!$C$13))+$I1010*COS(RADIANS('13_시나리오비교'!$B$13))),0)</f>
        <v/>
      </c>
      <c r="Y1010" s="80">
        <f>IF($I1010&gt;0,MAX(0,$G1010*SIN(RADIANS('13_시나리오비교'!$B$14))*SIN(RADIANS('13_시나리오비교'!$C$14))+$H1010*SIN(RADIANS('13_시나리오비교'!$B$14))*COS(RADIANS('13_시나리오비교'!$C$14))+$I1010*COS(RADIANS('13_시나리오비교'!$B$14))),0)</f>
        <v/>
      </c>
    </row>
    <row r="1011" hidden="1" outlineLevel="1">
      <c r="A1011" s="79" t="n">
        <v>11</v>
      </c>
      <c r="B1011" s="79" t="n">
        <v>31</v>
      </c>
      <c r="C1011" s="80">
        <f>(B1011-0.5)*'14_지역·상수'!$H$6</f>
        <v/>
      </c>
      <c r="D1011" s="79" t="n">
        <v>318</v>
      </c>
      <c r="E1011" s="80">
        <f>INDEX($C$4:$C$15,MATCH(A1011,$A$4:$A$15,0))</f>
        <v/>
      </c>
      <c r="F1011" s="80">
        <f>15*(C1011-12)</f>
        <v/>
      </c>
      <c r="G1011" s="80">
        <f>-COS(RADIANS(E1011))*SIN(RADIANS(F1011))</f>
        <v/>
      </c>
      <c r="H1011" s="80">
        <f>COS(RADIANS('11_발전량_모델'!$B$17))*SIN(RADIANS(E1011))-SIN(RADIANS('11_발전량_모델'!$B$17))*COS(RADIANS(E1011))*COS(RADIANS(F1011))</f>
        <v/>
      </c>
      <c r="I1011" s="80">
        <f>SIN(RADIANS('11_발전량_모델'!$B$17))*SIN(RADIANS(E1011))+COS(RADIANS('11_발전량_모델'!$B$17))*COS(RADIANS(E1011))*COS(RADIANS(F1011))</f>
        <v/>
      </c>
      <c r="J1011" s="80">
        <f>SIN(RADIANS('11_발전량_모델'!$B$7))*SIN(RADIANS('11_발전량_모델'!$B$8))</f>
        <v/>
      </c>
      <c r="K1011" s="80">
        <f>SIN(RADIANS('11_발전량_모델'!$B$7))*COS(RADIANS('11_발전량_모델'!$B$8))</f>
        <v/>
      </c>
      <c r="L1011" s="80">
        <f>COS(RADIANS('11_발전량_모델'!$B$7))</f>
        <v/>
      </c>
      <c r="M1011" s="80">
        <f>G1011*J1011+H1011*K1011+I1011*L1011</f>
        <v/>
      </c>
      <c r="N1011" s="80">
        <f>MAX(0,I1011)</f>
        <v/>
      </c>
      <c r="O1011" s="80">
        <f>IF(I1011&gt;0,MAX(0,M1011),0)</f>
        <v/>
      </c>
      <c r="P1011" s="80">
        <f>IF($I1011&gt;0,MAX(0,$G1011*SIN(RADIANS('13_시나리오비교'!$B$5))*SIN(RADIANS('13_시나리오비교'!$C$5))+$H1011*SIN(RADIANS('13_시나리오비교'!$B$5))*COS(RADIANS('13_시나리오비교'!$C$5))+$I1011*COS(RADIANS('13_시나리오비교'!$B$5))),0)</f>
        <v/>
      </c>
      <c r="Q1011" s="80">
        <f>IF($I1011&gt;0,MAX(0,$G1011*SIN(RADIANS('13_시나리오비교'!$B$6))*SIN(RADIANS('13_시나리오비교'!$C$6))+$H1011*SIN(RADIANS('13_시나리오비교'!$B$6))*COS(RADIANS('13_시나리오비교'!$C$6))+$I1011*COS(RADIANS('13_시나리오비교'!$B$6))),0)</f>
        <v/>
      </c>
      <c r="R1011" s="80">
        <f>IF($I1011&gt;0,MAX(0,$G1011*SIN(RADIANS('13_시나리오비교'!$B$7))*SIN(RADIANS('13_시나리오비교'!$C$7))+$H1011*SIN(RADIANS('13_시나리오비교'!$B$7))*COS(RADIANS('13_시나리오비교'!$C$7))+$I1011*COS(RADIANS('13_시나리오비교'!$B$7))),0)</f>
        <v/>
      </c>
      <c r="S1011" s="80">
        <f>IF($I1011&gt;0,MAX(0,$G1011*SIN(RADIANS('13_시나리오비교'!$B$8))*SIN(RADIANS('13_시나리오비교'!$C$8))+$H1011*SIN(RADIANS('13_시나리오비교'!$B$8))*COS(RADIANS('13_시나리오비교'!$C$8))+$I1011*COS(RADIANS('13_시나리오비교'!$B$8))),0)</f>
        <v/>
      </c>
      <c r="T1011" s="80">
        <f>IF($I1011&gt;0,MAX(0,$G1011*SIN(RADIANS('13_시나리오비교'!$B$9))*SIN(RADIANS('13_시나리오비교'!$C$9))+$H1011*SIN(RADIANS('13_시나리오비교'!$B$9))*COS(RADIANS('13_시나리오비교'!$C$9))+$I1011*COS(RADIANS('13_시나리오비교'!$B$9))),0)</f>
        <v/>
      </c>
      <c r="U1011" s="80">
        <f>IF($I1011&gt;0,MAX(0,$G1011*SIN(RADIANS('13_시나리오비교'!$B$10))*SIN(RADIANS('13_시나리오비교'!$C$10))+$H1011*SIN(RADIANS('13_시나리오비교'!$B$10))*COS(RADIANS('13_시나리오비교'!$C$10))+$I1011*COS(RADIANS('13_시나리오비교'!$B$10))),0)</f>
        <v/>
      </c>
      <c r="V1011" s="80">
        <f>IF($I1011&gt;0,MAX(0,$G1011*SIN(RADIANS('13_시나리오비교'!$B$11))*SIN(RADIANS('13_시나리오비교'!$C$11))+$H1011*SIN(RADIANS('13_시나리오비교'!$B$11))*COS(RADIANS('13_시나리오비교'!$C$11))+$I1011*COS(RADIANS('13_시나리오비교'!$B$11))),0)</f>
        <v/>
      </c>
      <c r="W1011" s="80">
        <f>IF($I1011&gt;0,MAX(0,$G1011*SIN(RADIANS('13_시나리오비교'!$B$12))*SIN(RADIANS('13_시나리오비교'!$C$12))+$H1011*SIN(RADIANS('13_시나리오비교'!$B$12))*COS(RADIANS('13_시나리오비교'!$C$12))+$I1011*COS(RADIANS('13_시나리오비교'!$B$12))),0)</f>
        <v/>
      </c>
      <c r="X1011" s="80">
        <f>IF($I1011&gt;0,MAX(0,$G1011*SIN(RADIANS('13_시나리오비교'!$B$13))*SIN(RADIANS('13_시나리오비교'!$C$13))+$H1011*SIN(RADIANS('13_시나리오비교'!$B$13))*COS(RADIANS('13_시나리오비교'!$C$13))+$I1011*COS(RADIANS('13_시나리오비교'!$B$13))),0)</f>
        <v/>
      </c>
      <c r="Y1011" s="80">
        <f>IF($I1011&gt;0,MAX(0,$G1011*SIN(RADIANS('13_시나리오비교'!$B$14))*SIN(RADIANS('13_시나리오비교'!$C$14))+$H1011*SIN(RADIANS('13_시나리오비교'!$B$14))*COS(RADIANS('13_시나리오비교'!$C$14))+$I1011*COS(RADIANS('13_시나리오비교'!$B$14))),0)</f>
        <v/>
      </c>
    </row>
    <row r="1012" hidden="1" outlineLevel="1">
      <c r="A1012" s="79" t="n">
        <v>11</v>
      </c>
      <c r="B1012" s="79" t="n">
        <v>32</v>
      </c>
      <c r="C1012" s="80">
        <f>(B1012-0.5)*'14_지역·상수'!$H$6</f>
        <v/>
      </c>
      <c r="D1012" s="79" t="n">
        <v>318</v>
      </c>
      <c r="E1012" s="80">
        <f>INDEX($C$4:$C$15,MATCH(A1012,$A$4:$A$15,0))</f>
        <v/>
      </c>
      <c r="F1012" s="80">
        <f>15*(C1012-12)</f>
        <v/>
      </c>
      <c r="G1012" s="80">
        <f>-COS(RADIANS(E1012))*SIN(RADIANS(F1012))</f>
        <v/>
      </c>
      <c r="H1012" s="80">
        <f>COS(RADIANS('11_발전량_모델'!$B$17))*SIN(RADIANS(E1012))-SIN(RADIANS('11_발전량_모델'!$B$17))*COS(RADIANS(E1012))*COS(RADIANS(F1012))</f>
        <v/>
      </c>
      <c r="I1012" s="80">
        <f>SIN(RADIANS('11_발전량_모델'!$B$17))*SIN(RADIANS(E1012))+COS(RADIANS('11_발전량_모델'!$B$17))*COS(RADIANS(E1012))*COS(RADIANS(F1012))</f>
        <v/>
      </c>
      <c r="J1012" s="80">
        <f>SIN(RADIANS('11_발전량_모델'!$B$7))*SIN(RADIANS('11_발전량_모델'!$B$8))</f>
        <v/>
      </c>
      <c r="K1012" s="80">
        <f>SIN(RADIANS('11_발전량_모델'!$B$7))*COS(RADIANS('11_발전량_모델'!$B$8))</f>
        <v/>
      </c>
      <c r="L1012" s="80">
        <f>COS(RADIANS('11_발전량_모델'!$B$7))</f>
        <v/>
      </c>
      <c r="M1012" s="80">
        <f>G1012*J1012+H1012*K1012+I1012*L1012</f>
        <v/>
      </c>
      <c r="N1012" s="80">
        <f>MAX(0,I1012)</f>
        <v/>
      </c>
      <c r="O1012" s="80">
        <f>IF(I1012&gt;0,MAX(0,M1012),0)</f>
        <v/>
      </c>
      <c r="P1012" s="80">
        <f>IF($I1012&gt;0,MAX(0,$G1012*SIN(RADIANS('13_시나리오비교'!$B$5))*SIN(RADIANS('13_시나리오비교'!$C$5))+$H1012*SIN(RADIANS('13_시나리오비교'!$B$5))*COS(RADIANS('13_시나리오비교'!$C$5))+$I1012*COS(RADIANS('13_시나리오비교'!$B$5))),0)</f>
        <v/>
      </c>
      <c r="Q1012" s="80">
        <f>IF($I1012&gt;0,MAX(0,$G1012*SIN(RADIANS('13_시나리오비교'!$B$6))*SIN(RADIANS('13_시나리오비교'!$C$6))+$H1012*SIN(RADIANS('13_시나리오비교'!$B$6))*COS(RADIANS('13_시나리오비교'!$C$6))+$I1012*COS(RADIANS('13_시나리오비교'!$B$6))),0)</f>
        <v/>
      </c>
      <c r="R1012" s="80">
        <f>IF($I1012&gt;0,MAX(0,$G1012*SIN(RADIANS('13_시나리오비교'!$B$7))*SIN(RADIANS('13_시나리오비교'!$C$7))+$H1012*SIN(RADIANS('13_시나리오비교'!$B$7))*COS(RADIANS('13_시나리오비교'!$C$7))+$I1012*COS(RADIANS('13_시나리오비교'!$B$7))),0)</f>
        <v/>
      </c>
      <c r="S1012" s="80">
        <f>IF($I1012&gt;0,MAX(0,$G1012*SIN(RADIANS('13_시나리오비교'!$B$8))*SIN(RADIANS('13_시나리오비교'!$C$8))+$H1012*SIN(RADIANS('13_시나리오비교'!$B$8))*COS(RADIANS('13_시나리오비교'!$C$8))+$I1012*COS(RADIANS('13_시나리오비교'!$B$8))),0)</f>
        <v/>
      </c>
      <c r="T1012" s="80">
        <f>IF($I1012&gt;0,MAX(0,$G1012*SIN(RADIANS('13_시나리오비교'!$B$9))*SIN(RADIANS('13_시나리오비교'!$C$9))+$H1012*SIN(RADIANS('13_시나리오비교'!$B$9))*COS(RADIANS('13_시나리오비교'!$C$9))+$I1012*COS(RADIANS('13_시나리오비교'!$B$9))),0)</f>
        <v/>
      </c>
      <c r="U1012" s="80">
        <f>IF($I1012&gt;0,MAX(0,$G1012*SIN(RADIANS('13_시나리오비교'!$B$10))*SIN(RADIANS('13_시나리오비교'!$C$10))+$H1012*SIN(RADIANS('13_시나리오비교'!$B$10))*COS(RADIANS('13_시나리오비교'!$C$10))+$I1012*COS(RADIANS('13_시나리오비교'!$B$10))),0)</f>
        <v/>
      </c>
      <c r="V1012" s="80">
        <f>IF($I1012&gt;0,MAX(0,$G1012*SIN(RADIANS('13_시나리오비교'!$B$11))*SIN(RADIANS('13_시나리오비교'!$C$11))+$H1012*SIN(RADIANS('13_시나리오비교'!$B$11))*COS(RADIANS('13_시나리오비교'!$C$11))+$I1012*COS(RADIANS('13_시나리오비교'!$B$11))),0)</f>
        <v/>
      </c>
      <c r="W1012" s="80">
        <f>IF($I1012&gt;0,MAX(0,$G1012*SIN(RADIANS('13_시나리오비교'!$B$12))*SIN(RADIANS('13_시나리오비교'!$C$12))+$H1012*SIN(RADIANS('13_시나리오비교'!$B$12))*COS(RADIANS('13_시나리오비교'!$C$12))+$I1012*COS(RADIANS('13_시나리오비교'!$B$12))),0)</f>
        <v/>
      </c>
      <c r="X1012" s="80">
        <f>IF($I1012&gt;0,MAX(0,$G1012*SIN(RADIANS('13_시나리오비교'!$B$13))*SIN(RADIANS('13_시나리오비교'!$C$13))+$H1012*SIN(RADIANS('13_시나리오비교'!$B$13))*COS(RADIANS('13_시나리오비교'!$C$13))+$I1012*COS(RADIANS('13_시나리오비교'!$B$13))),0)</f>
        <v/>
      </c>
      <c r="Y1012" s="80">
        <f>IF($I1012&gt;0,MAX(0,$G1012*SIN(RADIANS('13_시나리오비교'!$B$14))*SIN(RADIANS('13_시나리오비교'!$C$14))+$H1012*SIN(RADIANS('13_시나리오비교'!$B$14))*COS(RADIANS('13_시나리오비교'!$C$14))+$I1012*COS(RADIANS('13_시나리오비교'!$B$14))),0)</f>
        <v/>
      </c>
    </row>
    <row r="1013" hidden="1" outlineLevel="1">
      <c r="A1013" s="79" t="n">
        <v>11</v>
      </c>
      <c r="B1013" s="79" t="n">
        <v>33</v>
      </c>
      <c r="C1013" s="80">
        <f>(B1013-0.5)*'14_지역·상수'!$H$6</f>
        <v/>
      </c>
      <c r="D1013" s="79" t="n">
        <v>318</v>
      </c>
      <c r="E1013" s="80">
        <f>INDEX($C$4:$C$15,MATCH(A1013,$A$4:$A$15,0))</f>
        <v/>
      </c>
      <c r="F1013" s="80">
        <f>15*(C1013-12)</f>
        <v/>
      </c>
      <c r="G1013" s="80">
        <f>-COS(RADIANS(E1013))*SIN(RADIANS(F1013))</f>
        <v/>
      </c>
      <c r="H1013" s="80">
        <f>COS(RADIANS('11_발전량_모델'!$B$17))*SIN(RADIANS(E1013))-SIN(RADIANS('11_발전량_모델'!$B$17))*COS(RADIANS(E1013))*COS(RADIANS(F1013))</f>
        <v/>
      </c>
      <c r="I1013" s="80">
        <f>SIN(RADIANS('11_발전량_모델'!$B$17))*SIN(RADIANS(E1013))+COS(RADIANS('11_발전량_모델'!$B$17))*COS(RADIANS(E1013))*COS(RADIANS(F1013))</f>
        <v/>
      </c>
      <c r="J1013" s="80">
        <f>SIN(RADIANS('11_발전량_모델'!$B$7))*SIN(RADIANS('11_발전량_모델'!$B$8))</f>
        <v/>
      </c>
      <c r="K1013" s="80">
        <f>SIN(RADIANS('11_발전량_모델'!$B$7))*COS(RADIANS('11_발전량_모델'!$B$8))</f>
        <v/>
      </c>
      <c r="L1013" s="80">
        <f>COS(RADIANS('11_발전량_모델'!$B$7))</f>
        <v/>
      </c>
      <c r="M1013" s="80">
        <f>G1013*J1013+H1013*K1013+I1013*L1013</f>
        <v/>
      </c>
      <c r="N1013" s="80">
        <f>MAX(0,I1013)</f>
        <v/>
      </c>
      <c r="O1013" s="80">
        <f>IF(I1013&gt;0,MAX(0,M1013),0)</f>
        <v/>
      </c>
      <c r="P1013" s="80">
        <f>IF($I1013&gt;0,MAX(0,$G1013*SIN(RADIANS('13_시나리오비교'!$B$5))*SIN(RADIANS('13_시나리오비교'!$C$5))+$H1013*SIN(RADIANS('13_시나리오비교'!$B$5))*COS(RADIANS('13_시나리오비교'!$C$5))+$I1013*COS(RADIANS('13_시나리오비교'!$B$5))),0)</f>
        <v/>
      </c>
      <c r="Q1013" s="80">
        <f>IF($I1013&gt;0,MAX(0,$G1013*SIN(RADIANS('13_시나리오비교'!$B$6))*SIN(RADIANS('13_시나리오비교'!$C$6))+$H1013*SIN(RADIANS('13_시나리오비교'!$B$6))*COS(RADIANS('13_시나리오비교'!$C$6))+$I1013*COS(RADIANS('13_시나리오비교'!$B$6))),0)</f>
        <v/>
      </c>
      <c r="R1013" s="80">
        <f>IF($I1013&gt;0,MAX(0,$G1013*SIN(RADIANS('13_시나리오비교'!$B$7))*SIN(RADIANS('13_시나리오비교'!$C$7))+$H1013*SIN(RADIANS('13_시나리오비교'!$B$7))*COS(RADIANS('13_시나리오비교'!$C$7))+$I1013*COS(RADIANS('13_시나리오비교'!$B$7))),0)</f>
        <v/>
      </c>
      <c r="S1013" s="80">
        <f>IF($I1013&gt;0,MAX(0,$G1013*SIN(RADIANS('13_시나리오비교'!$B$8))*SIN(RADIANS('13_시나리오비교'!$C$8))+$H1013*SIN(RADIANS('13_시나리오비교'!$B$8))*COS(RADIANS('13_시나리오비교'!$C$8))+$I1013*COS(RADIANS('13_시나리오비교'!$B$8))),0)</f>
        <v/>
      </c>
      <c r="T1013" s="80">
        <f>IF($I1013&gt;0,MAX(0,$G1013*SIN(RADIANS('13_시나리오비교'!$B$9))*SIN(RADIANS('13_시나리오비교'!$C$9))+$H1013*SIN(RADIANS('13_시나리오비교'!$B$9))*COS(RADIANS('13_시나리오비교'!$C$9))+$I1013*COS(RADIANS('13_시나리오비교'!$B$9))),0)</f>
        <v/>
      </c>
      <c r="U1013" s="80">
        <f>IF($I1013&gt;0,MAX(0,$G1013*SIN(RADIANS('13_시나리오비교'!$B$10))*SIN(RADIANS('13_시나리오비교'!$C$10))+$H1013*SIN(RADIANS('13_시나리오비교'!$B$10))*COS(RADIANS('13_시나리오비교'!$C$10))+$I1013*COS(RADIANS('13_시나리오비교'!$B$10))),0)</f>
        <v/>
      </c>
      <c r="V1013" s="80">
        <f>IF($I1013&gt;0,MAX(0,$G1013*SIN(RADIANS('13_시나리오비교'!$B$11))*SIN(RADIANS('13_시나리오비교'!$C$11))+$H1013*SIN(RADIANS('13_시나리오비교'!$B$11))*COS(RADIANS('13_시나리오비교'!$C$11))+$I1013*COS(RADIANS('13_시나리오비교'!$B$11))),0)</f>
        <v/>
      </c>
      <c r="W1013" s="80">
        <f>IF($I1013&gt;0,MAX(0,$G1013*SIN(RADIANS('13_시나리오비교'!$B$12))*SIN(RADIANS('13_시나리오비교'!$C$12))+$H1013*SIN(RADIANS('13_시나리오비교'!$B$12))*COS(RADIANS('13_시나리오비교'!$C$12))+$I1013*COS(RADIANS('13_시나리오비교'!$B$12))),0)</f>
        <v/>
      </c>
      <c r="X1013" s="80">
        <f>IF($I1013&gt;0,MAX(0,$G1013*SIN(RADIANS('13_시나리오비교'!$B$13))*SIN(RADIANS('13_시나리오비교'!$C$13))+$H1013*SIN(RADIANS('13_시나리오비교'!$B$13))*COS(RADIANS('13_시나리오비교'!$C$13))+$I1013*COS(RADIANS('13_시나리오비교'!$B$13))),0)</f>
        <v/>
      </c>
      <c r="Y1013" s="80">
        <f>IF($I1013&gt;0,MAX(0,$G1013*SIN(RADIANS('13_시나리오비교'!$B$14))*SIN(RADIANS('13_시나리오비교'!$C$14))+$H1013*SIN(RADIANS('13_시나리오비교'!$B$14))*COS(RADIANS('13_시나리오비교'!$C$14))+$I1013*COS(RADIANS('13_시나리오비교'!$B$14))),0)</f>
        <v/>
      </c>
    </row>
    <row r="1014" hidden="1" outlineLevel="1">
      <c r="A1014" s="79" t="n">
        <v>11</v>
      </c>
      <c r="B1014" s="79" t="n">
        <v>34</v>
      </c>
      <c r="C1014" s="80">
        <f>(B1014-0.5)*'14_지역·상수'!$H$6</f>
        <v/>
      </c>
      <c r="D1014" s="79" t="n">
        <v>318</v>
      </c>
      <c r="E1014" s="80">
        <f>INDEX($C$4:$C$15,MATCH(A1014,$A$4:$A$15,0))</f>
        <v/>
      </c>
      <c r="F1014" s="80">
        <f>15*(C1014-12)</f>
        <v/>
      </c>
      <c r="G1014" s="80">
        <f>-COS(RADIANS(E1014))*SIN(RADIANS(F1014))</f>
        <v/>
      </c>
      <c r="H1014" s="80">
        <f>COS(RADIANS('11_발전량_모델'!$B$17))*SIN(RADIANS(E1014))-SIN(RADIANS('11_발전량_모델'!$B$17))*COS(RADIANS(E1014))*COS(RADIANS(F1014))</f>
        <v/>
      </c>
      <c r="I1014" s="80">
        <f>SIN(RADIANS('11_발전량_모델'!$B$17))*SIN(RADIANS(E1014))+COS(RADIANS('11_발전량_모델'!$B$17))*COS(RADIANS(E1014))*COS(RADIANS(F1014))</f>
        <v/>
      </c>
      <c r="J1014" s="80">
        <f>SIN(RADIANS('11_발전량_모델'!$B$7))*SIN(RADIANS('11_발전량_모델'!$B$8))</f>
        <v/>
      </c>
      <c r="K1014" s="80">
        <f>SIN(RADIANS('11_발전량_모델'!$B$7))*COS(RADIANS('11_발전량_모델'!$B$8))</f>
        <v/>
      </c>
      <c r="L1014" s="80">
        <f>COS(RADIANS('11_발전량_모델'!$B$7))</f>
        <v/>
      </c>
      <c r="M1014" s="80">
        <f>G1014*J1014+H1014*K1014+I1014*L1014</f>
        <v/>
      </c>
      <c r="N1014" s="80">
        <f>MAX(0,I1014)</f>
        <v/>
      </c>
      <c r="O1014" s="80">
        <f>IF(I1014&gt;0,MAX(0,M1014),0)</f>
        <v/>
      </c>
      <c r="P1014" s="80">
        <f>IF($I1014&gt;0,MAX(0,$G1014*SIN(RADIANS('13_시나리오비교'!$B$5))*SIN(RADIANS('13_시나리오비교'!$C$5))+$H1014*SIN(RADIANS('13_시나리오비교'!$B$5))*COS(RADIANS('13_시나리오비교'!$C$5))+$I1014*COS(RADIANS('13_시나리오비교'!$B$5))),0)</f>
        <v/>
      </c>
      <c r="Q1014" s="80">
        <f>IF($I1014&gt;0,MAX(0,$G1014*SIN(RADIANS('13_시나리오비교'!$B$6))*SIN(RADIANS('13_시나리오비교'!$C$6))+$H1014*SIN(RADIANS('13_시나리오비교'!$B$6))*COS(RADIANS('13_시나리오비교'!$C$6))+$I1014*COS(RADIANS('13_시나리오비교'!$B$6))),0)</f>
        <v/>
      </c>
      <c r="R1014" s="80">
        <f>IF($I1014&gt;0,MAX(0,$G1014*SIN(RADIANS('13_시나리오비교'!$B$7))*SIN(RADIANS('13_시나리오비교'!$C$7))+$H1014*SIN(RADIANS('13_시나리오비교'!$B$7))*COS(RADIANS('13_시나리오비교'!$C$7))+$I1014*COS(RADIANS('13_시나리오비교'!$B$7))),0)</f>
        <v/>
      </c>
      <c r="S1014" s="80">
        <f>IF($I1014&gt;0,MAX(0,$G1014*SIN(RADIANS('13_시나리오비교'!$B$8))*SIN(RADIANS('13_시나리오비교'!$C$8))+$H1014*SIN(RADIANS('13_시나리오비교'!$B$8))*COS(RADIANS('13_시나리오비교'!$C$8))+$I1014*COS(RADIANS('13_시나리오비교'!$B$8))),0)</f>
        <v/>
      </c>
      <c r="T1014" s="80">
        <f>IF($I1014&gt;0,MAX(0,$G1014*SIN(RADIANS('13_시나리오비교'!$B$9))*SIN(RADIANS('13_시나리오비교'!$C$9))+$H1014*SIN(RADIANS('13_시나리오비교'!$B$9))*COS(RADIANS('13_시나리오비교'!$C$9))+$I1014*COS(RADIANS('13_시나리오비교'!$B$9))),0)</f>
        <v/>
      </c>
      <c r="U1014" s="80">
        <f>IF($I1014&gt;0,MAX(0,$G1014*SIN(RADIANS('13_시나리오비교'!$B$10))*SIN(RADIANS('13_시나리오비교'!$C$10))+$H1014*SIN(RADIANS('13_시나리오비교'!$B$10))*COS(RADIANS('13_시나리오비교'!$C$10))+$I1014*COS(RADIANS('13_시나리오비교'!$B$10))),0)</f>
        <v/>
      </c>
      <c r="V1014" s="80">
        <f>IF($I1014&gt;0,MAX(0,$G1014*SIN(RADIANS('13_시나리오비교'!$B$11))*SIN(RADIANS('13_시나리오비교'!$C$11))+$H1014*SIN(RADIANS('13_시나리오비교'!$B$11))*COS(RADIANS('13_시나리오비교'!$C$11))+$I1014*COS(RADIANS('13_시나리오비교'!$B$11))),0)</f>
        <v/>
      </c>
      <c r="W1014" s="80">
        <f>IF($I1014&gt;0,MAX(0,$G1014*SIN(RADIANS('13_시나리오비교'!$B$12))*SIN(RADIANS('13_시나리오비교'!$C$12))+$H1014*SIN(RADIANS('13_시나리오비교'!$B$12))*COS(RADIANS('13_시나리오비교'!$C$12))+$I1014*COS(RADIANS('13_시나리오비교'!$B$12))),0)</f>
        <v/>
      </c>
      <c r="X1014" s="80">
        <f>IF($I1014&gt;0,MAX(0,$G1014*SIN(RADIANS('13_시나리오비교'!$B$13))*SIN(RADIANS('13_시나리오비교'!$C$13))+$H1014*SIN(RADIANS('13_시나리오비교'!$B$13))*COS(RADIANS('13_시나리오비교'!$C$13))+$I1014*COS(RADIANS('13_시나리오비교'!$B$13))),0)</f>
        <v/>
      </c>
      <c r="Y1014" s="80">
        <f>IF($I1014&gt;0,MAX(0,$G1014*SIN(RADIANS('13_시나리오비교'!$B$14))*SIN(RADIANS('13_시나리오비교'!$C$14))+$H1014*SIN(RADIANS('13_시나리오비교'!$B$14))*COS(RADIANS('13_시나리오비교'!$C$14))+$I1014*COS(RADIANS('13_시나리오비교'!$B$14))),0)</f>
        <v/>
      </c>
    </row>
    <row r="1015" hidden="1" outlineLevel="1">
      <c r="A1015" s="79" t="n">
        <v>11</v>
      </c>
      <c r="B1015" s="79" t="n">
        <v>35</v>
      </c>
      <c r="C1015" s="80">
        <f>(B1015-0.5)*'14_지역·상수'!$H$6</f>
        <v/>
      </c>
      <c r="D1015" s="79" t="n">
        <v>318</v>
      </c>
      <c r="E1015" s="80">
        <f>INDEX($C$4:$C$15,MATCH(A1015,$A$4:$A$15,0))</f>
        <v/>
      </c>
      <c r="F1015" s="80">
        <f>15*(C1015-12)</f>
        <v/>
      </c>
      <c r="G1015" s="80">
        <f>-COS(RADIANS(E1015))*SIN(RADIANS(F1015))</f>
        <v/>
      </c>
      <c r="H1015" s="80">
        <f>COS(RADIANS('11_발전량_모델'!$B$17))*SIN(RADIANS(E1015))-SIN(RADIANS('11_발전량_모델'!$B$17))*COS(RADIANS(E1015))*COS(RADIANS(F1015))</f>
        <v/>
      </c>
      <c r="I1015" s="80">
        <f>SIN(RADIANS('11_발전량_모델'!$B$17))*SIN(RADIANS(E1015))+COS(RADIANS('11_발전량_모델'!$B$17))*COS(RADIANS(E1015))*COS(RADIANS(F1015))</f>
        <v/>
      </c>
      <c r="J1015" s="80">
        <f>SIN(RADIANS('11_발전량_모델'!$B$7))*SIN(RADIANS('11_발전량_모델'!$B$8))</f>
        <v/>
      </c>
      <c r="K1015" s="80">
        <f>SIN(RADIANS('11_발전량_모델'!$B$7))*COS(RADIANS('11_발전량_모델'!$B$8))</f>
        <v/>
      </c>
      <c r="L1015" s="80">
        <f>COS(RADIANS('11_발전량_모델'!$B$7))</f>
        <v/>
      </c>
      <c r="M1015" s="80">
        <f>G1015*J1015+H1015*K1015+I1015*L1015</f>
        <v/>
      </c>
      <c r="N1015" s="80">
        <f>MAX(0,I1015)</f>
        <v/>
      </c>
      <c r="O1015" s="80">
        <f>IF(I1015&gt;0,MAX(0,M1015),0)</f>
        <v/>
      </c>
      <c r="P1015" s="80">
        <f>IF($I1015&gt;0,MAX(0,$G1015*SIN(RADIANS('13_시나리오비교'!$B$5))*SIN(RADIANS('13_시나리오비교'!$C$5))+$H1015*SIN(RADIANS('13_시나리오비교'!$B$5))*COS(RADIANS('13_시나리오비교'!$C$5))+$I1015*COS(RADIANS('13_시나리오비교'!$B$5))),0)</f>
        <v/>
      </c>
      <c r="Q1015" s="80">
        <f>IF($I1015&gt;0,MAX(0,$G1015*SIN(RADIANS('13_시나리오비교'!$B$6))*SIN(RADIANS('13_시나리오비교'!$C$6))+$H1015*SIN(RADIANS('13_시나리오비교'!$B$6))*COS(RADIANS('13_시나리오비교'!$C$6))+$I1015*COS(RADIANS('13_시나리오비교'!$B$6))),0)</f>
        <v/>
      </c>
      <c r="R1015" s="80">
        <f>IF($I1015&gt;0,MAX(0,$G1015*SIN(RADIANS('13_시나리오비교'!$B$7))*SIN(RADIANS('13_시나리오비교'!$C$7))+$H1015*SIN(RADIANS('13_시나리오비교'!$B$7))*COS(RADIANS('13_시나리오비교'!$C$7))+$I1015*COS(RADIANS('13_시나리오비교'!$B$7))),0)</f>
        <v/>
      </c>
      <c r="S1015" s="80">
        <f>IF($I1015&gt;0,MAX(0,$G1015*SIN(RADIANS('13_시나리오비교'!$B$8))*SIN(RADIANS('13_시나리오비교'!$C$8))+$H1015*SIN(RADIANS('13_시나리오비교'!$B$8))*COS(RADIANS('13_시나리오비교'!$C$8))+$I1015*COS(RADIANS('13_시나리오비교'!$B$8))),0)</f>
        <v/>
      </c>
      <c r="T1015" s="80">
        <f>IF($I1015&gt;0,MAX(0,$G1015*SIN(RADIANS('13_시나리오비교'!$B$9))*SIN(RADIANS('13_시나리오비교'!$C$9))+$H1015*SIN(RADIANS('13_시나리오비교'!$B$9))*COS(RADIANS('13_시나리오비교'!$C$9))+$I1015*COS(RADIANS('13_시나리오비교'!$B$9))),0)</f>
        <v/>
      </c>
      <c r="U1015" s="80">
        <f>IF($I1015&gt;0,MAX(0,$G1015*SIN(RADIANS('13_시나리오비교'!$B$10))*SIN(RADIANS('13_시나리오비교'!$C$10))+$H1015*SIN(RADIANS('13_시나리오비교'!$B$10))*COS(RADIANS('13_시나리오비교'!$C$10))+$I1015*COS(RADIANS('13_시나리오비교'!$B$10))),0)</f>
        <v/>
      </c>
      <c r="V1015" s="80">
        <f>IF($I1015&gt;0,MAX(0,$G1015*SIN(RADIANS('13_시나리오비교'!$B$11))*SIN(RADIANS('13_시나리오비교'!$C$11))+$H1015*SIN(RADIANS('13_시나리오비교'!$B$11))*COS(RADIANS('13_시나리오비교'!$C$11))+$I1015*COS(RADIANS('13_시나리오비교'!$B$11))),0)</f>
        <v/>
      </c>
      <c r="W1015" s="80">
        <f>IF($I1015&gt;0,MAX(0,$G1015*SIN(RADIANS('13_시나리오비교'!$B$12))*SIN(RADIANS('13_시나리오비교'!$C$12))+$H1015*SIN(RADIANS('13_시나리오비교'!$B$12))*COS(RADIANS('13_시나리오비교'!$C$12))+$I1015*COS(RADIANS('13_시나리오비교'!$B$12))),0)</f>
        <v/>
      </c>
      <c r="X1015" s="80">
        <f>IF($I1015&gt;0,MAX(0,$G1015*SIN(RADIANS('13_시나리오비교'!$B$13))*SIN(RADIANS('13_시나리오비교'!$C$13))+$H1015*SIN(RADIANS('13_시나리오비교'!$B$13))*COS(RADIANS('13_시나리오비교'!$C$13))+$I1015*COS(RADIANS('13_시나리오비교'!$B$13))),0)</f>
        <v/>
      </c>
      <c r="Y1015" s="80">
        <f>IF($I1015&gt;0,MAX(0,$G1015*SIN(RADIANS('13_시나리오비교'!$B$14))*SIN(RADIANS('13_시나리오비교'!$C$14))+$H1015*SIN(RADIANS('13_시나리오비교'!$B$14))*COS(RADIANS('13_시나리오비교'!$C$14))+$I1015*COS(RADIANS('13_시나리오비교'!$B$14))),0)</f>
        <v/>
      </c>
    </row>
    <row r="1016" hidden="1" outlineLevel="1">
      <c r="A1016" s="79" t="n">
        <v>11</v>
      </c>
      <c r="B1016" s="79" t="n">
        <v>36</v>
      </c>
      <c r="C1016" s="80">
        <f>(B1016-0.5)*'14_지역·상수'!$H$6</f>
        <v/>
      </c>
      <c r="D1016" s="79" t="n">
        <v>318</v>
      </c>
      <c r="E1016" s="80">
        <f>INDEX($C$4:$C$15,MATCH(A1016,$A$4:$A$15,0))</f>
        <v/>
      </c>
      <c r="F1016" s="80">
        <f>15*(C1016-12)</f>
        <v/>
      </c>
      <c r="G1016" s="80">
        <f>-COS(RADIANS(E1016))*SIN(RADIANS(F1016))</f>
        <v/>
      </c>
      <c r="H1016" s="80">
        <f>COS(RADIANS('11_발전량_모델'!$B$17))*SIN(RADIANS(E1016))-SIN(RADIANS('11_발전량_모델'!$B$17))*COS(RADIANS(E1016))*COS(RADIANS(F1016))</f>
        <v/>
      </c>
      <c r="I1016" s="80">
        <f>SIN(RADIANS('11_발전량_모델'!$B$17))*SIN(RADIANS(E1016))+COS(RADIANS('11_발전량_모델'!$B$17))*COS(RADIANS(E1016))*COS(RADIANS(F1016))</f>
        <v/>
      </c>
      <c r="J1016" s="80">
        <f>SIN(RADIANS('11_발전량_모델'!$B$7))*SIN(RADIANS('11_발전량_모델'!$B$8))</f>
        <v/>
      </c>
      <c r="K1016" s="80">
        <f>SIN(RADIANS('11_발전량_모델'!$B$7))*COS(RADIANS('11_발전량_모델'!$B$8))</f>
        <v/>
      </c>
      <c r="L1016" s="80">
        <f>COS(RADIANS('11_발전량_모델'!$B$7))</f>
        <v/>
      </c>
      <c r="M1016" s="80">
        <f>G1016*J1016+H1016*K1016+I1016*L1016</f>
        <v/>
      </c>
      <c r="N1016" s="80">
        <f>MAX(0,I1016)</f>
        <v/>
      </c>
      <c r="O1016" s="80">
        <f>IF(I1016&gt;0,MAX(0,M1016),0)</f>
        <v/>
      </c>
      <c r="P1016" s="80">
        <f>IF($I1016&gt;0,MAX(0,$G1016*SIN(RADIANS('13_시나리오비교'!$B$5))*SIN(RADIANS('13_시나리오비교'!$C$5))+$H1016*SIN(RADIANS('13_시나리오비교'!$B$5))*COS(RADIANS('13_시나리오비교'!$C$5))+$I1016*COS(RADIANS('13_시나리오비교'!$B$5))),0)</f>
        <v/>
      </c>
      <c r="Q1016" s="80">
        <f>IF($I1016&gt;0,MAX(0,$G1016*SIN(RADIANS('13_시나리오비교'!$B$6))*SIN(RADIANS('13_시나리오비교'!$C$6))+$H1016*SIN(RADIANS('13_시나리오비교'!$B$6))*COS(RADIANS('13_시나리오비교'!$C$6))+$I1016*COS(RADIANS('13_시나리오비교'!$B$6))),0)</f>
        <v/>
      </c>
      <c r="R1016" s="80">
        <f>IF($I1016&gt;0,MAX(0,$G1016*SIN(RADIANS('13_시나리오비교'!$B$7))*SIN(RADIANS('13_시나리오비교'!$C$7))+$H1016*SIN(RADIANS('13_시나리오비교'!$B$7))*COS(RADIANS('13_시나리오비교'!$C$7))+$I1016*COS(RADIANS('13_시나리오비교'!$B$7))),0)</f>
        <v/>
      </c>
      <c r="S1016" s="80">
        <f>IF($I1016&gt;0,MAX(0,$G1016*SIN(RADIANS('13_시나리오비교'!$B$8))*SIN(RADIANS('13_시나리오비교'!$C$8))+$H1016*SIN(RADIANS('13_시나리오비교'!$B$8))*COS(RADIANS('13_시나리오비교'!$C$8))+$I1016*COS(RADIANS('13_시나리오비교'!$B$8))),0)</f>
        <v/>
      </c>
      <c r="T1016" s="80">
        <f>IF($I1016&gt;0,MAX(0,$G1016*SIN(RADIANS('13_시나리오비교'!$B$9))*SIN(RADIANS('13_시나리오비교'!$C$9))+$H1016*SIN(RADIANS('13_시나리오비교'!$B$9))*COS(RADIANS('13_시나리오비교'!$C$9))+$I1016*COS(RADIANS('13_시나리오비교'!$B$9))),0)</f>
        <v/>
      </c>
      <c r="U1016" s="80">
        <f>IF($I1016&gt;0,MAX(0,$G1016*SIN(RADIANS('13_시나리오비교'!$B$10))*SIN(RADIANS('13_시나리오비교'!$C$10))+$H1016*SIN(RADIANS('13_시나리오비교'!$B$10))*COS(RADIANS('13_시나리오비교'!$C$10))+$I1016*COS(RADIANS('13_시나리오비교'!$B$10))),0)</f>
        <v/>
      </c>
      <c r="V1016" s="80">
        <f>IF($I1016&gt;0,MAX(0,$G1016*SIN(RADIANS('13_시나리오비교'!$B$11))*SIN(RADIANS('13_시나리오비교'!$C$11))+$H1016*SIN(RADIANS('13_시나리오비교'!$B$11))*COS(RADIANS('13_시나리오비교'!$C$11))+$I1016*COS(RADIANS('13_시나리오비교'!$B$11))),0)</f>
        <v/>
      </c>
      <c r="W1016" s="80">
        <f>IF($I1016&gt;0,MAX(0,$G1016*SIN(RADIANS('13_시나리오비교'!$B$12))*SIN(RADIANS('13_시나리오비교'!$C$12))+$H1016*SIN(RADIANS('13_시나리오비교'!$B$12))*COS(RADIANS('13_시나리오비교'!$C$12))+$I1016*COS(RADIANS('13_시나리오비교'!$B$12))),0)</f>
        <v/>
      </c>
      <c r="X1016" s="80">
        <f>IF($I1016&gt;0,MAX(0,$G1016*SIN(RADIANS('13_시나리오비교'!$B$13))*SIN(RADIANS('13_시나리오비교'!$C$13))+$H1016*SIN(RADIANS('13_시나리오비교'!$B$13))*COS(RADIANS('13_시나리오비교'!$C$13))+$I1016*COS(RADIANS('13_시나리오비교'!$B$13))),0)</f>
        <v/>
      </c>
      <c r="Y1016" s="80">
        <f>IF($I1016&gt;0,MAX(0,$G1016*SIN(RADIANS('13_시나리오비교'!$B$14))*SIN(RADIANS('13_시나리오비교'!$C$14))+$H1016*SIN(RADIANS('13_시나리오비교'!$B$14))*COS(RADIANS('13_시나리오비교'!$C$14))+$I1016*COS(RADIANS('13_시나리오비교'!$B$14))),0)</f>
        <v/>
      </c>
    </row>
    <row r="1017" hidden="1" outlineLevel="1">
      <c r="A1017" s="79" t="n">
        <v>11</v>
      </c>
      <c r="B1017" s="79" t="n">
        <v>37</v>
      </c>
      <c r="C1017" s="80">
        <f>(B1017-0.5)*'14_지역·상수'!$H$6</f>
        <v/>
      </c>
      <c r="D1017" s="79" t="n">
        <v>318</v>
      </c>
      <c r="E1017" s="80">
        <f>INDEX($C$4:$C$15,MATCH(A1017,$A$4:$A$15,0))</f>
        <v/>
      </c>
      <c r="F1017" s="80">
        <f>15*(C1017-12)</f>
        <v/>
      </c>
      <c r="G1017" s="80">
        <f>-COS(RADIANS(E1017))*SIN(RADIANS(F1017))</f>
        <v/>
      </c>
      <c r="H1017" s="80">
        <f>COS(RADIANS('11_발전량_모델'!$B$17))*SIN(RADIANS(E1017))-SIN(RADIANS('11_발전량_모델'!$B$17))*COS(RADIANS(E1017))*COS(RADIANS(F1017))</f>
        <v/>
      </c>
      <c r="I1017" s="80">
        <f>SIN(RADIANS('11_발전량_모델'!$B$17))*SIN(RADIANS(E1017))+COS(RADIANS('11_발전량_모델'!$B$17))*COS(RADIANS(E1017))*COS(RADIANS(F1017))</f>
        <v/>
      </c>
      <c r="J1017" s="80">
        <f>SIN(RADIANS('11_발전량_모델'!$B$7))*SIN(RADIANS('11_발전량_모델'!$B$8))</f>
        <v/>
      </c>
      <c r="K1017" s="80">
        <f>SIN(RADIANS('11_발전량_모델'!$B$7))*COS(RADIANS('11_발전량_모델'!$B$8))</f>
        <v/>
      </c>
      <c r="L1017" s="80">
        <f>COS(RADIANS('11_발전량_모델'!$B$7))</f>
        <v/>
      </c>
      <c r="M1017" s="80">
        <f>G1017*J1017+H1017*K1017+I1017*L1017</f>
        <v/>
      </c>
      <c r="N1017" s="80">
        <f>MAX(0,I1017)</f>
        <v/>
      </c>
      <c r="O1017" s="80">
        <f>IF(I1017&gt;0,MAX(0,M1017),0)</f>
        <v/>
      </c>
      <c r="P1017" s="80">
        <f>IF($I1017&gt;0,MAX(0,$G1017*SIN(RADIANS('13_시나리오비교'!$B$5))*SIN(RADIANS('13_시나리오비교'!$C$5))+$H1017*SIN(RADIANS('13_시나리오비교'!$B$5))*COS(RADIANS('13_시나리오비교'!$C$5))+$I1017*COS(RADIANS('13_시나리오비교'!$B$5))),0)</f>
        <v/>
      </c>
      <c r="Q1017" s="80">
        <f>IF($I1017&gt;0,MAX(0,$G1017*SIN(RADIANS('13_시나리오비교'!$B$6))*SIN(RADIANS('13_시나리오비교'!$C$6))+$H1017*SIN(RADIANS('13_시나리오비교'!$B$6))*COS(RADIANS('13_시나리오비교'!$C$6))+$I1017*COS(RADIANS('13_시나리오비교'!$B$6))),0)</f>
        <v/>
      </c>
      <c r="R1017" s="80">
        <f>IF($I1017&gt;0,MAX(0,$G1017*SIN(RADIANS('13_시나리오비교'!$B$7))*SIN(RADIANS('13_시나리오비교'!$C$7))+$H1017*SIN(RADIANS('13_시나리오비교'!$B$7))*COS(RADIANS('13_시나리오비교'!$C$7))+$I1017*COS(RADIANS('13_시나리오비교'!$B$7))),0)</f>
        <v/>
      </c>
      <c r="S1017" s="80">
        <f>IF($I1017&gt;0,MAX(0,$G1017*SIN(RADIANS('13_시나리오비교'!$B$8))*SIN(RADIANS('13_시나리오비교'!$C$8))+$H1017*SIN(RADIANS('13_시나리오비교'!$B$8))*COS(RADIANS('13_시나리오비교'!$C$8))+$I1017*COS(RADIANS('13_시나리오비교'!$B$8))),0)</f>
        <v/>
      </c>
      <c r="T1017" s="80">
        <f>IF($I1017&gt;0,MAX(0,$G1017*SIN(RADIANS('13_시나리오비교'!$B$9))*SIN(RADIANS('13_시나리오비교'!$C$9))+$H1017*SIN(RADIANS('13_시나리오비교'!$B$9))*COS(RADIANS('13_시나리오비교'!$C$9))+$I1017*COS(RADIANS('13_시나리오비교'!$B$9))),0)</f>
        <v/>
      </c>
      <c r="U1017" s="80">
        <f>IF($I1017&gt;0,MAX(0,$G1017*SIN(RADIANS('13_시나리오비교'!$B$10))*SIN(RADIANS('13_시나리오비교'!$C$10))+$H1017*SIN(RADIANS('13_시나리오비교'!$B$10))*COS(RADIANS('13_시나리오비교'!$C$10))+$I1017*COS(RADIANS('13_시나리오비교'!$B$10))),0)</f>
        <v/>
      </c>
      <c r="V1017" s="80">
        <f>IF($I1017&gt;0,MAX(0,$G1017*SIN(RADIANS('13_시나리오비교'!$B$11))*SIN(RADIANS('13_시나리오비교'!$C$11))+$H1017*SIN(RADIANS('13_시나리오비교'!$B$11))*COS(RADIANS('13_시나리오비교'!$C$11))+$I1017*COS(RADIANS('13_시나리오비교'!$B$11))),0)</f>
        <v/>
      </c>
      <c r="W1017" s="80">
        <f>IF($I1017&gt;0,MAX(0,$G1017*SIN(RADIANS('13_시나리오비교'!$B$12))*SIN(RADIANS('13_시나리오비교'!$C$12))+$H1017*SIN(RADIANS('13_시나리오비교'!$B$12))*COS(RADIANS('13_시나리오비교'!$C$12))+$I1017*COS(RADIANS('13_시나리오비교'!$B$12))),0)</f>
        <v/>
      </c>
      <c r="X1017" s="80">
        <f>IF($I1017&gt;0,MAX(0,$G1017*SIN(RADIANS('13_시나리오비교'!$B$13))*SIN(RADIANS('13_시나리오비교'!$C$13))+$H1017*SIN(RADIANS('13_시나리오비교'!$B$13))*COS(RADIANS('13_시나리오비교'!$C$13))+$I1017*COS(RADIANS('13_시나리오비교'!$B$13))),0)</f>
        <v/>
      </c>
      <c r="Y1017" s="80">
        <f>IF($I1017&gt;0,MAX(0,$G1017*SIN(RADIANS('13_시나리오비교'!$B$14))*SIN(RADIANS('13_시나리오비교'!$C$14))+$H1017*SIN(RADIANS('13_시나리오비교'!$B$14))*COS(RADIANS('13_시나리오비교'!$C$14))+$I1017*COS(RADIANS('13_시나리오비교'!$B$14))),0)</f>
        <v/>
      </c>
    </row>
    <row r="1018" hidden="1" outlineLevel="1">
      <c r="A1018" s="79" t="n">
        <v>11</v>
      </c>
      <c r="B1018" s="79" t="n">
        <v>38</v>
      </c>
      <c r="C1018" s="80">
        <f>(B1018-0.5)*'14_지역·상수'!$H$6</f>
        <v/>
      </c>
      <c r="D1018" s="79" t="n">
        <v>318</v>
      </c>
      <c r="E1018" s="80">
        <f>INDEX($C$4:$C$15,MATCH(A1018,$A$4:$A$15,0))</f>
        <v/>
      </c>
      <c r="F1018" s="80">
        <f>15*(C1018-12)</f>
        <v/>
      </c>
      <c r="G1018" s="80">
        <f>-COS(RADIANS(E1018))*SIN(RADIANS(F1018))</f>
        <v/>
      </c>
      <c r="H1018" s="80">
        <f>COS(RADIANS('11_발전량_모델'!$B$17))*SIN(RADIANS(E1018))-SIN(RADIANS('11_발전량_모델'!$B$17))*COS(RADIANS(E1018))*COS(RADIANS(F1018))</f>
        <v/>
      </c>
      <c r="I1018" s="80">
        <f>SIN(RADIANS('11_발전량_모델'!$B$17))*SIN(RADIANS(E1018))+COS(RADIANS('11_발전량_모델'!$B$17))*COS(RADIANS(E1018))*COS(RADIANS(F1018))</f>
        <v/>
      </c>
      <c r="J1018" s="80">
        <f>SIN(RADIANS('11_발전량_모델'!$B$7))*SIN(RADIANS('11_발전량_모델'!$B$8))</f>
        <v/>
      </c>
      <c r="K1018" s="80">
        <f>SIN(RADIANS('11_발전량_모델'!$B$7))*COS(RADIANS('11_발전량_모델'!$B$8))</f>
        <v/>
      </c>
      <c r="L1018" s="80">
        <f>COS(RADIANS('11_발전량_모델'!$B$7))</f>
        <v/>
      </c>
      <c r="M1018" s="80">
        <f>G1018*J1018+H1018*K1018+I1018*L1018</f>
        <v/>
      </c>
      <c r="N1018" s="80">
        <f>MAX(0,I1018)</f>
        <v/>
      </c>
      <c r="O1018" s="80">
        <f>IF(I1018&gt;0,MAX(0,M1018),0)</f>
        <v/>
      </c>
      <c r="P1018" s="80">
        <f>IF($I1018&gt;0,MAX(0,$G1018*SIN(RADIANS('13_시나리오비교'!$B$5))*SIN(RADIANS('13_시나리오비교'!$C$5))+$H1018*SIN(RADIANS('13_시나리오비교'!$B$5))*COS(RADIANS('13_시나리오비교'!$C$5))+$I1018*COS(RADIANS('13_시나리오비교'!$B$5))),0)</f>
        <v/>
      </c>
      <c r="Q1018" s="80">
        <f>IF($I1018&gt;0,MAX(0,$G1018*SIN(RADIANS('13_시나리오비교'!$B$6))*SIN(RADIANS('13_시나리오비교'!$C$6))+$H1018*SIN(RADIANS('13_시나리오비교'!$B$6))*COS(RADIANS('13_시나리오비교'!$C$6))+$I1018*COS(RADIANS('13_시나리오비교'!$B$6))),0)</f>
        <v/>
      </c>
      <c r="R1018" s="80">
        <f>IF($I1018&gt;0,MAX(0,$G1018*SIN(RADIANS('13_시나리오비교'!$B$7))*SIN(RADIANS('13_시나리오비교'!$C$7))+$H1018*SIN(RADIANS('13_시나리오비교'!$B$7))*COS(RADIANS('13_시나리오비교'!$C$7))+$I1018*COS(RADIANS('13_시나리오비교'!$B$7))),0)</f>
        <v/>
      </c>
      <c r="S1018" s="80">
        <f>IF($I1018&gt;0,MAX(0,$G1018*SIN(RADIANS('13_시나리오비교'!$B$8))*SIN(RADIANS('13_시나리오비교'!$C$8))+$H1018*SIN(RADIANS('13_시나리오비교'!$B$8))*COS(RADIANS('13_시나리오비교'!$C$8))+$I1018*COS(RADIANS('13_시나리오비교'!$B$8))),0)</f>
        <v/>
      </c>
      <c r="T1018" s="80">
        <f>IF($I1018&gt;0,MAX(0,$G1018*SIN(RADIANS('13_시나리오비교'!$B$9))*SIN(RADIANS('13_시나리오비교'!$C$9))+$H1018*SIN(RADIANS('13_시나리오비교'!$B$9))*COS(RADIANS('13_시나리오비교'!$C$9))+$I1018*COS(RADIANS('13_시나리오비교'!$B$9))),0)</f>
        <v/>
      </c>
      <c r="U1018" s="80">
        <f>IF($I1018&gt;0,MAX(0,$G1018*SIN(RADIANS('13_시나리오비교'!$B$10))*SIN(RADIANS('13_시나리오비교'!$C$10))+$H1018*SIN(RADIANS('13_시나리오비교'!$B$10))*COS(RADIANS('13_시나리오비교'!$C$10))+$I1018*COS(RADIANS('13_시나리오비교'!$B$10))),0)</f>
        <v/>
      </c>
      <c r="V1018" s="80">
        <f>IF($I1018&gt;0,MAX(0,$G1018*SIN(RADIANS('13_시나리오비교'!$B$11))*SIN(RADIANS('13_시나리오비교'!$C$11))+$H1018*SIN(RADIANS('13_시나리오비교'!$B$11))*COS(RADIANS('13_시나리오비교'!$C$11))+$I1018*COS(RADIANS('13_시나리오비교'!$B$11))),0)</f>
        <v/>
      </c>
      <c r="W1018" s="80">
        <f>IF($I1018&gt;0,MAX(0,$G1018*SIN(RADIANS('13_시나리오비교'!$B$12))*SIN(RADIANS('13_시나리오비교'!$C$12))+$H1018*SIN(RADIANS('13_시나리오비교'!$B$12))*COS(RADIANS('13_시나리오비교'!$C$12))+$I1018*COS(RADIANS('13_시나리오비교'!$B$12))),0)</f>
        <v/>
      </c>
      <c r="X1018" s="80">
        <f>IF($I1018&gt;0,MAX(0,$G1018*SIN(RADIANS('13_시나리오비교'!$B$13))*SIN(RADIANS('13_시나리오비교'!$C$13))+$H1018*SIN(RADIANS('13_시나리오비교'!$B$13))*COS(RADIANS('13_시나리오비교'!$C$13))+$I1018*COS(RADIANS('13_시나리오비교'!$B$13))),0)</f>
        <v/>
      </c>
      <c r="Y1018" s="80">
        <f>IF($I1018&gt;0,MAX(0,$G1018*SIN(RADIANS('13_시나리오비교'!$B$14))*SIN(RADIANS('13_시나리오비교'!$C$14))+$H1018*SIN(RADIANS('13_시나리오비교'!$B$14))*COS(RADIANS('13_시나리오비교'!$C$14))+$I1018*COS(RADIANS('13_시나리오비교'!$B$14))),0)</f>
        <v/>
      </c>
    </row>
    <row r="1019" hidden="1" outlineLevel="1">
      <c r="A1019" s="79" t="n">
        <v>11</v>
      </c>
      <c r="B1019" s="79" t="n">
        <v>39</v>
      </c>
      <c r="C1019" s="80">
        <f>(B1019-0.5)*'14_지역·상수'!$H$6</f>
        <v/>
      </c>
      <c r="D1019" s="79" t="n">
        <v>318</v>
      </c>
      <c r="E1019" s="80">
        <f>INDEX($C$4:$C$15,MATCH(A1019,$A$4:$A$15,0))</f>
        <v/>
      </c>
      <c r="F1019" s="80">
        <f>15*(C1019-12)</f>
        <v/>
      </c>
      <c r="G1019" s="80">
        <f>-COS(RADIANS(E1019))*SIN(RADIANS(F1019))</f>
        <v/>
      </c>
      <c r="H1019" s="80">
        <f>COS(RADIANS('11_발전량_모델'!$B$17))*SIN(RADIANS(E1019))-SIN(RADIANS('11_발전량_모델'!$B$17))*COS(RADIANS(E1019))*COS(RADIANS(F1019))</f>
        <v/>
      </c>
      <c r="I1019" s="80">
        <f>SIN(RADIANS('11_발전량_모델'!$B$17))*SIN(RADIANS(E1019))+COS(RADIANS('11_발전량_모델'!$B$17))*COS(RADIANS(E1019))*COS(RADIANS(F1019))</f>
        <v/>
      </c>
      <c r="J1019" s="80">
        <f>SIN(RADIANS('11_발전량_모델'!$B$7))*SIN(RADIANS('11_발전량_모델'!$B$8))</f>
        <v/>
      </c>
      <c r="K1019" s="80">
        <f>SIN(RADIANS('11_발전량_모델'!$B$7))*COS(RADIANS('11_발전량_모델'!$B$8))</f>
        <v/>
      </c>
      <c r="L1019" s="80">
        <f>COS(RADIANS('11_발전량_모델'!$B$7))</f>
        <v/>
      </c>
      <c r="M1019" s="80">
        <f>G1019*J1019+H1019*K1019+I1019*L1019</f>
        <v/>
      </c>
      <c r="N1019" s="80">
        <f>MAX(0,I1019)</f>
        <v/>
      </c>
      <c r="O1019" s="80">
        <f>IF(I1019&gt;0,MAX(0,M1019),0)</f>
        <v/>
      </c>
      <c r="P1019" s="80">
        <f>IF($I1019&gt;0,MAX(0,$G1019*SIN(RADIANS('13_시나리오비교'!$B$5))*SIN(RADIANS('13_시나리오비교'!$C$5))+$H1019*SIN(RADIANS('13_시나리오비교'!$B$5))*COS(RADIANS('13_시나리오비교'!$C$5))+$I1019*COS(RADIANS('13_시나리오비교'!$B$5))),0)</f>
        <v/>
      </c>
      <c r="Q1019" s="80">
        <f>IF($I1019&gt;0,MAX(0,$G1019*SIN(RADIANS('13_시나리오비교'!$B$6))*SIN(RADIANS('13_시나리오비교'!$C$6))+$H1019*SIN(RADIANS('13_시나리오비교'!$B$6))*COS(RADIANS('13_시나리오비교'!$C$6))+$I1019*COS(RADIANS('13_시나리오비교'!$B$6))),0)</f>
        <v/>
      </c>
      <c r="R1019" s="80">
        <f>IF($I1019&gt;0,MAX(0,$G1019*SIN(RADIANS('13_시나리오비교'!$B$7))*SIN(RADIANS('13_시나리오비교'!$C$7))+$H1019*SIN(RADIANS('13_시나리오비교'!$B$7))*COS(RADIANS('13_시나리오비교'!$C$7))+$I1019*COS(RADIANS('13_시나리오비교'!$B$7))),0)</f>
        <v/>
      </c>
      <c r="S1019" s="80">
        <f>IF($I1019&gt;0,MAX(0,$G1019*SIN(RADIANS('13_시나리오비교'!$B$8))*SIN(RADIANS('13_시나리오비교'!$C$8))+$H1019*SIN(RADIANS('13_시나리오비교'!$B$8))*COS(RADIANS('13_시나리오비교'!$C$8))+$I1019*COS(RADIANS('13_시나리오비교'!$B$8))),0)</f>
        <v/>
      </c>
      <c r="T1019" s="80">
        <f>IF($I1019&gt;0,MAX(0,$G1019*SIN(RADIANS('13_시나리오비교'!$B$9))*SIN(RADIANS('13_시나리오비교'!$C$9))+$H1019*SIN(RADIANS('13_시나리오비교'!$B$9))*COS(RADIANS('13_시나리오비교'!$C$9))+$I1019*COS(RADIANS('13_시나리오비교'!$B$9))),0)</f>
        <v/>
      </c>
      <c r="U1019" s="80">
        <f>IF($I1019&gt;0,MAX(0,$G1019*SIN(RADIANS('13_시나리오비교'!$B$10))*SIN(RADIANS('13_시나리오비교'!$C$10))+$H1019*SIN(RADIANS('13_시나리오비교'!$B$10))*COS(RADIANS('13_시나리오비교'!$C$10))+$I1019*COS(RADIANS('13_시나리오비교'!$B$10))),0)</f>
        <v/>
      </c>
      <c r="V1019" s="80">
        <f>IF($I1019&gt;0,MAX(0,$G1019*SIN(RADIANS('13_시나리오비교'!$B$11))*SIN(RADIANS('13_시나리오비교'!$C$11))+$H1019*SIN(RADIANS('13_시나리오비교'!$B$11))*COS(RADIANS('13_시나리오비교'!$C$11))+$I1019*COS(RADIANS('13_시나리오비교'!$B$11))),0)</f>
        <v/>
      </c>
      <c r="W1019" s="80">
        <f>IF($I1019&gt;0,MAX(0,$G1019*SIN(RADIANS('13_시나리오비교'!$B$12))*SIN(RADIANS('13_시나리오비교'!$C$12))+$H1019*SIN(RADIANS('13_시나리오비교'!$B$12))*COS(RADIANS('13_시나리오비교'!$C$12))+$I1019*COS(RADIANS('13_시나리오비교'!$B$12))),0)</f>
        <v/>
      </c>
      <c r="X1019" s="80">
        <f>IF($I1019&gt;0,MAX(0,$G1019*SIN(RADIANS('13_시나리오비교'!$B$13))*SIN(RADIANS('13_시나리오비교'!$C$13))+$H1019*SIN(RADIANS('13_시나리오비교'!$B$13))*COS(RADIANS('13_시나리오비교'!$C$13))+$I1019*COS(RADIANS('13_시나리오비교'!$B$13))),0)</f>
        <v/>
      </c>
      <c r="Y1019" s="80">
        <f>IF($I1019&gt;0,MAX(0,$G1019*SIN(RADIANS('13_시나리오비교'!$B$14))*SIN(RADIANS('13_시나리오비교'!$C$14))+$H1019*SIN(RADIANS('13_시나리오비교'!$B$14))*COS(RADIANS('13_시나리오비교'!$C$14))+$I1019*COS(RADIANS('13_시나리오비교'!$B$14))),0)</f>
        <v/>
      </c>
    </row>
    <row r="1020" hidden="1" outlineLevel="1">
      <c r="A1020" s="79" t="n">
        <v>11</v>
      </c>
      <c r="B1020" s="79" t="n">
        <v>40</v>
      </c>
      <c r="C1020" s="80">
        <f>(B1020-0.5)*'14_지역·상수'!$H$6</f>
        <v/>
      </c>
      <c r="D1020" s="79" t="n">
        <v>318</v>
      </c>
      <c r="E1020" s="80">
        <f>INDEX($C$4:$C$15,MATCH(A1020,$A$4:$A$15,0))</f>
        <v/>
      </c>
      <c r="F1020" s="80">
        <f>15*(C1020-12)</f>
        <v/>
      </c>
      <c r="G1020" s="80">
        <f>-COS(RADIANS(E1020))*SIN(RADIANS(F1020))</f>
        <v/>
      </c>
      <c r="H1020" s="80">
        <f>COS(RADIANS('11_발전량_모델'!$B$17))*SIN(RADIANS(E1020))-SIN(RADIANS('11_발전량_모델'!$B$17))*COS(RADIANS(E1020))*COS(RADIANS(F1020))</f>
        <v/>
      </c>
      <c r="I1020" s="80">
        <f>SIN(RADIANS('11_발전량_모델'!$B$17))*SIN(RADIANS(E1020))+COS(RADIANS('11_발전량_모델'!$B$17))*COS(RADIANS(E1020))*COS(RADIANS(F1020))</f>
        <v/>
      </c>
      <c r="J1020" s="80">
        <f>SIN(RADIANS('11_발전량_모델'!$B$7))*SIN(RADIANS('11_발전량_모델'!$B$8))</f>
        <v/>
      </c>
      <c r="K1020" s="80">
        <f>SIN(RADIANS('11_발전량_모델'!$B$7))*COS(RADIANS('11_발전량_모델'!$B$8))</f>
        <v/>
      </c>
      <c r="L1020" s="80">
        <f>COS(RADIANS('11_발전량_모델'!$B$7))</f>
        <v/>
      </c>
      <c r="M1020" s="80">
        <f>G1020*J1020+H1020*K1020+I1020*L1020</f>
        <v/>
      </c>
      <c r="N1020" s="80">
        <f>MAX(0,I1020)</f>
        <v/>
      </c>
      <c r="O1020" s="80">
        <f>IF(I1020&gt;0,MAX(0,M1020),0)</f>
        <v/>
      </c>
      <c r="P1020" s="80">
        <f>IF($I1020&gt;0,MAX(0,$G1020*SIN(RADIANS('13_시나리오비교'!$B$5))*SIN(RADIANS('13_시나리오비교'!$C$5))+$H1020*SIN(RADIANS('13_시나리오비교'!$B$5))*COS(RADIANS('13_시나리오비교'!$C$5))+$I1020*COS(RADIANS('13_시나리오비교'!$B$5))),0)</f>
        <v/>
      </c>
      <c r="Q1020" s="80">
        <f>IF($I1020&gt;0,MAX(0,$G1020*SIN(RADIANS('13_시나리오비교'!$B$6))*SIN(RADIANS('13_시나리오비교'!$C$6))+$H1020*SIN(RADIANS('13_시나리오비교'!$B$6))*COS(RADIANS('13_시나리오비교'!$C$6))+$I1020*COS(RADIANS('13_시나리오비교'!$B$6))),0)</f>
        <v/>
      </c>
      <c r="R1020" s="80">
        <f>IF($I1020&gt;0,MAX(0,$G1020*SIN(RADIANS('13_시나리오비교'!$B$7))*SIN(RADIANS('13_시나리오비교'!$C$7))+$H1020*SIN(RADIANS('13_시나리오비교'!$B$7))*COS(RADIANS('13_시나리오비교'!$C$7))+$I1020*COS(RADIANS('13_시나리오비교'!$B$7))),0)</f>
        <v/>
      </c>
      <c r="S1020" s="80">
        <f>IF($I1020&gt;0,MAX(0,$G1020*SIN(RADIANS('13_시나리오비교'!$B$8))*SIN(RADIANS('13_시나리오비교'!$C$8))+$H1020*SIN(RADIANS('13_시나리오비교'!$B$8))*COS(RADIANS('13_시나리오비교'!$C$8))+$I1020*COS(RADIANS('13_시나리오비교'!$B$8))),0)</f>
        <v/>
      </c>
      <c r="T1020" s="80">
        <f>IF($I1020&gt;0,MAX(0,$G1020*SIN(RADIANS('13_시나리오비교'!$B$9))*SIN(RADIANS('13_시나리오비교'!$C$9))+$H1020*SIN(RADIANS('13_시나리오비교'!$B$9))*COS(RADIANS('13_시나리오비교'!$C$9))+$I1020*COS(RADIANS('13_시나리오비교'!$B$9))),0)</f>
        <v/>
      </c>
      <c r="U1020" s="80">
        <f>IF($I1020&gt;0,MAX(0,$G1020*SIN(RADIANS('13_시나리오비교'!$B$10))*SIN(RADIANS('13_시나리오비교'!$C$10))+$H1020*SIN(RADIANS('13_시나리오비교'!$B$10))*COS(RADIANS('13_시나리오비교'!$C$10))+$I1020*COS(RADIANS('13_시나리오비교'!$B$10))),0)</f>
        <v/>
      </c>
      <c r="V1020" s="80">
        <f>IF($I1020&gt;0,MAX(0,$G1020*SIN(RADIANS('13_시나리오비교'!$B$11))*SIN(RADIANS('13_시나리오비교'!$C$11))+$H1020*SIN(RADIANS('13_시나리오비교'!$B$11))*COS(RADIANS('13_시나리오비교'!$C$11))+$I1020*COS(RADIANS('13_시나리오비교'!$B$11))),0)</f>
        <v/>
      </c>
      <c r="W1020" s="80">
        <f>IF($I1020&gt;0,MAX(0,$G1020*SIN(RADIANS('13_시나리오비교'!$B$12))*SIN(RADIANS('13_시나리오비교'!$C$12))+$H1020*SIN(RADIANS('13_시나리오비교'!$B$12))*COS(RADIANS('13_시나리오비교'!$C$12))+$I1020*COS(RADIANS('13_시나리오비교'!$B$12))),0)</f>
        <v/>
      </c>
      <c r="X1020" s="80">
        <f>IF($I1020&gt;0,MAX(0,$G1020*SIN(RADIANS('13_시나리오비교'!$B$13))*SIN(RADIANS('13_시나리오비교'!$C$13))+$H1020*SIN(RADIANS('13_시나리오비교'!$B$13))*COS(RADIANS('13_시나리오비교'!$C$13))+$I1020*COS(RADIANS('13_시나리오비교'!$B$13))),0)</f>
        <v/>
      </c>
      <c r="Y1020" s="80">
        <f>IF($I1020&gt;0,MAX(0,$G1020*SIN(RADIANS('13_시나리오비교'!$B$14))*SIN(RADIANS('13_시나리오비교'!$C$14))+$H1020*SIN(RADIANS('13_시나리오비교'!$B$14))*COS(RADIANS('13_시나리오비교'!$C$14))+$I1020*COS(RADIANS('13_시나리오비교'!$B$14))),0)</f>
        <v/>
      </c>
    </row>
    <row r="1021" hidden="1" outlineLevel="1">
      <c r="A1021" s="79" t="n">
        <v>11</v>
      </c>
      <c r="B1021" s="79" t="n">
        <v>41</v>
      </c>
      <c r="C1021" s="80">
        <f>(B1021-0.5)*'14_지역·상수'!$H$6</f>
        <v/>
      </c>
      <c r="D1021" s="79" t="n">
        <v>318</v>
      </c>
      <c r="E1021" s="80">
        <f>INDEX($C$4:$C$15,MATCH(A1021,$A$4:$A$15,0))</f>
        <v/>
      </c>
      <c r="F1021" s="80">
        <f>15*(C1021-12)</f>
        <v/>
      </c>
      <c r="G1021" s="80">
        <f>-COS(RADIANS(E1021))*SIN(RADIANS(F1021))</f>
        <v/>
      </c>
      <c r="H1021" s="80">
        <f>COS(RADIANS('11_발전량_모델'!$B$17))*SIN(RADIANS(E1021))-SIN(RADIANS('11_발전량_모델'!$B$17))*COS(RADIANS(E1021))*COS(RADIANS(F1021))</f>
        <v/>
      </c>
      <c r="I1021" s="80">
        <f>SIN(RADIANS('11_발전량_모델'!$B$17))*SIN(RADIANS(E1021))+COS(RADIANS('11_발전량_모델'!$B$17))*COS(RADIANS(E1021))*COS(RADIANS(F1021))</f>
        <v/>
      </c>
      <c r="J1021" s="80">
        <f>SIN(RADIANS('11_발전량_모델'!$B$7))*SIN(RADIANS('11_발전량_모델'!$B$8))</f>
        <v/>
      </c>
      <c r="K1021" s="80">
        <f>SIN(RADIANS('11_발전량_모델'!$B$7))*COS(RADIANS('11_발전량_모델'!$B$8))</f>
        <v/>
      </c>
      <c r="L1021" s="80">
        <f>COS(RADIANS('11_발전량_모델'!$B$7))</f>
        <v/>
      </c>
      <c r="M1021" s="80">
        <f>G1021*J1021+H1021*K1021+I1021*L1021</f>
        <v/>
      </c>
      <c r="N1021" s="80">
        <f>MAX(0,I1021)</f>
        <v/>
      </c>
      <c r="O1021" s="80">
        <f>IF(I1021&gt;0,MAX(0,M1021),0)</f>
        <v/>
      </c>
      <c r="P1021" s="80">
        <f>IF($I1021&gt;0,MAX(0,$G1021*SIN(RADIANS('13_시나리오비교'!$B$5))*SIN(RADIANS('13_시나리오비교'!$C$5))+$H1021*SIN(RADIANS('13_시나리오비교'!$B$5))*COS(RADIANS('13_시나리오비교'!$C$5))+$I1021*COS(RADIANS('13_시나리오비교'!$B$5))),0)</f>
        <v/>
      </c>
      <c r="Q1021" s="80">
        <f>IF($I1021&gt;0,MAX(0,$G1021*SIN(RADIANS('13_시나리오비교'!$B$6))*SIN(RADIANS('13_시나리오비교'!$C$6))+$H1021*SIN(RADIANS('13_시나리오비교'!$B$6))*COS(RADIANS('13_시나리오비교'!$C$6))+$I1021*COS(RADIANS('13_시나리오비교'!$B$6))),0)</f>
        <v/>
      </c>
      <c r="R1021" s="80">
        <f>IF($I1021&gt;0,MAX(0,$G1021*SIN(RADIANS('13_시나리오비교'!$B$7))*SIN(RADIANS('13_시나리오비교'!$C$7))+$H1021*SIN(RADIANS('13_시나리오비교'!$B$7))*COS(RADIANS('13_시나리오비교'!$C$7))+$I1021*COS(RADIANS('13_시나리오비교'!$B$7))),0)</f>
        <v/>
      </c>
      <c r="S1021" s="80">
        <f>IF($I1021&gt;0,MAX(0,$G1021*SIN(RADIANS('13_시나리오비교'!$B$8))*SIN(RADIANS('13_시나리오비교'!$C$8))+$H1021*SIN(RADIANS('13_시나리오비교'!$B$8))*COS(RADIANS('13_시나리오비교'!$C$8))+$I1021*COS(RADIANS('13_시나리오비교'!$B$8))),0)</f>
        <v/>
      </c>
      <c r="T1021" s="80">
        <f>IF($I1021&gt;0,MAX(0,$G1021*SIN(RADIANS('13_시나리오비교'!$B$9))*SIN(RADIANS('13_시나리오비교'!$C$9))+$H1021*SIN(RADIANS('13_시나리오비교'!$B$9))*COS(RADIANS('13_시나리오비교'!$C$9))+$I1021*COS(RADIANS('13_시나리오비교'!$B$9))),0)</f>
        <v/>
      </c>
      <c r="U1021" s="80">
        <f>IF($I1021&gt;0,MAX(0,$G1021*SIN(RADIANS('13_시나리오비교'!$B$10))*SIN(RADIANS('13_시나리오비교'!$C$10))+$H1021*SIN(RADIANS('13_시나리오비교'!$B$10))*COS(RADIANS('13_시나리오비교'!$C$10))+$I1021*COS(RADIANS('13_시나리오비교'!$B$10))),0)</f>
        <v/>
      </c>
      <c r="V1021" s="80">
        <f>IF($I1021&gt;0,MAX(0,$G1021*SIN(RADIANS('13_시나리오비교'!$B$11))*SIN(RADIANS('13_시나리오비교'!$C$11))+$H1021*SIN(RADIANS('13_시나리오비교'!$B$11))*COS(RADIANS('13_시나리오비교'!$C$11))+$I1021*COS(RADIANS('13_시나리오비교'!$B$11))),0)</f>
        <v/>
      </c>
      <c r="W1021" s="80">
        <f>IF($I1021&gt;0,MAX(0,$G1021*SIN(RADIANS('13_시나리오비교'!$B$12))*SIN(RADIANS('13_시나리오비교'!$C$12))+$H1021*SIN(RADIANS('13_시나리오비교'!$B$12))*COS(RADIANS('13_시나리오비교'!$C$12))+$I1021*COS(RADIANS('13_시나리오비교'!$B$12))),0)</f>
        <v/>
      </c>
      <c r="X1021" s="80">
        <f>IF($I1021&gt;0,MAX(0,$G1021*SIN(RADIANS('13_시나리오비교'!$B$13))*SIN(RADIANS('13_시나리오비교'!$C$13))+$H1021*SIN(RADIANS('13_시나리오비교'!$B$13))*COS(RADIANS('13_시나리오비교'!$C$13))+$I1021*COS(RADIANS('13_시나리오비교'!$B$13))),0)</f>
        <v/>
      </c>
      <c r="Y1021" s="80">
        <f>IF($I1021&gt;0,MAX(0,$G1021*SIN(RADIANS('13_시나리오비교'!$B$14))*SIN(RADIANS('13_시나리오비교'!$C$14))+$H1021*SIN(RADIANS('13_시나리오비교'!$B$14))*COS(RADIANS('13_시나리오비교'!$C$14))+$I1021*COS(RADIANS('13_시나리오비교'!$B$14))),0)</f>
        <v/>
      </c>
    </row>
    <row r="1022" hidden="1" outlineLevel="1">
      <c r="A1022" s="79" t="n">
        <v>11</v>
      </c>
      <c r="B1022" s="79" t="n">
        <v>42</v>
      </c>
      <c r="C1022" s="80">
        <f>(B1022-0.5)*'14_지역·상수'!$H$6</f>
        <v/>
      </c>
      <c r="D1022" s="79" t="n">
        <v>318</v>
      </c>
      <c r="E1022" s="80">
        <f>INDEX($C$4:$C$15,MATCH(A1022,$A$4:$A$15,0))</f>
        <v/>
      </c>
      <c r="F1022" s="80">
        <f>15*(C1022-12)</f>
        <v/>
      </c>
      <c r="G1022" s="80">
        <f>-COS(RADIANS(E1022))*SIN(RADIANS(F1022))</f>
        <v/>
      </c>
      <c r="H1022" s="80">
        <f>COS(RADIANS('11_발전량_모델'!$B$17))*SIN(RADIANS(E1022))-SIN(RADIANS('11_발전량_모델'!$B$17))*COS(RADIANS(E1022))*COS(RADIANS(F1022))</f>
        <v/>
      </c>
      <c r="I1022" s="80">
        <f>SIN(RADIANS('11_발전량_모델'!$B$17))*SIN(RADIANS(E1022))+COS(RADIANS('11_발전량_모델'!$B$17))*COS(RADIANS(E1022))*COS(RADIANS(F1022))</f>
        <v/>
      </c>
      <c r="J1022" s="80">
        <f>SIN(RADIANS('11_발전량_모델'!$B$7))*SIN(RADIANS('11_발전량_모델'!$B$8))</f>
        <v/>
      </c>
      <c r="K1022" s="80">
        <f>SIN(RADIANS('11_발전량_모델'!$B$7))*COS(RADIANS('11_발전량_모델'!$B$8))</f>
        <v/>
      </c>
      <c r="L1022" s="80">
        <f>COS(RADIANS('11_발전량_모델'!$B$7))</f>
        <v/>
      </c>
      <c r="M1022" s="80">
        <f>G1022*J1022+H1022*K1022+I1022*L1022</f>
        <v/>
      </c>
      <c r="N1022" s="80">
        <f>MAX(0,I1022)</f>
        <v/>
      </c>
      <c r="O1022" s="80">
        <f>IF(I1022&gt;0,MAX(0,M1022),0)</f>
        <v/>
      </c>
      <c r="P1022" s="80">
        <f>IF($I1022&gt;0,MAX(0,$G1022*SIN(RADIANS('13_시나리오비교'!$B$5))*SIN(RADIANS('13_시나리오비교'!$C$5))+$H1022*SIN(RADIANS('13_시나리오비교'!$B$5))*COS(RADIANS('13_시나리오비교'!$C$5))+$I1022*COS(RADIANS('13_시나리오비교'!$B$5))),0)</f>
        <v/>
      </c>
      <c r="Q1022" s="80">
        <f>IF($I1022&gt;0,MAX(0,$G1022*SIN(RADIANS('13_시나리오비교'!$B$6))*SIN(RADIANS('13_시나리오비교'!$C$6))+$H1022*SIN(RADIANS('13_시나리오비교'!$B$6))*COS(RADIANS('13_시나리오비교'!$C$6))+$I1022*COS(RADIANS('13_시나리오비교'!$B$6))),0)</f>
        <v/>
      </c>
      <c r="R1022" s="80">
        <f>IF($I1022&gt;0,MAX(0,$G1022*SIN(RADIANS('13_시나리오비교'!$B$7))*SIN(RADIANS('13_시나리오비교'!$C$7))+$H1022*SIN(RADIANS('13_시나리오비교'!$B$7))*COS(RADIANS('13_시나리오비교'!$C$7))+$I1022*COS(RADIANS('13_시나리오비교'!$B$7))),0)</f>
        <v/>
      </c>
      <c r="S1022" s="80">
        <f>IF($I1022&gt;0,MAX(0,$G1022*SIN(RADIANS('13_시나리오비교'!$B$8))*SIN(RADIANS('13_시나리오비교'!$C$8))+$H1022*SIN(RADIANS('13_시나리오비교'!$B$8))*COS(RADIANS('13_시나리오비교'!$C$8))+$I1022*COS(RADIANS('13_시나리오비교'!$B$8))),0)</f>
        <v/>
      </c>
      <c r="T1022" s="80">
        <f>IF($I1022&gt;0,MAX(0,$G1022*SIN(RADIANS('13_시나리오비교'!$B$9))*SIN(RADIANS('13_시나리오비교'!$C$9))+$H1022*SIN(RADIANS('13_시나리오비교'!$B$9))*COS(RADIANS('13_시나리오비교'!$C$9))+$I1022*COS(RADIANS('13_시나리오비교'!$B$9))),0)</f>
        <v/>
      </c>
      <c r="U1022" s="80">
        <f>IF($I1022&gt;0,MAX(0,$G1022*SIN(RADIANS('13_시나리오비교'!$B$10))*SIN(RADIANS('13_시나리오비교'!$C$10))+$H1022*SIN(RADIANS('13_시나리오비교'!$B$10))*COS(RADIANS('13_시나리오비교'!$C$10))+$I1022*COS(RADIANS('13_시나리오비교'!$B$10))),0)</f>
        <v/>
      </c>
      <c r="V1022" s="80">
        <f>IF($I1022&gt;0,MAX(0,$G1022*SIN(RADIANS('13_시나리오비교'!$B$11))*SIN(RADIANS('13_시나리오비교'!$C$11))+$H1022*SIN(RADIANS('13_시나리오비교'!$B$11))*COS(RADIANS('13_시나리오비교'!$C$11))+$I1022*COS(RADIANS('13_시나리오비교'!$B$11))),0)</f>
        <v/>
      </c>
      <c r="W1022" s="80">
        <f>IF($I1022&gt;0,MAX(0,$G1022*SIN(RADIANS('13_시나리오비교'!$B$12))*SIN(RADIANS('13_시나리오비교'!$C$12))+$H1022*SIN(RADIANS('13_시나리오비교'!$B$12))*COS(RADIANS('13_시나리오비교'!$C$12))+$I1022*COS(RADIANS('13_시나리오비교'!$B$12))),0)</f>
        <v/>
      </c>
      <c r="X1022" s="80">
        <f>IF($I1022&gt;0,MAX(0,$G1022*SIN(RADIANS('13_시나리오비교'!$B$13))*SIN(RADIANS('13_시나리오비교'!$C$13))+$H1022*SIN(RADIANS('13_시나리오비교'!$B$13))*COS(RADIANS('13_시나리오비교'!$C$13))+$I1022*COS(RADIANS('13_시나리오비교'!$B$13))),0)</f>
        <v/>
      </c>
      <c r="Y1022" s="80">
        <f>IF($I1022&gt;0,MAX(0,$G1022*SIN(RADIANS('13_시나리오비교'!$B$14))*SIN(RADIANS('13_시나리오비교'!$C$14))+$H1022*SIN(RADIANS('13_시나리오비교'!$B$14))*COS(RADIANS('13_시나리오비교'!$C$14))+$I1022*COS(RADIANS('13_시나리오비교'!$B$14))),0)</f>
        <v/>
      </c>
    </row>
    <row r="1023" hidden="1" outlineLevel="1">
      <c r="A1023" s="79" t="n">
        <v>11</v>
      </c>
      <c r="B1023" s="79" t="n">
        <v>43</v>
      </c>
      <c r="C1023" s="80">
        <f>(B1023-0.5)*'14_지역·상수'!$H$6</f>
        <v/>
      </c>
      <c r="D1023" s="79" t="n">
        <v>318</v>
      </c>
      <c r="E1023" s="80">
        <f>INDEX($C$4:$C$15,MATCH(A1023,$A$4:$A$15,0))</f>
        <v/>
      </c>
      <c r="F1023" s="80">
        <f>15*(C1023-12)</f>
        <v/>
      </c>
      <c r="G1023" s="80">
        <f>-COS(RADIANS(E1023))*SIN(RADIANS(F1023))</f>
        <v/>
      </c>
      <c r="H1023" s="80">
        <f>COS(RADIANS('11_발전량_모델'!$B$17))*SIN(RADIANS(E1023))-SIN(RADIANS('11_발전량_모델'!$B$17))*COS(RADIANS(E1023))*COS(RADIANS(F1023))</f>
        <v/>
      </c>
      <c r="I1023" s="80">
        <f>SIN(RADIANS('11_발전량_모델'!$B$17))*SIN(RADIANS(E1023))+COS(RADIANS('11_발전량_모델'!$B$17))*COS(RADIANS(E1023))*COS(RADIANS(F1023))</f>
        <v/>
      </c>
      <c r="J1023" s="80">
        <f>SIN(RADIANS('11_발전량_모델'!$B$7))*SIN(RADIANS('11_발전량_모델'!$B$8))</f>
        <v/>
      </c>
      <c r="K1023" s="80">
        <f>SIN(RADIANS('11_발전량_모델'!$B$7))*COS(RADIANS('11_발전량_모델'!$B$8))</f>
        <v/>
      </c>
      <c r="L1023" s="80">
        <f>COS(RADIANS('11_발전량_모델'!$B$7))</f>
        <v/>
      </c>
      <c r="M1023" s="80">
        <f>G1023*J1023+H1023*K1023+I1023*L1023</f>
        <v/>
      </c>
      <c r="N1023" s="80">
        <f>MAX(0,I1023)</f>
        <v/>
      </c>
      <c r="O1023" s="80">
        <f>IF(I1023&gt;0,MAX(0,M1023),0)</f>
        <v/>
      </c>
      <c r="P1023" s="80">
        <f>IF($I1023&gt;0,MAX(0,$G1023*SIN(RADIANS('13_시나리오비교'!$B$5))*SIN(RADIANS('13_시나리오비교'!$C$5))+$H1023*SIN(RADIANS('13_시나리오비교'!$B$5))*COS(RADIANS('13_시나리오비교'!$C$5))+$I1023*COS(RADIANS('13_시나리오비교'!$B$5))),0)</f>
        <v/>
      </c>
      <c r="Q1023" s="80">
        <f>IF($I1023&gt;0,MAX(0,$G1023*SIN(RADIANS('13_시나리오비교'!$B$6))*SIN(RADIANS('13_시나리오비교'!$C$6))+$H1023*SIN(RADIANS('13_시나리오비교'!$B$6))*COS(RADIANS('13_시나리오비교'!$C$6))+$I1023*COS(RADIANS('13_시나리오비교'!$B$6))),0)</f>
        <v/>
      </c>
      <c r="R1023" s="80">
        <f>IF($I1023&gt;0,MAX(0,$G1023*SIN(RADIANS('13_시나리오비교'!$B$7))*SIN(RADIANS('13_시나리오비교'!$C$7))+$H1023*SIN(RADIANS('13_시나리오비교'!$B$7))*COS(RADIANS('13_시나리오비교'!$C$7))+$I1023*COS(RADIANS('13_시나리오비교'!$B$7))),0)</f>
        <v/>
      </c>
      <c r="S1023" s="80">
        <f>IF($I1023&gt;0,MAX(0,$G1023*SIN(RADIANS('13_시나리오비교'!$B$8))*SIN(RADIANS('13_시나리오비교'!$C$8))+$H1023*SIN(RADIANS('13_시나리오비교'!$B$8))*COS(RADIANS('13_시나리오비교'!$C$8))+$I1023*COS(RADIANS('13_시나리오비교'!$B$8))),0)</f>
        <v/>
      </c>
      <c r="T1023" s="80">
        <f>IF($I1023&gt;0,MAX(0,$G1023*SIN(RADIANS('13_시나리오비교'!$B$9))*SIN(RADIANS('13_시나리오비교'!$C$9))+$H1023*SIN(RADIANS('13_시나리오비교'!$B$9))*COS(RADIANS('13_시나리오비교'!$C$9))+$I1023*COS(RADIANS('13_시나리오비교'!$B$9))),0)</f>
        <v/>
      </c>
      <c r="U1023" s="80">
        <f>IF($I1023&gt;0,MAX(0,$G1023*SIN(RADIANS('13_시나리오비교'!$B$10))*SIN(RADIANS('13_시나리오비교'!$C$10))+$H1023*SIN(RADIANS('13_시나리오비교'!$B$10))*COS(RADIANS('13_시나리오비교'!$C$10))+$I1023*COS(RADIANS('13_시나리오비교'!$B$10))),0)</f>
        <v/>
      </c>
      <c r="V1023" s="80">
        <f>IF($I1023&gt;0,MAX(0,$G1023*SIN(RADIANS('13_시나리오비교'!$B$11))*SIN(RADIANS('13_시나리오비교'!$C$11))+$H1023*SIN(RADIANS('13_시나리오비교'!$B$11))*COS(RADIANS('13_시나리오비교'!$C$11))+$I1023*COS(RADIANS('13_시나리오비교'!$B$11))),0)</f>
        <v/>
      </c>
      <c r="W1023" s="80">
        <f>IF($I1023&gt;0,MAX(0,$G1023*SIN(RADIANS('13_시나리오비교'!$B$12))*SIN(RADIANS('13_시나리오비교'!$C$12))+$H1023*SIN(RADIANS('13_시나리오비교'!$B$12))*COS(RADIANS('13_시나리오비교'!$C$12))+$I1023*COS(RADIANS('13_시나리오비교'!$B$12))),0)</f>
        <v/>
      </c>
      <c r="X1023" s="80">
        <f>IF($I1023&gt;0,MAX(0,$G1023*SIN(RADIANS('13_시나리오비교'!$B$13))*SIN(RADIANS('13_시나리오비교'!$C$13))+$H1023*SIN(RADIANS('13_시나리오비교'!$B$13))*COS(RADIANS('13_시나리오비교'!$C$13))+$I1023*COS(RADIANS('13_시나리오비교'!$B$13))),0)</f>
        <v/>
      </c>
      <c r="Y1023" s="80">
        <f>IF($I1023&gt;0,MAX(0,$G1023*SIN(RADIANS('13_시나리오비교'!$B$14))*SIN(RADIANS('13_시나리오비교'!$C$14))+$H1023*SIN(RADIANS('13_시나리오비교'!$B$14))*COS(RADIANS('13_시나리오비교'!$C$14))+$I1023*COS(RADIANS('13_시나리오비교'!$B$14))),0)</f>
        <v/>
      </c>
    </row>
    <row r="1024" hidden="1" outlineLevel="1">
      <c r="A1024" s="79" t="n">
        <v>11</v>
      </c>
      <c r="B1024" s="79" t="n">
        <v>44</v>
      </c>
      <c r="C1024" s="80">
        <f>(B1024-0.5)*'14_지역·상수'!$H$6</f>
        <v/>
      </c>
      <c r="D1024" s="79" t="n">
        <v>318</v>
      </c>
      <c r="E1024" s="80">
        <f>INDEX($C$4:$C$15,MATCH(A1024,$A$4:$A$15,0))</f>
        <v/>
      </c>
      <c r="F1024" s="80">
        <f>15*(C1024-12)</f>
        <v/>
      </c>
      <c r="G1024" s="80">
        <f>-COS(RADIANS(E1024))*SIN(RADIANS(F1024))</f>
        <v/>
      </c>
      <c r="H1024" s="80">
        <f>COS(RADIANS('11_발전량_모델'!$B$17))*SIN(RADIANS(E1024))-SIN(RADIANS('11_발전량_모델'!$B$17))*COS(RADIANS(E1024))*COS(RADIANS(F1024))</f>
        <v/>
      </c>
      <c r="I1024" s="80">
        <f>SIN(RADIANS('11_발전량_모델'!$B$17))*SIN(RADIANS(E1024))+COS(RADIANS('11_발전량_모델'!$B$17))*COS(RADIANS(E1024))*COS(RADIANS(F1024))</f>
        <v/>
      </c>
      <c r="J1024" s="80">
        <f>SIN(RADIANS('11_발전량_모델'!$B$7))*SIN(RADIANS('11_발전량_모델'!$B$8))</f>
        <v/>
      </c>
      <c r="K1024" s="80">
        <f>SIN(RADIANS('11_발전량_모델'!$B$7))*COS(RADIANS('11_발전량_모델'!$B$8))</f>
        <v/>
      </c>
      <c r="L1024" s="80">
        <f>COS(RADIANS('11_발전량_모델'!$B$7))</f>
        <v/>
      </c>
      <c r="M1024" s="80">
        <f>G1024*J1024+H1024*K1024+I1024*L1024</f>
        <v/>
      </c>
      <c r="N1024" s="80">
        <f>MAX(0,I1024)</f>
        <v/>
      </c>
      <c r="O1024" s="80">
        <f>IF(I1024&gt;0,MAX(0,M1024),0)</f>
        <v/>
      </c>
      <c r="P1024" s="80">
        <f>IF($I1024&gt;0,MAX(0,$G1024*SIN(RADIANS('13_시나리오비교'!$B$5))*SIN(RADIANS('13_시나리오비교'!$C$5))+$H1024*SIN(RADIANS('13_시나리오비교'!$B$5))*COS(RADIANS('13_시나리오비교'!$C$5))+$I1024*COS(RADIANS('13_시나리오비교'!$B$5))),0)</f>
        <v/>
      </c>
      <c r="Q1024" s="80">
        <f>IF($I1024&gt;0,MAX(0,$G1024*SIN(RADIANS('13_시나리오비교'!$B$6))*SIN(RADIANS('13_시나리오비교'!$C$6))+$H1024*SIN(RADIANS('13_시나리오비교'!$B$6))*COS(RADIANS('13_시나리오비교'!$C$6))+$I1024*COS(RADIANS('13_시나리오비교'!$B$6))),0)</f>
        <v/>
      </c>
      <c r="R1024" s="80">
        <f>IF($I1024&gt;0,MAX(0,$G1024*SIN(RADIANS('13_시나리오비교'!$B$7))*SIN(RADIANS('13_시나리오비교'!$C$7))+$H1024*SIN(RADIANS('13_시나리오비교'!$B$7))*COS(RADIANS('13_시나리오비교'!$C$7))+$I1024*COS(RADIANS('13_시나리오비교'!$B$7))),0)</f>
        <v/>
      </c>
      <c r="S1024" s="80">
        <f>IF($I1024&gt;0,MAX(0,$G1024*SIN(RADIANS('13_시나리오비교'!$B$8))*SIN(RADIANS('13_시나리오비교'!$C$8))+$H1024*SIN(RADIANS('13_시나리오비교'!$B$8))*COS(RADIANS('13_시나리오비교'!$C$8))+$I1024*COS(RADIANS('13_시나리오비교'!$B$8))),0)</f>
        <v/>
      </c>
      <c r="T1024" s="80">
        <f>IF($I1024&gt;0,MAX(0,$G1024*SIN(RADIANS('13_시나리오비교'!$B$9))*SIN(RADIANS('13_시나리오비교'!$C$9))+$H1024*SIN(RADIANS('13_시나리오비교'!$B$9))*COS(RADIANS('13_시나리오비교'!$C$9))+$I1024*COS(RADIANS('13_시나리오비교'!$B$9))),0)</f>
        <v/>
      </c>
      <c r="U1024" s="80">
        <f>IF($I1024&gt;0,MAX(0,$G1024*SIN(RADIANS('13_시나리오비교'!$B$10))*SIN(RADIANS('13_시나리오비교'!$C$10))+$H1024*SIN(RADIANS('13_시나리오비교'!$B$10))*COS(RADIANS('13_시나리오비교'!$C$10))+$I1024*COS(RADIANS('13_시나리오비교'!$B$10))),0)</f>
        <v/>
      </c>
      <c r="V1024" s="80">
        <f>IF($I1024&gt;0,MAX(0,$G1024*SIN(RADIANS('13_시나리오비교'!$B$11))*SIN(RADIANS('13_시나리오비교'!$C$11))+$H1024*SIN(RADIANS('13_시나리오비교'!$B$11))*COS(RADIANS('13_시나리오비교'!$C$11))+$I1024*COS(RADIANS('13_시나리오비교'!$B$11))),0)</f>
        <v/>
      </c>
      <c r="W1024" s="80">
        <f>IF($I1024&gt;0,MAX(0,$G1024*SIN(RADIANS('13_시나리오비교'!$B$12))*SIN(RADIANS('13_시나리오비교'!$C$12))+$H1024*SIN(RADIANS('13_시나리오비교'!$B$12))*COS(RADIANS('13_시나리오비교'!$C$12))+$I1024*COS(RADIANS('13_시나리오비교'!$B$12))),0)</f>
        <v/>
      </c>
      <c r="X1024" s="80">
        <f>IF($I1024&gt;0,MAX(0,$G1024*SIN(RADIANS('13_시나리오비교'!$B$13))*SIN(RADIANS('13_시나리오비교'!$C$13))+$H1024*SIN(RADIANS('13_시나리오비교'!$B$13))*COS(RADIANS('13_시나리오비교'!$C$13))+$I1024*COS(RADIANS('13_시나리오비교'!$B$13))),0)</f>
        <v/>
      </c>
      <c r="Y1024" s="80">
        <f>IF($I1024&gt;0,MAX(0,$G1024*SIN(RADIANS('13_시나리오비교'!$B$14))*SIN(RADIANS('13_시나리오비교'!$C$14))+$H1024*SIN(RADIANS('13_시나리오비교'!$B$14))*COS(RADIANS('13_시나리오비교'!$C$14))+$I1024*COS(RADIANS('13_시나리오비교'!$B$14))),0)</f>
        <v/>
      </c>
    </row>
    <row r="1025" hidden="1" outlineLevel="1">
      <c r="A1025" s="79" t="n">
        <v>11</v>
      </c>
      <c r="B1025" s="79" t="n">
        <v>45</v>
      </c>
      <c r="C1025" s="80">
        <f>(B1025-0.5)*'14_지역·상수'!$H$6</f>
        <v/>
      </c>
      <c r="D1025" s="79" t="n">
        <v>318</v>
      </c>
      <c r="E1025" s="80">
        <f>INDEX($C$4:$C$15,MATCH(A1025,$A$4:$A$15,0))</f>
        <v/>
      </c>
      <c r="F1025" s="80">
        <f>15*(C1025-12)</f>
        <v/>
      </c>
      <c r="G1025" s="80">
        <f>-COS(RADIANS(E1025))*SIN(RADIANS(F1025))</f>
        <v/>
      </c>
      <c r="H1025" s="80">
        <f>COS(RADIANS('11_발전량_모델'!$B$17))*SIN(RADIANS(E1025))-SIN(RADIANS('11_발전량_모델'!$B$17))*COS(RADIANS(E1025))*COS(RADIANS(F1025))</f>
        <v/>
      </c>
      <c r="I1025" s="80">
        <f>SIN(RADIANS('11_발전량_모델'!$B$17))*SIN(RADIANS(E1025))+COS(RADIANS('11_발전량_모델'!$B$17))*COS(RADIANS(E1025))*COS(RADIANS(F1025))</f>
        <v/>
      </c>
      <c r="J1025" s="80">
        <f>SIN(RADIANS('11_발전량_모델'!$B$7))*SIN(RADIANS('11_발전량_모델'!$B$8))</f>
        <v/>
      </c>
      <c r="K1025" s="80">
        <f>SIN(RADIANS('11_발전량_모델'!$B$7))*COS(RADIANS('11_발전량_모델'!$B$8))</f>
        <v/>
      </c>
      <c r="L1025" s="80">
        <f>COS(RADIANS('11_발전량_모델'!$B$7))</f>
        <v/>
      </c>
      <c r="M1025" s="80">
        <f>G1025*J1025+H1025*K1025+I1025*L1025</f>
        <v/>
      </c>
      <c r="N1025" s="80">
        <f>MAX(0,I1025)</f>
        <v/>
      </c>
      <c r="O1025" s="80">
        <f>IF(I1025&gt;0,MAX(0,M1025),0)</f>
        <v/>
      </c>
      <c r="P1025" s="80">
        <f>IF($I1025&gt;0,MAX(0,$G1025*SIN(RADIANS('13_시나리오비교'!$B$5))*SIN(RADIANS('13_시나리오비교'!$C$5))+$H1025*SIN(RADIANS('13_시나리오비교'!$B$5))*COS(RADIANS('13_시나리오비교'!$C$5))+$I1025*COS(RADIANS('13_시나리오비교'!$B$5))),0)</f>
        <v/>
      </c>
      <c r="Q1025" s="80">
        <f>IF($I1025&gt;0,MAX(0,$G1025*SIN(RADIANS('13_시나리오비교'!$B$6))*SIN(RADIANS('13_시나리오비교'!$C$6))+$H1025*SIN(RADIANS('13_시나리오비교'!$B$6))*COS(RADIANS('13_시나리오비교'!$C$6))+$I1025*COS(RADIANS('13_시나리오비교'!$B$6))),0)</f>
        <v/>
      </c>
      <c r="R1025" s="80">
        <f>IF($I1025&gt;0,MAX(0,$G1025*SIN(RADIANS('13_시나리오비교'!$B$7))*SIN(RADIANS('13_시나리오비교'!$C$7))+$H1025*SIN(RADIANS('13_시나리오비교'!$B$7))*COS(RADIANS('13_시나리오비교'!$C$7))+$I1025*COS(RADIANS('13_시나리오비교'!$B$7))),0)</f>
        <v/>
      </c>
      <c r="S1025" s="80">
        <f>IF($I1025&gt;0,MAX(0,$G1025*SIN(RADIANS('13_시나리오비교'!$B$8))*SIN(RADIANS('13_시나리오비교'!$C$8))+$H1025*SIN(RADIANS('13_시나리오비교'!$B$8))*COS(RADIANS('13_시나리오비교'!$C$8))+$I1025*COS(RADIANS('13_시나리오비교'!$B$8))),0)</f>
        <v/>
      </c>
      <c r="T1025" s="80">
        <f>IF($I1025&gt;0,MAX(0,$G1025*SIN(RADIANS('13_시나리오비교'!$B$9))*SIN(RADIANS('13_시나리오비교'!$C$9))+$H1025*SIN(RADIANS('13_시나리오비교'!$B$9))*COS(RADIANS('13_시나리오비교'!$C$9))+$I1025*COS(RADIANS('13_시나리오비교'!$B$9))),0)</f>
        <v/>
      </c>
      <c r="U1025" s="80">
        <f>IF($I1025&gt;0,MAX(0,$G1025*SIN(RADIANS('13_시나리오비교'!$B$10))*SIN(RADIANS('13_시나리오비교'!$C$10))+$H1025*SIN(RADIANS('13_시나리오비교'!$B$10))*COS(RADIANS('13_시나리오비교'!$C$10))+$I1025*COS(RADIANS('13_시나리오비교'!$B$10))),0)</f>
        <v/>
      </c>
      <c r="V1025" s="80">
        <f>IF($I1025&gt;0,MAX(0,$G1025*SIN(RADIANS('13_시나리오비교'!$B$11))*SIN(RADIANS('13_시나리오비교'!$C$11))+$H1025*SIN(RADIANS('13_시나리오비교'!$B$11))*COS(RADIANS('13_시나리오비교'!$C$11))+$I1025*COS(RADIANS('13_시나리오비교'!$B$11))),0)</f>
        <v/>
      </c>
      <c r="W1025" s="80">
        <f>IF($I1025&gt;0,MAX(0,$G1025*SIN(RADIANS('13_시나리오비교'!$B$12))*SIN(RADIANS('13_시나리오비교'!$C$12))+$H1025*SIN(RADIANS('13_시나리오비교'!$B$12))*COS(RADIANS('13_시나리오비교'!$C$12))+$I1025*COS(RADIANS('13_시나리오비교'!$B$12))),0)</f>
        <v/>
      </c>
      <c r="X1025" s="80">
        <f>IF($I1025&gt;0,MAX(0,$G1025*SIN(RADIANS('13_시나리오비교'!$B$13))*SIN(RADIANS('13_시나리오비교'!$C$13))+$H1025*SIN(RADIANS('13_시나리오비교'!$B$13))*COS(RADIANS('13_시나리오비교'!$C$13))+$I1025*COS(RADIANS('13_시나리오비교'!$B$13))),0)</f>
        <v/>
      </c>
      <c r="Y1025" s="80">
        <f>IF($I1025&gt;0,MAX(0,$G1025*SIN(RADIANS('13_시나리오비교'!$B$14))*SIN(RADIANS('13_시나리오비교'!$C$14))+$H1025*SIN(RADIANS('13_시나리오비교'!$B$14))*COS(RADIANS('13_시나리오비교'!$C$14))+$I1025*COS(RADIANS('13_시나리오비교'!$B$14))),0)</f>
        <v/>
      </c>
    </row>
    <row r="1026" hidden="1" outlineLevel="1">
      <c r="A1026" s="79" t="n">
        <v>11</v>
      </c>
      <c r="B1026" s="79" t="n">
        <v>46</v>
      </c>
      <c r="C1026" s="80">
        <f>(B1026-0.5)*'14_지역·상수'!$H$6</f>
        <v/>
      </c>
      <c r="D1026" s="79" t="n">
        <v>318</v>
      </c>
      <c r="E1026" s="80">
        <f>INDEX($C$4:$C$15,MATCH(A1026,$A$4:$A$15,0))</f>
        <v/>
      </c>
      <c r="F1026" s="80">
        <f>15*(C1026-12)</f>
        <v/>
      </c>
      <c r="G1026" s="80">
        <f>-COS(RADIANS(E1026))*SIN(RADIANS(F1026))</f>
        <v/>
      </c>
      <c r="H1026" s="80">
        <f>COS(RADIANS('11_발전량_모델'!$B$17))*SIN(RADIANS(E1026))-SIN(RADIANS('11_발전량_모델'!$B$17))*COS(RADIANS(E1026))*COS(RADIANS(F1026))</f>
        <v/>
      </c>
      <c r="I1026" s="80">
        <f>SIN(RADIANS('11_발전량_모델'!$B$17))*SIN(RADIANS(E1026))+COS(RADIANS('11_발전량_모델'!$B$17))*COS(RADIANS(E1026))*COS(RADIANS(F1026))</f>
        <v/>
      </c>
      <c r="J1026" s="80">
        <f>SIN(RADIANS('11_발전량_모델'!$B$7))*SIN(RADIANS('11_발전량_모델'!$B$8))</f>
        <v/>
      </c>
      <c r="K1026" s="80">
        <f>SIN(RADIANS('11_발전량_모델'!$B$7))*COS(RADIANS('11_발전량_모델'!$B$8))</f>
        <v/>
      </c>
      <c r="L1026" s="80">
        <f>COS(RADIANS('11_발전량_모델'!$B$7))</f>
        <v/>
      </c>
      <c r="M1026" s="80">
        <f>G1026*J1026+H1026*K1026+I1026*L1026</f>
        <v/>
      </c>
      <c r="N1026" s="80">
        <f>MAX(0,I1026)</f>
        <v/>
      </c>
      <c r="O1026" s="80">
        <f>IF(I1026&gt;0,MAX(0,M1026),0)</f>
        <v/>
      </c>
      <c r="P1026" s="80">
        <f>IF($I1026&gt;0,MAX(0,$G1026*SIN(RADIANS('13_시나리오비교'!$B$5))*SIN(RADIANS('13_시나리오비교'!$C$5))+$H1026*SIN(RADIANS('13_시나리오비교'!$B$5))*COS(RADIANS('13_시나리오비교'!$C$5))+$I1026*COS(RADIANS('13_시나리오비교'!$B$5))),0)</f>
        <v/>
      </c>
      <c r="Q1026" s="80">
        <f>IF($I1026&gt;0,MAX(0,$G1026*SIN(RADIANS('13_시나리오비교'!$B$6))*SIN(RADIANS('13_시나리오비교'!$C$6))+$H1026*SIN(RADIANS('13_시나리오비교'!$B$6))*COS(RADIANS('13_시나리오비교'!$C$6))+$I1026*COS(RADIANS('13_시나리오비교'!$B$6))),0)</f>
        <v/>
      </c>
      <c r="R1026" s="80">
        <f>IF($I1026&gt;0,MAX(0,$G1026*SIN(RADIANS('13_시나리오비교'!$B$7))*SIN(RADIANS('13_시나리오비교'!$C$7))+$H1026*SIN(RADIANS('13_시나리오비교'!$B$7))*COS(RADIANS('13_시나리오비교'!$C$7))+$I1026*COS(RADIANS('13_시나리오비교'!$B$7))),0)</f>
        <v/>
      </c>
      <c r="S1026" s="80">
        <f>IF($I1026&gt;0,MAX(0,$G1026*SIN(RADIANS('13_시나리오비교'!$B$8))*SIN(RADIANS('13_시나리오비교'!$C$8))+$H1026*SIN(RADIANS('13_시나리오비교'!$B$8))*COS(RADIANS('13_시나리오비교'!$C$8))+$I1026*COS(RADIANS('13_시나리오비교'!$B$8))),0)</f>
        <v/>
      </c>
      <c r="T1026" s="80">
        <f>IF($I1026&gt;0,MAX(0,$G1026*SIN(RADIANS('13_시나리오비교'!$B$9))*SIN(RADIANS('13_시나리오비교'!$C$9))+$H1026*SIN(RADIANS('13_시나리오비교'!$B$9))*COS(RADIANS('13_시나리오비교'!$C$9))+$I1026*COS(RADIANS('13_시나리오비교'!$B$9))),0)</f>
        <v/>
      </c>
      <c r="U1026" s="80">
        <f>IF($I1026&gt;0,MAX(0,$G1026*SIN(RADIANS('13_시나리오비교'!$B$10))*SIN(RADIANS('13_시나리오비교'!$C$10))+$H1026*SIN(RADIANS('13_시나리오비교'!$B$10))*COS(RADIANS('13_시나리오비교'!$C$10))+$I1026*COS(RADIANS('13_시나리오비교'!$B$10))),0)</f>
        <v/>
      </c>
      <c r="V1026" s="80">
        <f>IF($I1026&gt;0,MAX(0,$G1026*SIN(RADIANS('13_시나리오비교'!$B$11))*SIN(RADIANS('13_시나리오비교'!$C$11))+$H1026*SIN(RADIANS('13_시나리오비교'!$B$11))*COS(RADIANS('13_시나리오비교'!$C$11))+$I1026*COS(RADIANS('13_시나리오비교'!$B$11))),0)</f>
        <v/>
      </c>
      <c r="W1026" s="80">
        <f>IF($I1026&gt;0,MAX(0,$G1026*SIN(RADIANS('13_시나리오비교'!$B$12))*SIN(RADIANS('13_시나리오비교'!$C$12))+$H1026*SIN(RADIANS('13_시나리오비교'!$B$12))*COS(RADIANS('13_시나리오비교'!$C$12))+$I1026*COS(RADIANS('13_시나리오비교'!$B$12))),0)</f>
        <v/>
      </c>
      <c r="X1026" s="80">
        <f>IF($I1026&gt;0,MAX(0,$G1026*SIN(RADIANS('13_시나리오비교'!$B$13))*SIN(RADIANS('13_시나리오비교'!$C$13))+$H1026*SIN(RADIANS('13_시나리오비교'!$B$13))*COS(RADIANS('13_시나리오비교'!$C$13))+$I1026*COS(RADIANS('13_시나리오비교'!$B$13))),0)</f>
        <v/>
      </c>
      <c r="Y1026" s="80">
        <f>IF($I1026&gt;0,MAX(0,$G1026*SIN(RADIANS('13_시나리오비교'!$B$14))*SIN(RADIANS('13_시나리오비교'!$C$14))+$H1026*SIN(RADIANS('13_시나리오비교'!$B$14))*COS(RADIANS('13_시나리오비교'!$C$14))+$I1026*COS(RADIANS('13_시나리오비교'!$B$14))),0)</f>
        <v/>
      </c>
    </row>
    <row r="1027" hidden="1" outlineLevel="1">
      <c r="A1027" s="79" t="n">
        <v>11</v>
      </c>
      <c r="B1027" s="79" t="n">
        <v>47</v>
      </c>
      <c r="C1027" s="80">
        <f>(B1027-0.5)*'14_지역·상수'!$H$6</f>
        <v/>
      </c>
      <c r="D1027" s="79" t="n">
        <v>318</v>
      </c>
      <c r="E1027" s="80">
        <f>INDEX($C$4:$C$15,MATCH(A1027,$A$4:$A$15,0))</f>
        <v/>
      </c>
      <c r="F1027" s="80">
        <f>15*(C1027-12)</f>
        <v/>
      </c>
      <c r="G1027" s="80">
        <f>-COS(RADIANS(E1027))*SIN(RADIANS(F1027))</f>
        <v/>
      </c>
      <c r="H1027" s="80">
        <f>COS(RADIANS('11_발전량_모델'!$B$17))*SIN(RADIANS(E1027))-SIN(RADIANS('11_발전량_모델'!$B$17))*COS(RADIANS(E1027))*COS(RADIANS(F1027))</f>
        <v/>
      </c>
      <c r="I1027" s="80">
        <f>SIN(RADIANS('11_발전량_모델'!$B$17))*SIN(RADIANS(E1027))+COS(RADIANS('11_발전량_모델'!$B$17))*COS(RADIANS(E1027))*COS(RADIANS(F1027))</f>
        <v/>
      </c>
      <c r="J1027" s="80">
        <f>SIN(RADIANS('11_발전량_모델'!$B$7))*SIN(RADIANS('11_발전량_모델'!$B$8))</f>
        <v/>
      </c>
      <c r="K1027" s="80">
        <f>SIN(RADIANS('11_발전량_모델'!$B$7))*COS(RADIANS('11_발전량_모델'!$B$8))</f>
        <v/>
      </c>
      <c r="L1027" s="80">
        <f>COS(RADIANS('11_발전량_모델'!$B$7))</f>
        <v/>
      </c>
      <c r="M1027" s="80">
        <f>G1027*J1027+H1027*K1027+I1027*L1027</f>
        <v/>
      </c>
      <c r="N1027" s="80">
        <f>MAX(0,I1027)</f>
        <v/>
      </c>
      <c r="O1027" s="80">
        <f>IF(I1027&gt;0,MAX(0,M1027),0)</f>
        <v/>
      </c>
      <c r="P1027" s="80">
        <f>IF($I1027&gt;0,MAX(0,$G1027*SIN(RADIANS('13_시나리오비교'!$B$5))*SIN(RADIANS('13_시나리오비교'!$C$5))+$H1027*SIN(RADIANS('13_시나리오비교'!$B$5))*COS(RADIANS('13_시나리오비교'!$C$5))+$I1027*COS(RADIANS('13_시나리오비교'!$B$5))),0)</f>
        <v/>
      </c>
      <c r="Q1027" s="80">
        <f>IF($I1027&gt;0,MAX(0,$G1027*SIN(RADIANS('13_시나리오비교'!$B$6))*SIN(RADIANS('13_시나리오비교'!$C$6))+$H1027*SIN(RADIANS('13_시나리오비교'!$B$6))*COS(RADIANS('13_시나리오비교'!$C$6))+$I1027*COS(RADIANS('13_시나리오비교'!$B$6))),0)</f>
        <v/>
      </c>
      <c r="R1027" s="80">
        <f>IF($I1027&gt;0,MAX(0,$G1027*SIN(RADIANS('13_시나리오비교'!$B$7))*SIN(RADIANS('13_시나리오비교'!$C$7))+$H1027*SIN(RADIANS('13_시나리오비교'!$B$7))*COS(RADIANS('13_시나리오비교'!$C$7))+$I1027*COS(RADIANS('13_시나리오비교'!$B$7))),0)</f>
        <v/>
      </c>
      <c r="S1027" s="80">
        <f>IF($I1027&gt;0,MAX(0,$G1027*SIN(RADIANS('13_시나리오비교'!$B$8))*SIN(RADIANS('13_시나리오비교'!$C$8))+$H1027*SIN(RADIANS('13_시나리오비교'!$B$8))*COS(RADIANS('13_시나리오비교'!$C$8))+$I1027*COS(RADIANS('13_시나리오비교'!$B$8))),0)</f>
        <v/>
      </c>
      <c r="T1027" s="80">
        <f>IF($I1027&gt;0,MAX(0,$G1027*SIN(RADIANS('13_시나리오비교'!$B$9))*SIN(RADIANS('13_시나리오비교'!$C$9))+$H1027*SIN(RADIANS('13_시나리오비교'!$B$9))*COS(RADIANS('13_시나리오비교'!$C$9))+$I1027*COS(RADIANS('13_시나리오비교'!$B$9))),0)</f>
        <v/>
      </c>
      <c r="U1027" s="80">
        <f>IF($I1027&gt;0,MAX(0,$G1027*SIN(RADIANS('13_시나리오비교'!$B$10))*SIN(RADIANS('13_시나리오비교'!$C$10))+$H1027*SIN(RADIANS('13_시나리오비교'!$B$10))*COS(RADIANS('13_시나리오비교'!$C$10))+$I1027*COS(RADIANS('13_시나리오비교'!$B$10))),0)</f>
        <v/>
      </c>
      <c r="V1027" s="80">
        <f>IF($I1027&gt;0,MAX(0,$G1027*SIN(RADIANS('13_시나리오비교'!$B$11))*SIN(RADIANS('13_시나리오비교'!$C$11))+$H1027*SIN(RADIANS('13_시나리오비교'!$B$11))*COS(RADIANS('13_시나리오비교'!$C$11))+$I1027*COS(RADIANS('13_시나리오비교'!$B$11))),0)</f>
        <v/>
      </c>
      <c r="W1027" s="80">
        <f>IF($I1027&gt;0,MAX(0,$G1027*SIN(RADIANS('13_시나리오비교'!$B$12))*SIN(RADIANS('13_시나리오비교'!$C$12))+$H1027*SIN(RADIANS('13_시나리오비교'!$B$12))*COS(RADIANS('13_시나리오비교'!$C$12))+$I1027*COS(RADIANS('13_시나리오비교'!$B$12))),0)</f>
        <v/>
      </c>
      <c r="X1027" s="80">
        <f>IF($I1027&gt;0,MAX(0,$G1027*SIN(RADIANS('13_시나리오비교'!$B$13))*SIN(RADIANS('13_시나리오비교'!$C$13))+$H1027*SIN(RADIANS('13_시나리오비교'!$B$13))*COS(RADIANS('13_시나리오비교'!$C$13))+$I1027*COS(RADIANS('13_시나리오비교'!$B$13))),0)</f>
        <v/>
      </c>
      <c r="Y1027" s="80">
        <f>IF($I1027&gt;0,MAX(0,$G1027*SIN(RADIANS('13_시나리오비교'!$B$14))*SIN(RADIANS('13_시나리오비교'!$C$14))+$H1027*SIN(RADIANS('13_시나리오비교'!$B$14))*COS(RADIANS('13_시나리오비교'!$C$14))+$I1027*COS(RADIANS('13_시나리오비교'!$B$14))),0)</f>
        <v/>
      </c>
    </row>
    <row r="1028" hidden="1" outlineLevel="1">
      <c r="A1028" s="79" t="n">
        <v>11</v>
      </c>
      <c r="B1028" s="79" t="n">
        <v>48</v>
      </c>
      <c r="C1028" s="80">
        <f>(B1028-0.5)*'14_지역·상수'!$H$6</f>
        <v/>
      </c>
      <c r="D1028" s="79" t="n">
        <v>318</v>
      </c>
      <c r="E1028" s="80">
        <f>INDEX($C$4:$C$15,MATCH(A1028,$A$4:$A$15,0))</f>
        <v/>
      </c>
      <c r="F1028" s="80">
        <f>15*(C1028-12)</f>
        <v/>
      </c>
      <c r="G1028" s="80">
        <f>-COS(RADIANS(E1028))*SIN(RADIANS(F1028))</f>
        <v/>
      </c>
      <c r="H1028" s="80">
        <f>COS(RADIANS('11_발전량_모델'!$B$17))*SIN(RADIANS(E1028))-SIN(RADIANS('11_발전량_모델'!$B$17))*COS(RADIANS(E1028))*COS(RADIANS(F1028))</f>
        <v/>
      </c>
      <c r="I1028" s="80">
        <f>SIN(RADIANS('11_발전량_모델'!$B$17))*SIN(RADIANS(E1028))+COS(RADIANS('11_발전량_모델'!$B$17))*COS(RADIANS(E1028))*COS(RADIANS(F1028))</f>
        <v/>
      </c>
      <c r="J1028" s="80">
        <f>SIN(RADIANS('11_발전량_모델'!$B$7))*SIN(RADIANS('11_발전량_모델'!$B$8))</f>
        <v/>
      </c>
      <c r="K1028" s="80">
        <f>SIN(RADIANS('11_발전량_모델'!$B$7))*COS(RADIANS('11_발전량_모델'!$B$8))</f>
        <v/>
      </c>
      <c r="L1028" s="80">
        <f>COS(RADIANS('11_발전량_모델'!$B$7))</f>
        <v/>
      </c>
      <c r="M1028" s="80">
        <f>G1028*J1028+H1028*K1028+I1028*L1028</f>
        <v/>
      </c>
      <c r="N1028" s="80">
        <f>MAX(0,I1028)</f>
        <v/>
      </c>
      <c r="O1028" s="80">
        <f>IF(I1028&gt;0,MAX(0,M1028),0)</f>
        <v/>
      </c>
      <c r="P1028" s="80">
        <f>IF($I1028&gt;0,MAX(0,$G1028*SIN(RADIANS('13_시나리오비교'!$B$5))*SIN(RADIANS('13_시나리오비교'!$C$5))+$H1028*SIN(RADIANS('13_시나리오비교'!$B$5))*COS(RADIANS('13_시나리오비교'!$C$5))+$I1028*COS(RADIANS('13_시나리오비교'!$B$5))),0)</f>
        <v/>
      </c>
      <c r="Q1028" s="80">
        <f>IF($I1028&gt;0,MAX(0,$G1028*SIN(RADIANS('13_시나리오비교'!$B$6))*SIN(RADIANS('13_시나리오비교'!$C$6))+$H1028*SIN(RADIANS('13_시나리오비교'!$B$6))*COS(RADIANS('13_시나리오비교'!$C$6))+$I1028*COS(RADIANS('13_시나리오비교'!$B$6))),0)</f>
        <v/>
      </c>
      <c r="R1028" s="80">
        <f>IF($I1028&gt;0,MAX(0,$G1028*SIN(RADIANS('13_시나리오비교'!$B$7))*SIN(RADIANS('13_시나리오비교'!$C$7))+$H1028*SIN(RADIANS('13_시나리오비교'!$B$7))*COS(RADIANS('13_시나리오비교'!$C$7))+$I1028*COS(RADIANS('13_시나리오비교'!$B$7))),0)</f>
        <v/>
      </c>
      <c r="S1028" s="80">
        <f>IF($I1028&gt;0,MAX(0,$G1028*SIN(RADIANS('13_시나리오비교'!$B$8))*SIN(RADIANS('13_시나리오비교'!$C$8))+$H1028*SIN(RADIANS('13_시나리오비교'!$B$8))*COS(RADIANS('13_시나리오비교'!$C$8))+$I1028*COS(RADIANS('13_시나리오비교'!$B$8))),0)</f>
        <v/>
      </c>
      <c r="T1028" s="80">
        <f>IF($I1028&gt;0,MAX(0,$G1028*SIN(RADIANS('13_시나리오비교'!$B$9))*SIN(RADIANS('13_시나리오비교'!$C$9))+$H1028*SIN(RADIANS('13_시나리오비교'!$B$9))*COS(RADIANS('13_시나리오비교'!$C$9))+$I1028*COS(RADIANS('13_시나리오비교'!$B$9))),0)</f>
        <v/>
      </c>
      <c r="U1028" s="80">
        <f>IF($I1028&gt;0,MAX(0,$G1028*SIN(RADIANS('13_시나리오비교'!$B$10))*SIN(RADIANS('13_시나리오비교'!$C$10))+$H1028*SIN(RADIANS('13_시나리오비교'!$B$10))*COS(RADIANS('13_시나리오비교'!$C$10))+$I1028*COS(RADIANS('13_시나리오비교'!$B$10))),0)</f>
        <v/>
      </c>
      <c r="V1028" s="80">
        <f>IF($I1028&gt;0,MAX(0,$G1028*SIN(RADIANS('13_시나리오비교'!$B$11))*SIN(RADIANS('13_시나리오비교'!$C$11))+$H1028*SIN(RADIANS('13_시나리오비교'!$B$11))*COS(RADIANS('13_시나리오비교'!$C$11))+$I1028*COS(RADIANS('13_시나리오비교'!$B$11))),0)</f>
        <v/>
      </c>
      <c r="W1028" s="80">
        <f>IF($I1028&gt;0,MAX(0,$G1028*SIN(RADIANS('13_시나리오비교'!$B$12))*SIN(RADIANS('13_시나리오비교'!$C$12))+$H1028*SIN(RADIANS('13_시나리오비교'!$B$12))*COS(RADIANS('13_시나리오비교'!$C$12))+$I1028*COS(RADIANS('13_시나리오비교'!$B$12))),0)</f>
        <v/>
      </c>
      <c r="X1028" s="80">
        <f>IF($I1028&gt;0,MAX(0,$G1028*SIN(RADIANS('13_시나리오비교'!$B$13))*SIN(RADIANS('13_시나리오비교'!$C$13))+$H1028*SIN(RADIANS('13_시나리오비교'!$B$13))*COS(RADIANS('13_시나리오비교'!$C$13))+$I1028*COS(RADIANS('13_시나리오비교'!$B$13))),0)</f>
        <v/>
      </c>
      <c r="Y1028" s="80">
        <f>IF($I1028&gt;0,MAX(0,$G1028*SIN(RADIANS('13_시나리오비교'!$B$14))*SIN(RADIANS('13_시나리오비교'!$C$14))+$H1028*SIN(RADIANS('13_시나리오비교'!$B$14))*COS(RADIANS('13_시나리오비교'!$C$14))+$I1028*COS(RADIANS('13_시나리오비교'!$B$14))),0)</f>
        <v/>
      </c>
    </row>
    <row r="1029" hidden="1" outlineLevel="1">
      <c r="A1029" s="79" t="n">
        <v>11</v>
      </c>
      <c r="B1029" s="79" t="n">
        <v>49</v>
      </c>
      <c r="C1029" s="80">
        <f>(B1029-0.5)*'14_지역·상수'!$H$6</f>
        <v/>
      </c>
      <c r="D1029" s="79" t="n">
        <v>318</v>
      </c>
      <c r="E1029" s="80">
        <f>INDEX($C$4:$C$15,MATCH(A1029,$A$4:$A$15,0))</f>
        <v/>
      </c>
      <c r="F1029" s="80">
        <f>15*(C1029-12)</f>
        <v/>
      </c>
      <c r="G1029" s="80">
        <f>-COS(RADIANS(E1029))*SIN(RADIANS(F1029))</f>
        <v/>
      </c>
      <c r="H1029" s="80">
        <f>COS(RADIANS('11_발전량_모델'!$B$17))*SIN(RADIANS(E1029))-SIN(RADIANS('11_발전량_모델'!$B$17))*COS(RADIANS(E1029))*COS(RADIANS(F1029))</f>
        <v/>
      </c>
      <c r="I1029" s="80">
        <f>SIN(RADIANS('11_발전량_모델'!$B$17))*SIN(RADIANS(E1029))+COS(RADIANS('11_발전량_모델'!$B$17))*COS(RADIANS(E1029))*COS(RADIANS(F1029))</f>
        <v/>
      </c>
      <c r="J1029" s="80">
        <f>SIN(RADIANS('11_발전량_모델'!$B$7))*SIN(RADIANS('11_발전량_모델'!$B$8))</f>
        <v/>
      </c>
      <c r="K1029" s="80">
        <f>SIN(RADIANS('11_발전량_모델'!$B$7))*COS(RADIANS('11_발전량_모델'!$B$8))</f>
        <v/>
      </c>
      <c r="L1029" s="80">
        <f>COS(RADIANS('11_발전량_모델'!$B$7))</f>
        <v/>
      </c>
      <c r="M1029" s="80">
        <f>G1029*J1029+H1029*K1029+I1029*L1029</f>
        <v/>
      </c>
      <c r="N1029" s="80">
        <f>MAX(0,I1029)</f>
        <v/>
      </c>
      <c r="O1029" s="80">
        <f>IF(I1029&gt;0,MAX(0,M1029),0)</f>
        <v/>
      </c>
      <c r="P1029" s="80">
        <f>IF($I1029&gt;0,MAX(0,$G1029*SIN(RADIANS('13_시나리오비교'!$B$5))*SIN(RADIANS('13_시나리오비교'!$C$5))+$H1029*SIN(RADIANS('13_시나리오비교'!$B$5))*COS(RADIANS('13_시나리오비교'!$C$5))+$I1029*COS(RADIANS('13_시나리오비교'!$B$5))),0)</f>
        <v/>
      </c>
      <c r="Q1029" s="80">
        <f>IF($I1029&gt;0,MAX(0,$G1029*SIN(RADIANS('13_시나리오비교'!$B$6))*SIN(RADIANS('13_시나리오비교'!$C$6))+$H1029*SIN(RADIANS('13_시나리오비교'!$B$6))*COS(RADIANS('13_시나리오비교'!$C$6))+$I1029*COS(RADIANS('13_시나리오비교'!$B$6))),0)</f>
        <v/>
      </c>
      <c r="R1029" s="80">
        <f>IF($I1029&gt;0,MAX(0,$G1029*SIN(RADIANS('13_시나리오비교'!$B$7))*SIN(RADIANS('13_시나리오비교'!$C$7))+$H1029*SIN(RADIANS('13_시나리오비교'!$B$7))*COS(RADIANS('13_시나리오비교'!$C$7))+$I1029*COS(RADIANS('13_시나리오비교'!$B$7))),0)</f>
        <v/>
      </c>
      <c r="S1029" s="80">
        <f>IF($I1029&gt;0,MAX(0,$G1029*SIN(RADIANS('13_시나리오비교'!$B$8))*SIN(RADIANS('13_시나리오비교'!$C$8))+$H1029*SIN(RADIANS('13_시나리오비교'!$B$8))*COS(RADIANS('13_시나리오비교'!$C$8))+$I1029*COS(RADIANS('13_시나리오비교'!$B$8))),0)</f>
        <v/>
      </c>
      <c r="T1029" s="80">
        <f>IF($I1029&gt;0,MAX(0,$G1029*SIN(RADIANS('13_시나리오비교'!$B$9))*SIN(RADIANS('13_시나리오비교'!$C$9))+$H1029*SIN(RADIANS('13_시나리오비교'!$B$9))*COS(RADIANS('13_시나리오비교'!$C$9))+$I1029*COS(RADIANS('13_시나리오비교'!$B$9))),0)</f>
        <v/>
      </c>
      <c r="U1029" s="80">
        <f>IF($I1029&gt;0,MAX(0,$G1029*SIN(RADIANS('13_시나리오비교'!$B$10))*SIN(RADIANS('13_시나리오비교'!$C$10))+$H1029*SIN(RADIANS('13_시나리오비교'!$B$10))*COS(RADIANS('13_시나리오비교'!$C$10))+$I1029*COS(RADIANS('13_시나리오비교'!$B$10))),0)</f>
        <v/>
      </c>
      <c r="V1029" s="80">
        <f>IF($I1029&gt;0,MAX(0,$G1029*SIN(RADIANS('13_시나리오비교'!$B$11))*SIN(RADIANS('13_시나리오비교'!$C$11))+$H1029*SIN(RADIANS('13_시나리오비교'!$B$11))*COS(RADIANS('13_시나리오비교'!$C$11))+$I1029*COS(RADIANS('13_시나리오비교'!$B$11))),0)</f>
        <v/>
      </c>
      <c r="W1029" s="80">
        <f>IF($I1029&gt;0,MAX(0,$G1029*SIN(RADIANS('13_시나리오비교'!$B$12))*SIN(RADIANS('13_시나리오비교'!$C$12))+$H1029*SIN(RADIANS('13_시나리오비교'!$B$12))*COS(RADIANS('13_시나리오비교'!$C$12))+$I1029*COS(RADIANS('13_시나리오비교'!$B$12))),0)</f>
        <v/>
      </c>
      <c r="X1029" s="80">
        <f>IF($I1029&gt;0,MAX(0,$G1029*SIN(RADIANS('13_시나리오비교'!$B$13))*SIN(RADIANS('13_시나리오비교'!$C$13))+$H1029*SIN(RADIANS('13_시나리오비교'!$B$13))*COS(RADIANS('13_시나리오비교'!$C$13))+$I1029*COS(RADIANS('13_시나리오비교'!$B$13))),0)</f>
        <v/>
      </c>
      <c r="Y1029" s="80">
        <f>IF($I1029&gt;0,MAX(0,$G1029*SIN(RADIANS('13_시나리오비교'!$B$14))*SIN(RADIANS('13_시나리오비교'!$C$14))+$H1029*SIN(RADIANS('13_시나리오비교'!$B$14))*COS(RADIANS('13_시나리오비교'!$C$14))+$I1029*COS(RADIANS('13_시나리오비교'!$B$14))),0)</f>
        <v/>
      </c>
    </row>
    <row r="1030" hidden="1" outlineLevel="1">
      <c r="A1030" s="79" t="n">
        <v>11</v>
      </c>
      <c r="B1030" s="79" t="n">
        <v>50</v>
      </c>
      <c r="C1030" s="80">
        <f>(B1030-0.5)*'14_지역·상수'!$H$6</f>
        <v/>
      </c>
      <c r="D1030" s="79" t="n">
        <v>318</v>
      </c>
      <c r="E1030" s="80">
        <f>INDEX($C$4:$C$15,MATCH(A1030,$A$4:$A$15,0))</f>
        <v/>
      </c>
      <c r="F1030" s="80">
        <f>15*(C1030-12)</f>
        <v/>
      </c>
      <c r="G1030" s="80">
        <f>-COS(RADIANS(E1030))*SIN(RADIANS(F1030))</f>
        <v/>
      </c>
      <c r="H1030" s="80">
        <f>COS(RADIANS('11_발전량_모델'!$B$17))*SIN(RADIANS(E1030))-SIN(RADIANS('11_발전량_모델'!$B$17))*COS(RADIANS(E1030))*COS(RADIANS(F1030))</f>
        <v/>
      </c>
      <c r="I1030" s="80">
        <f>SIN(RADIANS('11_발전량_모델'!$B$17))*SIN(RADIANS(E1030))+COS(RADIANS('11_발전량_모델'!$B$17))*COS(RADIANS(E1030))*COS(RADIANS(F1030))</f>
        <v/>
      </c>
      <c r="J1030" s="80">
        <f>SIN(RADIANS('11_발전량_모델'!$B$7))*SIN(RADIANS('11_발전량_모델'!$B$8))</f>
        <v/>
      </c>
      <c r="K1030" s="80">
        <f>SIN(RADIANS('11_발전량_모델'!$B$7))*COS(RADIANS('11_발전량_모델'!$B$8))</f>
        <v/>
      </c>
      <c r="L1030" s="80">
        <f>COS(RADIANS('11_발전량_모델'!$B$7))</f>
        <v/>
      </c>
      <c r="M1030" s="80">
        <f>G1030*J1030+H1030*K1030+I1030*L1030</f>
        <v/>
      </c>
      <c r="N1030" s="80">
        <f>MAX(0,I1030)</f>
        <v/>
      </c>
      <c r="O1030" s="80">
        <f>IF(I1030&gt;0,MAX(0,M1030),0)</f>
        <v/>
      </c>
      <c r="P1030" s="80">
        <f>IF($I1030&gt;0,MAX(0,$G1030*SIN(RADIANS('13_시나리오비교'!$B$5))*SIN(RADIANS('13_시나리오비교'!$C$5))+$H1030*SIN(RADIANS('13_시나리오비교'!$B$5))*COS(RADIANS('13_시나리오비교'!$C$5))+$I1030*COS(RADIANS('13_시나리오비교'!$B$5))),0)</f>
        <v/>
      </c>
      <c r="Q1030" s="80">
        <f>IF($I1030&gt;0,MAX(0,$G1030*SIN(RADIANS('13_시나리오비교'!$B$6))*SIN(RADIANS('13_시나리오비교'!$C$6))+$H1030*SIN(RADIANS('13_시나리오비교'!$B$6))*COS(RADIANS('13_시나리오비교'!$C$6))+$I1030*COS(RADIANS('13_시나리오비교'!$B$6))),0)</f>
        <v/>
      </c>
      <c r="R1030" s="80">
        <f>IF($I1030&gt;0,MAX(0,$G1030*SIN(RADIANS('13_시나리오비교'!$B$7))*SIN(RADIANS('13_시나리오비교'!$C$7))+$H1030*SIN(RADIANS('13_시나리오비교'!$B$7))*COS(RADIANS('13_시나리오비교'!$C$7))+$I1030*COS(RADIANS('13_시나리오비교'!$B$7))),0)</f>
        <v/>
      </c>
      <c r="S1030" s="80">
        <f>IF($I1030&gt;0,MAX(0,$G1030*SIN(RADIANS('13_시나리오비교'!$B$8))*SIN(RADIANS('13_시나리오비교'!$C$8))+$H1030*SIN(RADIANS('13_시나리오비교'!$B$8))*COS(RADIANS('13_시나리오비교'!$C$8))+$I1030*COS(RADIANS('13_시나리오비교'!$B$8))),0)</f>
        <v/>
      </c>
      <c r="T1030" s="80">
        <f>IF($I1030&gt;0,MAX(0,$G1030*SIN(RADIANS('13_시나리오비교'!$B$9))*SIN(RADIANS('13_시나리오비교'!$C$9))+$H1030*SIN(RADIANS('13_시나리오비교'!$B$9))*COS(RADIANS('13_시나리오비교'!$C$9))+$I1030*COS(RADIANS('13_시나리오비교'!$B$9))),0)</f>
        <v/>
      </c>
      <c r="U1030" s="80">
        <f>IF($I1030&gt;0,MAX(0,$G1030*SIN(RADIANS('13_시나리오비교'!$B$10))*SIN(RADIANS('13_시나리오비교'!$C$10))+$H1030*SIN(RADIANS('13_시나리오비교'!$B$10))*COS(RADIANS('13_시나리오비교'!$C$10))+$I1030*COS(RADIANS('13_시나리오비교'!$B$10))),0)</f>
        <v/>
      </c>
      <c r="V1030" s="80">
        <f>IF($I1030&gt;0,MAX(0,$G1030*SIN(RADIANS('13_시나리오비교'!$B$11))*SIN(RADIANS('13_시나리오비교'!$C$11))+$H1030*SIN(RADIANS('13_시나리오비교'!$B$11))*COS(RADIANS('13_시나리오비교'!$C$11))+$I1030*COS(RADIANS('13_시나리오비교'!$B$11))),0)</f>
        <v/>
      </c>
      <c r="W1030" s="80">
        <f>IF($I1030&gt;0,MAX(0,$G1030*SIN(RADIANS('13_시나리오비교'!$B$12))*SIN(RADIANS('13_시나리오비교'!$C$12))+$H1030*SIN(RADIANS('13_시나리오비교'!$B$12))*COS(RADIANS('13_시나리오비교'!$C$12))+$I1030*COS(RADIANS('13_시나리오비교'!$B$12))),0)</f>
        <v/>
      </c>
      <c r="X1030" s="80">
        <f>IF($I1030&gt;0,MAX(0,$G1030*SIN(RADIANS('13_시나리오비교'!$B$13))*SIN(RADIANS('13_시나리오비교'!$C$13))+$H1030*SIN(RADIANS('13_시나리오비교'!$B$13))*COS(RADIANS('13_시나리오비교'!$C$13))+$I1030*COS(RADIANS('13_시나리오비교'!$B$13))),0)</f>
        <v/>
      </c>
      <c r="Y1030" s="80">
        <f>IF($I1030&gt;0,MAX(0,$G1030*SIN(RADIANS('13_시나리오비교'!$B$14))*SIN(RADIANS('13_시나리오비교'!$C$14))+$H1030*SIN(RADIANS('13_시나리오비교'!$B$14))*COS(RADIANS('13_시나리오비교'!$C$14))+$I1030*COS(RADIANS('13_시나리오비교'!$B$14))),0)</f>
        <v/>
      </c>
    </row>
    <row r="1031" hidden="1" outlineLevel="1">
      <c r="A1031" s="79" t="n">
        <v>11</v>
      </c>
      <c r="B1031" s="79" t="n">
        <v>51</v>
      </c>
      <c r="C1031" s="80">
        <f>(B1031-0.5)*'14_지역·상수'!$H$6</f>
        <v/>
      </c>
      <c r="D1031" s="79" t="n">
        <v>318</v>
      </c>
      <c r="E1031" s="80">
        <f>INDEX($C$4:$C$15,MATCH(A1031,$A$4:$A$15,0))</f>
        <v/>
      </c>
      <c r="F1031" s="80">
        <f>15*(C1031-12)</f>
        <v/>
      </c>
      <c r="G1031" s="80">
        <f>-COS(RADIANS(E1031))*SIN(RADIANS(F1031))</f>
        <v/>
      </c>
      <c r="H1031" s="80">
        <f>COS(RADIANS('11_발전량_모델'!$B$17))*SIN(RADIANS(E1031))-SIN(RADIANS('11_발전량_모델'!$B$17))*COS(RADIANS(E1031))*COS(RADIANS(F1031))</f>
        <v/>
      </c>
      <c r="I1031" s="80">
        <f>SIN(RADIANS('11_발전량_모델'!$B$17))*SIN(RADIANS(E1031))+COS(RADIANS('11_발전량_모델'!$B$17))*COS(RADIANS(E1031))*COS(RADIANS(F1031))</f>
        <v/>
      </c>
      <c r="J1031" s="80">
        <f>SIN(RADIANS('11_발전량_모델'!$B$7))*SIN(RADIANS('11_발전량_모델'!$B$8))</f>
        <v/>
      </c>
      <c r="K1031" s="80">
        <f>SIN(RADIANS('11_발전량_모델'!$B$7))*COS(RADIANS('11_발전량_모델'!$B$8))</f>
        <v/>
      </c>
      <c r="L1031" s="80">
        <f>COS(RADIANS('11_발전량_모델'!$B$7))</f>
        <v/>
      </c>
      <c r="M1031" s="80">
        <f>G1031*J1031+H1031*K1031+I1031*L1031</f>
        <v/>
      </c>
      <c r="N1031" s="80">
        <f>MAX(0,I1031)</f>
        <v/>
      </c>
      <c r="O1031" s="80">
        <f>IF(I1031&gt;0,MAX(0,M1031),0)</f>
        <v/>
      </c>
      <c r="P1031" s="80">
        <f>IF($I1031&gt;0,MAX(0,$G1031*SIN(RADIANS('13_시나리오비교'!$B$5))*SIN(RADIANS('13_시나리오비교'!$C$5))+$H1031*SIN(RADIANS('13_시나리오비교'!$B$5))*COS(RADIANS('13_시나리오비교'!$C$5))+$I1031*COS(RADIANS('13_시나리오비교'!$B$5))),0)</f>
        <v/>
      </c>
      <c r="Q1031" s="80">
        <f>IF($I1031&gt;0,MAX(0,$G1031*SIN(RADIANS('13_시나리오비교'!$B$6))*SIN(RADIANS('13_시나리오비교'!$C$6))+$H1031*SIN(RADIANS('13_시나리오비교'!$B$6))*COS(RADIANS('13_시나리오비교'!$C$6))+$I1031*COS(RADIANS('13_시나리오비교'!$B$6))),0)</f>
        <v/>
      </c>
      <c r="R1031" s="80">
        <f>IF($I1031&gt;0,MAX(0,$G1031*SIN(RADIANS('13_시나리오비교'!$B$7))*SIN(RADIANS('13_시나리오비교'!$C$7))+$H1031*SIN(RADIANS('13_시나리오비교'!$B$7))*COS(RADIANS('13_시나리오비교'!$C$7))+$I1031*COS(RADIANS('13_시나리오비교'!$B$7))),0)</f>
        <v/>
      </c>
      <c r="S1031" s="80">
        <f>IF($I1031&gt;0,MAX(0,$G1031*SIN(RADIANS('13_시나리오비교'!$B$8))*SIN(RADIANS('13_시나리오비교'!$C$8))+$H1031*SIN(RADIANS('13_시나리오비교'!$B$8))*COS(RADIANS('13_시나리오비교'!$C$8))+$I1031*COS(RADIANS('13_시나리오비교'!$B$8))),0)</f>
        <v/>
      </c>
      <c r="T1031" s="80">
        <f>IF($I1031&gt;0,MAX(0,$G1031*SIN(RADIANS('13_시나리오비교'!$B$9))*SIN(RADIANS('13_시나리오비교'!$C$9))+$H1031*SIN(RADIANS('13_시나리오비교'!$B$9))*COS(RADIANS('13_시나리오비교'!$C$9))+$I1031*COS(RADIANS('13_시나리오비교'!$B$9))),0)</f>
        <v/>
      </c>
      <c r="U1031" s="80">
        <f>IF($I1031&gt;0,MAX(0,$G1031*SIN(RADIANS('13_시나리오비교'!$B$10))*SIN(RADIANS('13_시나리오비교'!$C$10))+$H1031*SIN(RADIANS('13_시나리오비교'!$B$10))*COS(RADIANS('13_시나리오비교'!$C$10))+$I1031*COS(RADIANS('13_시나리오비교'!$B$10))),0)</f>
        <v/>
      </c>
      <c r="V1031" s="80">
        <f>IF($I1031&gt;0,MAX(0,$G1031*SIN(RADIANS('13_시나리오비교'!$B$11))*SIN(RADIANS('13_시나리오비교'!$C$11))+$H1031*SIN(RADIANS('13_시나리오비교'!$B$11))*COS(RADIANS('13_시나리오비교'!$C$11))+$I1031*COS(RADIANS('13_시나리오비교'!$B$11))),0)</f>
        <v/>
      </c>
      <c r="W1031" s="80">
        <f>IF($I1031&gt;0,MAX(0,$G1031*SIN(RADIANS('13_시나리오비교'!$B$12))*SIN(RADIANS('13_시나리오비교'!$C$12))+$H1031*SIN(RADIANS('13_시나리오비교'!$B$12))*COS(RADIANS('13_시나리오비교'!$C$12))+$I1031*COS(RADIANS('13_시나리오비교'!$B$12))),0)</f>
        <v/>
      </c>
      <c r="X1031" s="80">
        <f>IF($I1031&gt;0,MAX(0,$G1031*SIN(RADIANS('13_시나리오비교'!$B$13))*SIN(RADIANS('13_시나리오비교'!$C$13))+$H1031*SIN(RADIANS('13_시나리오비교'!$B$13))*COS(RADIANS('13_시나리오비교'!$C$13))+$I1031*COS(RADIANS('13_시나리오비교'!$B$13))),0)</f>
        <v/>
      </c>
      <c r="Y1031" s="80">
        <f>IF($I1031&gt;0,MAX(0,$G1031*SIN(RADIANS('13_시나리오비교'!$B$14))*SIN(RADIANS('13_시나리오비교'!$C$14))+$H1031*SIN(RADIANS('13_시나리오비교'!$B$14))*COS(RADIANS('13_시나리오비교'!$C$14))+$I1031*COS(RADIANS('13_시나리오비교'!$B$14))),0)</f>
        <v/>
      </c>
    </row>
    <row r="1032" hidden="1" outlineLevel="1">
      <c r="A1032" s="79" t="n">
        <v>11</v>
      </c>
      <c r="B1032" s="79" t="n">
        <v>52</v>
      </c>
      <c r="C1032" s="80">
        <f>(B1032-0.5)*'14_지역·상수'!$H$6</f>
        <v/>
      </c>
      <c r="D1032" s="79" t="n">
        <v>318</v>
      </c>
      <c r="E1032" s="80">
        <f>INDEX($C$4:$C$15,MATCH(A1032,$A$4:$A$15,0))</f>
        <v/>
      </c>
      <c r="F1032" s="80">
        <f>15*(C1032-12)</f>
        <v/>
      </c>
      <c r="G1032" s="80">
        <f>-COS(RADIANS(E1032))*SIN(RADIANS(F1032))</f>
        <v/>
      </c>
      <c r="H1032" s="80">
        <f>COS(RADIANS('11_발전량_모델'!$B$17))*SIN(RADIANS(E1032))-SIN(RADIANS('11_발전량_모델'!$B$17))*COS(RADIANS(E1032))*COS(RADIANS(F1032))</f>
        <v/>
      </c>
      <c r="I1032" s="80">
        <f>SIN(RADIANS('11_발전량_모델'!$B$17))*SIN(RADIANS(E1032))+COS(RADIANS('11_발전량_모델'!$B$17))*COS(RADIANS(E1032))*COS(RADIANS(F1032))</f>
        <v/>
      </c>
      <c r="J1032" s="80">
        <f>SIN(RADIANS('11_발전량_모델'!$B$7))*SIN(RADIANS('11_발전량_모델'!$B$8))</f>
        <v/>
      </c>
      <c r="K1032" s="80">
        <f>SIN(RADIANS('11_발전량_모델'!$B$7))*COS(RADIANS('11_발전량_모델'!$B$8))</f>
        <v/>
      </c>
      <c r="L1032" s="80">
        <f>COS(RADIANS('11_발전량_모델'!$B$7))</f>
        <v/>
      </c>
      <c r="M1032" s="80">
        <f>G1032*J1032+H1032*K1032+I1032*L1032</f>
        <v/>
      </c>
      <c r="N1032" s="80">
        <f>MAX(0,I1032)</f>
        <v/>
      </c>
      <c r="O1032" s="80">
        <f>IF(I1032&gt;0,MAX(0,M1032),0)</f>
        <v/>
      </c>
      <c r="P1032" s="80">
        <f>IF($I1032&gt;0,MAX(0,$G1032*SIN(RADIANS('13_시나리오비교'!$B$5))*SIN(RADIANS('13_시나리오비교'!$C$5))+$H1032*SIN(RADIANS('13_시나리오비교'!$B$5))*COS(RADIANS('13_시나리오비교'!$C$5))+$I1032*COS(RADIANS('13_시나리오비교'!$B$5))),0)</f>
        <v/>
      </c>
      <c r="Q1032" s="80">
        <f>IF($I1032&gt;0,MAX(0,$G1032*SIN(RADIANS('13_시나리오비교'!$B$6))*SIN(RADIANS('13_시나리오비교'!$C$6))+$H1032*SIN(RADIANS('13_시나리오비교'!$B$6))*COS(RADIANS('13_시나리오비교'!$C$6))+$I1032*COS(RADIANS('13_시나리오비교'!$B$6))),0)</f>
        <v/>
      </c>
      <c r="R1032" s="80">
        <f>IF($I1032&gt;0,MAX(0,$G1032*SIN(RADIANS('13_시나리오비교'!$B$7))*SIN(RADIANS('13_시나리오비교'!$C$7))+$H1032*SIN(RADIANS('13_시나리오비교'!$B$7))*COS(RADIANS('13_시나리오비교'!$C$7))+$I1032*COS(RADIANS('13_시나리오비교'!$B$7))),0)</f>
        <v/>
      </c>
      <c r="S1032" s="80">
        <f>IF($I1032&gt;0,MAX(0,$G1032*SIN(RADIANS('13_시나리오비교'!$B$8))*SIN(RADIANS('13_시나리오비교'!$C$8))+$H1032*SIN(RADIANS('13_시나리오비교'!$B$8))*COS(RADIANS('13_시나리오비교'!$C$8))+$I1032*COS(RADIANS('13_시나리오비교'!$B$8))),0)</f>
        <v/>
      </c>
      <c r="T1032" s="80">
        <f>IF($I1032&gt;0,MAX(0,$G1032*SIN(RADIANS('13_시나리오비교'!$B$9))*SIN(RADIANS('13_시나리오비교'!$C$9))+$H1032*SIN(RADIANS('13_시나리오비교'!$B$9))*COS(RADIANS('13_시나리오비교'!$C$9))+$I1032*COS(RADIANS('13_시나리오비교'!$B$9))),0)</f>
        <v/>
      </c>
      <c r="U1032" s="80">
        <f>IF($I1032&gt;0,MAX(0,$G1032*SIN(RADIANS('13_시나리오비교'!$B$10))*SIN(RADIANS('13_시나리오비교'!$C$10))+$H1032*SIN(RADIANS('13_시나리오비교'!$B$10))*COS(RADIANS('13_시나리오비교'!$C$10))+$I1032*COS(RADIANS('13_시나리오비교'!$B$10))),0)</f>
        <v/>
      </c>
      <c r="V1032" s="80">
        <f>IF($I1032&gt;0,MAX(0,$G1032*SIN(RADIANS('13_시나리오비교'!$B$11))*SIN(RADIANS('13_시나리오비교'!$C$11))+$H1032*SIN(RADIANS('13_시나리오비교'!$B$11))*COS(RADIANS('13_시나리오비교'!$C$11))+$I1032*COS(RADIANS('13_시나리오비교'!$B$11))),0)</f>
        <v/>
      </c>
      <c r="W1032" s="80">
        <f>IF($I1032&gt;0,MAX(0,$G1032*SIN(RADIANS('13_시나리오비교'!$B$12))*SIN(RADIANS('13_시나리오비교'!$C$12))+$H1032*SIN(RADIANS('13_시나리오비교'!$B$12))*COS(RADIANS('13_시나리오비교'!$C$12))+$I1032*COS(RADIANS('13_시나리오비교'!$B$12))),0)</f>
        <v/>
      </c>
      <c r="X1032" s="80">
        <f>IF($I1032&gt;0,MAX(0,$G1032*SIN(RADIANS('13_시나리오비교'!$B$13))*SIN(RADIANS('13_시나리오비교'!$C$13))+$H1032*SIN(RADIANS('13_시나리오비교'!$B$13))*COS(RADIANS('13_시나리오비교'!$C$13))+$I1032*COS(RADIANS('13_시나리오비교'!$B$13))),0)</f>
        <v/>
      </c>
      <c r="Y1032" s="80">
        <f>IF($I1032&gt;0,MAX(0,$G1032*SIN(RADIANS('13_시나리오비교'!$B$14))*SIN(RADIANS('13_시나리오비교'!$C$14))+$H1032*SIN(RADIANS('13_시나리오비교'!$B$14))*COS(RADIANS('13_시나리오비교'!$C$14))+$I1032*COS(RADIANS('13_시나리오비교'!$B$14))),0)</f>
        <v/>
      </c>
    </row>
    <row r="1033" hidden="1" outlineLevel="1">
      <c r="A1033" s="79" t="n">
        <v>11</v>
      </c>
      <c r="B1033" s="79" t="n">
        <v>53</v>
      </c>
      <c r="C1033" s="80">
        <f>(B1033-0.5)*'14_지역·상수'!$H$6</f>
        <v/>
      </c>
      <c r="D1033" s="79" t="n">
        <v>318</v>
      </c>
      <c r="E1033" s="80">
        <f>INDEX($C$4:$C$15,MATCH(A1033,$A$4:$A$15,0))</f>
        <v/>
      </c>
      <c r="F1033" s="80">
        <f>15*(C1033-12)</f>
        <v/>
      </c>
      <c r="G1033" s="80">
        <f>-COS(RADIANS(E1033))*SIN(RADIANS(F1033))</f>
        <v/>
      </c>
      <c r="H1033" s="80">
        <f>COS(RADIANS('11_발전량_모델'!$B$17))*SIN(RADIANS(E1033))-SIN(RADIANS('11_발전량_모델'!$B$17))*COS(RADIANS(E1033))*COS(RADIANS(F1033))</f>
        <v/>
      </c>
      <c r="I1033" s="80">
        <f>SIN(RADIANS('11_발전량_모델'!$B$17))*SIN(RADIANS(E1033))+COS(RADIANS('11_발전량_모델'!$B$17))*COS(RADIANS(E1033))*COS(RADIANS(F1033))</f>
        <v/>
      </c>
      <c r="J1033" s="80">
        <f>SIN(RADIANS('11_발전량_모델'!$B$7))*SIN(RADIANS('11_발전량_모델'!$B$8))</f>
        <v/>
      </c>
      <c r="K1033" s="80">
        <f>SIN(RADIANS('11_발전량_모델'!$B$7))*COS(RADIANS('11_발전량_모델'!$B$8))</f>
        <v/>
      </c>
      <c r="L1033" s="80">
        <f>COS(RADIANS('11_발전량_모델'!$B$7))</f>
        <v/>
      </c>
      <c r="M1033" s="80">
        <f>G1033*J1033+H1033*K1033+I1033*L1033</f>
        <v/>
      </c>
      <c r="N1033" s="80">
        <f>MAX(0,I1033)</f>
        <v/>
      </c>
      <c r="O1033" s="80">
        <f>IF(I1033&gt;0,MAX(0,M1033),0)</f>
        <v/>
      </c>
      <c r="P1033" s="80">
        <f>IF($I1033&gt;0,MAX(0,$G1033*SIN(RADIANS('13_시나리오비교'!$B$5))*SIN(RADIANS('13_시나리오비교'!$C$5))+$H1033*SIN(RADIANS('13_시나리오비교'!$B$5))*COS(RADIANS('13_시나리오비교'!$C$5))+$I1033*COS(RADIANS('13_시나리오비교'!$B$5))),0)</f>
        <v/>
      </c>
      <c r="Q1033" s="80">
        <f>IF($I1033&gt;0,MAX(0,$G1033*SIN(RADIANS('13_시나리오비교'!$B$6))*SIN(RADIANS('13_시나리오비교'!$C$6))+$H1033*SIN(RADIANS('13_시나리오비교'!$B$6))*COS(RADIANS('13_시나리오비교'!$C$6))+$I1033*COS(RADIANS('13_시나리오비교'!$B$6))),0)</f>
        <v/>
      </c>
      <c r="R1033" s="80">
        <f>IF($I1033&gt;0,MAX(0,$G1033*SIN(RADIANS('13_시나리오비교'!$B$7))*SIN(RADIANS('13_시나리오비교'!$C$7))+$H1033*SIN(RADIANS('13_시나리오비교'!$B$7))*COS(RADIANS('13_시나리오비교'!$C$7))+$I1033*COS(RADIANS('13_시나리오비교'!$B$7))),0)</f>
        <v/>
      </c>
      <c r="S1033" s="80">
        <f>IF($I1033&gt;0,MAX(0,$G1033*SIN(RADIANS('13_시나리오비교'!$B$8))*SIN(RADIANS('13_시나리오비교'!$C$8))+$H1033*SIN(RADIANS('13_시나리오비교'!$B$8))*COS(RADIANS('13_시나리오비교'!$C$8))+$I1033*COS(RADIANS('13_시나리오비교'!$B$8))),0)</f>
        <v/>
      </c>
      <c r="T1033" s="80">
        <f>IF($I1033&gt;0,MAX(0,$G1033*SIN(RADIANS('13_시나리오비교'!$B$9))*SIN(RADIANS('13_시나리오비교'!$C$9))+$H1033*SIN(RADIANS('13_시나리오비교'!$B$9))*COS(RADIANS('13_시나리오비교'!$C$9))+$I1033*COS(RADIANS('13_시나리오비교'!$B$9))),0)</f>
        <v/>
      </c>
      <c r="U1033" s="80">
        <f>IF($I1033&gt;0,MAX(0,$G1033*SIN(RADIANS('13_시나리오비교'!$B$10))*SIN(RADIANS('13_시나리오비교'!$C$10))+$H1033*SIN(RADIANS('13_시나리오비교'!$B$10))*COS(RADIANS('13_시나리오비교'!$C$10))+$I1033*COS(RADIANS('13_시나리오비교'!$B$10))),0)</f>
        <v/>
      </c>
      <c r="V1033" s="80">
        <f>IF($I1033&gt;0,MAX(0,$G1033*SIN(RADIANS('13_시나리오비교'!$B$11))*SIN(RADIANS('13_시나리오비교'!$C$11))+$H1033*SIN(RADIANS('13_시나리오비교'!$B$11))*COS(RADIANS('13_시나리오비교'!$C$11))+$I1033*COS(RADIANS('13_시나리오비교'!$B$11))),0)</f>
        <v/>
      </c>
      <c r="W1033" s="80">
        <f>IF($I1033&gt;0,MAX(0,$G1033*SIN(RADIANS('13_시나리오비교'!$B$12))*SIN(RADIANS('13_시나리오비교'!$C$12))+$H1033*SIN(RADIANS('13_시나리오비교'!$B$12))*COS(RADIANS('13_시나리오비교'!$C$12))+$I1033*COS(RADIANS('13_시나리오비교'!$B$12))),0)</f>
        <v/>
      </c>
      <c r="X1033" s="80">
        <f>IF($I1033&gt;0,MAX(0,$G1033*SIN(RADIANS('13_시나리오비교'!$B$13))*SIN(RADIANS('13_시나리오비교'!$C$13))+$H1033*SIN(RADIANS('13_시나리오비교'!$B$13))*COS(RADIANS('13_시나리오비교'!$C$13))+$I1033*COS(RADIANS('13_시나리오비교'!$B$13))),0)</f>
        <v/>
      </c>
      <c r="Y1033" s="80">
        <f>IF($I1033&gt;0,MAX(0,$G1033*SIN(RADIANS('13_시나리오비교'!$B$14))*SIN(RADIANS('13_시나리오비교'!$C$14))+$H1033*SIN(RADIANS('13_시나리오비교'!$B$14))*COS(RADIANS('13_시나리오비교'!$C$14))+$I1033*COS(RADIANS('13_시나리오비교'!$B$14))),0)</f>
        <v/>
      </c>
    </row>
    <row r="1034" hidden="1" outlineLevel="1">
      <c r="A1034" s="79" t="n">
        <v>11</v>
      </c>
      <c r="B1034" s="79" t="n">
        <v>54</v>
      </c>
      <c r="C1034" s="80">
        <f>(B1034-0.5)*'14_지역·상수'!$H$6</f>
        <v/>
      </c>
      <c r="D1034" s="79" t="n">
        <v>318</v>
      </c>
      <c r="E1034" s="80">
        <f>INDEX($C$4:$C$15,MATCH(A1034,$A$4:$A$15,0))</f>
        <v/>
      </c>
      <c r="F1034" s="80">
        <f>15*(C1034-12)</f>
        <v/>
      </c>
      <c r="G1034" s="80">
        <f>-COS(RADIANS(E1034))*SIN(RADIANS(F1034))</f>
        <v/>
      </c>
      <c r="H1034" s="80">
        <f>COS(RADIANS('11_발전량_모델'!$B$17))*SIN(RADIANS(E1034))-SIN(RADIANS('11_발전량_모델'!$B$17))*COS(RADIANS(E1034))*COS(RADIANS(F1034))</f>
        <v/>
      </c>
      <c r="I1034" s="80">
        <f>SIN(RADIANS('11_발전량_모델'!$B$17))*SIN(RADIANS(E1034))+COS(RADIANS('11_발전량_모델'!$B$17))*COS(RADIANS(E1034))*COS(RADIANS(F1034))</f>
        <v/>
      </c>
      <c r="J1034" s="80">
        <f>SIN(RADIANS('11_발전량_모델'!$B$7))*SIN(RADIANS('11_발전량_모델'!$B$8))</f>
        <v/>
      </c>
      <c r="K1034" s="80">
        <f>SIN(RADIANS('11_발전량_모델'!$B$7))*COS(RADIANS('11_발전량_모델'!$B$8))</f>
        <v/>
      </c>
      <c r="L1034" s="80">
        <f>COS(RADIANS('11_발전량_모델'!$B$7))</f>
        <v/>
      </c>
      <c r="M1034" s="80">
        <f>G1034*J1034+H1034*K1034+I1034*L1034</f>
        <v/>
      </c>
      <c r="N1034" s="80">
        <f>MAX(0,I1034)</f>
        <v/>
      </c>
      <c r="O1034" s="80">
        <f>IF(I1034&gt;0,MAX(0,M1034),0)</f>
        <v/>
      </c>
      <c r="P1034" s="80">
        <f>IF($I1034&gt;0,MAX(0,$G1034*SIN(RADIANS('13_시나리오비교'!$B$5))*SIN(RADIANS('13_시나리오비교'!$C$5))+$H1034*SIN(RADIANS('13_시나리오비교'!$B$5))*COS(RADIANS('13_시나리오비교'!$C$5))+$I1034*COS(RADIANS('13_시나리오비교'!$B$5))),0)</f>
        <v/>
      </c>
      <c r="Q1034" s="80">
        <f>IF($I1034&gt;0,MAX(0,$G1034*SIN(RADIANS('13_시나리오비교'!$B$6))*SIN(RADIANS('13_시나리오비교'!$C$6))+$H1034*SIN(RADIANS('13_시나리오비교'!$B$6))*COS(RADIANS('13_시나리오비교'!$C$6))+$I1034*COS(RADIANS('13_시나리오비교'!$B$6))),0)</f>
        <v/>
      </c>
      <c r="R1034" s="80">
        <f>IF($I1034&gt;0,MAX(0,$G1034*SIN(RADIANS('13_시나리오비교'!$B$7))*SIN(RADIANS('13_시나리오비교'!$C$7))+$H1034*SIN(RADIANS('13_시나리오비교'!$B$7))*COS(RADIANS('13_시나리오비교'!$C$7))+$I1034*COS(RADIANS('13_시나리오비교'!$B$7))),0)</f>
        <v/>
      </c>
      <c r="S1034" s="80">
        <f>IF($I1034&gt;0,MAX(0,$G1034*SIN(RADIANS('13_시나리오비교'!$B$8))*SIN(RADIANS('13_시나리오비교'!$C$8))+$H1034*SIN(RADIANS('13_시나리오비교'!$B$8))*COS(RADIANS('13_시나리오비교'!$C$8))+$I1034*COS(RADIANS('13_시나리오비교'!$B$8))),0)</f>
        <v/>
      </c>
      <c r="T1034" s="80">
        <f>IF($I1034&gt;0,MAX(0,$G1034*SIN(RADIANS('13_시나리오비교'!$B$9))*SIN(RADIANS('13_시나리오비교'!$C$9))+$H1034*SIN(RADIANS('13_시나리오비교'!$B$9))*COS(RADIANS('13_시나리오비교'!$C$9))+$I1034*COS(RADIANS('13_시나리오비교'!$B$9))),0)</f>
        <v/>
      </c>
      <c r="U1034" s="80">
        <f>IF($I1034&gt;0,MAX(0,$G1034*SIN(RADIANS('13_시나리오비교'!$B$10))*SIN(RADIANS('13_시나리오비교'!$C$10))+$H1034*SIN(RADIANS('13_시나리오비교'!$B$10))*COS(RADIANS('13_시나리오비교'!$C$10))+$I1034*COS(RADIANS('13_시나리오비교'!$B$10))),0)</f>
        <v/>
      </c>
      <c r="V1034" s="80">
        <f>IF($I1034&gt;0,MAX(0,$G1034*SIN(RADIANS('13_시나리오비교'!$B$11))*SIN(RADIANS('13_시나리오비교'!$C$11))+$H1034*SIN(RADIANS('13_시나리오비교'!$B$11))*COS(RADIANS('13_시나리오비교'!$C$11))+$I1034*COS(RADIANS('13_시나리오비교'!$B$11))),0)</f>
        <v/>
      </c>
      <c r="W1034" s="80">
        <f>IF($I1034&gt;0,MAX(0,$G1034*SIN(RADIANS('13_시나리오비교'!$B$12))*SIN(RADIANS('13_시나리오비교'!$C$12))+$H1034*SIN(RADIANS('13_시나리오비교'!$B$12))*COS(RADIANS('13_시나리오비교'!$C$12))+$I1034*COS(RADIANS('13_시나리오비교'!$B$12))),0)</f>
        <v/>
      </c>
      <c r="X1034" s="80">
        <f>IF($I1034&gt;0,MAX(0,$G1034*SIN(RADIANS('13_시나리오비교'!$B$13))*SIN(RADIANS('13_시나리오비교'!$C$13))+$H1034*SIN(RADIANS('13_시나리오비교'!$B$13))*COS(RADIANS('13_시나리오비교'!$C$13))+$I1034*COS(RADIANS('13_시나리오비교'!$B$13))),0)</f>
        <v/>
      </c>
      <c r="Y1034" s="80">
        <f>IF($I1034&gt;0,MAX(0,$G1034*SIN(RADIANS('13_시나리오비교'!$B$14))*SIN(RADIANS('13_시나리오비교'!$C$14))+$H1034*SIN(RADIANS('13_시나리오비교'!$B$14))*COS(RADIANS('13_시나리오비교'!$C$14))+$I1034*COS(RADIANS('13_시나리오비교'!$B$14))),0)</f>
        <v/>
      </c>
    </row>
    <row r="1035" hidden="1" outlineLevel="1">
      <c r="A1035" s="79" t="n">
        <v>11</v>
      </c>
      <c r="B1035" s="79" t="n">
        <v>55</v>
      </c>
      <c r="C1035" s="80">
        <f>(B1035-0.5)*'14_지역·상수'!$H$6</f>
        <v/>
      </c>
      <c r="D1035" s="79" t="n">
        <v>318</v>
      </c>
      <c r="E1035" s="80">
        <f>INDEX($C$4:$C$15,MATCH(A1035,$A$4:$A$15,0))</f>
        <v/>
      </c>
      <c r="F1035" s="80">
        <f>15*(C1035-12)</f>
        <v/>
      </c>
      <c r="G1035" s="80">
        <f>-COS(RADIANS(E1035))*SIN(RADIANS(F1035))</f>
        <v/>
      </c>
      <c r="H1035" s="80">
        <f>COS(RADIANS('11_발전량_모델'!$B$17))*SIN(RADIANS(E1035))-SIN(RADIANS('11_발전량_모델'!$B$17))*COS(RADIANS(E1035))*COS(RADIANS(F1035))</f>
        <v/>
      </c>
      <c r="I1035" s="80">
        <f>SIN(RADIANS('11_발전량_모델'!$B$17))*SIN(RADIANS(E1035))+COS(RADIANS('11_발전량_모델'!$B$17))*COS(RADIANS(E1035))*COS(RADIANS(F1035))</f>
        <v/>
      </c>
      <c r="J1035" s="80">
        <f>SIN(RADIANS('11_발전량_모델'!$B$7))*SIN(RADIANS('11_발전량_모델'!$B$8))</f>
        <v/>
      </c>
      <c r="K1035" s="80">
        <f>SIN(RADIANS('11_발전량_모델'!$B$7))*COS(RADIANS('11_발전량_모델'!$B$8))</f>
        <v/>
      </c>
      <c r="L1035" s="80">
        <f>COS(RADIANS('11_발전량_모델'!$B$7))</f>
        <v/>
      </c>
      <c r="M1035" s="80">
        <f>G1035*J1035+H1035*K1035+I1035*L1035</f>
        <v/>
      </c>
      <c r="N1035" s="80">
        <f>MAX(0,I1035)</f>
        <v/>
      </c>
      <c r="O1035" s="80">
        <f>IF(I1035&gt;0,MAX(0,M1035),0)</f>
        <v/>
      </c>
      <c r="P1035" s="80">
        <f>IF($I1035&gt;0,MAX(0,$G1035*SIN(RADIANS('13_시나리오비교'!$B$5))*SIN(RADIANS('13_시나리오비교'!$C$5))+$H1035*SIN(RADIANS('13_시나리오비교'!$B$5))*COS(RADIANS('13_시나리오비교'!$C$5))+$I1035*COS(RADIANS('13_시나리오비교'!$B$5))),0)</f>
        <v/>
      </c>
      <c r="Q1035" s="80">
        <f>IF($I1035&gt;0,MAX(0,$G1035*SIN(RADIANS('13_시나리오비교'!$B$6))*SIN(RADIANS('13_시나리오비교'!$C$6))+$H1035*SIN(RADIANS('13_시나리오비교'!$B$6))*COS(RADIANS('13_시나리오비교'!$C$6))+$I1035*COS(RADIANS('13_시나리오비교'!$B$6))),0)</f>
        <v/>
      </c>
      <c r="R1035" s="80">
        <f>IF($I1035&gt;0,MAX(0,$G1035*SIN(RADIANS('13_시나리오비교'!$B$7))*SIN(RADIANS('13_시나리오비교'!$C$7))+$H1035*SIN(RADIANS('13_시나리오비교'!$B$7))*COS(RADIANS('13_시나리오비교'!$C$7))+$I1035*COS(RADIANS('13_시나리오비교'!$B$7))),0)</f>
        <v/>
      </c>
      <c r="S1035" s="80">
        <f>IF($I1035&gt;0,MAX(0,$G1035*SIN(RADIANS('13_시나리오비교'!$B$8))*SIN(RADIANS('13_시나리오비교'!$C$8))+$H1035*SIN(RADIANS('13_시나리오비교'!$B$8))*COS(RADIANS('13_시나리오비교'!$C$8))+$I1035*COS(RADIANS('13_시나리오비교'!$B$8))),0)</f>
        <v/>
      </c>
      <c r="T1035" s="80">
        <f>IF($I1035&gt;0,MAX(0,$G1035*SIN(RADIANS('13_시나리오비교'!$B$9))*SIN(RADIANS('13_시나리오비교'!$C$9))+$H1035*SIN(RADIANS('13_시나리오비교'!$B$9))*COS(RADIANS('13_시나리오비교'!$C$9))+$I1035*COS(RADIANS('13_시나리오비교'!$B$9))),0)</f>
        <v/>
      </c>
      <c r="U1035" s="80">
        <f>IF($I1035&gt;0,MAX(0,$G1035*SIN(RADIANS('13_시나리오비교'!$B$10))*SIN(RADIANS('13_시나리오비교'!$C$10))+$H1035*SIN(RADIANS('13_시나리오비교'!$B$10))*COS(RADIANS('13_시나리오비교'!$C$10))+$I1035*COS(RADIANS('13_시나리오비교'!$B$10))),0)</f>
        <v/>
      </c>
      <c r="V1035" s="80">
        <f>IF($I1035&gt;0,MAX(0,$G1035*SIN(RADIANS('13_시나리오비교'!$B$11))*SIN(RADIANS('13_시나리오비교'!$C$11))+$H1035*SIN(RADIANS('13_시나리오비교'!$B$11))*COS(RADIANS('13_시나리오비교'!$C$11))+$I1035*COS(RADIANS('13_시나리오비교'!$B$11))),0)</f>
        <v/>
      </c>
      <c r="W1035" s="80">
        <f>IF($I1035&gt;0,MAX(0,$G1035*SIN(RADIANS('13_시나리오비교'!$B$12))*SIN(RADIANS('13_시나리오비교'!$C$12))+$H1035*SIN(RADIANS('13_시나리오비교'!$B$12))*COS(RADIANS('13_시나리오비교'!$C$12))+$I1035*COS(RADIANS('13_시나리오비교'!$B$12))),0)</f>
        <v/>
      </c>
      <c r="X1035" s="80">
        <f>IF($I1035&gt;0,MAX(0,$G1035*SIN(RADIANS('13_시나리오비교'!$B$13))*SIN(RADIANS('13_시나리오비교'!$C$13))+$H1035*SIN(RADIANS('13_시나리오비교'!$B$13))*COS(RADIANS('13_시나리오비교'!$C$13))+$I1035*COS(RADIANS('13_시나리오비교'!$B$13))),0)</f>
        <v/>
      </c>
      <c r="Y1035" s="80">
        <f>IF($I1035&gt;0,MAX(0,$G1035*SIN(RADIANS('13_시나리오비교'!$B$14))*SIN(RADIANS('13_시나리오비교'!$C$14))+$H1035*SIN(RADIANS('13_시나리오비교'!$B$14))*COS(RADIANS('13_시나리오비교'!$C$14))+$I1035*COS(RADIANS('13_시나리오비교'!$B$14))),0)</f>
        <v/>
      </c>
    </row>
    <row r="1036" hidden="1" outlineLevel="1">
      <c r="A1036" s="79" t="n">
        <v>11</v>
      </c>
      <c r="B1036" s="79" t="n">
        <v>56</v>
      </c>
      <c r="C1036" s="80">
        <f>(B1036-0.5)*'14_지역·상수'!$H$6</f>
        <v/>
      </c>
      <c r="D1036" s="79" t="n">
        <v>318</v>
      </c>
      <c r="E1036" s="80">
        <f>INDEX($C$4:$C$15,MATCH(A1036,$A$4:$A$15,0))</f>
        <v/>
      </c>
      <c r="F1036" s="80">
        <f>15*(C1036-12)</f>
        <v/>
      </c>
      <c r="G1036" s="80">
        <f>-COS(RADIANS(E1036))*SIN(RADIANS(F1036))</f>
        <v/>
      </c>
      <c r="H1036" s="80">
        <f>COS(RADIANS('11_발전량_모델'!$B$17))*SIN(RADIANS(E1036))-SIN(RADIANS('11_발전량_모델'!$B$17))*COS(RADIANS(E1036))*COS(RADIANS(F1036))</f>
        <v/>
      </c>
      <c r="I1036" s="80">
        <f>SIN(RADIANS('11_발전량_모델'!$B$17))*SIN(RADIANS(E1036))+COS(RADIANS('11_발전량_모델'!$B$17))*COS(RADIANS(E1036))*COS(RADIANS(F1036))</f>
        <v/>
      </c>
      <c r="J1036" s="80">
        <f>SIN(RADIANS('11_발전량_모델'!$B$7))*SIN(RADIANS('11_발전량_모델'!$B$8))</f>
        <v/>
      </c>
      <c r="K1036" s="80">
        <f>SIN(RADIANS('11_발전량_모델'!$B$7))*COS(RADIANS('11_발전량_모델'!$B$8))</f>
        <v/>
      </c>
      <c r="L1036" s="80">
        <f>COS(RADIANS('11_발전량_모델'!$B$7))</f>
        <v/>
      </c>
      <c r="M1036" s="80">
        <f>G1036*J1036+H1036*K1036+I1036*L1036</f>
        <v/>
      </c>
      <c r="N1036" s="80">
        <f>MAX(0,I1036)</f>
        <v/>
      </c>
      <c r="O1036" s="80">
        <f>IF(I1036&gt;0,MAX(0,M1036),0)</f>
        <v/>
      </c>
      <c r="P1036" s="80">
        <f>IF($I1036&gt;0,MAX(0,$G1036*SIN(RADIANS('13_시나리오비교'!$B$5))*SIN(RADIANS('13_시나리오비교'!$C$5))+$H1036*SIN(RADIANS('13_시나리오비교'!$B$5))*COS(RADIANS('13_시나리오비교'!$C$5))+$I1036*COS(RADIANS('13_시나리오비교'!$B$5))),0)</f>
        <v/>
      </c>
      <c r="Q1036" s="80">
        <f>IF($I1036&gt;0,MAX(0,$G1036*SIN(RADIANS('13_시나리오비교'!$B$6))*SIN(RADIANS('13_시나리오비교'!$C$6))+$H1036*SIN(RADIANS('13_시나리오비교'!$B$6))*COS(RADIANS('13_시나리오비교'!$C$6))+$I1036*COS(RADIANS('13_시나리오비교'!$B$6))),0)</f>
        <v/>
      </c>
      <c r="R1036" s="80">
        <f>IF($I1036&gt;0,MAX(0,$G1036*SIN(RADIANS('13_시나리오비교'!$B$7))*SIN(RADIANS('13_시나리오비교'!$C$7))+$H1036*SIN(RADIANS('13_시나리오비교'!$B$7))*COS(RADIANS('13_시나리오비교'!$C$7))+$I1036*COS(RADIANS('13_시나리오비교'!$B$7))),0)</f>
        <v/>
      </c>
      <c r="S1036" s="80">
        <f>IF($I1036&gt;0,MAX(0,$G1036*SIN(RADIANS('13_시나리오비교'!$B$8))*SIN(RADIANS('13_시나리오비교'!$C$8))+$H1036*SIN(RADIANS('13_시나리오비교'!$B$8))*COS(RADIANS('13_시나리오비교'!$C$8))+$I1036*COS(RADIANS('13_시나리오비교'!$B$8))),0)</f>
        <v/>
      </c>
      <c r="T1036" s="80">
        <f>IF($I1036&gt;0,MAX(0,$G1036*SIN(RADIANS('13_시나리오비교'!$B$9))*SIN(RADIANS('13_시나리오비교'!$C$9))+$H1036*SIN(RADIANS('13_시나리오비교'!$B$9))*COS(RADIANS('13_시나리오비교'!$C$9))+$I1036*COS(RADIANS('13_시나리오비교'!$B$9))),0)</f>
        <v/>
      </c>
      <c r="U1036" s="80">
        <f>IF($I1036&gt;0,MAX(0,$G1036*SIN(RADIANS('13_시나리오비교'!$B$10))*SIN(RADIANS('13_시나리오비교'!$C$10))+$H1036*SIN(RADIANS('13_시나리오비교'!$B$10))*COS(RADIANS('13_시나리오비교'!$C$10))+$I1036*COS(RADIANS('13_시나리오비교'!$B$10))),0)</f>
        <v/>
      </c>
      <c r="V1036" s="80">
        <f>IF($I1036&gt;0,MAX(0,$G1036*SIN(RADIANS('13_시나리오비교'!$B$11))*SIN(RADIANS('13_시나리오비교'!$C$11))+$H1036*SIN(RADIANS('13_시나리오비교'!$B$11))*COS(RADIANS('13_시나리오비교'!$C$11))+$I1036*COS(RADIANS('13_시나리오비교'!$B$11))),0)</f>
        <v/>
      </c>
      <c r="W1036" s="80">
        <f>IF($I1036&gt;0,MAX(0,$G1036*SIN(RADIANS('13_시나리오비교'!$B$12))*SIN(RADIANS('13_시나리오비교'!$C$12))+$H1036*SIN(RADIANS('13_시나리오비교'!$B$12))*COS(RADIANS('13_시나리오비교'!$C$12))+$I1036*COS(RADIANS('13_시나리오비교'!$B$12))),0)</f>
        <v/>
      </c>
      <c r="X1036" s="80">
        <f>IF($I1036&gt;0,MAX(0,$G1036*SIN(RADIANS('13_시나리오비교'!$B$13))*SIN(RADIANS('13_시나리오비교'!$C$13))+$H1036*SIN(RADIANS('13_시나리오비교'!$B$13))*COS(RADIANS('13_시나리오비교'!$C$13))+$I1036*COS(RADIANS('13_시나리오비교'!$B$13))),0)</f>
        <v/>
      </c>
      <c r="Y1036" s="80">
        <f>IF($I1036&gt;0,MAX(0,$G1036*SIN(RADIANS('13_시나리오비교'!$B$14))*SIN(RADIANS('13_시나리오비교'!$C$14))+$H1036*SIN(RADIANS('13_시나리오비교'!$B$14))*COS(RADIANS('13_시나리오비교'!$C$14))+$I1036*COS(RADIANS('13_시나리오비교'!$B$14))),0)</f>
        <v/>
      </c>
    </row>
    <row r="1037" hidden="1" outlineLevel="1">
      <c r="A1037" s="79" t="n">
        <v>11</v>
      </c>
      <c r="B1037" s="79" t="n">
        <v>57</v>
      </c>
      <c r="C1037" s="80">
        <f>(B1037-0.5)*'14_지역·상수'!$H$6</f>
        <v/>
      </c>
      <c r="D1037" s="79" t="n">
        <v>318</v>
      </c>
      <c r="E1037" s="80">
        <f>INDEX($C$4:$C$15,MATCH(A1037,$A$4:$A$15,0))</f>
        <v/>
      </c>
      <c r="F1037" s="80">
        <f>15*(C1037-12)</f>
        <v/>
      </c>
      <c r="G1037" s="80">
        <f>-COS(RADIANS(E1037))*SIN(RADIANS(F1037))</f>
        <v/>
      </c>
      <c r="H1037" s="80">
        <f>COS(RADIANS('11_발전량_모델'!$B$17))*SIN(RADIANS(E1037))-SIN(RADIANS('11_발전량_모델'!$B$17))*COS(RADIANS(E1037))*COS(RADIANS(F1037))</f>
        <v/>
      </c>
      <c r="I1037" s="80">
        <f>SIN(RADIANS('11_발전량_모델'!$B$17))*SIN(RADIANS(E1037))+COS(RADIANS('11_발전량_모델'!$B$17))*COS(RADIANS(E1037))*COS(RADIANS(F1037))</f>
        <v/>
      </c>
      <c r="J1037" s="80">
        <f>SIN(RADIANS('11_발전량_모델'!$B$7))*SIN(RADIANS('11_발전량_모델'!$B$8))</f>
        <v/>
      </c>
      <c r="K1037" s="80">
        <f>SIN(RADIANS('11_발전량_모델'!$B$7))*COS(RADIANS('11_발전량_모델'!$B$8))</f>
        <v/>
      </c>
      <c r="L1037" s="80">
        <f>COS(RADIANS('11_발전량_모델'!$B$7))</f>
        <v/>
      </c>
      <c r="M1037" s="80">
        <f>G1037*J1037+H1037*K1037+I1037*L1037</f>
        <v/>
      </c>
      <c r="N1037" s="80">
        <f>MAX(0,I1037)</f>
        <v/>
      </c>
      <c r="O1037" s="80">
        <f>IF(I1037&gt;0,MAX(0,M1037),0)</f>
        <v/>
      </c>
      <c r="P1037" s="80">
        <f>IF($I1037&gt;0,MAX(0,$G1037*SIN(RADIANS('13_시나리오비교'!$B$5))*SIN(RADIANS('13_시나리오비교'!$C$5))+$H1037*SIN(RADIANS('13_시나리오비교'!$B$5))*COS(RADIANS('13_시나리오비교'!$C$5))+$I1037*COS(RADIANS('13_시나리오비교'!$B$5))),0)</f>
        <v/>
      </c>
      <c r="Q1037" s="80">
        <f>IF($I1037&gt;0,MAX(0,$G1037*SIN(RADIANS('13_시나리오비교'!$B$6))*SIN(RADIANS('13_시나리오비교'!$C$6))+$H1037*SIN(RADIANS('13_시나리오비교'!$B$6))*COS(RADIANS('13_시나리오비교'!$C$6))+$I1037*COS(RADIANS('13_시나리오비교'!$B$6))),0)</f>
        <v/>
      </c>
      <c r="R1037" s="80">
        <f>IF($I1037&gt;0,MAX(0,$G1037*SIN(RADIANS('13_시나리오비교'!$B$7))*SIN(RADIANS('13_시나리오비교'!$C$7))+$H1037*SIN(RADIANS('13_시나리오비교'!$B$7))*COS(RADIANS('13_시나리오비교'!$C$7))+$I1037*COS(RADIANS('13_시나리오비교'!$B$7))),0)</f>
        <v/>
      </c>
      <c r="S1037" s="80">
        <f>IF($I1037&gt;0,MAX(0,$G1037*SIN(RADIANS('13_시나리오비교'!$B$8))*SIN(RADIANS('13_시나리오비교'!$C$8))+$H1037*SIN(RADIANS('13_시나리오비교'!$B$8))*COS(RADIANS('13_시나리오비교'!$C$8))+$I1037*COS(RADIANS('13_시나리오비교'!$B$8))),0)</f>
        <v/>
      </c>
      <c r="T1037" s="80">
        <f>IF($I1037&gt;0,MAX(0,$G1037*SIN(RADIANS('13_시나리오비교'!$B$9))*SIN(RADIANS('13_시나리오비교'!$C$9))+$H1037*SIN(RADIANS('13_시나리오비교'!$B$9))*COS(RADIANS('13_시나리오비교'!$C$9))+$I1037*COS(RADIANS('13_시나리오비교'!$B$9))),0)</f>
        <v/>
      </c>
      <c r="U1037" s="80">
        <f>IF($I1037&gt;0,MAX(0,$G1037*SIN(RADIANS('13_시나리오비교'!$B$10))*SIN(RADIANS('13_시나리오비교'!$C$10))+$H1037*SIN(RADIANS('13_시나리오비교'!$B$10))*COS(RADIANS('13_시나리오비교'!$C$10))+$I1037*COS(RADIANS('13_시나리오비교'!$B$10))),0)</f>
        <v/>
      </c>
      <c r="V1037" s="80">
        <f>IF($I1037&gt;0,MAX(0,$G1037*SIN(RADIANS('13_시나리오비교'!$B$11))*SIN(RADIANS('13_시나리오비교'!$C$11))+$H1037*SIN(RADIANS('13_시나리오비교'!$B$11))*COS(RADIANS('13_시나리오비교'!$C$11))+$I1037*COS(RADIANS('13_시나리오비교'!$B$11))),0)</f>
        <v/>
      </c>
      <c r="W1037" s="80">
        <f>IF($I1037&gt;0,MAX(0,$G1037*SIN(RADIANS('13_시나리오비교'!$B$12))*SIN(RADIANS('13_시나리오비교'!$C$12))+$H1037*SIN(RADIANS('13_시나리오비교'!$B$12))*COS(RADIANS('13_시나리오비교'!$C$12))+$I1037*COS(RADIANS('13_시나리오비교'!$B$12))),0)</f>
        <v/>
      </c>
      <c r="X1037" s="80">
        <f>IF($I1037&gt;0,MAX(0,$G1037*SIN(RADIANS('13_시나리오비교'!$B$13))*SIN(RADIANS('13_시나리오비교'!$C$13))+$H1037*SIN(RADIANS('13_시나리오비교'!$B$13))*COS(RADIANS('13_시나리오비교'!$C$13))+$I1037*COS(RADIANS('13_시나리오비교'!$B$13))),0)</f>
        <v/>
      </c>
      <c r="Y1037" s="80">
        <f>IF($I1037&gt;0,MAX(0,$G1037*SIN(RADIANS('13_시나리오비교'!$B$14))*SIN(RADIANS('13_시나리오비교'!$C$14))+$H1037*SIN(RADIANS('13_시나리오비교'!$B$14))*COS(RADIANS('13_시나리오비교'!$C$14))+$I1037*COS(RADIANS('13_시나리오비교'!$B$14))),0)</f>
        <v/>
      </c>
    </row>
    <row r="1038" hidden="1" outlineLevel="1">
      <c r="A1038" s="79" t="n">
        <v>11</v>
      </c>
      <c r="B1038" s="79" t="n">
        <v>58</v>
      </c>
      <c r="C1038" s="80">
        <f>(B1038-0.5)*'14_지역·상수'!$H$6</f>
        <v/>
      </c>
      <c r="D1038" s="79" t="n">
        <v>318</v>
      </c>
      <c r="E1038" s="80">
        <f>INDEX($C$4:$C$15,MATCH(A1038,$A$4:$A$15,0))</f>
        <v/>
      </c>
      <c r="F1038" s="80">
        <f>15*(C1038-12)</f>
        <v/>
      </c>
      <c r="G1038" s="80">
        <f>-COS(RADIANS(E1038))*SIN(RADIANS(F1038))</f>
        <v/>
      </c>
      <c r="H1038" s="80">
        <f>COS(RADIANS('11_발전량_모델'!$B$17))*SIN(RADIANS(E1038))-SIN(RADIANS('11_발전량_모델'!$B$17))*COS(RADIANS(E1038))*COS(RADIANS(F1038))</f>
        <v/>
      </c>
      <c r="I1038" s="80">
        <f>SIN(RADIANS('11_발전량_모델'!$B$17))*SIN(RADIANS(E1038))+COS(RADIANS('11_발전량_모델'!$B$17))*COS(RADIANS(E1038))*COS(RADIANS(F1038))</f>
        <v/>
      </c>
      <c r="J1038" s="80">
        <f>SIN(RADIANS('11_발전량_모델'!$B$7))*SIN(RADIANS('11_발전량_모델'!$B$8))</f>
        <v/>
      </c>
      <c r="K1038" s="80">
        <f>SIN(RADIANS('11_발전량_모델'!$B$7))*COS(RADIANS('11_발전량_모델'!$B$8))</f>
        <v/>
      </c>
      <c r="L1038" s="80">
        <f>COS(RADIANS('11_발전량_모델'!$B$7))</f>
        <v/>
      </c>
      <c r="M1038" s="80">
        <f>G1038*J1038+H1038*K1038+I1038*L1038</f>
        <v/>
      </c>
      <c r="N1038" s="80">
        <f>MAX(0,I1038)</f>
        <v/>
      </c>
      <c r="O1038" s="80">
        <f>IF(I1038&gt;0,MAX(0,M1038),0)</f>
        <v/>
      </c>
      <c r="P1038" s="80">
        <f>IF($I1038&gt;0,MAX(0,$G1038*SIN(RADIANS('13_시나리오비교'!$B$5))*SIN(RADIANS('13_시나리오비교'!$C$5))+$H1038*SIN(RADIANS('13_시나리오비교'!$B$5))*COS(RADIANS('13_시나리오비교'!$C$5))+$I1038*COS(RADIANS('13_시나리오비교'!$B$5))),0)</f>
        <v/>
      </c>
      <c r="Q1038" s="80">
        <f>IF($I1038&gt;0,MAX(0,$G1038*SIN(RADIANS('13_시나리오비교'!$B$6))*SIN(RADIANS('13_시나리오비교'!$C$6))+$H1038*SIN(RADIANS('13_시나리오비교'!$B$6))*COS(RADIANS('13_시나리오비교'!$C$6))+$I1038*COS(RADIANS('13_시나리오비교'!$B$6))),0)</f>
        <v/>
      </c>
      <c r="R1038" s="80">
        <f>IF($I1038&gt;0,MAX(0,$G1038*SIN(RADIANS('13_시나리오비교'!$B$7))*SIN(RADIANS('13_시나리오비교'!$C$7))+$H1038*SIN(RADIANS('13_시나리오비교'!$B$7))*COS(RADIANS('13_시나리오비교'!$C$7))+$I1038*COS(RADIANS('13_시나리오비교'!$B$7))),0)</f>
        <v/>
      </c>
      <c r="S1038" s="80">
        <f>IF($I1038&gt;0,MAX(0,$G1038*SIN(RADIANS('13_시나리오비교'!$B$8))*SIN(RADIANS('13_시나리오비교'!$C$8))+$H1038*SIN(RADIANS('13_시나리오비교'!$B$8))*COS(RADIANS('13_시나리오비교'!$C$8))+$I1038*COS(RADIANS('13_시나리오비교'!$B$8))),0)</f>
        <v/>
      </c>
      <c r="T1038" s="80">
        <f>IF($I1038&gt;0,MAX(0,$G1038*SIN(RADIANS('13_시나리오비교'!$B$9))*SIN(RADIANS('13_시나리오비교'!$C$9))+$H1038*SIN(RADIANS('13_시나리오비교'!$B$9))*COS(RADIANS('13_시나리오비교'!$C$9))+$I1038*COS(RADIANS('13_시나리오비교'!$B$9))),0)</f>
        <v/>
      </c>
      <c r="U1038" s="80">
        <f>IF($I1038&gt;0,MAX(0,$G1038*SIN(RADIANS('13_시나리오비교'!$B$10))*SIN(RADIANS('13_시나리오비교'!$C$10))+$H1038*SIN(RADIANS('13_시나리오비교'!$B$10))*COS(RADIANS('13_시나리오비교'!$C$10))+$I1038*COS(RADIANS('13_시나리오비교'!$B$10))),0)</f>
        <v/>
      </c>
      <c r="V1038" s="80">
        <f>IF($I1038&gt;0,MAX(0,$G1038*SIN(RADIANS('13_시나리오비교'!$B$11))*SIN(RADIANS('13_시나리오비교'!$C$11))+$H1038*SIN(RADIANS('13_시나리오비교'!$B$11))*COS(RADIANS('13_시나리오비교'!$C$11))+$I1038*COS(RADIANS('13_시나리오비교'!$B$11))),0)</f>
        <v/>
      </c>
      <c r="W1038" s="80">
        <f>IF($I1038&gt;0,MAX(0,$G1038*SIN(RADIANS('13_시나리오비교'!$B$12))*SIN(RADIANS('13_시나리오비교'!$C$12))+$H1038*SIN(RADIANS('13_시나리오비교'!$B$12))*COS(RADIANS('13_시나리오비교'!$C$12))+$I1038*COS(RADIANS('13_시나리오비교'!$B$12))),0)</f>
        <v/>
      </c>
      <c r="X1038" s="80">
        <f>IF($I1038&gt;0,MAX(0,$G1038*SIN(RADIANS('13_시나리오비교'!$B$13))*SIN(RADIANS('13_시나리오비교'!$C$13))+$H1038*SIN(RADIANS('13_시나리오비교'!$B$13))*COS(RADIANS('13_시나리오비교'!$C$13))+$I1038*COS(RADIANS('13_시나리오비교'!$B$13))),0)</f>
        <v/>
      </c>
      <c r="Y1038" s="80">
        <f>IF($I1038&gt;0,MAX(0,$G1038*SIN(RADIANS('13_시나리오비교'!$B$14))*SIN(RADIANS('13_시나리오비교'!$C$14))+$H1038*SIN(RADIANS('13_시나리오비교'!$B$14))*COS(RADIANS('13_시나리오비교'!$C$14))+$I1038*COS(RADIANS('13_시나리오비교'!$B$14))),0)</f>
        <v/>
      </c>
    </row>
    <row r="1039" hidden="1" outlineLevel="1">
      <c r="A1039" s="79" t="n">
        <v>11</v>
      </c>
      <c r="B1039" s="79" t="n">
        <v>59</v>
      </c>
      <c r="C1039" s="80">
        <f>(B1039-0.5)*'14_지역·상수'!$H$6</f>
        <v/>
      </c>
      <c r="D1039" s="79" t="n">
        <v>318</v>
      </c>
      <c r="E1039" s="80">
        <f>INDEX($C$4:$C$15,MATCH(A1039,$A$4:$A$15,0))</f>
        <v/>
      </c>
      <c r="F1039" s="80">
        <f>15*(C1039-12)</f>
        <v/>
      </c>
      <c r="G1039" s="80">
        <f>-COS(RADIANS(E1039))*SIN(RADIANS(F1039))</f>
        <v/>
      </c>
      <c r="H1039" s="80">
        <f>COS(RADIANS('11_발전량_모델'!$B$17))*SIN(RADIANS(E1039))-SIN(RADIANS('11_발전량_모델'!$B$17))*COS(RADIANS(E1039))*COS(RADIANS(F1039))</f>
        <v/>
      </c>
      <c r="I1039" s="80">
        <f>SIN(RADIANS('11_발전량_모델'!$B$17))*SIN(RADIANS(E1039))+COS(RADIANS('11_발전량_모델'!$B$17))*COS(RADIANS(E1039))*COS(RADIANS(F1039))</f>
        <v/>
      </c>
      <c r="J1039" s="80">
        <f>SIN(RADIANS('11_발전량_모델'!$B$7))*SIN(RADIANS('11_발전량_모델'!$B$8))</f>
        <v/>
      </c>
      <c r="K1039" s="80">
        <f>SIN(RADIANS('11_발전량_모델'!$B$7))*COS(RADIANS('11_발전량_모델'!$B$8))</f>
        <v/>
      </c>
      <c r="L1039" s="80">
        <f>COS(RADIANS('11_발전량_모델'!$B$7))</f>
        <v/>
      </c>
      <c r="M1039" s="80">
        <f>G1039*J1039+H1039*K1039+I1039*L1039</f>
        <v/>
      </c>
      <c r="N1039" s="80">
        <f>MAX(0,I1039)</f>
        <v/>
      </c>
      <c r="O1039" s="80">
        <f>IF(I1039&gt;0,MAX(0,M1039),0)</f>
        <v/>
      </c>
      <c r="P1039" s="80">
        <f>IF($I1039&gt;0,MAX(0,$G1039*SIN(RADIANS('13_시나리오비교'!$B$5))*SIN(RADIANS('13_시나리오비교'!$C$5))+$H1039*SIN(RADIANS('13_시나리오비교'!$B$5))*COS(RADIANS('13_시나리오비교'!$C$5))+$I1039*COS(RADIANS('13_시나리오비교'!$B$5))),0)</f>
        <v/>
      </c>
      <c r="Q1039" s="80">
        <f>IF($I1039&gt;0,MAX(0,$G1039*SIN(RADIANS('13_시나리오비교'!$B$6))*SIN(RADIANS('13_시나리오비교'!$C$6))+$H1039*SIN(RADIANS('13_시나리오비교'!$B$6))*COS(RADIANS('13_시나리오비교'!$C$6))+$I1039*COS(RADIANS('13_시나리오비교'!$B$6))),0)</f>
        <v/>
      </c>
      <c r="R1039" s="80">
        <f>IF($I1039&gt;0,MAX(0,$G1039*SIN(RADIANS('13_시나리오비교'!$B$7))*SIN(RADIANS('13_시나리오비교'!$C$7))+$H1039*SIN(RADIANS('13_시나리오비교'!$B$7))*COS(RADIANS('13_시나리오비교'!$C$7))+$I1039*COS(RADIANS('13_시나리오비교'!$B$7))),0)</f>
        <v/>
      </c>
      <c r="S1039" s="80">
        <f>IF($I1039&gt;0,MAX(0,$G1039*SIN(RADIANS('13_시나리오비교'!$B$8))*SIN(RADIANS('13_시나리오비교'!$C$8))+$H1039*SIN(RADIANS('13_시나리오비교'!$B$8))*COS(RADIANS('13_시나리오비교'!$C$8))+$I1039*COS(RADIANS('13_시나리오비교'!$B$8))),0)</f>
        <v/>
      </c>
      <c r="T1039" s="80">
        <f>IF($I1039&gt;0,MAX(0,$G1039*SIN(RADIANS('13_시나리오비교'!$B$9))*SIN(RADIANS('13_시나리오비교'!$C$9))+$H1039*SIN(RADIANS('13_시나리오비교'!$B$9))*COS(RADIANS('13_시나리오비교'!$C$9))+$I1039*COS(RADIANS('13_시나리오비교'!$B$9))),0)</f>
        <v/>
      </c>
      <c r="U1039" s="80">
        <f>IF($I1039&gt;0,MAX(0,$G1039*SIN(RADIANS('13_시나리오비교'!$B$10))*SIN(RADIANS('13_시나리오비교'!$C$10))+$H1039*SIN(RADIANS('13_시나리오비교'!$B$10))*COS(RADIANS('13_시나리오비교'!$C$10))+$I1039*COS(RADIANS('13_시나리오비교'!$B$10))),0)</f>
        <v/>
      </c>
      <c r="V1039" s="80">
        <f>IF($I1039&gt;0,MAX(0,$G1039*SIN(RADIANS('13_시나리오비교'!$B$11))*SIN(RADIANS('13_시나리오비교'!$C$11))+$H1039*SIN(RADIANS('13_시나리오비교'!$B$11))*COS(RADIANS('13_시나리오비교'!$C$11))+$I1039*COS(RADIANS('13_시나리오비교'!$B$11))),0)</f>
        <v/>
      </c>
      <c r="W1039" s="80">
        <f>IF($I1039&gt;0,MAX(0,$G1039*SIN(RADIANS('13_시나리오비교'!$B$12))*SIN(RADIANS('13_시나리오비교'!$C$12))+$H1039*SIN(RADIANS('13_시나리오비교'!$B$12))*COS(RADIANS('13_시나리오비교'!$C$12))+$I1039*COS(RADIANS('13_시나리오비교'!$B$12))),0)</f>
        <v/>
      </c>
      <c r="X1039" s="80">
        <f>IF($I1039&gt;0,MAX(0,$G1039*SIN(RADIANS('13_시나리오비교'!$B$13))*SIN(RADIANS('13_시나리오비교'!$C$13))+$H1039*SIN(RADIANS('13_시나리오비교'!$B$13))*COS(RADIANS('13_시나리오비교'!$C$13))+$I1039*COS(RADIANS('13_시나리오비교'!$B$13))),0)</f>
        <v/>
      </c>
      <c r="Y1039" s="80">
        <f>IF($I1039&gt;0,MAX(0,$G1039*SIN(RADIANS('13_시나리오비교'!$B$14))*SIN(RADIANS('13_시나리오비교'!$C$14))+$H1039*SIN(RADIANS('13_시나리오비교'!$B$14))*COS(RADIANS('13_시나리오비교'!$C$14))+$I1039*COS(RADIANS('13_시나리오비교'!$B$14))),0)</f>
        <v/>
      </c>
    </row>
    <row r="1040" hidden="1" outlineLevel="1">
      <c r="A1040" s="79" t="n">
        <v>11</v>
      </c>
      <c r="B1040" s="79" t="n">
        <v>60</v>
      </c>
      <c r="C1040" s="80">
        <f>(B1040-0.5)*'14_지역·상수'!$H$6</f>
        <v/>
      </c>
      <c r="D1040" s="79" t="n">
        <v>318</v>
      </c>
      <c r="E1040" s="80">
        <f>INDEX($C$4:$C$15,MATCH(A1040,$A$4:$A$15,0))</f>
        <v/>
      </c>
      <c r="F1040" s="80">
        <f>15*(C1040-12)</f>
        <v/>
      </c>
      <c r="G1040" s="80">
        <f>-COS(RADIANS(E1040))*SIN(RADIANS(F1040))</f>
        <v/>
      </c>
      <c r="H1040" s="80">
        <f>COS(RADIANS('11_발전량_모델'!$B$17))*SIN(RADIANS(E1040))-SIN(RADIANS('11_발전량_모델'!$B$17))*COS(RADIANS(E1040))*COS(RADIANS(F1040))</f>
        <v/>
      </c>
      <c r="I1040" s="80">
        <f>SIN(RADIANS('11_발전량_모델'!$B$17))*SIN(RADIANS(E1040))+COS(RADIANS('11_발전량_모델'!$B$17))*COS(RADIANS(E1040))*COS(RADIANS(F1040))</f>
        <v/>
      </c>
      <c r="J1040" s="80">
        <f>SIN(RADIANS('11_발전량_모델'!$B$7))*SIN(RADIANS('11_발전량_모델'!$B$8))</f>
        <v/>
      </c>
      <c r="K1040" s="80">
        <f>SIN(RADIANS('11_발전량_모델'!$B$7))*COS(RADIANS('11_발전량_모델'!$B$8))</f>
        <v/>
      </c>
      <c r="L1040" s="80">
        <f>COS(RADIANS('11_발전량_모델'!$B$7))</f>
        <v/>
      </c>
      <c r="M1040" s="80">
        <f>G1040*J1040+H1040*K1040+I1040*L1040</f>
        <v/>
      </c>
      <c r="N1040" s="80">
        <f>MAX(0,I1040)</f>
        <v/>
      </c>
      <c r="O1040" s="80">
        <f>IF(I1040&gt;0,MAX(0,M1040),0)</f>
        <v/>
      </c>
      <c r="P1040" s="80">
        <f>IF($I1040&gt;0,MAX(0,$G1040*SIN(RADIANS('13_시나리오비교'!$B$5))*SIN(RADIANS('13_시나리오비교'!$C$5))+$H1040*SIN(RADIANS('13_시나리오비교'!$B$5))*COS(RADIANS('13_시나리오비교'!$C$5))+$I1040*COS(RADIANS('13_시나리오비교'!$B$5))),0)</f>
        <v/>
      </c>
      <c r="Q1040" s="80">
        <f>IF($I1040&gt;0,MAX(0,$G1040*SIN(RADIANS('13_시나리오비교'!$B$6))*SIN(RADIANS('13_시나리오비교'!$C$6))+$H1040*SIN(RADIANS('13_시나리오비교'!$B$6))*COS(RADIANS('13_시나리오비교'!$C$6))+$I1040*COS(RADIANS('13_시나리오비교'!$B$6))),0)</f>
        <v/>
      </c>
      <c r="R1040" s="80">
        <f>IF($I1040&gt;0,MAX(0,$G1040*SIN(RADIANS('13_시나리오비교'!$B$7))*SIN(RADIANS('13_시나리오비교'!$C$7))+$H1040*SIN(RADIANS('13_시나리오비교'!$B$7))*COS(RADIANS('13_시나리오비교'!$C$7))+$I1040*COS(RADIANS('13_시나리오비교'!$B$7))),0)</f>
        <v/>
      </c>
      <c r="S1040" s="80">
        <f>IF($I1040&gt;0,MAX(0,$G1040*SIN(RADIANS('13_시나리오비교'!$B$8))*SIN(RADIANS('13_시나리오비교'!$C$8))+$H1040*SIN(RADIANS('13_시나리오비교'!$B$8))*COS(RADIANS('13_시나리오비교'!$C$8))+$I1040*COS(RADIANS('13_시나리오비교'!$B$8))),0)</f>
        <v/>
      </c>
      <c r="T1040" s="80">
        <f>IF($I1040&gt;0,MAX(0,$G1040*SIN(RADIANS('13_시나리오비교'!$B$9))*SIN(RADIANS('13_시나리오비교'!$C$9))+$H1040*SIN(RADIANS('13_시나리오비교'!$B$9))*COS(RADIANS('13_시나리오비교'!$C$9))+$I1040*COS(RADIANS('13_시나리오비교'!$B$9))),0)</f>
        <v/>
      </c>
      <c r="U1040" s="80">
        <f>IF($I1040&gt;0,MAX(0,$G1040*SIN(RADIANS('13_시나리오비교'!$B$10))*SIN(RADIANS('13_시나리오비교'!$C$10))+$H1040*SIN(RADIANS('13_시나리오비교'!$B$10))*COS(RADIANS('13_시나리오비교'!$C$10))+$I1040*COS(RADIANS('13_시나리오비교'!$B$10))),0)</f>
        <v/>
      </c>
      <c r="V1040" s="80">
        <f>IF($I1040&gt;0,MAX(0,$G1040*SIN(RADIANS('13_시나리오비교'!$B$11))*SIN(RADIANS('13_시나리오비교'!$C$11))+$H1040*SIN(RADIANS('13_시나리오비교'!$B$11))*COS(RADIANS('13_시나리오비교'!$C$11))+$I1040*COS(RADIANS('13_시나리오비교'!$B$11))),0)</f>
        <v/>
      </c>
      <c r="W1040" s="80">
        <f>IF($I1040&gt;0,MAX(0,$G1040*SIN(RADIANS('13_시나리오비교'!$B$12))*SIN(RADIANS('13_시나리오비교'!$C$12))+$H1040*SIN(RADIANS('13_시나리오비교'!$B$12))*COS(RADIANS('13_시나리오비교'!$C$12))+$I1040*COS(RADIANS('13_시나리오비교'!$B$12))),0)</f>
        <v/>
      </c>
      <c r="X1040" s="80">
        <f>IF($I1040&gt;0,MAX(0,$G1040*SIN(RADIANS('13_시나리오비교'!$B$13))*SIN(RADIANS('13_시나리오비교'!$C$13))+$H1040*SIN(RADIANS('13_시나리오비교'!$B$13))*COS(RADIANS('13_시나리오비교'!$C$13))+$I1040*COS(RADIANS('13_시나리오비교'!$B$13))),0)</f>
        <v/>
      </c>
      <c r="Y1040" s="80">
        <f>IF($I1040&gt;0,MAX(0,$G1040*SIN(RADIANS('13_시나리오비교'!$B$14))*SIN(RADIANS('13_시나리오비교'!$C$14))+$H1040*SIN(RADIANS('13_시나리오비교'!$B$14))*COS(RADIANS('13_시나리오비교'!$C$14))+$I1040*COS(RADIANS('13_시나리오비교'!$B$14))),0)</f>
        <v/>
      </c>
    </row>
    <row r="1041" hidden="1" outlineLevel="1">
      <c r="A1041" s="79" t="n">
        <v>11</v>
      </c>
      <c r="B1041" s="79" t="n">
        <v>61</v>
      </c>
      <c r="C1041" s="80">
        <f>(B1041-0.5)*'14_지역·상수'!$H$6</f>
        <v/>
      </c>
      <c r="D1041" s="79" t="n">
        <v>318</v>
      </c>
      <c r="E1041" s="80">
        <f>INDEX($C$4:$C$15,MATCH(A1041,$A$4:$A$15,0))</f>
        <v/>
      </c>
      <c r="F1041" s="80">
        <f>15*(C1041-12)</f>
        <v/>
      </c>
      <c r="G1041" s="80">
        <f>-COS(RADIANS(E1041))*SIN(RADIANS(F1041))</f>
        <v/>
      </c>
      <c r="H1041" s="80">
        <f>COS(RADIANS('11_발전량_모델'!$B$17))*SIN(RADIANS(E1041))-SIN(RADIANS('11_발전량_모델'!$B$17))*COS(RADIANS(E1041))*COS(RADIANS(F1041))</f>
        <v/>
      </c>
      <c r="I1041" s="80">
        <f>SIN(RADIANS('11_발전량_모델'!$B$17))*SIN(RADIANS(E1041))+COS(RADIANS('11_발전량_모델'!$B$17))*COS(RADIANS(E1041))*COS(RADIANS(F1041))</f>
        <v/>
      </c>
      <c r="J1041" s="80">
        <f>SIN(RADIANS('11_발전량_모델'!$B$7))*SIN(RADIANS('11_발전량_모델'!$B$8))</f>
        <v/>
      </c>
      <c r="K1041" s="80">
        <f>SIN(RADIANS('11_발전량_모델'!$B$7))*COS(RADIANS('11_발전량_모델'!$B$8))</f>
        <v/>
      </c>
      <c r="L1041" s="80">
        <f>COS(RADIANS('11_발전량_모델'!$B$7))</f>
        <v/>
      </c>
      <c r="M1041" s="80">
        <f>G1041*J1041+H1041*K1041+I1041*L1041</f>
        <v/>
      </c>
      <c r="N1041" s="80">
        <f>MAX(0,I1041)</f>
        <v/>
      </c>
      <c r="O1041" s="80">
        <f>IF(I1041&gt;0,MAX(0,M1041),0)</f>
        <v/>
      </c>
      <c r="P1041" s="80">
        <f>IF($I1041&gt;0,MAX(0,$G1041*SIN(RADIANS('13_시나리오비교'!$B$5))*SIN(RADIANS('13_시나리오비교'!$C$5))+$H1041*SIN(RADIANS('13_시나리오비교'!$B$5))*COS(RADIANS('13_시나리오비교'!$C$5))+$I1041*COS(RADIANS('13_시나리오비교'!$B$5))),0)</f>
        <v/>
      </c>
      <c r="Q1041" s="80">
        <f>IF($I1041&gt;0,MAX(0,$G1041*SIN(RADIANS('13_시나리오비교'!$B$6))*SIN(RADIANS('13_시나리오비교'!$C$6))+$H1041*SIN(RADIANS('13_시나리오비교'!$B$6))*COS(RADIANS('13_시나리오비교'!$C$6))+$I1041*COS(RADIANS('13_시나리오비교'!$B$6))),0)</f>
        <v/>
      </c>
      <c r="R1041" s="80">
        <f>IF($I1041&gt;0,MAX(0,$G1041*SIN(RADIANS('13_시나리오비교'!$B$7))*SIN(RADIANS('13_시나리오비교'!$C$7))+$H1041*SIN(RADIANS('13_시나리오비교'!$B$7))*COS(RADIANS('13_시나리오비교'!$C$7))+$I1041*COS(RADIANS('13_시나리오비교'!$B$7))),0)</f>
        <v/>
      </c>
      <c r="S1041" s="80">
        <f>IF($I1041&gt;0,MAX(0,$G1041*SIN(RADIANS('13_시나리오비교'!$B$8))*SIN(RADIANS('13_시나리오비교'!$C$8))+$H1041*SIN(RADIANS('13_시나리오비교'!$B$8))*COS(RADIANS('13_시나리오비교'!$C$8))+$I1041*COS(RADIANS('13_시나리오비교'!$B$8))),0)</f>
        <v/>
      </c>
      <c r="T1041" s="80">
        <f>IF($I1041&gt;0,MAX(0,$G1041*SIN(RADIANS('13_시나리오비교'!$B$9))*SIN(RADIANS('13_시나리오비교'!$C$9))+$H1041*SIN(RADIANS('13_시나리오비교'!$B$9))*COS(RADIANS('13_시나리오비교'!$C$9))+$I1041*COS(RADIANS('13_시나리오비교'!$B$9))),0)</f>
        <v/>
      </c>
      <c r="U1041" s="80">
        <f>IF($I1041&gt;0,MAX(0,$G1041*SIN(RADIANS('13_시나리오비교'!$B$10))*SIN(RADIANS('13_시나리오비교'!$C$10))+$H1041*SIN(RADIANS('13_시나리오비교'!$B$10))*COS(RADIANS('13_시나리오비교'!$C$10))+$I1041*COS(RADIANS('13_시나리오비교'!$B$10))),0)</f>
        <v/>
      </c>
      <c r="V1041" s="80">
        <f>IF($I1041&gt;0,MAX(0,$G1041*SIN(RADIANS('13_시나리오비교'!$B$11))*SIN(RADIANS('13_시나리오비교'!$C$11))+$H1041*SIN(RADIANS('13_시나리오비교'!$B$11))*COS(RADIANS('13_시나리오비교'!$C$11))+$I1041*COS(RADIANS('13_시나리오비교'!$B$11))),0)</f>
        <v/>
      </c>
      <c r="W1041" s="80">
        <f>IF($I1041&gt;0,MAX(0,$G1041*SIN(RADIANS('13_시나리오비교'!$B$12))*SIN(RADIANS('13_시나리오비교'!$C$12))+$H1041*SIN(RADIANS('13_시나리오비교'!$B$12))*COS(RADIANS('13_시나리오비교'!$C$12))+$I1041*COS(RADIANS('13_시나리오비교'!$B$12))),0)</f>
        <v/>
      </c>
      <c r="X1041" s="80">
        <f>IF($I1041&gt;0,MAX(0,$G1041*SIN(RADIANS('13_시나리오비교'!$B$13))*SIN(RADIANS('13_시나리오비교'!$C$13))+$H1041*SIN(RADIANS('13_시나리오비교'!$B$13))*COS(RADIANS('13_시나리오비교'!$C$13))+$I1041*COS(RADIANS('13_시나리오비교'!$B$13))),0)</f>
        <v/>
      </c>
      <c r="Y1041" s="80">
        <f>IF($I1041&gt;0,MAX(0,$G1041*SIN(RADIANS('13_시나리오비교'!$B$14))*SIN(RADIANS('13_시나리오비교'!$C$14))+$H1041*SIN(RADIANS('13_시나리오비교'!$B$14))*COS(RADIANS('13_시나리오비교'!$C$14))+$I1041*COS(RADIANS('13_시나리오비교'!$B$14))),0)</f>
        <v/>
      </c>
    </row>
    <row r="1042" hidden="1" outlineLevel="1">
      <c r="A1042" s="79" t="n">
        <v>11</v>
      </c>
      <c r="B1042" s="79" t="n">
        <v>62</v>
      </c>
      <c r="C1042" s="80">
        <f>(B1042-0.5)*'14_지역·상수'!$H$6</f>
        <v/>
      </c>
      <c r="D1042" s="79" t="n">
        <v>318</v>
      </c>
      <c r="E1042" s="80">
        <f>INDEX($C$4:$C$15,MATCH(A1042,$A$4:$A$15,0))</f>
        <v/>
      </c>
      <c r="F1042" s="80">
        <f>15*(C1042-12)</f>
        <v/>
      </c>
      <c r="G1042" s="80">
        <f>-COS(RADIANS(E1042))*SIN(RADIANS(F1042))</f>
        <v/>
      </c>
      <c r="H1042" s="80">
        <f>COS(RADIANS('11_발전량_모델'!$B$17))*SIN(RADIANS(E1042))-SIN(RADIANS('11_발전량_모델'!$B$17))*COS(RADIANS(E1042))*COS(RADIANS(F1042))</f>
        <v/>
      </c>
      <c r="I1042" s="80">
        <f>SIN(RADIANS('11_발전량_모델'!$B$17))*SIN(RADIANS(E1042))+COS(RADIANS('11_발전량_모델'!$B$17))*COS(RADIANS(E1042))*COS(RADIANS(F1042))</f>
        <v/>
      </c>
      <c r="J1042" s="80">
        <f>SIN(RADIANS('11_발전량_모델'!$B$7))*SIN(RADIANS('11_발전량_모델'!$B$8))</f>
        <v/>
      </c>
      <c r="K1042" s="80">
        <f>SIN(RADIANS('11_발전량_모델'!$B$7))*COS(RADIANS('11_발전량_모델'!$B$8))</f>
        <v/>
      </c>
      <c r="L1042" s="80">
        <f>COS(RADIANS('11_발전량_모델'!$B$7))</f>
        <v/>
      </c>
      <c r="M1042" s="80">
        <f>G1042*J1042+H1042*K1042+I1042*L1042</f>
        <v/>
      </c>
      <c r="N1042" s="80">
        <f>MAX(0,I1042)</f>
        <v/>
      </c>
      <c r="O1042" s="80">
        <f>IF(I1042&gt;0,MAX(0,M1042),0)</f>
        <v/>
      </c>
      <c r="P1042" s="80">
        <f>IF($I1042&gt;0,MAX(0,$G1042*SIN(RADIANS('13_시나리오비교'!$B$5))*SIN(RADIANS('13_시나리오비교'!$C$5))+$H1042*SIN(RADIANS('13_시나리오비교'!$B$5))*COS(RADIANS('13_시나리오비교'!$C$5))+$I1042*COS(RADIANS('13_시나리오비교'!$B$5))),0)</f>
        <v/>
      </c>
      <c r="Q1042" s="80">
        <f>IF($I1042&gt;0,MAX(0,$G1042*SIN(RADIANS('13_시나리오비교'!$B$6))*SIN(RADIANS('13_시나리오비교'!$C$6))+$H1042*SIN(RADIANS('13_시나리오비교'!$B$6))*COS(RADIANS('13_시나리오비교'!$C$6))+$I1042*COS(RADIANS('13_시나리오비교'!$B$6))),0)</f>
        <v/>
      </c>
      <c r="R1042" s="80">
        <f>IF($I1042&gt;0,MAX(0,$G1042*SIN(RADIANS('13_시나리오비교'!$B$7))*SIN(RADIANS('13_시나리오비교'!$C$7))+$H1042*SIN(RADIANS('13_시나리오비교'!$B$7))*COS(RADIANS('13_시나리오비교'!$C$7))+$I1042*COS(RADIANS('13_시나리오비교'!$B$7))),0)</f>
        <v/>
      </c>
      <c r="S1042" s="80">
        <f>IF($I1042&gt;0,MAX(0,$G1042*SIN(RADIANS('13_시나리오비교'!$B$8))*SIN(RADIANS('13_시나리오비교'!$C$8))+$H1042*SIN(RADIANS('13_시나리오비교'!$B$8))*COS(RADIANS('13_시나리오비교'!$C$8))+$I1042*COS(RADIANS('13_시나리오비교'!$B$8))),0)</f>
        <v/>
      </c>
      <c r="T1042" s="80">
        <f>IF($I1042&gt;0,MAX(0,$G1042*SIN(RADIANS('13_시나리오비교'!$B$9))*SIN(RADIANS('13_시나리오비교'!$C$9))+$H1042*SIN(RADIANS('13_시나리오비교'!$B$9))*COS(RADIANS('13_시나리오비교'!$C$9))+$I1042*COS(RADIANS('13_시나리오비교'!$B$9))),0)</f>
        <v/>
      </c>
      <c r="U1042" s="80">
        <f>IF($I1042&gt;0,MAX(0,$G1042*SIN(RADIANS('13_시나리오비교'!$B$10))*SIN(RADIANS('13_시나리오비교'!$C$10))+$H1042*SIN(RADIANS('13_시나리오비교'!$B$10))*COS(RADIANS('13_시나리오비교'!$C$10))+$I1042*COS(RADIANS('13_시나리오비교'!$B$10))),0)</f>
        <v/>
      </c>
      <c r="V1042" s="80">
        <f>IF($I1042&gt;0,MAX(0,$G1042*SIN(RADIANS('13_시나리오비교'!$B$11))*SIN(RADIANS('13_시나리오비교'!$C$11))+$H1042*SIN(RADIANS('13_시나리오비교'!$B$11))*COS(RADIANS('13_시나리오비교'!$C$11))+$I1042*COS(RADIANS('13_시나리오비교'!$B$11))),0)</f>
        <v/>
      </c>
      <c r="W1042" s="80">
        <f>IF($I1042&gt;0,MAX(0,$G1042*SIN(RADIANS('13_시나리오비교'!$B$12))*SIN(RADIANS('13_시나리오비교'!$C$12))+$H1042*SIN(RADIANS('13_시나리오비교'!$B$12))*COS(RADIANS('13_시나리오비교'!$C$12))+$I1042*COS(RADIANS('13_시나리오비교'!$B$12))),0)</f>
        <v/>
      </c>
      <c r="X1042" s="80">
        <f>IF($I1042&gt;0,MAX(0,$G1042*SIN(RADIANS('13_시나리오비교'!$B$13))*SIN(RADIANS('13_시나리오비교'!$C$13))+$H1042*SIN(RADIANS('13_시나리오비교'!$B$13))*COS(RADIANS('13_시나리오비교'!$C$13))+$I1042*COS(RADIANS('13_시나리오비교'!$B$13))),0)</f>
        <v/>
      </c>
      <c r="Y1042" s="80">
        <f>IF($I1042&gt;0,MAX(0,$G1042*SIN(RADIANS('13_시나리오비교'!$B$14))*SIN(RADIANS('13_시나리오비교'!$C$14))+$H1042*SIN(RADIANS('13_시나리오비교'!$B$14))*COS(RADIANS('13_시나리오비교'!$C$14))+$I1042*COS(RADIANS('13_시나리오비교'!$B$14))),0)</f>
        <v/>
      </c>
    </row>
    <row r="1043" hidden="1" outlineLevel="1">
      <c r="A1043" s="79" t="n">
        <v>11</v>
      </c>
      <c r="B1043" s="79" t="n">
        <v>63</v>
      </c>
      <c r="C1043" s="80">
        <f>(B1043-0.5)*'14_지역·상수'!$H$6</f>
        <v/>
      </c>
      <c r="D1043" s="79" t="n">
        <v>318</v>
      </c>
      <c r="E1043" s="80">
        <f>INDEX($C$4:$C$15,MATCH(A1043,$A$4:$A$15,0))</f>
        <v/>
      </c>
      <c r="F1043" s="80">
        <f>15*(C1043-12)</f>
        <v/>
      </c>
      <c r="G1043" s="80">
        <f>-COS(RADIANS(E1043))*SIN(RADIANS(F1043))</f>
        <v/>
      </c>
      <c r="H1043" s="80">
        <f>COS(RADIANS('11_발전량_모델'!$B$17))*SIN(RADIANS(E1043))-SIN(RADIANS('11_발전량_모델'!$B$17))*COS(RADIANS(E1043))*COS(RADIANS(F1043))</f>
        <v/>
      </c>
      <c r="I1043" s="80">
        <f>SIN(RADIANS('11_발전량_모델'!$B$17))*SIN(RADIANS(E1043))+COS(RADIANS('11_발전량_모델'!$B$17))*COS(RADIANS(E1043))*COS(RADIANS(F1043))</f>
        <v/>
      </c>
      <c r="J1043" s="80">
        <f>SIN(RADIANS('11_발전량_모델'!$B$7))*SIN(RADIANS('11_발전량_모델'!$B$8))</f>
        <v/>
      </c>
      <c r="K1043" s="80">
        <f>SIN(RADIANS('11_발전량_모델'!$B$7))*COS(RADIANS('11_발전량_모델'!$B$8))</f>
        <v/>
      </c>
      <c r="L1043" s="80">
        <f>COS(RADIANS('11_발전량_모델'!$B$7))</f>
        <v/>
      </c>
      <c r="M1043" s="80">
        <f>G1043*J1043+H1043*K1043+I1043*L1043</f>
        <v/>
      </c>
      <c r="N1043" s="80">
        <f>MAX(0,I1043)</f>
        <v/>
      </c>
      <c r="O1043" s="80">
        <f>IF(I1043&gt;0,MAX(0,M1043),0)</f>
        <v/>
      </c>
      <c r="P1043" s="80">
        <f>IF($I1043&gt;0,MAX(0,$G1043*SIN(RADIANS('13_시나리오비교'!$B$5))*SIN(RADIANS('13_시나리오비교'!$C$5))+$H1043*SIN(RADIANS('13_시나리오비교'!$B$5))*COS(RADIANS('13_시나리오비교'!$C$5))+$I1043*COS(RADIANS('13_시나리오비교'!$B$5))),0)</f>
        <v/>
      </c>
      <c r="Q1043" s="80">
        <f>IF($I1043&gt;0,MAX(0,$G1043*SIN(RADIANS('13_시나리오비교'!$B$6))*SIN(RADIANS('13_시나리오비교'!$C$6))+$H1043*SIN(RADIANS('13_시나리오비교'!$B$6))*COS(RADIANS('13_시나리오비교'!$C$6))+$I1043*COS(RADIANS('13_시나리오비교'!$B$6))),0)</f>
        <v/>
      </c>
      <c r="R1043" s="80">
        <f>IF($I1043&gt;0,MAX(0,$G1043*SIN(RADIANS('13_시나리오비교'!$B$7))*SIN(RADIANS('13_시나리오비교'!$C$7))+$H1043*SIN(RADIANS('13_시나리오비교'!$B$7))*COS(RADIANS('13_시나리오비교'!$C$7))+$I1043*COS(RADIANS('13_시나리오비교'!$B$7))),0)</f>
        <v/>
      </c>
      <c r="S1043" s="80">
        <f>IF($I1043&gt;0,MAX(0,$G1043*SIN(RADIANS('13_시나리오비교'!$B$8))*SIN(RADIANS('13_시나리오비교'!$C$8))+$H1043*SIN(RADIANS('13_시나리오비교'!$B$8))*COS(RADIANS('13_시나리오비교'!$C$8))+$I1043*COS(RADIANS('13_시나리오비교'!$B$8))),0)</f>
        <v/>
      </c>
      <c r="T1043" s="80">
        <f>IF($I1043&gt;0,MAX(0,$G1043*SIN(RADIANS('13_시나리오비교'!$B$9))*SIN(RADIANS('13_시나리오비교'!$C$9))+$H1043*SIN(RADIANS('13_시나리오비교'!$B$9))*COS(RADIANS('13_시나리오비교'!$C$9))+$I1043*COS(RADIANS('13_시나리오비교'!$B$9))),0)</f>
        <v/>
      </c>
      <c r="U1043" s="80">
        <f>IF($I1043&gt;0,MAX(0,$G1043*SIN(RADIANS('13_시나리오비교'!$B$10))*SIN(RADIANS('13_시나리오비교'!$C$10))+$H1043*SIN(RADIANS('13_시나리오비교'!$B$10))*COS(RADIANS('13_시나리오비교'!$C$10))+$I1043*COS(RADIANS('13_시나리오비교'!$B$10))),0)</f>
        <v/>
      </c>
      <c r="V1043" s="80">
        <f>IF($I1043&gt;0,MAX(0,$G1043*SIN(RADIANS('13_시나리오비교'!$B$11))*SIN(RADIANS('13_시나리오비교'!$C$11))+$H1043*SIN(RADIANS('13_시나리오비교'!$B$11))*COS(RADIANS('13_시나리오비교'!$C$11))+$I1043*COS(RADIANS('13_시나리오비교'!$B$11))),0)</f>
        <v/>
      </c>
      <c r="W1043" s="80">
        <f>IF($I1043&gt;0,MAX(0,$G1043*SIN(RADIANS('13_시나리오비교'!$B$12))*SIN(RADIANS('13_시나리오비교'!$C$12))+$H1043*SIN(RADIANS('13_시나리오비교'!$B$12))*COS(RADIANS('13_시나리오비교'!$C$12))+$I1043*COS(RADIANS('13_시나리오비교'!$B$12))),0)</f>
        <v/>
      </c>
      <c r="X1043" s="80">
        <f>IF($I1043&gt;0,MAX(0,$G1043*SIN(RADIANS('13_시나리오비교'!$B$13))*SIN(RADIANS('13_시나리오비교'!$C$13))+$H1043*SIN(RADIANS('13_시나리오비교'!$B$13))*COS(RADIANS('13_시나리오비교'!$C$13))+$I1043*COS(RADIANS('13_시나리오비교'!$B$13))),0)</f>
        <v/>
      </c>
      <c r="Y1043" s="80">
        <f>IF($I1043&gt;0,MAX(0,$G1043*SIN(RADIANS('13_시나리오비교'!$B$14))*SIN(RADIANS('13_시나리오비교'!$C$14))+$H1043*SIN(RADIANS('13_시나리오비교'!$B$14))*COS(RADIANS('13_시나리오비교'!$C$14))+$I1043*COS(RADIANS('13_시나리오비교'!$B$14))),0)</f>
        <v/>
      </c>
    </row>
    <row r="1044" hidden="1" outlineLevel="1">
      <c r="A1044" s="79" t="n">
        <v>11</v>
      </c>
      <c r="B1044" s="79" t="n">
        <v>64</v>
      </c>
      <c r="C1044" s="80">
        <f>(B1044-0.5)*'14_지역·상수'!$H$6</f>
        <v/>
      </c>
      <c r="D1044" s="79" t="n">
        <v>318</v>
      </c>
      <c r="E1044" s="80">
        <f>INDEX($C$4:$C$15,MATCH(A1044,$A$4:$A$15,0))</f>
        <v/>
      </c>
      <c r="F1044" s="80">
        <f>15*(C1044-12)</f>
        <v/>
      </c>
      <c r="G1044" s="80">
        <f>-COS(RADIANS(E1044))*SIN(RADIANS(F1044))</f>
        <v/>
      </c>
      <c r="H1044" s="80">
        <f>COS(RADIANS('11_발전량_모델'!$B$17))*SIN(RADIANS(E1044))-SIN(RADIANS('11_발전량_모델'!$B$17))*COS(RADIANS(E1044))*COS(RADIANS(F1044))</f>
        <v/>
      </c>
      <c r="I1044" s="80">
        <f>SIN(RADIANS('11_발전량_모델'!$B$17))*SIN(RADIANS(E1044))+COS(RADIANS('11_발전량_모델'!$B$17))*COS(RADIANS(E1044))*COS(RADIANS(F1044))</f>
        <v/>
      </c>
      <c r="J1044" s="80">
        <f>SIN(RADIANS('11_발전량_모델'!$B$7))*SIN(RADIANS('11_발전량_모델'!$B$8))</f>
        <v/>
      </c>
      <c r="K1044" s="80">
        <f>SIN(RADIANS('11_발전량_모델'!$B$7))*COS(RADIANS('11_발전량_모델'!$B$8))</f>
        <v/>
      </c>
      <c r="L1044" s="80">
        <f>COS(RADIANS('11_발전량_모델'!$B$7))</f>
        <v/>
      </c>
      <c r="M1044" s="80">
        <f>G1044*J1044+H1044*K1044+I1044*L1044</f>
        <v/>
      </c>
      <c r="N1044" s="80">
        <f>MAX(0,I1044)</f>
        <v/>
      </c>
      <c r="O1044" s="80">
        <f>IF(I1044&gt;0,MAX(0,M1044),0)</f>
        <v/>
      </c>
      <c r="P1044" s="80">
        <f>IF($I1044&gt;0,MAX(0,$G1044*SIN(RADIANS('13_시나리오비교'!$B$5))*SIN(RADIANS('13_시나리오비교'!$C$5))+$H1044*SIN(RADIANS('13_시나리오비교'!$B$5))*COS(RADIANS('13_시나리오비교'!$C$5))+$I1044*COS(RADIANS('13_시나리오비교'!$B$5))),0)</f>
        <v/>
      </c>
      <c r="Q1044" s="80">
        <f>IF($I1044&gt;0,MAX(0,$G1044*SIN(RADIANS('13_시나리오비교'!$B$6))*SIN(RADIANS('13_시나리오비교'!$C$6))+$H1044*SIN(RADIANS('13_시나리오비교'!$B$6))*COS(RADIANS('13_시나리오비교'!$C$6))+$I1044*COS(RADIANS('13_시나리오비교'!$B$6))),0)</f>
        <v/>
      </c>
      <c r="R1044" s="80">
        <f>IF($I1044&gt;0,MAX(0,$G1044*SIN(RADIANS('13_시나리오비교'!$B$7))*SIN(RADIANS('13_시나리오비교'!$C$7))+$H1044*SIN(RADIANS('13_시나리오비교'!$B$7))*COS(RADIANS('13_시나리오비교'!$C$7))+$I1044*COS(RADIANS('13_시나리오비교'!$B$7))),0)</f>
        <v/>
      </c>
      <c r="S1044" s="80">
        <f>IF($I1044&gt;0,MAX(0,$G1044*SIN(RADIANS('13_시나리오비교'!$B$8))*SIN(RADIANS('13_시나리오비교'!$C$8))+$H1044*SIN(RADIANS('13_시나리오비교'!$B$8))*COS(RADIANS('13_시나리오비교'!$C$8))+$I1044*COS(RADIANS('13_시나리오비교'!$B$8))),0)</f>
        <v/>
      </c>
      <c r="T1044" s="80">
        <f>IF($I1044&gt;0,MAX(0,$G1044*SIN(RADIANS('13_시나리오비교'!$B$9))*SIN(RADIANS('13_시나리오비교'!$C$9))+$H1044*SIN(RADIANS('13_시나리오비교'!$B$9))*COS(RADIANS('13_시나리오비교'!$C$9))+$I1044*COS(RADIANS('13_시나리오비교'!$B$9))),0)</f>
        <v/>
      </c>
      <c r="U1044" s="80">
        <f>IF($I1044&gt;0,MAX(0,$G1044*SIN(RADIANS('13_시나리오비교'!$B$10))*SIN(RADIANS('13_시나리오비교'!$C$10))+$H1044*SIN(RADIANS('13_시나리오비교'!$B$10))*COS(RADIANS('13_시나리오비교'!$C$10))+$I1044*COS(RADIANS('13_시나리오비교'!$B$10))),0)</f>
        <v/>
      </c>
      <c r="V1044" s="80">
        <f>IF($I1044&gt;0,MAX(0,$G1044*SIN(RADIANS('13_시나리오비교'!$B$11))*SIN(RADIANS('13_시나리오비교'!$C$11))+$H1044*SIN(RADIANS('13_시나리오비교'!$B$11))*COS(RADIANS('13_시나리오비교'!$C$11))+$I1044*COS(RADIANS('13_시나리오비교'!$B$11))),0)</f>
        <v/>
      </c>
      <c r="W1044" s="80">
        <f>IF($I1044&gt;0,MAX(0,$G1044*SIN(RADIANS('13_시나리오비교'!$B$12))*SIN(RADIANS('13_시나리오비교'!$C$12))+$H1044*SIN(RADIANS('13_시나리오비교'!$B$12))*COS(RADIANS('13_시나리오비교'!$C$12))+$I1044*COS(RADIANS('13_시나리오비교'!$B$12))),0)</f>
        <v/>
      </c>
      <c r="X1044" s="80">
        <f>IF($I1044&gt;0,MAX(0,$G1044*SIN(RADIANS('13_시나리오비교'!$B$13))*SIN(RADIANS('13_시나리오비교'!$C$13))+$H1044*SIN(RADIANS('13_시나리오비교'!$B$13))*COS(RADIANS('13_시나리오비교'!$C$13))+$I1044*COS(RADIANS('13_시나리오비교'!$B$13))),0)</f>
        <v/>
      </c>
      <c r="Y1044" s="80">
        <f>IF($I1044&gt;0,MAX(0,$G1044*SIN(RADIANS('13_시나리오비교'!$B$14))*SIN(RADIANS('13_시나리오비교'!$C$14))+$H1044*SIN(RADIANS('13_시나리오비교'!$B$14))*COS(RADIANS('13_시나리오비교'!$C$14))+$I1044*COS(RADIANS('13_시나리오비교'!$B$14))),0)</f>
        <v/>
      </c>
    </row>
    <row r="1045" hidden="1" outlineLevel="1">
      <c r="A1045" s="79" t="n">
        <v>11</v>
      </c>
      <c r="B1045" s="79" t="n">
        <v>65</v>
      </c>
      <c r="C1045" s="80">
        <f>(B1045-0.5)*'14_지역·상수'!$H$6</f>
        <v/>
      </c>
      <c r="D1045" s="79" t="n">
        <v>318</v>
      </c>
      <c r="E1045" s="80">
        <f>INDEX($C$4:$C$15,MATCH(A1045,$A$4:$A$15,0))</f>
        <v/>
      </c>
      <c r="F1045" s="80">
        <f>15*(C1045-12)</f>
        <v/>
      </c>
      <c r="G1045" s="80">
        <f>-COS(RADIANS(E1045))*SIN(RADIANS(F1045))</f>
        <v/>
      </c>
      <c r="H1045" s="80">
        <f>COS(RADIANS('11_발전량_모델'!$B$17))*SIN(RADIANS(E1045))-SIN(RADIANS('11_발전량_모델'!$B$17))*COS(RADIANS(E1045))*COS(RADIANS(F1045))</f>
        <v/>
      </c>
      <c r="I1045" s="80">
        <f>SIN(RADIANS('11_발전량_모델'!$B$17))*SIN(RADIANS(E1045))+COS(RADIANS('11_발전량_모델'!$B$17))*COS(RADIANS(E1045))*COS(RADIANS(F1045))</f>
        <v/>
      </c>
      <c r="J1045" s="80">
        <f>SIN(RADIANS('11_발전량_모델'!$B$7))*SIN(RADIANS('11_발전량_모델'!$B$8))</f>
        <v/>
      </c>
      <c r="K1045" s="80">
        <f>SIN(RADIANS('11_발전량_모델'!$B$7))*COS(RADIANS('11_발전량_모델'!$B$8))</f>
        <v/>
      </c>
      <c r="L1045" s="80">
        <f>COS(RADIANS('11_발전량_모델'!$B$7))</f>
        <v/>
      </c>
      <c r="M1045" s="80">
        <f>G1045*J1045+H1045*K1045+I1045*L1045</f>
        <v/>
      </c>
      <c r="N1045" s="80">
        <f>MAX(0,I1045)</f>
        <v/>
      </c>
      <c r="O1045" s="80">
        <f>IF(I1045&gt;0,MAX(0,M1045),0)</f>
        <v/>
      </c>
      <c r="P1045" s="80">
        <f>IF($I1045&gt;0,MAX(0,$G1045*SIN(RADIANS('13_시나리오비교'!$B$5))*SIN(RADIANS('13_시나리오비교'!$C$5))+$H1045*SIN(RADIANS('13_시나리오비교'!$B$5))*COS(RADIANS('13_시나리오비교'!$C$5))+$I1045*COS(RADIANS('13_시나리오비교'!$B$5))),0)</f>
        <v/>
      </c>
      <c r="Q1045" s="80">
        <f>IF($I1045&gt;0,MAX(0,$G1045*SIN(RADIANS('13_시나리오비교'!$B$6))*SIN(RADIANS('13_시나리오비교'!$C$6))+$H1045*SIN(RADIANS('13_시나리오비교'!$B$6))*COS(RADIANS('13_시나리오비교'!$C$6))+$I1045*COS(RADIANS('13_시나리오비교'!$B$6))),0)</f>
        <v/>
      </c>
      <c r="R1045" s="80">
        <f>IF($I1045&gt;0,MAX(0,$G1045*SIN(RADIANS('13_시나리오비교'!$B$7))*SIN(RADIANS('13_시나리오비교'!$C$7))+$H1045*SIN(RADIANS('13_시나리오비교'!$B$7))*COS(RADIANS('13_시나리오비교'!$C$7))+$I1045*COS(RADIANS('13_시나리오비교'!$B$7))),0)</f>
        <v/>
      </c>
      <c r="S1045" s="80">
        <f>IF($I1045&gt;0,MAX(0,$G1045*SIN(RADIANS('13_시나리오비교'!$B$8))*SIN(RADIANS('13_시나리오비교'!$C$8))+$H1045*SIN(RADIANS('13_시나리오비교'!$B$8))*COS(RADIANS('13_시나리오비교'!$C$8))+$I1045*COS(RADIANS('13_시나리오비교'!$B$8))),0)</f>
        <v/>
      </c>
      <c r="T1045" s="80">
        <f>IF($I1045&gt;0,MAX(0,$G1045*SIN(RADIANS('13_시나리오비교'!$B$9))*SIN(RADIANS('13_시나리오비교'!$C$9))+$H1045*SIN(RADIANS('13_시나리오비교'!$B$9))*COS(RADIANS('13_시나리오비교'!$C$9))+$I1045*COS(RADIANS('13_시나리오비교'!$B$9))),0)</f>
        <v/>
      </c>
      <c r="U1045" s="80">
        <f>IF($I1045&gt;0,MAX(0,$G1045*SIN(RADIANS('13_시나리오비교'!$B$10))*SIN(RADIANS('13_시나리오비교'!$C$10))+$H1045*SIN(RADIANS('13_시나리오비교'!$B$10))*COS(RADIANS('13_시나리오비교'!$C$10))+$I1045*COS(RADIANS('13_시나리오비교'!$B$10))),0)</f>
        <v/>
      </c>
      <c r="V1045" s="80">
        <f>IF($I1045&gt;0,MAX(0,$G1045*SIN(RADIANS('13_시나리오비교'!$B$11))*SIN(RADIANS('13_시나리오비교'!$C$11))+$H1045*SIN(RADIANS('13_시나리오비교'!$B$11))*COS(RADIANS('13_시나리오비교'!$C$11))+$I1045*COS(RADIANS('13_시나리오비교'!$B$11))),0)</f>
        <v/>
      </c>
      <c r="W1045" s="80">
        <f>IF($I1045&gt;0,MAX(0,$G1045*SIN(RADIANS('13_시나리오비교'!$B$12))*SIN(RADIANS('13_시나리오비교'!$C$12))+$H1045*SIN(RADIANS('13_시나리오비교'!$B$12))*COS(RADIANS('13_시나리오비교'!$C$12))+$I1045*COS(RADIANS('13_시나리오비교'!$B$12))),0)</f>
        <v/>
      </c>
      <c r="X1045" s="80">
        <f>IF($I1045&gt;0,MAX(0,$G1045*SIN(RADIANS('13_시나리오비교'!$B$13))*SIN(RADIANS('13_시나리오비교'!$C$13))+$H1045*SIN(RADIANS('13_시나리오비교'!$B$13))*COS(RADIANS('13_시나리오비교'!$C$13))+$I1045*COS(RADIANS('13_시나리오비교'!$B$13))),0)</f>
        <v/>
      </c>
      <c r="Y1045" s="80">
        <f>IF($I1045&gt;0,MAX(0,$G1045*SIN(RADIANS('13_시나리오비교'!$B$14))*SIN(RADIANS('13_시나리오비교'!$C$14))+$H1045*SIN(RADIANS('13_시나리오비교'!$B$14))*COS(RADIANS('13_시나리오비교'!$C$14))+$I1045*COS(RADIANS('13_시나리오비교'!$B$14))),0)</f>
        <v/>
      </c>
    </row>
    <row r="1046" hidden="1" outlineLevel="1">
      <c r="A1046" s="79" t="n">
        <v>11</v>
      </c>
      <c r="B1046" s="79" t="n">
        <v>66</v>
      </c>
      <c r="C1046" s="80">
        <f>(B1046-0.5)*'14_지역·상수'!$H$6</f>
        <v/>
      </c>
      <c r="D1046" s="79" t="n">
        <v>318</v>
      </c>
      <c r="E1046" s="80">
        <f>INDEX($C$4:$C$15,MATCH(A1046,$A$4:$A$15,0))</f>
        <v/>
      </c>
      <c r="F1046" s="80">
        <f>15*(C1046-12)</f>
        <v/>
      </c>
      <c r="G1046" s="80">
        <f>-COS(RADIANS(E1046))*SIN(RADIANS(F1046))</f>
        <v/>
      </c>
      <c r="H1046" s="80">
        <f>COS(RADIANS('11_발전량_모델'!$B$17))*SIN(RADIANS(E1046))-SIN(RADIANS('11_발전량_모델'!$B$17))*COS(RADIANS(E1046))*COS(RADIANS(F1046))</f>
        <v/>
      </c>
      <c r="I1046" s="80">
        <f>SIN(RADIANS('11_발전량_모델'!$B$17))*SIN(RADIANS(E1046))+COS(RADIANS('11_발전량_모델'!$B$17))*COS(RADIANS(E1046))*COS(RADIANS(F1046))</f>
        <v/>
      </c>
      <c r="J1046" s="80">
        <f>SIN(RADIANS('11_발전량_모델'!$B$7))*SIN(RADIANS('11_발전량_모델'!$B$8))</f>
        <v/>
      </c>
      <c r="K1046" s="80">
        <f>SIN(RADIANS('11_발전량_모델'!$B$7))*COS(RADIANS('11_발전량_모델'!$B$8))</f>
        <v/>
      </c>
      <c r="L1046" s="80">
        <f>COS(RADIANS('11_발전량_모델'!$B$7))</f>
        <v/>
      </c>
      <c r="M1046" s="80">
        <f>G1046*J1046+H1046*K1046+I1046*L1046</f>
        <v/>
      </c>
      <c r="N1046" s="80">
        <f>MAX(0,I1046)</f>
        <v/>
      </c>
      <c r="O1046" s="80">
        <f>IF(I1046&gt;0,MAX(0,M1046),0)</f>
        <v/>
      </c>
      <c r="P1046" s="80">
        <f>IF($I1046&gt;0,MAX(0,$G1046*SIN(RADIANS('13_시나리오비교'!$B$5))*SIN(RADIANS('13_시나리오비교'!$C$5))+$H1046*SIN(RADIANS('13_시나리오비교'!$B$5))*COS(RADIANS('13_시나리오비교'!$C$5))+$I1046*COS(RADIANS('13_시나리오비교'!$B$5))),0)</f>
        <v/>
      </c>
      <c r="Q1046" s="80">
        <f>IF($I1046&gt;0,MAX(0,$G1046*SIN(RADIANS('13_시나리오비교'!$B$6))*SIN(RADIANS('13_시나리오비교'!$C$6))+$H1046*SIN(RADIANS('13_시나리오비교'!$B$6))*COS(RADIANS('13_시나리오비교'!$C$6))+$I1046*COS(RADIANS('13_시나리오비교'!$B$6))),0)</f>
        <v/>
      </c>
      <c r="R1046" s="80">
        <f>IF($I1046&gt;0,MAX(0,$G1046*SIN(RADIANS('13_시나리오비교'!$B$7))*SIN(RADIANS('13_시나리오비교'!$C$7))+$H1046*SIN(RADIANS('13_시나리오비교'!$B$7))*COS(RADIANS('13_시나리오비교'!$C$7))+$I1046*COS(RADIANS('13_시나리오비교'!$B$7))),0)</f>
        <v/>
      </c>
      <c r="S1046" s="80">
        <f>IF($I1046&gt;0,MAX(0,$G1046*SIN(RADIANS('13_시나리오비교'!$B$8))*SIN(RADIANS('13_시나리오비교'!$C$8))+$H1046*SIN(RADIANS('13_시나리오비교'!$B$8))*COS(RADIANS('13_시나리오비교'!$C$8))+$I1046*COS(RADIANS('13_시나리오비교'!$B$8))),0)</f>
        <v/>
      </c>
      <c r="T1046" s="80">
        <f>IF($I1046&gt;0,MAX(0,$G1046*SIN(RADIANS('13_시나리오비교'!$B$9))*SIN(RADIANS('13_시나리오비교'!$C$9))+$H1046*SIN(RADIANS('13_시나리오비교'!$B$9))*COS(RADIANS('13_시나리오비교'!$C$9))+$I1046*COS(RADIANS('13_시나리오비교'!$B$9))),0)</f>
        <v/>
      </c>
      <c r="U1046" s="80">
        <f>IF($I1046&gt;0,MAX(0,$G1046*SIN(RADIANS('13_시나리오비교'!$B$10))*SIN(RADIANS('13_시나리오비교'!$C$10))+$H1046*SIN(RADIANS('13_시나리오비교'!$B$10))*COS(RADIANS('13_시나리오비교'!$C$10))+$I1046*COS(RADIANS('13_시나리오비교'!$B$10))),0)</f>
        <v/>
      </c>
      <c r="V1046" s="80">
        <f>IF($I1046&gt;0,MAX(0,$G1046*SIN(RADIANS('13_시나리오비교'!$B$11))*SIN(RADIANS('13_시나리오비교'!$C$11))+$H1046*SIN(RADIANS('13_시나리오비교'!$B$11))*COS(RADIANS('13_시나리오비교'!$C$11))+$I1046*COS(RADIANS('13_시나리오비교'!$B$11))),0)</f>
        <v/>
      </c>
      <c r="W1046" s="80">
        <f>IF($I1046&gt;0,MAX(0,$G1046*SIN(RADIANS('13_시나리오비교'!$B$12))*SIN(RADIANS('13_시나리오비교'!$C$12))+$H1046*SIN(RADIANS('13_시나리오비교'!$B$12))*COS(RADIANS('13_시나리오비교'!$C$12))+$I1046*COS(RADIANS('13_시나리오비교'!$B$12))),0)</f>
        <v/>
      </c>
      <c r="X1046" s="80">
        <f>IF($I1046&gt;0,MAX(0,$G1046*SIN(RADIANS('13_시나리오비교'!$B$13))*SIN(RADIANS('13_시나리오비교'!$C$13))+$H1046*SIN(RADIANS('13_시나리오비교'!$B$13))*COS(RADIANS('13_시나리오비교'!$C$13))+$I1046*COS(RADIANS('13_시나리오비교'!$B$13))),0)</f>
        <v/>
      </c>
      <c r="Y1046" s="80">
        <f>IF($I1046&gt;0,MAX(0,$G1046*SIN(RADIANS('13_시나리오비교'!$B$14))*SIN(RADIANS('13_시나리오비교'!$C$14))+$H1046*SIN(RADIANS('13_시나리오비교'!$B$14))*COS(RADIANS('13_시나리오비교'!$C$14))+$I1046*COS(RADIANS('13_시나리오비교'!$B$14))),0)</f>
        <v/>
      </c>
    </row>
    <row r="1047" hidden="1" outlineLevel="1">
      <c r="A1047" s="79" t="n">
        <v>11</v>
      </c>
      <c r="B1047" s="79" t="n">
        <v>67</v>
      </c>
      <c r="C1047" s="80">
        <f>(B1047-0.5)*'14_지역·상수'!$H$6</f>
        <v/>
      </c>
      <c r="D1047" s="79" t="n">
        <v>318</v>
      </c>
      <c r="E1047" s="80">
        <f>INDEX($C$4:$C$15,MATCH(A1047,$A$4:$A$15,0))</f>
        <v/>
      </c>
      <c r="F1047" s="80">
        <f>15*(C1047-12)</f>
        <v/>
      </c>
      <c r="G1047" s="80">
        <f>-COS(RADIANS(E1047))*SIN(RADIANS(F1047))</f>
        <v/>
      </c>
      <c r="H1047" s="80">
        <f>COS(RADIANS('11_발전량_모델'!$B$17))*SIN(RADIANS(E1047))-SIN(RADIANS('11_발전량_모델'!$B$17))*COS(RADIANS(E1047))*COS(RADIANS(F1047))</f>
        <v/>
      </c>
      <c r="I1047" s="80">
        <f>SIN(RADIANS('11_발전량_모델'!$B$17))*SIN(RADIANS(E1047))+COS(RADIANS('11_발전량_모델'!$B$17))*COS(RADIANS(E1047))*COS(RADIANS(F1047))</f>
        <v/>
      </c>
      <c r="J1047" s="80">
        <f>SIN(RADIANS('11_발전량_모델'!$B$7))*SIN(RADIANS('11_발전량_모델'!$B$8))</f>
        <v/>
      </c>
      <c r="K1047" s="80">
        <f>SIN(RADIANS('11_발전량_모델'!$B$7))*COS(RADIANS('11_발전량_모델'!$B$8))</f>
        <v/>
      </c>
      <c r="L1047" s="80">
        <f>COS(RADIANS('11_발전량_모델'!$B$7))</f>
        <v/>
      </c>
      <c r="M1047" s="80">
        <f>G1047*J1047+H1047*K1047+I1047*L1047</f>
        <v/>
      </c>
      <c r="N1047" s="80">
        <f>MAX(0,I1047)</f>
        <v/>
      </c>
      <c r="O1047" s="80">
        <f>IF(I1047&gt;0,MAX(0,M1047),0)</f>
        <v/>
      </c>
      <c r="P1047" s="80">
        <f>IF($I1047&gt;0,MAX(0,$G1047*SIN(RADIANS('13_시나리오비교'!$B$5))*SIN(RADIANS('13_시나리오비교'!$C$5))+$H1047*SIN(RADIANS('13_시나리오비교'!$B$5))*COS(RADIANS('13_시나리오비교'!$C$5))+$I1047*COS(RADIANS('13_시나리오비교'!$B$5))),0)</f>
        <v/>
      </c>
      <c r="Q1047" s="80">
        <f>IF($I1047&gt;0,MAX(0,$G1047*SIN(RADIANS('13_시나리오비교'!$B$6))*SIN(RADIANS('13_시나리오비교'!$C$6))+$H1047*SIN(RADIANS('13_시나리오비교'!$B$6))*COS(RADIANS('13_시나리오비교'!$C$6))+$I1047*COS(RADIANS('13_시나리오비교'!$B$6))),0)</f>
        <v/>
      </c>
      <c r="R1047" s="80">
        <f>IF($I1047&gt;0,MAX(0,$G1047*SIN(RADIANS('13_시나리오비교'!$B$7))*SIN(RADIANS('13_시나리오비교'!$C$7))+$H1047*SIN(RADIANS('13_시나리오비교'!$B$7))*COS(RADIANS('13_시나리오비교'!$C$7))+$I1047*COS(RADIANS('13_시나리오비교'!$B$7))),0)</f>
        <v/>
      </c>
      <c r="S1047" s="80">
        <f>IF($I1047&gt;0,MAX(0,$G1047*SIN(RADIANS('13_시나리오비교'!$B$8))*SIN(RADIANS('13_시나리오비교'!$C$8))+$H1047*SIN(RADIANS('13_시나리오비교'!$B$8))*COS(RADIANS('13_시나리오비교'!$C$8))+$I1047*COS(RADIANS('13_시나리오비교'!$B$8))),0)</f>
        <v/>
      </c>
      <c r="T1047" s="80">
        <f>IF($I1047&gt;0,MAX(0,$G1047*SIN(RADIANS('13_시나리오비교'!$B$9))*SIN(RADIANS('13_시나리오비교'!$C$9))+$H1047*SIN(RADIANS('13_시나리오비교'!$B$9))*COS(RADIANS('13_시나리오비교'!$C$9))+$I1047*COS(RADIANS('13_시나리오비교'!$B$9))),0)</f>
        <v/>
      </c>
      <c r="U1047" s="80">
        <f>IF($I1047&gt;0,MAX(0,$G1047*SIN(RADIANS('13_시나리오비교'!$B$10))*SIN(RADIANS('13_시나리오비교'!$C$10))+$H1047*SIN(RADIANS('13_시나리오비교'!$B$10))*COS(RADIANS('13_시나리오비교'!$C$10))+$I1047*COS(RADIANS('13_시나리오비교'!$B$10))),0)</f>
        <v/>
      </c>
      <c r="V1047" s="80">
        <f>IF($I1047&gt;0,MAX(0,$G1047*SIN(RADIANS('13_시나리오비교'!$B$11))*SIN(RADIANS('13_시나리오비교'!$C$11))+$H1047*SIN(RADIANS('13_시나리오비교'!$B$11))*COS(RADIANS('13_시나리오비교'!$C$11))+$I1047*COS(RADIANS('13_시나리오비교'!$B$11))),0)</f>
        <v/>
      </c>
      <c r="W1047" s="80">
        <f>IF($I1047&gt;0,MAX(0,$G1047*SIN(RADIANS('13_시나리오비교'!$B$12))*SIN(RADIANS('13_시나리오비교'!$C$12))+$H1047*SIN(RADIANS('13_시나리오비교'!$B$12))*COS(RADIANS('13_시나리오비교'!$C$12))+$I1047*COS(RADIANS('13_시나리오비교'!$B$12))),0)</f>
        <v/>
      </c>
      <c r="X1047" s="80">
        <f>IF($I1047&gt;0,MAX(0,$G1047*SIN(RADIANS('13_시나리오비교'!$B$13))*SIN(RADIANS('13_시나리오비교'!$C$13))+$H1047*SIN(RADIANS('13_시나리오비교'!$B$13))*COS(RADIANS('13_시나리오비교'!$C$13))+$I1047*COS(RADIANS('13_시나리오비교'!$B$13))),0)</f>
        <v/>
      </c>
      <c r="Y1047" s="80">
        <f>IF($I1047&gt;0,MAX(0,$G1047*SIN(RADIANS('13_시나리오비교'!$B$14))*SIN(RADIANS('13_시나리오비교'!$C$14))+$H1047*SIN(RADIANS('13_시나리오비교'!$B$14))*COS(RADIANS('13_시나리오비교'!$C$14))+$I1047*COS(RADIANS('13_시나리오비교'!$B$14))),0)</f>
        <v/>
      </c>
    </row>
    <row r="1048" hidden="1" outlineLevel="1">
      <c r="A1048" s="79" t="n">
        <v>11</v>
      </c>
      <c r="B1048" s="79" t="n">
        <v>68</v>
      </c>
      <c r="C1048" s="80">
        <f>(B1048-0.5)*'14_지역·상수'!$H$6</f>
        <v/>
      </c>
      <c r="D1048" s="79" t="n">
        <v>318</v>
      </c>
      <c r="E1048" s="80">
        <f>INDEX($C$4:$C$15,MATCH(A1048,$A$4:$A$15,0))</f>
        <v/>
      </c>
      <c r="F1048" s="80">
        <f>15*(C1048-12)</f>
        <v/>
      </c>
      <c r="G1048" s="80">
        <f>-COS(RADIANS(E1048))*SIN(RADIANS(F1048))</f>
        <v/>
      </c>
      <c r="H1048" s="80">
        <f>COS(RADIANS('11_발전량_모델'!$B$17))*SIN(RADIANS(E1048))-SIN(RADIANS('11_발전량_모델'!$B$17))*COS(RADIANS(E1048))*COS(RADIANS(F1048))</f>
        <v/>
      </c>
      <c r="I1048" s="80">
        <f>SIN(RADIANS('11_발전량_모델'!$B$17))*SIN(RADIANS(E1048))+COS(RADIANS('11_발전량_모델'!$B$17))*COS(RADIANS(E1048))*COS(RADIANS(F1048))</f>
        <v/>
      </c>
      <c r="J1048" s="80">
        <f>SIN(RADIANS('11_발전량_모델'!$B$7))*SIN(RADIANS('11_발전량_모델'!$B$8))</f>
        <v/>
      </c>
      <c r="K1048" s="80">
        <f>SIN(RADIANS('11_발전량_모델'!$B$7))*COS(RADIANS('11_발전량_모델'!$B$8))</f>
        <v/>
      </c>
      <c r="L1048" s="80">
        <f>COS(RADIANS('11_발전량_모델'!$B$7))</f>
        <v/>
      </c>
      <c r="M1048" s="80">
        <f>G1048*J1048+H1048*K1048+I1048*L1048</f>
        <v/>
      </c>
      <c r="N1048" s="80">
        <f>MAX(0,I1048)</f>
        <v/>
      </c>
      <c r="O1048" s="80">
        <f>IF(I1048&gt;0,MAX(0,M1048),0)</f>
        <v/>
      </c>
      <c r="P1048" s="80">
        <f>IF($I1048&gt;0,MAX(0,$G1048*SIN(RADIANS('13_시나리오비교'!$B$5))*SIN(RADIANS('13_시나리오비교'!$C$5))+$H1048*SIN(RADIANS('13_시나리오비교'!$B$5))*COS(RADIANS('13_시나리오비교'!$C$5))+$I1048*COS(RADIANS('13_시나리오비교'!$B$5))),0)</f>
        <v/>
      </c>
      <c r="Q1048" s="80">
        <f>IF($I1048&gt;0,MAX(0,$G1048*SIN(RADIANS('13_시나리오비교'!$B$6))*SIN(RADIANS('13_시나리오비교'!$C$6))+$H1048*SIN(RADIANS('13_시나리오비교'!$B$6))*COS(RADIANS('13_시나리오비교'!$C$6))+$I1048*COS(RADIANS('13_시나리오비교'!$B$6))),0)</f>
        <v/>
      </c>
      <c r="R1048" s="80">
        <f>IF($I1048&gt;0,MAX(0,$G1048*SIN(RADIANS('13_시나리오비교'!$B$7))*SIN(RADIANS('13_시나리오비교'!$C$7))+$H1048*SIN(RADIANS('13_시나리오비교'!$B$7))*COS(RADIANS('13_시나리오비교'!$C$7))+$I1048*COS(RADIANS('13_시나리오비교'!$B$7))),0)</f>
        <v/>
      </c>
      <c r="S1048" s="80">
        <f>IF($I1048&gt;0,MAX(0,$G1048*SIN(RADIANS('13_시나리오비교'!$B$8))*SIN(RADIANS('13_시나리오비교'!$C$8))+$H1048*SIN(RADIANS('13_시나리오비교'!$B$8))*COS(RADIANS('13_시나리오비교'!$C$8))+$I1048*COS(RADIANS('13_시나리오비교'!$B$8))),0)</f>
        <v/>
      </c>
      <c r="T1048" s="80">
        <f>IF($I1048&gt;0,MAX(0,$G1048*SIN(RADIANS('13_시나리오비교'!$B$9))*SIN(RADIANS('13_시나리오비교'!$C$9))+$H1048*SIN(RADIANS('13_시나리오비교'!$B$9))*COS(RADIANS('13_시나리오비교'!$C$9))+$I1048*COS(RADIANS('13_시나리오비교'!$B$9))),0)</f>
        <v/>
      </c>
      <c r="U1048" s="80">
        <f>IF($I1048&gt;0,MAX(0,$G1048*SIN(RADIANS('13_시나리오비교'!$B$10))*SIN(RADIANS('13_시나리오비교'!$C$10))+$H1048*SIN(RADIANS('13_시나리오비교'!$B$10))*COS(RADIANS('13_시나리오비교'!$C$10))+$I1048*COS(RADIANS('13_시나리오비교'!$B$10))),0)</f>
        <v/>
      </c>
      <c r="V1048" s="80">
        <f>IF($I1048&gt;0,MAX(0,$G1048*SIN(RADIANS('13_시나리오비교'!$B$11))*SIN(RADIANS('13_시나리오비교'!$C$11))+$H1048*SIN(RADIANS('13_시나리오비교'!$B$11))*COS(RADIANS('13_시나리오비교'!$C$11))+$I1048*COS(RADIANS('13_시나리오비교'!$B$11))),0)</f>
        <v/>
      </c>
      <c r="W1048" s="80">
        <f>IF($I1048&gt;0,MAX(0,$G1048*SIN(RADIANS('13_시나리오비교'!$B$12))*SIN(RADIANS('13_시나리오비교'!$C$12))+$H1048*SIN(RADIANS('13_시나리오비교'!$B$12))*COS(RADIANS('13_시나리오비교'!$C$12))+$I1048*COS(RADIANS('13_시나리오비교'!$B$12))),0)</f>
        <v/>
      </c>
      <c r="X1048" s="80">
        <f>IF($I1048&gt;0,MAX(0,$G1048*SIN(RADIANS('13_시나리오비교'!$B$13))*SIN(RADIANS('13_시나리오비교'!$C$13))+$H1048*SIN(RADIANS('13_시나리오비교'!$B$13))*COS(RADIANS('13_시나리오비교'!$C$13))+$I1048*COS(RADIANS('13_시나리오비교'!$B$13))),0)</f>
        <v/>
      </c>
      <c r="Y1048" s="80">
        <f>IF($I1048&gt;0,MAX(0,$G1048*SIN(RADIANS('13_시나리오비교'!$B$14))*SIN(RADIANS('13_시나리오비교'!$C$14))+$H1048*SIN(RADIANS('13_시나리오비교'!$B$14))*COS(RADIANS('13_시나리오비교'!$C$14))+$I1048*COS(RADIANS('13_시나리오비교'!$B$14))),0)</f>
        <v/>
      </c>
    </row>
    <row r="1049" hidden="1" outlineLevel="1">
      <c r="A1049" s="79" t="n">
        <v>11</v>
      </c>
      <c r="B1049" s="79" t="n">
        <v>69</v>
      </c>
      <c r="C1049" s="80">
        <f>(B1049-0.5)*'14_지역·상수'!$H$6</f>
        <v/>
      </c>
      <c r="D1049" s="79" t="n">
        <v>318</v>
      </c>
      <c r="E1049" s="80">
        <f>INDEX($C$4:$C$15,MATCH(A1049,$A$4:$A$15,0))</f>
        <v/>
      </c>
      <c r="F1049" s="80">
        <f>15*(C1049-12)</f>
        <v/>
      </c>
      <c r="G1049" s="80">
        <f>-COS(RADIANS(E1049))*SIN(RADIANS(F1049))</f>
        <v/>
      </c>
      <c r="H1049" s="80">
        <f>COS(RADIANS('11_발전량_모델'!$B$17))*SIN(RADIANS(E1049))-SIN(RADIANS('11_발전량_모델'!$B$17))*COS(RADIANS(E1049))*COS(RADIANS(F1049))</f>
        <v/>
      </c>
      <c r="I1049" s="80">
        <f>SIN(RADIANS('11_발전량_모델'!$B$17))*SIN(RADIANS(E1049))+COS(RADIANS('11_발전량_모델'!$B$17))*COS(RADIANS(E1049))*COS(RADIANS(F1049))</f>
        <v/>
      </c>
      <c r="J1049" s="80">
        <f>SIN(RADIANS('11_발전량_모델'!$B$7))*SIN(RADIANS('11_발전량_모델'!$B$8))</f>
        <v/>
      </c>
      <c r="K1049" s="80">
        <f>SIN(RADIANS('11_발전량_모델'!$B$7))*COS(RADIANS('11_발전량_모델'!$B$8))</f>
        <v/>
      </c>
      <c r="L1049" s="80">
        <f>COS(RADIANS('11_발전량_모델'!$B$7))</f>
        <v/>
      </c>
      <c r="M1049" s="80">
        <f>G1049*J1049+H1049*K1049+I1049*L1049</f>
        <v/>
      </c>
      <c r="N1049" s="80">
        <f>MAX(0,I1049)</f>
        <v/>
      </c>
      <c r="O1049" s="80">
        <f>IF(I1049&gt;0,MAX(0,M1049),0)</f>
        <v/>
      </c>
      <c r="P1049" s="80">
        <f>IF($I1049&gt;0,MAX(0,$G1049*SIN(RADIANS('13_시나리오비교'!$B$5))*SIN(RADIANS('13_시나리오비교'!$C$5))+$H1049*SIN(RADIANS('13_시나리오비교'!$B$5))*COS(RADIANS('13_시나리오비교'!$C$5))+$I1049*COS(RADIANS('13_시나리오비교'!$B$5))),0)</f>
        <v/>
      </c>
      <c r="Q1049" s="80">
        <f>IF($I1049&gt;0,MAX(0,$G1049*SIN(RADIANS('13_시나리오비교'!$B$6))*SIN(RADIANS('13_시나리오비교'!$C$6))+$H1049*SIN(RADIANS('13_시나리오비교'!$B$6))*COS(RADIANS('13_시나리오비교'!$C$6))+$I1049*COS(RADIANS('13_시나리오비교'!$B$6))),0)</f>
        <v/>
      </c>
      <c r="R1049" s="80">
        <f>IF($I1049&gt;0,MAX(0,$G1049*SIN(RADIANS('13_시나리오비교'!$B$7))*SIN(RADIANS('13_시나리오비교'!$C$7))+$H1049*SIN(RADIANS('13_시나리오비교'!$B$7))*COS(RADIANS('13_시나리오비교'!$C$7))+$I1049*COS(RADIANS('13_시나리오비교'!$B$7))),0)</f>
        <v/>
      </c>
      <c r="S1049" s="80">
        <f>IF($I1049&gt;0,MAX(0,$G1049*SIN(RADIANS('13_시나리오비교'!$B$8))*SIN(RADIANS('13_시나리오비교'!$C$8))+$H1049*SIN(RADIANS('13_시나리오비교'!$B$8))*COS(RADIANS('13_시나리오비교'!$C$8))+$I1049*COS(RADIANS('13_시나리오비교'!$B$8))),0)</f>
        <v/>
      </c>
      <c r="T1049" s="80">
        <f>IF($I1049&gt;0,MAX(0,$G1049*SIN(RADIANS('13_시나리오비교'!$B$9))*SIN(RADIANS('13_시나리오비교'!$C$9))+$H1049*SIN(RADIANS('13_시나리오비교'!$B$9))*COS(RADIANS('13_시나리오비교'!$C$9))+$I1049*COS(RADIANS('13_시나리오비교'!$B$9))),0)</f>
        <v/>
      </c>
      <c r="U1049" s="80">
        <f>IF($I1049&gt;0,MAX(0,$G1049*SIN(RADIANS('13_시나리오비교'!$B$10))*SIN(RADIANS('13_시나리오비교'!$C$10))+$H1049*SIN(RADIANS('13_시나리오비교'!$B$10))*COS(RADIANS('13_시나리오비교'!$C$10))+$I1049*COS(RADIANS('13_시나리오비교'!$B$10))),0)</f>
        <v/>
      </c>
      <c r="V1049" s="80">
        <f>IF($I1049&gt;0,MAX(0,$G1049*SIN(RADIANS('13_시나리오비교'!$B$11))*SIN(RADIANS('13_시나리오비교'!$C$11))+$H1049*SIN(RADIANS('13_시나리오비교'!$B$11))*COS(RADIANS('13_시나리오비교'!$C$11))+$I1049*COS(RADIANS('13_시나리오비교'!$B$11))),0)</f>
        <v/>
      </c>
      <c r="W1049" s="80">
        <f>IF($I1049&gt;0,MAX(0,$G1049*SIN(RADIANS('13_시나리오비교'!$B$12))*SIN(RADIANS('13_시나리오비교'!$C$12))+$H1049*SIN(RADIANS('13_시나리오비교'!$B$12))*COS(RADIANS('13_시나리오비교'!$C$12))+$I1049*COS(RADIANS('13_시나리오비교'!$B$12))),0)</f>
        <v/>
      </c>
      <c r="X1049" s="80">
        <f>IF($I1049&gt;0,MAX(0,$G1049*SIN(RADIANS('13_시나리오비교'!$B$13))*SIN(RADIANS('13_시나리오비교'!$C$13))+$H1049*SIN(RADIANS('13_시나리오비교'!$B$13))*COS(RADIANS('13_시나리오비교'!$C$13))+$I1049*COS(RADIANS('13_시나리오비교'!$B$13))),0)</f>
        <v/>
      </c>
      <c r="Y1049" s="80">
        <f>IF($I1049&gt;0,MAX(0,$G1049*SIN(RADIANS('13_시나리오비교'!$B$14))*SIN(RADIANS('13_시나리오비교'!$C$14))+$H1049*SIN(RADIANS('13_시나리오비교'!$B$14))*COS(RADIANS('13_시나리오비교'!$C$14))+$I1049*COS(RADIANS('13_시나리오비교'!$B$14))),0)</f>
        <v/>
      </c>
    </row>
    <row r="1050" hidden="1" outlineLevel="1">
      <c r="A1050" s="79" t="n">
        <v>11</v>
      </c>
      <c r="B1050" s="79" t="n">
        <v>70</v>
      </c>
      <c r="C1050" s="80">
        <f>(B1050-0.5)*'14_지역·상수'!$H$6</f>
        <v/>
      </c>
      <c r="D1050" s="79" t="n">
        <v>318</v>
      </c>
      <c r="E1050" s="80">
        <f>INDEX($C$4:$C$15,MATCH(A1050,$A$4:$A$15,0))</f>
        <v/>
      </c>
      <c r="F1050" s="80">
        <f>15*(C1050-12)</f>
        <v/>
      </c>
      <c r="G1050" s="80">
        <f>-COS(RADIANS(E1050))*SIN(RADIANS(F1050))</f>
        <v/>
      </c>
      <c r="H1050" s="80">
        <f>COS(RADIANS('11_발전량_모델'!$B$17))*SIN(RADIANS(E1050))-SIN(RADIANS('11_발전량_모델'!$B$17))*COS(RADIANS(E1050))*COS(RADIANS(F1050))</f>
        <v/>
      </c>
      <c r="I1050" s="80">
        <f>SIN(RADIANS('11_발전량_모델'!$B$17))*SIN(RADIANS(E1050))+COS(RADIANS('11_발전량_모델'!$B$17))*COS(RADIANS(E1050))*COS(RADIANS(F1050))</f>
        <v/>
      </c>
      <c r="J1050" s="80">
        <f>SIN(RADIANS('11_발전량_모델'!$B$7))*SIN(RADIANS('11_발전량_모델'!$B$8))</f>
        <v/>
      </c>
      <c r="K1050" s="80">
        <f>SIN(RADIANS('11_발전량_모델'!$B$7))*COS(RADIANS('11_발전량_모델'!$B$8))</f>
        <v/>
      </c>
      <c r="L1050" s="80">
        <f>COS(RADIANS('11_발전량_모델'!$B$7))</f>
        <v/>
      </c>
      <c r="M1050" s="80">
        <f>G1050*J1050+H1050*K1050+I1050*L1050</f>
        <v/>
      </c>
      <c r="N1050" s="80">
        <f>MAX(0,I1050)</f>
        <v/>
      </c>
      <c r="O1050" s="80">
        <f>IF(I1050&gt;0,MAX(0,M1050),0)</f>
        <v/>
      </c>
      <c r="P1050" s="80">
        <f>IF($I1050&gt;0,MAX(0,$G1050*SIN(RADIANS('13_시나리오비교'!$B$5))*SIN(RADIANS('13_시나리오비교'!$C$5))+$H1050*SIN(RADIANS('13_시나리오비교'!$B$5))*COS(RADIANS('13_시나리오비교'!$C$5))+$I1050*COS(RADIANS('13_시나리오비교'!$B$5))),0)</f>
        <v/>
      </c>
      <c r="Q1050" s="80">
        <f>IF($I1050&gt;0,MAX(0,$G1050*SIN(RADIANS('13_시나리오비교'!$B$6))*SIN(RADIANS('13_시나리오비교'!$C$6))+$H1050*SIN(RADIANS('13_시나리오비교'!$B$6))*COS(RADIANS('13_시나리오비교'!$C$6))+$I1050*COS(RADIANS('13_시나리오비교'!$B$6))),0)</f>
        <v/>
      </c>
      <c r="R1050" s="80">
        <f>IF($I1050&gt;0,MAX(0,$G1050*SIN(RADIANS('13_시나리오비교'!$B$7))*SIN(RADIANS('13_시나리오비교'!$C$7))+$H1050*SIN(RADIANS('13_시나리오비교'!$B$7))*COS(RADIANS('13_시나리오비교'!$C$7))+$I1050*COS(RADIANS('13_시나리오비교'!$B$7))),0)</f>
        <v/>
      </c>
      <c r="S1050" s="80">
        <f>IF($I1050&gt;0,MAX(0,$G1050*SIN(RADIANS('13_시나리오비교'!$B$8))*SIN(RADIANS('13_시나리오비교'!$C$8))+$H1050*SIN(RADIANS('13_시나리오비교'!$B$8))*COS(RADIANS('13_시나리오비교'!$C$8))+$I1050*COS(RADIANS('13_시나리오비교'!$B$8))),0)</f>
        <v/>
      </c>
      <c r="T1050" s="80">
        <f>IF($I1050&gt;0,MAX(0,$G1050*SIN(RADIANS('13_시나리오비교'!$B$9))*SIN(RADIANS('13_시나리오비교'!$C$9))+$H1050*SIN(RADIANS('13_시나리오비교'!$B$9))*COS(RADIANS('13_시나리오비교'!$C$9))+$I1050*COS(RADIANS('13_시나리오비교'!$B$9))),0)</f>
        <v/>
      </c>
      <c r="U1050" s="80">
        <f>IF($I1050&gt;0,MAX(0,$G1050*SIN(RADIANS('13_시나리오비교'!$B$10))*SIN(RADIANS('13_시나리오비교'!$C$10))+$H1050*SIN(RADIANS('13_시나리오비교'!$B$10))*COS(RADIANS('13_시나리오비교'!$C$10))+$I1050*COS(RADIANS('13_시나리오비교'!$B$10))),0)</f>
        <v/>
      </c>
      <c r="V1050" s="80">
        <f>IF($I1050&gt;0,MAX(0,$G1050*SIN(RADIANS('13_시나리오비교'!$B$11))*SIN(RADIANS('13_시나리오비교'!$C$11))+$H1050*SIN(RADIANS('13_시나리오비교'!$B$11))*COS(RADIANS('13_시나리오비교'!$C$11))+$I1050*COS(RADIANS('13_시나리오비교'!$B$11))),0)</f>
        <v/>
      </c>
      <c r="W1050" s="80">
        <f>IF($I1050&gt;0,MAX(0,$G1050*SIN(RADIANS('13_시나리오비교'!$B$12))*SIN(RADIANS('13_시나리오비교'!$C$12))+$H1050*SIN(RADIANS('13_시나리오비교'!$B$12))*COS(RADIANS('13_시나리오비교'!$C$12))+$I1050*COS(RADIANS('13_시나리오비교'!$B$12))),0)</f>
        <v/>
      </c>
      <c r="X1050" s="80">
        <f>IF($I1050&gt;0,MAX(0,$G1050*SIN(RADIANS('13_시나리오비교'!$B$13))*SIN(RADIANS('13_시나리오비교'!$C$13))+$H1050*SIN(RADIANS('13_시나리오비교'!$B$13))*COS(RADIANS('13_시나리오비교'!$C$13))+$I1050*COS(RADIANS('13_시나리오비교'!$B$13))),0)</f>
        <v/>
      </c>
      <c r="Y1050" s="80">
        <f>IF($I1050&gt;0,MAX(0,$G1050*SIN(RADIANS('13_시나리오비교'!$B$14))*SIN(RADIANS('13_시나리오비교'!$C$14))+$H1050*SIN(RADIANS('13_시나리오비교'!$B$14))*COS(RADIANS('13_시나리오비교'!$C$14))+$I1050*COS(RADIANS('13_시나리오비교'!$B$14))),0)</f>
        <v/>
      </c>
    </row>
    <row r="1051" hidden="1" outlineLevel="1">
      <c r="A1051" s="79" t="n">
        <v>11</v>
      </c>
      <c r="B1051" s="79" t="n">
        <v>71</v>
      </c>
      <c r="C1051" s="80">
        <f>(B1051-0.5)*'14_지역·상수'!$H$6</f>
        <v/>
      </c>
      <c r="D1051" s="79" t="n">
        <v>318</v>
      </c>
      <c r="E1051" s="80">
        <f>INDEX($C$4:$C$15,MATCH(A1051,$A$4:$A$15,0))</f>
        <v/>
      </c>
      <c r="F1051" s="80">
        <f>15*(C1051-12)</f>
        <v/>
      </c>
      <c r="G1051" s="80">
        <f>-COS(RADIANS(E1051))*SIN(RADIANS(F1051))</f>
        <v/>
      </c>
      <c r="H1051" s="80">
        <f>COS(RADIANS('11_발전량_모델'!$B$17))*SIN(RADIANS(E1051))-SIN(RADIANS('11_발전량_모델'!$B$17))*COS(RADIANS(E1051))*COS(RADIANS(F1051))</f>
        <v/>
      </c>
      <c r="I1051" s="80">
        <f>SIN(RADIANS('11_발전량_모델'!$B$17))*SIN(RADIANS(E1051))+COS(RADIANS('11_발전량_모델'!$B$17))*COS(RADIANS(E1051))*COS(RADIANS(F1051))</f>
        <v/>
      </c>
      <c r="J1051" s="80">
        <f>SIN(RADIANS('11_발전량_모델'!$B$7))*SIN(RADIANS('11_발전량_모델'!$B$8))</f>
        <v/>
      </c>
      <c r="K1051" s="80">
        <f>SIN(RADIANS('11_발전량_모델'!$B$7))*COS(RADIANS('11_발전량_모델'!$B$8))</f>
        <v/>
      </c>
      <c r="L1051" s="80">
        <f>COS(RADIANS('11_발전량_모델'!$B$7))</f>
        <v/>
      </c>
      <c r="M1051" s="80">
        <f>G1051*J1051+H1051*K1051+I1051*L1051</f>
        <v/>
      </c>
      <c r="N1051" s="80">
        <f>MAX(0,I1051)</f>
        <v/>
      </c>
      <c r="O1051" s="80">
        <f>IF(I1051&gt;0,MAX(0,M1051),0)</f>
        <v/>
      </c>
      <c r="P1051" s="80">
        <f>IF($I1051&gt;0,MAX(0,$G1051*SIN(RADIANS('13_시나리오비교'!$B$5))*SIN(RADIANS('13_시나리오비교'!$C$5))+$H1051*SIN(RADIANS('13_시나리오비교'!$B$5))*COS(RADIANS('13_시나리오비교'!$C$5))+$I1051*COS(RADIANS('13_시나리오비교'!$B$5))),0)</f>
        <v/>
      </c>
      <c r="Q1051" s="80">
        <f>IF($I1051&gt;0,MAX(0,$G1051*SIN(RADIANS('13_시나리오비교'!$B$6))*SIN(RADIANS('13_시나리오비교'!$C$6))+$H1051*SIN(RADIANS('13_시나리오비교'!$B$6))*COS(RADIANS('13_시나리오비교'!$C$6))+$I1051*COS(RADIANS('13_시나리오비교'!$B$6))),0)</f>
        <v/>
      </c>
      <c r="R1051" s="80">
        <f>IF($I1051&gt;0,MAX(0,$G1051*SIN(RADIANS('13_시나리오비교'!$B$7))*SIN(RADIANS('13_시나리오비교'!$C$7))+$H1051*SIN(RADIANS('13_시나리오비교'!$B$7))*COS(RADIANS('13_시나리오비교'!$C$7))+$I1051*COS(RADIANS('13_시나리오비교'!$B$7))),0)</f>
        <v/>
      </c>
      <c r="S1051" s="80">
        <f>IF($I1051&gt;0,MAX(0,$G1051*SIN(RADIANS('13_시나리오비교'!$B$8))*SIN(RADIANS('13_시나리오비교'!$C$8))+$H1051*SIN(RADIANS('13_시나리오비교'!$B$8))*COS(RADIANS('13_시나리오비교'!$C$8))+$I1051*COS(RADIANS('13_시나리오비교'!$B$8))),0)</f>
        <v/>
      </c>
      <c r="T1051" s="80">
        <f>IF($I1051&gt;0,MAX(0,$G1051*SIN(RADIANS('13_시나리오비교'!$B$9))*SIN(RADIANS('13_시나리오비교'!$C$9))+$H1051*SIN(RADIANS('13_시나리오비교'!$B$9))*COS(RADIANS('13_시나리오비교'!$C$9))+$I1051*COS(RADIANS('13_시나리오비교'!$B$9))),0)</f>
        <v/>
      </c>
      <c r="U1051" s="80">
        <f>IF($I1051&gt;0,MAX(0,$G1051*SIN(RADIANS('13_시나리오비교'!$B$10))*SIN(RADIANS('13_시나리오비교'!$C$10))+$H1051*SIN(RADIANS('13_시나리오비교'!$B$10))*COS(RADIANS('13_시나리오비교'!$C$10))+$I1051*COS(RADIANS('13_시나리오비교'!$B$10))),0)</f>
        <v/>
      </c>
      <c r="V1051" s="80">
        <f>IF($I1051&gt;0,MAX(0,$G1051*SIN(RADIANS('13_시나리오비교'!$B$11))*SIN(RADIANS('13_시나리오비교'!$C$11))+$H1051*SIN(RADIANS('13_시나리오비교'!$B$11))*COS(RADIANS('13_시나리오비교'!$C$11))+$I1051*COS(RADIANS('13_시나리오비교'!$B$11))),0)</f>
        <v/>
      </c>
      <c r="W1051" s="80">
        <f>IF($I1051&gt;0,MAX(0,$G1051*SIN(RADIANS('13_시나리오비교'!$B$12))*SIN(RADIANS('13_시나리오비교'!$C$12))+$H1051*SIN(RADIANS('13_시나리오비교'!$B$12))*COS(RADIANS('13_시나리오비교'!$C$12))+$I1051*COS(RADIANS('13_시나리오비교'!$B$12))),0)</f>
        <v/>
      </c>
      <c r="X1051" s="80">
        <f>IF($I1051&gt;0,MAX(0,$G1051*SIN(RADIANS('13_시나리오비교'!$B$13))*SIN(RADIANS('13_시나리오비교'!$C$13))+$H1051*SIN(RADIANS('13_시나리오비교'!$B$13))*COS(RADIANS('13_시나리오비교'!$C$13))+$I1051*COS(RADIANS('13_시나리오비교'!$B$13))),0)</f>
        <v/>
      </c>
      <c r="Y1051" s="80">
        <f>IF($I1051&gt;0,MAX(0,$G1051*SIN(RADIANS('13_시나리오비교'!$B$14))*SIN(RADIANS('13_시나리오비교'!$C$14))+$H1051*SIN(RADIANS('13_시나리오비교'!$B$14))*COS(RADIANS('13_시나리오비교'!$C$14))+$I1051*COS(RADIANS('13_시나리오비교'!$B$14))),0)</f>
        <v/>
      </c>
    </row>
    <row r="1052" hidden="1" outlineLevel="1">
      <c r="A1052" s="79" t="n">
        <v>11</v>
      </c>
      <c r="B1052" s="79" t="n">
        <v>72</v>
      </c>
      <c r="C1052" s="80">
        <f>(B1052-0.5)*'14_지역·상수'!$H$6</f>
        <v/>
      </c>
      <c r="D1052" s="79" t="n">
        <v>318</v>
      </c>
      <c r="E1052" s="80">
        <f>INDEX($C$4:$C$15,MATCH(A1052,$A$4:$A$15,0))</f>
        <v/>
      </c>
      <c r="F1052" s="80">
        <f>15*(C1052-12)</f>
        <v/>
      </c>
      <c r="G1052" s="80">
        <f>-COS(RADIANS(E1052))*SIN(RADIANS(F1052))</f>
        <v/>
      </c>
      <c r="H1052" s="80">
        <f>COS(RADIANS('11_발전량_모델'!$B$17))*SIN(RADIANS(E1052))-SIN(RADIANS('11_발전량_모델'!$B$17))*COS(RADIANS(E1052))*COS(RADIANS(F1052))</f>
        <v/>
      </c>
      <c r="I1052" s="80">
        <f>SIN(RADIANS('11_발전량_모델'!$B$17))*SIN(RADIANS(E1052))+COS(RADIANS('11_발전량_모델'!$B$17))*COS(RADIANS(E1052))*COS(RADIANS(F1052))</f>
        <v/>
      </c>
      <c r="J1052" s="80">
        <f>SIN(RADIANS('11_발전량_모델'!$B$7))*SIN(RADIANS('11_발전량_모델'!$B$8))</f>
        <v/>
      </c>
      <c r="K1052" s="80">
        <f>SIN(RADIANS('11_발전량_모델'!$B$7))*COS(RADIANS('11_발전량_모델'!$B$8))</f>
        <v/>
      </c>
      <c r="L1052" s="80">
        <f>COS(RADIANS('11_발전량_모델'!$B$7))</f>
        <v/>
      </c>
      <c r="M1052" s="80">
        <f>G1052*J1052+H1052*K1052+I1052*L1052</f>
        <v/>
      </c>
      <c r="N1052" s="80">
        <f>MAX(0,I1052)</f>
        <v/>
      </c>
      <c r="O1052" s="80">
        <f>IF(I1052&gt;0,MAX(0,M1052),0)</f>
        <v/>
      </c>
      <c r="P1052" s="80">
        <f>IF($I1052&gt;0,MAX(0,$G1052*SIN(RADIANS('13_시나리오비교'!$B$5))*SIN(RADIANS('13_시나리오비교'!$C$5))+$H1052*SIN(RADIANS('13_시나리오비교'!$B$5))*COS(RADIANS('13_시나리오비교'!$C$5))+$I1052*COS(RADIANS('13_시나리오비교'!$B$5))),0)</f>
        <v/>
      </c>
      <c r="Q1052" s="80">
        <f>IF($I1052&gt;0,MAX(0,$G1052*SIN(RADIANS('13_시나리오비교'!$B$6))*SIN(RADIANS('13_시나리오비교'!$C$6))+$H1052*SIN(RADIANS('13_시나리오비교'!$B$6))*COS(RADIANS('13_시나리오비교'!$C$6))+$I1052*COS(RADIANS('13_시나리오비교'!$B$6))),0)</f>
        <v/>
      </c>
      <c r="R1052" s="80">
        <f>IF($I1052&gt;0,MAX(0,$G1052*SIN(RADIANS('13_시나리오비교'!$B$7))*SIN(RADIANS('13_시나리오비교'!$C$7))+$H1052*SIN(RADIANS('13_시나리오비교'!$B$7))*COS(RADIANS('13_시나리오비교'!$C$7))+$I1052*COS(RADIANS('13_시나리오비교'!$B$7))),0)</f>
        <v/>
      </c>
      <c r="S1052" s="80">
        <f>IF($I1052&gt;0,MAX(0,$G1052*SIN(RADIANS('13_시나리오비교'!$B$8))*SIN(RADIANS('13_시나리오비교'!$C$8))+$H1052*SIN(RADIANS('13_시나리오비교'!$B$8))*COS(RADIANS('13_시나리오비교'!$C$8))+$I1052*COS(RADIANS('13_시나리오비교'!$B$8))),0)</f>
        <v/>
      </c>
      <c r="T1052" s="80">
        <f>IF($I1052&gt;0,MAX(0,$G1052*SIN(RADIANS('13_시나리오비교'!$B$9))*SIN(RADIANS('13_시나리오비교'!$C$9))+$H1052*SIN(RADIANS('13_시나리오비교'!$B$9))*COS(RADIANS('13_시나리오비교'!$C$9))+$I1052*COS(RADIANS('13_시나리오비교'!$B$9))),0)</f>
        <v/>
      </c>
      <c r="U1052" s="80">
        <f>IF($I1052&gt;0,MAX(0,$G1052*SIN(RADIANS('13_시나리오비교'!$B$10))*SIN(RADIANS('13_시나리오비교'!$C$10))+$H1052*SIN(RADIANS('13_시나리오비교'!$B$10))*COS(RADIANS('13_시나리오비교'!$C$10))+$I1052*COS(RADIANS('13_시나리오비교'!$B$10))),0)</f>
        <v/>
      </c>
      <c r="V1052" s="80">
        <f>IF($I1052&gt;0,MAX(0,$G1052*SIN(RADIANS('13_시나리오비교'!$B$11))*SIN(RADIANS('13_시나리오비교'!$C$11))+$H1052*SIN(RADIANS('13_시나리오비교'!$B$11))*COS(RADIANS('13_시나리오비교'!$C$11))+$I1052*COS(RADIANS('13_시나리오비교'!$B$11))),0)</f>
        <v/>
      </c>
      <c r="W1052" s="80">
        <f>IF($I1052&gt;0,MAX(0,$G1052*SIN(RADIANS('13_시나리오비교'!$B$12))*SIN(RADIANS('13_시나리오비교'!$C$12))+$H1052*SIN(RADIANS('13_시나리오비교'!$B$12))*COS(RADIANS('13_시나리오비교'!$C$12))+$I1052*COS(RADIANS('13_시나리오비교'!$B$12))),0)</f>
        <v/>
      </c>
      <c r="X1052" s="80">
        <f>IF($I1052&gt;0,MAX(0,$G1052*SIN(RADIANS('13_시나리오비교'!$B$13))*SIN(RADIANS('13_시나리오비교'!$C$13))+$H1052*SIN(RADIANS('13_시나리오비교'!$B$13))*COS(RADIANS('13_시나리오비교'!$C$13))+$I1052*COS(RADIANS('13_시나리오비교'!$B$13))),0)</f>
        <v/>
      </c>
      <c r="Y1052" s="80">
        <f>IF($I1052&gt;0,MAX(0,$G1052*SIN(RADIANS('13_시나리오비교'!$B$14))*SIN(RADIANS('13_시나리오비교'!$C$14))+$H1052*SIN(RADIANS('13_시나리오비교'!$B$14))*COS(RADIANS('13_시나리오비교'!$C$14))+$I1052*COS(RADIANS('13_시나리오비교'!$B$14))),0)</f>
        <v/>
      </c>
    </row>
    <row r="1053" hidden="1" outlineLevel="1">
      <c r="A1053" s="79" t="n">
        <v>11</v>
      </c>
      <c r="B1053" s="79" t="n">
        <v>73</v>
      </c>
      <c r="C1053" s="80">
        <f>(B1053-0.5)*'14_지역·상수'!$H$6</f>
        <v/>
      </c>
      <c r="D1053" s="79" t="n">
        <v>318</v>
      </c>
      <c r="E1053" s="80">
        <f>INDEX($C$4:$C$15,MATCH(A1053,$A$4:$A$15,0))</f>
        <v/>
      </c>
      <c r="F1053" s="80">
        <f>15*(C1053-12)</f>
        <v/>
      </c>
      <c r="G1053" s="80">
        <f>-COS(RADIANS(E1053))*SIN(RADIANS(F1053))</f>
        <v/>
      </c>
      <c r="H1053" s="80">
        <f>COS(RADIANS('11_발전량_모델'!$B$17))*SIN(RADIANS(E1053))-SIN(RADIANS('11_발전량_모델'!$B$17))*COS(RADIANS(E1053))*COS(RADIANS(F1053))</f>
        <v/>
      </c>
      <c r="I1053" s="80">
        <f>SIN(RADIANS('11_발전량_모델'!$B$17))*SIN(RADIANS(E1053))+COS(RADIANS('11_발전량_모델'!$B$17))*COS(RADIANS(E1053))*COS(RADIANS(F1053))</f>
        <v/>
      </c>
      <c r="J1053" s="80">
        <f>SIN(RADIANS('11_발전량_모델'!$B$7))*SIN(RADIANS('11_발전량_모델'!$B$8))</f>
        <v/>
      </c>
      <c r="K1053" s="80">
        <f>SIN(RADIANS('11_발전량_모델'!$B$7))*COS(RADIANS('11_발전량_모델'!$B$8))</f>
        <v/>
      </c>
      <c r="L1053" s="80">
        <f>COS(RADIANS('11_발전량_모델'!$B$7))</f>
        <v/>
      </c>
      <c r="M1053" s="80">
        <f>G1053*J1053+H1053*K1053+I1053*L1053</f>
        <v/>
      </c>
      <c r="N1053" s="80">
        <f>MAX(0,I1053)</f>
        <v/>
      </c>
      <c r="O1053" s="80">
        <f>IF(I1053&gt;0,MAX(0,M1053),0)</f>
        <v/>
      </c>
      <c r="P1053" s="80">
        <f>IF($I1053&gt;0,MAX(0,$G1053*SIN(RADIANS('13_시나리오비교'!$B$5))*SIN(RADIANS('13_시나리오비교'!$C$5))+$H1053*SIN(RADIANS('13_시나리오비교'!$B$5))*COS(RADIANS('13_시나리오비교'!$C$5))+$I1053*COS(RADIANS('13_시나리오비교'!$B$5))),0)</f>
        <v/>
      </c>
      <c r="Q1053" s="80">
        <f>IF($I1053&gt;0,MAX(0,$G1053*SIN(RADIANS('13_시나리오비교'!$B$6))*SIN(RADIANS('13_시나리오비교'!$C$6))+$H1053*SIN(RADIANS('13_시나리오비교'!$B$6))*COS(RADIANS('13_시나리오비교'!$C$6))+$I1053*COS(RADIANS('13_시나리오비교'!$B$6))),0)</f>
        <v/>
      </c>
      <c r="R1053" s="80">
        <f>IF($I1053&gt;0,MAX(0,$G1053*SIN(RADIANS('13_시나리오비교'!$B$7))*SIN(RADIANS('13_시나리오비교'!$C$7))+$H1053*SIN(RADIANS('13_시나리오비교'!$B$7))*COS(RADIANS('13_시나리오비교'!$C$7))+$I1053*COS(RADIANS('13_시나리오비교'!$B$7))),0)</f>
        <v/>
      </c>
      <c r="S1053" s="80">
        <f>IF($I1053&gt;0,MAX(0,$G1053*SIN(RADIANS('13_시나리오비교'!$B$8))*SIN(RADIANS('13_시나리오비교'!$C$8))+$H1053*SIN(RADIANS('13_시나리오비교'!$B$8))*COS(RADIANS('13_시나리오비교'!$C$8))+$I1053*COS(RADIANS('13_시나리오비교'!$B$8))),0)</f>
        <v/>
      </c>
      <c r="T1053" s="80">
        <f>IF($I1053&gt;0,MAX(0,$G1053*SIN(RADIANS('13_시나리오비교'!$B$9))*SIN(RADIANS('13_시나리오비교'!$C$9))+$H1053*SIN(RADIANS('13_시나리오비교'!$B$9))*COS(RADIANS('13_시나리오비교'!$C$9))+$I1053*COS(RADIANS('13_시나리오비교'!$B$9))),0)</f>
        <v/>
      </c>
      <c r="U1053" s="80">
        <f>IF($I1053&gt;0,MAX(0,$G1053*SIN(RADIANS('13_시나리오비교'!$B$10))*SIN(RADIANS('13_시나리오비교'!$C$10))+$H1053*SIN(RADIANS('13_시나리오비교'!$B$10))*COS(RADIANS('13_시나리오비교'!$C$10))+$I1053*COS(RADIANS('13_시나리오비교'!$B$10))),0)</f>
        <v/>
      </c>
      <c r="V1053" s="80">
        <f>IF($I1053&gt;0,MAX(0,$G1053*SIN(RADIANS('13_시나리오비교'!$B$11))*SIN(RADIANS('13_시나리오비교'!$C$11))+$H1053*SIN(RADIANS('13_시나리오비교'!$B$11))*COS(RADIANS('13_시나리오비교'!$C$11))+$I1053*COS(RADIANS('13_시나리오비교'!$B$11))),0)</f>
        <v/>
      </c>
      <c r="W1053" s="80">
        <f>IF($I1053&gt;0,MAX(0,$G1053*SIN(RADIANS('13_시나리오비교'!$B$12))*SIN(RADIANS('13_시나리오비교'!$C$12))+$H1053*SIN(RADIANS('13_시나리오비교'!$B$12))*COS(RADIANS('13_시나리오비교'!$C$12))+$I1053*COS(RADIANS('13_시나리오비교'!$B$12))),0)</f>
        <v/>
      </c>
      <c r="X1053" s="80">
        <f>IF($I1053&gt;0,MAX(0,$G1053*SIN(RADIANS('13_시나리오비교'!$B$13))*SIN(RADIANS('13_시나리오비교'!$C$13))+$H1053*SIN(RADIANS('13_시나리오비교'!$B$13))*COS(RADIANS('13_시나리오비교'!$C$13))+$I1053*COS(RADIANS('13_시나리오비교'!$B$13))),0)</f>
        <v/>
      </c>
      <c r="Y1053" s="80">
        <f>IF($I1053&gt;0,MAX(0,$G1053*SIN(RADIANS('13_시나리오비교'!$B$14))*SIN(RADIANS('13_시나리오비교'!$C$14))+$H1053*SIN(RADIANS('13_시나리오비교'!$B$14))*COS(RADIANS('13_시나리오비교'!$C$14))+$I1053*COS(RADIANS('13_시나리오비교'!$B$14))),0)</f>
        <v/>
      </c>
    </row>
    <row r="1054" hidden="1" outlineLevel="1">
      <c r="A1054" s="79" t="n">
        <v>11</v>
      </c>
      <c r="B1054" s="79" t="n">
        <v>74</v>
      </c>
      <c r="C1054" s="80">
        <f>(B1054-0.5)*'14_지역·상수'!$H$6</f>
        <v/>
      </c>
      <c r="D1054" s="79" t="n">
        <v>318</v>
      </c>
      <c r="E1054" s="80">
        <f>INDEX($C$4:$C$15,MATCH(A1054,$A$4:$A$15,0))</f>
        <v/>
      </c>
      <c r="F1054" s="80">
        <f>15*(C1054-12)</f>
        <v/>
      </c>
      <c r="G1054" s="80">
        <f>-COS(RADIANS(E1054))*SIN(RADIANS(F1054))</f>
        <v/>
      </c>
      <c r="H1054" s="80">
        <f>COS(RADIANS('11_발전량_모델'!$B$17))*SIN(RADIANS(E1054))-SIN(RADIANS('11_발전량_모델'!$B$17))*COS(RADIANS(E1054))*COS(RADIANS(F1054))</f>
        <v/>
      </c>
      <c r="I1054" s="80">
        <f>SIN(RADIANS('11_발전량_모델'!$B$17))*SIN(RADIANS(E1054))+COS(RADIANS('11_발전량_모델'!$B$17))*COS(RADIANS(E1054))*COS(RADIANS(F1054))</f>
        <v/>
      </c>
      <c r="J1054" s="80">
        <f>SIN(RADIANS('11_발전량_모델'!$B$7))*SIN(RADIANS('11_발전량_모델'!$B$8))</f>
        <v/>
      </c>
      <c r="K1054" s="80">
        <f>SIN(RADIANS('11_발전량_모델'!$B$7))*COS(RADIANS('11_발전량_모델'!$B$8))</f>
        <v/>
      </c>
      <c r="L1054" s="80">
        <f>COS(RADIANS('11_발전량_모델'!$B$7))</f>
        <v/>
      </c>
      <c r="M1054" s="80">
        <f>G1054*J1054+H1054*K1054+I1054*L1054</f>
        <v/>
      </c>
      <c r="N1054" s="80">
        <f>MAX(0,I1054)</f>
        <v/>
      </c>
      <c r="O1054" s="80">
        <f>IF(I1054&gt;0,MAX(0,M1054),0)</f>
        <v/>
      </c>
      <c r="P1054" s="80">
        <f>IF($I1054&gt;0,MAX(0,$G1054*SIN(RADIANS('13_시나리오비교'!$B$5))*SIN(RADIANS('13_시나리오비교'!$C$5))+$H1054*SIN(RADIANS('13_시나리오비교'!$B$5))*COS(RADIANS('13_시나리오비교'!$C$5))+$I1054*COS(RADIANS('13_시나리오비교'!$B$5))),0)</f>
        <v/>
      </c>
      <c r="Q1054" s="80">
        <f>IF($I1054&gt;0,MAX(0,$G1054*SIN(RADIANS('13_시나리오비교'!$B$6))*SIN(RADIANS('13_시나리오비교'!$C$6))+$H1054*SIN(RADIANS('13_시나리오비교'!$B$6))*COS(RADIANS('13_시나리오비교'!$C$6))+$I1054*COS(RADIANS('13_시나리오비교'!$B$6))),0)</f>
        <v/>
      </c>
      <c r="R1054" s="80">
        <f>IF($I1054&gt;0,MAX(0,$G1054*SIN(RADIANS('13_시나리오비교'!$B$7))*SIN(RADIANS('13_시나리오비교'!$C$7))+$H1054*SIN(RADIANS('13_시나리오비교'!$B$7))*COS(RADIANS('13_시나리오비교'!$C$7))+$I1054*COS(RADIANS('13_시나리오비교'!$B$7))),0)</f>
        <v/>
      </c>
      <c r="S1054" s="80">
        <f>IF($I1054&gt;0,MAX(0,$G1054*SIN(RADIANS('13_시나리오비교'!$B$8))*SIN(RADIANS('13_시나리오비교'!$C$8))+$H1054*SIN(RADIANS('13_시나리오비교'!$B$8))*COS(RADIANS('13_시나리오비교'!$C$8))+$I1054*COS(RADIANS('13_시나리오비교'!$B$8))),0)</f>
        <v/>
      </c>
      <c r="T1054" s="80">
        <f>IF($I1054&gt;0,MAX(0,$G1054*SIN(RADIANS('13_시나리오비교'!$B$9))*SIN(RADIANS('13_시나리오비교'!$C$9))+$H1054*SIN(RADIANS('13_시나리오비교'!$B$9))*COS(RADIANS('13_시나리오비교'!$C$9))+$I1054*COS(RADIANS('13_시나리오비교'!$B$9))),0)</f>
        <v/>
      </c>
      <c r="U1054" s="80">
        <f>IF($I1054&gt;0,MAX(0,$G1054*SIN(RADIANS('13_시나리오비교'!$B$10))*SIN(RADIANS('13_시나리오비교'!$C$10))+$H1054*SIN(RADIANS('13_시나리오비교'!$B$10))*COS(RADIANS('13_시나리오비교'!$C$10))+$I1054*COS(RADIANS('13_시나리오비교'!$B$10))),0)</f>
        <v/>
      </c>
      <c r="V1054" s="80">
        <f>IF($I1054&gt;0,MAX(0,$G1054*SIN(RADIANS('13_시나리오비교'!$B$11))*SIN(RADIANS('13_시나리오비교'!$C$11))+$H1054*SIN(RADIANS('13_시나리오비교'!$B$11))*COS(RADIANS('13_시나리오비교'!$C$11))+$I1054*COS(RADIANS('13_시나리오비교'!$B$11))),0)</f>
        <v/>
      </c>
      <c r="W1054" s="80">
        <f>IF($I1054&gt;0,MAX(0,$G1054*SIN(RADIANS('13_시나리오비교'!$B$12))*SIN(RADIANS('13_시나리오비교'!$C$12))+$H1054*SIN(RADIANS('13_시나리오비교'!$B$12))*COS(RADIANS('13_시나리오비교'!$C$12))+$I1054*COS(RADIANS('13_시나리오비교'!$B$12))),0)</f>
        <v/>
      </c>
      <c r="X1054" s="80">
        <f>IF($I1054&gt;0,MAX(0,$G1054*SIN(RADIANS('13_시나리오비교'!$B$13))*SIN(RADIANS('13_시나리오비교'!$C$13))+$H1054*SIN(RADIANS('13_시나리오비교'!$B$13))*COS(RADIANS('13_시나리오비교'!$C$13))+$I1054*COS(RADIANS('13_시나리오비교'!$B$13))),0)</f>
        <v/>
      </c>
      <c r="Y1054" s="80">
        <f>IF($I1054&gt;0,MAX(0,$G1054*SIN(RADIANS('13_시나리오비교'!$B$14))*SIN(RADIANS('13_시나리오비교'!$C$14))+$H1054*SIN(RADIANS('13_시나리오비교'!$B$14))*COS(RADIANS('13_시나리오비교'!$C$14))+$I1054*COS(RADIANS('13_시나리오비교'!$B$14))),0)</f>
        <v/>
      </c>
    </row>
    <row r="1055" hidden="1" outlineLevel="1">
      <c r="A1055" s="79" t="n">
        <v>11</v>
      </c>
      <c r="B1055" s="79" t="n">
        <v>75</v>
      </c>
      <c r="C1055" s="80">
        <f>(B1055-0.5)*'14_지역·상수'!$H$6</f>
        <v/>
      </c>
      <c r="D1055" s="79" t="n">
        <v>318</v>
      </c>
      <c r="E1055" s="80">
        <f>INDEX($C$4:$C$15,MATCH(A1055,$A$4:$A$15,0))</f>
        <v/>
      </c>
      <c r="F1055" s="80">
        <f>15*(C1055-12)</f>
        <v/>
      </c>
      <c r="G1055" s="80">
        <f>-COS(RADIANS(E1055))*SIN(RADIANS(F1055))</f>
        <v/>
      </c>
      <c r="H1055" s="80">
        <f>COS(RADIANS('11_발전량_모델'!$B$17))*SIN(RADIANS(E1055))-SIN(RADIANS('11_발전량_모델'!$B$17))*COS(RADIANS(E1055))*COS(RADIANS(F1055))</f>
        <v/>
      </c>
      <c r="I1055" s="80">
        <f>SIN(RADIANS('11_발전량_모델'!$B$17))*SIN(RADIANS(E1055))+COS(RADIANS('11_발전량_모델'!$B$17))*COS(RADIANS(E1055))*COS(RADIANS(F1055))</f>
        <v/>
      </c>
      <c r="J1055" s="80">
        <f>SIN(RADIANS('11_발전량_모델'!$B$7))*SIN(RADIANS('11_발전량_모델'!$B$8))</f>
        <v/>
      </c>
      <c r="K1055" s="80">
        <f>SIN(RADIANS('11_발전량_모델'!$B$7))*COS(RADIANS('11_발전량_모델'!$B$8))</f>
        <v/>
      </c>
      <c r="L1055" s="80">
        <f>COS(RADIANS('11_발전량_모델'!$B$7))</f>
        <v/>
      </c>
      <c r="M1055" s="80">
        <f>G1055*J1055+H1055*K1055+I1055*L1055</f>
        <v/>
      </c>
      <c r="N1055" s="80">
        <f>MAX(0,I1055)</f>
        <v/>
      </c>
      <c r="O1055" s="80">
        <f>IF(I1055&gt;0,MAX(0,M1055),0)</f>
        <v/>
      </c>
      <c r="P1055" s="80">
        <f>IF($I1055&gt;0,MAX(0,$G1055*SIN(RADIANS('13_시나리오비교'!$B$5))*SIN(RADIANS('13_시나리오비교'!$C$5))+$H1055*SIN(RADIANS('13_시나리오비교'!$B$5))*COS(RADIANS('13_시나리오비교'!$C$5))+$I1055*COS(RADIANS('13_시나리오비교'!$B$5))),0)</f>
        <v/>
      </c>
      <c r="Q1055" s="80">
        <f>IF($I1055&gt;0,MAX(0,$G1055*SIN(RADIANS('13_시나리오비교'!$B$6))*SIN(RADIANS('13_시나리오비교'!$C$6))+$H1055*SIN(RADIANS('13_시나리오비교'!$B$6))*COS(RADIANS('13_시나리오비교'!$C$6))+$I1055*COS(RADIANS('13_시나리오비교'!$B$6))),0)</f>
        <v/>
      </c>
      <c r="R1055" s="80">
        <f>IF($I1055&gt;0,MAX(0,$G1055*SIN(RADIANS('13_시나리오비교'!$B$7))*SIN(RADIANS('13_시나리오비교'!$C$7))+$H1055*SIN(RADIANS('13_시나리오비교'!$B$7))*COS(RADIANS('13_시나리오비교'!$C$7))+$I1055*COS(RADIANS('13_시나리오비교'!$B$7))),0)</f>
        <v/>
      </c>
      <c r="S1055" s="80">
        <f>IF($I1055&gt;0,MAX(0,$G1055*SIN(RADIANS('13_시나리오비교'!$B$8))*SIN(RADIANS('13_시나리오비교'!$C$8))+$H1055*SIN(RADIANS('13_시나리오비교'!$B$8))*COS(RADIANS('13_시나리오비교'!$C$8))+$I1055*COS(RADIANS('13_시나리오비교'!$B$8))),0)</f>
        <v/>
      </c>
      <c r="T1055" s="80">
        <f>IF($I1055&gt;0,MAX(0,$G1055*SIN(RADIANS('13_시나리오비교'!$B$9))*SIN(RADIANS('13_시나리오비교'!$C$9))+$H1055*SIN(RADIANS('13_시나리오비교'!$B$9))*COS(RADIANS('13_시나리오비교'!$C$9))+$I1055*COS(RADIANS('13_시나리오비교'!$B$9))),0)</f>
        <v/>
      </c>
      <c r="U1055" s="80">
        <f>IF($I1055&gt;0,MAX(0,$G1055*SIN(RADIANS('13_시나리오비교'!$B$10))*SIN(RADIANS('13_시나리오비교'!$C$10))+$H1055*SIN(RADIANS('13_시나리오비교'!$B$10))*COS(RADIANS('13_시나리오비교'!$C$10))+$I1055*COS(RADIANS('13_시나리오비교'!$B$10))),0)</f>
        <v/>
      </c>
      <c r="V1055" s="80">
        <f>IF($I1055&gt;0,MAX(0,$G1055*SIN(RADIANS('13_시나리오비교'!$B$11))*SIN(RADIANS('13_시나리오비교'!$C$11))+$H1055*SIN(RADIANS('13_시나리오비교'!$B$11))*COS(RADIANS('13_시나리오비교'!$C$11))+$I1055*COS(RADIANS('13_시나리오비교'!$B$11))),0)</f>
        <v/>
      </c>
      <c r="W1055" s="80">
        <f>IF($I1055&gt;0,MAX(0,$G1055*SIN(RADIANS('13_시나리오비교'!$B$12))*SIN(RADIANS('13_시나리오비교'!$C$12))+$H1055*SIN(RADIANS('13_시나리오비교'!$B$12))*COS(RADIANS('13_시나리오비교'!$C$12))+$I1055*COS(RADIANS('13_시나리오비교'!$B$12))),0)</f>
        <v/>
      </c>
      <c r="X1055" s="80">
        <f>IF($I1055&gt;0,MAX(0,$G1055*SIN(RADIANS('13_시나리오비교'!$B$13))*SIN(RADIANS('13_시나리오비교'!$C$13))+$H1055*SIN(RADIANS('13_시나리오비교'!$B$13))*COS(RADIANS('13_시나리오비교'!$C$13))+$I1055*COS(RADIANS('13_시나리오비교'!$B$13))),0)</f>
        <v/>
      </c>
      <c r="Y1055" s="80">
        <f>IF($I1055&gt;0,MAX(0,$G1055*SIN(RADIANS('13_시나리오비교'!$B$14))*SIN(RADIANS('13_시나리오비교'!$C$14))+$H1055*SIN(RADIANS('13_시나리오비교'!$B$14))*COS(RADIANS('13_시나리오비교'!$C$14))+$I1055*COS(RADIANS('13_시나리오비교'!$B$14))),0)</f>
        <v/>
      </c>
    </row>
    <row r="1056" hidden="1" outlineLevel="1">
      <c r="A1056" s="79" t="n">
        <v>11</v>
      </c>
      <c r="B1056" s="79" t="n">
        <v>76</v>
      </c>
      <c r="C1056" s="80">
        <f>(B1056-0.5)*'14_지역·상수'!$H$6</f>
        <v/>
      </c>
      <c r="D1056" s="79" t="n">
        <v>318</v>
      </c>
      <c r="E1056" s="80">
        <f>INDEX($C$4:$C$15,MATCH(A1056,$A$4:$A$15,0))</f>
        <v/>
      </c>
      <c r="F1056" s="80">
        <f>15*(C1056-12)</f>
        <v/>
      </c>
      <c r="G1056" s="80">
        <f>-COS(RADIANS(E1056))*SIN(RADIANS(F1056))</f>
        <v/>
      </c>
      <c r="H1056" s="80">
        <f>COS(RADIANS('11_발전량_모델'!$B$17))*SIN(RADIANS(E1056))-SIN(RADIANS('11_발전량_모델'!$B$17))*COS(RADIANS(E1056))*COS(RADIANS(F1056))</f>
        <v/>
      </c>
      <c r="I1056" s="80">
        <f>SIN(RADIANS('11_발전량_모델'!$B$17))*SIN(RADIANS(E1056))+COS(RADIANS('11_발전량_모델'!$B$17))*COS(RADIANS(E1056))*COS(RADIANS(F1056))</f>
        <v/>
      </c>
      <c r="J1056" s="80">
        <f>SIN(RADIANS('11_발전량_모델'!$B$7))*SIN(RADIANS('11_발전량_모델'!$B$8))</f>
        <v/>
      </c>
      <c r="K1056" s="80">
        <f>SIN(RADIANS('11_발전량_모델'!$B$7))*COS(RADIANS('11_발전량_모델'!$B$8))</f>
        <v/>
      </c>
      <c r="L1056" s="80">
        <f>COS(RADIANS('11_발전량_모델'!$B$7))</f>
        <v/>
      </c>
      <c r="M1056" s="80">
        <f>G1056*J1056+H1056*K1056+I1056*L1056</f>
        <v/>
      </c>
      <c r="N1056" s="80">
        <f>MAX(0,I1056)</f>
        <v/>
      </c>
      <c r="O1056" s="80">
        <f>IF(I1056&gt;0,MAX(0,M1056),0)</f>
        <v/>
      </c>
      <c r="P1056" s="80">
        <f>IF($I1056&gt;0,MAX(0,$G1056*SIN(RADIANS('13_시나리오비교'!$B$5))*SIN(RADIANS('13_시나리오비교'!$C$5))+$H1056*SIN(RADIANS('13_시나리오비교'!$B$5))*COS(RADIANS('13_시나리오비교'!$C$5))+$I1056*COS(RADIANS('13_시나리오비교'!$B$5))),0)</f>
        <v/>
      </c>
      <c r="Q1056" s="80">
        <f>IF($I1056&gt;0,MAX(0,$G1056*SIN(RADIANS('13_시나리오비교'!$B$6))*SIN(RADIANS('13_시나리오비교'!$C$6))+$H1056*SIN(RADIANS('13_시나리오비교'!$B$6))*COS(RADIANS('13_시나리오비교'!$C$6))+$I1056*COS(RADIANS('13_시나리오비교'!$B$6))),0)</f>
        <v/>
      </c>
      <c r="R1056" s="80">
        <f>IF($I1056&gt;0,MAX(0,$G1056*SIN(RADIANS('13_시나리오비교'!$B$7))*SIN(RADIANS('13_시나리오비교'!$C$7))+$H1056*SIN(RADIANS('13_시나리오비교'!$B$7))*COS(RADIANS('13_시나리오비교'!$C$7))+$I1056*COS(RADIANS('13_시나리오비교'!$B$7))),0)</f>
        <v/>
      </c>
      <c r="S1056" s="80">
        <f>IF($I1056&gt;0,MAX(0,$G1056*SIN(RADIANS('13_시나리오비교'!$B$8))*SIN(RADIANS('13_시나리오비교'!$C$8))+$H1056*SIN(RADIANS('13_시나리오비교'!$B$8))*COS(RADIANS('13_시나리오비교'!$C$8))+$I1056*COS(RADIANS('13_시나리오비교'!$B$8))),0)</f>
        <v/>
      </c>
      <c r="T1056" s="80">
        <f>IF($I1056&gt;0,MAX(0,$G1056*SIN(RADIANS('13_시나리오비교'!$B$9))*SIN(RADIANS('13_시나리오비교'!$C$9))+$H1056*SIN(RADIANS('13_시나리오비교'!$B$9))*COS(RADIANS('13_시나리오비교'!$C$9))+$I1056*COS(RADIANS('13_시나리오비교'!$B$9))),0)</f>
        <v/>
      </c>
      <c r="U1056" s="80">
        <f>IF($I1056&gt;0,MAX(0,$G1056*SIN(RADIANS('13_시나리오비교'!$B$10))*SIN(RADIANS('13_시나리오비교'!$C$10))+$H1056*SIN(RADIANS('13_시나리오비교'!$B$10))*COS(RADIANS('13_시나리오비교'!$C$10))+$I1056*COS(RADIANS('13_시나리오비교'!$B$10))),0)</f>
        <v/>
      </c>
      <c r="V1056" s="80">
        <f>IF($I1056&gt;0,MAX(0,$G1056*SIN(RADIANS('13_시나리오비교'!$B$11))*SIN(RADIANS('13_시나리오비교'!$C$11))+$H1056*SIN(RADIANS('13_시나리오비교'!$B$11))*COS(RADIANS('13_시나리오비교'!$C$11))+$I1056*COS(RADIANS('13_시나리오비교'!$B$11))),0)</f>
        <v/>
      </c>
      <c r="W1056" s="80">
        <f>IF($I1056&gt;0,MAX(0,$G1056*SIN(RADIANS('13_시나리오비교'!$B$12))*SIN(RADIANS('13_시나리오비교'!$C$12))+$H1056*SIN(RADIANS('13_시나리오비교'!$B$12))*COS(RADIANS('13_시나리오비교'!$C$12))+$I1056*COS(RADIANS('13_시나리오비교'!$B$12))),0)</f>
        <v/>
      </c>
      <c r="X1056" s="80">
        <f>IF($I1056&gt;0,MAX(0,$G1056*SIN(RADIANS('13_시나리오비교'!$B$13))*SIN(RADIANS('13_시나리오비교'!$C$13))+$H1056*SIN(RADIANS('13_시나리오비교'!$B$13))*COS(RADIANS('13_시나리오비교'!$C$13))+$I1056*COS(RADIANS('13_시나리오비교'!$B$13))),0)</f>
        <v/>
      </c>
      <c r="Y1056" s="80">
        <f>IF($I1056&gt;0,MAX(0,$G1056*SIN(RADIANS('13_시나리오비교'!$B$14))*SIN(RADIANS('13_시나리오비교'!$C$14))+$H1056*SIN(RADIANS('13_시나리오비교'!$B$14))*COS(RADIANS('13_시나리오비교'!$C$14))+$I1056*COS(RADIANS('13_시나리오비교'!$B$14))),0)</f>
        <v/>
      </c>
    </row>
    <row r="1057" hidden="1" outlineLevel="1">
      <c r="A1057" s="79" t="n">
        <v>11</v>
      </c>
      <c r="B1057" s="79" t="n">
        <v>77</v>
      </c>
      <c r="C1057" s="80">
        <f>(B1057-0.5)*'14_지역·상수'!$H$6</f>
        <v/>
      </c>
      <c r="D1057" s="79" t="n">
        <v>318</v>
      </c>
      <c r="E1057" s="80">
        <f>INDEX($C$4:$C$15,MATCH(A1057,$A$4:$A$15,0))</f>
        <v/>
      </c>
      <c r="F1057" s="80">
        <f>15*(C1057-12)</f>
        <v/>
      </c>
      <c r="G1057" s="80">
        <f>-COS(RADIANS(E1057))*SIN(RADIANS(F1057))</f>
        <v/>
      </c>
      <c r="H1057" s="80">
        <f>COS(RADIANS('11_발전량_모델'!$B$17))*SIN(RADIANS(E1057))-SIN(RADIANS('11_발전량_모델'!$B$17))*COS(RADIANS(E1057))*COS(RADIANS(F1057))</f>
        <v/>
      </c>
      <c r="I1057" s="80">
        <f>SIN(RADIANS('11_발전량_모델'!$B$17))*SIN(RADIANS(E1057))+COS(RADIANS('11_발전량_모델'!$B$17))*COS(RADIANS(E1057))*COS(RADIANS(F1057))</f>
        <v/>
      </c>
      <c r="J1057" s="80">
        <f>SIN(RADIANS('11_발전량_모델'!$B$7))*SIN(RADIANS('11_발전량_모델'!$B$8))</f>
        <v/>
      </c>
      <c r="K1057" s="80">
        <f>SIN(RADIANS('11_발전량_모델'!$B$7))*COS(RADIANS('11_발전량_모델'!$B$8))</f>
        <v/>
      </c>
      <c r="L1057" s="80">
        <f>COS(RADIANS('11_발전량_모델'!$B$7))</f>
        <v/>
      </c>
      <c r="M1057" s="80">
        <f>G1057*J1057+H1057*K1057+I1057*L1057</f>
        <v/>
      </c>
      <c r="N1057" s="80">
        <f>MAX(0,I1057)</f>
        <v/>
      </c>
      <c r="O1057" s="80">
        <f>IF(I1057&gt;0,MAX(0,M1057),0)</f>
        <v/>
      </c>
      <c r="P1057" s="80">
        <f>IF($I1057&gt;0,MAX(0,$G1057*SIN(RADIANS('13_시나리오비교'!$B$5))*SIN(RADIANS('13_시나리오비교'!$C$5))+$H1057*SIN(RADIANS('13_시나리오비교'!$B$5))*COS(RADIANS('13_시나리오비교'!$C$5))+$I1057*COS(RADIANS('13_시나리오비교'!$B$5))),0)</f>
        <v/>
      </c>
      <c r="Q1057" s="80">
        <f>IF($I1057&gt;0,MAX(0,$G1057*SIN(RADIANS('13_시나리오비교'!$B$6))*SIN(RADIANS('13_시나리오비교'!$C$6))+$H1057*SIN(RADIANS('13_시나리오비교'!$B$6))*COS(RADIANS('13_시나리오비교'!$C$6))+$I1057*COS(RADIANS('13_시나리오비교'!$B$6))),0)</f>
        <v/>
      </c>
      <c r="R1057" s="80">
        <f>IF($I1057&gt;0,MAX(0,$G1057*SIN(RADIANS('13_시나리오비교'!$B$7))*SIN(RADIANS('13_시나리오비교'!$C$7))+$H1057*SIN(RADIANS('13_시나리오비교'!$B$7))*COS(RADIANS('13_시나리오비교'!$C$7))+$I1057*COS(RADIANS('13_시나리오비교'!$B$7))),0)</f>
        <v/>
      </c>
      <c r="S1057" s="80">
        <f>IF($I1057&gt;0,MAX(0,$G1057*SIN(RADIANS('13_시나리오비교'!$B$8))*SIN(RADIANS('13_시나리오비교'!$C$8))+$H1057*SIN(RADIANS('13_시나리오비교'!$B$8))*COS(RADIANS('13_시나리오비교'!$C$8))+$I1057*COS(RADIANS('13_시나리오비교'!$B$8))),0)</f>
        <v/>
      </c>
      <c r="T1057" s="80">
        <f>IF($I1057&gt;0,MAX(0,$G1057*SIN(RADIANS('13_시나리오비교'!$B$9))*SIN(RADIANS('13_시나리오비교'!$C$9))+$H1057*SIN(RADIANS('13_시나리오비교'!$B$9))*COS(RADIANS('13_시나리오비교'!$C$9))+$I1057*COS(RADIANS('13_시나리오비교'!$B$9))),0)</f>
        <v/>
      </c>
      <c r="U1057" s="80">
        <f>IF($I1057&gt;0,MAX(0,$G1057*SIN(RADIANS('13_시나리오비교'!$B$10))*SIN(RADIANS('13_시나리오비교'!$C$10))+$H1057*SIN(RADIANS('13_시나리오비교'!$B$10))*COS(RADIANS('13_시나리오비교'!$C$10))+$I1057*COS(RADIANS('13_시나리오비교'!$B$10))),0)</f>
        <v/>
      </c>
      <c r="V1057" s="80">
        <f>IF($I1057&gt;0,MAX(0,$G1057*SIN(RADIANS('13_시나리오비교'!$B$11))*SIN(RADIANS('13_시나리오비교'!$C$11))+$H1057*SIN(RADIANS('13_시나리오비교'!$B$11))*COS(RADIANS('13_시나리오비교'!$C$11))+$I1057*COS(RADIANS('13_시나리오비교'!$B$11))),0)</f>
        <v/>
      </c>
      <c r="W1057" s="80">
        <f>IF($I1057&gt;0,MAX(0,$G1057*SIN(RADIANS('13_시나리오비교'!$B$12))*SIN(RADIANS('13_시나리오비교'!$C$12))+$H1057*SIN(RADIANS('13_시나리오비교'!$B$12))*COS(RADIANS('13_시나리오비교'!$C$12))+$I1057*COS(RADIANS('13_시나리오비교'!$B$12))),0)</f>
        <v/>
      </c>
      <c r="X1057" s="80">
        <f>IF($I1057&gt;0,MAX(0,$G1057*SIN(RADIANS('13_시나리오비교'!$B$13))*SIN(RADIANS('13_시나리오비교'!$C$13))+$H1057*SIN(RADIANS('13_시나리오비교'!$B$13))*COS(RADIANS('13_시나리오비교'!$C$13))+$I1057*COS(RADIANS('13_시나리오비교'!$B$13))),0)</f>
        <v/>
      </c>
      <c r="Y1057" s="80">
        <f>IF($I1057&gt;0,MAX(0,$G1057*SIN(RADIANS('13_시나리오비교'!$B$14))*SIN(RADIANS('13_시나리오비교'!$C$14))+$H1057*SIN(RADIANS('13_시나리오비교'!$B$14))*COS(RADIANS('13_시나리오비교'!$C$14))+$I1057*COS(RADIANS('13_시나리오비교'!$B$14))),0)</f>
        <v/>
      </c>
    </row>
    <row r="1058" hidden="1" outlineLevel="1">
      <c r="A1058" s="79" t="n">
        <v>11</v>
      </c>
      <c r="B1058" s="79" t="n">
        <v>78</v>
      </c>
      <c r="C1058" s="80">
        <f>(B1058-0.5)*'14_지역·상수'!$H$6</f>
        <v/>
      </c>
      <c r="D1058" s="79" t="n">
        <v>318</v>
      </c>
      <c r="E1058" s="80">
        <f>INDEX($C$4:$C$15,MATCH(A1058,$A$4:$A$15,0))</f>
        <v/>
      </c>
      <c r="F1058" s="80">
        <f>15*(C1058-12)</f>
        <v/>
      </c>
      <c r="G1058" s="80">
        <f>-COS(RADIANS(E1058))*SIN(RADIANS(F1058))</f>
        <v/>
      </c>
      <c r="H1058" s="80">
        <f>COS(RADIANS('11_발전량_모델'!$B$17))*SIN(RADIANS(E1058))-SIN(RADIANS('11_발전량_모델'!$B$17))*COS(RADIANS(E1058))*COS(RADIANS(F1058))</f>
        <v/>
      </c>
      <c r="I1058" s="80">
        <f>SIN(RADIANS('11_발전량_모델'!$B$17))*SIN(RADIANS(E1058))+COS(RADIANS('11_발전량_모델'!$B$17))*COS(RADIANS(E1058))*COS(RADIANS(F1058))</f>
        <v/>
      </c>
      <c r="J1058" s="80">
        <f>SIN(RADIANS('11_발전량_모델'!$B$7))*SIN(RADIANS('11_발전량_모델'!$B$8))</f>
        <v/>
      </c>
      <c r="K1058" s="80">
        <f>SIN(RADIANS('11_발전량_모델'!$B$7))*COS(RADIANS('11_발전량_모델'!$B$8))</f>
        <v/>
      </c>
      <c r="L1058" s="80">
        <f>COS(RADIANS('11_발전량_모델'!$B$7))</f>
        <v/>
      </c>
      <c r="M1058" s="80">
        <f>G1058*J1058+H1058*K1058+I1058*L1058</f>
        <v/>
      </c>
      <c r="N1058" s="80">
        <f>MAX(0,I1058)</f>
        <v/>
      </c>
      <c r="O1058" s="80">
        <f>IF(I1058&gt;0,MAX(0,M1058),0)</f>
        <v/>
      </c>
      <c r="P1058" s="80">
        <f>IF($I1058&gt;0,MAX(0,$G1058*SIN(RADIANS('13_시나리오비교'!$B$5))*SIN(RADIANS('13_시나리오비교'!$C$5))+$H1058*SIN(RADIANS('13_시나리오비교'!$B$5))*COS(RADIANS('13_시나리오비교'!$C$5))+$I1058*COS(RADIANS('13_시나리오비교'!$B$5))),0)</f>
        <v/>
      </c>
      <c r="Q1058" s="80">
        <f>IF($I1058&gt;0,MAX(0,$G1058*SIN(RADIANS('13_시나리오비교'!$B$6))*SIN(RADIANS('13_시나리오비교'!$C$6))+$H1058*SIN(RADIANS('13_시나리오비교'!$B$6))*COS(RADIANS('13_시나리오비교'!$C$6))+$I1058*COS(RADIANS('13_시나리오비교'!$B$6))),0)</f>
        <v/>
      </c>
      <c r="R1058" s="80">
        <f>IF($I1058&gt;0,MAX(0,$G1058*SIN(RADIANS('13_시나리오비교'!$B$7))*SIN(RADIANS('13_시나리오비교'!$C$7))+$H1058*SIN(RADIANS('13_시나리오비교'!$B$7))*COS(RADIANS('13_시나리오비교'!$C$7))+$I1058*COS(RADIANS('13_시나리오비교'!$B$7))),0)</f>
        <v/>
      </c>
      <c r="S1058" s="80">
        <f>IF($I1058&gt;0,MAX(0,$G1058*SIN(RADIANS('13_시나리오비교'!$B$8))*SIN(RADIANS('13_시나리오비교'!$C$8))+$H1058*SIN(RADIANS('13_시나리오비교'!$B$8))*COS(RADIANS('13_시나리오비교'!$C$8))+$I1058*COS(RADIANS('13_시나리오비교'!$B$8))),0)</f>
        <v/>
      </c>
      <c r="T1058" s="80">
        <f>IF($I1058&gt;0,MAX(0,$G1058*SIN(RADIANS('13_시나리오비교'!$B$9))*SIN(RADIANS('13_시나리오비교'!$C$9))+$H1058*SIN(RADIANS('13_시나리오비교'!$B$9))*COS(RADIANS('13_시나리오비교'!$C$9))+$I1058*COS(RADIANS('13_시나리오비교'!$B$9))),0)</f>
        <v/>
      </c>
      <c r="U1058" s="80">
        <f>IF($I1058&gt;0,MAX(0,$G1058*SIN(RADIANS('13_시나리오비교'!$B$10))*SIN(RADIANS('13_시나리오비교'!$C$10))+$H1058*SIN(RADIANS('13_시나리오비교'!$B$10))*COS(RADIANS('13_시나리오비교'!$C$10))+$I1058*COS(RADIANS('13_시나리오비교'!$B$10))),0)</f>
        <v/>
      </c>
      <c r="V1058" s="80">
        <f>IF($I1058&gt;0,MAX(0,$G1058*SIN(RADIANS('13_시나리오비교'!$B$11))*SIN(RADIANS('13_시나리오비교'!$C$11))+$H1058*SIN(RADIANS('13_시나리오비교'!$B$11))*COS(RADIANS('13_시나리오비교'!$C$11))+$I1058*COS(RADIANS('13_시나리오비교'!$B$11))),0)</f>
        <v/>
      </c>
      <c r="W1058" s="80">
        <f>IF($I1058&gt;0,MAX(0,$G1058*SIN(RADIANS('13_시나리오비교'!$B$12))*SIN(RADIANS('13_시나리오비교'!$C$12))+$H1058*SIN(RADIANS('13_시나리오비교'!$B$12))*COS(RADIANS('13_시나리오비교'!$C$12))+$I1058*COS(RADIANS('13_시나리오비교'!$B$12))),0)</f>
        <v/>
      </c>
      <c r="X1058" s="80">
        <f>IF($I1058&gt;0,MAX(0,$G1058*SIN(RADIANS('13_시나리오비교'!$B$13))*SIN(RADIANS('13_시나리오비교'!$C$13))+$H1058*SIN(RADIANS('13_시나리오비교'!$B$13))*COS(RADIANS('13_시나리오비교'!$C$13))+$I1058*COS(RADIANS('13_시나리오비교'!$B$13))),0)</f>
        <v/>
      </c>
      <c r="Y1058" s="80">
        <f>IF($I1058&gt;0,MAX(0,$G1058*SIN(RADIANS('13_시나리오비교'!$B$14))*SIN(RADIANS('13_시나리오비교'!$C$14))+$H1058*SIN(RADIANS('13_시나리오비교'!$B$14))*COS(RADIANS('13_시나리오비교'!$C$14))+$I1058*COS(RADIANS('13_시나리오비교'!$B$14))),0)</f>
        <v/>
      </c>
    </row>
    <row r="1059" hidden="1" outlineLevel="1">
      <c r="A1059" s="79" t="n">
        <v>11</v>
      </c>
      <c r="B1059" s="79" t="n">
        <v>79</v>
      </c>
      <c r="C1059" s="80">
        <f>(B1059-0.5)*'14_지역·상수'!$H$6</f>
        <v/>
      </c>
      <c r="D1059" s="79" t="n">
        <v>318</v>
      </c>
      <c r="E1059" s="80">
        <f>INDEX($C$4:$C$15,MATCH(A1059,$A$4:$A$15,0))</f>
        <v/>
      </c>
      <c r="F1059" s="80">
        <f>15*(C1059-12)</f>
        <v/>
      </c>
      <c r="G1059" s="80">
        <f>-COS(RADIANS(E1059))*SIN(RADIANS(F1059))</f>
        <v/>
      </c>
      <c r="H1059" s="80">
        <f>COS(RADIANS('11_발전량_모델'!$B$17))*SIN(RADIANS(E1059))-SIN(RADIANS('11_발전량_모델'!$B$17))*COS(RADIANS(E1059))*COS(RADIANS(F1059))</f>
        <v/>
      </c>
      <c r="I1059" s="80">
        <f>SIN(RADIANS('11_발전량_모델'!$B$17))*SIN(RADIANS(E1059))+COS(RADIANS('11_발전량_모델'!$B$17))*COS(RADIANS(E1059))*COS(RADIANS(F1059))</f>
        <v/>
      </c>
      <c r="J1059" s="80">
        <f>SIN(RADIANS('11_발전량_모델'!$B$7))*SIN(RADIANS('11_발전량_모델'!$B$8))</f>
        <v/>
      </c>
      <c r="K1059" s="80">
        <f>SIN(RADIANS('11_발전량_모델'!$B$7))*COS(RADIANS('11_발전량_모델'!$B$8))</f>
        <v/>
      </c>
      <c r="L1059" s="80">
        <f>COS(RADIANS('11_발전량_모델'!$B$7))</f>
        <v/>
      </c>
      <c r="M1059" s="80">
        <f>G1059*J1059+H1059*K1059+I1059*L1059</f>
        <v/>
      </c>
      <c r="N1059" s="80">
        <f>MAX(0,I1059)</f>
        <v/>
      </c>
      <c r="O1059" s="80">
        <f>IF(I1059&gt;0,MAX(0,M1059),0)</f>
        <v/>
      </c>
      <c r="P1059" s="80">
        <f>IF($I1059&gt;0,MAX(0,$G1059*SIN(RADIANS('13_시나리오비교'!$B$5))*SIN(RADIANS('13_시나리오비교'!$C$5))+$H1059*SIN(RADIANS('13_시나리오비교'!$B$5))*COS(RADIANS('13_시나리오비교'!$C$5))+$I1059*COS(RADIANS('13_시나리오비교'!$B$5))),0)</f>
        <v/>
      </c>
      <c r="Q1059" s="80">
        <f>IF($I1059&gt;0,MAX(0,$G1059*SIN(RADIANS('13_시나리오비교'!$B$6))*SIN(RADIANS('13_시나리오비교'!$C$6))+$H1059*SIN(RADIANS('13_시나리오비교'!$B$6))*COS(RADIANS('13_시나리오비교'!$C$6))+$I1059*COS(RADIANS('13_시나리오비교'!$B$6))),0)</f>
        <v/>
      </c>
      <c r="R1059" s="80">
        <f>IF($I1059&gt;0,MAX(0,$G1059*SIN(RADIANS('13_시나리오비교'!$B$7))*SIN(RADIANS('13_시나리오비교'!$C$7))+$H1059*SIN(RADIANS('13_시나리오비교'!$B$7))*COS(RADIANS('13_시나리오비교'!$C$7))+$I1059*COS(RADIANS('13_시나리오비교'!$B$7))),0)</f>
        <v/>
      </c>
      <c r="S1059" s="80">
        <f>IF($I1059&gt;0,MAX(0,$G1059*SIN(RADIANS('13_시나리오비교'!$B$8))*SIN(RADIANS('13_시나리오비교'!$C$8))+$H1059*SIN(RADIANS('13_시나리오비교'!$B$8))*COS(RADIANS('13_시나리오비교'!$C$8))+$I1059*COS(RADIANS('13_시나리오비교'!$B$8))),0)</f>
        <v/>
      </c>
      <c r="T1059" s="80">
        <f>IF($I1059&gt;0,MAX(0,$G1059*SIN(RADIANS('13_시나리오비교'!$B$9))*SIN(RADIANS('13_시나리오비교'!$C$9))+$H1059*SIN(RADIANS('13_시나리오비교'!$B$9))*COS(RADIANS('13_시나리오비교'!$C$9))+$I1059*COS(RADIANS('13_시나리오비교'!$B$9))),0)</f>
        <v/>
      </c>
      <c r="U1059" s="80">
        <f>IF($I1059&gt;0,MAX(0,$G1059*SIN(RADIANS('13_시나리오비교'!$B$10))*SIN(RADIANS('13_시나리오비교'!$C$10))+$H1059*SIN(RADIANS('13_시나리오비교'!$B$10))*COS(RADIANS('13_시나리오비교'!$C$10))+$I1059*COS(RADIANS('13_시나리오비교'!$B$10))),0)</f>
        <v/>
      </c>
      <c r="V1059" s="80">
        <f>IF($I1059&gt;0,MAX(0,$G1059*SIN(RADIANS('13_시나리오비교'!$B$11))*SIN(RADIANS('13_시나리오비교'!$C$11))+$H1059*SIN(RADIANS('13_시나리오비교'!$B$11))*COS(RADIANS('13_시나리오비교'!$C$11))+$I1059*COS(RADIANS('13_시나리오비교'!$B$11))),0)</f>
        <v/>
      </c>
      <c r="W1059" s="80">
        <f>IF($I1059&gt;0,MAX(0,$G1059*SIN(RADIANS('13_시나리오비교'!$B$12))*SIN(RADIANS('13_시나리오비교'!$C$12))+$H1059*SIN(RADIANS('13_시나리오비교'!$B$12))*COS(RADIANS('13_시나리오비교'!$C$12))+$I1059*COS(RADIANS('13_시나리오비교'!$B$12))),0)</f>
        <v/>
      </c>
      <c r="X1059" s="80">
        <f>IF($I1059&gt;0,MAX(0,$G1059*SIN(RADIANS('13_시나리오비교'!$B$13))*SIN(RADIANS('13_시나리오비교'!$C$13))+$H1059*SIN(RADIANS('13_시나리오비교'!$B$13))*COS(RADIANS('13_시나리오비교'!$C$13))+$I1059*COS(RADIANS('13_시나리오비교'!$B$13))),0)</f>
        <v/>
      </c>
      <c r="Y1059" s="80">
        <f>IF($I1059&gt;0,MAX(0,$G1059*SIN(RADIANS('13_시나리오비교'!$B$14))*SIN(RADIANS('13_시나리오비교'!$C$14))+$H1059*SIN(RADIANS('13_시나리오비교'!$B$14))*COS(RADIANS('13_시나리오비교'!$C$14))+$I1059*COS(RADIANS('13_시나리오비교'!$B$14))),0)</f>
        <v/>
      </c>
    </row>
    <row r="1060" hidden="1" outlineLevel="1">
      <c r="A1060" s="79" t="n">
        <v>11</v>
      </c>
      <c r="B1060" s="79" t="n">
        <v>80</v>
      </c>
      <c r="C1060" s="80">
        <f>(B1060-0.5)*'14_지역·상수'!$H$6</f>
        <v/>
      </c>
      <c r="D1060" s="79" t="n">
        <v>318</v>
      </c>
      <c r="E1060" s="80">
        <f>INDEX($C$4:$C$15,MATCH(A1060,$A$4:$A$15,0))</f>
        <v/>
      </c>
      <c r="F1060" s="80">
        <f>15*(C1060-12)</f>
        <v/>
      </c>
      <c r="G1060" s="80">
        <f>-COS(RADIANS(E1060))*SIN(RADIANS(F1060))</f>
        <v/>
      </c>
      <c r="H1060" s="80">
        <f>COS(RADIANS('11_발전량_모델'!$B$17))*SIN(RADIANS(E1060))-SIN(RADIANS('11_발전량_모델'!$B$17))*COS(RADIANS(E1060))*COS(RADIANS(F1060))</f>
        <v/>
      </c>
      <c r="I1060" s="80">
        <f>SIN(RADIANS('11_발전량_모델'!$B$17))*SIN(RADIANS(E1060))+COS(RADIANS('11_발전량_모델'!$B$17))*COS(RADIANS(E1060))*COS(RADIANS(F1060))</f>
        <v/>
      </c>
      <c r="J1060" s="80">
        <f>SIN(RADIANS('11_발전량_모델'!$B$7))*SIN(RADIANS('11_발전량_모델'!$B$8))</f>
        <v/>
      </c>
      <c r="K1060" s="80">
        <f>SIN(RADIANS('11_발전량_모델'!$B$7))*COS(RADIANS('11_발전량_모델'!$B$8))</f>
        <v/>
      </c>
      <c r="L1060" s="80">
        <f>COS(RADIANS('11_발전량_모델'!$B$7))</f>
        <v/>
      </c>
      <c r="M1060" s="80">
        <f>G1060*J1060+H1060*K1060+I1060*L1060</f>
        <v/>
      </c>
      <c r="N1060" s="80">
        <f>MAX(0,I1060)</f>
        <v/>
      </c>
      <c r="O1060" s="80">
        <f>IF(I1060&gt;0,MAX(0,M1060),0)</f>
        <v/>
      </c>
      <c r="P1060" s="80">
        <f>IF($I1060&gt;0,MAX(0,$G1060*SIN(RADIANS('13_시나리오비교'!$B$5))*SIN(RADIANS('13_시나리오비교'!$C$5))+$H1060*SIN(RADIANS('13_시나리오비교'!$B$5))*COS(RADIANS('13_시나리오비교'!$C$5))+$I1060*COS(RADIANS('13_시나리오비교'!$B$5))),0)</f>
        <v/>
      </c>
      <c r="Q1060" s="80">
        <f>IF($I1060&gt;0,MAX(0,$G1060*SIN(RADIANS('13_시나리오비교'!$B$6))*SIN(RADIANS('13_시나리오비교'!$C$6))+$H1060*SIN(RADIANS('13_시나리오비교'!$B$6))*COS(RADIANS('13_시나리오비교'!$C$6))+$I1060*COS(RADIANS('13_시나리오비교'!$B$6))),0)</f>
        <v/>
      </c>
      <c r="R1060" s="80">
        <f>IF($I1060&gt;0,MAX(0,$G1060*SIN(RADIANS('13_시나리오비교'!$B$7))*SIN(RADIANS('13_시나리오비교'!$C$7))+$H1060*SIN(RADIANS('13_시나리오비교'!$B$7))*COS(RADIANS('13_시나리오비교'!$C$7))+$I1060*COS(RADIANS('13_시나리오비교'!$B$7))),0)</f>
        <v/>
      </c>
      <c r="S1060" s="80">
        <f>IF($I1060&gt;0,MAX(0,$G1060*SIN(RADIANS('13_시나리오비교'!$B$8))*SIN(RADIANS('13_시나리오비교'!$C$8))+$H1060*SIN(RADIANS('13_시나리오비교'!$B$8))*COS(RADIANS('13_시나리오비교'!$C$8))+$I1060*COS(RADIANS('13_시나리오비교'!$B$8))),0)</f>
        <v/>
      </c>
      <c r="T1060" s="80">
        <f>IF($I1060&gt;0,MAX(0,$G1060*SIN(RADIANS('13_시나리오비교'!$B$9))*SIN(RADIANS('13_시나리오비교'!$C$9))+$H1060*SIN(RADIANS('13_시나리오비교'!$B$9))*COS(RADIANS('13_시나리오비교'!$C$9))+$I1060*COS(RADIANS('13_시나리오비교'!$B$9))),0)</f>
        <v/>
      </c>
      <c r="U1060" s="80">
        <f>IF($I1060&gt;0,MAX(0,$G1060*SIN(RADIANS('13_시나리오비교'!$B$10))*SIN(RADIANS('13_시나리오비교'!$C$10))+$H1060*SIN(RADIANS('13_시나리오비교'!$B$10))*COS(RADIANS('13_시나리오비교'!$C$10))+$I1060*COS(RADIANS('13_시나리오비교'!$B$10))),0)</f>
        <v/>
      </c>
      <c r="V1060" s="80">
        <f>IF($I1060&gt;0,MAX(0,$G1060*SIN(RADIANS('13_시나리오비교'!$B$11))*SIN(RADIANS('13_시나리오비교'!$C$11))+$H1060*SIN(RADIANS('13_시나리오비교'!$B$11))*COS(RADIANS('13_시나리오비교'!$C$11))+$I1060*COS(RADIANS('13_시나리오비교'!$B$11))),0)</f>
        <v/>
      </c>
      <c r="W1060" s="80">
        <f>IF($I1060&gt;0,MAX(0,$G1060*SIN(RADIANS('13_시나리오비교'!$B$12))*SIN(RADIANS('13_시나리오비교'!$C$12))+$H1060*SIN(RADIANS('13_시나리오비교'!$B$12))*COS(RADIANS('13_시나리오비교'!$C$12))+$I1060*COS(RADIANS('13_시나리오비교'!$B$12))),0)</f>
        <v/>
      </c>
      <c r="X1060" s="80">
        <f>IF($I1060&gt;0,MAX(0,$G1060*SIN(RADIANS('13_시나리오비교'!$B$13))*SIN(RADIANS('13_시나리오비교'!$C$13))+$H1060*SIN(RADIANS('13_시나리오비교'!$B$13))*COS(RADIANS('13_시나리오비교'!$C$13))+$I1060*COS(RADIANS('13_시나리오비교'!$B$13))),0)</f>
        <v/>
      </c>
      <c r="Y1060" s="80">
        <f>IF($I1060&gt;0,MAX(0,$G1060*SIN(RADIANS('13_시나리오비교'!$B$14))*SIN(RADIANS('13_시나리오비교'!$C$14))+$H1060*SIN(RADIANS('13_시나리오비교'!$B$14))*COS(RADIANS('13_시나리오비교'!$C$14))+$I1060*COS(RADIANS('13_시나리오비교'!$B$14))),0)</f>
        <v/>
      </c>
    </row>
    <row r="1061" hidden="1" outlineLevel="1">
      <c r="A1061" s="79" t="n">
        <v>11</v>
      </c>
      <c r="B1061" s="79" t="n">
        <v>81</v>
      </c>
      <c r="C1061" s="80">
        <f>(B1061-0.5)*'14_지역·상수'!$H$6</f>
        <v/>
      </c>
      <c r="D1061" s="79" t="n">
        <v>318</v>
      </c>
      <c r="E1061" s="80">
        <f>INDEX($C$4:$C$15,MATCH(A1061,$A$4:$A$15,0))</f>
        <v/>
      </c>
      <c r="F1061" s="80">
        <f>15*(C1061-12)</f>
        <v/>
      </c>
      <c r="G1061" s="80">
        <f>-COS(RADIANS(E1061))*SIN(RADIANS(F1061))</f>
        <v/>
      </c>
      <c r="H1061" s="80">
        <f>COS(RADIANS('11_발전량_모델'!$B$17))*SIN(RADIANS(E1061))-SIN(RADIANS('11_발전량_모델'!$B$17))*COS(RADIANS(E1061))*COS(RADIANS(F1061))</f>
        <v/>
      </c>
      <c r="I1061" s="80">
        <f>SIN(RADIANS('11_발전량_모델'!$B$17))*SIN(RADIANS(E1061))+COS(RADIANS('11_발전량_모델'!$B$17))*COS(RADIANS(E1061))*COS(RADIANS(F1061))</f>
        <v/>
      </c>
      <c r="J1061" s="80">
        <f>SIN(RADIANS('11_발전량_모델'!$B$7))*SIN(RADIANS('11_발전량_모델'!$B$8))</f>
        <v/>
      </c>
      <c r="K1061" s="80">
        <f>SIN(RADIANS('11_발전량_모델'!$B$7))*COS(RADIANS('11_발전량_모델'!$B$8))</f>
        <v/>
      </c>
      <c r="L1061" s="80">
        <f>COS(RADIANS('11_발전량_모델'!$B$7))</f>
        <v/>
      </c>
      <c r="M1061" s="80">
        <f>G1061*J1061+H1061*K1061+I1061*L1061</f>
        <v/>
      </c>
      <c r="N1061" s="80">
        <f>MAX(0,I1061)</f>
        <v/>
      </c>
      <c r="O1061" s="80">
        <f>IF(I1061&gt;0,MAX(0,M1061),0)</f>
        <v/>
      </c>
      <c r="P1061" s="80">
        <f>IF($I1061&gt;0,MAX(0,$G1061*SIN(RADIANS('13_시나리오비교'!$B$5))*SIN(RADIANS('13_시나리오비교'!$C$5))+$H1061*SIN(RADIANS('13_시나리오비교'!$B$5))*COS(RADIANS('13_시나리오비교'!$C$5))+$I1061*COS(RADIANS('13_시나리오비교'!$B$5))),0)</f>
        <v/>
      </c>
      <c r="Q1061" s="80">
        <f>IF($I1061&gt;0,MAX(0,$G1061*SIN(RADIANS('13_시나리오비교'!$B$6))*SIN(RADIANS('13_시나리오비교'!$C$6))+$H1061*SIN(RADIANS('13_시나리오비교'!$B$6))*COS(RADIANS('13_시나리오비교'!$C$6))+$I1061*COS(RADIANS('13_시나리오비교'!$B$6))),0)</f>
        <v/>
      </c>
      <c r="R1061" s="80">
        <f>IF($I1061&gt;0,MAX(0,$G1061*SIN(RADIANS('13_시나리오비교'!$B$7))*SIN(RADIANS('13_시나리오비교'!$C$7))+$H1061*SIN(RADIANS('13_시나리오비교'!$B$7))*COS(RADIANS('13_시나리오비교'!$C$7))+$I1061*COS(RADIANS('13_시나리오비교'!$B$7))),0)</f>
        <v/>
      </c>
      <c r="S1061" s="80">
        <f>IF($I1061&gt;0,MAX(0,$G1061*SIN(RADIANS('13_시나리오비교'!$B$8))*SIN(RADIANS('13_시나리오비교'!$C$8))+$H1061*SIN(RADIANS('13_시나리오비교'!$B$8))*COS(RADIANS('13_시나리오비교'!$C$8))+$I1061*COS(RADIANS('13_시나리오비교'!$B$8))),0)</f>
        <v/>
      </c>
      <c r="T1061" s="80">
        <f>IF($I1061&gt;0,MAX(0,$G1061*SIN(RADIANS('13_시나리오비교'!$B$9))*SIN(RADIANS('13_시나리오비교'!$C$9))+$H1061*SIN(RADIANS('13_시나리오비교'!$B$9))*COS(RADIANS('13_시나리오비교'!$C$9))+$I1061*COS(RADIANS('13_시나리오비교'!$B$9))),0)</f>
        <v/>
      </c>
      <c r="U1061" s="80">
        <f>IF($I1061&gt;0,MAX(0,$G1061*SIN(RADIANS('13_시나리오비교'!$B$10))*SIN(RADIANS('13_시나리오비교'!$C$10))+$H1061*SIN(RADIANS('13_시나리오비교'!$B$10))*COS(RADIANS('13_시나리오비교'!$C$10))+$I1061*COS(RADIANS('13_시나리오비교'!$B$10))),0)</f>
        <v/>
      </c>
      <c r="V1061" s="80">
        <f>IF($I1061&gt;0,MAX(0,$G1061*SIN(RADIANS('13_시나리오비교'!$B$11))*SIN(RADIANS('13_시나리오비교'!$C$11))+$H1061*SIN(RADIANS('13_시나리오비교'!$B$11))*COS(RADIANS('13_시나리오비교'!$C$11))+$I1061*COS(RADIANS('13_시나리오비교'!$B$11))),0)</f>
        <v/>
      </c>
      <c r="W1061" s="80">
        <f>IF($I1061&gt;0,MAX(0,$G1061*SIN(RADIANS('13_시나리오비교'!$B$12))*SIN(RADIANS('13_시나리오비교'!$C$12))+$H1061*SIN(RADIANS('13_시나리오비교'!$B$12))*COS(RADIANS('13_시나리오비교'!$C$12))+$I1061*COS(RADIANS('13_시나리오비교'!$B$12))),0)</f>
        <v/>
      </c>
      <c r="X1061" s="80">
        <f>IF($I1061&gt;0,MAX(0,$G1061*SIN(RADIANS('13_시나리오비교'!$B$13))*SIN(RADIANS('13_시나리오비교'!$C$13))+$H1061*SIN(RADIANS('13_시나리오비교'!$B$13))*COS(RADIANS('13_시나리오비교'!$C$13))+$I1061*COS(RADIANS('13_시나리오비교'!$B$13))),0)</f>
        <v/>
      </c>
      <c r="Y1061" s="80">
        <f>IF($I1061&gt;0,MAX(0,$G1061*SIN(RADIANS('13_시나리오비교'!$B$14))*SIN(RADIANS('13_시나리오비교'!$C$14))+$H1061*SIN(RADIANS('13_시나리오비교'!$B$14))*COS(RADIANS('13_시나리오비교'!$C$14))+$I1061*COS(RADIANS('13_시나리오비교'!$B$14))),0)</f>
        <v/>
      </c>
    </row>
    <row r="1062" hidden="1" outlineLevel="1">
      <c r="A1062" s="79" t="n">
        <v>11</v>
      </c>
      <c r="B1062" s="79" t="n">
        <v>82</v>
      </c>
      <c r="C1062" s="80">
        <f>(B1062-0.5)*'14_지역·상수'!$H$6</f>
        <v/>
      </c>
      <c r="D1062" s="79" t="n">
        <v>318</v>
      </c>
      <c r="E1062" s="80">
        <f>INDEX($C$4:$C$15,MATCH(A1062,$A$4:$A$15,0))</f>
        <v/>
      </c>
      <c r="F1062" s="80">
        <f>15*(C1062-12)</f>
        <v/>
      </c>
      <c r="G1062" s="80">
        <f>-COS(RADIANS(E1062))*SIN(RADIANS(F1062))</f>
        <v/>
      </c>
      <c r="H1062" s="80">
        <f>COS(RADIANS('11_발전량_모델'!$B$17))*SIN(RADIANS(E1062))-SIN(RADIANS('11_발전량_모델'!$B$17))*COS(RADIANS(E1062))*COS(RADIANS(F1062))</f>
        <v/>
      </c>
      <c r="I1062" s="80">
        <f>SIN(RADIANS('11_발전량_모델'!$B$17))*SIN(RADIANS(E1062))+COS(RADIANS('11_발전량_모델'!$B$17))*COS(RADIANS(E1062))*COS(RADIANS(F1062))</f>
        <v/>
      </c>
      <c r="J1062" s="80">
        <f>SIN(RADIANS('11_발전량_모델'!$B$7))*SIN(RADIANS('11_발전량_모델'!$B$8))</f>
        <v/>
      </c>
      <c r="K1062" s="80">
        <f>SIN(RADIANS('11_발전량_모델'!$B$7))*COS(RADIANS('11_발전량_모델'!$B$8))</f>
        <v/>
      </c>
      <c r="L1062" s="80">
        <f>COS(RADIANS('11_발전량_모델'!$B$7))</f>
        <v/>
      </c>
      <c r="M1062" s="80">
        <f>G1062*J1062+H1062*K1062+I1062*L1062</f>
        <v/>
      </c>
      <c r="N1062" s="80">
        <f>MAX(0,I1062)</f>
        <v/>
      </c>
      <c r="O1062" s="80">
        <f>IF(I1062&gt;0,MAX(0,M1062),0)</f>
        <v/>
      </c>
      <c r="P1062" s="80">
        <f>IF($I1062&gt;0,MAX(0,$G1062*SIN(RADIANS('13_시나리오비교'!$B$5))*SIN(RADIANS('13_시나리오비교'!$C$5))+$H1062*SIN(RADIANS('13_시나리오비교'!$B$5))*COS(RADIANS('13_시나리오비교'!$C$5))+$I1062*COS(RADIANS('13_시나리오비교'!$B$5))),0)</f>
        <v/>
      </c>
      <c r="Q1062" s="80">
        <f>IF($I1062&gt;0,MAX(0,$G1062*SIN(RADIANS('13_시나리오비교'!$B$6))*SIN(RADIANS('13_시나리오비교'!$C$6))+$H1062*SIN(RADIANS('13_시나리오비교'!$B$6))*COS(RADIANS('13_시나리오비교'!$C$6))+$I1062*COS(RADIANS('13_시나리오비교'!$B$6))),0)</f>
        <v/>
      </c>
      <c r="R1062" s="80">
        <f>IF($I1062&gt;0,MAX(0,$G1062*SIN(RADIANS('13_시나리오비교'!$B$7))*SIN(RADIANS('13_시나리오비교'!$C$7))+$H1062*SIN(RADIANS('13_시나리오비교'!$B$7))*COS(RADIANS('13_시나리오비교'!$C$7))+$I1062*COS(RADIANS('13_시나리오비교'!$B$7))),0)</f>
        <v/>
      </c>
      <c r="S1062" s="80">
        <f>IF($I1062&gt;0,MAX(0,$G1062*SIN(RADIANS('13_시나리오비교'!$B$8))*SIN(RADIANS('13_시나리오비교'!$C$8))+$H1062*SIN(RADIANS('13_시나리오비교'!$B$8))*COS(RADIANS('13_시나리오비교'!$C$8))+$I1062*COS(RADIANS('13_시나리오비교'!$B$8))),0)</f>
        <v/>
      </c>
      <c r="T1062" s="80">
        <f>IF($I1062&gt;0,MAX(0,$G1062*SIN(RADIANS('13_시나리오비교'!$B$9))*SIN(RADIANS('13_시나리오비교'!$C$9))+$H1062*SIN(RADIANS('13_시나리오비교'!$B$9))*COS(RADIANS('13_시나리오비교'!$C$9))+$I1062*COS(RADIANS('13_시나리오비교'!$B$9))),0)</f>
        <v/>
      </c>
      <c r="U1062" s="80">
        <f>IF($I1062&gt;0,MAX(0,$G1062*SIN(RADIANS('13_시나리오비교'!$B$10))*SIN(RADIANS('13_시나리오비교'!$C$10))+$H1062*SIN(RADIANS('13_시나리오비교'!$B$10))*COS(RADIANS('13_시나리오비교'!$C$10))+$I1062*COS(RADIANS('13_시나리오비교'!$B$10))),0)</f>
        <v/>
      </c>
      <c r="V1062" s="80">
        <f>IF($I1062&gt;0,MAX(0,$G1062*SIN(RADIANS('13_시나리오비교'!$B$11))*SIN(RADIANS('13_시나리오비교'!$C$11))+$H1062*SIN(RADIANS('13_시나리오비교'!$B$11))*COS(RADIANS('13_시나리오비교'!$C$11))+$I1062*COS(RADIANS('13_시나리오비교'!$B$11))),0)</f>
        <v/>
      </c>
      <c r="W1062" s="80">
        <f>IF($I1062&gt;0,MAX(0,$G1062*SIN(RADIANS('13_시나리오비교'!$B$12))*SIN(RADIANS('13_시나리오비교'!$C$12))+$H1062*SIN(RADIANS('13_시나리오비교'!$B$12))*COS(RADIANS('13_시나리오비교'!$C$12))+$I1062*COS(RADIANS('13_시나리오비교'!$B$12))),0)</f>
        <v/>
      </c>
      <c r="X1062" s="80">
        <f>IF($I1062&gt;0,MAX(0,$G1062*SIN(RADIANS('13_시나리오비교'!$B$13))*SIN(RADIANS('13_시나리오비교'!$C$13))+$H1062*SIN(RADIANS('13_시나리오비교'!$B$13))*COS(RADIANS('13_시나리오비교'!$C$13))+$I1062*COS(RADIANS('13_시나리오비교'!$B$13))),0)</f>
        <v/>
      </c>
      <c r="Y1062" s="80">
        <f>IF($I1062&gt;0,MAX(0,$G1062*SIN(RADIANS('13_시나리오비교'!$B$14))*SIN(RADIANS('13_시나리오비교'!$C$14))+$H1062*SIN(RADIANS('13_시나리오비교'!$B$14))*COS(RADIANS('13_시나리오비교'!$C$14))+$I1062*COS(RADIANS('13_시나리오비교'!$B$14))),0)</f>
        <v/>
      </c>
    </row>
    <row r="1063" hidden="1" outlineLevel="1">
      <c r="A1063" s="79" t="n">
        <v>11</v>
      </c>
      <c r="B1063" s="79" t="n">
        <v>83</v>
      </c>
      <c r="C1063" s="80">
        <f>(B1063-0.5)*'14_지역·상수'!$H$6</f>
        <v/>
      </c>
      <c r="D1063" s="79" t="n">
        <v>318</v>
      </c>
      <c r="E1063" s="80">
        <f>INDEX($C$4:$C$15,MATCH(A1063,$A$4:$A$15,0))</f>
        <v/>
      </c>
      <c r="F1063" s="80">
        <f>15*(C1063-12)</f>
        <v/>
      </c>
      <c r="G1063" s="80">
        <f>-COS(RADIANS(E1063))*SIN(RADIANS(F1063))</f>
        <v/>
      </c>
      <c r="H1063" s="80">
        <f>COS(RADIANS('11_발전량_모델'!$B$17))*SIN(RADIANS(E1063))-SIN(RADIANS('11_발전량_모델'!$B$17))*COS(RADIANS(E1063))*COS(RADIANS(F1063))</f>
        <v/>
      </c>
      <c r="I1063" s="80">
        <f>SIN(RADIANS('11_발전량_모델'!$B$17))*SIN(RADIANS(E1063))+COS(RADIANS('11_발전량_모델'!$B$17))*COS(RADIANS(E1063))*COS(RADIANS(F1063))</f>
        <v/>
      </c>
      <c r="J1063" s="80">
        <f>SIN(RADIANS('11_발전량_모델'!$B$7))*SIN(RADIANS('11_발전량_모델'!$B$8))</f>
        <v/>
      </c>
      <c r="K1063" s="80">
        <f>SIN(RADIANS('11_발전량_모델'!$B$7))*COS(RADIANS('11_발전량_모델'!$B$8))</f>
        <v/>
      </c>
      <c r="L1063" s="80">
        <f>COS(RADIANS('11_발전량_모델'!$B$7))</f>
        <v/>
      </c>
      <c r="M1063" s="80">
        <f>G1063*J1063+H1063*K1063+I1063*L1063</f>
        <v/>
      </c>
      <c r="N1063" s="80">
        <f>MAX(0,I1063)</f>
        <v/>
      </c>
      <c r="O1063" s="80">
        <f>IF(I1063&gt;0,MAX(0,M1063),0)</f>
        <v/>
      </c>
      <c r="P1063" s="80">
        <f>IF($I1063&gt;0,MAX(0,$G1063*SIN(RADIANS('13_시나리오비교'!$B$5))*SIN(RADIANS('13_시나리오비교'!$C$5))+$H1063*SIN(RADIANS('13_시나리오비교'!$B$5))*COS(RADIANS('13_시나리오비교'!$C$5))+$I1063*COS(RADIANS('13_시나리오비교'!$B$5))),0)</f>
        <v/>
      </c>
      <c r="Q1063" s="80">
        <f>IF($I1063&gt;0,MAX(0,$G1063*SIN(RADIANS('13_시나리오비교'!$B$6))*SIN(RADIANS('13_시나리오비교'!$C$6))+$H1063*SIN(RADIANS('13_시나리오비교'!$B$6))*COS(RADIANS('13_시나리오비교'!$C$6))+$I1063*COS(RADIANS('13_시나리오비교'!$B$6))),0)</f>
        <v/>
      </c>
      <c r="R1063" s="80">
        <f>IF($I1063&gt;0,MAX(0,$G1063*SIN(RADIANS('13_시나리오비교'!$B$7))*SIN(RADIANS('13_시나리오비교'!$C$7))+$H1063*SIN(RADIANS('13_시나리오비교'!$B$7))*COS(RADIANS('13_시나리오비교'!$C$7))+$I1063*COS(RADIANS('13_시나리오비교'!$B$7))),0)</f>
        <v/>
      </c>
      <c r="S1063" s="80">
        <f>IF($I1063&gt;0,MAX(0,$G1063*SIN(RADIANS('13_시나리오비교'!$B$8))*SIN(RADIANS('13_시나리오비교'!$C$8))+$H1063*SIN(RADIANS('13_시나리오비교'!$B$8))*COS(RADIANS('13_시나리오비교'!$C$8))+$I1063*COS(RADIANS('13_시나리오비교'!$B$8))),0)</f>
        <v/>
      </c>
      <c r="T1063" s="80">
        <f>IF($I1063&gt;0,MAX(0,$G1063*SIN(RADIANS('13_시나리오비교'!$B$9))*SIN(RADIANS('13_시나리오비교'!$C$9))+$H1063*SIN(RADIANS('13_시나리오비교'!$B$9))*COS(RADIANS('13_시나리오비교'!$C$9))+$I1063*COS(RADIANS('13_시나리오비교'!$B$9))),0)</f>
        <v/>
      </c>
      <c r="U1063" s="80">
        <f>IF($I1063&gt;0,MAX(0,$G1063*SIN(RADIANS('13_시나리오비교'!$B$10))*SIN(RADIANS('13_시나리오비교'!$C$10))+$H1063*SIN(RADIANS('13_시나리오비교'!$B$10))*COS(RADIANS('13_시나리오비교'!$C$10))+$I1063*COS(RADIANS('13_시나리오비교'!$B$10))),0)</f>
        <v/>
      </c>
      <c r="V1063" s="80">
        <f>IF($I1063&gt;0,MAX(0,$G1063*SIN(RADIANS('13_시나리오비교'!$B$11))*SIN(RADIANS('13_시나리오비교'!$C$11))+$H1063*SIN(RADIANS('13_시나리오비교'!$B$11))*COS(RADIANS('13_시나리오비교'!$C$11))+$I1063*COS(RADIANS('13_시나리오비교'!$B$11))),0)</f>
        <v/>
      </c>
      <c r="W1063" s="80">
        <f>IF($I1063&gt;0,MAX(0,$G1063*SIN(RADIANS('13_시나리오비교'!$B$12))*SIN(RADIANS('13_시나리오비교'!$C$12))+$H1063*SIN(RADIANS('13_시나리오비교'!$B$12))*COS(RADIANS('13_시나리오비교'!$C$12))+$I1063*COS(RADIANS('13_시나리오비교'!$B$12))),0)</f>
        <v/>
      </c>
      <c r="X1063" s="80">
        <f>IF($I1063&gt;0,MAX(0,$G1063*SIN(RADIANS('13_시나리오비교'!$B$13))*SIN(RADIANS('13_시나리오비교'!$C$13))+$H1063*SIN(RADIANS('13_시나리오비교'!$B$13))*COS(RADIANS('13_시나리오비교'!$C$13))+$I1063*COS(RADIANS('13_시나리오비교'!$B$13))),0)</f>
        <v/>
      </c>
      <c r="Y1063" s="80">
        <f>IF($I1063&gt;0,MAX(0,$G1063*SIN(RADIANS('13_시나리오비교'!$B$14))*SIN(RADIANS('13_시나리오비교'!$C$14))+$H1063*SIN(RADIANS('13_시나리오비교'!$B$14))*COS(RADIANS('13_시나리오비교'!$C$14))+$I1063*COS(RADIANS('13_시나리오비교'!$B$14))),0)</f>
        <v/>
      </c>
    </row>
    <row r="1064" hidden="1" outlineLevel="1">
      <c r="A1064" s="79" t="n">
        <v>11</v>
      </c>
      <c r="B1064" s="79" t="n">
        <v>84</v>
      </c>
      <c r="C1064" s="80">
        <f>(B1064-0.5)*'14_지역·상수'!$H$6</f>
        <v/>
      </c>
      <c r="D1064" s="79" t="n">
        <v>318</v>
      </c>
      <c r="E1064" s="80">
        <f>INDEX($C$4:$C$15,MATCH(A1064,$A$4:$A$15,0))</f>
        <v/>
      </c>
      <c r="F1064" s="80">
        <f>15*(C1064-12)</f>
        <v/>
      </c>
      <c r="G1064" s="80">
        <f>-COS(RADIANS(E1064))*SIN(RADIANS(F1064))</f>
        <v/>
      </c>
      <c r="H1064" s="80">
        <f>COS(RADIANS('11_발전량_모델'!$B$17))*SIN(RADIANS(E1064))-SIN(RADIANS('11_발전량_모델'!$B$17))*COS(RADIANS(E1064))*COS(RADIANS(F1064))</f>
        <v/>
      </c>
      <c r="I1064" s="80">
        <f>SIN(RADIANS('11_발전량_모델'!$B$17))*SIN(RADIANS(E1064))+COS(RADIANS('11_발전량_모델'!$B$17))*COS(RADIANS(E1064))*COS(RADIANS(F1064))</f>
        <v/>
      </c>
      <c r="J1064" s="80">
        <f>SIN(RADIANS('11_발전량_모델'!$B$7))*SIN(RADIANS('11_발전량_모델'!$B$8))</f>
        <v/>
      </c>
      <c r="K1064" s="80">
        <f>SIN(RADIANS('11_발전량_모델'!$B$7))*COS(RADIANS('11_발전량_모델'!$B$8))</f>
        <v/>
      </c>
      <c r="L1064" s="80">
        <f>COS(RADIANS('11_발전량_모델'!$B$7))</f>
        <v/>
      </c>
      <c r="M1064" s="80">
        <f>G1064*J1064+H1064*K1064+I1064*L1064</f>
        <v/>
      </c>
      <c r="N1064" s="80">
        <f>MAX(0,I1064)</f>
        <v/>
      </c>
      <c r="O1064" s="80">
        <f>IF(I1064&gt;0,MAX(0,M1064),0)</f>
        <v/>
      </c>
      <c r="P1064" s="80">
        <f>IF($I1064&gt;0,MAX(0,$G1064*SIN(RADIANS('13_시나리오비교'!$B$5))*SIN(RADIANS('13_시나리오비교'!$C$5))+$H1064*SIN(RADIANS('13_시나리오비교'!$B$5))*COS(RADIANS('13_시나리오비교'!$C$5))+$I1064*COS(RADIANS('13_시나리오비교'!$B$5))),0)</f>
        <v/>
      </c>
      <c r="Q1064" s="80">
        <f>IF($I1064&gt;0,MAX(0,$G1064*SIN(RADIANS('13_시나리오비교'!$B$6))*SIN(RADIANS('13_시나리오비교'!$C$6))+$H1064*SIN(RADIANS('13_시나리오비교'!$B$6))*COS(RADIANS('13_시나리오비교'!$C$6))+$I1064*COS(RADIANS('13_시나리오비교'!$B$6))),0)</f>
        <v/>
      </c>
      <c r="R1064" s="80">
        <f>IF($I1064&gt;0,MAX(0,$G1064*SIN(RADIANS('13_시나리오비교'!$B$7))*SIN(RADIANS('13_시나리오비교'!$C$7))+$H1064*SIN(RADIANS('13_시나리오비교'!$B$7))*COS(RADIANS('13_시나리오비교'!$C$7))+$I1064*COS(RADIANS('13_시나리오비교'!$B$7))),0)</f>
        <v/>
      </c>
      <c r="S1064" s="80">
        <f>IF($I1064&gt;0,MAX(0,$G1064*SIN(RADIANS('13_시나리오비교'!$B$8))*SIN(RADIANS('13_시나리오비교'!$C$8))+$H1064*SIN(RADIANS('13_시나리오비교'!$B$8))*COS(RADIANS('13_시나리오비교'!$C$8))+$I1064*COS(RADIANS('13_시나리오비교'!$B$8))),0)</f>
        <v/>
      </c>
      <c r="T1064" s="80">
        <f>IF($I1064&gt;0,MAX(0,$G1064*SIN(RADIANS('13_시나리오비교'!$B$9))*SIN(RADIANS('13_시나리오비교'!$C$9))+$H1064*SIN(RADIANS('13_시나리오비교'!$B$9))*COS(RADIANS('13_시나리오비교'!$C$9))+$I1064*COS(RADIANS('13_시나리오비교'!$B$9))),0)</f>
        <v/>
      </c>
      <c r="U1064" s="80">
        <f>IF($I1064&gt;0,MAX(0,$G1064*SIN(RADIANS('13_시나리오비교'!$B$10))*SIN(RADIANS('13_시나리오비교'!$C$10))+$H1064*SIN(RADIANS('13_시나리오비교'!$B$10))*COS(RADIANS('13_시나리오비교'!$C$10))+$I1064*COS(RADIANS('13_시나리오비교'!$B$10))),0)</f>
        <v/>
      </c>
      <c r="V1064" s="80">
        <f>IF($I1064&gt;0,MAX(0,$G1064*SIN(RADIANS('13_시나리오비교'!$B$11))*SIN(RADIANS('13_시나리오비교'!$C$11))+$H1064*SIN(RADIANS('13_시나리오비교'!$B$11))*COS(RADIANS('13_시나리오비교'!$C$11))+$I1064*COS(RADIANS('13_시나리오비교'!$B$11))),0)</f>
        <v/>
      </c>
      <c r="W1064" s="80">
        <f>IF($I1064&gt;0,MAX(0,$G1064*SIN(RADIANS('13_시나리오비교'!$B$12))*SIN(RADIANS('13_시나리오비교'!$C$12))+$H1064*SIN(RADIANS('13_시나리오비교'!$B$12))*COS(RADIANS('13_시나리오비교'!$C$12))+$I1064*COS(RADIANS('13_시나리오비교'!$B$12))),0)</f>
        <v/>
      </c>
      <c r="X1064" s="80">
        <f>IF($I1064&gt;0,MAX(0,$G1064*SIN(RADIANS('13_시나리오비교'!$B$13))*SIN(RADIANS('13_시나리오비교'!$C$13))+$H1064*SIN(RADIANS('13_시나리오비교'!$B$13))*COS(RADIANS('13_시나리오비교'!$C$13))+$I1064*COS(RADIANS('13_시나리오비교'!$B$13))),0)</f>
        <v/>
      </c>
      <c r="Y1064" s="80">
        <f>IF($I1064&gt;0,MAX(0,$G1064*SIN(RADIANS('13_시나리오비교'!$B$14))*SIN(RADIANS('13_시나리오비교'!$C$14))+$H1064*SIN(RADIANS('13_시나리오비교'!$B$14))*COS(RADIANS('13_시나리오비교'!$C$14))+$I1064*COS(RADIANS('13_시나리오비교'!$B$14))),0)</f>
        <v/>
      </c>
    </row>
    <row r="1065" hidden="1" outlineLevel="1">
      <c r="A1065" s="79" t="n">
        <v>11</v>
      </c>
      <c r="B1065" s="79" t="n">
        <v>85</v>
      </c>
      <c r="C1065" s="80">
        <f>(B1065-0.5)*'14_지역·상수'!$H$6</f>
        <v/>
      </c>
      <c r="D1065" s="79" t="n">
        <v>318</v>
      </c>
      <c r="E1065" s="80">
        <f>INDEX($C$4:$C$15,MATCH(A1065,$A$4:$A$15,0))</f>
        <v/>
      </c>
      <c r="F1065" s="80">
        <f>15*(C1065-12)</f>
        <v/>
      </c>
      <c r="G1065" s="80">
        <f>-COS(RADIANS(E1065))*SIN(RADIANS(F1065))</f>
        <v/>
      </c>
      <c r="H1065" s="80">
        <f>COS(RADIANS('11_발전량_모델'!$B$17))*SIN(RADIANS(E1065))-SIN(RADIANS('11_발전량_모델'!$B$17))*COS(RADIANS(E1065))*COS(RADIANS(F1065))</f>
        <v/>
      </c>
      <c r="I1065" s="80">
        <f>SIN(RADIANS('11_발전량_모델'!$B$17))*SIN(RADIANS(E1065))+COS(RADIANS('11_발전량_모델'!$B$17))*COS(RADIANS(E1065))*COS(RADIANS(F1065))</f>
        <v/>
      </c>
      <c r="J1065" s="80">
        <f>SIN(RADIANS('11_발전량_모델'!$B$7))*SIN(RADIANS('11_발전량_모델'!$B$8))</f>
        <v/>
      </c>
      <c r="K1065" s="80">
        <f>SIN(RADIANS('11_발전량_모델'!$B$7))*COS(RADIANS('11_발전량_모델'!$B$8))</f>
        <v/>
      </c>
      <c r="L1065" s="80">
        <f>COS(RADIANS('11_발전량_모델'!$B$7))</f>
        <v/>
      </c>
      <c r="M1065" s="80">
        <f>G1065*J1065+H1065*K1065+I1065*L1065</f>
        <v/>
      </c>
      <c r="N1065" s="80">
        <f>MAX(0,I1065)</f>
        <v/>
      </c>
      <c r="O1065" s="80">
        <f>IF(I1065&gt;0,MAX(0,M1065),0)</f>
        <v/>
      </c>
      <c r="P1065" s="80">
        <f>IF($I1065&gt;0,MAX(0,$G1065*SIN(RADIANS('13_시나리오비교'!$B$5))*SIN(RADIANS('13_시나리오비교'!$C$5))+$H1065*SIN(RADIANS('13_시나리오비교'!$B$5))*COS(RADIANS('13_시나리오비교'!$C$5))+$I1065*COS(RADIANS('13_시나리오비교'!$B$5))),0)</f>
        <v/>
      </c>
      <c r="Q1065" s="80">
        <f>IF($I1065&gt;0,MAX(0,$G1065*SIN(RADIANS('13_시나리오비교'!$B$6))*SIN(RADIANS('13_시나리오비교'!$C$6))+$H1065*SIN(RADIANS('13_시나리오비교'!$B$6))*COS(RADIANS('13_시나리오비교'!$C$6))+$I1065*COS(RADIANS('13_시나리오비교'!$B$6))),0)</f>
        <v/>
      </c>
      <c r="R1065" s="80">
        <f>IF($I1065&gt;0,MAX(0,$G1065*SIN(RADIANS('13_시나리오비교'!$B$7))*SIN(RADIANS('13_시나리오비교'!$C$7))+$H1065*SIN(RADIANS('13_시나리오비교'!$B$7))*COS(RADIANS('13_시나리오비교'!$C$7))+$I1065*COS(RADIANS('13_시나리오비교'!$B$7))),0)</f>
        <v/>
      </c>
      <c r="S1065" s="80">
        <f>IF($I1065&gt;0,MAX(0,$G1065*SIN(RADIANS('13_시나리오비교'!$B$8))*SIN(RADIANS('13_시나리오비교'!$C$8))+$H1065*SIN(RADIANS('13_시나리오비교'!$B$8))*COS(RADIANS('13_시나리오비교'!$C$8))+$I1065*COS(RADIANS('13_시나리오비교'!$B$8))),0)</f>
        <v/>
      </c>
      <c r="T1065" s="80">
        <f>IF($I1065&gt;0,MAX(0,$G1065*SIN(RADIANS('13_시나리오비교'!$B$9))*SIN(RADIANS('13_시나리오비교'!$C$9))+$H1065*SIN(RADIANS('13_시나리오비교'!$B$9))*COS(RADIANS('13_시나리오비교'!$C$9))+$I1065*COS(RADIANS('13_시나리오비교'!$B$9))),0)</f>
        <v/>
      </c>
      <c r="U1065" s="80">
        <f>IF($I1065&gt;0,MAX(0,$G1065*SIN(RADIANS('13_시나리오비교'!$B$10))*SIN(RADIANS('13_시나리오비교'!$C$10))+$H1065*SIN(RADIANS('13_시나리오비교'!$B$10))*COS(RADIANS('13_시나리오비교'!$C$10))+$I1065*COS(RADIANS('13_시나리오비교'!$B$10))),0)</f>
        <v/>
      </c>
      <c r="V1065" s="80">
        <f>IF($I1065&gt;0,MAX(0,$G1065*SIN(RADIANS('13_시나리오비교'!$B$11))*SIN(RADIANS('13_시나리오비교'!$C$11))+$H1065*SIN(RADIANS('13_시나리오비교'!$B$11))*COS(RADIANS('13_시나리오비교'!$C$11))+$I1065*COS(RADIANS('13_시나리오비교'!$B$11))),0)</f>
        <v/>
      </c>
      <c r="W1065" s="80">
        <f>IF($I1065&gt;0,MAX(0,$G1065*SIN(RADIANS('13_시나리오비교'!$B$12))*SIN(RADIANS('13_시나리오비교'!$C$12))+$H1065*SIN(RADIANS('13_시나리오비교'!$B$12))*COS(RADIANS('13_시나리오비교'!$C$12))+$I1065*COS(RADIANS('13_시나리오비교'!$B$12))),0)</f>
        <v/>
      </c>
      <c r="X1065" s="80">
        <f>IF($I1065&gt;0,MAX(0,$G1065*SIN(RADIANS('13_시나리오비교'!$B$13))*SIN(RADIANS('13_시나리오비교'!$C$13))+$H1065*SIN(RADIANS('13_시나리오비교'!$B$13))*COS(RADIANS('13_시나리오비교'!$C$13))+$I1065*COS(RADIANS('13_시나리오비교'!$B$13))),0)</f>
        <v/>
      </c>
      <c r="Y1065" s="80">
        <f>IF($I1065&gt;0,MAX(0,$G1065*SIN(RADIANS('13_시나리오비교'!$B$14))*SIN(RADIANS('13_시나리오비교'!$C$14))+$H1065*SIN(RADIANS('13_시나리오비교'!$B$14))*COS(RADIANS('13_시나리오비교'!$C$14))+$I1065*COS(RADIANS('13_시나리오비교'!$B$14))),0)</f>
        <v/>
      </c>
    </row>
    <row r="1066" hidden="1" outlineLevel="1">
      <c r="A1066" s="79" t="n">
        <v>11</v>
      </c>
      <c r="B1066" s="79" t="n">
        <v>86</v>
      </c>
      <c r="C1066" s="80">
        <f>(B1066-0.5)*'14_지역·상수'!$H$6</f>
        <v/>
      </c>
      <c r="D1066" s="79" t="n">
        <v>318</v>
      </c>
      <c r="E1066" s="80">
        <f>INDEX($C$4:$C$15,MATCH(A1066,$A$4:$A$15,0))</f>
        <v/>
      </c>
      <c r="F1066" s="80">
        <f>15*(C1066-12)</f>
        <v/>
      </c>
      <c r="G1066" s="80">
        <f>-COS(RADIANS(E1066))*SIN(RADIANS(F1066))</f>
        <v/>
      </c>
      <c r="H1066" s="80">
        <f>COS(RADIANS('11_발전량_모델'!$B$17))*SIN(RADIANS(E1066))-SIN(RADIANS('11_발전량_모델'!$B$17))*COS(RADIANS(E1066))*COS(RADIANS(F1066))</f>
        <v/>
      </c>
      <c r="I1066" s="80">
        <f>SIN(RADIANS('11_발전량_모델'!$B$17))*SIN(RADIANS(E1066))+COS(RADIANS('11_발전량_모델'!$B$17))*COS(RADIANS(E1066))*COS(RADIANS(F1066))</f>
        <v/>
      </c>
      <c r="J1066" s="80">
        <f>SIN(RADIANS('11_발전량_모델'!$B$7))*SIN(RADIANS('11_발전량_모델'!$B$8))</f>
        <v/>
      </c>
      <c r="K1066" s="80">
        <f>SIN(RADIANS('11_발전량_모델'!$B$7))*COS(RADIANS('11_발전량_모델'!$B$8))</f>
        <v/>
      </c>
      <c r="L1066" s="80">
        <f>COS(RADIANS('11_발전량_모델'!$B$7))</f>
        <v/>
      </c>
      <c r="M1066" s="80">
        <f>G1066*J1066+H1066*K1066+I1066*L1066</f>
        <v/>
      </c>
      <c r="N1066" s="80">
        <f>MAX(0,I1066)</f>
        <v/>
      </c>
      <c r="O1066" s="80">
        <f>IF(I1066&gt;0,MAX(0,M1066),0)</f>
        <v/>
      </c>
      <c r="P1066" s="80">
        <f>IF($I1066&gt;0,MAX(0,$G1066*SIN(RADIANS('13_시나리오비교'!$B$5))*SIN(RADIANS('13_시나리오비교'!$C$5))+$H1066*SIN(RADIANS('13_시나리오비교'!$B$5))*COS(RADIANS('13_시나리오비교'!$C$5))+$I1066*COS(RADIANS('13_시나리오비교'!$B$5))),0)</f>
        <v/>
      </c>
      <c r="Q1066" s="80">
        <f>IF($I1066&gt;0,MAX(0,$G1066*SIN(RADIANS('13_시나리오비교'!$B$6))*SIN(RADIANS('13_시나리오비교'!$C$6))+$H1066*SIN(RADIANS('13_시나리오비교'!$B$6))*COS(RADIANS('13_시나리오비교'!$C$6))+$I1066*COS(RADIANS('13_시나리오비교'!$B$6))),0)</f>
        <v/>
      </c>
      <c r="R1066" s="80">
        <f>IF($I1066&gt;0,MAX(0,$G1066*SIN(RADIANS('13_시나리오비교'!$B$7))*SIN(RADIANS('13_시나리오비교'!$C$7))+$H1066*SIN(RADIANS('13_시나리오비교'!$B$7))*COS(RADIANS('13_시나리오비교'!$C$7))+$I1066*COS(RADIANS('13_시나리오비교'!$B$7))),0)</f>
        <v/>
      </c>
      <c r="S1066" s="80">
        <f>IF($I1066&gt;0,MAX(0,$G1066*SIN(RADIANS('13_시나리오비교'!$B$8))*SIN(RADIANS('13_시나리오비교'!$C$8))+$H1066*SIN(RADIANS('13_시나리오비교'!$B$8))*COS(RADIANS('13_시나리오비교'!$C$8))+$I1066*COS(RADIANS('13_시나리오비교'!$B$8))),0)</f>
        <v/>
      </c>
      <c r="T1066" s="80">
        <f>IF($I1066&gt;0,MAX(0,$G1066*SIN(RADIANS('13_시나리오비교'!$B$9))*SIN(RADIANS('13_시나리오비교'!$C$9))+$H1066*SIN(RADIANS('13_시나리오비교'!$B$9))*COS(RADIANS('13_시나리오비교'!$C$9))+$I1066*COS(RADIANS('13_시나리오비교'!$B$9))),0)</f>
        <v/>
      </c>
      <c r="U1066" s="80">
        <f>IF($I1066&gt;0,MAX(0,$G1066*SIN(RADIANS('13_시나리오비교'!$B$10))*SIN(RADIANS('13_시나리오비교'!$C$10))+$H1066*SIN(RADIANS('13_시나리오비교'!$B$10))*COS(RADIANS('13_시나리오비교'!$C$10))+$I1066*COS(RADIANS('13_시나리오비교'!$B$10))),0)</f>
        <v/>
      </c>
      <c r="V1066" s="80">
        <f>IF($I1066&gt;0,MAX(0,$G1066*SIN(RADIANS('13_시나리오비교'!$B$11))*SIN(RADIANS('13_시나리오비교'!$C$11))+$H1066*SIN(RADIANS('13_시나리오비교'!$B$11))*COS(RADIANS('13_시나리오비교'!$C$11))+$I1066*COS(RADIANS('13_시나리오비교'!$B$11))),0)</f>
        <v/>
      </c>
      <c r="W1066" s="80">
        <f>IF($I1066&gt;0,MAX(0,$G1066*SIN(RADIANS('13_시나리오비교'!$B$12))*SIN(RADIANS('13_시나리오비교'!$C$12))+$H1066*SIN(RADIANS('13_시나리오비교'!$B$12))*COS(RADIANS('13_시나리오비교'!$C$12))+$I1066*COS(RADIANS('13_시나리오비교'!$B$12))),0)</f>
        <v/>
      </c>
      <c r="X1066" s="80">
        <f>IF($I1066&gt;0,MAX(0,$G1066*SIN(RADIANS('13_시나리오비교'!$B$13))*SIN(RADIANS('13_시나리오비교'!$C$13))+$H1066*SIN(RADIANS('13_시나리오비교'!$B$13))*COS(RADIANS('13_시나리오비교'!$C$13))+$I1066*COS(RADIANS('13_시나리오비교'!$B$13))),0)</f>
        <v/>
      </c>
      <c r="Y1066" s="80">
        <f>IF($I1066&gt;0,MAX(0,$G1066*SIN(RADIANS('13_시나리오비교'!$B$14))*SIN(RADIANS('13_시나리오비교'!$C$14))+$H1066*SIN(RADIANS('13_시나리오비교'!$B$14))*COS(RADIANS('13_시나리오비교'!$C$14))+$I1066*COS(RADIANS('13_시나리오비교'!$B$14))),0)</f>
        <v/>
      </c>
    </row>
    <row r="1067" hidden="1" outlineLevel="1">
      <c r="A1067" s="79" t="n">
        <v>11</v>
      </c>
      <c r="B1067" s="79" t="n">
        <v>87</v>
      </c>
      <c r="C1067" s="80">
        <f>(B1067-0.5)*'14_지역·상수'!$H$6</f>
        <v/>
      </c>
      <c r="D1067" s="79" t="n">
        <v>318</v>
      </c>
      <c r="E1067" s="80">
        <f>INDEX($C$4:$C$15,MATCH(A1067,$A$4:$A$15,0))</f>
        <v/>
      </c>
      <c r="F1067" s="80">
        <f>15*(C1067-12)</f>
        <v/>
      </c>
      <c r="G1067" s="80">
        <f>-COS(RADIANS(E1067))*SIN(RADIANS(F1067))</f>
        <v/>
      </c>
      <c r="H1067" s="80">
        <f>COS(RADIANS('11_발전량_모델'!$B$17))*SIN(RADIANS(E1067))-SIN(RADIANS('11_발전량_모델'!$B$17))*COS(RADIANS(E1067))*COS(RADIANS(F1067))</f>
        <v/>
      </c>
      <c r="I1067" s="80">
        <f>SIN(RADIANS('11_발전량_모델'!$B$17))*SIN(RADIANS(E1067))+COS(RADIANS('11_발전량_모델'!$B$17))*COS(RADIANS(E1067))*COS(RADIANS(F1067))</f>
        <v/>
      </c>
      <c r="J1067" s="80">
        <f>SIN(RADIANS('11_발전량_모델'!$B$7))*SIN(RADIANS('11_발전량_모델'!$B$8))</f>
        <v/>
      </c>
      <c r="K1067" s="80">
        <f>SIN(RADIANS('11_발전량_모델'!$B$7))*COS(RADIANS('11_발전량_모델'!$B$8))</f>
        <v/>
      </c>
      <c r="L1067" s="80">
        <f>COS(RADIANS('11_발전량_모델'!$B$7))</f>
        <v/>
      </c>
      <c r="M1067" s="80">
        <f>G1067*J1067+H1067*K1067+I1067*L1067</f>
        <v/>
      </c>
      <c r="N1067" s="80">
        <f>MAX(0,I1067)</f>
        <v/>
      </c>
      <c r="O1067" s="80">
        <f>IF(I1067&gt;0,MAX(0,M1067),0)</f>
        <v/>
      </c>
      <c r="P1067" s="80">
        <f>IF($I1067&gt;0,MAX(0,$G1067*SIN(RADIANS('13_시나리오비교'!$B$5))*SIN(RADIANS('13_시나리오비교'!$C$5))+$H1067*SIN(RADIANS('13_시나리오비교'!$B$5))*COS(RADIANS('13_시나리오비교'!$C$5))+$I1067*COS(RADIANS('13_시나리오비교'!$B$5))),0)</f>
        <v/>
      </c>
      <c r="Q1067" s="80">
        <f>IF($I1067&gt;0,MAX(0,$G1067*SIN(RADIANS('13_시나리오비교'!$B$6))*SIN(RADIANS('13_시나리오비교'!$C$6))+$H1067*SIN(RADIANS('13_시나리오비교'!$B$6))*COS(RADIANS('13_시나리오비교'!$C$6))+$I1067*COS(RADIANS('13_시나리오비교'!$B$6))),0)</f>
        <v/>
      </c>
      <c r="R1067" s="80">
        <f>IF($I1067&gt;0,MAX(0,$G1067*SIN(RADIANS('13_시나리오비교'!$B$7))*SIN(RADIANS('13_시나리오비교'!$C$7))+$H1067*SIN(RADIANS('13_시나리오비교'!$B$7))*COS(RADIANS('13_시나리오비교'!$C$7))+$I1067*COS(RADIANS('13_시나리오비교'!$B$7))),0)</f>
        <v/>
      </c>
      <c r="S1067" s="80">
        <f>IF($I1067&gt;0,MAX(0,$G1067*SIN(RADIANS('13_시나리오비교'!$B$8))*SIN(RADIANS('13_시나리오비교'!$C$8))+$H1067*SIN(RADIANS('13_시나리오비교'!$B$8))*COS(RADIANS('13_시나리오비교'!$C$8))+$I1067*COS(RADIANS('13_시나리오비교'!$B$8))),0)</f>
        <v/>
      </c>
      <c r="T1067" s="80">
        <f>IF($I1067&gt;0,MAX(0,$G1067*SIN(RADIANS('13_시나리오비교'!$B$9))*SIN(RADIANS('13_시나리오비교'!$C$9))+$H1067*SIN(RADIANS('13_시나리오비교'!$B$9))*COS(RADIANS('13_시나리오비교'!$C$9))+$I1067*COS(RADIANS('13_시나리오비교'!$B$9))),0)</f>
        <v/>
      </c>
      <c r="U1067" s="80">
        <f>IF($I1067&gt;0,MAX(0,$G1067*SIN(RADIANS('13_시나리오비교'!$B$10))*SIN(RADIANS('13_시나리오비교'!$C$10))+$H1067*SIN(RADIANS('13_시나리오비교'!$B$10))*COS(RADIANS('13_시나리오비교'!$C$10))+$I1067*COS(RADIANS('13_시나리오비교'!$B$10))),0)</f>
        <v/>
      </c>
      <c r="V1067" s="80">
        <f>IF($I1067&gt;0,MAX(0,$G1067*SIN(RADIANS('13_시나리오비교'!$B$11))*SIN(RADIANS('13_시나리오비교'!$C$11))+$H1067*SIN(RADIANS('13_시나리오비교'!$B$11))*COS(RADIANS('13_시나리오비교'!$C$11))+$I1067*COS(RADIANS('13_시나리오비교'!$B$11))),0)</f>
        <v/>
      </c>
      <c r="W1067" s="80">
        <f>IF($I1067&gt;0,MAX(0,$G1067*SIN(RADIANS('13_시나리오비교'!$B$12))*SIN(RADIANS('13_시나리오비교'!$C$12))+$H1067*SIN(RADIANS('13_시나리오비교'!$B$12))*COS(RADIANS('13_시나리오비교'!$C$12))+$I1067*COS(RADIANS('13_시나리오비교'!$B$12))),0)</f>
        <v/>
      </c>
      <c r="X1067" s="80">
        <f>IF($I1067&gt;0,MAX(0,$G1067*SIN(RADIANS('13_시나리오비교'!$B$13))*SIN(RADIANS('13_시나리오비교'!$C$13))+$H1067*SIN(RADIANS('13_시나리오비교'!$B$13))*COS(RADIANS('13_시나리오비교'!$C$13))+$I1067*COS(RADIANS('13_시나리오비교'!$B$13))),0)</f>
        <v/>
      </c>
      <c r="Y1067" s="80">
        <f>IF($I1067&gt;0,MAX(0,$G1067*SIN(RADIANS('13_시나리오비교'!$B$14))*SIN(RADIANS('13_시나리오비교'!$C$14))+$H1067*SIN(RADIANS('13_시나리오비교'!$B$14))*COS(RADIANS('13_시나리오비교'!$C$14))+$I1067*COS(RADIANS('13_시나리오비교'!$B$14))),0)</f>
        <v/>
      </c>
    </row>
    <row r="1068" hidden="1" outlineLevel="1">
      <c r="A1068" s="79" t="n">
        <v>11</v>
      </c>
      <c r="B1068" s="79" t="n">
        <v>88</v>
      </c>
      <c r="C1068" s="80">
        <f>(B1068-0.5)*'14_지역·상수'!$H$6</f>
        <v/>
      </c>
      <c r="D1068" s="79" t="n">
        <v>318</v>
      </c>
      <c r="E1068" s="80">
        <f>INDEX($C$4:$C$15,MATCH(A1068,$A$4:$A$15,0))</f>
        <v/>
      </c>
      <c r="F1068" s="80">
        <f>15*(C1068-12)</f>
        <v/>
      </c>
      <c r="G1068" s="80">
        <f>-COS(RADIANS(E1068))*SIN(RADIANS(F1068))</f>
        <v/>
      </c>
      <c r="H1068" s="80">
        <f>COS(RADIANS('11_발전량_모델'!$B$17))*SIN(RADIANS(E1068))-SIN(RADIANS('11_발전량_모델'!$B$17))*COS(RADIANS(E1068))*COS(RADIANS(F1068))</f>
        <v/>
      </c>
      <c r="I1068" s="80">
        <f>SIN(RADIANS('11_발전량_모델'!$B$17))*SIN(RADIANS(E1068))+COS(RADIANS('11_발전량_모델'!$B$17))*COS(RADIANS(E1068))*COS(RADIANS(F1068))</f>
        <v/>
      </c>
      <c r="J1068" s="80">
        <f>SIN(RADIANS('11_발전량_모델'!$B$7))*SIN(RADIANS('11_발전량_모델'!$B$8))</f>
        <v/>
      </c>
      <c r="K1068" s="80">
        <f>SIN(RADIANS('11_발전량_모델'!$B$7))*COS(RADIANS('11_발전량_모델'!$B$8))</f>
        <v/>
      </c>
      <c r="L1068" s="80">
        <f>COS(RADIANS('11_발전량_모델'!$B$7))</f>
        <v/>
      </c>
      <c r="M1068" s="80">
        <f>G1068*J1068+H1068*K1068+I1068*L1068</f>
        <v/>
      </c>
      <c r="N1068" s="80">
        <f>MAX(0,I1068)</f>
        <v/>
      </c>
      <c r="O1068" s="80">
        <f>IF(I1068&gt;0,MAX(0,M1068),0)</f>
        <v/>
      </c>
      <c r="P1068" s="80">
        <f>IF($I1068&gt;0,MAX(0,$G1068*SIN(RADIANS('13_시나리오비교'!$B$5))*SIN(RADIANS('13_시나리오비교'!$C$5))+$H1068*SIN(RADIANS('13_시나리오비교'!$B$5))*COS(RADIANS('13_시나리오비교'!$C$5))+$I1068*COS(RADIANS('13_시나리오비교'!$B$5))),0)</f>
        <v/>
      </c>
      <c r="Q1068" s="80">
        <f>IF($I1068&gt;0,MAX(0,$G1068*SIN(RADIANS('13_시나리오비교'!$B$6))*SIN(RADIANS('13_시나리오비교'!$C$6))+$H1068*SIN(RADIANS('13_시나리오비교'!$B$6))*COS(RADIANS('13_시나리오비교'!$C$6))+$I1068*COS(RADIANS('13_시나리오비교'!$B$6))),0)</f>
        <v/>
      </c>
      <c r="R1068" s="80">
        <f>IF($I1068&gt;0,MAX(0,$G1068*SIN(RADIANS('13_시나리오비교'!$B$7))*SIN(RADIANS('13_시나리오비교'!$C$7))+$H1068*SIN(RADIANS('13_시나리오비교'!$B$7))*COS(RADIANS('13_시나리오비교'!$C$7))+$I1068*COS(RADIANS('13_시나리오비교'!$B$7))),0)</f>
        <v/>
      </c>
      <c r="S1068" s="80">
        <f>IF($I1068&gt;0,MAX(0,$G1068*SIN(RADIANS('13_시나리오비교'!$B$8))*SIN(RADIANS('13_시나리오비교'!$C$8))+$H1068*SIN(RADIANS('13_시나리오비교'!$B$8))*COS(RADIANS('13_시나리오비교'!$C$8))+$I1068*COS(RADIANS('13_시나리오비교'!$B$8))),0)</f>
        <v/>
      </c>
      <c r="T1068" s="80">
        <f>IF($I1068&gt;0,MAX(0,$G1068*SIN(RADIANS('13_시나리오비교'!$B$9))*SIN(RADIANS('13_시나리오비교'!$C$9))+$H1068*SIN(RADIANS('13_시나리오비교'!$B$9))*COS(RADIANS('13_시나리오비교'!$C$9))+$I1068*COS(RADIANS('13_시나리오비교'!$B$9))),0)</f>
        <v/>
      </c>
      <c r="U1068" s="80">
        <f>IF($I1068&gt;0,MAX(0,$G1068*SIN(RADIANS('13_시나리오비교'!$B$10))*SIN(RADIANS('13_시나리오비교'!$C$10))+$H1068*SIN(RADIANS('13_시나리오비교'!$B$10))*COS(RADIANS('13_시나리오비교'!$C$10))+$I1068*COS(RADIANS('13_시나리오비교'!$B$10))),0)</f>
        <v/>
      </c>
      <c r="V1068" s="80">
        <f>IF($I1068&gt;0,MAX(0,$G1068*SIN(RADIANS('13_시나리오비교'!$B$11))*SIN(RADIANS('13_시나리오비교'!$C$11))+$H1068*SIN(RADIANS('13_시나리오비교'!$B$11))*COS(RADIANS('13_시나리오비교'!$C$11))+$I1068*COS(RADIANS('13_시나리오비교'!$B$11))),0)</f>
        <v/>
      </c>
      <c r="W1068" s="80">
        <f>IF($I1068&gt;0,MAX(0,$G1068*SIN(RADIANS('13_시나리오비교'!$B$12))*SIN(RADIANS('13_시나리오비교'!$C$12))+$H1068*SIN(RADIANS('13_시나리오비교'!$B$12))*COS(RADIANS('13_시나리오비교'!$C$12))+$I1068*COS(RADIANS('13_시나리오비교'!$B$12))),0)</f>
        <v/>
      </c>
      <c r="X1068" s="80">
        <f>IF($I1068&gt;0,MAX(0,$G1068*SIN(RADIANS('13_시나리오비교'!$B$13))*SIN(RADIANS('13_시나리오비교'!$C$13))+$H1068*SIN(RADIANS('13_시나리오비교'!$B$13))*COS(RADIANS('13_시나리오비교'!$C$13))+$I1068*COS(RADIANS('13_시나리오비교'!$B$13))),0)</f>
        <v/>
      </c>
      <c r="Y1068" s="80">
        <f>IF($I1068&gt;0,MAX(0,$G1068*SIN(RADIANS('13_시나리오비교'!$B$14))*SIN(RADIANS('13_시나리오비교'!$C$14))+$H1068*SIN(RADIANS('13_시나리오비교'!$B$14))*COS(RADIANS('13_시나리오비교'!$C$14))+$I1068*COS(RADIANS('13_시나리오비교'!$B$14))),0)</f>
        <v/>
      </c>
    </row>
    <row r="1069" hidden="1" outlineLevel="1">
      <c r="A1069" s="79" t="n">
        <v>11</v>
      </c>
      <c r="B1069" s="79" t="n">
        <v>89</v>
      </c>
      <c r="C1069" s="80">
        <f>(B1069-0.5)*'14_지역·상수'!$H$6</f>
        <v/>
      </c>
      <c r="D1069" s="79" t="n">
        <v>318</v>
      </c>
      <c r="E1069" s="80">
        <f>INDEX($C$4:$C$15,MATCH(A1069,$A$4:$A$15,0))</f>
        <v/>
      </c>
      <c r="F1069" s="80">
        <f>15*(C1069-12)</f>
        <v/>
      </c>
      <c r="G1069" s="80">
        <f>-COS(RADIANS(E1069))*SIN(RADIANS(F1069))</f>
        <v/>
      </c>
      <c r="H1069" s="80">
        <f>COS(RADIANS('11_발전량_모델'!$B$17))*SIN(RADIANS(E1069))-SIN(RADIANS('11_발전량_모델'!$B$17))*COS(RADIANS(E1069))*COS(RADIANS(F1069))</f>
        <v/>
      </c>
      <c r="I1069" s="80">
        <f>SIN(RADIANS('11_발전량_모델'!$B$17))*SIN(RADIANS(E1069))+COS(RADIANS('11_발전량_모델'!$B$17))*COS(RADIANS(E1069))*COS(RADIANS(F1069))</f>
        <v/>
      </c>
      <c r="J1069" s="80">
        <f>SIN(RADIANS('11_발전량_모델'!$B$7))*SIN(RADIANS('11_발전량_모델'!$B$8))</f>
        <v/>
      </c>
      <c r="K1069" s="80">
        <f>SIN(RADIANS('11_발전량_모델'!$B$7))*COS(RADIANS('11_발전량_모델'!$B$8))</f>
        <v/>
      </c>
      <c r="L1069" s="80">
        <f>COS(RADIANS('11_발전량_모델'!$B$7))</f>
        <v/>
      </c>
      <c r="M1069" s="80">
        <f>G1069*J1069+H1069*K1069+I1069*L1069</f>
        <v/>
      </c>
      <c r="N1069" s="80">
        <f>MAX(0,I1069)</f>
        <v/>
      </c>
      <c r="O1069" s="80">
        <f>IF(I1069&gt;0,MAX(0,M1069),0)</f>
        <v/>
      </c>
      <c r="P1069" s="80">
        <f>IF($I1069&gt;0,MAX(0,$G1069*SIN(RADIANS('13_시나리오비교'!$B$5))*SIN(RADIANS('13_시나리오비교'!$C$5))+$H1069*SIN(RADIANS('13_시나리오비교'!$B$5))*COS(RADIANS('13_시나리오비교'!$C$5))+$I1069*COS(RADIANS('13_시나리오비교'!$B$5))),0)</f>
        <v/>
      </c>
      <c r="Q1069" s="80">
        <f>IF($I1069&gt;0,MAX(0,$G1069*SIN(RADIANS('13_시나리오비교'!$B$6))*SIN(RADIANS('13_시나리오비교'!$C$6))+$H1069*SIN(RADIANS('13_시나리오비교'!$B$6))*COS(RADIANS('13_시나리오비교'!$C$6))+$I1069*COS(RADIANS('13_시나리오비교'!$B$6))),0)</f>
        <v/>
      </c>
      <c r="R1069" s="80">
        <f>IF($I1069&gt;0,MAX(0,$G1069*SIN(RADIANS('13_시나리오비교'!$B$7))*SIN(RADIANS('13_시나리오비교'!$C$7))+$H1069*SIN(RADIANS('13_시나리오비교'!$B$7))*COS(RADIANS('13_시나리오비교'!$C$7))+$I1069*COS(RADIANS('13_시나리오비교'!$B$7))),0)</f>
        <v/>
      </c>
      <c r="S1069" s="80">
        <f>IF($I1069&gt;0,MAX(0,$G1069*SIN(RADIANS('13_시나리오비교'!$B$8))*SIN(RADIANS('13_시나리오비교'!$C$8))+$H1069*SIN(RADIANS('13_시나리오비교'!$B$8))*COS(RADIANS('13_시나리오비교'!$C$8))+$I1069*COS(RADIANS('13_시나리오비교'!$B$8))),0)</f>
        <v/>
      </c>
      <c r="T1069" s="80">
        <f>IF($I1069&gt;0,MAX(0,$G1069*SIN(RADIANS('13_시나리오비교'!$B$9))*SIN(RADIANS('13_시나리오비교'!$C$9))+$H1069*SIN(RADIANS('13_시나리오비교'!$B$9))*COS(RADIANS('13_시나리오비교'!$C$9))+$I1069*COS(RADIANS('13_시나리오비교'!$B$9))),0)</f>
        <v/>
      </c>
      <c r="U1069" s="80">
        <f>IF($I1069&gt;0,MAX(0,$G1069*SIN(RADIANS('13_시나리오비교'!$B$10))*SIN(RADIANS('13_시나리오비교'!$C$10))+$H1069*SIN(RADIANS('13_시나리오비교'!$B$10))*COS(RADIANS('13_시나리오비교'!$C$10))+$I1069*COS(RADIANS('13_시나리오비교'!$B$10))),0)</f>
        <v/>
      </c>
      <c r="V1069" s="80">
        <f>IF($I1069&gt;0,MAX(0,$G1069*SIN(RADIANS('13_시나리오비교'!$B$11))*SIN(RADIANS('13_시나리오비교'!$C$11))+$H1069*SIN(RADIANS('13_시나리오비교'!$B$11))*COS(RADIANS('13_시나리오비교'!$C$11))+$I1069*COS(RADIANS('13_시나리오비교'!$B$11))),0)</f>
        <v/>
      </c>
      <c r="W1069" s="80">
        <f>IF($I1069&gt;0,MAX(0,$G1069*SIN(RADIANS('13_시나리오비교'!$B$12))*SIN(RADIANS('13_시나리오비교'!$C$12))+$H1069*SIN(RADIANS('13_시나리오비교'!$B$12))*COS(RADIANS('13_시나리오비교'!$C$12))+$I1069*COS(RADIANS('13_시나리오비교'!$B$12))),0)</f>
        <v/>
      </c>
      <c r="X1069" s="80">
        <f>IF($I1069&gt;0,MAX(0,$G1069*SIN(RADIANS('13_시나리오비교'!$B$13))*SIN(RADIANS('13_시나리오비교'!$C$13))+$H1069*SIN(RADIANS('13_시나리오비교'!$B$13))*COS(RADIANS('13_시나리오비교'!$C$13))+$I1069*COS(RADIANS('13_시나리오비교'!$B$13))),0)</f>
        <v/>
      </c>
      <c r="Y1069" s="80">
        <f>IF($I1069&gt;0,MAX(0,$G1069*SIN(RADIANS('13_시나리오비교'!$B$14))*SIN(RADIANS('13_시나리오비교'!$C$14))+$H1069*SIN(RADIANS('13_시나리오비교'!$B$14))*COS(RADIANS('13_시나리오비교'!$C$14))+$I1069*COS(RADIANS('13_시나리오비교'!$B$14))),0)</f>
        <v/>
      </c>
    </row>
    <row r="1070" hidden="1" outlineLevel="1">
      <c r="A1070" s="79" t="n">
        <v>11</v>
      </c>
      <c r="B1070" s="79" t="n">
        <v>90</v>
      </c>
      <c r="C1070" s="80">
        <f>(B1070-0.5)*'14_지역·상수'!$H$6</f>
        <v/>
      </c>
      <c r="D1070" s="79" t="n">
        <v>318</v>
      </c>
      <c r="E1070" s="80">
        <f>INDEX($C$4:$C$15,MATCH(A1070,$A$4:$A$15,0))</f>
        <v/>
      </c>
      <c r="F1070" s="80">
        <f>15*(C1070-12)</f>
        <v/>
      </c>
      <c r="G1070" s="80">
        <f>-COS(RADIANS(E1070))*SIN(RADIANS(F1070))</f>
        <v/>
      </c>
      <c r="H1070" s="80">
        <f>COS(RADIANS('11_발전량_모델'!$B$17))*SIN(RADIANS(E1070))-SIN(RADIANS('11_발전량_모델'!$B$17))*COS(RADIANS(E1070))*COS(RADIANS(F1070))</f>
        <v/>
      </c>
      <c r="I1070" s="80">
        <f>SIN(RADIANS('11_발전량_모델'!$B$17))*SIN(RADIANS(E1070))+COS(RADIANS('11_발전량_모델'!$B$17))*COS(RADIANS(E1070))*COS(RADIANS(F1070))</f>
        <v/>
      </c>
      <c r="J1070" s="80">
        <f>SIN(RADIANS('11_발전량_모델'!$B$7))*SIN(RADIANS('11_발전량_모델'!$B$8))</f>
        <v/>
      </c>
      <c r="K1070" s="80">
        <f>SIN(RADIANS('11_발전량_모델'!$B$7))*COS(RADIANS('11_발전량_모델'!$B$8))</f>
        <v/>
      </c>
      <c r="L1070" s="80">
        <f>COS(RADIANS('11_발전량_모델'!$B$7))</f>
        <v/>
      </c>
      <c r="M1070" s="80">
        <f>G1070*J1070+H1070*K1070+I1070*L1070</f>
        <v/>
      </c>
      <c r="N1070" s="80">
        <f>MAX(0,I1070)</f>
        <v/>
      </c>
      <c r="O1070" s="80">
        <f>IF(I1070&gt;0,MAX(0,M1070),0)</f>
        <v/>
      </c>
      <c r="P1070" s="80">
        <f>IF($I1070&gt;0,MAX(0,$G1070*SIN(RADIANS('13_시나리오비교'!$B$5))*SIN(RADIANS('13_시나리오비교'!$C$5))+$H1070*SIN(RADIANS('13_시나리오비교'!$B$5))*COS(RADIANS('13_시나리오비교'!$C$5))+$I1070*COS(RADIANS('13_시나리오비교'!$B$5))),0)</f>
        <v/>
      </c>
      <c r="Q1070" s="80">
        <f>IF($I1070&gt;0,MAX(0,$G1070*SIN(RADIANS('13_시나리오비교'!$B$6))*SIN(RADIANS('13_시나리오비교'!$C$6))+$H1070*SIN(RADIANS('13_시나리오비교'!$B$6))*COS(RADIANS('13_시나리오비교'!$C$6))+$I1070*COS(RADIANS('13_시나리오비교'!$B$6))),0)</f>
        <v/>
      </c>
      <c r="R1070" s="80">
        <f>IF($I1070&gt;0,MAX(0,$G1070*SIN(RADIANS('13_시나리오비교'!$B$7))*SIN(RADIANS('13_시나리오비교'!$C$7))+$H1070*SIN(RADIANS('13_시나리오비교'!$B$7))*COS(RADIANS('13_시나리오비교'!$C$7))+$I1070*COS(RADIANS('13_시나리오비교'!$B$7))),0)</f>
        <v/>
      </c>
      <c r="S1070" s="80">
        <f>IF($I1070&gt;0,MAX(0,$G1070*SIN(RADIANS('13_시나리오비교'!$B$8))*SIN(RADIANS('13_시나리오비교'!$C$8))+$H1070*SIN(RADIANS('13_시나리오비교'!$B$8))*COS(RADIANS('13_시나리오비교'!$C$8))+$I1070*COS(RADIANS('13_시나리오비교'!$B$8))),0)</f>
        <v/>
      </c>
      <c r="T1070" s="80">
        <f>IF($I1070&gt;0,MAX(0,$G1070*SIN(RADIANS('13_시나리오비교'!$B$9))*SIN(RADIANS('13_시나리오비교'!$C$9))+$H1070*SIN(RADIANS('13_시나리오비교'!$B$9))*COS(RADIANS('13_시나리오비교'!$C$9))+$I1070*COS(RADIANS('13_시나리오비교'!$B$9))),0)</f>
        <v/>
      </c>
      <c r="U1070" s="80">
        <f>IF($I1070&gt;0,MAX(0,$G1070*SIN(RADIANS('13_시나리오비교'!$B$10))*SIN(RADIANS('13_시나리오비교'!$C$10))+$H1070*SIN(RADIANS('13_시나리오비교'!$B$10))*COS(RADIANS('13_시나리오비교'!$C$10))+$I1070*COS(RADIANS('13_시나리오비교'!$B$10))),0)</f>
        <v/>
      </c>
      <c r="V1070" s="80">
        <f>IF($I1070&gt;0,MAX(0,$G1070*SIN(RADIANS('13_시나리오비교'!$B$11))*SIN(RADIANS('13_시나리오비교'!$C$11))+$H1070*SIN(RADIANS('13_시나리오비교'!$B$11))*COS(RADIANS('13_시나리오비교'!$C$11))+$I1070*COS(RADIANS('13_시나리오비교'!$B$11))),0)</f>
        <v/>
      </c>
      <c r="W1070" s="80">
        <f>IF($I1070&gt;0,MAX(0,$G1070*SIN(RADIANS('13_시나리오비교'!$B$12))*SIN(RADIANS('13_시나리오비교'!$C$12))+$H1070*SIN(RADIANS('13_시나리오비교'!$B$12))*COS(RADIANS('13_시나리오비교'!$C$12))+$I1070*COS(RADIANS('13_시나리오비교'!$B$12))),0)</f>
        <v/>
      </c>
      <c r="X1070" s="80">
        <f>IF($I1070&gt;0,MAX(0,$G1070*SIN(RADIANS('13_시나리오비교'!$B$13))*SIN(RADIANS('13_시나리오비교'!$C$13))+$H1070*SIN(RADIANS('13_시나리오비교'!$B$13))*COS(RADIANS('13_시나리오비교'!$C$13))+$I1070*COS(RADIANS('13_시나리오비교'!$B$13))),0)</f>
        <v/>
      </c>
      <c r="Y1070" s="80">
        <f>IF($I1070&gt;0,MAX(0,$G1070*SIN(RADIANS('13_시나리오비교'!$B$14))*SIN(RADIANS('13_시나리오비교'!$C$14))+$H1070*SIN(RADIANS('13_시나리오비교'!$B$14))*COS(RADIANS('13_시나리오비교'!$C$14))+$I1070*COS(RADIANS('13_시나리오비교'!$B$14))),0)</f>
        <v/>
      </c>
    </row>
    <row r="1071" hidden="1" outlineLevel="1">
      <c r="A1071" s="79" t="n">
        <v>11</v>
      </c>
      <c r="B1071" s="79" t="n">
        <v>91</v>
      </c>
      <c r="C1071" s="80">
        <f>(B1071-0.5)*'14_지역·상수'!$H$6</f>
        <v/>
      </c>
      <c r="D1071" s="79" t="n">
        <v>318</v>
      </c>
      <c r="E1071" s="80">
        <f>INDEX($C$4:$C$15,MATCH(A1071,$A$4:$A$15,0))</f>
        <v/>
      </c>
      <c r="F1071" s="80">
        <f>15*(C1071-12)</f>
        <v/>
      </c>
      <c r="G1071" s="80">
        <f>-COS(RADIANS(E1071))*SIN(RADIANS(F1071))</f>
        <v/>
      </c>
      <c r="H1071" s="80">
        <f>COS(RADIANS('11_발전량_모델'!$B$17))*SIN(RADIANS(E1071))-SIN(RADIANS('11_발전량_모델'!$B$17))*COS(RADIANS(E1071))*COS(RADIANS(F1071))</f>
        <v/>
      </c>
      <c r="I1071" s="80">
        <f>SIN(RADIANS('11_발전량_모델'!$B$17))*SIN(RADIANS(E1071))+COS(RADIANS('11_발전량_모델'!$B$17))*COS(RADIANS(E1071))*COS(RADIANS(F1071))</f>
        <v/>
      </c>
      <c r="J1071" s="80">
        <f>SIN(RADIANS('11_발전량_모델'!$B$7))*SIN(RADIANS('11_발전량_모델'!$B$8))</f>
        <v/>
      </c>
      <c r="K1071" s="80">
        <f>SIN(RADIANS('11_발전량_모델'!$B$7))*COS(RADIANS('11_발전량_모델'!$B$8))</f>
        <v/>
      </c>
      <c r="L1071" s="80">
        <f>COS(RADIANS('11_발전량_모델'!$B$7))</f>
        <v/>
      </c>
      <c r="M1071" s="80">
        <f>G1071*J1071+H1071*K1071+I1071*L1071</f>
        <v/>
      </c>
      <c r="N1071" s="80">
        <f>MAX(0,I1071)</f>
        <v/>
      </c>
      <c r="O1071" s="80">
        <f>IF(I1071&gt;0,MAX(0,M1071),0)</f>
        <v/>
      </c>
      <c r="P1071" s="80">
        <f>IF($I1071&gt;0,MAX(0,$G1071*SIN(RADIANS('13_시나리오비교'!$B$5))*SIN(RADIANS('13_시나리오비교'!$C$5))+$H1071*SIN(RADIANS('13_시나리오비교'!$B$5))*COS(RADIANS('13_시나리오비교'!$C$5))+$I1071*COS(RADIANS('13_시나리오비교'!$B$5))),0)</f>
        <v/>
      </c>
      <c r="Q1071" s="80">
        <f>IF($I1071&gt;0,MAX(0,$G1071*SIN(RADIANS('13_시나리오비교'!$B$6))*SIN(RADIANS('13_시나리오비교'!$C$6))+$H1071*SIN(RADIANS('13_시나리오비교'!$B$6))*COS(RADIANS('13_시나리오비교'!$C$6))+$I1071*COS(RADIANS('13_시나리오비교'!$B$6))),0)</f>
        <v/>
      </c>
      <c r="R1071" s="80">
        <f>IF($I1071&gt;0,MAX(0,$G1071*SIN(RADIANS('13_시나리오비교'!$B$7))*SIN(RADIANS('13_시나리오비교'!$C$7))+$H1071*SIN(RADIANS('13_시나리오비교'!$B$7))*COS(RADIANS('13_시나리오비교'!$C$7))+$I1071*COS(RADIANS('13_시나리오비교'!$B$7))),0)</f>
        <v/>
      </c>
      <c r="S1071" s="80">
        <f>IF($I1071&gt;0,MAX(0,$G1071*SIN(RADIANS('13_시나리오비교'!$B$8))*SIN(RADIANS('13_시나리오비교'!$C$8))+$H1071*SIN(RADIANS('13_시나리오비교'!$B$8))*COS(RADIANS('13_시나리오비교'!$C$8))+$I1071*COS(RADIANS('13_시나리오비교'!$B$8))),0)</f>
        <v/>
      </c>
      <c r="T1071" s="80">
        <f>IF($I1071&gt;0,MAX(0,$G1071*SIN(RADIANS('13_시나리오비교'!$B$9))*SIN(RADIANS('13_시나리오비교'!$C$9))+$H1071*SIN(RADIANS('13_시나리오비교'!$B$9))*COS(RADIANS('13_시나리오비교'!$C$9))+$I1071*COS(RADIANS('13_시나리오비교'!$B$9))),0)</f>
        <v/>
      </c>
      <c r="U1071" s="80">
        <f>IF($I1071&gt;0,MAX(0,$G1071*SIN(RADIANS('13_시나리오비교'!$B$10))*SIN(RADIANS('13_시나리오비교'!$C$10))+$H1071*SIN(RADIANS('13_시나리오비교'!$B$10))*COS(RADIANS('13_시나리오비교'!$C$10))+$I1071*COS(RADIANS('13_시나리오비교'!$B$10))),0)</f>
        <v/>
      </c>
      <c r="V1071" s="80">
        <f>IF($I1071&gt;0,MAX(0,$G1071*SIN(RADIANS('13_시나리오비교'!$B$11))*SIN(RADIANS('13_시나리오비교'!$C$11))+$H1071*SIN(RADIANS('13_시나리오비교'!$B$11))*COS(RADIANS('13_시나리오비교'!$C$11))+$I1071*COS(RADIANS('13_시나리오비교'!$B$11))),0)</f>
        <v/>
      </c>
      <c r="W1071" s="80">
        <f>IF($I1071&gt;0,MAX(0,$G1071*SIN(RADIANS('13_시나리오비교'!$B$12))*SIN(RADIANS('13_시나리오비교'!$C$12))+$H1071*SIN(RADIANS('13_시나리오비교'!$B$12))*COS(RADIANS('13_시나리오비교'!$C$12))+$I1071*COS(RADIANS('13_시나리오비교'!$B$12))),0)</f>
        <v/>
      </c>
      <c r="X1071" s="80">
        <f>IF($I1071&gt;0,MAX(0,$G1071*SIN(RADIANS('13_시나리오비교'!$B$13))*SIN(RADIANS('13_시나리오비교'!$C$13))+$H1071*SIN(RADIANS('13_시나리오비교'!$B$13))*COS(RADIANS('13_시나리오비교'!$C$13))+$I1071*COS(RADIANS('13_시나리오비교'!$B$13))),0)</f>
        <v/>
      </c>
      <c r="Y1071" s="80">
        <f>IF($I1071&gt;0,MAX(0,$G1071*SIN(RADIANS('13_시나리오비교'!$B$14))*SIN(RADIANS('13_시나리오비교'!$C$14))+$H1071*SIN(RADIANS('13_시나리오비교'!$B$14))*COS(RADIANS('13_시나리오비교'!$C$14))+$I1071*COS(RADIANS('13_시나리오비교'!$B$14))),0)</f>
        <v/>
      </c>
    </row>
    <row r="1072" hidden="1" outlineLevel="1">
      <c r="A1072" s="79" t="n">
        <v>11</v>
      </c>
      <c r="B1072" s="79" t="n">
        <v>92</v>
      </c>
      <c r="C1072" s="80">
        <f>(B1072-0.5)*'14_지역·상수'!$H$6</f>
        <v/>
      </c>
      <c r="D1072" s="79" t="n">
        <v>318</v>
      </c>
      <c r="E1072" s="80">
        <f>INDEX($C$4:$C$15,MATCH(A1072,$A$4:$A$15,0))</f>
        <v/>
      </c>
      <c r="F1072" s="80">
        <f>15*(C1072-12)</f>
        <v/>
      </c>
      <c r="G1072" s="80">
        <f>-COS(RADIANS(E1072))*SIN(RADIANS(F1072))</f>
        <v/>
      </c>
      <c r="H1072" s="80">
        <f>COS(RADIANS('11_발전량_모델'!$B$17))*SIN(RADIANS(E1072))-SIN(RADIANS('11_발전량_모델'!$B$17))*COS(RADIANS(E1072))*COS(RADIANS(F1072))</f>
        <v/>
      </c>
      <c r="I1072" s="80">
        <f>SIN(RADIANS('11_발전량_모델'!$B$17))*SIN(RADIANS(E1072))+COS(RADIANS('11_발전량_모델'!$B$17))*COS(RADIANS(E1072))*COS(RADIANS(F1072))</f>
        <v/>
      </c>
      <c r="J1072" s="80">
        <f>SIN(RADIANS('11_발전량_모델'!$B$7))*SIN(RADIANS('11_발전량_모델'!$B$8))</f>
        <v/>
      </c>
      <c r="K1072" s="80">
        <f>SIN(RADIANS('11_발전량_모델'!$B$7))*COS(RADIANS('11_발전량_모델'!$B$8))</f>
        <v/>
      </c>
      <c r="L1072" s="80">
        <f>COS(RADIANS('11_발전량_모델'!$B$7))</f>
        <v/>
      </c>
      <c r="M1072" s="80">
        <f>G1072*J1072+H1072*K1072+I1072*L1072</f>
        <v/>
      </c>
      <c r="N1072" s="80">
        <f>MAX(0,I1072)</f>
        <v/>
      </c>
      <c r="O1072" s="80">
        <f>IF(I1072&gt;0,MAX(0,M1072),0)</f>
        <v/>
      </c>
      <c r="P1072" s="80">
        <f>IF($I1072&gt;0,MAX(0,$G1072*SIN(RADIANS('13_시나리오비교'!$B$5))*SIN(RADIANS('13_시나리오비교'!$C$5))+$H1072*SIN(RADIANS('13_시나리오비교'!$B$5))*COS(RADIANS('13_시나리오비교'!$C$5))+$I1072*COS(RADIANS('13_시나리오비교'!$B$5))),0)</f>
        <v/>
      </c>
      <c r="Q1072" s="80">
        <f>IF($I1072&gt;0,MAX(0,$G1072*SIN(RADIANS('13_시나리오비교'!$B$6))*SIN(RADIANS('13_시나리오비교'!$C$6))+$H1072*SIN(RADIANS('13_시나리오비교'!$B$6))*COS(RADIANS('13_시나리오비교'!$C$6))+$I1072*COS(RADIANS('13_시나리오비교'!$B$6))),0)</f>
        <v/>
      </c>
      <c r="R1072" s="80">
        <f>IF($I1072&gt;0,MAX(0,$G1072*SIN(RADIANS('13_시나리오비교'!$B$7))*SIN(RADIANS('13_시나리오비교'!$C$7))+$H1072*SIN(RADIANS('13_시나리오비교'!$B$7))*COS(RADIANS('13_시나리오비교'!$C$7))+$I1072*COS(RADIANS('13_시나리오비교'!$B$7))),0)</f>
        <v/>
      </c>
      <c r="S1072" s="80">
        <f>IF($I1072&gt;0,MAX(0,$G1072*SIN(RADIANS('13_시나리오비교'!$B$8))*SIN(RADIANS('13_시나리오비교'!$C$8))+$H1072*SIN(RADIANS('13_시나리오비교'!$B$8))*COS(RADIANS('13_시나리오비교'!$C$8))+$I1072*COS(RADIANS('13_시나리오비교'!$B$8))),0)</f>
        <v/>
      </c>
      <c r="T1072" s="80">
        <f>IF($I1072&gt;0,MAX(0,$G1072*SIN(RADIANS('13_시나리오비교'!$B$9))*SIN(RADIANS('13_시나리오비교'!$C$9))+$H1072*SIN(RADIANS('13_시나리오비교'!$B$9))*COS(RADIANS('13_시나리오비교'!$C$9))+$I1072*COS(RADIANS('13_시나리오비교'!$B$9))),0)</f>
        <v/>
      </c>
      <c r="U1072" s="80">
        <f>IF($I1072&gt;0,MAX(0,$G1072*SIN(RADIANS('13_시나리오비교'!$B$10))*SIN(RADIANS('13_시나리오비교'!$C$10))+$H1072*SIN(RADIANS('13_시나리오비교'!$B$10))*COS(RADIANS('13_시나리오비교'!$C$10))+$I1072*COS(RADIANS('13_시나리오비교'!$B$10))),0)</f>
        <v/>
      </c>
      <c r="V1072" s="80">
        <f>IF($I1072&gt;0,MAX(0,$G1072*SIN(RADIANS('13_시나리오비교'!$B$11))*SIN(RADIANS('13_시나리오비교'!$C$11))+$H1072*SIN(RADIANS('13_시나리오비교'!$B$11))*COS(RADIANS('13_시나리오비교'!$C$11))+$I1072*COS(RADIANS('13_시나리오비교'!$B$11))),0)</f>
        <v/>
      </c>
      <c r="W1072" s="80">
        <f>IF($I1072&gt;0,MAX(0,$G1072*SIN(RADIANS('13_시나리오비교'!$B$12))*SIN(RADIANS('13_시나리오비교'!$C$12))+$H1072*SIN(RADIANS('13_시나리오비교'!$B$12))*COS(RADIANS('13_시나리오비교'!$C$12))+$I1072*COS(RADIANS('13_시나리오비교'!$B$12))),0)</f>
        <v/>
      </c>
      <c r="X1072" s="80">
        <f>IF($I1072&gt;0,MAX(0,$G1072*SIN(RADIANS('13_시나리오비교'!$B$13))*SIN(RADIANS('13_시나리오비교'!$C$13))+$H1072*SIN(RADIANS('13_시나리오비교'!$B$13))*COS(RADIANS('13_시나리오비교'!$C$13))+$I1072*COS(RADIANS('13_시나리오비교'!$B$13))),0)</f>
        <v/>
      </c>
      <c r="Y1072" s="80">
        <f>IF($I1072&gt;0,MAX(0,$G1072*SIN(RADIANS('13_시나리오비교'!$B$14))*SIN(RADIANS('13_시나리오비교'!$C$14))+$H1072*SIN(RADIANS('13_시나리오비교'!$B$14))*COS(RADIANS('13_시나리오비교'!$C$14))+$I1072*COS(RADIANS('13_시나리오비교'!$B$14))),0)</f>
        <v/>
      </c>
    </row>
    <row r="1073" hidden="1" outlineLevel="1">
      <c r="A1073" s="79" t="n">
        <v>11</v>
      </c>
      <c r="B1073" s="79" t="n">
        <v>93</v>
      </c>
      <c r="C1073" s="80">
        <f>(B1073-0.5)*'14_지역·상수'!$H$6</f>
        <v/>
      </c>
      <c r="D1073" s="79" t="n">
        <v>318</v>
      </c>
      <c r="E1073" s="80">
        <f>INDEX($C$4:$C$15,MATCH(A1073,$A$4:$A$15,0))</f>
        <v/>
      </c>
      <c r="F1073" s="80">
        <f>15*(C1073-12)</f>
        <v/>
      </c>
      <c r="G1073" s="80">
        <f>-COS(RADIANS(E1073))*SIN(RADIANS(F1073))</f>
        <v/>
      </c>
      <c r="H1073" s="80">
        <f>COS(RADIANS('11_발전량_모델'!$B$17))*SIN(RADIANS(E1073))-SIN(RADIANS('11_발전량_모델'!$B$17))*COS(RADIANS(E1073))*COS(RADIANS(F1073))</f>
        <v/>
      </c>
      <c r="I1073" s="80">
        <f>SIN(RADIANS('11_발전량_모델'!$B$17))*SIN(RADIANS(E1073))+COS(RADIANS('11_발전량_모델'!$B$17))*COS(RADIANS(E1073))*COS(RADIANS(F1073))</f>
        <v/>
      </c>
      <c r="J1073" s="80">
        <f>SIN(RADIANS('11_발전량_모델'!$B$7))*SIN(RADIANS('11_발전량_모델'!$B$8))</f>
        <v/>
      </c>
      <c r="K1073" s="80">
        <f>SIN(RADIANS('11_발전량_모델'!$B$7))*COS(RADIANS('11_발전량_모델'!$B$8))</f>
        <v/>
      </c>
      <c r="L1073" s="80">
        <f>COS(RADIANS('11_발전량_모델'!$B$7))</f>
        <v/>
      </c>
      <c r="M1073" s="80">
        <f>G1073*J1073+H1073*K1073+I1073*L1073</f>
        <v/>
      </c>
      <c r="N1073" s="80">
        <f>MAX(0,I1073)</f>
        <v/>
      </c>
      <c r="O1073" s="80">
        <f>IF(I1073&gt;0,MAX(0,M1073),0)</f>
        <v/>
      </c>
      <c r="P1073" s="80">
        <f>IF($I1073&gt;0,MAX(0,$G1073*SIN(RADIANS('13_시나리오비교'!$B$5))*SIN(RADIANS('13_시나리오비교'!$C$5))+$H1073*SIN(RADIANS('13_시나리오비교'!$B$5))*COS(RADIANS('13_시나리오비교'!$C$5))+$I1073*COS(RADIANS('13_시나리오비교'!$B$5))),0)</f>
        <v/>
      </c>
      <c r="Q1073" s="80">
        <f>IF($I1073&gt;0,MAX(0,$G1073*SIN(RADIANS('13_시나리오비교'!$B$6))*SIN(RADIANS('13_시나리오비교'!$C$6))+$H1073*SIN(RADIANS('13_시나리오비교'!$B$6))*COS(RADIANS('13_시나리오비교'!$C$6))+$I1073*COS(RADIANS('13_시나리오비교'!$B$6))),0)</f>
        <v/>
      </c>
      <c r="R1073" s="80">
        <f>IF($I1073&gt;0,MAX(0,$G1073*SIN(RADIANS('13_시나리오비교'!$B$7))*SIN(RADIANS('13_시나리오비교'!$C$7))+$H1073*SIN(RADIANS('13_시나리오비교'!$B$7))*COS(RADIANS('13_시나리오비교'!$C$7))+$I1073*COS(RADIANS('13_시나리오비교'!$B$7))),0)</f>
        <v/>
      </c>
      <c r="S1073" s="80">
        <f>IF($I1073&gt;0,MAX(0,$G1073*SIN(RADIANS('13_시나리오비교'!$B$8))*SIN(RADIANS('13_시나리오비교'!$C$8))+$H1073*SIN(RADIANS('13_시나리오비교'!$B$8))*COS(RADIANS('13_시나리오비교'!$C$8))+$I1073*COS(RADIANS('13_시나리오비교'!$B$8))),0)</f>
        <v/>
      </c>
      <c r="T1073" s="80">
        <f>IF($I1073&gt;0,MAX(0,$G1073*SIN(RADIANS('13_시나리오비교'!$B$9))*SIN(RADIANS('13_시나리오비교'!$C$9))+$H1073*SIN(RADIANS('13_시나리오비교'!$B$9))*COS(RADIANS('13_시나리오비교'!$C$9))+$I1073*COS(RADIANS('13_시나리오비교'!$B$9))),0)</f>
        <v/>
      </c>
      <c r="U1073" s="80">
        <f>IF($I1073&gt;0,MAX(0,$G1073*SIN(RADIANS('13_시나리오비교'!$B$10))*SIN(RADIANS('13_시나리오비교'!$C$10))+$H1073*SIN(RADIANS('13_시나리오비교'!$B$10))*COS(RADIANS('13_시나리오비교'!$C$10))+$I1073*COS(RADIANS('13_시나리오비교'!$B$10))),0)</f>
        <v/>
      </c>
      <c r="V1073" s="80">
        <f>IF($I1073&gt;0,MAX(0,$G1073*SIN(RADIANS('13_시나리오비교'!$B$11))*SIN(RADIANS('13_시나리오비교'!$C$11))+$H1073*SIN(RADIANS('13_시나리오비교'!$B$11))*COS(RADIANS('13_시나리오비교'!$C$11))+$I1073*COS(RADIANS('13_시나리오비교'!$B$11))),0)</f>
        <v/>
      </c>
      <c r="W1073" s="80">
        <f>IF($I1073&gt;0,MAX(0,$G1073*SIN(RADIANS('13_시나리오비교'!$B$12))*SIN(RADIANS('13_시나리오비교'!$C$12))+$H1073*SIN(RADIANS('13_시나리오비교'!$B$12))*COS(RADIANS('13_시나리오비교'!$C$12))+$I1073*COS(RADIANS('13_시나리오비교'!$B$12))),0)</f>
        <v/>
      </c>
      <c r="X1073" s="80">
        <f>IF($I1073&gt;0,MAX(0,$G1073*SIN(RADIANS('13_시나리오비교'!$B$13))*SIN(RADIANS('13_시나리오비교'!$C$13))+$H1073*SIN(RADIANS('13_시나리오비교'!$B$13))*COS(RADIANS('13_시나리오비교'!$C$13))+$I1073*COS(RADIANS('13_시나리오비교'!$B$13))),0)</f>
        <v/>
      </c>
      <c r="Y1073" s="80">
        <f>IF($I1073&gt;0,MAX(0,$G1073*SIN(RADIANS('13_시나리오비교'!$B$14))*SIN(RADIANS('13_시나리오비교'!$C$14))+$H1073*SIN(RADIANS('13_시나리오비교'!$B$14))*COS(RADIANS('13_시나리오비교'!$C$14))+$I1073*COS(RADIANS('13_시나리오비교'!$B$14))),0)</f>
        <v/>
      </c>
    </row>
    <row r="1074" hidden="1" outlineLevel="1">
      <c r="A1074" s="79" t="n">
        <v>11</v>
      </c>
      <c r="B1074" s="79" t="n">
        <v>94</v>
      </c>
      <c r="C1074" s="80">
        <f>(B1074-0.5)*'14_지역·상수'!$H$6</f>
        <v/>
      </c>
      <c r="D1074" s="79" t="n">
        <v>318</v>
      </c>
      <c r="E1074" s="80">
        <f>INDEX($C$4:$C$15,MATCH(A1074,$A$4:$A$15,0))</f>
        <v/>
      </c>
      <c r="F1074" s="80">
        <f>15*(C1074-12)</f>
        <v/>
      </c>
      <c r="G1074" s="80">
        <f>-COS(RADIANS(E1074))*SIN(RADIANS(F1074))</f>
        <v/>
      </c>
      <c r="H1074" s="80">
        <f>COS(RADIANS('11_발전량_모델'!$B$17))*SIN(RADIANS(E1074))-SIN(RADIANS('11_발전량_모델'!$B$17))*COS(RADIANS(E1074))*COS(RADIANS(F1074))</f>
        <v/>
      </c>
      <c r="I1074" s="80">
        <f>SIN(RADIANS('11_발전량_모델'!$B$17))*SIN(RADIANS(E1074))+COS(RADIANS('11_발전량_모델'!$B$17))*COS(RADIANS(E1074))*COS(RADIANS(F1074))</f>
        <v/>
      </c>
      <c r="J1074" s="80">
        <f>SIN(RADIANS('11_발전량_모델'!$B$7))*SIN(RADIANS('11_발전량_모델'!$B$8))</f>
        <v/>
      </c>
      <c r="K1074" s="80">
        <f>SIN(RADIANS('11_발전량_모델'!$B$7))*COS(RADIANS('11_발전량_모델'!$B$8))</f>
        <v/>
      </c>
      <c r="L1074" s="80">
        <f>COS(RADIANS('11_발전량_모델'!$B$7))</f>
        <v/>
      </c>
      <c r="M1074" s="80">
        <f>G1074*J1074+H1074*K1074+I1074*L1074</f>
        <v/>
      </c>
      <c r="N1074" s="80">
        <f>MAX(0,I1074)</f>
        <v/>
      </c>
      <c r="O1074" s="80">
        <f>IF(I1074&gt;0,MAX(0,M1074),0)</f>
        <v/>
      </c>
      <c r="P1074" s="80">
        <f>IF($I1074&gt;0,MAX(0,$G1074*SIN(RADIANS('13_시나리오비교'!$B$5))*SIN(RADIANS('13_시나리오비교'!$C$5))+$H1074*SIN(RADIANS('13_시나리오비교'!$B$5))*COS(RADIANS('13_시나리오비교'!$C$5))+$I1074*COS(RADIANS('13_시나리오비교'!$B$5))),0)</f>
        <v/>
      </c>
      <c r="Q1074" s="80">
        <f>IF($I1074&gt;0,MAX(0,$G1074*SIN(RADIANS('13_시나리오비교'!$B$6))*SIN(RADIANS('13_시나리오비교'!$C$6))+$H1074*SIN(RADIANS('13_시나리오비교'!$B$6))*COS(RADIANS('13_시나리오비교'!$C$6))+$I1074*COS(RADIANS('13_시나리오비교'!$B$6))),0)</f>
        <v/>
      </c>
      <c r="R1074" s="80">
        <f>IF($I1074&gt;0,MAX(0,$G1074*SIN(RADIANS('13_시나리오비교'!$B$7))*SIN(RADIANS('13_시나리오비교'!$C$7))+$H1074*SIN(RADIANS('13_시나리오비교'!$B$7))*COS(RADIANS('13_시나리오비교'!$C$7))+$I1074*COS(RADIANS('13_시나리오비교'!$B$7))),0)</f>
        <v/>
      </c>
      <c r="S1074" s="80">
        <f>IF($I1074&gt;0,MAX(0,$G1074*SIN(RADIANS('13_시나리오비교'!$B$8))*SIN(RADIANS('13_시나리오비교'!$C$8))+$H1074*SIN(RADIANS('13_시나리오비교'!$B$8))*COS(RADIANS('13_시나리오비교'!$C$8))+$I1074*COS(RADIANS('13_시나리오비교'!$B$8))),0)</f>
        <v/>
      </c>
      <c r="T1074" s="80">
        <f>IF($I1074&gt;0,MAX(0,$G1074*SIN(RADIANS('13_시나리오비교'!$B$9))*SIN(RADIANS('13_시나리오비교'!$C$9))+$H1074*SIN(RADIANS('13_시나리오비교'!$B$9))*COS(RADIANS('13_시나리오비교'!$C$9))+$I1074*COS(RADIANS('13_시나리오비교'!$B$9))),0)</f>
        <v/>
      </c>
      <c r="U1074" s="80">
        <f>IF($I1074&gt;0,MAX(0,$G1074*SIN(RADIANS('13_시나리오비교'!$B$10))*SIN(RADIANS('13_시나리오비교'!$C$10))+$H1074*SIN(RADIANS('13_시나리오비교'!$B$10))*COS(RADIANS('13_시나리오비교'!$C$10))+$I1074*COS(RADIANS('13_시나리오비교'!$B$10))),0)</f>
        <v/>
      </c>
      <c r="V1074" s="80">
        <f>IF($I1074&gt;0,MAX(0,$G1074*SIN(RADIANS('13_시나리오비교'!$B$11))*SIN(RADIANS('13_시나리오비교'!$C$11))+$H1074*SIN(RADIANS('13_시나리오비교'!$B$11))*COS(RADIANS('13_시나리오비교'!$C$11))+$I1074*COS(RADIANS('13_시나리오비교'!$B$11))),0)</f>
        <v/>
      </c>
      <c r="W1074" s="80">
        <f>IF($I1074&gt;0,MAX(0,$G1074*SIN(RADIANS('13_시나리오비교'!$B$12))*SIN(RADIANS('13_시나리오비교'!$C$12))+$H1074*SIN(RADIANS('13_시나리오비교'!$B$12))*COS(RADIANS('13_시나리오비교'!$C$12))+$I1074*COS(RADIANS('13_시나리오비교'!$B$12))),0)</f>
        <v/>
      </c>
      <c r="X1074" s="80">
        <f>IF($I1074&gt;0,MAX(0,$G1074*SIN(RADIANS('13_시나리오비교'!$B$13))*SIN(RADIANS('13_시나리오비교'!$C$13))+$H1074*SIN(RADIANS('13_시나리오비교'!$B$13))*COS(RADIANS('13_시나리오비교'!$C$13))+$I1074*COS(RADIANS('13_시나리오비교'!$B$13))),0)</f>
        <v/>
      </c>
      <c r="Y1074" s="80">
        <f>IF($I1074&gt;0,MAX(0,$G1074*SIN(RADIANS('13_시나리오비교'!$B$14))*SIN(RADIANS('13_시나리오비교'!$C$14))+$H1074*SIN(RADIANS('13_시나리오비교'!$B$14))*COS(RADIANS('13_시나리오비교'!$C$14))+$I1074*COS(RADIANS('13_시나리오비교'!$B$14))),0)</f>
        <v/>
      </c>
    </row>
    <row r="1075" hidden="1" outlineLevel="1">
      <c r="A1075" s="79" t="n">
        <v>11</v>
      </c>
      <c r="B1075" s="79" t="n">
        <v>95</v>
      </c>
      <c r="C1075" s="80">
        <f>(B1075-0.5)*'14_지역·상수'!$H$6</f>
        <v/>
      </c>
      <c r="D1075" s="79" t="n">
        <v>318</v>
      </c>
      <c r="E1075" s="80">
        <f>INDEX($C$4:$C$15,MATCH(A1075,$A$4:$A$15,0))</f>
        <v/>
      </c>
      <c r="F1075" s="80">
        <f>15*(C1075-12)</f>
        <v/>
      </c>
      <c r="G1075" s="80">
        <f>-COS(RADIANS(E1075))*SIN(RADIANS(F1075))</f>
        <v/>
      </c>
      <c r="H1075" s="80">
        <f>COS(RADIANS('11_발전량_모델'!$B$17))*SIN(RADIANS(E1075))-SIN(RADIANS('11_발전량_모델'!$B$17))*COS(RADIANS(E1075))*COS(RADIANS(F1075))</f>
        <v/>
      </c>
      <c r="I1075" s="80">
        <f>SIN(RADIANS('11_발전량_모델'!$B$17))*SIN(RADIANS(E1075))+COS(RADIANS('11_발전량_모델'!$B$17))*COS(RADIANS(E1075))*COS(RADIANS(F1075))</f>
        <v/>
      </c>
      <c r="J1075" s="80">
        <f>SIN(RADIANS('11_발전량_모델'!$B$7))*SIN(RADIANS('11_발전량_모델'!$B$8))</f>
        <v/>
      </c>
      <c r="K1075" s="80">
        <f>SIN(RADIANS('11_발전량_모델'!$B$7))*COS(RADIANS('11_발전량_모델'!$B$8))</f>
        <v/>
      </c>
      <c r="L1075" s="80">
        <f>COS(RADIANS('11_발전량_모델'!$B$7))</f>
        <v/>
      </c>
      <c r="M1075" s="80">
        <f>G1075*J1075+H1075*K1075+I1075*L1075</f>
        <v/>
      </c>
      <c r="N1075" s="80">
        <f>MAX(0,I1075)</f>
        <v/>
      </c>
      <c r="O1075" s="80">
        <f>IF(I1075&gt;0,MAX(0,M1075),0)</f>
        <v/>
      </c>
      <c r="P1075" s="80">
        <f>IF($I1075&gt;0,MAX(0,$G1075*SIN(RADIANS('13_시나리오비교'!$B$5))*SIN(RADIANS('13_시나리오비교'!$C$5))+$H1075*SIN(RADIANS('13_시나리오비교'!$B$5))*COS(RADIANS('13_시나리오비교'!$C$5))+$I1075*COS(RADIANS('13_시나리오비교'!$B$5))),0)</f>
        <v/>
      </c>
      <c r="Q1075" s="80">
        <f>IF($I1075&gt;0,MAX(0,$G1075*SIN(RADIANS('13_시나리오비교'!$B$6))*SIN(RADIANS('13_시나리오비교'!$C$6))+$H1075*SIN(RADIANS('13_시나리오비교'!$B$6))*COS(RADIANS('13_시나리오비교'!$C$6))+$I1075*COS(RADIANS('13_시나리오비교'!$B$6))),0)</f>
        <v/>
      </c>
      <c r="R1075" s="80">
        <f>IF($I1075&gt;0,MAX(0,$G1075*SIN(RADIANS('13_시나리오비교'!$B$7))*SIN(RADIANS('13_시나리오비교'!$C$7))+$H1075*SIN(RADIANS('13_시나리오비교'!$B$7))*COS(RADIANS('13_시나리오비교'!$C$7))+$I1075*COS(RADIANS('13_시나리오비교'!$B$7))),0)</f>
        <v/>
      </c>
      <c r="S1075" s="80">
        <f>IF($I1075&gt;0,MAX(0,$G1075*SIN(RADIANS('13_시나리오비교'!$B$8))*SIN(RADIANS('13_시나리오비교'!$C$8))+$H1075*SIN(RADIANS('13_시나리오비교'!$B$8))*COS(RADIANS('13_시나리오비교'!$C$8))+$I1075*COS(RADIANS('13_시나리오비교'!$B$8))),0)</f>
        <v/>
      </c>
      <c r="T1075" s="80">
        <f>IF($I1075&gt;0,MAX(0,$G1075*SIN(RADIANS('13_시나리오비교'!$B$9))*SIN(RADIANS('13_시나리오비교'!$C$9))+$H1075*SIN(RADIANS('13_시나리오비교'!$B$9))*COS(RADIANS('13_시나리오비교'!$C$9))+$I1075*COS(RADIANS('13_시나리오비교'!$B$9))),0)</f>
        <v/>
      </c>
      <c r="U1075" s="80">
        <f>IF($I1075&gt;0,MAX(0,$G1075*SIN(RADIANS('13_시나리오비교'!$B$10))*SIN(RADIANS('13_시나리오비교'!$C$10))+$H1075*SIN(RADIANS('13_시나리오비교'!$B$10))*COS(RADIANS('13_시나리오비교'!$C$10))+$I1075*COS(RADIANS('13_시나리오비교'!$B$10))),0)</f>
        <v/>
      </c>
      <c r="V1075" s="80">
        <f>IF($I1075&gt;0,MAX(0,$G1075*SIN(RADIANS('13_시나리오비교'!$B$11))*SIN(RADIANS('13_시나리오비교'!$C$11))+$H1075*SIN(RADIANS('13_시나리오비교'!$B$11))*COS(RADIANS('13_시나리오비교'!$C$11))+$I1075*COS(RADIANS('13_시나리오비교'!$B$11))),0)</f>
        <v/>
      </c>
      <c r="W1075" s="80">
        <f>IF($I1075&gt;0,MAX(0,$G1075*SIN(RADIANS('13_시나리오비교'!$B$12))*SIN(RADIANS('13_시나리오비교'!$C$12))+$H1075*SIN(RADIANS('13_시나리오비교'!$B$12))*COS(RADIANS('13_시나리오비교'!$C$12))+$I1075*COS(RADIANS('13_시나리오비교'!$B$12))),0)</f>
        <v/>
      </c>
      <c r="X1075" s="80">
        <f>IF($I1075&gt;0,MAX(0,$G1075*SIN(RADIANS('13_시나리오비교'!$B$13))*SIN(RADIANS('13_시나리오비교'!$C$13))+$H1075*SIN(RADIANS('13_시나리오비교'!$B$13))*COS(RADIANS('13_시나리오비교'!$C$13))+$I1075*COS(RADIANS('13_시나리오비교'!$B$13))),0)</f>
        <v/>
      </c>
      <c r="Y1075" s="80">
        <f>IF($I1075&gt;0,MAX(0,$G1075*SIN(RADIANS('13_시나리오비교'!$B$14))*SIN(RADIANS('13_시나리오비교'!$C$14))+$H1075*SIN(RADIANS('13_시나리오비교'!$B$14))*COS(RADIANS('13_시나리오비교'!$C$14))+$I1075*COS(RADIANS('13_시나리오비교'!$B$14))),0)</f>
        <v/>
      </c>
    </row>
    <row r="1076" hidden="1" outlineLevel="1">
      <c r="A1076" s="79" t="n">
        <v>11</v>
      </c>
      <c r="B1076" s="79" t="n">
        <v>96</v>
      </c>
      <c r="C1076" s="80">
        <f>(B1076-0.5)*'14_지역·상수'!$H$6</f>
        <v/>
      </c>
      <c r="D1076" s="79" t="n">
        <v>318</v>
      </c>
      <c r="E1076" s="80">
        <f>INDEX($C$4:$C$15,MATCH(A1076,$A$4:$A$15,0))</f>
        <v/>
      </c>
      <c r="F1076" s="80">
        <f>15*(C1076-12)</f>
        <v/>
      </c>
      <c r="G1076" s="80">
        <f>-COS(RADIANS(E1076))*SIN(RADIANS(F1076))</f>
        <v/>
      </c>
      <c r="H1076" s="80">
        <f>COS(RADIANS('11_발전량_모델'!$B$17))*SIN(RADIANS(E1076))-SIN(RADIANS('11_발전량_모델'!$B$17))*COS(RADIANS(E1076))*COS(RADIANS(F1076))</f>
        <v/>
      </c>
      <c r="I1076" s="80">
        <f>SIN(RADIANS('11_발전량_모델'!$B$17))*SIN(RADIANS(E1076))+COS(RADIANS('11_발전량_모델'!$B$17))*COS(RADIANS(E1076))*COS(RADIANS(F1076))</f>
        <v/>
      </c>
      <c r="J1076" s="80">
        <f>SIN(RADIANS('11_발전량_모델'!$B$7))*SIN(RADIANS('11_발전량_모델'!$B$8))</f>
        <v/>
      </c>
      <c r="K1076" s="80">
        <f>SIN(RADIANS('11_발전량_모델'!$B$7))*COS(RADIANS('11_발전량_모델'!$B$8))</f>
        <v/>
      </c>
      <c r="L1076" s="80">
        <f>COS(RADIANS('11_발전량_모델'!$B$7))</f>
        <v/>
      </c>
      <c r="M1076" s="80">
        <f>G1076*J1076+H1076*K1076+I1076*L1076</f>
        <v/>
      </c>
      <c r="N1076" s="80">
        <f>MAX(0,I1076)</f>
        <v/>
      </c>
      <c r="O1076" s="80">
        <f>IF(I1076&gt;0,MAX(0,M1076),0)</f>
        <v/>
      </c>
      <c r="P1076" s="80">
        <f>IF($I1076&gt;0,MAX(0,$G1076*SIN(RADIANS('13_시나리오비교'!$B$5))*SIN(RADIANS('13_시나리오비교'!$C$5))+$H1076*SIN(RADIANS('13_시나리오비교'!$B$5))*COS(RADIANS('13_시나리오비교'!$C$5))+$I1076*COS(RADIANS('13_시나리오비교'!$B$5))),0)</f>
        <v/>
      </c>
      <c r="Q1076" s="80">
        <f>IF($I1076&gt;0,MAX(0,$G1076*SIN(RADIANS('13_시나리오비교'!$B$6))*SIN(RADIANS('13_시나리오비교'!$C$6))+$H1076*SIN(RADIANS('13_시나리오비교'!$B$6))*COS(RADIANS('13_시나리오비교'!$C$6))+$I1076*COS(RADIANS('13_시나리오비교'!$B$6))),0)</f>
        <v/>
      </c>
      <c r="R1076" s="80">
        <f>IF($I1076&gt;0,MAX(0,$G1076*SIN(RADIANS('13_시나리오비교'!$B$7))*SIN(RADIANS('13_시나리오비교'!$C$7))+$H1076*SIN(RADIANS('13_시나리오비교'!$B$7))*COS(RADIANS('13_시나리오비교'!$C$7))+$I1076*COS(RADIANS('13_시나리오비교'!$B$7))),0)</f>
        <v/>
      </c>
      <c r="S1076" s="80">
        <f>IF($I1076&gt;0,MAX(0,$G1076*SIN(RADIANS('13_시나리오비교'!$B$8))*SIN(RADIANS('13_시나리오비교'!$C$8))+$H1076*SIN(RADIANS('13_시나리오비교'!$B$8))*COS(RADIANS('13_시나리오비교'!$C$8))+$I1076*COS(RADIANS('13_시나리오비교'!$B$8))),0)</f>
        <v/>
      </c>
      <c r="T1076" s="80">
        <f>IF($I1076&gt;0,MAX(0,$G1076*SIN(RADIANS('13_시나리오비교'!$B$9))*SIN(RADIANS('13_시나리오비교'!$C$9))+$H1076*SIN(RADIANS('13_시나리오비교'!$B$9))*COS(RADIANS('13_시나리오비교'!$C$9))+$I1076*COS(RADIANS('13_시나리오비교'!$B$9))),0)</f>
        <v/>
      </c>
      <c r="U1076" s="80">
        <f>IF($I1076&gt;0,MAX(0,$G1076*SIN(RADIANS('13_시나리오비교'!$B$10))*SIN(RADIANS('13_시나리오비교'!$C$10))+$H1076*SIN(RADIANS('13_시나리오비교'!$B$10))*COS(RADIANS('13_시나리오비교'!$C$10))+$I1076*COS(RADIANS('13_시나리오비교'!$B$10))),0)</f>
        <v/>
      </c>
      <c r="V1076" s="80">
        <f>IF($I1076&gt;0,MAX(0,$G1076*SIN(RADIANS('13_시나리오비교'!$B$11))*SIN(RADIANS('13_시나리오비교'!$C$11))+$H1076*SIN(RADIANS('13_시나리오비교'!$B$11))*COS(RADIANS('13_시나리오비교'!$C$11))+$I1076*COS(RADIANS('13_시나리오비교'!$B$11))),0)</f>
        <v/>
      </c>
      <c r="W1076" s="80">
        <f>IF($I1076&gt;0,MAX(0,$G1076*SIN(RADIANS('13_시나리오비교'!$B$12))*SIN(RADIANS('13_시나리오비교'!$C$12))+$H1076*SIN(RADIANS('13_시나리오비교'!$B$12))*COS(RADIANS('13_시나리오비교'!$C$12))+$I1076*COS(RADIANS('13_시나리오비교'!$B$12))),0)</f>
        <v/>
      </c>
      <c r="X1076" s="80">
        <f>IF($I1076&gt;0,MAX(0,$G1076*SIN(RADIANS('13_시나리오비교'!$B$13))*SIN(RADIANS('13_시나리오비교'!$C$13))+$H1076*SIN(RADIANS('13_시나리오비교'!$B$13))*COS(RADIANS('13_시나리오비교'!$C$13))+$I1076*COS(RADIANS('13_시나리오비교'!$B$13))),0)</f>
        <v/>
      </c>
      <c r="Y1076" s="80">
        <f>IF($I1076&gt;0,MAX(0,$G1076*SIN(RADIANS('13_시나리오비교'!$B$14))*SIN(RADIANS('13_시나리오비교'!$C$14))+$H1076*SIN(RADIANS('13_시나리오비교'!$B$14))*COS(RADIANS('13_시나리오비교'!$C$14))+$I1076*COS(RADIANS('13_시나리오비교'!$B$14))),0)</f>
        <v/>
      </c>
    </row>
    <row r="1077" hidden="1" outlineLevel="1">
      <c r="A1077" s="79" t="n">
        <v>12</v>
      </c>
      <c r="B1077" s="79" t="n">
        <v>1</v>
      </c>
      <c r="C1077" s="80">
        <f>(B1077-0.5)*'14_지역·상수'!$H$6</f>
        <v/>
      </c>
      <c r="D1077" s="79" t="n">
        <v>344</v>
      </c>
      <c r="E1077" s="80">
        <f>INDEX($C$4:$C$15,MATCH(A1077,$A$4:$A$15,0))</f>
        <v/>
      </c>
      <c r="F1077" s="80">
        <f>15*(C1077-12)</f>
        <v/>
      </c>
      <c r="G1077" s="80">
        <f>-COS(RADIANS(E1077))*SIN(RADIANS(F1077))</f>
        <v/>
      </c>
      <c r="H1077" s="80">
        <f>COS(RADIANS('11_발전량_모델'!$B$17))*SIN(RADIANS(E1077))-SIN(RADIANS('11_발전량_모델'!$B$17))*COS(RADIANS(E1077))*COS(RADIANS(F1077))</f>
        <v/>
      </c>
      <c r="I1077" s="80">
        <f>SIN(RADIANS('11_발전량_모델'!$B$17))*SIN(RADIANS(E1077))+COS(RADIANS('11_발전량_모델'!$B$17))*COS(RADIANS(E1077))*COS(RADIANS(F1077))</f>
        <v/>
      </c>
      <c r="J1077" s="80">
        <f>SIN(RADIANS('11_발전량_모델'!$B$7))*SIN(RADIANS('11_발전량_모델'!$B$8))</f>
        <v/>
      </c>
      <c r="K1077" s="80">
        <f>SIN(RADIANS('11_발전량_모델'!$B$7))*COS(RADIANS('11_발전량_모델'!$B$8))</f>
        <v/>
      </c>
      <c r="L1077" s="80">
        <f>COS(RADIANS('11_발전량_모델'!$B$7))</f>
        <v/>
      </c>
      <c r="M1077" s="80">
        <f>G1077*J1077+H1077*K1077+I1077*L1077</f>
        <v/>
      </c>
      <c r="N1077" s="80">
        <f>MAX(0,I1077)</f>
        <v/>
      </c>
      <c r="O1077" s="80">
        <f>IF(I1077&gt;0,MAX(0,M1077),0)</f>
        <v/>
      </c>
      <c r="P1077" s="80">
        <f>IF($I1077&gt;0,MAX(0,$G1077*SIN(RADIANS('13_시나리오비교'!$B$5))*SIN(RADIANS('13_시나리오비교'!$C$5))+$H1077*SIN(RADIANS('13_시나리오비교'!$B$5))*COS(RADIANS('13_시나리오비교'!$C$5))+$I1077*COS(RADIANS('13_시나리오비교'!$B$5))),0)</f>
        <v/>
      </c>
      <c r="Q1077" s="80">
        <f>IF($I1077&gt;0,MAX(0,$G1077*SIN(RADIANS('13_시나리오비교'!$B$6))*SIN(RADIANS('13_시나리오비교'!$C$6))+$H1077*SIN(RADIANS('13_시나리오비교'!$B$6))*COS(RADIANS('13_시나리오비교'!$C$6))+$I1077*COS(RADIANS('13_시나리오비교'!$B$6))),0)</f>
        <v/>
      </c>
      <c r="R1077" s="80">
        <f>IF($I1077&gt;0,MAX(0,$G1077*SIN(RADIANS('13_시나리오비교'!$B$7))*SIN(RADIANS('13_시나리오비교'!$C$7))+$H1077*SIN(RADIANS('13_시나리오비교'!$B$7))*COS(RADIANS('13_시나리오비교'!$C$7))+$I1077*COS(RADIANS('13_시나리오비교'!$B$7))),0)</f>
        <v/>
      </c>
      <c r="S1077" s="80">
        <f>IF($I1077&gt;0,MAX(0,$G1077*SIN(RADIANS('13_시나리오비교'!$B$8))*SIN(RADIANS('13_시나리오비교'!$C$8))+$H1077*SIN(RADIANS('13_시나리오비교'!$B$8))*COS(RADIANS('13_시나리오비교'!$C$8))+$I1077*COS(RADIANS('13_시나리오비교'!$B$8))),0)</f>
        <v/>
      </c>
      <c r="T1077" s="80">
        <f>IF($I1077&gt;0,MAX(0,$G1077*SIN(RADIANS('13_시나리오비교'!$B$9))*SIN(RADIANS('13_시나리오비교'!$C$9))+$H1077*SIN(RADIANS('13_시나리오비교'!$B$9))*COS(RADIANS('13_시나리오비교'!$C$9))+$I1077*COS(RADIANS('13_시나리오비교'!$B$9))),0)</f>
        <v/>
      </c>
      <c r="U1077" s="80">
        <f>IF($I1077&gt;0,MAX(0,$G1077*SIN(RADIANS('13_시나리오비교'!$B$10))*SIN(RADIANS('13_시나리오비교'!$C$10))+$H1077*SIN(RADIANS('13_시나리오비교'!$B$10))*COS(RADIANS('13_시나리오비교'!$C$10))+$I1077*COS(RADIANS('13_시나리오비교'!$B$10))),0)</f>
        <v/>
      </c>
      <c r="V1077" s="80">
        <f>IF($I1077&gt;0,MAX(0,$G1077*SIN(RADIANS('13_시나리오비교'!$B$11))*SIN(RADIANS('13_시나리오비교'!$C$11))+$H1077*SIN(RADIANS('13_시나리오비교'!$B$11))*COS(RADIANS('13_시나리오비교'!$C$11))+$I1077*COS(RADIANS('13_시나리오비교'!$B$11))),0)</f>
        <v/>
      </c>
      <c r="W1077" s="80">
        <f>IF($I1077&gt;0,MAX(0,$G1077*SIN(RADIANS('13_시나리오비교'!$B$12))*SIN(RADIANS('13_시나리오비교'!$C$12))+$H1077*SIN(RADIANS('13_시나리오비교'!$B$12))*COS(RADIANS('13_시나리오비교'!$C$12))+$I1077*COS(RADIANS('13_시나리오비교'!$B$12))),0)</f>
        <v/>
      </c>
      <c r="X1077" s="80">
        <f>IF($I1077&gt;0,MAX(0,$G1077*SIN(RADIANS('13_시나리오비교'!$B$13))*SIN(RADIANS('13_시나리오비교'!$C$13))+$H1077*SIN(RADIANS('13_시나리오비교'!$B$13))*COS(RADIANS('13_시나리오비교'!$C$13))+$I1077*COS(RADIANS('13_시나리오비교'!$B$13))),0)</f>
        <v/>
      </c>
      <c r="Y1077" s="80">
        <f>IF($I1077&gt;0,MAX(0,$G1077*SIN(RADIANS('13_시나리오비교'!$B$14))*SIN(RADIANS('13_시나리오비교'!$C$14))+$H1077*SIN(RADIANS('13_시나리오비교'!$B$14))*COS(RADIANS('13_시나리오비교'!$C$14))+$I1077*COS(RADIANS('13_시나리오비교'!$B$14))),0)</f>
        <v/>
      </c>
    </row>
    <row r="1078" hidden="1" outlineLevel="1">
      <c r="A1078" s="79" t="n">
        <v>12</v>
      </c>
      <c r="B1078" s="79" t="n">
        <v>2</v>
      </c>
      <c r="C1078" s="80">
        <f>(B1078-0.5)*'14_지역·상수'!$H$6</f>
        <v/>
      </c>
      <c r="D1078" s="79" t="n">
        <v>344</v>
      </c>
      <c r="E1078" s="80">
        <f>INDEX($C$4:$C$15,MATCH(A1078,$A$4:$A$15,0))</f>
        <v/>
      </c>
      <c r="F1078" s="80">
        <f>15*(C1078-12)</f>
        <v/>
      </c>
      <c r="G1078" s="80">
        <f>-COS(RADIANS(E1078))*SIN(RADIANS(F1078))</f>
        <v/>
      </c>
      <c r="H1078" s="80">
        <f>COS(RADIANS('11_발전량_모델'!$B$17))*SIN(RADIANS(E1078))-SIN(RADIANS('11_발전량_모델'!$B$17))*COS(RADIANS(E1078))*COS(RADIANS(F1078))</f>
        <v/>
      </c>
      <c r="I1078" s="80">
        <f>SIN(RADIANS('11_발전량_모델'!$B$17))*SIN(RADIANS(E1078))+COS(RADIANS('11_발전량_모델'!$B$17))*COS(RADIANS(E1078))*COS(RADIANS(F1078))</f>
        <v/>
      </c>
      <c r="J1078" s="80">
        <f>SIN(RADIANS('11_발전량_모델'!$B$7))*SIN(RADIANS('11_발전량_모델'!$B$8))</f>
        <v/>
      </c>
      <c r="K1078" s="80">
        <f>SIN(RADIANS('11_발전량_모델'!$B$7))*COS(RADIANS('11_발전량_모델'!$B$8))</f>
        <v/>
      </c>
      <c r="L1078" s="80">
        <f>COS(RADIANS('11_발전량_모델'!$B$7))</f>
        <v/>
      </c>
      <c r="M1078" s="80">
        <f>G1078*J1078+H1078*K1078+I1078*L1078</f>
        <v/>
      </c>
      <c r="N1078" s="80">
        <f>MAX(0,I1078)</f>
        <v/>
      </c>
      <c r="O1078" s="80">
        <f>IF(I1078&gt;0,MAX(0,M1078),0)</f>
        <v/>
      </c>
      <c r="P1078" s="80">
        <f>IF($I1078&gt;0,MAX(0,$G1078*SIN(RADIANS('13_시나리오비교'!$B$5))*SIN(RADIANS('13_시나리오비교'!$C$5))+$H1078*SIN(RADIANS('13_시나리오비교'!$B$5))*COS(RADIANS('13_시나리오비교'!$C$5))+$I1078*COS(RADIANS('13_시나리오비교'!$B$5))),0)</f>
        <v/>
      </c>
      <c r="Q1078" s="80">
        <f>IF($I1078&gt;0,MAX(0,$G1078*SIN(RADIANS('13_시나리오비교'!$B$6))*SIN(RADIANS('13_시나리오비교'!$C$6))+$H1078*SIN(RADIANS('13_시나리오비교'!$B$6))*COS(RADIANS('13_시나리오비교'!$C$6))+$I1078*COS(RADIANS('13_시나리오비교'!$B$6))),0)</f>
        <v/>
      </c>
      <c r="R1078" s="80">
        <f>IF($I1078&gt;0,MAX(0,$G1078*SIN(RADIANS('13_시나리오비교'!$B$7))*SIN(RADIANS('13_시나리오비교'!$C$7))+$H1078*SIN(RADIANS('13_시나리오비교'!$B$7))*COS(RADIANS('13_시나리오비교'!$C$7))+$I1078*COS(RADIANS('13_시나리오비교'!$B$7))),0)</f>
        <v/>
      </c>
      <c r="S1078" s="80">
        <f>IF($I1078&gt;0,MAX(0,$G1078*SIN(RADIANS('13_시나리오비교'!$B$8))*SIN(RADIANS('13_시나리오비교'!$C$8))+$H1078*SIN(RADIANS('13_시나리오비교'!$B$8))*COS(RADIANS('13_시나리오비교'!$C$8))+$I1078*COS(RADIANS('13_시나리오비교'!$B$8))),0)</f>
        <v/>
      </c>
      <c r="T1078" s="80">
        <f>IF($I1078&gt;0,MAX(0,$G1078*SIN(RADIANS('13_시나리오비교'!$B$9))*SIN(RADIANS('13_시나리오비교'!$C$9))+$H1078*SIN(RADIANS('13_시나리오비교'!$B$9))*COS(RADIANS('13_시나리오비교'!$C$9))+$I1078*COS(RADIANS('13_시나리오비교'!$B$9))),0)</f>
        <v/>
      </c>
      <c r="U1078" s="80">
        <f>IF($I1078&gt;0,MAX(0,$G1078*SIN(RADIANS('13_시나리오비교'!$B$10))*SIN(RADIANS('13_시나리오비교'!$C$10))+$H1078*SIN(RADIANS('13_시나리오비교'!$B$10))*COS(RADIANS('13_시나리오비교'!$C$10))+$I1078*COS(RADIANS('13_시나리오비교'!$B$10))),0)</f>
        <v/>
      </c>
      <c r="V1078" s="80">
        <f>IF($I1078&gt;0,MAX(0,$G1078*SIN(RADIANS('13_시나리오비교'!$B$11))*SIN(RADIANS('13_시나리오비교'!$C$11))+$H1078*SIN(RADIANS('13_시나리오비교'!$B$11))*COS(RADIANS('13_시나리오비교'!$C$11))+$I1078*COS(RADIANS('13_시나리오비교'!$B$11))),0)</f>
        <v/>
      </c>
      <c r="W1078" s="80">
        <f>IF($I1078&gt;0,MAX(0,$G1078*SIN(RADIANS('13_시나리오비교'!$B$12))*SIN(RADIANS('13_시나리오비교'!$C$12))+$H1078*SIN(RADIANS('13_시나리오비교'!$B$12))*COS(RADIANS('13_시나리오비교'!$C$12))+$I1078*COS(RADIANS('13_시나리오비교'!$B$12))),0)</f>
        <v/>
      </c>
      <c r="X1078" s="80">
        <f>IF($I1078&gt;0,MAX(0,$G1078*SIN(RADIANS('13_시나리오비교'!$B$13))*SIN(RADIANS('13_시나리오비교'!$C$13))+$H1078*SIN(RADIANS('13_시나리오비교'!$B$13))*COS(RADIANS('13_시나리오비교'!$C$13))+$I1078*COS(RADIANS('13_시나리오비교'!$B$13))),0)</f>
        <v/>
      </c>
      <c r="Y1078" s="80">
        <f>IF($I1078&gt;0,MAX(0,$G1078*SIN(RADIANS('13_시나리오비교'!$B$14))*SIN(RADIANS('13_시나리오비교'!$C$14))+$H1078*SIN(RADIANS('13_시나리오비교'!$B$14))*COS(RADIANS('13_시나리오비교'!$C$14))+$I1078*COS(RADIANS('13_시나리오비교'!$B$14))),0)</f>
        <v/>
      </c>
    </row>
    <row r="1079" hidden="1" outlineLevel="1">
      <c r="A1079" s="79" t="n">
        <v>12</v>
      </c>
      <c r="B1079" s="79" t="n">
        <v>3</v>
      </c>
      <c r="C1079" s="80">
        <f>(B1079-0.5)*'14_지역·상수'!$H$6</f>
        <v/>
      </c>
      <c r="D1079" s="79" t="n">
        <v>344</v>
      </c>
      <c r="E1079" s="80">
        <f>INDEX($C$4:$C$15,MATCH(A1079,$A$4:$A$15,0))</f>
        <v/>
      </c>
      <c r="F1079" s="80">
        <f>15*(C1079-12)</f>
        <v/>
      </c>
      <c r="G1079" s="80">
        <f>-COS(RADIANS(E1079))*SIN(RADIANS(F1079))</f>
        <v/>
      </c>
      <c r="H1079" s="80">
        <f>COS(RADIANS('11_발전량_모델'!$B$17))*SIN(RADIANS(E1079))-SIN(RADIANS('11_발전량_모델'!$B$17))*COS(RADIANS(E1079))*COS(RADIANS(F1079))</f>
        <v/>
      </c>
      <c r="I1079" s="80">
        <f>SIN(RADIANS('11_발전량_모델'!$B$17))*SIN(RADIANS(E1079))+COS(RADIANS('11_발전량_모델'!$B$17))*COS(RADIANS(E1079))*COS(RADIANS(F1079))</f>
        <v/>
      </c>
      <c r="J1079" s="80">
        <f>SIN(RADIANS('11_발전량_모델'!$B$7))*SIN(RADIANS('11_발전량_모델'!$B$8))</f>
        <v/>
      </c>
      <c r="K1079" s="80">
        <f>SIN(RADIANS('11_발전량_모델'!$B$7))*COS(RADIANS('11_발전량_모델'!$B$8))</f>
        <v/>
      </c>
      <c r="L1079" s="80">
        <f>COS(RADIANS('11_발전량_모델'!$B$7))</f>
        <v/>
      </c>
      <c r="M1079" s="80">
        <f>G1079*J1079+H1079*K1079+I1079*L1079</f>
        <v/>
      </c>
      <c r="N1079" s="80">
        <f>MAX(0,I1079)</f>
        <v/>
      </c>
      <c r="O1079" s="80">
        <f>IF(I1079&gt;0,MAX(0,M1079),0)</f>
        <v/>
      </c>
      <c r="P1079" s="80">
        <f>IF($I1079&gt;0,MAX(0,$G1079*SIN(RADIANS('13_시나리오비교'!$B$5))*SIN(RADIANS('13_시나리오비교'!$C$5))+$H1079*SIN(RADIANS('13_시나리오비교'!$B$5))*COS(RADIANS('13_시나리오비교'!$C$5))+$I1079*COS(RADIANS('13_시나리오비교'!$B$5))),0)</f>
        <v/>
      </c>
      <c r="Q1079" s="80">
        <f>IF($I1079&gt;0,MAX(0,$G1079*SIN(RADIANS('13_시나리오비교'!$B$6))*SIN(RADIANS('13_시나리오비교'!$C$6))+$H1079*SIN(RADIANS('13_시나리오비교'!$B$6))*COS(RADIANS('13_시나리오비교'!$C$6))+$I1079*COS(RADIANS('13_시나리오비교'!$B$6))),0)</f>
        <v/>
      </c>
      <c r="R1079" s="80">
        <f>IF($I1079&gt;0,MAX(0,$G1079*SIN(RADIANS('13_시나리오비교'!$B$7))*SIN(RADIANS('13_시나리오비교'!$C$7))+$H1079*SIN(RADIANS('13_시나리오비교'!$B$7))*COS(RADIANS('13_시나리오비교'!$C$7))+$I1079*COS(RADIANS('13_시나리오비교'!$B$7))),0)</f>
        <v/>
      </c>
      <c r="S1079" s="80">
        <f>IF($I1079&gt;0,MAX(0,$G1079*SIN(RADIANS('13_시나리오비교'!$B$8))*SIN(RADIANS('13_시나리오비교'!$C$8))+$H1079*SIN(RADIANS('13_시나리오비교'!$B$8))*COS(RADIANS('13_시나리오비교'!$C$8))+$I1079*COS(RADIANS('13_시나리오비교'!$B$8))),0)</f>
        <v/>
      </c>
      <c r="T1079" s="80">
        <f>IF($I1079&gt;0,MAX(0,$G1079*SIN(RADIANS('13_시나리오비교'!$B$9))*SIN(RADIANS('13_시나리오비교'!$C$9))+$H1079*SIN(RADIANS('13_시나리오비교'!$B$9))*COS(RADIANS('13_시나리오비교'!$C$9))+$I1079*COS(RADIANS('13_시나리오비교'!$B$9))),0)</f>
        <v/>
      </c>
      <c r="U1079" s="80">
        <f>IF($I1079&gt;0,MAX(0,$G1079*SIN(RADIANS('13_시나리오비교'!$B$10))*SIN(RADIANS('13_시나리오비교'!$C$10))+$H1079*SIN(RADIANS('13_시나리오비교'!$B$10))*COS(RADIANS('13_시나리오비교'!$C$10))+$I1079*COS(RADIANS('13_시나리오비교'!$B$10))),0)</f>
        <v/>
      </c>
      <c r="V1079" s="80">
        <f>IF($I1079&gt;0,MAX(0,$G1079*SIN(RADIANS('13_시나리오비교'!$B$11))*SIN(RADIANS('13_시나리오비교'!$C$11))+$H1079*SIN(RADIANS('13_시나리오비교'!$B$11))*COS(RADIANS('13_시나리오비교'!$C$11))+$I1079*COS(RADIANS('13_시나리오비교'!$B$11))),0)</f>
        <v/>
      </c>
      <c r="W1079" s="80">
        <f>IF($I1079&gt;0,MAX(0,$G1079*SIN(RADIANS('13_시나리오비교'!$B$12))*SIN(RADIANS('13_시나리오비교'!$C$12))+$H1079*SIN(RADIANS('13_시나리오비교'!$B$12))*COS(RADIANS('13_시나리오비교'!$C$12))+$I1079*COS(RADIANS('13_시나리오비교'!$B$12))),0)</f>
        <v/>
      </c>
      <c r="X1079" s="80">
        <f>IF($I1079&gt;0,MAX(0,$G1079*SIN(RADIANS('13_시나리오비교'!$B$13))*SIN(RADIANS('13_시나리오비교'!$C$13))+$H1079*SIN(RADIANS('13_시나리오비교'!$B$13))*COS(RADIANS('13_시나리오비교'!$C$13))+$I1079*COS(RADIANS('13_시나리오비교'!$B$13))),0)</f>
        <v/>
      </c>
      <c r="Y1079" s="80">
        <f>IF($I1079&gt;0,MAX(0,$G1079*SIN(RADIANS('13_시나리오비교'!$B$14))*SIN(RADIANS('13_시나리오비교'!$C$14))+$H1079*SIN(RADIANS('13_시나리오비교'!$B$14))*COS(RADIANS('13_시나리오비교'!$C$14))+$I1079*COS(RADIANS('13_시나리오비교'!$B$14))),0)</f>
        <v/>
      </c>
    </row>
    <row r="1080" hidden="1" outlineLevel="1">
      <c r="A1080" s="79" t="n">
        <v>12</v>
      </c>
      <c r="B1080" s="79" t="n">
        <v>4</v>
      </c>
      <c r="C1080" s="80">
        <f>(B1080-0.5)*'14_지역·상수'!$H$6</f>
        <v/>
      </c>
      <c r="D1080" s="79" t="n">
        <v>344</v>
      </c>
      <c r="E1080" s="80">
        <f>INDEX($C$4:$C$15,MATCH(A1080,$A$4:$A$15,0))</f>
        <v/>
      </c>
      <c r="F1080" s="80">
        <f>15*(C1080-12)</f>
        <v/>
      </c>
      <c r="G1080" s="80">
        <f>-COS(RADIANS(E1080))*SIN(RADIANS(F1080))</f>
        <v/>
      </c>
      <c r="H1080" s="80">
        <f>COS(RADIANS('11_발전량_모델'!$B$17))*SIN(RADIANS(E1080))-SIN(RADIANS('11_발전량_모델'!$B$17))*COS(RADIANS(E1080))*COS(RADIANS(F1080))</f>
        <v/>
      </c>
      <c r="I1080" s="80">
        <f>SIN(RADIANS('11_발전량_모델'!$B$17))*SIN(RADIANS(E1080))+COS(RADIANS('11_발전량_모델'!$B$17))*COS(RADIANS(E1080))*COS(RADIANS(F1080))</f>
        <v/>
      </c>
      <c r="J1080" s="80">
        <f>SIN(RADIANS('11_발전량_모델'!$B$7))*SIN(RADIANS('11_발전량_모델'!$B$8))</f>
        <v/>
      </c>
      <c r="K1080" s="80">
        <f>SIN(RADIANS('11_발전량_모델'!$B$7))*COS(RADIANS('11_발전량_모델'!$B$8))</f>
        <v/>
      </c>
      <c r="L1080" s="80">
        <f>COS(RADIANS('11_발전량_모델'!$B$7))</f>
        <v/>
      </c>
      <c r="M1080" s="80">
        <f>G1080*J1080+H1080*K1080+I1080*L1080</f>
        <v/>
      </c>
      <c r="N1080" s="80">
        <f>MAX(0,I1080)</f>
        <v/>
      </c>
      <c r="O1080" s="80">
        <f>IF(I1080&gt;0,MAX(0,M1080),0)</f>
        <v/>
      </c>
      <c r="P1080" s="80">
        <f>IF($I1080&gt;0,MAX(0,$G1080*SIN(RADIANS('13_시나리오비교'!$B$5))*SIN(RADIANS('13_시나리오비교'!$C$5))+$H1080*SIN(RADIANS('13_시나리오비교'!$B$5))*COS(RADIANS('13_시나리오비교'!$C$5))+$I1080*COS(RADIANS('13_시나리오비교'!$B$5))),0)</f>
        <v/>
      </c>
      <c r="Q1080" s="80">
        <f>IF($I1080&gt;0,MAX(0,$G1080*SIN(RADIANS('13_시나리오비교'!$B$6))*SIN(RADIANS('13_시나리오비교'!$C$6))+$H1080*SIN(RADIANS('13_시나리오비교'!$B$6))*COS(RADIANS('13_시나리오비교'!$C$6))+$I1080*COS(RADIANS('13_시나리오비교'!$B$6))),0)</f>
        <v/>
      </c>
      <c r="R1080" s="80">
        <f>IF($I1080&gt;0,MAX(0,$G1080*SIN(RADIANS('13_시나리오비교'!$B$7))*SIN(RADIANS('13_시나리오비교'!$C$7))+$H1080*SIN(RADIANS('13_시나리오비교'!$B$7))*COS(RADIANS('13_시나리오비교'!$C$7))+$I1080*COS(RADIANS('13_시나리오비교'!$B$7))),0)</f>
        <v/>
      </c>
      <c r="S1080" s="80">
        <f>IF($I1080&gt;0,MAX(0,$G1080*SIN(RADIANS('13_시나리오비교'!$B$8))*SIN(RADIANS('13_시나리오비교'!$C$8))+$H1080*SIN(RADIANS('13_시나리오비교'!$B$8))*COS(RADIANS('13_시나리오비교'!$C$8))+$I1080*COS(RADIANS('13_시나리오비교'!$B$8))),0)</f>
        <v/>
      </c>
      <c r="T1080" s="80">
        <f>IF($I1080&gt;0,MAX(0,$G1080*SIN(RADIANS('13_시나리오비교'!$B$9))*SIN(RADIANS('13_시나리오비교'!$C$9))+$H1080*SIN(RADIANS('13_시나리오비교'!$B$9))*COS(RADIANS('13_시나리오비교'!$C$9))+$I1080*COS(RADIANS('13_시나리오비교'!$B$9))),0)</f>
        <v/>
      </c>
      <c r="U1080" s="80">
        <f>IF($I1080&gt;0,MAX(0,$G1080*SIN(RADIANS('13_시나리오비교'!$B$10))*SIN(RADIANS('13_시나리오비교'!$C$10))+$H1080*SIN(RADIANS('13_시나리오비교'!$B$10))*COS(RADIANS('13_시나리오비교'!$C$10))+$I1080*COS(RADIANS('13_시나리오비교'!$B$10))),0)</f>
        <v/>
      </c>
      <c r="V1080" s="80">
        <f>IF($I1080&gt;0,MAX(0,$G1080*SIN(RADIANS('13_시나리오비교'!$B$11))*SIN(RADIANS('13_시나리오비교'!$C$11))+$H1080*SIN(RADIANS('13_시나리오비교'!$B$11))*COS(RADIANS('13_시나리오비교'!$C$11))+$I1080*COS(RADIANS('13_시나리오비교'!$B$11))),0)</f>
        <v/>
      </c>
      <c r="W1080" s="80">
        <f>IF($I1080&gt;0,MAX(0,$G1080*SIN(RADIANS('13_시나리오비교'!$B$12))*SIN(RADIANS('13_시나리오비교'!$C$12))+$H1080*SIN(RADIANS('13_시나리오비교'!$B$12))*COS(RADIANS('13_시나리오비교'!$C$12))+$I1080*COS(RADIANS('13_시나리오비교'!$B$12))),0)</f>
        <v/>
      </c>
      <c r="X1080" s="80">
        <f>IF($I1080&gt;0,MAX(0,$G1080*SIN(RADIANS('13_시나리오비교'!$B$13))*SIN(RADIANS('13_시나리오비교'!$C$13))+$H1080*SIN(RADIANS('13_시나리오비교'!$B$13))*COS(RADIANS('13_시나리오비교'!$C$13))+$I1080*COS(RADIANS('13_시나리오비교'!$B$13))),0)</f>
        <v/>
      </c>
      <c r="Y1080" s="80">
        <f>IF($I1080&gt;0,MAX(0,$G1080*SIN(RADIANS('13_시나리오비교'!$B$14))*SIN(RADIANS('13_시나리오비교'!$C$14))+$H1080*SIN(RADIANS('13_시나리오비교'!$B$14))*COS(RADIANS('13_시나리오비교'!$C$14))+$I1080*COS(RADIANS('13_시나리오비교'!$B$14))),0)</f>
        <v/>
      </c>
    </row>
    <row r="1081" hidden="1" outlineLevel="1">
      <c r="A1081" s="79" t="n">
        <v>12</v>
      </c>
      <c r="B1081" s="79" t="n">
        <v>5</v>
      </c>
      <c r="C1081" s="80">
        <f>(B1081-0.5)*'14_지역·상수'!$H$6</f>
        <v/>
      </c>
      <c r="D1081" s="79" t="n">
        <v>344</v>
      </c>
      <c r="E1081" s="80">
        <f>INDEX($C$4:$C$15,MATCH(A1081,$A$4:$A$15,0))</f>
        <v/>
      </c>
      <c r="F1081" s="80">
        <f>15*(C1081-12)</f>
        <v/>
      </c>
      <c r="G1081" s="80">
        <f>-COS(RADIANS(E1081))*SIN(RADIANS(F1081))</f>
        <v/>
      </c>
      <c r="H1081" s="80">
        <f>COS(RADIANS('11_발전량_모델'!$B$17))*SIN(RADIANS(E1081))-SIN(RADIANS('11_발전량_모델'!$B$17))*COS(RADIANS(E1081))*COS(RADIANS(F1081))</f>
        <v/>
      </c>
      <c r="I1081" s="80">
        <f>SIN(RADIANS('11_발전량_모델'!$B$17))*SIN(RADIANS(E1081))+COS(RADIANS('11_발전량_모델'!$B$17))*COS(RADIANS(E1081))*COS(RADIANS(F1081))</f>
        <v/>
      </c>
      <c r="J1081" s="80">
        <f>SIN(RADIANS('11_발전량_모델'!$B$7))*SIN(RADIANS('11_발전량_모델'!$B$8))</f>
        <v/>
      </c>
      <c r="K1081" s="80">
        <f>SIN(RADIANS('11_발전량_모델'!$B$7))*COS(RADIANS('11_발전량_모델'!$B$8))</f>
        <v/>
      </c>
      <c r="L1081" s="80">
        <f>COS(RADIANS('11_발전량_모델'!$B$7))</f>
        <v/>
      </c>
      <c r="M1081" s="80">
        <f>G1081*J1081+H1081*K1081+I1081*L1081</f>
        <v/>
      </c>
      <c r="N1081" s="80">
        <f>MAX(0,I1081)</f>
        <v/>
      </c>
      <c r="O1081" s="80">
        <f>IF(I1081&gt;0,MAX(0,M1081),0)</f>
        <v/>
      </c>
      <c r="P1081" s="80">
        <f>IF($I1081&gt;0,MAX(0,$G1081*SIN(RADIANS('13_시나리오비교'!$B$5))*SIN(RADIANS('13_시나리오비교'!$C$5))+$H1081*SIN(RADIANS('13_시나리오비교'!$B$5))*COS(RADIANS('13_시나리오비교'!$C$5))+$I1081*COS(RADIANS('13_시나리오비교'!$B$5))),0)</f>
        <v/>
      </c>
      <c r="Q1081" s="80">
        <f>IF($I1081&gt;0,MAX(0,$G1081*SIN(RADIANS('13_시나리오비교'!$B$6))*SIN(RADIANS('13_시나리오비교'!$C$6))+$H1081*SIN(RADIANS('13_시나리오비교'!$B$6))*COS(RADIANS('13_시나리오비교'!$C$6))+$I1081*COS(RADIANS('13_시나리오비교'!$B$6))),0)</f>
        <v/>
      </c>
      <c r="R1081" s="80">
        <f>IF($I1081&gt;0,MAX(0,$G1081*SIN(RADIANS('13_시나리오비교'!$B$7))*SIN(RADIANS('13_시나리오비교'!$C$7))+$H1081*SIN(RADIANS('13_시나리오비교'!$B$7))*COS(RADIANS('13_시나리오비교'!$C$7))+$I1081*COS(RADIANS('13_시나리오비교'!$B$7))),0)</f>
        <v/>
      </c>
      <c r="S1081" s="80">
        <f>IF($I1081&gt;0,MAX(0,$G1081*SIN(RADIANS('13_시나리오비교'!$B$8))*SIN(RADIANS('13_시나리오비교'!$C$8))+$H1081*SIN(RADIANS('13_시나리오비교'!$B$8))*COS(RADIANS('13_시나리오비교'!$C$8))+$I1081*COS(RADIANS('13_시나리오비교'!$B$8))),0)</f>
        <v/>
      </c>
      <c r="T1081" s="80">
        <f>IF($I1081&gt;0,MAX(0,$G1081*SIN(RADIANS('13_시나리오비교'!$B$9))*SIN(RADIANS('13_시나리오비교'!$C$9))+$H1081*SIN(RADIANS('13_시나리오비교'!$B$9))*COS(RADIANS('13_시나리오비교'!$C$9))+$I1081*COS(RADIANS('13_시나리오비교'!$B$9))),0)</f>
        <v/>
      </c>
      <c r="U1081" s="80">
        <f>IF($I1081&gt;0,MAX(0,$G1081*SIN(RADIANS('13_시나리오비교'!$B$10))*SIN(RADIANS('13_시나리오비교'!$C$10))+$H1081*SIN(RADIANS('13_시나리오비교'!$B$10))*COS(RADIANS('13_시나리오비교'!$C$10))+$I1081*COS(RADIANS('13_시나리오비교'!$B$10))),0)</f>
        <v/>
      </c>
      <c r="V1081" s="80">
        <f>IF($I1081&gt;0,MAX(0,$G1081*SIN(RADIANS('13_시나리오비교'!$B$11))*SIN(RADIANS('13_시나리오비교'!$C$11))+$H1081*SIN(RADIANS('13_시나리오비교'!$B$11))*COS(RADIANS('13_시나리오비교'!$C$11))+$I1081*COS(RADIANS('13_시나리오비교'!$B$11))),0)</f>
        <v/>
      </c>
      <c r="W1081" s="80">
        <f>IF($I1081&gt;0,MAX(0,$G1081*SIN(RADIANS('13_시나리오비교'!$B$12))*SIN(RADIANS('13_시나리오비교'!$C$12))+$H1081*SIN(RADIANS('13_시나리오비교'!$B$12))*COS(RADIANS('13_시나리오비교'!$C$12))+$I1081*COS(RADIANS('13_시나리오비교'!$B$12))),0)</f>
        <v/>
      </c>
      <c r="X1081" s="80">
        <f>IF($I1081&gt;0,MAX(0,$G1081*SIN(RADIANS('13_시나리오비교'!$B$13))*SIN(RADIANS('13_시나리오비교'!$C$13))+$H1081*SIN(RADIANS('13_시나리오비교'!$B$13))*COS(RADIANS('13_시나리오비교'!$C$13))+$I1081*COS(RADIANS('13_시나리오비교'!$B$13))),0)</f>
        <v/>
      </c>
      <c r="Y1081" s="80">
        <f>IF($I1081&gt;0,MAX(0,$G1081*SIN(RADIANS('13_시나리오비교'!$B$14))*SIN(RADIANS('13_시나리오비교'!$C$14))+$H1081*SIN(RADIANS('13_시나리오비교'!$B$14))*COS(RADIANS('13_시나리오비교'!$C$14))+$I1081*COS(RADIANS('13_시나리오비교'!$B$14))),0)</f>
        <v/>
      </c>
    </row>
    <row r="1082" hidden="1" outlineLevel="1">
      <c r="A1082" s="79" t="n">
        <v>12</v>
      </c>
      <c r="B1082" s="79" t="n">
        <v>6</v>
      </c>
      <c r="C1082" s="80">
        <f>(B1082-0.5)*'14_지역·상수'!$H$6</f>
        <v/>
      </c>
      <c r="D1082" s="79" t="n">
        <v>344</v>
      </c>
      <c r="E1082" s="80">
        <f>INDEX($C$4:$C$15,MATCH(A1082,$A$4:$A$15,0))</f>
        <v/>
      </c>
      <c r="F1082" s="80">
        <f>15*(C1082-12)</f>
        <v/>
      </c>
      <c r="G1082" s="80">
        <f>-COS(RADIANS(E1082))*SIN(RADIANS(F1082))</f>
        <v/>
      </c>
      <c r="H1082" s="80">
        <f>COS(RADIANS('11_발전량_모델'!$B$17))*SIN(RADIANS(E1082))-SIN(RADIANS('11_발전량_모델'!$B$17))*COS(RADIANS(E1082))*COS(RADIANS(F1082))</f>
        <v/>
      </c>
      <c r="I1082" s="80">
        <f>SIN(RADIANS('11_발전량_모델'!$B$17))*SIN(RADIANS(E1082))+COS(RADIANS('11_발전량_모델'!$B$17))*COS(RADIANS(E1082))*COS(RADIANS(F1082))</f>
        <v/>
      </c>
      <c r="J1082" s="80">
        <f>SIN(RADIANS('11_발전량_모델'!$B$7))*SIN(RADIANS('11_발전량_모델'!$B$8))</f>
        <v/>
      </c>
      <c r="K1082" s="80">
        <f>SIN(RADIANS('11_발전량_모델'!$B$7))*COS(RADIANS('11_발전량_모델'!$B$8))</f>
        <v/>
      </c>
      <c r="L1082" s="80">
        <f>COS(RADIANS('11_발전량_모델'!$B$7))</f>
        <v/>
      </c>
      <c r="M1082" s="80">
        <f>G1082*J1082+H1082*K1082+I1082*L1082</f>
        <v/>
      </c>
      <c r="N1082" s="80">
        <f>MAX(0,I1082)</f>
        <v/>
      </c>
      <c r="O1082" s="80">
        <f>IF(I1082&gt;0,MAX(0,M1082),0)</f>
        <v/>
      </c>
      <c r="P1082" s="80">
        <f>IF($I1082&gt;0,MAX(0,$G1082*SIN(RADIANS('13_시나리오비교'!$B$5))*SIN(RADIANS('13_시나리오비교'!$C$5))+$H1082*SIN(RADIANS('13_시나리오비교'!$B$5))*COS(RADIANS('13_시나리오비교'!$C$5))+$I1082*COS(RADIANS('13_시나리오비교'!$B$5))),0)</f>
        <v/>
      </c>
      <c r="Q1082" s="80">
        <f>IF($I1082&gt;0,MAX(0,$G1082*SIN(RADIANS('13_시나리오비교'!$B$6))*SIN(RADIANS('13_시나리오비교'!$C$6))+$H1082*SIN(RADIANS('13_시나리오비교'!$B$6))*COS(RADIANS('13_시나리오비교'!$C$6))+$I1082*COS(RADIANS('13_시나리오비교'!$B$6))),0)</f>
        <v/>
      </c>
      <c r="R1082" s="80">
        <f>IF($I1082&gt;0,MAX(0,$G1082*SIN(RADIANS('13_시나리오비교'!$B$7))*SIN(RADIANS('13_시나리오비교'!$C$7))+$H1082*SIN(RADIANS('13_시나리오비교'!$B$7))*COS(RADIANS('13_시나리오비교'!$C$7))+$I1082*COS(RADIANS('13_시나리오비교'!$B$7))),0)</f>
        <v/>
      </c>
      <c r="S1082" s="80">
        <f>IF($I1082&gt;0,MAX(0,$G1082*SIN(RADIANS('13_시나리오비교'!$B$8))*SIN(RADIANS('13_시나리오비교'!$C$8))+$H1082*SIN(RADIANS('13_시나리오비교'!$B$8))*COS(RADIANS('13_시나리오비교'!$C$8))+$I1082*COS(RADIANS('13_시나리오비교'!$B$8))),0)</f>
        <v/>
      </c>
      <c r="T1082" s="80">
        <f>IF($I1082&gt;0,MAX(0,$G1082*SIN(RADIANS('13_시나리오비교'!$B$9))*SIN(RADIANS('13_시나리오비교'!$C$9))+$H1082*SIN(RADIANS('13_시나리오비교'!$B$9))*COS(RADIANS('13_시나리오비교'!$C$9))+$I1082*COS(RADIANS('13_시나리오비교'!$B$9))),0)</f>
        <v/>
      </c>
      <c r="U1082" s="80">
        <f>IF($I1082&gt;0,MAX(0,$G1082*SIN(RADIANS('13_시나리오비교'!$B$10))*SIN(RADIANS('13_시나리오비교'!$C$10))+$H1082*SIN(RADIANS('13_시나리오비교'!$B$10))*COS(RADIANS('13_시나리오비교'!$C$10))+$I1082*COS(RADIANS('13_시나리오비교'!$B$10))),0)</f>
        <v/>
      </c>
      <c r="V1082" s="80">
        <f>IF($I1082&gt;0,MAX(0,$G1082*SIN(RADIANS('13_시나리오비교'!$B$11))*SIN(RADIANS('13_시나리오비교'!$C$11))+$H1082*SIN(RADIANS('13_시나리오비교'!$B$11))*COS(RADIANS('13_시나리오비교'!$C$11))+$I1082*COS(RADIANS('13_시나리오비교'!$B$11))),0)</f>
        <v/>
      </c>
      <c r="W1082" s="80">
        <f>IF($I1082&gt;0,MAX(0,$G1082*SIN(RADIANS('13_시나리오비교'!$B$12))*SIN(RADIANS('13_시나리오비교'!$C$12))+$H1082*SIN(RADIANS('13_시나리오비교'!$B$12))*COS(RADIANS('13_시나리오비교'!$C$12))+$I1082*COS(RADIANS('13_시나리오비교'!$B$12))),0)</f>
        <v/>
      </c>
      <c r="X1082" s="80">
        <f>IF($I1082&gt;0,MAX(0,$G1082*SIN(RADIANS('13_시나리오비교'!$B$13))*SIN(RADIANS('13_시나리오비교'!$C$13))+$H1082*SIN(RADIANS('13_시나리오비교'!$B$13))*COS(RADIANS('13_시나리오비교'!$C$13))+$I1082*COS(RADIANS('13_시나리오비교'!$B$13))),0)</f>
        <v/>
      </c>
      <c r="Y1082" s="80">
        <f>IF($I1082&gt;0,MAX(0,$G1082*SIN(RADIANS('13_시나리오비교'!$B$14))*SIN(RADIANS('13_시나리오비교'!$C$14))+$H1082*SIN(RADIANS('13_시나리오비교'!$B$14))*COS(RADIANS('13_시나리오비교'!$C$14))+$I1082*COS(RADIANS('13_시나리오비교'!$B$14))),0)</f>
        <v/>
      </c>
    </row>
    <row r="1083" hidden="1" outlineLevel="1">
      <c r="A1083" s="79" t="n">
        <v>12</v>
      </c>
      <c r="B1083" s="79" t="n">
        <v>7</v>
      </c>
      <c r="C1083" s="80">
        <f>(B1083-0.5)*'14_지역·상수'!$H$6</f>
        <v/>
      </c>
      <c r="D1083" s="79" t="n">
        <v>344</v>
      </c>
      <c r="E1083" s="80">
        <f>INDEX($C$4:$C$15,MATCH(A1083,$A$4:$A$15,0))</f>
        <v/>
      </c>
      <c r="F1083" s="80">
        <f>15*(C1083-12)</f>
        <v/>
      </c>
      <c r="G1083" s="80">
        <f>-COS(RADIANS(E1083))*SIN(RADIANS(F1083))</f>
        <v/>
      </c>
      <c r="H1083" s="80">
        <f>COS(RADIANS('11_발전량_모델'!$B$17))*SIN(RADIANS(E1083))-SIN(RADIANS('11_발전량_모델'!$B$17))*COS(RADIANS(E1083))*COS(RADIANS(F1083))</f>
        <v/>
      </c>
      <c r="I1083" s="80">
        <f>SIN(RADIANS('11_발전량_모델'!$B$17))*SIN(RADIANS(E1083))+COS(RADIANS('11_발전량_모델'!$B$17))*COS(RADIANS(E1083))*COS(RADIANS(F1083))</f>
        <v/>
      </c>
      <c r="J1083" s="80">
        <f>SIN(RADIANS('11_발전량_모델'!$B$7))*SIN(RADIANS('11_발전량_모델'!$B$8))</f>
        <v/>
      </c>
      <c r="K1083" s="80">
        <f>SIN(RADIANS('11_발전량_모델'!$B$7))*COS(RADIANS('11_발전량_모델'!$B$8))</f>
        <v/>
      </c>
      <c r="L1083" s="80">
        <f>COS(RADIANS('11_발전량_모델'!$B$7))</f>
        <v/>
      </c>
      <c r="M1083" s="80">
        <f>G1083*J1083+H1083*K1083+I1083*L1083</f>
        <v/>
      </c>
      <c r="N1083" s="80">
        <f>MAX(0,I1083)</f>
        <v/>
      </c>
      <c r="O1083" s="80">
        <f>IF(I1083&gt;0,MAX(0,M1083),0)</f>
        <v/>
      </c>
      <c r="P1083" s="80">
        <f>IF($I1083&gt;0,MAX(0,$G1083*SIN(RADIANS('13_시나리오비교'!$B$5))*SIN(RADIANS('13_시나리오비교'!$C$5))+$H1083*SIN(RADIANS('13_시나리오비교'!$B$5))*COS(RADIANS('13_시나리오비교'!$C$5))+$I1083*COS(RADIANS('13_시나리오비교'!$B$5))),0)</f>
        <v/>
      </c>
      <c r="Q1083" s="80">
        <f>IF($I1083&gt;0,MAX(0,$G1083*SIN(RADIANS('13_시나리오비교'!$B$6))*SIN(RADIANS('13_시나리오비교'!$C$6))+$H1083*SIN(RADIANS('13_시나리오비교'!$B$6))*COS(RADIANS('13_시나리오비교'!$C$6))+$I1083*COS(RADIANS('13_시나리오비교'!$B$6))),0)</f>
        <v/>
      </c>
      <c r="R1083" s="80">
        <f>IF($I1083&gt;0,MAX(0,$G1083*SIN(RADIANS('13_시나리오비교'!$B$7))*SIN(RADIANS('13_시나리오비교'!$C$7))+$H1083*SIN(RADIANS('13_시나리오비교'!$B$7))*COS(RADIANS('13_시나리오비교'!$C$7))+$I1083*COS(RADIANS('13_시나리오비교'!$B$7))),0)</f>
        <v/>
      </c>
      <c r="S1083" s="80">
        <f>IF($I1083&gt;0,MAX(0,$G1083*SIN(RADIANS('13_시나리오비교'!$B$8))*SIN(RADIANS('13_시나리오비교'!$C$8))+$H1083*SIN(RADIANS('13_시나리오비교'!$B$8))*COS(RADIANS('13_시나리오비교'!$C$8))+$I1083*COS(RADIANS('13_시나리오비교'!$B$8))),0)</f>
        <v/>
      </c>
      <c r="T1083" s="80">
        <f>IF($I1083&gt;0,MAX(0,$G1083*SIN(RADIANS('13_시나리오비교'!$B$9))*SIN(RADIANS('13_시나리오비교'!$C$9))+$H1083*SIN(RADIANS('13_시나리오비교'!$B$9))*COS(RADIANS('13_시나리오비교'!$C$9))+$I1083*COS(RADIANS('13_시나리오비교'!$B$9))),0)</f>
        <v/>
      </c>
      <c r="U1083" s="80">
        <f>IF($I1083&gt;0,MAX(0,$G1083*SIN(RADIANS('13_시나리오비교'!$B$10))*SIN(RADIANS('13_시나리오비교'!$C$10))+$H1083*SIN(RADIANS('13_시나리오비교'!$B$10))*COS(RADIANS('13_시나리오비교'!$C$10))+$I1083*COS(RADIANS('13_시나리오비교'!$B$10))),0)</f>
        <v/>
      </c>
      <c r="V1083" s="80">
        <f>IF($I1083&gt;0,MAX(0,$G1083*SIN(RADIANS('13_시나리오비교'!$B$11))*SIN(RADIANS('13_시나리오비교'!$C$11))+$H1083*SIN(RADIANS('13_시나리오비교'!$B$11))*COS(RADIANS('13_시나리오비교'!$C$11))+$I1083*COS(RADIANS('13_시나리오비교'!$B$11))),0)</f>
        <v/>
      </c>
      <c r="W1083" s="80">
        <f>IF($I1083&gt;0,MAX(0,$G1083*SIN(RADIANS('13_시나리오비교'!$B$12))*SIN(RADIANS('13_시나리오비교'!$C$12))+$H1083*SIN(RADIANS('13_시나리오비교'!$B$12))*COS(RADIANS('13_시나리오비교'!$C$12))+$I1083*COS(RADIANS('13_시나리오비교'!$B$12))),0)</f>
        <v/>
      </c>
      <c r="X1083" s="80">
        <f>IF($I1083&gt;0,MAX(0,$G1083*SIN(RADIANS('13_시나리오비교'!$B$13))*SIN(RADIANS('13_시나리오비교'!$C$13))+$H1083*SIN(RADIANS('13_시나리오비교'!$B$13))*COS(RADIANS('13_시나리오비교'!$C$13))+$I1083*COS(RADIANS('13_시나리오비교'!$B$13))),0)</f>
        <v/>
      </c>
      <c r="Y1083" s="80">
        <f>IF($I1083&gt;0,MAX(0,$G1083*SIN(RADIANS('13_시나리오비교'!$B$14))*SIN(RADIANS('13_시나리오비교'!$C$14))+$H1083*SIN(RADIANS('13_시나리오비교'!$B$14))*COS(RADIANS('13_시나리오비교'!$C$14))+$I1083*COS(RADIANS('13_시나리오비교'!$B$14))),0)</f>
        <v/>
      </c>
    </row>
    <row r="1084" hidden="1" outlineLevel="1">
      <c r="A1084" s="79" t="n">
        <v>12</v>
      </c>
      <c r="B1084" s="79" t="n">
        <v>8</v>
      </c>
      <c r="C1084" s="80">
        <f>(B1084-0.5)*'14_지역·상수'!$H$6</f>
        <v/>
      </c>
      <c r="D1084" s="79" t="n">
        <v>344</v>
      </c>
      <c r="E1084" s="80">
        <f>INDEX($C$4:$C$15,MATCH(A1084,$A$4:$A$15,0))</f>
        <v/>
      </c>
      <c r="F1084" s="80">
        <f>15*(C1084-12)</f>
        <v/>
      </c>
      <c r="G1084" s="80">
        <f>-COS(RADIANS(E1084))*SIN(RADIANS(F1084))</f>
        <v/>
      </c>
      <c r="H1084" s="80">
        <f>COS(RADIANS('11_발전량_모델'!$B$17))*SIN(RADIANS(E1084))-SIN(RADIANS('11_발전량_모델'!$B$17))*COS(RADIANS(E1084))*COS(RADIANS(F1084))</f>
        <v/>
      </c>
      <c r="I1084" s="80">
        <f>SIN(RADIANS('11_발전량_모델'!$B$17))*SIN(RADIANS(E1084))+COS(RADIANS('11_발전량_모델'!$B$17))*COS(RADIANS(E1084))*COS(RADIANS(F1084))</f>
        <v/>
      </c>
      <c r="J1084" s="80">
        <f>SIN(RADIANS('11_발전량_모델'!$B$7))*SIN(RADIANS('11_발전량_모델'!$B$8))</f>
        <v/>
      </c>
      <c r="K1084" s="80">
        <f>SIN(RADIANS('11_발전량_모델'!$B$7))*COS(RADIANS('11_발전량_모델'!$B$8))</f>
        <v/>
      </c>
      <c r="L1084" s="80">
        <f>COS(RADIANS('11_발전량_모델'!$B$7))</f>
        <v/>
      </c>
      <c r="M1084" s="80">
        <f>G1084*J1084+H1084*K1084+I1084*L1084</f>
        <v/>
      </c>
      <c r="N1084" s="80">
        <f>MAX(0,I1084)</f>
        <v/>
      </c>
      <c r="O1084" s="80">
        <f>IF(I1084&gt;0,MAX(0,M1084),0)</f>
        <v/>
      </c>
      <c r="P1084" s="80">
        <f>IF($I1084&gt;0,MAX(0,$G1084*SIN(RADIANS('13_시나리오비교'!$B$5))*SIN(RADIANS('13_시나리오비교'!$C$5))+$H1084*SIN(RADIANS('13_시나리오비교'!$B$5))*COS(RADIANS('13_시나리오비교'!$C$5))+$I1084*COS(RADIANS('13_시나리오비교'!$B$5))),0)</f>
        <v/>
      </c>
      <c r="Q1084" s="80">
        <f>IF($I1084&gt;0,MAX(0,$G1084*SIN(RADIANS('13_시나리오비교'!$B$6))*SIN(RADIANS('13_시나리오비교'!$C$6))+$H1084*SIN(RADIANS('13_시나리오비교'!$B$6))*COS(RADIANS('13_시나리오비교'!$C$6))+$I1084*COS(RADIANS('13_시나리오비교'!$B$6))),0)</f>
        <v/>
      </c>
      <c r="R1084" s="80">
        <f>IF($I1084&gt;0,MAX(0,$G1084*SIN(RADIANS('13_시나리오비교'!$B$7))*SIN(RADIANS('13_시나리오비교'!$C$7))+$H1084*SIN(RADIANS('13_시나리오비교'!$B$7))*COS(RADIANS('13_시나리오비교'!$C$7))+$I1084*COS(RADIANS('13_시나리오비교'!$B$7))),0)</f>
        <v/>
      </c>
      <c r="S1084" s="80">
        <f>IF($I1084&gt;0,MAX(0,$G1084*SIN(RADIANS('13_시나리오비교'!$B$8))*SIN(RADIANS('13_시나리오비교'!$C$8))+$H1084*SIN(RADIANS('13_시나리오비교'!$B$8))*COS(RADIANS('13_시나리오비교'!$C$8))+$I1084*COS(RADIANS('13_시나리오비교'!$B$8))),0)</f>
        <v/>
      </c>
      <c r="T1084" s="80">
        <f>IF($I1084&gt;0,MAX(0,$G1084*SIN(RADIANS('13_시나리오비교'!$B$9))*SIN(RADIANS('13_시나리오비교'!$C$9))+$H1084*SIN(RADIANS('13_시나리오비교'!$B$9))*COS(RADIANS('13_시나리오비교'!$C$9))+$I1084*COS(RADIANS('13_시나리오비교'!$B$9))),0)</f>
        <v/>
      </c>
      <c r="U1084" s="80">
        <f>IF($I1084&gt;0,MAX(0,$G1084*SIN(RADIANS('13_시나리오비교'!$B$10))*SIN(RADIANS('13_시나리오비교'!$C$10))+$H1084*SIN(RADIANS('13_시나리오비교'!$B$10))*COS(RADIANS('13_시나리오비교'!$C$10))+$I1084*COS(RADIANS('13_시나리오비교'!$B$10))),0)</f>
        <v/>
      </c>
      <c r="V1084" s="80">
        <f>IF($I1084&gt;0,MAX(0,$G1084*SIN(RADIANS('13_시나리오비교'!$B$11))*SIN(RADIANS('13_시나리오비교'!$C$11))+$H1084*SIN(RADIANS('13_시나리오비교'!$B$11))*COS(RADIANS('13_시나리오비교'!$C$11))+$I1084*COS(RADIANS('13_시나리오비교'!$B$11))),0)</f>
        <v/>
      </c>
      <c r="W1084" s="80">
        <f>IF($I1084&gt;0,MAX(0,$G1084*SIN(RADIANS('13_시나리오비교'!$B$12))*SIN(RADIANS('13_시나리오비교'!$C$12))+$H1084*SIN(RADIANS('13_시나리오비교'!$B$12))*COS(RADIANS('13_시나리오비교'!$C$12))+$I1084*COS(RADIANS('13_시나리오비교'!$B$12))),0)</f>
        <v/>
      </c>
      <c r="X1084" s="80">
        <f>IF($I1084&gt;0,MAX(0,$G1084*SIN(RADIANS('13_시나리오비교'!$B$13))*SIN(RADIANS('13_시나리오비교'!$C$13))+$H1084*SIN(RADIANS('13_시나리오비교'!$B$13))*COS(RADIANS('13_시나리오비교'!$C$13))+$I1084*COS(RADIANS('13_시나리오비교'!$B$13))),0)</f>
        <v/>
      </c>
      <c r="Y1084" s="80">
        <f>IF($I1084&gt;0,MAX(0,$G1084*SIN(RADIANS('13_시나리오비교'!$B$14))*SIN(RADIANS('13_시나리오비교'!$C$14))+$H1084*SIN(RADIANS('13_시나리오비교'!$B$14))*COS(RADIANS('13_시나리오비교'!$C$14))+$I1084*COS(RADIANS('13_시나리오비교'!$B$14))),0)</f>
        <v/>
      </c>
    </row>
    <row r="1085" hidden="1" outlineLevel="1">
      <c r="A1085" s="79" t="n">
        <v>12</v>
      </c>
      <c r="B1085" s="79" t="n">
        <v>9</v>
      </c>
      <c r="C1085" s="80">
        <f>(B1085-0.5)*'14_지역·상수'!$H$6</f>
        <v/>
      </c>
      <c r="D1085" s="79" t="n">
        <v>344</v>
      </c>
      <c r="E1085" s="80">
        <f>INDEX($C$4:$C$15,MATCH(A1085,$A$4:$A$15,0))</f>
        <v/>
      </c>
      <c r="F1085" s="80">
        <f>15*(C1085-12)</f>
        <v/>
      </c>
      <c r="G1085" s="80">
        <f>-COS(RADIANS(E1085))*SIN(RADIANS(F1085))</f>
        <v/>
      </c>
      <c r="H1085" s="80">
        <f>COS(RADIANS('11_발전량_모델'!$B$17))*SIN(RADIANS(E1085))-SIN(RADIANS('11_발전량_모델'!$B$17))*COS(RADIANS(E1085))*COS(RADIANS(F1085))</f>
        <v/>
      </c>
      <c r="I1085" s="80">
        <f>SIN(RADIANS('11_발전량_모델'!$B$17))*SIN(RADIANS(E1085))+COS(RADIANS('11_발전량_모델'!$B$17))*COS(RADIANS(E1085))*COS(RADIANS(F1085))</f>
        <v/>
      </c>
      <c r="J1085" s="80">
        <f>SIN(RADIANS('11_발전량_모델'!$B$7))*SIN(RADIANS('11_발전량_모델'!$B$8))</f>
        <v/>
      </c>
      <c r="K1085" s="80">
        <f>SIN(RADIANS('11_발전량_모델'!$B$7))*COS(RADIANS('11_발전량_모델'!$B$8))</f>
        <v/>
      </c>
      <c r="L1085" s="80">
        <f>COS(RADIANS('11_발전량_모델'!$B$7))</f>
        <v/>
      </c>
      <c r="M1085" s="80">
        <f>G1085*J1085+H1085*K1085+I1085*L1085</f>
        <v/>
      </c>
      <c r="N1085" s="80">
        <f>MAX(0,I1085)</f>
        <v/>
      </c>
      <c r="O1085" s="80">
        <f>IF(I1085&gt;0,MAX(0,M1085),0)</f>
        <v/>
      </c>
      <c r="P1085" s="80">
        <f>IF($I1085&gt;0,MAX(0,$G1085*SIN(RADIANS('13_시나리오비교'!$B$5))*SIN(RADIANS('13_시나리오비교'!$C$5))+$H1085*SIN(RADIANS('13_시나리오비교'!$B$5))*COS(RADIANS('13_시나리오비교'!$C$5))+$I1085*COS(RADIANS('13_시나리오비교'!$B$5))),0)</f>
        <v/>
      </c>
      <c r="Q1085" s="80">
        <f>IF($I1085&gt;0,MAX(0,$G1085*SIN(RADIANS('13_시나리오비교'!$B$6))*SIN(RADIANS('13_시나리오비교'!$C$6))+$H1085*SIN(RADIANS('13_시나리오비교'!$B$6))*COS(RADIANS('13_시나리오비교'!$C$6))+$I1085*COS(RADIANS('13_시나리오비교'!$B$6))),0)</f>
        <v/>
      </c>
      <c r="R1085" s="80">
        <f>IF($I1085&gt;0,MAX(0,$G1085*SIN(RADIANS('13_시나리오비교'!$B$7))*SIN(RADIANS('13_시나리오비교'!$C$7))+$H1085*SIN(RADIANS('13_시나리오비교'!$B$7))*COS(RADIANS('13_시나리오비교'!$C$7))+$I1085*COS(RADIANS('13_시나리오비교'!$B$7))),0)</f>
        <v/>
      </c>
      <c r="S1085" s="80">
        <f>IF($I1085&gt;0,MAX(0,$G1085*SIN(RADIANS('13_시나리오비교'!$B$8))*SIN(RADIANS('13_시나리오비교'!$C$8))+$H1085*SIN(RADIANS('13_시나리오비교'!$B$8))*COS(RADIANS('13_시나리오비교'!$C$8))+$I1085*COS(RADIANS('13_시나리오비교'!$B$8))),0)</f>
        <v/>
      </c>
      <c r="T1085" s="80">
        <f>IF($I1085&gt;0,MAX(0,$G1085*SIN(RADIANS('13_시나리오비교'!$B$9))*SIN(RADIANS('13_시나리오비교'!$C$9))+$H1085*SIN(RADIANS('13_시나리오비교'!$B$9))*COS(RADIANS('13_시나리오비교'!$C$9))+$I1085*COS(RADIANS('13_시나리오비교'!$B$9))),0)</f>
        <v/>
      </c>
      <c r="U1085" s="80">
        <f>IF($I1085&gt;0,MAX(0,$G1085*SIN(RADIANS('13_시나리오비교'!$B$10))*SIN(RADIANS('13_시나리오비교'!$C$10))+$H1085*SIN(RADIANS('13_시나리오비교'!$B$10))*COS(RADIANS('13_시나리오비교'!$C$10))+$I1085*COS(RADIANS('13_시나리오비교'!$B$10))),0)</f>
        <v/>
      </c>
      <c r="V1085" s="80">
        <f>IF($I1085&gt;0,MAX(0,$G1085*SIN(RADIANS('13_시나리오비교'!$B$11))*SIN(RADIANS('13_시나리오비교'!$C$11))+$H1085*SIN(RADIANS('13_시나리오비교'!$B$11))*COS(RADIANS('13_시나리오비교'!$C$11))+$I1085*COS(RADIANS('13_시나리오비교'!$B$11))),0)</f>
        <v/>
      </c>
      <c r="W1085" s="80">
        <f>IF($I1085&gt;0,MAX(0,$G1085*SIN(RADIANS('13_시나리오비교'!$B$12))*SIN(RADIANS('13_시나리오비교'!$C$12))+$H1085*SIN(RADIANS('13_시나리오비교'!$B$12))*COS(RADIANS('13_시나리오비교'!$C$12))+$I1085*COS(RADIANS('13_시나리오비교'!$B$12))),0)</f>
        <v/>
      </c>
      <c r="X1085" s="80">
        <f>IF($I1085&gt;0,MAX(0,$G1085*SIN(RADIANS('13_시나리오비교'!$B$13))*SIN(RADIANS('13_시나리오비교'!$C$13))+$H1085*SIN(RADIANS('13_시나리오비교'!$B$13))*COS(RADIANS('13_시나리오비교'!$C$13))+$I1085*COS(RADIANS('13_시나리오비교'!$B$13))),0)</f>
        <v/>
      </c>
      <c r="Y1085" s="80">
        <f>IF($I1085&gt;0,MAX(0,$G1085*SIN(RADIANS('13_시나리오비교'!$B$14))*SIN(RADIANS('13_시나리오비교'!$C$14))+$H1085*SIN(RADIANS('13_시나리오비교'!$B$14))*COS(RADIANS('13_시나리오비교'!$C$14))+$I1085*COS(RADIANS('13_시나리오비교'!$B$14))),0)</f>
        <v/>
      </c>
    </row>
    <row r="1086" hidden="1" outlineLevel="1">
      <c r="A1086" s="79" t="n">
        <v>12</v>
      </c>
      <c r="B1086" s="79" t="n">
        <v>10</v>
      </c>
      <c r="C1086" s="80">
        <f>(B1086-0.5)*'14_지역·상수'!$H$6</f>
        <v/>
      </c>
      <c r="D1086" s="79" t="n">
        <v>344</v>
      </c>
      <c r="E1086" s="80">
        <f>INDEX($C$4:$C$15,MATCH(A1086,$A$4:$A$15,0))</f>
        <v/>
      </c>
      <c r="F1086" s="80">
        <f>15*(C1086-12)</f>
        <v/>
      </c>
      <c r="G1086" s="80">
        <f>-COS(RADIANS(E1086))*SIN(RADIANS(F1086))</f>
        <v/>
      </c>
      <c r="H1086" s="80">
        <f>COS(RADIANS('11_발전량_모델'!$B$17))*SIN(RADIANS(E1086))-SIN(RADIANS('11_발전량_모델'!$B$17))*COS(RADIANS(E1086))*COS(RADIANS(F1086))</f>
        <v/>
      </c>
      <c r="I1086" s="80">
        <f>SIN(RADIANS('11_발전량_모델'!$B$17))*SIN(RADIANS(E1086))+COS(RADIANS('11_발전량_모델'!$B$17))*COS(RADIANS(E1086))*COS(RADIANS(F1086))</f>
        <v/>
      </c>
      <c r="J1086" s="80">
        <f>SIN(RADIANS('11_발전량_모델'!$B$7))*SIN(RADIANS('11_발전량_모델'!$B$8))</f>
        <v/>
      </c>
      <c r="K1086" s="80">
        <f>SIN(RADIANS('11_발전량_모델'!$B$7))*COS(RADIANS('11_발전량_모델'!$B$8))</f>
        <v/>
      </c>
      <c r="L1086" s="80">
        <f>COS(RADIANS('11_발전량_모델'!$B$7))</f>
        <v/>
      </c>
      <c r="M1086" s="80">
        <f>G1086*J1086+H1086*K1086+I1086*L1086</f>
        <v/>
      </c>
      <c r="N1086" s="80">
        <f>MAX(0,I1086)</f>
        <v/>
      </c>
      <c r="O1086" s="80">
        <f>IF(I1086&gt;0,MAX(0,M1086),0)</f>
        <v/>
      </c>
      <c r="P1086" s="80">
        <f>IF($I1086&gt;0,MAX(0,$G1086*SIN(RADIANS('13_시나리오비교'!$B$5))*SIN(RADIANS('13_시나리오비교'!$C$5))+$H1086*SIN(RADIANS('13_시나리오비교'!$B$5))*COS(RADIANS('13_시나리오비교'!$C$5))+$I1086*COS(RADIANS('13_시나리오비교'!$B$5))),0)</f>
        <v/>
      </c>
      <c r="Q1086" s="80">
        <f>IF($I1086&gt;0,MAX(0,$G1086*SIN(RADIANS('13_시나리오비교'!$B$6))*SIN(RADIANS('13_시나리오비교'!$C$6))+$H1086*SIN(RADIANS('13_시나리오비교'!$B$6))*COS(RADIANS('13_시나리오비교'!$C$6))+$I1086*COS(RADIANS('13_시나리오비교'!$B$6))),0)</f>
        <v/>
      </c>
      <c r="R1086" s="80">
        <f>IF($I1086&gt;0,MAX(0,$G1086*SIN(RADIANS('13_시나리오비교'!$B$7))*SIN(RADIANS('13_시나리오비교'!$C$7))+$H1086*SIN(RADIANS('13_시나리오비교'!$B$7))*COS(RADIANS('13_시나리오비교'!$C$7))+$I1086*COS(RADIANS('13_시나리오비교'!$B$7))),0)</f>
        <v/>
      </c>
      <c r="S1086" s="80">
        <f>IF($I1086&gt;0,MAX(0,$G1086*SIN(RADIANS('13_시나리오비교'!$B$8))*SIN(RADIANS('13_시나리오비교'!$C$8))+$H1086*SIN(RADIANS('13_시나리오비교'!$B$8))*COS(RADIANS('13_시나리오비교'!$C$8))+$I1086*COS(RADIANS('13_시나리오비교'!$B$8))),0)</f>
        <v/>
      </c>
      <c r="T1086" s="80">
        <f>IF($I1086&gt;0,MAX(0,$G1086*SIN(RADIANS('13_시나리오비교'!$B$9))*SIN(RADIANS('13_시나리오비교'!$C$9))+$H1086*SIN(RADIANS('13_시나리오비교'!$B$9))*COS(RADIANS('13_시나리오비교'!$C$9))+$I1086*COS(RADIANS('13_시나리오비교'!$B$9))),0)</f>
        <v/>
      </c>
      <c r="U1086" s="80">
        <f>IF($I1086&gt;0,MAX(0,$G1086*SIN(RADIANS('13_시나리오비교'!$B$10))*SIN(RADIANS('13_시나리오비교'!$C$10))+$H1086*SIN(RADIANS('13_시나리오비교'!$B$10))*COS(RADIANS('13_시나리오비교'!$C$10))+$I1086*COS(RADIANS('13_시나리오비교'!$B$10))),0)</f>
        <v/>
      </c>
      <c r="V1086" s="80">
        <f>IF($I1086&gt;0,MAX(0,$G1086*SIN(RADIANS('13_시나리오비교'!$B$11))*SIN(RADIANS('13_시나리오비교'!$C$11))+$H1086*SIN(RADIANS('13_시나리오비교'!$B$11))*COS(RADIANS('13_시나리오비교'!$C$11))+$I1086*COS(RADIANS('13_시나리오비교'!$B$11))),0)</f>
        <v/>
      </c>
      <c r="W1086" s="80">
        <f>IF($I1086&gt;0,MAX(0,$G1086*SIN(RADIANS('13_시나리오비교'!$B$12))*SIN(RADIANS('13_시나리오비교'!$C$12))+$H1086*SIN(RADIANS('13_시나리오비교'!$B$12))*COS(RADIANS('13_시나리오비교'!$C$12))+$I1086*COS(RADIANS('13_시나리오비교'!$B$12))),0)</f>
        <v/>
      </c>
      <c r="X1086" s="80">
        <f>IF($I1086&gt;0,MAX(0,$G1086*SIN(RADIANS('13_시나리오비교'!$B$13))*SIN(RADIANS('13_시나리오비교'!$C$13))+$H1086*SIN(RADIANS('13_시나리오비교'!$B$13))*COS(RADIANS('13_시나리오비교'!$C$13))+$I1086*COS(RADIANS('13_시나리오비교'!$B$13))),0)</f>
        <v/>
      </c>
      <c r="Y1086" s="80">
        <f>IF($I1086&gt;0,MAX(0,$G1086*SIN(RADIANS('13_시나리오비교'!$B$14))*SIN(RADIANS('13_시나리오비교'!$C$14))+$H1086*SIN(RADIANS('13_시나리오비교'!$B$14))*COS(RADIANS('13_시나리오비교'!$C$14))+$I1086*COS(RADIANS('13_시나리오비교'!$B$14))),0)</f>
        <v/>
      </c>
    </row>
    <row r="1087" hidden="1" outlineLevel="1">
      <c r="A1087" s="79" t="n">
        <v>12</v>
      </c>
      <c r="B1087" s="79" t="n">
        <v>11</v>
      </c>
      <c r="C1087" s="80">
        <f>(B1087-0.5)*'14_지역·상수'!$H$6</f>
        <v/>
      </c>
      <c r="D1087" s="79" t="n">
        <v>344</v>
      </c>
      <c r="E1087" s="80">
        <f>INDEX($C$4:$C$15,MATCH(A1087,$A$4:$A$15,0))</f>
        <v/>
      </c>
      <c r="F1087" s="80">
        <f>15*(C1087-12)</f>
        <v/>
      </c>
      <c r="G1087" s="80">
        <f>-COS(RADIANS(E1087))*SIN(RADIANS(F1087))</f>
        <v/>
      </c>
      <c r="H1087" s="80">
        <f>COS(RADIANS('11_발전량_모델'!$B$17))*SIN(RADIANS(E1087))-SIN(RADIANS('11_발전량_모델'!$B$17))*COS(RADIANS(E1087))*COS(RADIANS(F1087))</f>
        <v/>
      </c>
      <c r="I1087" s="80">
        <f>SIN(RADIANS('11_발전량_모델'!$B$17))*SIN(RADIANS(E1087))+COS(RADIANS('11_발전량_모델'!$B$17))*COS(RADIANS(E1087))*COS(RADIANS(F1087))</f>
        <v/>
      </c>
      <c r="J1087" s="80">
        <f>SIN(RADIANS('11_발전량_모델'!$B$7))*SIN(RADIANS('11_발전량_모델'!$B$8))</f>
        <v/>
      </c>
      <c r="K1087" s="80">
        <f>SIN(RADIANS('11_발전량_모델'!$B$7))*COS(RADIANS('11_발전량_모델'!$B$8))</f>
        <v/>
      </c>
      <c r="L1087" s="80">
        <f>COS(RADIANS('11_발전량_모델'!$B$7))</f>
        <v/>
      </c>
      <c r="M1087" s="80">
        <f>G1087*J1087+H1087*K1087+I1087*L1087</f>
        <v/>
      </c>
      <c r="N1087" s="80">
        <f>MAX(0,I1087)</f>
        <v/>
      </c>
      <c r="O1087" s="80">
        <f>IF(I1087&gt;0,MAX(0,M1087),0)</f>
        <v/>
      </c>
      <c r="P1087" s="80">
        <f>IF($I1087&gt;0,MAX(0,$G1087*SIN(RADIANS('13_시나리오비교'!$B$5))*SIN(RADIANS('13_시나리오비교'!$C$5))+$H1087*SIN(RADIANS('13_시나리오비교'!$B$5))*COS(RADIANS('13_시나리오비교'!$C$5))+$I1087*COS(RADIANS('13_시나리오비교'!$B$5))),0)</f>
        <v/>
      </c>
      <c r="Q1087" s="80">
        <f>IF($I1087&gt;0,MAX(0,$G1087*SIN(RADIANS('13_시나리오비교'!$B$6))*SIN(RADIANS('13_시나리오비교'!$C$6))+$H1087*SIN(RADIANS('13_시나리오비교'!$B$6))*COS(RADIANS('13_시나리오비교'!$C$6))+$I1087*COS(RADIANS('13_시나리오비교'!$B$6))),0)</f>
        <v/>
      </c>
      <c r="R1087" s="80">
        <f>IF($I1087&gt;0,MAX(0,$G1087*SIN(RADIANS('13_시나리오비교'!$B$7))*SIN(RADIANS('13_시나리오비교'!$C$7))+$H1087*SIN(RADIANS('13_시나리오비교'!$B$7))*COS(RADIANS('13_시나리오비교'!$C$7))+$I1087*COS(RADIANS('13_시나리오비교'!$B$7))),0)</f>
        <v/>
      </c>
      <c r="S1087" s="80">
        <f>IF($I1087&gt;0,MAX(0,$G1087*SIN(RADIANS('13_시나리오비교'!$B$8))*SIN(RADIANS('13_시나리오비교'!$C$8))+$H1087*SIN(RADIANS('13_시나리오비교'!$B$8))*COS(RADIANS('13_시나리오비교'!$C$8))+$I1087*COS(RADIANS('13_시나리오비교'!$B$8))),0)</f>
        <v/>
      </c>
      <c r="T1087" s="80">
        <f>IF($I1087&gt;0,MAX(0,$G1087*SIN(RADIANS('13_시나리오비교'!$B$9))*SIN(RADIANS('13_시나리오비교'!$C$9))+$H1087*SIN(RADIANS('13_시나리오비교'!$B$9))*COS(RADIANS('13_시나리오비교'!$C$9))+$I1087*COS(RADIANS('13_시나리오비교'!$B$9))),0)</f>
        <v/>
      </c>
      <c r="U1087" s="80">
        <f>IF($I1087&gt;0,MAX(0,$G1087*SIN(RADIANS('13_시나리오비교'!$B$10))*SIN(RADIANS('13_시나리오비교'!$C$10))+$H1087*SIN(RADIANS('13_시나리오비교'!$B$10))*COS(RADIANS('13_시나리오비교'!$C$10))+$I1087*COS(RADIANS('13_시나리오비교'!$B$10))),0)</f>
        <v/>
      </c>
      <c r="V1087" s="80">
        <f>IF($I1087&gt;0,MAX(0,$G1087*SIN(RADIANS('13_시나리오비교'!$B$11))*SIN(RADIANS('13_시나리오비교'!$C$11))+$H1087*SIN(RADIANS('13_시나리오비교'!$B$11))*COS(RADIANS('13_시나리오비교'!$C$11))+$I1087*COS(RADIANS('13_시나리오비교'!$B$11))),0)</f>
        <v/>
      </c>
      <c r="W1087" s="80">
        <f>IF($I1087&gt;0,MAX(0,$G1087*SIN(RADIANS('13_시나리오비교'!$B$12))*SIN(RADIANS('13_시나리오비교'!$C$12))+$H1087*SIN(RADIANS('13_시나리오비교'!$B$12))*COS(RADIANS('13_시나리오비교'!$C$12))+$I1087*COS(RADIANS('13_시나리오비교'!$B$12))),0)</f>
        <v/>
      </c>
      <c r="X1087" s="80">
        <f>IF($I1087&gt;0,MAX(0,$G1087*SIN(RADIANS('13_시나리오비교'!$B$13))*SIN(RADIANS('13_시나리오비교'!$C$13))+$H1087*SIN(RADIANS('13_시나리오비교'!$B$13))*COS(RADIANS('13_시나리오비교'!$C$13))+$I1087*COS(RADIANS('13_시나리오비교'!$B$13))),0)</f>
        <v/>
      </c>
      <c r="Y1087" s="80">
        <f>IF($I1087&gt;0,MAX(0,$G1087*SIN(RADIANS('13_시나리오비교'!$B$14))*SIN(RADIANS('13_시나리오비교'!$C$14))+$H1087*SIN(RADIANS('13_시나리오비교'!$B$14))*COS(RADIANS('13_시나리오비교'!$C$14))+$I1087*COS(RADIANS('13_시나리오비교'!$B$14))),0)</f>
        <v/>
      </c>
    </row>
    <row r="1088" hidden="1" outlineLevel="1">
      <c r="A1088" s="79" t="n">
        <v>12</v>
      </c>
      <c r="B1088" s="79" t="n">
        <v>12</v>
      </c>
      <c r="C1088" s="80">
        <f>(B1088-0.5)*'14_지역·상수'!$H$6</f>
        <v/>
      </c>
      <c r="D1088" s="79" t="n">
        <v>344</v>
      </c>
      <c r="E1088" s="80">
        <f>INDEX($C$4:$C$15,MATCH(A1088,$A$4:$A$15,0))</f>
        <v/>
      </c>
      <c r="F1088" s="80">
        <f>15*(C1088-12)</f>
        <v/>
      </c>
      <c r="G1088" s="80">
        <f>-COS(RADIANS(E1088))*SIN(RADIANS(F1088))</f>
        <v/>
      </c>
      <c r="H1088" s="80">
        <f>COS(RADIANS('11_발전량_모델'!$B$17))*SIN(RADIANS(E1088))-SIN(RADIANS('11_발전량_모델'!$B$17))*COS(RADIANS(E1088))*COS(RADIANS(F1088))</f>
        <v/>
      </c>
      <c r="I1088" s="80">
        <f>SIN(RADIANS('11_발전량_모델'!$B$17))*SIN(RADIANS(E1088))+COS(RADIANS('11_발전량_모델'!$B$17))*COS(RADIANS(E1088))*COS(RADIANS(F1088))</f>
        <v/>
      </c>
      <c r="J1088" s="80">
        <f>SIN(RADIANS('11_발전량_모델'!$B$7))*SIN(RADIANS('11_발전량_모델'!$B$8))</f>
        <v/>
      </c>
      <c r="K1088" s="80">
        <f>SIN(RADIANS('11_발전량_모델'!$B$7))*COS(RADIANS('11_발전량_모델'!$B$8))</f>
        <v/>
      </c>
      <c r="L1088" s="80">
        <f>COS(RADIANS('11_발전량_모델'!$B$7))</f>
        <v/>
      </c>
      <c r="M1088" s="80">
        <f>G1088*J1088+H1088*K1088+I1088*L1088</f>
        <v/>
      </c>
      <c r="N1088" s="80">
        <f>MAX(0,I1088)</f>
        <v/>
      </c>
      <c r="O1088" s="80">
        <f>IF(I1088&gt;0,MAX(0,M1088),0)</f>
        <v/>
      </c>
      <c r="P1088" s="80">
        <f>IF($I1088&gt;0,MAX(0,$G1088*SIN(RADIANS('13_시나리오비교'!$B$5))*SIN(RADIANS('13_시나리오비교'!$C$5))+$H1088*SIN(RADIANS('13_시나리오비교'!$B$5))*COS(RADIANS('13_시나리오비교'!$C$5))+$I1088*COS(RADIANS('13_시나리오비교'!$B$5))),0)</f>
        <v/>
      </c>
      <c r="Q1088" s="80">
        <f>IF($I1088&gt;0,MAX(0,$G1088*SIN(RADIANS('13_시나리오비교'!$B$6))*SIN(RADIANS('13_시나리오비교'!$C$6))+$H1088*SIN(RADIANS('13_시나리오비교'!$B$6))*COS(RADIANS('13_시나리오비교'!$C$6))+$I1088*COS(RADIANS('13_시나리오비교'!$B$6))),0)</f>
        <v/>
      </c>
      <c r="R1088" s="80">
        <f>IF($I1088&gt;0,MAX(0,$G1088*SIN(RADIANS('13_시나리오비교'!$B$7))*SIN(RADIANS('13_시나리오비교'!$C$7))+$H1088*SIN(RADIANS('13_시나리오비교'!$B$7))*COS(RADIANS('13_시나리오비교'!$C$7))+$I1088*COS(RADIANS('13_시나리오비교'!$B$7))),0)</f>
        <v/>
      </c>
      <c r="S1088" s="80">
        <f>IF($I1088&gt;0,MAX(0,$G1088*SIN(RADIANS('13_시나리오비교'!$B$8))*SIN(RADIANS('13_시나리오비교'!$C$8))+$H1088*SIN(RADIANS('13_시나리오비교'!$B$8))*COS(RADIANS('13_시나리오비교'!$C$8))+$I1088*COS(RADIANS('13_시나리오비교'!$B$8))),0)</f>
        <v/>
      </c>
      <c r="T1088" s="80">
        <f>IF($I1088&gt;0,MAX(0,$G1088*SIN(RADIANS('13_시나리오비교'!$B$9))*SIN(RADIANS('13_시나리오비교'!$C$9))+$H1088*SIN(RADIANS('13_시나리오비교'!$B$9))*COS(RADIANS('13_시나리오비교'!$C$9))+$I1088*COS(RADIANS('13_시나리오비교'!$B$9))),0)</f>
        <v/>
      </c>
      <c r="U1088" s="80">
        <f>IF($I1088&gt;0,MAX(0,$G1088*SIN(RADIANS('13_시나리오비교'!$B$10))*SIN(RADIANS('13_시나리오비교'!$C$10))+$H1088*SIN(RADIANS('13_시나리오비교'!$B$10))*COS(RADIANS('13_시나리오비교'!$C$10))+$I1088*COS(RADIANS('13_시나리오비교'!$B$10))),0)</f>
        <v/>
      </c>
      <c r="V1088" s="80">
        <f>IF($I1088&gt;0,MAX(0,$G1088*SIN(RADIANS('13_시나리오비교'!$B$11))*SIN(RADIANS('13_시나리오비교'!$C$11))+$H1088*SIN(RADIANS('13_시나리오비교'!$B$11))*COS(RADIANS('13_시나리오비교'!$C$11))+$I1088*COS(RADIANS('13_시나리오비교'!$B$11))),0)</f>
        <v/>
      </c>
      <c r="W1088" s="80">
        <f>IF($I1088&gt;0,MAX(0,$G1088*SIN(RADIANS('13_시나리오비교'!$B$12))*SIN(RADIANS('13_시나리오비교'!$C$12))+$H1088*SIN(RADIANS('13_시나리오비교'!$B$12))*COS(RADIANS('13_시나리오비교'!$C$12))+$I1088*COS(RADIANS('13_시나리오비교'!$B$12))),0)</f>
        <v/>
      </c>
      <c r="X1088" s="80">
        <f>IF($I1088&gt;0,MAX(0,$G1088*SIN(RADIANS('13_시나리오비교'!$B$13))*SIN(RADIANS('13_시나리오비교'!$C$13))+$H1088*SIN(RADIANS('13_시나리오비교'!$B$13))*COS(RADIANS('13_시나리오비교'!$C$13))+$I1088*COS(RADIANS('13_시나리오비교'!$B$13))),0)</f>
        <v/>
      </c>
      <c r="Y1088" s="80">
        <f>IF($I1088&gt;0,MAX(0,$G1088*SIN(RADIANS('13_시나리오비교'!$B$14))*SIN(RADIANS('13_시나리오비교'!$C$14))+$H1088*SIN(RADIANS('13_시나리오비교'!$B$14))*COS(RADIANS('13_시나리오비교'!$C$14))+$I1088*COS(RADIANS('13_시나리오비교'!$B$14))),0)</f>
        <v/>
      </c>
    </row>
    <row r="1089" hidden="1" outlineLevel="1">
      <c r="A1089" s="79" t="n">
        <v>12</v>
      </c>
      <c r="B1089" s="79" t="n">
        <v>13</v>
      </c>
      <c r="C1089" s="80">
        <f>(B1089-0.5)*'14_지역·상수'!$H$6</f>
        <v/>
      </c>
      <c r="D1089" s="79" t="n">
        <v>344</v>
      </c>
      <c r="E1089" s="80">
        <f>INDEX($C$4:$C$15,MATCH(A1089,$A$4:$A$15,0))</f>
        <v/>
      </c>
      <c r="F1089" s="80">
        <f>15*(C1089-12)</f>
        <v/>
      </c>
      <c r="G1089" s="80">
        <f>-COS(RADIANS(E1089))*SIN(RADIANS(F1089))</f>
        <v/>
      </c>
      <c r="H1089" s="80">
        <f>COS(RADIANS('11_발전량_모델'!$B$17))*SIN(RADIANS(E1089))-SIN(RADIANS('11_발전량_모델'!$B$17))*COS(RADIANS(E1089))*COS(RADIANS(F1089))</f>
        <v/>
      </c>
      <c r="I1089" s="80">
        <f>SIN(RADIANS('11_발전량_모델'!$B$17))*SIN(RADIANS(E1089))+COS(RADIANS('11_발전량_모델'!$B$17))*COS(RADIANS(E1089))*COS(RADIANS(F1089))</f>
        <v/>
      </c>
      <c r="J1089" s="80">
        <f>SIN(RADIANS('11_발전량_모델'!$B$7))*SIN(RADIANS('11_발전량_모델'!$B$8))</f>
        <v/>
      </c>
      <c r="K1089" s="80">
        <f>SIN(RADIANS('11_발전량_모델'!$B$7))*COS(RADIANS('11_발전량_모델'!$B$8))</f>
        <v/>
      </c>
      <c r="L1089" s="80">
        <f>COS(RADIANS('11_발전량_모델'!$B$7))</f>
        <v/>
      </c>
      <c r="M1089" s="80">
        <f>G1089*J1089+H1089*K1089+I1089*L1089</f>
        <v/>
      </c>
      <c r="N1089" s="80">
        <f>MAX(0,I1089)</f>
        <v/>
      </c>
      <c r="O1089" s="80">
        <f>IF(I1089&gt;0,MAX(0,M1089),0)</f>
        <v/>
      </c>
      <c r="P1089" s="80">
        <f>IF($I1089&gt;0,MAX(0,$G1089*SIN(RADIANS('13_시나리오비교'!$B$5))*SIN(RADIANS('13_시나리오비교'!$C$5))+$H1089*SIN(RADIANS('13_시나리오비교'!$B$5))*COS(RADIANS('13_시나리오비교'!$C$5))+$I1089*COS(RADIANS('13_시나리오비교'!$B$5))),0)</f>
        <v/>
      </c>
      <c r="Q1089" s="80">
        <f>IF($I1089&gt;0,MAX(0,$G1089*SIN(RADIANS('13_시나리오비교'!$B$6))*SIN(RADIANS('13_시나리오비교'!$C$6))+$H1089*SIN(RADIANS('13_시나리오비교'!$B$6))*COS(RADIANS('13_시나리오비교'!$C$6))+$I1089*COS(RADIANS('13_시나리오비교'!$B$6))),0)</f>
        <v/>
      </c>
      <c r="R1089" s="80">
        <f>IF($I1089&gt;0,MAX(0,$G1089*SIN(RADIANS('13_시나리오비교'!$B$7))*SIN(RADIANS('13_시나리오비교'!$C$7))+$H1089*SIN(RADIANS('13_시나리오비교'!$B$7))*COS(RADIANS('13_시나리오비교'!$C$7))+$I1089*COS(RADIANS('13_시나리오비교'!$B$7))),0)</f>
        <v/>
      </c>
      <c r="S1089" s="80">
        <f>IF($I1089&gt;0,MAX(0,$G1089*SIN(RADIANS('13_시나리오비교'!$B$8))*SIN(RADIANS('13_시나리오비교'!$C$8))+$H1089*SIN(RADIANS('13_시나리오비교'!$B$8))*COS(RADIANS('13_시나리오비교'!$C$8))+$I1089*COS(RADIANS('13_시나리오비교'!$B$8))),0)</f>
        <v/>
      </c>
      <c r="T1089" s="80">
        <f>IF($I1089&gt;0,MAX(0,$G1089*SIN(RADIANS('13_시나리오비교'!$B$9))*SIN(RADIANS('13_시나리오비교'!$C$9))+$H1089*SIN(RADIANS('13_시나리오비교'!$B$9))*COS(RADIANS('13_시나리오비교'!$C$9))+$I1089*COS(RADIANS('13_시나리오비교'!$B$9))),0)</f>
        <v/>
      </c>
      <c r="U1089" s="80">
        <f>IF($I1089&gt;0,MAX(0,$G1089*SIN(RADIANS('13_시나리오비교'!$B$10))*SIN(RADIANS('13_시나리오비교'!$C$10))+$H1089*SIN(RADIANS('13_시나리오비교'!$B$10))*COS(RADIANS('13_시나리오비교'!$C$10))+$I1089*COS(RADIANS('13_시나리오비교'!$B$10))),0)</f>
        <v/>
      </c>
      <c r="V1089" s="80">
        <f>IF($I1089&gt;0,MAX(0,$G1089*SIN(RADIANS('13_시나리오비교'!$B$11))*SIN(RADIANS('13_시나리오비교'!$C$11))+$H1089*SIN(RADIANS('13_시나리오비교'!$B$11))*COS(RADIANS('13_시나리오비교'!$C$11))+$I1089*COS(RADIANS('13_시나리오비교'!$B$11))),0)</f>
        <v/>
      </c>
      <c r="W1089" s="80">
        <f>IF($I1089&gt;0,MAX(0,$G1089*SIN(RADIANS('13_시나리오비교'!$B$12))*SIN(RADIANS('13_시나리오비교'!$C$12))+$H1089*SIN(RADIANS('13_시나리오비교'!$B$12))*COS(RADIANS('13_시나리오비교'!$C$12))+$I1089*COS(RADIANS('13_시나리오비교'!$B$12))),0)</f>
        <v/>
      </c>
      <c r="X1089" s="80">
        <f>IF($I1089&gt;0,MAX(0,$G1089*SIN(RADIANS('13_시나리오비교'!$B$13))*SIN(RADIANS('13_시나리오비교'!$C$13))+$H1089*SIN(RADIANS('13_시나리오비교'!$B$13))*COS(RADIANS('13_시나리오비교'!$C$13))+$I1089*COS(RADIANS('13_시나리오비교'!$B$13))),0)</f>
        <v/>
      </c>
      <c r="Y1089" s="80">
        <f>IF($I1089&gt;0,MAX(0,$G1089*SIN(RADIANS('13_시나리오비교'!$B$14))*SIN(RADIANS('13_시나리오비교'!$C$14))+$H1089*SIN(RADIANS('13_시나리오비교'!$B$14))*COS(RADIANS('13_시나리오비교'!$C$14))+$I1089*COS(RADIANS('13_시나리오비교'!$B$14))),0)</f>
        <v/>
      </c>
    </row>
    <row r="1090" hidden="1" outlineLevel="1">
      <c r="A1090" s="79" t="n">
        <v>12</v>
      </c>
      <c r="B1090" s="79" t="n">
        <v>14</v>
      </c>
      <c r="C1090" s="80">
        <f>(B1090-0.5)*'14_지역·상수'!$H$6</f>
        <v/>
      </c>
      <c r="D1090" s="79" t="n">
        <v>344</v>
      </c>
      <c r="E1090" s="80">
        <f>INDEX($C$4:$C$15,MATCH(A1090,$A$4:$A$15,0))</f>
        <v/>
      </c>
      <c r="F1090" s="80">
        <f>15*(C1090-12)</f>
        <v/>
      </c>
      <c r="G1090" s="80">
        <f>-COS(RADIANS(E1090))*SIN(RADIANS(F1090))</f>
        <v/>
      </c>
      <c r="H1090" s="80">
        <f>COS(RADIANS('11_발전량_모델'!$B$17))*SIN(RADIANS(E1090))-SIN(RADIANS('11_발전량_모델'!$B$17))*COS(RADIANS(E1090))*COS(RADIANS(F1090))</f>
        <v/>
      </c>
      <c r="I1090" s="80">
        <f>SIN(RADIANS('11_발전량_모델'!$B$17))*SIN(RADIANS(E1090))+COS(RADIANS('11_발전량_모델'!$B$17))*COS(RADIANS(E1090))*COS(RADIANS(F1090))</f>
        <v/>
      </c>
      <c r="J1090" s="80">
        <f>SIN(RADIANS('11_발전량_모델'!$B$7))*SIN(RADIANS('11_발전량_모델'!$B$8))</f>
        <v/>
      </c>
      <c r="K1090" s="80">
        <f>SIN(RADIANS('11_발전량_모델'!$B$7))*COS(RADIANS('11_발전량_모델'!$B$8))</f>
        <v/>
      </c>
      <c r="L1090" s="80">
        <f>COS(RADIANS('11_발전량_모델'!$B$7))</f>
        <v/>
      </c>
      <c r="M1090" s="80">
        <f>G1090*J1090+H1090*K1090+I1090*L1090</f>
        <v/>
      </c>
      <c r="N1090" s="80">
        <f>MAX(0,I1090)</f>
        <v/>
      </c>
      <c r="O1090" s="80">
        <f>IF(I1090&gt;0,MAX(0,M1090),0)</f>
        <v/>
      </c>
      <c r="P1090" s="80">
        <f>IF($I1090&gt;0,MAX(0,$G1090*SIN(RADIANS('13_시나리오비교'!$B$5))*SIN(RADIANS('13_시나리오비교'!$C$5))+$H1090*SIN(RADIANS('13_시나리오비교'!$B$5))*COS(RADIANS('13_시나리오비교'!$C$5))+$I1090*COS(RADIANS('13_시나리오비교'!$B$5))),0)</f>
        <v/>
      </c>
      <c r="Q1090" s="80">
        <f>IF($I1090&gt;0,MAX(0,$G1090*SIN(RADIANS('13_시나리오비교'!$B$6))*SIN(RADIANS('13_시나리오비교'!$C$6))+$H1090*SIN(RADIANS('13_시나리오비교'!$B$6))*COS(RADIANS('13_시나리오비교'!$C$6))+$I1090*COS(RADIANS('13_시나리오비교'!$B$6))),0)</f>
        <v/>
      </c>
      <c r="R1090" s="80">
        <f>IF($I1090&gt;0,MAX(0,$G1090*SIN(RADIANS('13_시나리오비교'!$B$7))*SIN(RADIANS('13_시나리오비교'!$C$7))+$H1090*SIN(RADIANS('13_시나리오비교'!$B$7))*COS(RADIANS('13_시나리오비교'!$C$7))+$I1090*COS(RADIANS('13_시나리오비교'!$B$7))),0)</f>
        <v/>
      </c>
      <c r="S1090" s="80">
        <f>IF($I1090&gt;0,MAX(0,$G1090*SIN(RADIANS('13_시나리오비교'!$B$8))*SIN(RADIANS('13_시나리오비교'!$C$8))+$H1090*SIN(RADIANS('13_시나리오비교'!$B$8))*COS(RADIANS('13_시나리오비교'!$C$8))+$I1090*COS(RADIANS('13_시나리오비교'!$B$8))),0)</f>
        <v/>
      </c>
      <c r="T1090" s="80">
        <f>IF($I1090&gt;0,MAX(0,$G1090*SIN(RADIANS('13_시나리오비교'!$B$9))*SIN(RADIANS('13_시나리오비교'!$C$9))+$H1090*SIN(RADIANS('13_시나리오비교'!$B$9))*COS(RADIANS('13_시나리오비교'!$C$9))+$I1090*COS(RADIANS('13_시나리오비교'!$B$9))),0)</f>
        <v/>
      </c>
      <c r="U1090" s="80">
        <f>IF($I1090&gt;0,MAX(0,$G1090*SIN(RADIANS('13_시나리오비교'!$B$10))*SIN(RADIANS('13_시나리오비교'!$C$10))+$H1090*SIN(RADIANS('13_시나리오비교'!$B$10))*COS(RADIANS('13_시나리오비교'!$C$10))+$I1090*COS(RADIANS('13_시나리오비교'!$B$10))),0)</f>
        <v/>
      </c>
      <c r="V1090" s="80">
        <f>IF($I1090&gt;0,MAX(0,$G1090*SIN(RADIANS('13_시나리오비교'!$B$11))*SIN(RADIANS('13_시나리오비교'!$C$11))+$H1090*SIN(RADIANS('13_시나리오비교'!$B$11))*COS(RADIANS('13_시나리오비교'!$C$11))+$I1090*COS(RADIANS('13_시나리오비교'!$B$11))),0)</f>
        <v/>
      </c>
      <c r="W1090" s="80">
        <f>IF($I1090&gt;0,MAX(0,$G1090*SIN(RADIANS('13_시나리오비교'!$B$12))*SIN(RADIANS('13_시나리오비교'!$C$12))+$H1090*SIN(RADIANS('13_시나리오비교'!$B$12))*COS(RADIANS('13_시나리오비교'!$C$12))+$I1090*COS(RADIANS('13_시나리오비교'!$B$12))),0)</f>
        <v/>
      </c>
      <c r="X1090" s="80">
        <f>IF($I1090&gt;0,MAX(0,$G1090*SIN(RADIANS('13_시나리오비교'!$B$13))*SIN(RADIANS('13_시나리오비교'!$C$13))+$H1090*SIN(RADIANS('13_시나리오비교'!$B$13))*COS(RADIANS('13_시나리오비교'!$C$13))+$I1090*COS(RADIANS('13_시나리오비교'!$B$13))),0)</f>
        <v/>
      </c>
      <c r="Y1090" s="80">
        <f>IF($I1090&gt;0,MAX(0,$G1090*SIN(RADIANS('13_시나리오비교'!$B$14))*SIN(RADIANS('13_시나리오비교'!$C$14))+$H1090*SIN(RADIANS('13_시나리오비교'!$B$14))*COS(RADIANS('13_시나리오비교'!$C$14))+$I1090*COS(RADIANS('13_시나리오비교'!$B$14))),0)</f>
        <v/>
      </c>
    </row>
    <row r="1091" hidden="1" outlineLevel="1">
      <c r="A1091" s="79" t="n">
        <v>12</v>
      </c>
      <c r="B1091" s="79" t="n">
        <v>15</v>
      </c>
      <c r="C1091" s="80">
        <f>(B1091-0.5)*'14_지역·상수'!$H$6</f>
        <v/>
      </c>
      <c r="D1091" s="79" t="n">
        <v>344</v>
      </c>
      <c r="E1091" s="80">
        <f>INDEX($C$4:$C$15,MATCH(A1091,$A$4:$A$15,0))</f>
        <v/>
      </c>
      <c r="F1091" s="80">
        <f>15*(C1091-12)</f>
        <v/>
      </c>
      <c r="G1091" s="80">
        <f>-COS(RADIANS(E1091))*SIN(RADIANS(F1091))</f>
        <v/>
      </c>
      <c r="H1091" s="80">
        <f>COS(RADIANS('11_발전량_모델'!$B$17))*SIN(RADIANS(E1091))-SIN(RADIANS('11_발전량_모델'!$B$17))*COS(RADIANS(E1091))*COS(RADIANS(F1091))</f>
        <v/>
      </c>
      <c r="I1091" s="80">
        <f>SIN(RADIANS('11_발전량_모델'!$B$17))*SIN(RADIANS(E1091))+COS(RADIANS('11_발전량_모델'!$B$17))*COS(RADIANS(E1091))*COS(RADIANS(F1091))</f>
        <v/>
      </c>
      <c r="J1091" s="80">
        <f>SIN(RADIANS('11_발전량_모델'!$B$7))*SIN(RADIANS('11_발전량_모델'!$B$8))</f>
        <v/>
      </c>
      <c r="K1091" s="80">
        <f>SIN(RADIANS('11_발전량_모델'!$B$7))*COS(RADIANS('11_발전량_모델'!$B$8))</f>
        <v/>
      </c>
      <c r="L1091" s="80">
        <f>COS(RADIANS('11_발전량_모델'!$B$7))</f>
        <v/>
      </c>
      <c r="M1091" s="80">
        <f>G1091*J1091+H1091*K1091+I1091*L1091</f>
        <v/>
      </c>
      <c r="N1091" s="80">
        <f>MAX(0,I1091)</f>
        <v/>
      </c>
      <c r="O1091" s="80">
        <f>IF(I1091&gt;0,MAX(0,M1091),0)</f>
        <v/>
      </c>
      <c r="P1091" s="80">
        <f>IF($I1091&gt;0,MAX(0,$G1091*SIN(RADIANS('13_시나리오비교'!$B$5))*SIN(RADIANS('13_시나리오비교'!$C$5))+$H1091*SIN(RADIANS('13_시나리오비교'!$B$5))*COS(RADIANS('13_시나리오비교'!$C$5))+$I1091*COS(RADIANS('13_시나리오비교'!$B$5))),0)</f>
        <v/>
      </c>
      <c r="Q1091" s="80">
        <f>IF($I1091&gt;0,MAX(0,$G1091*SIN(RADIANS('13_시나리오비교'!$B$6))*SIN(RADIANS('13_시나리오비교'!$C$6))+$H1091*SIN(RADIANS('13_시나리오비교'!$B$6))*COS(RADIANS('13_시나리오비교'!$C$6))+$I1091*COS(RADIANS('13_시나리오비교'!$B$6))),0)</f>
        <v/>
      </c>
      <c r="R1091" s="80">
        <f>IF($I1091&gt;0,MAX(0,$G1091*SIN(RADIANS('13_시나리오비교'!$B$7))*SIN(RADIANS('13_시나리오비교'!$C$7))+$H1091*SIN(RADIANS('13_시나리오비교'!$B$7))*COS(RADIANS('13_시나리오비교'!$C$7))+$I1091*COS(RADIANS('13_시나리오비교'!$B$7))),0)</f>
        <v/>
      </c>
      <c r="S1091" s="80">
        <f>IF($I1091&gt;0,MAX(0,$G1091*SIN(RADIANS('13_시나리오비교'!$B$8))*SIN(RADIANS('13_시나리오비교'!$C$8))+$H1091*SIN(RADIANS('13_시나리오비교'!$B$8))*COS(RADIANS('13_시나리오비교'!$C$8))+$I1091*COS(RADIANS('13_시나리오비교'!$B$8))),0)</f>
        <v/>
      </c>
      <c r="T1091" s="80">
        <f>IF($I1091&gt;0,MAX(0,$G1091*SIN(RADIANS('13_시나리오비교'!$B$9))*SIN(RADIANS('13_시나리오비교'!$C$9))+$H1091*SIN(RADIANS('13_시나리오비교'!$B$9))*COS(RADIANS('13_시나리오비교'!$C$9))+$I1091*COS(RADIANS('13_시나리오비교'!$B$9))),0)</f>
        <v/>
      </c>
      <c r="U1091" s="80">
        <f>IF($I1091&gt;0,MAX(0,$G1091*SIN(RADIANS('13_시나리오비교'!$B$10))*SIN(RADIANS('13_시나리오비교'!$C$10))+$H1091*SIN(RADIANS('13_시나리오비교'!$B$10))*COS(RADIANS('13_시나리오비교'!$C$10))+$I1091*COS(RADIANS('13_시나리오비교'!$B$10))),0)</f>
        <v/>
      </c>
      <c r="V1091" s="80">
        <f>IF($I1091&gt;0,MAX(0,$G1091*SIN(RADIANS('13_시나리오비교'!$B$11))*SIN(RADIANS('13_시나리오비교'!$C$11))+$H1091*SIN(RADIANS('13_시나리오비교'!$B$11))*COS(RADIANS('13_시나리오비교'!$C$11))+$I1091*COS(RADIANS('13_시나리오비교'!$B$11))),0)</f>
        <v/>
      </c>
      <c r="W1091" s="80">
        <f>IF($I1091&gt;0,MAX(0,$G1091*SIN(RADIANS('13_시나리오비교'!$B$12))*SIN(RADIANS('13_시나리오비교'!$C$12))+$H1091*SIN(RADIANS('13_시나리오비교'!$B$12))*COS(RADIANS('13_시나리오비교'!$C$12))+$I1091*COS(RADIANS('13_시나리오비교'!$B$12))),0)</f>
        <v/>
      </c>
      <c r="X1091" s="80">
        <f>IF($I1091&gt;0,MAX(0,$G1091*SIN(RADIANS('13_시나리오비교'!$B$13))*SIN(RADIANS('13_시나리오비교'!$C$13))+$H1091*SIN(RADIANS('13_시나리오비교'!$B$13))*COS(RADIANS('13_시나리오비교'!$C$13))+$I1091*COS(RADIANS('13_시나리오비교'!$B$13))),0)</f>
        <v/>
      </c>
      <c r="Y1091" s="80">
        <f>IF($I1091&gt;0,MAX(0,$G1091*SIN(RADIANS('13_시나리오비교'!$B$14))*SIN(RADIANS('13_시나리오비교'!$C$14))+$H1091*SIN(RADIANS('13_시나리오비교'!$B$14))*COS(RADIANS('13_시나리오비교'!$C$14))+$I1091*COS(RADIANS('13_시나리오비교'!$B$14))),0)</f>
        <v/>
      </c>
    </row>
    <row r="1092" hidden="1" outlineLevel="1">
      <c r="A1092" s="79" t="n">
        <v>12</v>
      </c>
      <c r="B1092" s="79" t="n">
        <v>16</v>
      </c>
      <c r="C1092" s="80">
        <f>(B1092-0.5)*'14_지역·상수'!$H$6</f>
        <v/>
      </c>
      <c r="D1092" s="79" t="n">
        <v>344</v>
      </c>
      <c r="E1092" s="80">
        <f>INDEX($C$4:$C$15,MATCH(A1092,$A$4:$A$15,0))</f>
        <v/>
      </c>
      <c r="F1092" s="80">
        <f>15*(C1092-12)</f>
        <v/>
      </c>
      <c r="G1092" s="80">
        <f>-COS(RADIANS(E1092))*SIN(RADIANS(F1092))</f>
        <v/>
      </c>
      <c r="H1092" s="80">
        <f>COS(RADIANS('11_발전량_모델'!$B$17))*SIN(RADIANS(E1092))-SIN(RADIANS('11_발전량_모델'!$B$17))*COS(RADIANS(E1092))*COS(RADIANS(F1092))</f>
        <v/>
      </c>
      <c r="I1092" s="80">
        <f>SIN(RADIANS('11_발전량_모델'!$B$17))*SIN(RADIANS(E1092))+COS(RADIANS('11_발전량_모델'!$B$17))*COS(RADIANS(E1092))*COS(RADIANS(F1092))</f>
        <v/>
      </c>
      <c r="J1092" s="80">
        <f>SIN(RADIANS('11_발전량_모델'!$B$7))*SIN(RADIANS('11_발전량_모델'!$B$8))</f>
        <v/>
      </c>
      <c r="K1092" s="80">
        <f>SIN(RADIANS('11_발전량_모델'!$B$7))*COS(RADIANS('11_발전량_모델'!$B$8))</f>
        <v/>
      </c>
      <c r="L1092" s="80">
        <f>COS(RADIANS('11_발전량_모델'!$B$7))</f>
        <v/>
      </c>
      <c r="M1092" s="80">
        <f>G1092*J1092+H1092*K1092+I1092*L1092</f>
        <v/>
      </c>
      <c r="N1092" s="80">
        <f>MAX(0,I1092)</f>
        <v/>
      </c>
      <c r="O1092" s="80">
        <f>IF(I1092&gt;0,MAX(0,M1092),0)</f>
        <v/>
      </c>
      <c r="P1092" s="80">
        <f>IF($I1092&gt;0,MAX(0,$G1092*SIN(RADIANS('13_시나리오비교'!$B$5))*SIN(RADIANS('13_시나리오비교'!$C$5))+$H1092*SIN(RADIANS('13_시나리오비교'!$B$5))*COS(RADIANS('13_시나리오비교'!$C$5))+$I1092*COS(RADIANS('13_시나리오비교'!$B$5))),0)</f>
        <v/>
      </c>
      <c r="Q1092" s="80">
        <f>IF($I1092&gt;0,MAX(0,$G1092*SIN(RADIANS('13_시나리오비교'!$B$6))*SIN(RADIANS('13_시나리오비교'!$C$6))+$H1092*SIN(RADIANS('13_시나리오비교'!$B$6))*COS(RADIANS('13_시나리오비교'!$C$6))+$I1092*COS(RADIANS('13_시나리오비교'!$B$6))),0)</f>
        <v/>
      </c>
      <c r="R1092" s="80">
        <f>IF($I1092&gt;0,MAX(0,$G1092*SIN(RADIANS('13_시나리오비교'!$B$7))*SIN(RADIANS('13_시나리오비교'!$C$7))+$H1092*SIN(RADIANS('13_시나리오비교'!$B$7))*COS(RADIANS('13_시나리오비교'!$C$7))+$I1092*COS(RADIANS('13_시나리오비교'!$B$7))),0)</f>
        <v/>
      </c>
      <c r="S1092" s="80">
        <f>IF($I1092&gt;0,MAX(0,$G1092*SIN(RADIANS('13_시나리오비교'!$B$8))*SIN(RADIANS('13_시나리오비교'!$C$8))+$H1092*SIN(RADIANS('13_시나리오비교'!$B$8))*COS(RADIANS('13_시나리오비교'!$C$8))+$I1092*COS(RADIANS('13_시나리오비교'!$B$8))),0)</f>
        <v/>
      </c>
      <c r="T1092" s="80">
        <f>IF($I1092&gt;0,MAX(0,$G1092*SIN(RADIANS('13_시나리오비교'!$B$9))*SIN(RADIANS('13_시나리오비교'!$C$9))+$H1092*SIN(RADIANS('13_시나리오비교'!$B$9))*COS(RADIANS('13_시나리오비교'!$C$9))+$I1092*COS(RADIANS('13_시나리오비교'!$B$9))),0)</f>
        <v/>
      </c>
      <c r="U1092" s="80">
        <f>IF($I1092&gt;0,MAX(0,$G1092*SIN(RADIANS('13_시나리오비교'!$B$10))*SIN(RADIANS('13_시나리오비교'!$C$10))+$H1092*SIN(RADIANS('13_시나리오비교'!$B$10))*COS(RADIANS('13_시나리오비교'!$C$10))+$I1092*COS(RADIANS('13_시나리오비교'!$B$10))),0)</f>
        <v/>
      </c>
      <c r="V1092" s="80">
        <f>IF($I1092&gt;0,MAX(0,$G1092*SIN(RADIANS('13_시나리오비교'!$B$11))*SIN(RADIANS('13_시나리오비교'!$C$11))+$H1092*SIN(RADIANS('13_시나리오비교'!$B$11))*COS(RADIANS('13_시나리오비교'!$C$11))+$I1092*COS(RADIANS('13_시나리오비교'!$B$11))),0)</f>
        <v/>
      </c>
      <c r="W1092" s="80">
        <f>IF($I1092&gt;0,MAX(0,$G1092*SIN(RADIANS('13_시나리오비교'!$B$12))*SIN(RADIANS('13_시나리오비교'!$C$12))+$H1092*SIN(RADIANS('13_시나리오비교'!$B$12))*COS(RADIANS('13_시나리오비교'!$C$12))+$I1092*COS(RADIANS('13_시나리오비교'!$B$12))),0)</f>
        <v/>
      </c>
      <c r="X1092" s="80">
        <f>IF($I1092&gt;0,MAX(0,$G1092*SIN(RADIANS('13_시나리오비교'!$B$13))*SIN(RADIANS('13_시나리오비교'!$C$13))+$H1092*SIN(RADIANS('13_시나리오비교'!$B$13))*COS(RADIANS('13_시나리오비교'!$C$13))+$I1092*COS(RADIANS('13_시나리오비교'!$B$13))),0)</f>
        <v/>
      </c>
      <c r="Y1092" s="80">
        <f>IF($I1092&gt;0,MAX(0,$G1092*SIN(RADIANS('13_시나리오비교'!$B$14))*SIN(RADIANS('13_시나리오비교'!$C$14))+$H1092*SIN(RADIANS('13_시나리오비교'!$B$14))*COS(RADIANS('13_시나리오비교'!$C$14))+$I1092*COS(RADIANS('13_시나리오비교'!$B$14))),0)</f>
        <v/>
      </c>
    </row>
    <row r="1093" hidden="1" outlineLevel="1">
      <c r="A1093" s="79" t="n">
        <v>12</v>
      </c>
      <c r="B1093" s="79" t="n">
        <v>17</v>
      </c>
      <c r="C1093" s="80">
        <f>(B1093-0.5)*'14_지역·상수'!$H$6</f>
        <v/>
      </c>
      <c r="D1093" s="79" t="n">
        <v>344</v>
      </c>
      <c r="E1093" s="80">
        <f>INDEX($C$4:$C$15,MATCH(A1093,$A$4:$A$15,0))</f>
        <v/>
      </c>
      <c r="F1093" s="80">
        <f>15*(C1093-12)</f>
        <v/>
      </c>
      <c r="G1093" s="80">
        <f>-COS(RADIANS(E1093))*SIN(RADIANS(F1093))</f>
        <v/>
      </c>
      <c r="H1093" s="80">
        <f>COS(RADIANS('11_발전량_모델'!$B$17))*SIN(RADIANS(E1093))-SIN(RADIANS('11_발전량_모델'!$B$17))*COS(RADIANS(E1093))*COS(RADIANS(F1093))</f>
        <v/>
      </c>
      <c r="I1093" s="80">
        <f>SIN(RADIANS('11_발전량_모델'!$B$17))*SIN(RADIANS(E1093))+COS(RADIANS('11_발전량_모델'!$B$17))*COS(RADIANS(E1093))*COS(RADIANS(F1093))</f>
        <v/>
      </c>
      <c r="J1093" s="80">
        <f>SIN(RADIANS('11_발전량_모델'!$B$7))*SIN(RADIANS('11_발전량_모델'!$B$8))</f>
        <v/>
      </c>
      <c r="K1093" s="80">
        <f>SIN(RADIANS('11_발전량_모델'!$B$7))*COS(RADIANS('11_발전량_모델'!$B$8))</f>
        <v/>
      </c>
      <c r="L1093" s="80">
        <f>COS(RADIANS('11_발전량_모델'!$B$7))</f>
        <v/>
      </c>
      <c r="M1093" s="80">
        <f>G1093*J1093+H1093*K1093+I1093*L1093</f>
        <v/>
      </c>
      <c r="N1093" s="80">
        <f>MAX(0,I1093)</f>
        <v/>
      </c>
      <c r="O1093" s="80">
        <f>IF(I1093&gt;0,MAX(0,M1093),0)</f>
        <v/>
      </c>
      <c r="P1093" s="80">
        <f>IF($I1093&gt;0,MAX(0,$G1093*SIN(RADIANS('13_시나리오비교'!$B$5))*SIN(RADIANS('13_시나리오비교'!$C$5))+$H1093*SIN(RADIANS('13_시나리오비교'!$B$5))*COS(RADIANS('13_시나리오비교'!$C$5))+$I1093*COS(RADIANS('13_시나리오비교'!$B$5))),0)</f>
        <v/>
      </c>
      <c r="Q1093" s="80">
        <f>IF($I1093&gt;0,MAX(0,$G1093*SIN(RADIANS('13_시나리오비교'!$B$6))*SIN(RADIANS('13_시나리오비교'!$C$6))+$H1093*SIN(RADIANS('13_시나리오비교'!$B$6))*COS(RADIANS('13_시나리오비교'!$C$6))+$I1093*COS(RADIANS('13_시나리오비교'!$B$6))),0)</f>
        <v/>
      </c>
      <c r="R1093" s="80">
        <f>IF($I1093&gt;0,MAX(0,$G1093*SIN(RADIANS('13_시나리오비교'!$B$7))*SIN(RADIANS('13_시나리오비교'!$C$7))+$H1093*SIN(RADIANS('13_시나리오비교'!$B$7))*COS(RADIANS('13_시나리오비교'!$C$7))+$I1093*COS(RADIANS('13_시나리오비교'!$B$7))),0)</f>
        <v/>
      </c>
      <c r="S1093" s="80">
        <f>IF($I1093&gt;0,MAX(0,$G1093*SIN(RADIANS('13_시나리오비교'!$B$8))*SIN(RADIANS('13_시나리오비교'!$C$8))+$H1093*SIN(RADIANS('13_시나리오비교'!$B$8))*COS(RADIANS('13_시나리오비교'!$C$8))+$I1093*COS(RADIANS('13_시나리오비교'!$B$8))),0)</f>
        <v/>
      </c>
      <c r="T1093" s="80">
        <f>IF($I1093&gt;0,MAX(0,$G1093*SIN(RADIANS('13_시나리오비교'!$B$9))*SIN(RADIANS('13_시나리오비교'!$C$9))+$H1093*SIN(RADIANS('13_시나리오비교'!$B$9))*COS(RADIANS('13_시나리오비교'!$C$9))+$I1093*COS(RADIANS('13_시나리오비교'!$B$9))),0)</f>
        <v/>
      </c>
      <c r="U1093" s="80">
        <f>IF($I1093&gt;0,MAX(0,$G1093*SIN(RADIANS('13_시나리오비교'!$B$10))*SIN(RADIANS('13_시나리오비교'!$C$10))+$H1093*SIN(RADIANS('13_시나리오비교'!$B$10))*COS(RADIANS('13_시나리오비교'!$C$10))+$I1093*COS(RADIANS('13_시나리오비교'!$B$10))),0)</f>
        <v/>
      </c>
      <c r="V1093" s="80">
        <f>IF($I1093&gt;0,MAX(0,$G1093*SIN(RADIANS('13_시나리오비교'!$B$11))*SIN(RADIANS('13_시나리오비교'!$C$11))+$H1093*SIN(RADIANS('13_시나리오비교'!$B$11))*COS(RADIANS('13_시나리오비교'!$C$11))+$I1093*COS(RADIANS('13_시나리오비교'!$B$11))),0)</f>
        <v/>
      </c>
      <c r="W1093" s="80">
        <f>IF($I1093&gt;0,MAX(0,$G1093*SIN(RADIANS('13_시나리오비교'!$B$12))*SIN(RADIANS('13_시나리오비교'!$C$12))+$H1093*SIN(RADIANS('13_시나리오비교'!$B$12))*COS(RADIANS('13_시나리오비교'!$C$12))+$I1093*COS(RADIANS('13_시나리오비교'!$B$12))),0)</f>
        <v/>
      </c>
      <c r="X1093" s="80">
        <f>IF($I1093&gt;0,MAX(0,$G1093*SIN(RADIANS('13_시나리오비교'!$B$13))*SIN(RADIANS('13_시나리오비교'!$C$13))+$H1093*SIN(RADIANS('13_시나리오비교'!$B$13))*COS(RADIANS('13_시나리오비교'!$C$13))+$I1093*COS(RADIANS('13_시나리오비교'!$B$13))),0)</f>
        <v/>
      </c>
      <c r="Y1093" s="80">
        <f>IF($I1093&gt;0,MAX(0,$G1093*SIN(RADIANS('13_시나리오비교'!$B$14))*SIN(RADIANS('13_시나리오비교'!$C$14))+$H1093*SIN(RADIANS('13_시나리오비교'!$B$14))*COS(RADIANS('13_시나리오비교'!$C$14))+$I1093*COS(RADIANS('13_시나리오비교'!$B$14))),0)</f>
        <v/>
      </c>
    </row>
    <row r="1094" hidden="1" outlineLevel="1">
      <c r="A1094" s="79" t="n">
        <v>12</v>
      </c>
      <c r="B1094" s="79" t="n">
        <v>18</v>
      </c>
      <c r="C1094" s="80">
        <f>(B1094-0.5)*'14_지역·상수'!$H$6</f>
        <v/>
      </c>
      <c r="D1094" s="79" t="n">
        <v>344</v>
      </c>
      <c r="E1094" s="80">
        <f>INDEX($C$4:$C$15,MATCH(A1094,$A$4:$A$15,0))</f>
        <v/>
      </c>
      <c r="F1094" s="80">
        <f>15*(C1094-12)</f>
        <v/>
      </c>
      <c r="G1094" s="80">
        <f>-COS(RADIANS(E1094))*SIN(RADIANS(F1094))</f>
        <v/>
      </c>
      <c r="H1094" s="80">
        <f>COS(RADIANS('11_발전량_모델'!$B$17))*SIN(RADIANS(E1094))-SIN(RADIANS('11_발전량_모델'!$B$17))*COS(RADIANS(E1094))*COS(RADIANS(F1094))</f>
        <v/>
      </c>
      <c r="I1094" s="80">
        <f>SIN(RADIANS('11_발전량_모델'!$B$17))*SIN(RADIANS(E1094))+COS(RADIANS('11_발전량_모델'!$B$17))*COS(RADIANS(E1094))*COS(RADIANS(F1094))</f>
        <v/>
      </c>
      <c r="J1094" s="80">
        <f>SIN(RADIANS('11_발전량_모델'!$B$7))*SIN(RADIANS('11_발전량_모델'!$B$8))</f>
        <v/>
      </c>
      <c r="K1094" s="80">
        <f>SIN(RADIANS('11_발전량_모델'!$B$7))*COS(RADIANS('11_발전량_모델'!$B$8))</f>
        <v/>
      </c>
      <c r="L1094" s="80">
        <f>COS(RADIANS('11_발전량_모델'!$B$7))</f>
        <v/>
      </c>
      <c r="M1094" s="80">
        <f>G1094*J1094+H1094*K1094+I1094*L1094</f>
        <v/>
      </c>
      <c r="N1094" s="80">
        <f>MAX(0,I1094)</f>
        <v/>
      </c>
      <c r="O1094" s="80">
        <f>IF(I1094&gt;0,MAX(0,M1094),0)</f>
        <v/>
      </c>
      <c r="P1094" s="80">
        <f>IF($I1094&gt;0,MAX(0,$G1094*SIN(RADIANS('13_시나리오비교'!$B$5))*SIN(RADIANS('13_시나리오비교'!$C$5))+$H1094*SIN(RADIANS('13_시나리오비교'!$B$5))*COS(RADIANS('13_시나리오비교'!$C$5))+$I1094*COS(RADIANS('13_시나리오비교'!$B$5))),0)</f>
        <v/>
      </c>
      <c r="Q1094" s="80">
        <f>IF($I1094&gt;0,MAX(0,$G1094*SIN(RADIANS('13_시나리오비교'!$B$6))*SIN(RADIANS('13_시나리오비교'!$C$6))+$H1094*SIN(RADIANS('13_시나리오비교'!$B$6))*COS(RADIANS('13_시나리오비교'!$C$6))+$I1094*COS(RADIANS('13_시나리오비교'!$B$6))),0)</f>
        <v/>
      </c>
      <c r="R1094" s="80">
        <f>IF($I1094&gt;0,MAX(0,$G1094*SIN(RADIANS('13_시나리오비교'!$B$7))*SIN(RADIANS('13_시나리오비교'!$C$7))+$H1094*SIN(RADIANS('13_시나리오비교'!$B$7))*COS(RADIANS('13_시나리오비교'!$C$7))+$I1094*COS(RADIANS('13_시나리오비교'!$B$7))),0)</f>
        <v/>
      </c>
      <c r="S1094" s="80">
        <f>IF($I1094&gt;0,MAX(0,$G1094*SIN(RADIANS('13_시나리오비교'!$B$8))*SIN(RADIANS('13_시나리오비교'!$C$8))+$H1094*SIN(RADIANS('13_시나리오비교'!$B$8))*COS(RADIANS('13_시나리오비교'!$C$8))+$I1094*COS(RADIANS('13_시나리오비교'!$B$8))),0)</f>
        <v/>
      </c>
      <c r="T1094" s="80">
        <f>IF($I1094&gt;0,MAX(0,$G1094*SIN(RADIANS('13_시나리오비교'!$B$9))*SIN(RADIANS('13_시나리오비교'!$C$9))+$H1094*SIN(RADIANS('13_시나리오비교'!$B$9))*COS(RADIANS('13_시나리오비교'!$C$9))+$I1094*COS(RADIANS('13_시나리오비교'!$B$9))),0)</f>
        <v/>
      </c>
      <c r="U1094" s="80">
        <f>IF($I1094&gt;0,MAX(0,$G1094*SIN(RADIANS('13_시나리오비교'!$B$10))*SIN(RADIANS('13_시나리오비교'!$C$10))+$H1094*SIN(RADIANS('13_시나리오비교'!$B$10))*COS(RADIANS('13_시나리오비교'!$C$10))+$I1094*COS(RADIANS('13_시나리오비교'!$B$10))),0)</f>
        <v/>
      </c>
      <c r="V1094" s="80">
        <f>IF($I1094&gt;0,MAX(0,$G1094*SIN(RADIANS('13_시나리오비교'!$B$11))*SIN(RADIANS('13_시나리오비교'!$C$11))+$H1094*SIN(RADIANS('13_시나리오비교'!$B$11))*COS(RADIANS('13_시나리오비교'!$C$11))+$I1094*COS(RADIANS('13_시나리오비교'!$B$11))),0)</f>
        <v/>
      </c>
      <c r="W1094" s="80">
        <f>IF($I1094&gt;0,MAX(0,$G1094*SIN(RADIANS('13_시나리오비교'!$B$12))*SIN(RADIANS('13_시나리오비교'!$C$12))+$H1094*SIN(RADIANS('13_시나리오비교'!$B$12))*COS(RADIANS('13_시나리오비교'!$C$12))+$I1094*COS(RADIANS('13_시나리오비교'!$B$12))),0)</f>
        <v/>
      </c>
      <c r="X1094" s="80">
        <f>IF($I1094&gt;0,MAX(0,$G1094*SIN(RADIANS('13_시나리오비교'!$B$13))*SIN(RADIANS('13_시나리오비교'!$C$13))+$H1094*SIN(RADIANS('13_시나리오비교'!$B$13))*COS(RADIANS('13_시나리오비교'!$C$13))+$I1094*COS(RADIANS('13_시나리오비교'!$B$13))),0)</f>
        <v/>
      </c>
      <c r="Y1094" s="80">
        <f>IF($I1094&gt;0,MAX(0,$G1094*SIN(RADIANS('13_시나리오비교'!$B$14))*SIN(RADIANS('13_시나리오비교'!$C$14))+$H1094*SIN(RADIANS('13_시나리오비교'!$B$14))*COS(RADIANS('13_시나리오비교'!$C$14))+$I1094*COS(RADIANS('13_시나리오비교'!$B$14))),0)</f>
        <v/>
      </c>
    </row>
    <row r="1095" hidden="1" outlineLevel="1">
      <c r="A1095" s="79" t="n">
        <v>12</v>
      </c>
      <c r="B1095" s="79" t="n">
        <v>19</v>
      </c>
      <c r="C1095" s="80">
        <f>(B1095-0.5)*'14_지역·상수'!$H$6</f>
        <v/>
      </c>
      <c r="D1095" s="79" t="n">
        <v>344</v>
      </c>
      <c r="E1095" s="80">
        <f>INDEX($C$4:$C$15,MATCH(A1095,$A$4:$A$15,0))</f>
        <v/>
      </c>
      <c r="F1095" s="80">
        <f>15*(C1095-12)</f>
        <v/>
      </c>
      <c r="G1095" s="80">
        <f>-COS(RADIANS(E1095))*SIN(RADIANS(F1095))</f>
        <v/>
      </c>
      <c r="H1095" s="80">
        <f>COS(RADIANS('11_발전량_모델'!$B$17))*SIN(RADIANS(E1095))-SIN(RADIANS('11_발전량_모델'!$B$17))*COS(RADIANS(E1095))*COS(RADIANS(F1095))</f>
        <v/>
      </c>
      <c r="I1095" s="80">
        <f>SIN(RADIANS('11_발전량_모델'!$B$17))*SIN(RADIANS(E1095))+COS(RADIANS('11_발전량_모델'!$B$17))*COS(RADIANS(E1095))*COS(RADIANS(F1095))</f>
        <v/>
      </c>
      <c r="J1095" s="80">
        <f>SIN(RADIANS('11_발전량_모델'!$B$7))*SIN(RADIANS('11_발전량_모델'!$B$8))</f>
        <v/>
      </c>
      <c r="K1095" s="80">
        <f>SIN(RADIANS('11_발전량_모델'!$B$7))*COS(RADIANS('11_발전량_모델'!$B$8))</f>
        <v/>
      </c>
      <c r="L1095" s="80">
        <f>COS(RADIANS('11_발전량_모델'!$B$7))</f>
        <v/>
      </c>
      <c r="M1095" s="80">
        <f>G1095*J1095+H1095*K1095+I1095*L1095</f>
        <v/>
      </c>
      <c r="N1095" s="80">
        <f>MAX(0,I1095)</f>
        <v/>
      </c>
      <c r="O1095" s="80">
        <f>IF(I1095&gt;0,MAX(0,M1095),0)</f>
        <v/>
      </c>
      <c r="P1095" s="80">
        <f>IF($I1095&gt;0,MAX(0,$G1095*SIN(RADIANS('13_시나리오비교'!$B$5))*SIN(RADIANS('13_시나리오비교'!$C$5))+$H1095*SIN(RADIANS('13_시나리오비교'!$B$5))*COS(RADIANS('13_시나리오비교'!$C$5))+$I1095*COS(RADIANS('13_시나리오비교'!$B$5))),0)</f>
        <v/>
      </c>
      <c r="Q1095" s="80">
        <f>IF($I1095&gt;0,MAX(0,$G1095*SIN(RADIANS('13_시나리오비교'!$B$6))*SIN(RADIANS('13_시나리오비교'!$C$6))+$H1095*SIN(RADIANS('13_시나리오비교'!$B$6))*COS(RADIANS('13_시나리오비교'!$C$6))+$I1095*COS(RADIANS('13_시나리오비교'!$B$6))),0)</f>
        <v/>
      </c>
      <c r="R1095" s="80">
        <f>IF($I1095&gt;0,MAX(0,$G1095*SIN(RADIANS('13_시나리오비교'!$B$7))*SIN(RADIANS('13_시나리오비교'!$C$7))+$H1095*SIN(RADIANS('13_시나리오비교'!$B$7))*COS(RADIANS('13_시나리오비교'!$C$7))+$I1095*COS(RADIANS('13_시나리오비교'!$B$7))),0)</f>
        <v/>
      </c>
      <c r="S1095" s="80">
        <f>IF($I1095&gt;0,MAX(0,$G1095*SIN(RADIANS('13_시나리오비교'!$B$8))*SIN(RADIANS('13_시나리오비교'!$C$8))+$H1095*SIN(RADIANS('13_시나리오비교'!$B$8))*COS(RADIANS('13_시나리오비교'!$C$8))+$I1095*COS(RADIANS('13_시나리오비교'!$B$8))),0)</f>
        <v/>
      </c>
      <c r="T1095" s="80">
        <f>IF($I1095&gt;0,MAX(0,$G1095*SIN(RADIANS('13_시나리오비교'!$B$9))*SIN(RADIANS('13_시나리오비교'!$C$9))+$H1095*SIN(RADIANS('13_시나리오비교'!$B$9))*COS(RADIANS('13_시나리오비교'!$C$9))+$I1095*COS(RADIANS('13_시나리오비교'!$B$9))),0)</f>
        <v/>
      </c>
      <c r="U1095" s="80">
        <f>IF($I1095&gt;0,MAX(0,$G1095*SIN(RADIANS('13_시나리오비교'!$B$10))*SIN(RADIANS('13_시나리오비교'!$C$10))+$H1095*SIN(RADIANS('13_시나리오비교'!$B$10))*COS(RADIANS('13_시나리오비교'!$C$10))+$I1095*COS(RADIANS('13_시나리오비교'!$B$10))),0)</f>
        <v/>
      </c>
      <c r="V1095" s="80">
        <f>IF($I1095&gt;0,MAX(0,$G1095*SIN(RADIANS('13_시나리오비교'!$B$11))*SIN(RADIANS('13_시나리오비교'!$C$11))+$H1095*SIN(RADIANS('13_시나리오비교'!$B$11))*COS(RADIANS('13_시나리오비교'!$C$11))+$I1095*COS(RADIANS('13_시나리오비교'!$B$11))),0)</f>
        <v/>
      </c>
      <c r="W1095" s="80">
        <f>IF($I1095&gt;0,MAX(0,$G1095*SIN(RADIANS('13_시나리오비교'!$B$12))*SIN(RADIANS('13_시나리오비교'!$C$12))+$H1095*SIN(RADIANS('13_시나리오비교'!$B$12))*COS(RADIANS('13_시나리오비교'!$C$12))+$I1095*COS(RADIANS('13_시나리오비교'!$B$12))),0)</f>
        <v/>
      </c>
      <c r="X1095" s="80">
        <f>IF($I1095&gt;0,MAX(0,$G1095*SIN(RADIANS('13_시나리오비교'!$B$13))*SIN(RADIANS('13_시나리오비교'!$C$13))+$H1095*SIN(RADIANS('13_시나리오비교'!$B$13))*COS(RADIANS('13_시나리오비교'!$C$13))+$I1095*COS(RADIANS('13_시나리오비교'!$B$13))),0)</f>
        <v/>
      </c>
      <c r="Y1095" s="80">
        <f>IF($I1095&gt;0,MAX(0,$G1095*SIN(RADIANS('13_시나리오비교'!$B$14))*SIN(RADIANS('13_시나리오비교'!$C$14))+$H1095*SIN(RADIANS('13_시나리오비교'!$B$14))*COS(RADIANS('13_시나리오비교'!$C$14))+$I1095*COS(RADIANS('13_시나리오비교'!$B$14))),0)</f>
        <v/>
      </c>
    </row>
    <row r="1096" hidden="1" outlineLevel="1">
      <c r="A1096" s="79" t="n">
        <v>12</v>
      </c>
      <c r="B1096" s="79" t="n">
        <v>20</v>
      </c>
      <c r="C1096" s="80">
        <f>(B1096-0.5)*'14_지역·상수'!$H$6</f>
        <v/>
      </c>
      <c r="D1096" s="79" t="n">
        <v>344</v>
      </c>
      <c r="E1096" s="80">
        <f>INDEX($C$4:$C$15,MATCH(A1096,$A$4:$A$15,0))</f>
        <v/>
      </c>
      <c r="F1096" s="80">
        <f>15*(C1096-12)</f>
        <v/>
      </c>
      <c r="G1096" s="80">
        <f>-COS(RADIANS(E1096))*SIN(RADIANS(F1096))</f>
        <v/>
      </c>
      <c r="H1096" s="80">
        <f>COS(RADIANS('11_발전량_모델'!$B$17))*SIN(RADIANS(E1096))-SIN(RADIANS('11_발전량_모델'!$B$17))*COS(RADIANS(E1096))*COS(RADIANS(F1096))</f>
        <v/>
      </c>
      <c r="I1096" s="80">
        <f>SIN(RADIANS('11_발전량_모델'!$B$17))*SIN(RADIANS(E1096))+COS(RADIANS('11_발전량_모델'!$B$17))*COS(RADIANS(E1096))*COS(RADIANS(F1096))</f>
        <v/>
      </c>
      <c r="J1096" s="80">
        <f>SIN(RADIANS('11_발전량_모델'!$B$7))*SIN(RADIANS('11_발전량_모델'!$B$8))</f>
        <v/>
      </c>
      <c r="K1096" s="80">
        <f>SIN(RADIANS('11_발전량_모델'!$B$7))*COS(RADIANS('11_발전량_모델'!$B$8))</f>
        <v/>
      </c>
      <c r="L1096" s="80">
        <f>COS(RADIANS('11_발전량_모델'!$B$7))</f>
        <v/>
      </c>
      <c r="M1096" s="80">
        <f>G1096*J1096+H1096*K1096+I1096*L1096</f>
        <v/>
      </c>
      <c r="N1096" s="80">
        <f>MAX(0,I1096)</f>
        <v/>
      </c>
      <c r="O1096" s="80">
        <f>IF(I1096&gt;0,MAX(0,M1096),0)</f>
        <v/>
      </c>
      <c r="P1096" s="80">
        <f>IF($I1096&gt;0,MAX(0,$G1096*SIN(RADIANS('13_시나리오비교'!$B$5))*SIN(RADIANS('13_시나리오비교'!$C$5))+$H1096*SIN(RADIANS('13_시나리오비교'!$B$5))*COS(RADIANS('13_시나리오비교'!$C$5))+$I1096*COS(RADIANS('13_시나리오비교'!$B$5))),0)</f>
        <v/>
      </c>
      <c r="Q1096" s="80">
        <f>IF($I1096&gt;0,MAX(0,$G1096*SIN(RADIANS('13_시나리오비교'!$B$6))*SIN(RADIANS('13_시나리오비교'!$C$6))+$H1096*SIN(RADIANS('13_시나리오비교'!$B$6))*COS(RADIANS('13_시나리오비교'!$C$6))+$I1096*COS(RADIANS('13_시나리오비교'!$B$6))),0)</f>
        <v/>
      </c>
      <c r="R1096" s="80">
        <f>IF($I1096&gt;0,MAX(0,$G1096*SIN(RADIANS('13_시나리오비교'!$B$7))*SIN(RADIANS('13_시나리오비교'!$C$7))+$H1096*SIN(RADIANS('13_시나리오비교'!$B$7))*COS(RADIANS('13_시나리오비교'!$C$7))+$I1096*COS(RADIANS('13_시나리오비교'!$B$7))),0)</f>
        <v/>
      </c>
      <c r="S1096" s="80">
        <f>IF($I1096&gt;0,MAX(0,$G1096*SIN(RADIANS('13_시나리오비교'!$B$8))*SIN(RADIANS('13_시나리오비교'!$C$8))+$H1096*SIN(RADIANS('13_시나리오비교'!$B$8))*COS(RADIANS('13_시나리오비교'!$C$8))+$I1096*COS(RADIANS('13_시나리오비교'!$B$8))),0)</f>
        <v/>
      </c>
      <c r="T1096" s="80">
        <f>IF($I1096&gt;0,MAX(0,$G1096*SIN(RADIANS('13_시나리오비교'!$B$9))*SIN(RADIANS('13_시나리오비교'!$C$9))+$H1096*SIN(RADIANS('13_시나리오비교'!$B$9))*COS(RADIANS('13_시나리오비교'!$C$9))+$I1096*COS(RADIANS('13_시나리오비교'!$B$9))),0)</f>
        <v/>
      </c>
      <c r="U1096" s="80">
        <f>IF($I1096&gt;0,MAX(0,$G1096*SIN(RADIANS('13_시나리오비교'!$B$10))*SIN(RADIANS('13_시나리오비교'!$C$10))+$H1096*SIN(RADIANS('13_시나리오비교'!$B$10))*COS(RADIANS('13_시나리오비교'!$C$10))+$I1096*COS(RADIANS('13_시나리오비교'!$B$10))),0)</f>
        <v/>
      </c>
      <c r="V1096" s="80">
        <f>IF($I1096&gt;0,MAX(0,$G1096*SIN(RADIANS('13_시나리오비교'!$B$11))*SIN(RADIANS('13_시나리오비교'!$C$11))+$H1096*SIN(RADIANS('13_시나리오비교'!$B$11))*COS(RADIANS('13_시나리오비교'!$C$11))+$I1096*COS(RADIANS('13_시나리오비교'!$B$11))),0)</f>
        <v/>
      </c>
      <c r="W1096" s="80">
        <f>IF($I1096&gt;0,MAX(0,$G1096*SIN(RADIANS('13_시나리오비교'!$B$12))*SIN(RADIANS('13_시나리오비교'!$C$12))+$H1096*SIN(RADIANS('13_시나리오비교'!$B$12))*COS(RADIANS('13_시나리오비교'!$C$12))+$I1096*COS(RADIANS('13_시나리오비교'!$B$12))),0)</f>
        <v/>
      </c>
      <c r="X1096" s="80">
        <f>IF($I1096&gt;0,MAX(0,$G1096*SIN(RADIANS('13_시나리오비교'!$B$13))*SIN(RADIANS('13_시나리오비교'!$C$13))+$H1096*SIN(RADIANS('13_시나리오비교'!$B$13))*COS(RADIANS('13_시나리오비교'!$C$13))+$I1096*COS(RADIANS('13_시나리오비교'!$B$13))),0)</f>
        <v/>
      </c>
      <c r="Y1096" s="80">
        <f>IF($I1096&gt;0,MAX(0,$G1096*SIN(RADIANS('13_시나리오비교'!$B$14))*SIN(RADIANS('13_시나리오비교'!$C$14))+$H1096*SIN(RADIANS('13_시나리오비교'!$B$14))*COS(RADIANS('13_시나리오비교'!$C$14))+$I1096*COS(RADIANS('13_시나리오비교'!$B$14))),0)</f>
        <v/>
      </c>
    </row>
    <row r="1097" hidden="1" outlineLevel="1">
      <c r="A1097" s="79" t="n">
        <v>12</v>
      </c>
      <c r="B1097" s="79" t="n">
        <v>21</v>
      </c>
      <c r="C1097" s="80">
        <f>(B1097-0.5)*'14_지역·상수'!$H$6</f>
        <v/>
      </c>
      <c r="D1097" s="79" t="n">
        <v>344</v>
      </c>
      <c r="E1097" s="80">
        <f>INDEX($C$4:$C$15,MATCH(A1097,$A$4:$A$15,0))</f>
        <v/>
      </c>
      <c r="F1097" s="80">
        <f>15*(C1097-12)</f>
        <v/>
      </c>
      <c r="G1097" s="80">
        <f>-COS(RADIANS(E1097))*SIN(RADIANS(F1097))</f>
        <v/>
      </c>
      <c r="H1097" s="80">
        <f>COS(RADIANS('11_발전량_모델'!$B$17))*SIN(RADIANS(E1097))-SIN(RADIANS('11_발전량_모델'!$B$17))*COS(RADIANS(E1097))*COS(RADIANS(F1097))</f>
        <v/>
      </c>
      <c r="I1097" s="80">
        <f>SIN(RADIANS('11_발전량_모델'!$B$17))*SIN(RADIANS(E1097))+COS(RADIANS('11_발전량_모델'!$B$17))*COS(RADIANS(E1097))*COS(RADIANS(F1097))</f>
        <v/>
      </c>
      <c r="J1097" s="80">
        <f>SIN(RADIANS('11_발전량_모델'!$B$7))*SIN(RADIANS('11_발전량_모델'!$B$8))</f>
        <v/>
      </c>
      <c r="K1097" s="80">
        <f>SIN(RADIANS('11_발전량_모델'!$B$7))*COS(RADIANS('11_발전량_모델'!$B$8))</f>
        <v/>
      </c>
      <c r="L1097" s="80">
        <f>COS(RADIANS('11_발전량_모델'!$B$7))</f>
        <v/>
      </c>
      <c r="M1097" s="80">
        <f>G1097*J1097+H1097*K1097+I1097*L1097</f>
        <v/>
      </c>
      <c r="N1097" s="80">
        <f>MAX(0,I1097)</f>
        <v/>
      </c>
      <c r="O1097" s="80">
        <f>IF(I1097&gt;0,MAX(0,M1097),0)</f>
        <v/>
      </c>
      <c r="P1097" s="80">
        <f>IF($I1097&gt;0,MAX(0,$G1097*SIN(RADIANS('13_시나리오비교'!$B$5))*SIN(RADIANS('13_시나리오비교'!$C$5))+$H1097*SIN(RADIANS('13_시나리오비교'!$B$5))*COS(RADIANS('13_시나리오비교'!$C$5))+$I1097*COS(RADIANS('13_시나리오비교'!$B$5))),0)</f>
        <v/>
      </c>
      <c r="Q1097" s="80">
        <f>IF($I1097&gt;0,MAX(0,$G1097*SIN(RADIANS('13_시나리오비교'!$B$6))*SIN(RADIANS('13_시나리오비교'!$C$6))+$H1097*SIN(RADIANS('13_시나리오비교'!$B$6))*COS(RADIANS('13_시나리오비교'!$C$6))+$I1097*COS(RADIANS('13_시나리오비교'!$B$6))),0)</f>
        <v/>
      </c>
      <c r="R1097" s="80">
        <f>IF($I1097&gt;0,MAX(0,$G1097*SIN(RADIANS('13_시나리오비교'!$B$7))*SIN(RADIANS('13_시나리오비교'!$C$7))+$H1097*SIN(RADIANS('13_시나리오비교'!$B$7))*COS(RADIANS('13_시나리오비교'!$C$7))+$I1097*COS(RADIANS('13_시나리오비교'!$B$7))),0)</f>
        <v/>
      </c>
      <c r="S1097" s="80">
        <f>IF($I1097&gt;0,MAX(0,$G1097*SIN(RADIANS('13_시나리오비교'!$B$8))*SIN(RADIANS('13_시나리오비교'!$C$8))+$H1097*SIN(RADIANS('13_시나리오비교'!$B$8))*COS(RADIANS('13_시나리오비교'!$C$8))+$I1097*COS(RADIANS('13_시나리오비교'!$B$8))),0)</f>
        <v/>
      </c>
      <c r="T1097" s="80">
        <f>IF($I1097&gt;0,MAX(0,$G1097*SIN(RADIANS('13_시나리오비교'!$B$9))*SIN(RADIANS('13_시나리오비교'!$C$9))+$H1097*SIN(RADIANS('13_시나리오비교'!$B$9))*COS(RADIANS('13_시나리오비교'!$C$9))+$I1097*COS(RADIANS('13_시나리오비교'!$B$9))),0)</f>
        <v/>
      </c>
      <c r="U1097" s="80">
        <f>IF($I1097&gt;0,MAX(0,$G1097*SIN(RADIANS('13_시나리오비교'!$B$10))*SIN(RADIANS('13_시나리오비교'!$C$10))+$H1097*SIN(RADIANS('13_시나리오비교'!$B$10))*COS(RADIANS('13_시나리오비교'!$C$10))+$I1097*COS(RADIANS('13_시나리오비교'!$B$10))),0)</f>
        <v/>
      </c>
      <c r="V1097" s="80">
        <f>IF($I1097&gt;0,MAX(0,$G1097*SIN(RADIANS('13_시나리오비교'!$B$11))*SIN(RADIANS('13_시나리오비교'!$C$11))+$H1097*SIN(RADIANS('13_시나리오비교'!$B$11))*COS(RADIANS('13_시나리오비교'!$C$11))+$I1097*COS(RADIANS('13_시나리오비교'!$B$11))),0)</f>
        <v/>
      </c>
      <c r="W1097" s="80">
        <f>IF($I1097&gt;0,MAX(0,$G1097*SIN(RADIANS('13_시나리오비교'!$B$12))*SIN(RADIANS('13_시나리오비교'!$C$12))+$H1097*SIN(RADIANS('13_시나리오비교'!$B$12))*COS(RADIANS('13_시나리오비교'!$C$12))+$I1097*COS(RADIANS('13_시나리오비교'!$B$12))),0)</f>
        <v/>
      </c>
      <c r="X1097" s="80">
        <f>IF($I1097&gt;0,MAX(0,$G1097*SIN(RADIANS('13_시나리오비교'!$B$13))*SIN(RADIANS('13_시나리오비교'!$C$13))+$H1097*SIN(RADIANS('13_시나리오비교'!$B$13))*COS(RADIANS('13_시나리오비교'!$C$13))+$I1097*COS(RADIANS('13_시나리오비교'!$B$13))),0)</f>
        <v/>
      </c>
      <c r="Y1097" s="80">
        <f>IF($I1097&gt;0,MAX(0,$G1097*SIN(RADIANS('13_시나리오비교'!$B$14))*SIN(RADIANS('13_시나리오비교'!$C$14))+$H1097*SIN(RADIANS('13_시나리오비교'!$B$14))*COS(RADIANS('13_시나리오비교'!$C$14))+$I1097*COS(RADIANS('13_시나리오비교'!$B$14))),0)</f>
        <v/>
      </c>
    </row>
    <row r="1098" hidden="1" outlineLevel="1">
      <c r="A1098" s="79" t="n">
        <v>12</v>
      </c>
      <c r="B1098" s="79" t="n">
        <v>22</v>
      </c>
      <c r="C1098" s="80">
        <f>(B1098-0.5)*'14_지역·상수'!$H$6</f>
        <v/>
      </c>
      <c r="D1098" s="79" t="n">
        <v>344</v>
      </c>
      <c r="E1098" s="80">
        <f>INDEX($C$4:$C$15,MATCH(A1098,$A$4:$A$15,0))</f>
        <v/>
      </c>
      <c r="F1098" s="80">
        <f>15*(C1098-12)</f>
        <v/>
      </c>
      <c r="G1098" s="80">
        <f>-COS(RADIANS(E1098))*SIN(RADIANS(F1098))</f>
        <v/>
      </c>
      <c r="H1098" s="80">
        <f>COS(RADIANS('11_발전량_모델'!$B$17))*SIN(RADIANS(E1098))-SIN(RADIANS('11_발전량_모델'!$B$17))*COS(RADIANS(E1098))*COS(RADIANS(F1098))</f>
        <v/>
      </c>
      <c r="I1098" s="80">
        <f>SIN(RADIANS('11_발전량_모델'!$B$17))*SIN(RADIANS(E1098))+COS(RADIANS('11_발전량_모델'!$B$17))*COS(RADIANS(E1098))*COS(RADIANS(F1098))</f>
        <v/>
      </c>
      <c r="J1098" s="80">
        <f>SIN(RADIANS('11_발전량_모델'!$B$7))*SIN(RADIANS('11_발전량_모델'!$B$8))</f>
        <v/>
      </c>
      <c r="K1098" s="80">
        <f>SIN(RADIANS('11_발전량_모델'!$B$7))*COS(RADIANS('11_발전량_모델'!$B$8))</f>
        <v/>
      </c>
      <c r="L1098" s="80">
        <f>COS(RADIANS('11_발전량_모델'!$B$7))</f>
        <v/>
      </c>
      <c r="M1098" s="80">
        <f>G1098*J1098+H1098*K1098+I1098*L1098</f>
        <v/>
      </c>
      <c r="N1098" s="80">
        <f>MAX(0,I1098)</f>
        <v/>
      </c>
      <c r="O1098" s="80">
        <f>IF(I1098&gt;0,MAX(0,M1098),0)</f>
        <v/>
      </c>
      <c r="P1098" s="80">
        <f>IF($I1098&gt;0,MAX(0,$G1098*SIN(RADIANS('13_시나리오비교'!$B$5))*SIN(RADIANS('13_시나리오비교'!$C$5))+$H1098*SIN(RADIANS('13_시나리오비교'!$B$5))*COS(RADIANS('13_시나리오비교'!$C$5))+$I1098*COS(RADIANS('13_시나리오비교'!$B$5))),0)</f>
        <v/>
      </c>
      <c r="Q1098" s="80">
        <f>IF($I1098&gt;0,MAX(0,$G1098*SIN(RADIANS('13_시나리오비교'!$B$6))*SIN(RADIANS('13_시나리오비교'!$C$6))+$H1098*SIN(RADIANS('13_시나리오비교'!$B$6))*COS(RADIANS('13_시나리오비교'!$C$6))+$I1098*COS(RADIANS('13_시나리오비교'!$B$6))),0)</f>
        <v/>
      </c>
      <c r="R1098" s="80">
        <f>IF($I1098&gt;0,MAX(0,$G1098*SIN(RADIANS('13_시나리오비교'!$B$7))*SIN(RADIANS('13_시나리오비교'!$C$7))+$H1098*SIN(RADIANS('13_시나리오비교'!$B$7))*COS(RADIANS('13_시나리오비교'!$C$7))+$I1098*COS(RADIANS('13_시나리오비교'!$B$7))),0)</f>
        <v/>
      </c>
      <c r="S1098" s="80">
        <f>IF($I1098&gt;0,MAX(0,$G1098*SIN(RADIANS('13_시나리오비교'!$B$8))*SIN(RADIANS('13_시나리오비교'!$C$8))+$H1098*SIN(RADIANS('13_시나리오비교'!$B$8))*COS(RADIANS('13_시나리오비교'!$C$8))+$I1098*COS(RADIANS('13_시나리오비교'!$B$8))),0)</f>
        <v/>
      </c>
      <c r="T1098" s="80">
        <f>IF($I1098&gt;0,MAX(0,$G1098*SIN(RADIANS('13_시나리오비교'!$B$9))*SIN(RADIANS('13_시나리오비교'!$C$9))+$H1098*SIN(RADIANS('13_시나리오비교'!$B$9))*COS(RADIANS('13_시나리오비교'!$C$9))+$I1098*COS(RADIANS('13_시나리오비교'!$B$9))),0)</f>
        <v/>
      </c>
      <c r="U1098" s="80">
        <f>IF($I1098&gt;0,MAX(0,$G1098*SIN(RADIANS('13_시나리오비교'!$B$10))*SIN(RADIANS('13_시나리오비교'!$C$10))+$H1098*SIN(RADIANS('13_시나리오비교'!$B$10))*COS(RADIANS('13_시나리오비교'!$C$10))+$I1098*COS(RADIANS('13_시나리오비교'!$B$10))),0)</f>
        <v/>
      </c>
      <c r="V1098" s="80">
        <f>IF($I1098&gt;0,MAX(0,$G1098*SIN(RADIANS('13_시나리오비교'!$B$11))*SIN(RADIANS('13_시나리오비교'!$C$11))+$H1098*SIN(RADIANS('13_시나리오비교'!$B$11))*COS(RADIANS('13_시나리오비교'!$C$11))+$I1098*COS(RADIANS('13_시나리오비교'!$B$11))),0)</f>
        <v/>
      </c>
      <c r="W1098" s="80">
        <f>IF($I1098&gt;0,MAX(0,$G1098*SIN(RADIANS('13_시나리오비교'!$B$12))*SIN(RADIANS('13_시나리오비교'!$C$12))+$H1098*SIN(RADIANS('13_시나리오비교'!$B$12))*COS(RADIANS('13_시나리오비교'!$C$12))+$I1098*COS(RADIANS('13_시나리오비교'!$B$12))),0)</f>
        <v/>
      </c>
      <c r="X1098" s="80">
        <f>IF($I1098&gt;0,MAX(0,$G1098*SIN(RADIANS('13_시나리오비교'!$B$13))*SIN(RADIANS('13_시나리오비교'!$C$13))+$H1098*SIN(RADIANS('13_시나리오비교'!$B$13))*COS(RADIANS('13_시나리오비교'!$C$13))+$I1098*COS(RADIANS('13_시나리오비교'!$B$13))),0)</f>
        <v/>
      </c>
      <c r="Y1098" s="80">
        <f>IF($I1098&gt;0,MAX(0,$G1098*SIN(RADIANS('13_시나리오비교'!$B$14))*SIN(RADIANS('13_시나리오비교'!$C$14))+$H1098*SIN(RADIANS('13_시나리오비교'!$B$14))*COS(RADIANS('13_시나리오비교'!$C$14))+$I1098*COS(RADIANS('13_시나리오비교'!$B$14))),0)</f>
        <v/>
      </c>
    </row>
    <row r="1099" hidden="1" outlineLevel="1">
      <c r="A1099" s="79" t="n">
        <v>12</v>
      </c>
      <c r="B1099" s="79" t="n">
        <v>23</v>
      </c>
      <c r="C1099" s="80">
        <f>(B1099-0.5)*'14_지역·상수'!$H$6</f>
        <v/>
      </c>
      <c r="D1099" s="79" t="n">
        <v>344</v>
      </c>
      <c r="E1099" s="80">
        <f>INDEX($C$4:$C$15,MATCH(A1099,$A$4:$A$15,0))</f>
        <v/>
      </c>
      <c r="F1099" s="80">
        <f>15*(C1099-12)</f>
        <v/>
      </c>
      <c r="G1099" s="80">
        <f>-COS(RADIANS(E1099))*SIN(RADIANS(F1099))</f>
        <v/>
      </c>
      <c r="H1099" s="80">
        <f>COS(RADIANS('11_발전량_모델'!$B$17))*SIN(RADIANS(E1099))-SIN(RADIANS('11_발전량_모델'!$B$17))*COS(RADIANS(E1099))*COS(RADIANS(F1099))</f>
        <v/>
      </c>
      <c r="I1099" s="80">
        <f>SIN(RADIANS('11_발전량_모델'!$B$17))*SIN(RADIANS(E1099))+COS(RADIANS('11_발전량_모델'!$B$17))*COS(RADIANS(E1099))*COS(RADIANS(F1099))</f>
        <v/>
      </c>
      <c r="J1099" s="80">
        <f>SIN(RADIANS('11_발전량_모델'!$B$7))*SIN(RADIANS('11_발전량_모델'!$B$8))</f>
        <v/>
      </c>
      <c r="K1099" s="80">
        <f>SIN(RADIANS('11_발전량_모델'!$B$7))*COS(RADIANS('11_발전량_모델'!$B$8))</f>
        <v/>
      </c>
      <c r="L1099" s="80">
        <f>COS(RADIANS('11_발전량_모델'!$B$7))</f>
        <v/>
      </c>
      <c r="M1099" s="80">
        <f>G1099*J1099+H1099*K1099+I1099*L1099</f>
        <v/>
      </c>
      <c r="N1099" s="80">
        <f>MAX(0,I1099)</f>
        <v/>
      </c>
      <c r="O1099" s="80">
        <f>IF(I1099&gt;0,MAX(0,M1099),0)</f>
        <v/>
      </c>
      <c r="P1099" s="80">
        <f>IF($I1099&gt;0,MAX(0,$G1099*SIN(RADIANS('13_시나리오비교'!$B$5))*SIN(RADIANS('13_시나리오비교'!$C$5))+$H1099*SIN(RADIANS('13_시나리오비교'!$B$5))*COS(RADIANS('13_시나리오비교'!$C$5))+$I1099*COS(RADIANS('13_시나리오비교'!$B$5))),0)</f>
        <v/>
      </c>
      <c r="Q1099" s="80">
        <f>IF($I1099&gt;0,MAX(0,$G1099*SIN(RADIANS('13_시나리오비교'!$B$6))*SIN(RADIANS('13_시나리오비교'!$C$6))+$H1099*SIN(RADIANS('13_시나리오비교'!$B$6))*COS(RADIANS('13_시나리오비교'!$C$6))+$I1099*COS(RADIANS('13_시나리오비교'!$B$6))),0)</f>
        <v/>
      </c>
      <c r="R1099" s="80">
        <f>IF($I1099&gt;0,MAX(0,$G1099*SIN(RADIANS('13_시나리오비교'!$B$7))*SIN(RADIANS('13_시나리오비교'!$C$7))+$H1099*SIN(RADIANS('13_시나리오비교'!$B$7))*COS(RADIANS('13_시나리오비교'!$C$7))+$I1099*COS(RADIANS('13_시나리오비교'!$B$7))),0)</f>
        <v/>
      </c>
      <c r="S1099" s="80">
        <f>IF($I1099&gt;0,MAX(0,$G1099*SIN(RADIANS('13_시나리오비교'!$B$8))*SIN(RADIANS('13_시나리오비교'!$C$8))+$H1099*SIN(RADIANS('13_시나리오비교'!$B$8))*COS(RADIANS('13_시나리오비교'!$C$8))+$I1099*COS(RADIANS('13_시나리오비교'!$B$8))),0)</f>
        <v/>
      </c>
      <c r="T1099" s="80">
        <f>IF($I1099&gt;0,MAX(0,$G1099*SIN(RADIANS('13_시나리오비교'!$B$9))*SIN(RADIANS('13_시나리오비교'!$C$9))+$H1099*SIN(RADIANS('13_시나리오비교'!$B$9))*COS(RADIANS('13_시나리오비교'!$C$9))+$I1099*COS(RADIANS('13_시나리오비교'!$B$9))),0)</f>
        <v/>
      </c>
      <c r="U1099" s="80">
        <f>IF($I1099&gt;0,MAX(0,$G1099*SIN(RADIANS('13_시나리오비교'!$B$10))*SIN(RADIANS('13_시나리오비교'!$C$10))+$H1099*SIN(RADIANS('13_시나리오비교'!$B$10))*COS(RADIANS('13_시나리오비교'!$C$10))+$I1099*COS(RADIANS('13_시나리오비교'!$B$10))),0)</f>
        <v/>
      </c>
      <c r="V1099" s="80">
        <f>IF($I1099&gt;0,MAX(0,$G1099*SIN(RADIANS('13_시나리오비교'!$B$11))*SIN(RADIANS('13_시나리오비교'!$C$11))+$H1099*SIN(RADIANS('13_시나리오비교'!$B$11))*COS(RADIANS('13_시나리오비교'!$C$11))+$I1099*COS(RADIANS('13_시나리오비교'!$B$11))),0)</f>
        <v/>
      </c>
      <c r="W1099" s="80">
        <f>IF($I1099&gt;0,MAX(0,$G1099*SIN(RADIANS('13_시나리오비교'!$B$12))*SIN(RADIANS('13_시나리오비교'!$C$12))+$H1099*SIN(RADIANS('13_시나리오비교'!$B$12))*COS(RADIANS('13_시나리오비교'!$C$12))+$I1099*COS(RADIANS('13_시나리오비교'!$B$12))),0)</f>
        <v/>
      </c>
      <c r="X1099" s="80">
        <f>IF($I1099&gt;0,MAX(0,$G1099*SIN(RADIANS('13_시나리오비교'!$B$13))*SIN(RADIANS('13_시나리오비교'!$C$13))+$H1099*SIN(RADIANS('13_시나리오비교'!$B$13))*COS(RADIANS('13_시나리오비교'!$C$13))+$I1099*COS(RADIANS('13_시나리오비교'!$B$13))),0)</f>
        <v/>
      </c>
      <c r="Y1099" s="80">
        <f>IF($I1099&gt;0,MAX(0,$G1099*SIN(RADIANS('13_시나리오비교'!$B$14))*SIN(RADIANS('13_시나리오비교'!$C$14))+$H1099*SIN(RADIANS('13_시나리오비교'!$B$14))*COS(RADIANS('13_시나리오비교'!$C$14))+$I1099*COS(RADIANS('13_시나리오비교'!$B$14))),0)</f>
        <v/>
      </c>
    </row>
    <row r="1100" hidden="1" outlineLevel="1">
      <c r="A1100" s="79" t="n">
        <v>12</v>
      </c>
      <c r="B1100" s="79" t="n">
        <v>24</v>
      </c>
      <c r="C1100" s="80">
        <f>(B1100-0.5)*'14_지역·상수'!$H$6</f>
        <v/>
      </c>
      <c r="D1100" s="79" t="n">
        <v>344</v>
      </c>
      <c r="E1100" s="80">
        <f>INDEX($C$4:$C$15,MATCH(A1100,$A$4:$A$15,0))</f>
        <v/>
      </c>
      <c r="F1100" s="80">
        <f>15*(C1100-12)</f>
        <v/>
      </c>
      <c r="G1100" s="80">
        <f>-COS(RADIANS(E1100))*SIN(RADIANS(F1100))</f>
        <v/>
      </c>
      <c r="H1100" s="80">
        <f>COS(RADIANS('11_발전량_모델'!$B$17))*SIN(RADIANS(E1100))-SIN(RADIANS('11_발전량_모델'!$B$17))*COS(RADIANS(E1100))*COS(RADIANS(F1100))</f>
        <v/>
      </c>
      <c r="I1100" s="80">
        <f>SIN(RADIANS('11_발전량_모델'!$B$17))*SIN(RADIANS(E1100))+COS(RADIANS('11_발전량_모델'!$B$17))*COS(RADIANS(E1100))*COS(RADIANS(F1100))</f>
        <v/>
      </c>
      <c r="J1100" s="80">
        <f>SIN(RADIANS('11_발전량_모델'!$B$7))*SIN(RADIANS('11_발전량_모델'!$B$8))</f>
        <v/>
      </c>
      <c r="K1100" s="80">
        <f>SIN(RADIANS('11_발전량_모델'!$B$7))*COS(RADIANS('11_발전량_모델'!$B$8))</f>
        <v/>
      </c>
      <c r="L1100" s="80">
        <f>COS(RADIANS('11_발전량_모델'!$B$7))</f>
        <v/>
      </c>
      <c r="M1100" s="80">
        <f>G1100*J1100+H1100*K1100+I1100*L1100</f>
        <v/>
      </c>
      <c r="N1100" s="80">
        <f>MAX(0,I1100)</f>
        <v/>
      </c>
      <c r="O1100" s="80">
        <f>IF(I1100&gt;0,MAX(0,M1100),0)</f>
        <v/>
      </c>
      <c r="P1100" s="80">
        <f>IF($I1100&gt;0,MAX(0,$G1100*SIN(RADIANS('13_시나리오비교'!$B$5))*SIN(RADIANS('13_시나리오비교'!$C$5))+$H1100*SIN(RADIANS('13_시나리오비교'!$B$5))*COS(RADIANS('13_시나리오비교'!$C$5))+$I1100*COS(RADIANS('13_시나리오비교'!$B$5))),0)</f>
        <v/>
      </c>
      <c r="Q1100" s="80">
        <f>IF($I1100&gt;0,MAX(0,$G1100*SIN(RADIANS('13_시나리오비교'!$B$6))*SIN(RADIANS('13_시나리오비교'!$C$6))+$H1100*SIN(RADIANS('13_시나리오비교'!$B$6))*COS(RADIANS('13_시나리오비교'!$C$6))+$I1100*COS(RADIANS('13_시나리오비교'!$B$6))),0)</f>
        <v/>
      </c>
      <c r="R1100" s="80">
        <f>IF($I1100&gt;0,MAX(0,$G1100*SIN(RADIANS('13_시나리오비교'!$B$7))*SIN(RADIANS('13_시나리오비교'!$C$7))+$H1100*SIN(RADIANS('13_시나리오비교'!$B$7))*COS(RADIANS('13_시나리오비교'!$C$7))+$I1100*COS(RADIANS('13_시나리오비교'!$B$7))),0)</f>
        <v/>
      </c>
      <c r="S1100" s="80">
        <f>IF($I1100&gt;0,MAX(0,$G1100*SIN(RADIANS('13_시나리오비교'!$B$8))*SIN(RADIANS('13_시나리오비교'!$C$8))+$H1100*SIN(RADIANS('13_시나리오비교'!$B$8))*COS(RADIANS('13_시나리오비교'!$C$8))+$I1100*COS(RADIANS('13_시나리오비교'!$B$8))),0)</f>
        <v/>
      </c>
      <c r="T1100" s="80">
        <f>IF($I1100&gt;0,MAX(0,$G1100*SIN(RADIANS('13_시나리오비교'!$B$9))*SIN(RADIANS('13_시나리오비교'!$C$9))+$H1100*SIN(RADIANS('13_시나리오비교'!$B$9))*COS(RADIANS('13_시나리오비교'!$C$9))+$I1100*COS(RADIANS('13_시나리오비교'!$B$9))),0)</f>
        <v/>
      </c>
      <c r="U1100" s="80">
        <f>IF($I1100&gt;0,MAX(0,$G1100*SIN(RADIANS('13_시나리오비교'!$B$10))*SIN(RADIANS('13_시나리오비교'!$C$10))+$H1100*SIN(RADIANS('13_시나리오비교'!$B$10))*COS(RADIANS('13_시나리오비교'!$C$10))+$I1100*COS(RADIANS('13_시나리오비교'!$B$10))),0)</f>
        <v/>
      </c>
      <c r="V1100" s="80">
        <f>IF($I1100&gt;0,MAX(0,$G1100*SIN(RADIANS('13_시나리오비교'!$B$11))*SIN(RADIANS('13_시나리오비교'!$C$11))+$H1100*SIN(RADIANS('13_시나리오비교'!$B$11))*COS(RADIANS('13_시나리오비교'!$C$11))+$I1100*COS(RADIANS('13_시나리오비교'!$B$11))),0)</f>
        <v/>
      </c>
      <c r="W1100" s="80">
        <f>IF($I1100&gt;0,MAX(0,$G1100*SIN(RADIANS('13_시나리오비교'!$B$12))*SIN(RADIANS('13_시나리오비교'!$C$12))+$H1100*SIN(RADIANS('13_시나리오비교'!$B$12))*COS(RADIANS('13_시나리오비교'!$C$12))+$I1100*COS(RADIANS('13_시나리오비교'!$B$12))),0)</f>
        <v/>
      </c>
      <c r="X1100" s="80">
        <f>IF($I1100&gt;0,MAX(0,$G1100*SIN(RADIANS('13_시나리오비교'!$B$13))*SIN(RADIANS('13_시나리오비교'!$C$13))+$H1100*SIN(RADIANS('13_시나리오비교'!$B$13))*COS(RADIANS('13_시나리오비교'!$C$13))+$I1100*COS(RADIANS('13_시나리오비교'!$B$13))),0)</f>
        <v/>
      </c>
      <c r="Y1100" s="80">
        <f>IF($I1100&gt;0,MAX(0,$G1100*SIN(RADIANS('13_시나리오비교'!$B$14))*SIN(RADIANS('13_시나리오비교'!$C$14))+$H1100*SIN(RADIANS('13_시나리오비교'!$B$14))*COS(RADIANS('13_시나리오비교'!$C$14))+$I1100*COS(RADIANS('13_시나리오비교'!$B$14))),0)</f>
        <v/>
      </c>
    </row>
    <row r="1101" hidden="1" outlineLevel="1">
      <c r="A1101" s="79" t="n">
        <v>12</v>
      </c>
      <c r="B1101" s="79" t="n">
        <v>25</v>
      </c>
      <c r="C1101" s="80">
        <f>(B1101-0.5)*'14_지역·상수'!$H$6</f>
        <v/>
      </c>
      <c r="D1101" s="79" t="n">
        <v>344</v>
      </c>
      <c r="E1101" s="80">
        <f>INDEX($C$4:$C$15,MATCH(A1101,$A$4:$A$15,0))</f>
        <v/>
      </c>
      <c r="F1101" s="80">
        <f>15*(C1101-12)</f>
        <v/>
      </c>
      <c r="G1101" s="80">
        <f>-COS(RADIANS(E1101))*SIN(RADIANS(F1101))</f>
        <v/>
      </c>
      <c r="H1101" s="80">
        <f>COS(RADIANS('11_발전량_모델'!$B$17))*SIN(RADIANS(E1101))-SIN(RADIANS('11_발전량_모델'!$B$17))*COS(RADIANS(E1101))*COS(RADIANS(F1101))</f>
        <v/>
      </c>
      <c r="I1101" s="80">
        <f>SIN(RADIANS('11_발전량_모델'!$B$17))*SIN(RADIANS(E1101))+COS(RADIANS('11_발전량_모델'!$B$17))*COS(RADIANS(E1101))*COS(RADIANS(F1101))</f>
        <v/>
      </c>
      <c r="J1101" s="80">
        <f>SIN(RADIANS('11_발전량_모델'!$B$7))*SIN(RADIANS('11_발전량_모델'!$B$8))</f>
        <v/>
      </c>
      <c r="K1101" s="80">
        <f>SIN(RADIANS('11_발전량_모델'!$B$7))*COS(RADIANS('11_발전량_모델'!$B$8))</f>
        <v/>
      </c>
      <c r="L1101" s="80">
        <f>COS(RADIANS('11_발전량_모델'!$B$7))</f>
        <v/>
      </c>
      <c r="M1101" s="80">
        <f>G1101*J1101+H1101*K1101+I1101*L1101</f>
        <v/>
      </c>
      <c r="N1101" s="80">
        <f>MAX(0,I1101)</f>
        <v/>
      </c>
      <c r="O1101" s="80">
        <f>IF(I1101&gt;0,MAX(0,M1101),0)</f>
        <v/>
      </c>
      <c r="P1101" s="80">
        <f>IF($I1101&gt;0,MAX(0,$G1101*SIN(RADIANS('13_시나리오비교'!$B$5))*SIN(RADIANS('13_시나리오비교'!$C$5))+$H1101*SIN(RADIANS('13_시나리오비교'!$B$5))*COS(RADIANS('13_시나리오비교'!$C$5))+$I1101*COS(RADIANS('13_시나리오비교'!$B$5))),0)</f>
        <v/>
      </c>
      <c r="Q1101" s="80">
        <f>IF($I1101&gt;0,MAX(0,$G1101*SIN(RADIANS('13_시나리오비교'!$B$6))*SIN(RADIANS('13_시나리오비교'!$C$6))+$H1101*SIN(RADIANS('13_시나리오비교'!$B$6))*COS(RADIANS('13_시나리오비교'!$C$6))+$I1101*COS(RADIANS('13_시나리오비교'!$B$6))),0)</f>
        <v/>
      </c>
      <c r="R1101" s="80">
        <f>IF($I1101&gt;0,MAX(0,$G1101*SIN(RADIANS('13_시나리오비교'!$B$7))*SIN(RADIANS('13_시나리오비교'!$C$7))+$H1101*SIN(RADIANS('13_시나리오비교'!$B$7))*COS(RADIANS('13_시나리오비교'!$C$7))+$I1101*COS(RADIANS('13_시나리오비교'!$B$7))),0)</f>
        <v/>
      </c>
      <c r="S1101" s="80">
        <f>IF($I1101&gt;0,MAX(0,$G1101*SIN(RADIANS('13_시나리오비교'!$B$8))*SIN(RADIANS('13_시나리오비교'!$C$8))+$H1101*SIN(RADIANS('13_시나리오비교'!$B$8))*COS(RADIANS('13_시나리오비교'!$C$8))+$I1101*COS(RADIANS('13_시나리오비교'!$B$8))),0)</f>
        <v/>
      </c>
      <c r="T1101" s="80">
        <f>IF($I1101&gt;0,MAX(0,$G1101*SIN(RADIANS('13_시나리오비교'!$B$9))*SIN(RADIANS('13_시나리오비교'!$C$9))+$H1101*SIN(RADIANS('13_시나리오비교'!$B$9))*COS(RADIANS('13_시나리오비교'!$C$9))+$I1101*COS(RADIANS('13_시나리오비교'!$B$9))),0)</f>
        <v/>
      </c>
      <c r="U1101" s="80">
        <f>IF($I1101&gt;0,MAX(0,$G1101*SIN(RADIANS('13_시나리오비교'!$B$10))*SIN(RADIANS('13_시나리오비교'!$C$10))+$H1101*SIN(RADIANS('13_시나리오비교'!$B$10))*COS(RADIANS('13_시나리오비교'!$C$10))+$I1101*COS(RADIANS('13_시나리오비교'!$B$10))),0)</f>
        <v/>
      </c>
      <c r="V1101" s="80">
        <f>IF($I1101&gt;0,MAX(0,$G1101*SIN(RADIANS('13_시나리오비교'!$B$11))*SIN(RADIANS('13_시나리오비교'!$C$11))+$H1101*SIN(RADIANS('13_시나리오비교'!$B$11))*COS(RADIANS('13_시나리오비교'!$C$11))+$I1101*COS(RADIANS('13_시나리오비교'!$B$11))),0)</f>
        <v/>
      </c>
      <c r="W1101" s="80">
        <f>IF($I1101&gt;0,MAX(0,$G1101*SIN(RADIANS('13_시나리오비교'!$B$12))*SIN(RADIANS('13_시나리오비교'!$C$12))+$H1101*SIN(RADIANS('13_시나리오비교'!$B$12))*COS(RADIANS('13_시나리오비교'!$C$12))+$I1101*COS(RADIANS('13_시나리오비교'!$B$12))),0)</f>
        <v/>
      </c>
      <c r="X1101" s="80">
        <f>IF($I1101&gt;0,MAX(0,$G1101*SIN(RADIANS('13_시나리오비교'!$B$13))*SIN(RADIANS('13_시나리오비교'!$C$13))+$H1101*SIN(RADIANS('13_시나리오비교'!$B$13))*COS(RADIANS('13_시나리오비교'!$C$13))+$I1101*COS(RADIANS('13_시나리오비교'!$B$13))),0)</f>
        <v/>
      </c>
      <c r="Y1101" s="80">
        <f>IF($I1101&gt;0,MAX(0,$G1101*SIN(RADIANS('13_시나리오비교'!$B$14))*SIN(RADIANS('13_시나리오비교'!$C$14))+$H1101*SIN(RADIANS('13_시나리오비교'!$B$14))*COS(RADIANS('13_시나리오비교'!$C$14))+$I1101*COS(RADIANS('13_시나리오비교'!$B$14))),0)</f>
        <v/>
      </c>
    </row>
    <row r="1102" hidden="1" outlineLevel="1">
      <c r="A1102" s="79" t="n">
        <v>12</v>
      </c>
      <c r="B1102" s="79" t="n">
        <v>26</v>
      </c>
      <c r="C1102" s="80">
        <f>(B1102-0.5)*'14_지역·상수'!$H$6</f>
        <v/>
      </c>
      <c r="D1102" s="79" t="n">
        <v>344</v>
      </c>
      <c r="E1102" s="80">
        <f>INDEX($C$4:$C$15,MATCH(A1102,$A$4:$A$15,0))</f>
        <v/>
      </c>
      <c r="F1102" s="80">
        <f>15*(C1102-12)</f>
        <v/>
      </c>
      <c r="G1102" s="80">
        <f>-COS(RADIANS(E1102))*SIN(RADIANS(F1102))</f>
        <v/>
      </c>
      <c r="H1102" s="80">
        <f>COS(RADIANS('11_발전량_모델'!$B$17))*SIN(RADIANS(E1102))-SIN(RADIANS('11_발전량_모델'!$B$17))*COS(RADIANS(E1102))*COS(RADIANS(F1102))</f>
        <v/>
      </c>
      <c r="I1102" s="80">
        <f>SIN(RADIANS('11_발전량_모델'!$B$17))*SIN(RADIANS(E1102))+COS(RADIANS('11_발전량_모델'!$B$17))*COS(RADIANS(E1102))*COS(RADIANS(F1102))</f>
        <v/>
      </c>
      <c r="J1102" s="80">
        <f>SIN(RADIANS('11_발전량_모델'!$B$7))*SIN(RADIANS('11_발전량_모델'!$B$8))</f>
        <v/>
      </c>
      <c r="K1102" s="80">
        <f>SIN(RADIANS('11_발전량_모델'!$B$7))*COS(RADIANS('11_발전량_모델'!$B$8))</f>
        <v/>
      </c>
      <c r="L1102" s="80">
        <f>COS(RADIANS('11_발전량_모델'!$B$7))</f>
        <v/>
      </c>
      <c r="M1102" s="80">
        <f>G1102*J1102+H1102*K1102+I1102*L1102</f>
        <v/>
      </c>
      <c r="N1102" s="80">
        <f>MAX(0,I1102)</f>
        <v/>
      </c>
      <c r="O1102" s="80">
        <f>IF(I1102&gt;0,MAX(0,M1102),0)</f>
        <v/>
      </c>
      <c r="P1102" s="80">
        <f>IF($I1102&gt;0,MAX(0,$G1102*SIN(RADIANS('13_시나리오비교'!$B$5))*SIN(RADIANS('13_시나리오비교'!$C$5))+$H1102*SIN(RADIANS('13_시나리오비교'!$B$5))*COS(RADIANS('13_시나리오비교'!$C$5))+$I1102*COS(RADIANS('13_시나리오비교'!$B$5))),0)</f>
        <v/>
      </c>
      <c r="Q1102" s="80">
        <f>IF($I1102&gt;0,MAX(0,$G1102*SIN(RADIANS('13_시나리오비교'!$B$6))*SIN(RADIANS('13_시나리오비교'!$C$6))+$H1102*SIN(RADIANS('13_시나리오비교'!$B$6))*COS(RADIANS('13_시나리오비교'!$C$6))+$I1102*COS(RADIANS('13_시나리오비교'!$B$6))),0)</f>
        <v/>
      </c>
      <c r="R1102" s="80">
        <f>IF($I1102&gt;0,MAX(0,$G1102*SIN(RADIANS('13_시나리오비교'!$B$7))*SIN(RADIANS('13_시나리오비교'!$C$7))+$H1102*SIN(RADIANS('13_시나리오비교'!$B$7))*COS(RADIANS('13_시나리오비교'!$C$7))+$I1102*COS(RADIANS('13_시나리오비교'!$B$7))),0)</f>
        <v/>
      </c>
      <c r="S1102" s="80">
        <f>IF($I1102&gt;0,MAX(0,$G1102*SIN(RADIANS('13_시나리오비교'!$B$8))*SIN(RADIANS('13_시나리오비교'!$C$8))+$H1102*SIN(RADIANS('13_시나리오비교'!$B$8))*COS(RADIANS('13_시나리오비교'!$C$8))+$I1102*COS(RADIANS('13_시나리오비교'!$B$8))),0)</f>
        <v/>
      </c>
      <c r="T1102" s="80">
        <f>IF($I1102&gt;0,MAX(0,$G1102*SIN(RADIANS('13_시나리오비교'!$B$9))*SIN(RADIANS('13_시나리오비교'!$C$9))+$H1102*SIN(RADIANS('13_시나리오비교'!$B$9))*COS(RADIANS('13_시나리오비교'!$C$9))+$I1102*COS(RADIANS('13_시나리오비교'!$B$9))),0)</f>
        <v/>
      </c>
      <c r="U1102" s="80">
        <f>IF($I1102&gt;0,MAX(0,$G1102*SIN(RADIANS('13_시나리오비교'!$B$10))*SIN(RADIANS('13_시나리오비교'!$C$10))+$H1102*SIN(RADIANS('13_시나리오비교'!$B$10))*COS(RADIANS('13_시나리오비교'!$C$10))+$I1102*COS(RADIANS('13_시나리오비교'!$B$10))),0)</f>
        <v/>
      </c>
      <c r="V1102" s="80">
        <f>IF($I1102&gt;0,MAX(0,$G1102*SIN(RADIANS('13_시나리오비교'!$B$11))*SIN(RADIANS('13_시나리오비교'!$C$11))+$H1102*SIN(RADIANS('13_시나리오비교'!$B$11))*COS(RADIANS('13_시나리오비교'!$C$11))+$I1102*COS(RADIANS('13_시나리오비교'!$B$11))),0)</f>
        <v/>
      </c>
      <c r="W1102" s="80">
        <f>IF($I1102&gt;0,MAX(0,$G1102*SIN(RADIANS('13_시나리오비교'!$B$12))*SIN(RADIANS('13_시나리오비교'!$C$12))+$H1102*SIN(RADIANS('13_시나리오비교'!$B$12))*COS(RADIANS('13_시나리오비교'!$C$12))+$I1102*COS(RADIANS('13_시나리오비교'!$B$12))),0)</f>
        <v/>
      </c>
      <c r="X1102" s="80">
        <f>IF($I1102&gt;0,MAX(0,$G1102*SIN(RADIANS('13_시나리오비교'!$B$13))*SIN(RADIANS('13_시나리오비교'!$C$13))+$H1102*SIN(RADIANS('13_시나리오비교'!$B$13))*COS(RADIANS('13_시나리오비교'!$C$13))+$I1102*COS(RADIANS('13_시나리오비교'!$B$13))),0)</f>
        <v/>
      </c>
      <c r="Y1102" s="80">
        <f>IF($I1102&gt;0,MAX(0,$G1102*SIN(RADIANS('13_시나리오비교'!$B$14))*SIN(RADIANS('13_시나리오비교'!$C$14))+$H1102*SIN(RADIANS('13_시나리오비교'!$B$14))*COS(RADIANS('13_시나리오비교'!$C$14))+$I1102*COS(RADIANS('13_시나리오비교'!$B$14))),0)</f>
        <v/>
      </c>
    </row>
    <row r="1103" hidden="1" outlineLevel="1">
      <c r="A1103" s="79" t="n">
        <v>12</v>
      </c>
      <c r="B1103" s="79" t="n">
        <v>27</v>
      </c>
      <c r="C1103" s="80">
        <f>(B1103-0.5)*'14_지역·상수'!$H$6</f>
        <v/>
      </c>
      <c r="D1103" s="79" t="n">
        <v>344</v>
      </c>
      <c r="E1103" s="80">
        <f>INDEX($C$4:$C$15,MATCH(A1103,$A$4:$A$15,0))</f>
        <v/>
      </c>
      <c r="F1103" s="80">
        <f>15*(C1103-12)</f>
        <v/>
      </c>
      <c r="G1103" s="80">
        <f>-COS(RADIANS(E1103))*SIN(RADIANS(F1103))</f>
        <v/>
      </c>
      <c r="H1103" s="80">
        <f>COS(RADIANS('11_발전량_모델'!$B$17))*SIN(RADIANS(E1103))-SIN(RADIANS('11_발전량_모델'!$B$17))*COS(RADIANS(E1103))*COS(RADIANS(F1103))</f>
        <v/>
      </c>
      <c r="I1103" s="80">
        <f>SIN(RADIANS('11_발전량_모델'!$B$17))*SIN(RADIANS(E1103))+COS(RADIANS('11_발전량_모델'!$B$17))*COS(RADIANS(E1103))*COS(RADIANS(F1103))</f>
        <v/>
      </c>
      <c r="J1103" s="80">
        <f>SIN(RADIANS('11_발전량_모델'!$B$7))*SIN(RADIANS('11_발전량_모델'!$B$8))</f>
        <v/>
      </c>
      <c r="K1103" s="80">
        <f>SIN(RADIANS('11_발전량_모델'!$B$7))*COS(RADIANS('11_발전량_모델'!$B$8))</f>
        <v/>
      </c>
      <c r="L1103" s="80">
        <f>COS(RADIANS('11_발전량_모델'!$B$7))</f>
        <v/>
      </c>
      <c r="M1103" s="80">
        <f>G1103*J1103+H1103*K1103+I1103*L1103</f>
        <v/>
      </c>
      <c r="N1103" s="80">
        <f>MAX(0,I1103)</f>
        <v/>
      </c>
      <c r="O1103" s="80">
        <f>IF(I1103&gt;0,MAX(0,M1103),0)</f>
        <v/>
      </c>
      <c r="P1103" s="80">
        <f>IF($I1103&gt;0,MAX(0,$G1103*SIN(RADIANS('13_시나리오비교'!$B$5))*SIN(RADIANS('13_시나리오비교'!$C$5))+$H1103*SIN(RADIANS('13_시나리오비교'!$B$5))*COS(RADIANS('13_시나리오비교'!$C$5))+$I1103*COS(RADIANS('13_시나리오비교'!$B$5))),0)</f>
        <v/>
      </c>
      <c r="Q1103" s="80">
        <f>IF($I1103&gt;0,MAX(0,$G1103*SIN(RADIANS('13_시나리오비교'!$B$6))*SIN(RADIANS('13_시나리오비교'!$C$6))+$H1103*SIN(RADIANS('13_시나리오비교'!$B$6))*COS(RADIANS('13_시나리오비교'!$C$6))+$I1103*COS(RADIANS('13_시나리오비교'!$B$6))),0)</f>
        <v/>
      </c>
      <c r="R1103" s="80">
        <f>IF($I1103&gt;0,MAX(0,$G1103*SIN(RADIANS('13_시나리오비교'!$B$7))*SIN(RADIANS('13_시나리오비교'!$C$7))+$H1103*SIN(RADIANS('13_시나리오비교'!$B$7))*COS(RADIANS('13_시나리오비교'!$C$7))+$I1103*COS(RADIANS('13_시나리오비교'!$B$7))),0)</f>
        <v/>
      </c>
      <c r="S1103" s="80">
        <f>IF($I1103&gt;0,MAX(0,$G1103*SIN(RADIANS('13_시나리오비교'!$B$8))*SIN(RADIANS('13_시나리오비교'!$C$8))+$H1103*SIN(RADIANS('13_시나리오비교'!$B$8))*COS(RADIANS('13_시나리오비교'!$C$8))+$I1103*COS(RADIANS('13_시나리오비교'!$B$8))),0)</f>
        <v/>
      </c>
      <c r="T1103" s="80">
        <f>IF($I1103&gt;0,MAX(0,$G1103*SIN(RADIANS('13_시나리오비교'!$B$9))*SIN(RADIANS('13_시나리오비교'!$C$9))+$H1103*SIN(RADIANS('13_시나리오비교'!$B$9))*COS(RADIANS('13_시나리오비교'!$C$9))+$I1103*COS(RADIANS('13_시나리오비교'!$B$9))),0)</f>
        <v/>
      </c>
      <c r="U1103" s="80">
        <f>IF($I1103&gt;0,MAX(0,$G1103*SIN(RADIANS('13_시나리오비교'!$B$10))*SIN(RADIANS('13_시나리오비교'!$C$10))+$H1103*SIN(RADIANS('13_시나리오비교'!$B$10))*COS(RADIANS('13_시나리오비교'!$C$10))+$I1103*COS(RADIANS('13_시나리오비교'!$B$10))),0)</f>
        <v/>
      </c>
      <c r="V1103" s="80">
        <f>IF($I1103&gt;0,MAX(0,$G1103*SIN(RADIANS('13_시나리오비교'!$B$11))*SIN(RADIANS('13_시나리오비교'!$C$11))+$H1103*SIN(RADIANS('13_시나리오비교'!$B$11))*COS(RADIANS('13_시나리오비교'!$C$11))+$I1103*COS(RADIANS('13_시나리오비교'!$B$11))),0)</f>
        <v/>
      </c>
      <c r="W1103" s="80">
        <f>IF($I1103&gt;0,MAX(0,$G1103*SIN(RADIANS('13_시나리오비교'!$B$12))*SIN(RADIANS('13_시나리오비교'!$C$12))+$H1103*SIN(RADIANS('13_시나리오비교'!$B$12))*COS(RADIANS('13_시나리오비교'!$C$12))+$I1103*COS(RADIANS('13_시나리오비교'!$B$12))),0)</f>
        <v/>
      </c>
      <c r="X1103" s="80">
        <f>IF($I1103&gt;0,MAX(0,$G1103*SIN(RADIANS('13_시나리오비교'!$B$13))*SIN(RADIANS('13_시나리오비교'!$C$13))+$H1103*SIN(RADIANS('13_시나리오비교'!$B$13))*COS(RADIANS('13_시나리오비교'!$C$13))+$I1103*COS(RADIANS('13_시나리오비교'!$B$13))),0)</f>
        <v/>
      </c>
      <c r="Y1103" s="80">
        <f>IF($I1103&gt;0,MAX(0,$G1103*SIN(RADIANS('13_시나리오비교'!$B$14))*SIN(RADIANS('13_시나리오비교'!$C$14))+$H1103*SIN(RADIANS('13_시나리오비교'!$B$14))*COS(RADIANS('13_시나리오비교'!$C$14))+$I1103*COS(RADIANS('13_시나리오비교'!$B$14))),0)</f>
        <v/>
      </c>
    </row>
    <row r="1104" hidden="1" outlineLevel="1">
      <c r="A1104" s="79" t="n">
        <v>12</v>
      </c>
      <c r="B1104" s="79" t="n">
        <v>28</v>
      </c>
      <c r="C1104" s="80">
        <f>(B1104-0.5)*'14_지역·상수'!$H$6</f>
        <v/>
      </c>
      <c r="D1104" s="79" t="n">
        <v>344</v>
      </c>
      <c r="E1104" s="80">
        <f>INDEX($C$4:$C$15,MATCH(A1104,$A$4:$A$15,0))</f>
        <v/>
      </c>
      <c r="F1104" s="80">
        <f>15*(C1104-12)</f>
        <v/>
      </c>
      <c r="G1104" s="80">
        <f>-COS(RADIANS(E1104))*SIN(RADIANS(F1104))</f>
        <v/>
      </c>
      <c r="H1104" s="80">
        <f>COS(RADIANS('11_발전량_모델'!$B$17))*SIN(RADIANS(E1104))-SIN(RADIANS('11_발전량_모델'!$B$17))*COS(RADIANS(E1104))*COS(RADIANS(F1104))</f>
        <v/>
      </c>
      <c r="I1104" s="80">
        <f>SIN(RADIANS('11_발전량_모델'!$B$17))*SIN(RADIANS(E1104))+COS(RADIANS('11_발전량_모델'!$B$17))*COS(RADIANS(E1104))*COS(RADIANS(F1104))</f>
        <v/>
      </c>
      <c r="J1104" s="80">
        <f>SIN(RADIANS('11_발전량_모델'!$B$7))*SIN(RADIANS('11_발전량_모델'!$B$8))</f>
        <v/>
      </c>
      <c r="K1104" s="80">
        <f>SIN(RADIANS('11_발전량_모델'!$B$7))*COS(RADIANS('11_발전량_모델'!$B$8))</f>
        <v/>
      </c>
      <c r="L1104" s="80">
        <f>COS(RADIANS('11_발전량_모델'!$B$7))</f>
        <v/>
      </c>
      <c r="M1104" s="80">
        <f>G1104*J1104+H1104*K1104+I1104*L1104</f>
        <v/>
      </c>
      <c r="N1104" s="80">
        <f>MAX(0,I1104)</f>
        <v/>
      </c>
      <c r="O1104" s="80">
        <f>IF(I1104&gt;0,MAX(0,M1104),0)</f>
        <v/>
      </c>
      <c r="P1104" s="80">
        <f>IF($I1104&gt;0,MAX(0,$G1104*SIN(RADIANS('13_시나리오비교'!$B$5))*SIN(RADIANS('13_시나리오비교'!$C$5))+$H1104*SIN(RADIANS('13_시나리오비교'!$B$5))*COS(RADIANS('13_시나리오비교'!$C$5))+$I1104*COS(RADIANS('13_시나리오비교'!$B$5))),0)</f>
        <v/>
      </c>
      <c r="Q1104" s="80">
        <f>IF($I1104&gt;0,MAX(0,$G1104*SIN(RADIANS('13_시나리오비교'!$B$6))*SIN(RADIANS('13_시나리오비교'!$C$6))+$H1104*SIN(RADIANS('13_시나리오비교'!$B$6))*COS(RADIANS('13_시나리오비교'!$C$6))+$I1104*COS(RADIANS('13_시나리오비교'!$B$6))),0)</f>
        <v/>
      </c>
      <c r="R1104" s="80">
        <f>IF($I1104&gt;0,MAX(0,$G1104*SIN(RADIANS('13_시나리오비교'!$B$7))*SIN(RADIANS('13_시나리오비교'!$C$7))+$H1104*SIN(RADIANS('13_시나리오비교'!$B$7))*COS(RADIANS('13_시나리오비교'!$C$7))+$I1104*COS(RADIANS('13_시나리오비교'!$B$7))),0)</f>
        <v/>
      </c>
      <c r="S1104" s="80">
        <f>IF($I1104&gt;0,MAX(0,$G1104*SIN(RADIANS('13_시나리오비교'!$B$8))*SIN(RADIANS('13_시나리오비교'!$C$8))+$H1104*SIN(RADIANS('13_시나리오비교'!$B$8))*COS(RADIANS('13_시나리오비교'!$C$8))+$I1104*COS(RADIANS('13_시나리오비교'!$B$8))),0)</f>
        <v/>
      </c>
      <c r="T1104" s="80">
        <f>IF($I1104&gt;0,MAX(0,$G1104*SIN(RADIANS('13_시나리오비교'!$B$9))*SIN(RADIANS('13_시나리오비교'!$C$9))+$H1104*SIN(RADIANS('13_시나리오비교'!$B$9))*COS(RADIANS('13_시나리오비교'!$C$9))+$I1104*COS(RADIANS('13_시나리오비교'!$B$9))),0)</f>
        <v/>
      </c>
      <c r="U1104" s="80">
        <f>IF($I1104&gt;0,MAX(0,$G1104*SIN(RADIANS('13_시나리오비교'!$B$10))*SIN(RADIANS('13_시나리오비교'!$C$10))+$H1104*SIN(RADIANS('13_시나리오비교'!$B$10))*COS(RADIANS('13_시나리오비교'!$C$10))+$I1104*COS(RADIANS('13_시나리오비교'!$B$10))),0)</f>
        <v/>
      </c>
      <c r="V1104" s="80">
        <f>IF($I1104&gt;0,MAX(0,$G1104*SIN(RADIANS('13_시나리오비교'!$B$11))*SIN(RADIANS('13_시나리오비교'!$C$11))+$H1104*SIN(RADIANS('13_시나리오비교'!$B$11))*COS(RADIANS('13_시나리오비교'!$C$11))+$I1104*COS(RADIANS('13_시나리오비교'!$B$11))),0)</f>
        <v/>
      </c>
      <c r="W1104" s="80">
        <f>IF($I1104&gt;0,MAX(0,$G1104*SIN(RADIANS('13_시나리오비교'!$B$12))*SIN(RADIANS('13_시나리오비교'!$C$12))+$H1104*SIN(RADIANS('13_시나리오비교'!$B$12))*COS(RADIANS('13_시나리오비교'!$C$12))+$I1104*COS(RADIANS('13_시나리오비교'!$B$12))),0)</f>
        <v/>
      </c>
      <c r="X1104" s="80">
        <f>IF($I1104&gt;0,MAX(0,$G1104*SIN(RADIANS('13_시나리오비교'!$B$13))*SIN(RADIANS('13_시나리오비교'!$C$13))+$H1104*SIN(RADIANS('13_시나리오비교'!$B$13))*COS(RADIANS('13_시나리오비교'!$C$13))+$I1104*COS(RADIANS('13_시나리오비교'!$B$13))),0)</f>
        <v/>
      </c>
      <c r="Y1104" s="80">
        <f>IF($I1104&gt;0,MAX(0,$G1104*SIN(RADIANS('13_시나리오비교'!$B$14))*SIN(RADIANS('13_시나리오비교'!$C$14))+$H1104*SIN(RADIANS('13_시나리오비교'!$B$14))*COS(RADIANS('13_시나리오비교'!$C$14))+$I1104*COS(RADIANS('13_시나리오비교'!$B$14))),0)</f>
        <v/>
      </c>
    </row>
    <row r="1105" hidden="1" outlineLevel="1">
      <c r="A1105" s="79" t="n">
        <v>12</v>
      </c>
      <c r="B1105" s="79" t="n">
        <v>29</v>
      </c>
      <c r="C1105" s="80">
        <f>(B1105-0.5)*'14_지역·상수'!$H$6</f>
        <v/>
      </c>
      <c r="D1105" s="79" t="n">
        <v>344</v>
      </c>
      <c r="E1105" s="80">
        <f>INDEX($C$4:$C$15,MATCH(A1105,$A$4:$A$15,0))</f>
        <v/>
      </c>
      <c r="F1105" s="80">
        <f>15*(C1105-12)</f>
        <v/>
      </c>
      <c r="G1105" s="80">
        <f>-COS(RADIANS(E1105))*SIN(RADIANS(F1105))</f>
        <v/>
      </c>
      <c r="H1105" s="80">
        <f>COS(RADIANS('11_발전량_모델'!$B$17))*SIN(RADIANS(E1105))-SIN(RADIANS('11_발전량_모델'!$B$17))*COS(RADIANS(E1105))*COS(RADIANS(F1105))</f>
        <v/>
      </c>
      <c r="I1105" s="80">
        <f>SIN(RADIANS('11_발전량_모델'!$B$17))*SIN(RADIANS(E1105))+COS(RADIANS('11_발전량_모델'!$B$17))*COS(RADIANS(E1105))*COS(RADIANS(F1105))</f>
        <v/>
      </c>
      <c r="J1105" s="80">
        <f>SIN(RADIANS('11_발전량_모델'!$B$7))*SIN(RADIANS('11_발전량_모델'!$B$8))</f>
        <v/>
      </c>
      <c r="K1105" s="80">
        <f>SIN(RADIANS('11_발전량_모델'!$B$7))*COS(RADIANS('11_발전량_모델'!$B$8))</f>
        <v/>
      </c>
      <c r="L1105" s="80">
        <f>COS(RADIANS('11_발전량_모델'!$B$7))</f>
        <v/>
      </c>
      <c r="M1105" s="80">
        <f>G1105*J1105+H1105*K1105+I1105*L1105</f>
        <v/>
      </c>
      <c r="N1105" s="80">
        <f>MAX(0,I1105)</f>
        <v/>
      </c>
      <c r="O1105" s="80">
        <f>IF(I1105&gt;0,MAX(0,M1105),0)</f>
        <v/>
      </c>
      <c r="P1105" s="80">
        <f>IF($I1105&gt;0,MAX(0,$G1105*SIN(RADIANS('13_시나리오비교'!$B$5))*SIN(RADIANS('13_시나리오비교'!$C$5))+$H1105*SIN(RADIANS('13_시나리오비교'!$B$5))*COS(RADIANS('13_시나리오비교'!$C$5))+$I1105*COS(RADIANS('13_시나리오비교'!$B$5))),0)</f>
        <v/>
      </c>
      <c r="Q1105" s="80">
        <f>IF($I1105&gt;0,MAX(0,$G1105*SIN(RADIANS('13_시나리오비교'!$B$6))*SIN(RADIANS('13_시나리오비교'!$C$6))+$H1105*SIN(RADIANS('13_시나리오비교'!$B$6))*COS(RADIANS('13_시나리오비교'!$C$6))+$I1105*COS(RADIANS('13_시나리오비교'!$B$6))),0)</f>
        <v/>
      </c>
      <c r="R1105" s="80">
        <f>IF($I1105&gt;0,MAX(0,$G1105*SIN(RADIANS('13_시나리오비교'!$B$7))*SIN(RADIANS('13_시나리오비교'!$C$7))+$H1105*SIN(RADIANS('13_시나리오비교'!$B$7))*COS(RADIANS('13_시나리오비교'!$C$7))+$I1105*COS(RADIANS('13_시나리오비교'!$B$7))),0)</f>
        <v/>
      </c>
      <c r="S1105" s="80">
        <f>IF($I1105&gt;0,MAX(0,$G1105*SIN(RADIANS('13_시나리오비교'!$B$8))*SIN(RADIANS('13_시나리오비교'!$C$8))+$H1105*SIN(RADIANS('13_시나리오비교'!$B$8))*COS(RADIANS('13_시나리오비교'!$C$8))+$I1105*COS(RADIANS('13_시나리오비교'!$B$8))),0)</f>
        <v/>
      </c>
      <c r="T1105" s="80">
        <f>IF($I1105&gt;0,MAX(0,$G1105*SIN(RADIANS('13_시나리오비교'!$B$9))*SIN(RADIANS('13_시나리오비교'!$C$9))+$H1105*SIN(RADIANS('13_시나리오비교'!$B$9))*COS(RADIANS('13_시나리오비교'!$C$9))+$I1105*COS(RADIANS('13_시나리오비교'!$B$9))),0)</f>
        <v/>
      </c>
      <c r="U1105" s="80">
        <f>IF($I1105&gt;0,MAX(0,$G1105*SIN(RADIANS('13_시나리오비교'!$B$10))*SIN(RADIANS('13_시나리오비교'!$C$10))+$H1105*SIN(RADIANS('13_시나리오비교'!$B$10))*COS(RADIANS('13_시나리오비교'!$C$10))+$I1105*COS(RADIANS('13_시나리오비교'!$B$10))),0)</f>
        <v/>
      </c>
      <c r="V1105" s="80">
        <f>IF($I1105&gt;0,MAX(0,$G1105*SIN(RADIANS('13_시나리오비교'!$B$11))*SIN(RADIANS('13_시나리오비교'!$C$11))+$H1105*SIN(RADIANS('13_시나리오비교'!$B$11))*COS(RADIANS('13_시나리오비교'!$C$11))+$I1105*COS(RADIANS('13_시나리오비교'!$B$11))),0)</f>
        <v/>
      </c>
      <c r="W1105" s="80">
        <f>IF($I1105&gt;0,MAX(0,$G1105*SIN(RADIANS('13_시나리오비교'!$B$12))*SIN(RADIANS('13_시나리오비교'!$C$12))+$H1105*SIN(RADIANS('13_시나리오비교'!$B$12))*COS(RADIANS('13_시나리오비교'!$C$12))+$I1105*COS(RADIANS('13_시나리오비교'!$B$12))),0)</f>
        <v/>
      </c>
      <c r="X1105" s="80">
        <f>IF($I1105&gt;0,MAX(0,$G1105*SIN(RADIANS('13_시나리오비교'!$B$13))*SIN(RADIANS('13_시나리오비교'!$C$13))+$H1105*SIN(RADIANS('13_시나리오비교'!$B$13))*COS(RADIANS('13_시나리오비교'!$C$13))+$I1105*COS(RADIANS('13_시나리오비교'!$B$13))),0)</f>
        <v/>
      </c>
      <c r="Y1105" s="80">
        <f>IF($I1105&gt;0,MAX(0,$G1105*SIN(RADIANS('13_시나리오비교'!$B$14))*SIN(RADIANS('13_시나리오비교'!$C$14))+$H1105*SIN(RADIANS('13_시나리오비교'!$B$14))*COS(RADIANS('13_시나리오비교'!$C$14))+$I1105*COS(RADIANS('13_시나리오비교'!$B$14))),0)</f>
        <v/>
      </c>
    </row>
    <row r="1106" hidden="1" outlineLevel="1">
      <c r="A1106" s="79" t="n">
        <v>12</v>
      </c>
      <c r="B1106" s="79" t="n">
        <v>30</v>
      </c>
      <c r="C1106" s="80">
        <f>(B1106-0.5)*'14_지역·상수'!$H$6</f>
        <v/>
      </c>
      <c r="D1106" s="79" t="n">
        <v>344</v>
      </c>
      <c r="E1106" s="80">
        <f>INDEX($C$4:$C$15,MATCH(A1106,$A$4:$A$15,0))</f>
        <v/>
      </c>
      <c r="F1106" s="80">
        <f>15*(C1106-12)</f>
        <v/>
      </c>
      <c r="G1106" s="80">
        <f>-COS(RADIANS(E1106))*SIN(RADIANS(F1106))</f>
        <v/>
      </c>
      <c r="H1106" s="80">
        <f>COS(RADIANS('11_발전량_모델'!$B$17))*SIN(RADIANS(E1106))-SIN(RADIANS('11_발전량_모델'!$B$17))*COS(RADIANS(E1106))*COS(RADIANS(F1106))</f>
        <v/>
      </c>
      <c r="I1106" s="80">
        <f>SIN(RADIANS('11_발전량_모델'!$B$17))*SIN(RADIANS(E1106))+COS(RADIANS('11_발전량_모델'!$B$17))*COS(RADIANS(E1106))*COS(RADIANS(F1106))</f>
        <v/>
      </c>
      <c r="J1106" s="80">
        <f>SIN(RADIANS('11_발전량_모델'!$B$7))*SIN(RADIANS('11_발전량_모델'!$B$8))</f>
        <v/>
      </c>
      <c r="K1106" s="80">
        <f>SIN(RADIANS('11_발전량_모델'!$B$7))*COS(RADIANS('11_발전량_모델'!$B$8))</f>
        <v/>
      </c>
      <c r="L1106" s="80">
        <f>COS(RADIANS('11_발전량_모델'!$B$7))</f>
        <v/>
      </c>
      <c r="M1106" s="80">
        <f>G1106*J1106+H1106*K1106+I1106*L1106</f>
        <v/>
      </c>
      <c r="N1106" s="80">
        <f>MAX(0,I1106)</f>
        <v/>
      </c>
      <c r="O1106" s="80">
        <f>IF(I1106&gt;0,MAX(0,M1106),0)</f>
        <v/>
      </c>
      <c r="P1106" s="80">
        <f>IF($I1106&gt;0,MAX(0,$G1106*SIN(RADIANS('13_시나리오비교'!$B$5))*SIN(RADIANS('13_시나리오비교'!$C$5))+$H1106*SIN(RADIANS('13_시나리오비교'!$B$5))*COS(RADIANS('13_시나리오비교'!$C$5))+$I1106*COS(RADIANS('13_시나리오비교'!$B$5))),0)</f>
        <v/>
      </c>
      <c r="Q1106" s="80">
        <f>IF($I1106&gt;0,MAX(0,$G1106*SIN(RADIANS('13_시나리오비교'!$B$6))*SIN(RADIANS('13_시나리오비교'!$C$6))+$H1106*SIN(RADIANS('13_시나리오비교'!$B$6))*COS(RADIANS('13_시나리오비교'!$C$6))+$I1106*COS(RADIANS('13_시나리오비교'!$B$6))),0)</f>
        <v/>
      </c>
      <c r="R1106" s="80">
        <f>IF($I1106&gt;0,MAX(0,$G1106*SIN(RADIANS('13_시나리오비교'!$B$7))*SIN(RADIANS('13_시나리오비교'!$C$7))+$H1106*SIN(RADIANS('13_시나리오비교'!$B$7))*COS(RADIANS('13_시나리오비교'!$C$7))+$I1106*COS(RADIANS('13_시나리오비교'!$B$7))),0)</f>
        <v/>
      </c>
      <c r="S1106" s="80">
        <f>IF($I1106&gt;0,MAX(0,$G1106*SIN(RADIANS('13_시나리오비교'!$B$8))*SIN(RADIANS('13_시나리오비교'!$C$8))+$H1106*SIN(RADIANS('13_시나리오비교'!$B$8))*COS(RADIANS('13_시나리오비교'!$C$8))+$I1106*COS(RADIANS('13_시나리오비교'!$B$8))),0)</f>
        <v/>
      </c>
      <c r="T1106" s="80">
        <f>IF($I1106&gt;0,MAX(0,$G1106*SIN(RADIANS('13_시나리오비교'!$B$9))*SIN(RADIANS('13_시나리오비교'!$C$9))+$H1106*SIN(RADIANS('13_시나리오비교'!$B$9))*COS(RADIANS('13_시나리오비교'!$C$9))+$I1106*COS(RADIANS('13_시나리오비교'!$B$9))),0)</f>
        <v/>
      </c>
      <c r="U1106" s="80">
        <f>IF($I1106&gt;0,MAX(0,$G1106*SIN(RADIANS('13_시나리오비교'!$B$10))*SIN(RADIANS('13_시나리오비교'!$C$10))+$H1106*SIN(RADIANS('13_시나리오비교'!$B$10))*COS(RADIANS('13_시나리오비교'!$C$10))+$I1106*COS(RADIANS('13_시나리오비교'!$B$10))),0)</f>
        <v/>
      </c>
      <c r="V1106" s="80">
        <f>IF($I1106&gt;0,MAX(0,$G1106*SIN(RADIANS('13_시나리오비교'!$B$11))*SIN(RADIANS('13_시나리오비교'!$C$11))+$H1106*SIN(RADIANS('13_시나리오비교'!$B$11))*COS(RADIANS('13_시나리오비교'!$C$11))+$I1106*COS(RADIANS('13_시나리오비교'!$B$11))),0)</f>
        <v/>
      </c>
      <c r="W1106" s="80">
        <f>IF($I1106&gt;0,MAX(0,$G1106*SIN(RADIANS('13_시나리오비교'!$B$12))*SIN(RADIANS('13_시나리오비교'!$C$12))+$H1106*SIN(RADIANS('13_시나리오비교'!$B$12))*COS(RADIANS('13_시나리오비교'!$C$12))+$I1106*COS(RADIANS('13_시나리오비교'!$B$12))),0)</f>
        <v/>
      </c>
      <c r="X1106" s="80">
        <f>IF($I1106&gt;0,MAX(0,$G1106*SIN(RADIANS('13_시나리오비교'!$B$13))*SIN(RADIANS('13_시나리오비교'!$C$13))+$H1106*SIN(RADIANS('13_시나리오비교'!$B$13))*COS(RADIANS('13_시나리오비교'!$C$13))+$I1106*COS(RADIANS('13_시나리오비교'!$B$13))),0)</f>
        <v/>
      </c>
      <c r="Y1106" s="80">
        <f>IF($I1106&gt;0,MAX(0,$G1106*SIN(RADIANS('13_시나리오비교'!$B$14))*SIN(RADIANS('13_시나리오비교'!$C$14))+$H1106*SIN(RADIANS('13_시나리오비교'!$B$14))*COS(RADIANS('13_시나리오비교'!$C$14))+$I1106*COS(RADIANS('13_시나리오비교'!$B$14))),0)</f>
        <v/>
      </c>
    </row>
    <row r="1107" hidden="1" outlineLevel="1">
      <c r="A1107" s="79" t="n">
        <v>12</v>
      </c>
      <c r="B1107" s="79" t="n">
        <v>31</v>
      </c>
      <c r="C1107" s="80">
        <f>(B1107-0.5)*'14_지역·상수'!$H$6</f>
        <v/>
      </c>
      <c r="D1107" s="79" t="n">
        <v>344</v>
      </c>
      <c r="E1107" s="80">
        <f>INDEX($C$4:$C$15,MATCH(A1107,$A$4:$A$15,0))</f>
        <v/>
      </c>
      <c r="F1107" s="80">
        <f>15*(C1107-12)</f>
        <v/>
      </c>
      <c r="G1107" s="80">
        <f>-COS(RADIANS(E1107))*SIN(RADIANS(F1107))</f>
        <v/>
      </c>
      <c r="H1107" s="80">
        <f>COS(RADIANS('11_발전량_모델'!$B$17))*SIN(RADIANS(E1107))-SIN(RADIANS('11_발전량_모델'!$B$17))*COS(RADIANS(E1107))*COS(RADIANS(F1107))</f>
        <v/>
      </c>
      <c r="I1107" s="80">
        <f>SIN(RADIANS('11_발전량_모델'!$B$17))*SIN(RADIANS(E1107))+COS(RADIANS('11_발전량_모델'!$B$17))*COS(RADIANS(E1107))*COS(RADIANS(F1107))</f>
        <v/>
      </c>
      <c r="J1107" s="80">
        <f>SIN(RADIANS('11_발전량_모델'!$B$7))*SIN(RADIANS('11_발전량_모델'!$B$8))</f>
        <v/>
      </c>
      <c r="K1107" s="80">
        <f>SIN(RADIANS('11_발전량_모델'!$B$7))*COS(RADIANS('11_발전량_모델'!$B$8))</f>
        <v/>
      </c>
      <c r="L1107" s="80">
        <f>COS(RADIANS('11_발전량_모델'!$B$7))</f>
        <v/>
      </c>
      <c r="M1107" s="80">
        <f>G1107*J1107+H1107*K1107+I1107*L1107</f>
        <v/>
      </c>
      <c r="N1107" s="80">
        <f>MAX(0,I1107)</f>
        <v/>
      </c>
      <c r="O1107" s="80">
        <f>IF(I1107&gt;0,MAX(0,M1107),0)</f>
        <v/>
      </c>
      <c r="P1107" s="80">
        <f>IF($I1107&gt;0,MAX(0,$G1107*SIN(RADIANS('13_시나리오비교'!$B$5))*SIN(RADIANS('13_시나리오비교'!$C$5))+$H1107*SIN(RADIANS('13_시나리오비교'!$B$5))*COS(RADIANS('13_시나리오비교'!$C$5))+$I1107*COS(RADIANS('13_시나리오비교'!$B$5))),0)</f>
        <v/>
      </c>
      <c r="Q1107" s="80">
        <f>IF($I1107&gt;0,MAX(0,$G1107*SIN(RADIANS('13_시나리오비교'!$B$6))*SIN(RADIANS('13_시나리오비교'!$C$6))+$H1107*SIN(RADIANS('13_시나리오비교'!$B$6))*COS(RADIANS('13_시나리오비교'!$C$6))+$I1107*COS(RADIANS('13_시나리오비교'!$B$6))),0)</f>
        <v/>
      </c>
      <c r="R1107" s="80">
        <f>IF($I1107&gt;0,MAX(0,$G1107*SIN(RADIANS('13_시나리오비교'!$B$7))*SIN(RADIANS('13_시나리오비교'!$C$7))+$H1107*SIN(RADIANS('13_시나리오비교'!$B$7))*COS(RADIANS('13_시나리오비교'!$C$7))+$I1107*COS(RADIANS('13_시나리오비교'!$B$7))),0)</f>
        <v/>
      </c>
      <c r="S1107" s="80">
        <f>IF($I1107&gt;0,MAX(0,$G1107*SIN(RADIANS('13_시나리오비교'!$B$8))*SIN(RADIANS('13_시나리오비교'!$C$8))+$H1107*SIN(RADIANS('13_시나리오비교'!$B$8))*COS(RADIANS('13_시나리오비교'!$C$8))+$I1107*COS(RADIANS('13_시나리오비교'!$B$8))),0)</f>
        <v/>
      </c>
      <c r="T1107" s="80">
        <f>IF($I1107&gt;0,MAX(0,$G1107*SIN(RADIANS('13_시나리오비교'!$B$9))*SIN(RADIANS('13_시나리오비교'!$C$9))+$H1107*SIN(RADIANS('13_시나리오비교'!$B$9))*COS(RADIANS('13_시나리오비교'!$C$9))+$I1107*COS(RADIANS('13_시나리오비교'!$B$9))),0)</f>
        <v/>
      </c>
      <c r="U1107" s="80">
        <f>IF($I1107&gt;0,MAX(0,$G1107*SIN(RADIANS('13_시나리오비교'!$B$10))*SIN(RADIANS('13_시나리오비교'!$C$10))+$H1107*SIN(RADIANS('13_시나리오비교'!$B$10))*COS(RADIANS('13_시나리오비교'!$C$10))+$I1107*COS(RADIANS('13_시나리오비교'!$B$10))),0)</f>
        <v/>
      </c>
      <c r="V1107" s="80">
        <f>IF($I1107&gt;0,MAX(0,$G1107*SIN(RADIANS('13_시나리오비교'!$B$11))*SIN(RADIANS('13_시나리오비교'!$C$11))+$H1107*SIN(RADIANS('13_시나리오비교'!$B$11))*COS(RADIANS('13_시나리오비교'!$C$11))+$I1107*COS(RADIANS('13_시나리오비교'!$B$11))),0)</f>
        <v/>
      </c>
      <c r="W1107" s="80">
        <f>IF($I1107&gt;0,MAX(0,$G1107*SIN(RADIANS('13_시나리오비교'!$B$12))*SIN(RADIANS('13_시나리오비교'!$C$12))+$H1107*SIN(RADIANS('13_시나리오비교'!$B$12))*COS(RADIANS('13_시나리오비교'!$C$12))+$I1107*COS(RADIANS('13_시나리오비교'!$B$12))),0)</f>
        <v/>
      </c>
      <c r="X1107" s="80">
        <f>IF($I1107&gt;0,MAX(0,$G1107*SIN(RADIANS('13_시나리오비교'!$B$13))*SIN(RADIANS('13_시나리오비교'!$C$13))+$H1107*SIN(RADIANS('13_시나리오비교'!$B$13))*COS(RADIANS('13_시나리오비교'!$C$13))+$I1107*COS(RADIANS('13_시나리오비교'!$B$13))),0)</f>
        <v/>
      </c>
      <c r="Y1107" s="80">
        <f>IF($I1107&gt;0,MAX(0,$G1107*SIN(RADIANS('13_시나리오비교'!$B$14))*SIN(RADIANS('13_시나리오비교'!$C$14))+$H1107*SIN(RADIANS('13_시나리오비교'!$B$14))*COS(RADIANS('13_시나리오비교'!$C$14))+$I1107*COS(RADIANS('13_시나리오비교'!$B$14))),0)</f>
        <v/>
      </c>
    </row>
    <row r="1108" hidden="1" outlineLevel="1">
      <c r="A1108" s="79" t="n">
        <v>12</v>
      </c>
      <c r="B1108" s="79" t="n">
        <v>32</v>
      </c>
      <c r="C1108" s="80">
        <f>(B1108-0.5)*'14_지역·상수'!$H$6</f>
        <v/>
      </c>
      <c r="D1108" s="79" t="n">
        <v>344</v>
      </c>
      <c r="E1108" s="80">
        <f>INDEX($C$4:$C$15,MATCH(A1108,$A$4:$A$15,0))</f>
        <v/>
      </c>
      <c r="F1108" s="80">
        <f>15*(C1108-12)</f>
        <v/>
      </c>
      <c r="G1108" s="80">
        <f>-COS(RADIANS(E1108))*SIN(RADIANS(F1108))</f>
        <v/>
      </c>
      <c r="H1108" s="80">
        <f>COS(RADIANS('11_발전량_모델'!$B$17))*SIN(RADIANS(E1108))-SIN(RADIANS('11_발전량_모델'!$B$17))*COS(RADIANS(E1108))*COS(RADIANS(F1108))</f>
        <v/>
      </c>
      <c r="I1108" s="80">
        <f>SIN(RADIANS('11_발전량_모델'!$B$17))*SIN(RADIANS(E1108))+COS(RADIANS('11_발전량_모델'!$B$17))*COS(RADIANS(E1108))*COS(RADIANS(F1108))</f>
        <v/>
      </c>
      <c r="J1108" s="80">
        <f>SIN(RADIANS('11_발전량_모델'!$B$7))*SIN(RADIANS('11_발전량_모델'!$B$8))</f>
        <v/>
      </c>
      <c r="K1108" s="80">
        <f>SIN(RADIANS('11_발전량_모델'!$B$7))*COS(RADIANS('11_발전량_모델'!$B$8))</f>
        <v/>
      </c>
      <c r="L1108" s="80">
        <f>COS(RADIANS('11_발전량_모델'!$B$7))</f>
        <v/>
      </c>
      <c r="M1108" s="80">
        <f>G1108*J1108+H1108*K1108+I1108*L1108</f>
        <v/>
      </c>
      <c r="N1108" s="80">
        <f>MAX(0,I1108)</f>
        <v/>
      </c>
      <c r="O1108" s="80">
        <f>IF(I1108&gt;0,MAX(0,M1108),0)</f>
        <v/>
      </c>
      <c r="P1108" s="80">
        <f>IF($I1108&gt;0,MAX(0,$G1108*SIN(RADIANS('13_시나리오비교'!$B$5))*SIN(RADIANS('13_시나리오비교'!$C$5))+$H1108*SIN(RADIANS('13_시나리오비교'!$B$5))*COS(RADIANS('13_시나리오비교'!$C$5))+$I1108*COS(RADIANS('13_시나리오비교'!$B$5))),0)</f>
        <v/>
      </c>
      <c r="Q1108" s="80">
        <f>IF($I1108&gt;0,MAX(0,$G1108*SIN(RADIANS('13_시나리오비교'!$B$6))*SIN(RADIANS('13_시나리오비교'!$C$6))+$H1108*SIN(RADIANS('13_시나리오비교'!$B$6))*COS(RADIANS('13_시나리오비교'!$C$6))+$I1108*COS(RADIANS('13_시나리오비교'!$B$6))),0)</f>
        <v/>
      </c>
      <c r="R1108" s="80">
        <f>IF($I1108&gt;0,MAX(0,$G1108*SIN(RADIANS('13_시나리오비교'!$B$7))*SIN(RADIANS('13_시나리오비교'!$C$7))+$H1108*SIN(RADIANS('13_시나리오비교'!$B$7))*COS(RADIANS('13_시나리오비교'!$C$7))+$I1108*COS(RADIANS('13_시나리오비교'!$B$7))),0)</f>
        <v/>
      </c>
      <c r="S1108" s="80">
        <f>IF($I1108&gt;0,MAX(0,$G1108*SIN(RADIANS('13_시나리오비교'!$B$8))*SIN(RADIANS('13_시나리오비교'!$C$8))+$H1108*SIN(RADIANS('13_시나리오비교'!$B$8))*COS(RADIANS('13_시나리오비교'!$C$8))+$I1108*COS(RADIANS('13_시나리오비교'!$B$8))),0)</f>
        <v/>
      </c>
      <c r="T1108" s="80">
        <f>IF($I1108&gt;0,MAX(0,$G1108*SIN(RADIANS('13_시나리오비교'!$B$9))*SIN(RADIANS('13_시나리오비교'!$C$9))+$H1108*SIN(RADIANS('13_시나리오비교'!$B$9))*COS(RADIANS('13_시나리오비교'!$C$9))+$I1108*COS(RADIANS('13_시나리오비교'!$B$9))),0)</f>
        <v/>
      </c>
      <c r="U1108" s="80">
        <f>IF($I1108&gt;0,MAX(0,$G1108*SIN(RADIANS('13_시나리오비교'!$B$10))*SIN(RADIANS('13_시나리오비교'!$C$10))+$H1108*SIN(RADIANS('13_시나리오비교'!$B$10))*COS(RADIANS('13_시나리오비교'!$C$10))+$I1108*COS(RADIANS('13_시나리오비교'!$B$10))),0)</f>
        <v/>
      </c>
      <c r="V1108" s="80">
        <f>IF($I1108&gt;0,MAX(0,$G1108*SIN(RADIANS('13_시나리오비교'!$B$11))*SIN(RADIANS('13_시나리오비교'!$C$11))+$H1108*SIN(RADIANS('13_시나리오비교'!$B$11))*COS(RADIANS('13_시나리오비교'!$C$11))+$I1108*COS(RADIANS('13_시나리오비교'!$B$11))),0)</f>
        <v/>
      </c>
      <c r="W1108" s="80">
        <f>IF($I1108&gt;0,MAX(0,$G1108*SIN(RADIANS('13_시나리오비교'!$B$12))*SIN(RADIANS('13_시나리오비교'!$C$12))+$H1108*SIN(RADIANS('13_시나리오비교'!$B$12))*COS(RADIANS('13_시나리오비교'!$C$12))+$I1108*COS(RADIANS('13_시나리오비교'!$B$12))),0)</f>
        <v/>
      </c>
      <c r="X1108" s="80">
        <f>IF($I1108&gt;0,MAX(0,$G1108*SIN(RADIANS('13_시나리오비교'!$B$13))*SIN(RADIANS('13_시나리오비교'!$C$13))+$H1108*SIN(RADIANS('13_시나리오비교'!$B$13))*COS(RADIANS('13_시나리오비교'!$C$13))+$I1108*COS(RADIANS('13_시나리오비교'!$B$13))),0)</f>
        <v/>
      </c>
      <c r="Y1108" s="80">
        <f>IF($I1108&gt;0,MAX(0,$G1108*SIN(RADIANS('13_시나리오비교'!$B$14))*SIN(RADIANS('13_시나리오비교'!$C$14))+$H1108*SIN(RADIANS('13_시나리오비교'!$B$14))*COS(RADIANS('13_시나리오비교'!$C$14))+$I1108*COS(RADIANS('13_시나리오비교'!$B$14))),0)</f>
        <v/>
      </c>
    </row>
    <row r="1109" hidden="1" outlineLevel="1">
      <c r="A1109" s="79" t="n">
        <v>12</v>
      </c>
      <c r="B1109" s="79" t="n">
        <v>33</v>
      </c>
      <c r="C1109" s="80">
        <f>(B1109-0.5)*'14_지역·상수'!$H$6</f>
        <v/>
      </c>
      <c r="D1109" s="79" t="n">
        <v>344</v>
      </c>
      <c r="E1109" s="80">
        <f>INDEX($C$4:$C$15,MATCH(A1109,$A$4:$A$15,0))</f>
        <v/>
      </c>
      <c r="F1109" s="80">
        <f>15*(C1109-12)</f>
        <v/>
      </c>
      <c r="G1109" s="80">
        <f>-COS(RADIANS(E1109))*SIN(RADIANS(F1109))</f>
        <v/>
      </c>
      <c r="H1109" s="80">
        <f>COS(RADIANS('11_발전량_모델'!$B$17))*SIN(RADIANS(E1109))-SIN(RADIANS('11_발전량_모델'!$B$17))*COS(RADIANS(E1109))*COS(RADIANS(F1109))</f>
        <v/>
      </c>
      <c r="I1109" s="80">
        <f>SIN(RADIANS('11_발전량_모델'!$B$17))*SIN(RADIANS(E1109))+COS(RADIANS('11_발전량_모델'!$B$17))*COS(RADIANS(E1109))*COS(RADIANS(F1109))</f>
        <v/>
      </c>
      <c r="J1109" s="80">
        <f>SIN(RADIANS('11_발전량_모델'!$B$7))*SIN(RADIANS('11_발전량_모델'!$B$8))</f>
        <v/>
      </c>
      <c r="K1109" s="80">
        <f>SIN(RADIANS('11_발전량_모델'!$B$7))*COS(RADIANS('11_발전량_모델'!$B$8))</f>
        <v/>
      </c>
      <c r="L1109" s="80">
        <f>COS(RADIANS('11_발전량_모델'!$B$7))</f>
        <v/>
      </c>
      <c r="M1109" s="80">
        <f>G1109*J1109+H1109*K1109+I1109*L1109</f>
        <v/>
      </c>
      <c r="N1109" s="80">
        <f>MAX(0,I1109)</f>
        <v/>
      </c>
      <c r="O1109" s="80">
        <f>IF(I1109&gt;0,MAX(0,M1109),0)</f>
        <v/>
      </c>
      <c r="P1109" s="80">
        <f>IF($I1109&gt;0,MAX(0,$G1109*SIN(RADIANS('13_시나리오비교'!$B$5))*SIN(RADIANS('13_시나리오비교'!$C$5))+$H1109*SIN(RADIANS('13_시나리오비교'!$B$5))*COS(RADIANS('13_시나리오비교'!$C$5))+$I1109*COS(RADIANS('13_시나리오비교'!$B$5))),0)</f>
        <v/>
      </c>
      <c r="Q1109" s="80">
        <f>IF($I1109&gt;0,MAX(0,$G1109*SIN(RADIANS('13_시나리오비교'!$B$6))*SIN(RADIANS('13_시나리오비교'!$C$6))+$H1109*SIN(RADIANS('13_시나리오비교'!$B$6))*COS(RADIANS('13_시나리오비교'!$C$6))+$I1109*COS(RADIANS('13_시나리오비교'!$B$6))),0)</f>
        <v/>
      </c>
      <c r="R1109" s="80">
        <f>IF($I1109&gt;0,MAX(0,$G1109*SIN(RADIANS('13_시나리오비교'!$B$7))*SIN(RADIANS('13_시나리오비교'!$C$7))+$H1109*SIN(RADIANS('13_시나리오비교'!$B$7))*COS(RADIANS('13_시나리오비교'!$C$7))+$I1109*COS(RADIANS('13_시나리오비교'!$B$7))),0)</f>
        <v/>
      </c>
      <c r="S1109" s="80">
        <f>IF($I1109&gt;0,MAX(0,$G1109*SIN(RADIANS('13_시나리오비교'!$B$8))*SIN(RADIANS('13_시나리오비교'!$C$8))+$H1109*SIN(RADIANS('13_시나리오비교'!$B$8))*COS(RADIANS('13_시나리오비교'!$C$8))+$I1109*COS(RADIANS('13_시나리오비교'!$B$8))),0)</f>
        <v/>
      </c>
      <c r="T1109" s="80">
        <f>IF($I1109&gt;0,MAX(0,$G1109*SIN(RADIANS('13_시나리오비교'!$B$9))*SIN(RADIANS('13_시나리오비교'!$C$9))+$H1109*SIN(RADIANS('13_시나리오비교'!$B$9))*COS(RADIANS('13_시나리오비교'!$C$9))+$I1109*COS(RADIANS('13_시나리오비교'!$B$9))),0)</f>
        <v/>
      </c>
      <c r="U1109" s="80">
        <f>IF($I1109&gt;0,MAX(0,$G1109*SIN(RADIANS('13_시나리오비교'!$B$10))*SIN(RADIANS('13_시나리오비교'!$C$10))+$H1109*SIN(RADIANS('13_시나리오비교'!$B$10))*COS(RADIANS('13_시나리오비교'!$C$10))+$I1109*COS(RADIANS('13_시나리오비교'!$B$10))),0)</f>
        <v/>
      </c>
      <c r="V1109" s="80">
        <f>IF($I1109&gt;0,MAX(0,$G1109*SIN(RADIANS('13_시나리오비교'!$B$11))*SIN(RADIANS('13_시나리오비교'!$C$11))+$H1109*SIN(RADIANS('13_시나리오비교'!$B$11))*COS(RADIANS('13_시나리오비교'!$C$11))+$I1109*COS(RADIANS('13_시나리오비교'!$B$11))),0)</f>
        <v/>
      </c>
      <c r="W1109" s="80">
        <f>IF($I1109&gt;0,MAX(0,$G1109*SIN(RADIANS('13_시나리오비교'!$B$12))*SIN(RADIANS('13_시나리오비교'!$C$12))+$H1109*SIN(RADIANS('13_시나리오비교'!$B$12))*COS(RADIANS('13_시나리오비교'!$C$12))+$I1109*COS(RADIANS('13_시나리오비교'!$B$12))),0)</f>
        <v/>
      </c>
      <c r="X1109" s="80">
        <f>IF($I1109&gt;0,MAX(0,$G1109*SIN(RADIANS('13_시나리오비교'!$B$13))*SIN(RADIANS('13_시나리오비교'!$C$13))+$H1109*SIN(RADIANS('13_시나리오비교'!$B$13))*COS(RADIANS('13_시나리오비교'!$C$13))+$I1109*COS(RADIANS('13_시나리오비교'!$B$13))),0)</f>
        <v/>
      </c>
      <c r="Y1109" s="80">
        <f>IF($I1109&gt;0,MAX(0,$G1109*SIN(RADIANS('13_시나리오비교'!$B$14))*SIN(RADIANS('13_시나리오비교'!$C$14))+$H1109*SIN(RADIANS('13_시나리오비교'!$B$14))*COS(RADIANS('13_시나리오비교'!$C$14))+$I1109*COS(RADIANS('13_시나리오비교'!$B$14))),0)</f>
        <v/>
      </c>
    </row>
    <row r="1110" hidden="1" outlineLevel="1">
      <c r="A1110" s="79" t="n">
        <v>12</v>
      </c>
      <c r="B1110" s="79" t="n">
        <v>34</v>
      </c>
      <c r="C1110" s="80">
        <f>(B1110-0.5)*'14_지역·상수'!$H$6</f>
        <v/>
      </c>
      <c r="D1110" s="79" t="n">
        <v>344</v>
      </c>
      <c r="E1110" s="80">
        <f>INDEX($C$4:$C$15,MATCH(A1110,$A$4:$A$15,0))</f>
        <v/>
      </c>
      <c r="F1110" s="80">
        <f>15*(C1110-12)</f>
        <v/>
      </c>
      <c r="G1110" s="80">
        <f>-COS(RADIANS(E1110))*SIN(RADIANS(F1110))</f>
        <v/>
      </c>
      <c r="H1110" s="80">
        <f>COS(RADIANS('11_발전량_모델'!$B$17))*SIN(RADIANS(E1110))-SIN(RADIANS('11_발전량_모델'!$B$17))*COS(RADIANS(E1110))*COS(RADIANS(F1110))</f>
        <v/>
      </c>
      <c r="I1110" s="80">
        <f>SIN(RADIANS('11_발전량_모델'!$B$17))*SIN(RADIANS(E1110))+COS(RADIANS('11_발전량_모델'!$B$17))*COS(RADIANS(E1110))*COS(RADIANS(F1110))</f>
        <v/>
      </c>
      <c r="J1110" s="80">
        <f>SIN(RADIANS('11_발전량_모델'!$B$7))*SIN(RADIANS('11_발전량_모델'!$B$8))</f>
        <v/>
      </c>
      <c r="K1110" s="80">
        <f>SIN(RADIANS('11_발전량_모델'!$B$7))*COS(RADIANS('11_발전량_모델'!$B$8))</f>
        <v/>
      </c>
      <c r="L1110" s="80">
        <f>COS(RADIANS('11_발전량_모델'!$B$7))</f>
        <v/>
      </c>
      <c r="M1110" s="80">
        <f>G1110*J1110+H1110*K1110+I1110*L1110</f>
        <v/>
      </c>
      <c r="N1110" s="80">
        <f>MAX(0,I1110)</f>
        <v/>
      </c>
      <c r="O1110" s="80">
        <f>IF(I1110&gt;0,MAX(0,M1110),0)</f>
        <v/>
      </c>
      <c r="P1110" s="80">
        <f>IF($I1110&gt;0,MAX(0,$G1110*SIN(RADIANS('13_시나리오비교'!$B$5))*SIN(RADIANS('13_시나리오비교'!$C$5))+$H1110*SIN(RADIANS('13_시나리오비교'!$B$5))*COS(RADIANS('13_시나리오비교'!$C$5))+$I1110*COS(RADIANS('13_시나리오비교'!$B$5))),0)</f>
        <v/>
      </c>
      <c r="Q1110" s="80">
        <f>IF($I1110&gt;0,MAX(0,$G1110*SIN(RADIANS('13_시나리오비교'!$B$6))*SIN(RADIANS('13_시나리오비교'!$C$6))+$H1110*SIN(RADIANS('13_시나리오비교'!$B$6))*COS(RADIANS('13_시나리오비교'!$C$6))+$I1110*COS(RADIANS('13_시나리오비교'!$B$6))),0)</f>
        <v/>
      </c>
      <c r="R1110" s="80">
        <f>IF($I1110&gt;0,MAX(0,$G1110*SIN(RADIANS('13_시나리오비교'!$B$7))*SIN(RADIANS('13_시나리오비교'!$C$7))+$H1110*SIN(RADIANS('13_시나리오비교'!$B$7))*COS(RADIANS('13_시나리오비교'!$C$7))+$I1110*COS(RADIANS('13_시나리오비교'!$B$7))),0)</f>
        <v/>
      </c>
      <c r="S1110" s="80">
        <f>IF($I1110&gt;0,MAX(0,$G1110*SIN(RADIANS('13_시나리오비교'!$B$8))*SIN(RADIANS('13_시나리오비교'!$C$8))+$H1110*SIN(RADIANS('13_시나리오비교'!$B$8))*COS(RADIANS('13_시나리오비교'!$C$8))+$I1110*COS(RADIANS('13_시나리오비교'!$B$8))),0)</f>
        <v/>
      </c>
      <c r="T1110" s="80">
        <f>IF($I1110&gt;0,MAX(0,$G1110*SIN(RADIANS('13_시나리오비교'!$B$9))*SIN(RADIANS('13_시나리오비교'!$C$9))+$H1110*SIN(RADIANS('13_시나리오비교'!$B$9))*COS(RADIANS('13_시나리오비교'!$C$9))+$I1110*COS(RADIANS('13_시나리오비교'!$B$9))),0)</f>
        <v/>
      </c>
      <c r="U1110" s="80">
        <f>IF($I1110&gt;0,MAX(0,$G1110*SIN(RADIANS('13_시나리오비교'!$B$10))*SIN(RADIANS('13_시나리오비교'!$C$10))+$H1110*SIN(RADIANS('13_시나리오비교'!$B$10))*COS(RADIANS('13_시나리오비교'!$C$10))+$I1110*COS(RADIANS('13_시나리오비교'!$B$10))),0)</f>
        <v/>
      </c>
      <c r="V1110" s="80">
        <f>IF($I1110&gt;0,MAX(0,$G1110*SIN(RADIANS('13_시나리오비교'!$B$11))*SIN(RADIANS('13_시나리오비교'!$C$11))+$H1110*SIN(RADIANS('13_시나리오비교'!$B$11))*COS(RADIANS('13_시나리오비교'!$C$11))+$I1110*COS(RADIANS('13_시나리오비교'!$B$11))),0)</f>
        <v/>
      </c>
      <c r="W1110" s="80">
        <f>IF($I1110&gt;0,MAX(0,$G1110*SIN(RADIANS('13_시나리오비교'!$B$12))*SIN(RADIANS('13_시나리오비교'!$C$12))+$H1110*SIN(RADIANS('13_시나리오비교'!$B$12))*COS(RADIANS('13_시나리오비교'!$C$12))+$I1110*COS(RADIANS('13_시나리오비교'!$B$12))),0)</f>
        <v/>
      </c>
      <c r="X1110" s="80">
        <f>IF($I1110&gt;0,MAX(0,$G1110*SIN(RADIANS('13_시나리오비교'!$B$13))*SIN(RADIANS('13_시나리오비교'!$C$13))+$H1110*SIN(RADIANS('13_시나리오비교'!$B$13))*COS(RADIANS('13_시나리오비교'!$C$13))+$I1110*COS(RADIANS('13_시나리오비교'!$B$13))),0)</f>
        <v/>
      </c>
      <c r="Y1110" s="80">
        <f>IF($I1110&gt;0,MAX(0,$G1110*SIN(RADIANS('13_시나리오비교'!$B$14))*SIN(RADIANS('13_시나리오비교'!$C$14))+$H1110*SIN(RADIANS('13_시나리오비교'!$B$14))*COS(RADIANS('13_시나리오비교'!$C$14))+$I1110*COS(RADIANS('13_시나리오비교'!$B$14))),0)</f>
        <v/>
      </c>
    </row>
    <row r="1111" hidden="1" outlineLevel="1">
      <c r="A1111" s="79" t="n">
        <v>12</v>
      </c>
      <c r="B1111" s="79" t="n">
        <v>35</v>
      </c>
      <c r="C1111" s="80">
        <f>(B1111-0.5)*'14_지역·상수'!$H$6</f>
        <v/>
      </c>
      <c r="D1111" s="79" t="n">
        <v>344</v>
      </c>
      <c r="E1111" s="80">
        <f>INDEX($C$4:$C$15,MATCH(A1111,$A$4:$A$15,0))</f>
        <v/>
      </c>
      <c r="F1111" s="80">
        <f>15*(C1111-12)</f>
        <v/>
      </c>
      <c r="G1111" s="80">
        <f>-COS(RADIANS(E1111))*SIN(RADIANS(F1111))</f>
        <v/>
      </c>
      <c r="H1111" s="80">
        <f>COS(RADIANS('11_발전량_모델'!$B$17))*SIN(RADIANS(E1111))-SIN(RADIANS('11_발전량_모델'!$B$17))*COS(RADIANS(E1111))*COS(RADIANS(F1111))</f>
        <v/>
      </c>
      <c r="I1111" s="80">
        <f>SIN(RADIANS('11_발전량_모델'!$B$17))*SIN(RADIANS(E1111))+COS(RADIANS('11_발전량_모델'!$B$17))*COS(RADIANS(E1111))*COS(RADIANS(F1111))</f>
        <v/>
      </c>
      <c r="J1111" s="80">
        <f>SIN(RADIANS('11_발전량_모델'!$B$7))*SIN(RADIANS('11_발전량_모델'!$B$8))</f>
        <v/>
      </c>
      <c r="K1111" s="80">
        <f>SIN(RADIANS('11_발전량_모델'!$B$7))*COS(RADIANS('11_발전량_모델'!$B$8))</f>
        <v/>
      </c>
      <c r="L1111" s="80">
        <f>COS(RADIANS('11_발전량_모델'!$B$7))</f>
        <v/>
      </c>
      <c r="M1111" s="80">
        <f>G1111*J1111+H1111*K1111+I1111*L1111</f>
        <v/>
      </c>
      <c r="N1111" s="80">
        <f>MAX(0,I1111)</f>
        <v/>
      </c>
      <c r="O1111" s="80">
        <f>IF(I1111&gt;0,MAX(0,M1111),0)</f>
        <v/>
      </c>
      <c r="P1111" s="80">
        <f>IF($I1111&gt;0,MAX(0,$G1111*SIN(RADIANS('13_시나리오비교'!$B$5))*SIN(RADIANS('13_시나리오비교'!$C$5))+$H1111*SIN(RADIANS('13_시나리오비교'!$B$5))*COS(RADIANS('13_시나리오비교'!$C$5))+$I1111*COS(RADIANS('13_시나리오비교'!$B$5))),0)</f>
        <v/>
      </c>
      <c r="Q1111" s="80">
        <f>IF($I1111&gt;0,MAX(0,$G1111*SIN(RADIANS('13_시나리오비교'!$B$6))*SIN(RADIANS('13_시나리오비교'!$C$6))+$H1111*SIN(RADIANS('13_시나리오비교'!$B$6))*COS(RADIANS('13_시나리오비교'!$C$6))+$I1111*COS(RADIANS('13_시나리오비교'!$B$6))),0)</f>
        <v/>
      </c>
      <c r="R1111" s="80">
        <f>IF($I1111&gt;0,MAX(0,$G1111*SIN(RADIANS('13_시나리오비교'!$B$7))*SIN(RADIANS('13_시나리오비교'!$C$7))+$H1111*SIN(RADIANS('13_시나리오비교'!$B$7))*COS(RADIANS('13_시나리오비교'!$C$7))+$I1111*COS(RADIANS('13_시나리오비교'!$B$7))),0)</f>
        <v/>
      </c>
      <c r="S1111" s="80">
        <f>IF($I1111&gt;0,MAX(0,$G1111*SIN(RADIANS('13_시나리오비교'!$B$8))*SIN(RADIANS('13_시나리오비교'!$C$8))+$H1111*SIN(RADIANS('13_시나리오비교'!$B$8))*COS(RADIANS('13_시나리오비교'!$C$8))+$I1111*COS(RADIANS('13_시나리오비교'!$B$8))),0)</f>
        <v/>
      </c>
      <c r="T1111" s="80">
        <f>IF($I1111&gt;0,MAX(0,$G1111*SIN(RADIANS('13_시나리오비교'!$B$9))*SIN(RADIANS('13_시나리오비교'!$C$9))+$H1111*SIN(RADIANS('13_시나리오비교'!$B$9))*COS(RADIANS('13_시나리오비교'!$C$9))+$I1111*COS(RADIANS('13_시나리오비교'!$B$9))),0)</f>
        <v/>
      </c>
      <c r="U1111" s="80">
        <f>IF($I1111&gt;0,MAX(0,$G1111*SIN(RADIANS('13_시나리오비교'!$B$10))*SIN(RADIANS('13_시나리오비교'!$C$10))+$H1111*SIN(RADIANS('13_시나리오비교'!$B$10))*COS(RADIANS('13_시나리오비교'!$C$10))+$I1111*COS(RADIANS('13_시나리오비교'!$B$10))),0)</f>
        <v/>
      </c>
      <c r="V1111" s="80">
        <f>IF($I1111&gt;0,MAX(0,$G1111*SIN(RADIANS('13_시나리오비교'!$B$11))*SIN(RADIANS('13_시나리오비교'!$C$11))+$H1111*SIN(RADIANS('13_시나리오비교'!$B$11))*COS(RADIANS('13_시나리오비교'!$C$11))+$I1111*COS(RADIANS('13_시나리오비교'!$B$11))),0)</f>
        <v/>
      </c>
      <c r="W1111" s="80">
        <f>IF($I1111&gt;0,MAX(0,$G1111*SIN(RADIANS('13_시나리오비교'!$B$12))*SIN(RADIANS('13_시나리오비교'!$C$12))+$H1111*SIN(RADIANS('13_시나리오비교'!$B$12))*COS(RADIANS('13_시나리오비교'!$C$12))+$I1111*COS(RADIANS('13_시나리오비교'!$B$12))),0)</f>
        <v/>
      </c>
      <c r="X1111" s="80">
        <f>IF($I1111&gt;0,MAX(0,$G1111*SIN(RADIANS('13_시나리오비교'!$B$13))*SIN(RADIANS('13_시나리오비교'!$C$13))+$H1111*SIN(RADIANS('13_시나리오비교'!$B$13))*COS(RADIANS('13_시나리오비교'!$C$13))+$I1111*COS(RADIANS('13_시나리오비교'!$B$13))),0)</f>
        <v/>
      </c>
      <c r="Y1111" s="80">
        <f>IF($I1111&gt;0,MAX(0,$G1111*SIN(RADIANS('13_시나리오비교'!$B$14))*SIN(RADIANS('13_시나리오비교'!$C$14))+$H1111*SIN(RADIANS('13_시나리오비교'!$B$14))*COS(RADIANS('13_시나리오비교'!$C$14))+$I1111*COS(RADIANS('13_시나리오비교'!$B$14))),0)</f>
        <v/>
      </c>
    </row>
    <row r="1112" hidden="1" outlineLevel="1">
      <c r="A1112" s="79" t="n">
        <v>12</v>
      </c>
      <c r="B1112" s="79" t="n">
        <v>36</v>
      </c>
      <c r="C1112" s="80">
        <f>(B1112-0.5)*'14_지역·상수'!$H$6</f>
        <v/>
      </c>
      <c r="D1112" s="79" t="n">
        <v>344</v>
      </c>
      <c r="E1112" s="80">
        <f>INDEX($C$4:$C$15,MATCH(A1112,$A$4:$A$15,0))</f>
        <v/>
      </c>
      <c r="F1112" s="80">
        <f>15*(C1112-12)</f>
        <v/>
      </c>
      <c r="G1112" s="80">
        <f>-COS(RADIANS(E1112))*SIN(RADIANS(F1112))</f>
        <v/>
      </c>
      <c r="H1112" s="80">
        <f>COS(RADIANS('11_발전량_모델'!$B$17))*SIN(RADIANS(E1112))-SIN(RADIANS('11_발전량_모델'!$B$17))*COS(RADIANS(E1112))*COS(RADIANS(F1112))</f>
        <v/>
      </c>
      <c r="I1112" s="80">
        <f>SIN(RADIANS('11_발전량_모델'!$B$17))*SIN(RADIANS(E1112))+COS(RADIANS('11_발전량_모델'!$B$17))*COS(RADIANS(E1112))*COS(RADIANS(F1112))</f>
        <v/>
      </c>
      <c r="J1112" s="80">
        <f>SIN(RADIANS('11_발전량_모델'!$B$7))*SIN(RADIANS('11_발전량_모델'!$B$8))</f>
        <v/>
      </c>
      <c r="K1112" s="80">
        <f>SIN(RADIANS('11_발전량_모델'!$B$7))*COS(RADIANS('11_발전량_모델'!$B$8))</f>
        <v/>
      </c>
      <c r="L1112" s="80">
        <f>COS(RADIANS('11_발전량_모델'!$B$7))</f>
        <v/>
      </c>
      <c r="M1112" s="80">
        <f>G1112*J1112+H1112*K1112+I1112*L1112</f>
        <v/>
      </c>
      <c r="N1112" s="80">
        <f>MAX(0,I1112)</f>
        <v/>
      </c>
      <c r="O1112" s="80">
        <f>IF(I1112&gt;0,MAX(0,M1112),0)</f>
        <v/>
      </c>
      <c r="P1112" s="80">
        <f>IF($I1112&gt;0,MAX(0,$G1112*SIN(RADIANS('13_시나리오비교'!$B$5))*SIN(RADIANS('13_시나리오비교'!$C$5))+$H1112*SIN(RADIANS('13_시나리오비교'!$B$5))*COS(RADIANS('13_시나리오비교'!$C$5))+$I1112*COS(RADIANS('13_시나리오비교'!$B$5))),0)</f>
        <v/>
      </c>
      <c r="Q1112" s="80">
        <f>IF($I1112&gt;0,MAX(0,$G1112*SIN(RADIANS('13_시나리오비교'!$B$6))*SIN(RADIANS('13_시나리오비교'!$C$6))+$H1112*SIN(RADIANS('13_시나리오비교'!$B$6))*COS(RADIANS('13_시나리오비교'!$C$6))+$I1112*COS(RADIANS('13_시나리오비교'!$B$6))),0)</f>
        <v/>
      </c>
      <c r="R1112" s="80">
        <f>IF($I1112&gt;0,MAX(0,$G1112*SIN(RADIANS('13_시나리오비교'!$B$7))*SIN(RADIANS('13_시나리오비교'!$C$7))+$H1112*SIN(RADIANS('13_시나리오비교'!$B$7))*COS(RADIANS('13_시나리오비교'!$C$7))+$I1112*COS(RADIANS('13_시나리오비교'!$B$7))),0)</f>
        <v/>
      </c>
      <c r="S1112" s="80">
        <f>IF($I1112&gt;0,MAX(0,$G1112*SIN(RADIANS('13_시나리오비교'!$B$8))*SIN(RADIANS('13_시나리오비교'!$C$8))+$H1112*SIN(RADIANS('13_시나리오비교'!$B$8))*COS(RADIANS('13_시나리오비교'!$C$8))+$I1112*COS(RADIANS('13_시나리오비교'!$B$8))),0)</f>
        <v/>
      </c>
      <c r="T1112" s="80">
        <f>IF($I1112&gt;0,MAX(0,$G1112*SIN(RADIANS('13_시나리오비교'!$B$9))*SIN(RADIANS('13_시나리오비교'!$C$9))+$H1112*SIN(RADIANS('13_시나리오비교'!$B$9))*COS(RADIANS('13_시나리오비교'!$C$9))+$I1112*COS(RADIANS('13_시나리오비교'!$B$9))),0)</f>
        <v/>
      </c>
      <c r="U1112" s="80">
        <f>IF($I1112&gt;0,MAX(0,$G1112*SIN(RADIANS('13_시나리오비교'!$B$10))*SIN(RADIANS('13_시나리오비교'!$C$10))+$H1112*SIN(RADIANS('13_시나리오비교'!$B$10))*COS(RADIANS('13_시나리오비교'!$C$10))+$I1112*COS(RADIANS('13_시나리오비교'!$B$10))),0)</f>
        <v/>
      </c>
      <c r="V1112" s="80">
        <f>IF($I1112&gt;0,MAX(0,$G1112*SIN(RADIANS('13_시나리오비교'!$B$11))*SIN(RADIANS('13_시나리오비교'!$C$11))+$H1112*SIN(RADIANS('13_시나리오비교'!$B$11))*COS(RADIANS('13_시나리오비교'!$C$11))+$I1112*COS(RADIANS('13_시나리오비교'!$B$11))),0)</f>
        <v/>
      </c>
      <c r="W1112" s="80">
        <f>IF($I1112&gt;0,MAX(0,$G1112*SIN(RADIANS('13_시나리오비교'!$B$12))*SIN(RADIANS('13_시나리오비교'!$C$12))+$H1112*SIN(RADIANS('13_시나리오비교'!$B$12))*COS(RADIANS('13_시나리오비교'!$C$12))+$I1112*COS(RADIANS('13_시나리오비교'!$B$12))),0)</f>
        <v/>
      </c>
      <c r="X1112" s="80">
        <f>IF($I1112&gt;0,MAX(0,$G1112*SIN(RADIANS('13_시나리오비교'!$B$13))*SIN(RADIANS('13_시나리오비교'!$C$13))+$H1112*SIN(RADIANS('13_시나리오비교'!$B$13))*COS(RADIANS('13_시나리오비교'!$C$13))+$I1112*COS(RADIANS('13_시나리오비교'!$B$13))),0)</f>
        <v/>
      </c>
      <c r="Y1112" s="80">
        <f>IF($I1112&gt;0,MAX(0,$G1112*SIN(RADIANS('13_시나리오비교'!$B$14))*SIN(RADIANS('13_시나리오비교'!$C$14))+$H1112*SIN(RADIANS('13_시나리오비교'!$B$14))*COS(RADIANS('13_시나리오비교'!$C$14))+$I1112*COS(RADIANS('13_시나리오비교'!$B$14))),0)</f>
        <v/>
      </c>
    </row>
    <row r="1113" hidden="1" outlineLevel="1">
      <c r="A1113" s="79" t="n">
        <v>12</v>
      </c>
      <c r="B1113" s="79" t="n">
        <v>37</v>
      </c>
      <c r="C1113" s="80">
        <f>(B1113-0.5)*'14_지역·상수'!$H$6</f>
        <v/>
      </c>
      <c r="D1113" s="79" t="n">
        <v>344</v>
      </c>
      <c r="E1113" s="80">
        <f>INDEX($C$4:$C$15,MATCH(A1113,$A$4:$A$15,0))</f>
        <v/>
      </c>
      <c r="F1113" s="80">
        <f>15*(C1113-12)</f>
        <v/>
      </c>
      <c r="G1113" s="80">
        <f>-COS(RADIANS(E1113))*SIN(RADIANS(F1113))</f>
        <v/>
      </c>
      <c r="H1113" s="80">
        <f>COS(RADIANS('11_발전량_모델'!$B$17))*SIN(RADIANS(E1113))-SIN(RADIANS('11_발전량_모델'!$B$17))*COS(RADIANS(E1113))*COS(RADIANS(F1113))</f>
        <v/>
      </c>
      <c r="I1113" s="80">
        <f>SIN(RADIANS('11_발전량_모델'!$B$17))*SIN(RADIANS(E1113))+COS(RADIANS('11_발전량_모델'!$B$17))*COS(RADIANS(E1113))*COS(RADIANS(F1113))</f>
        <v/>
      </c>
      <c r="J1113" s="80">
        <f>SIN(RADIANS('11_발전량_모델'!$B$7))*SIN(RADIANS('11_발전량_모델'!$B$8))</f>
        <v/>
      </c>
      <c r="K1113" s="80">
        <f>SIN(RADIANS('11_발전량_모델'!$B$7))*COS(RADIANS('11_발전량_모델'!$B$8))</f>
        <v/>
      </c>
      <c r="L1113" s="80">
        <f>COS(RADIANS('11_발전량_모델'!$B$7))</f>
        <v/>
      </c>
      <c r="M1113" s="80">
        <f>G1113*J1113+H1113*K1113+I1113*L1113</f>
        <v/>
      </c>
      <c r="N1113" s="80">
        <f>MAX(0,I1113)</f>
        <v/>
      </c>
      <c r="O1113" s="80">
        <f>IF(I1113&gt;0,MAX(0,M1113),0)</f>
        <v/>
      </c>
      <c r="P1113" s="80">
        <f>IF($I1113&gt;0,MAX(0,$G1113*SIN(RADIANS('13_시나리오비교'!$B$5))*SIN(RADIANS('13_시나리오비교'!$C$5))+$H1113*SIN(RADIANS('13_시나리오비교'!$B$5))*COS(RADIANS('13_시나리오비교'!$C$5))+$I1113*COS(RADIANS('13_시나리오비교'!$B$5))),0)</f>
        <v/>
      </c>
      <c r="Q1113" s="80">
        <f>IF($I1113&gt;0,MAX(0,$G1113*SIN(RADIANS('13_시나리오비교'!$B$6))*SIN(RADIANS('13_시나리오비교'!$C$6))+$H1113*SIN(RADIANS('13_시나리오비교'!$B$6))*COS(RADIANS('13_시나리오비교'!$C$6))+$I1113*COS(RADIANS('13_시나리오비교'!$B$6))),0)</f>
        <v/>
      </c>
      <c r="R1113" s="80">
        <f>IF($I1113&gt;0,MAX(0,$G1113*SIN(RADIANS('13_시나리오비교'!$B$7))*SIN(RADIANS('13_시나리오비교'!$C$7))+$H1113*SIN(RADIANS('13_시나리오비교'!$B$7))*COS(RADIANS('13_시나리오비교'!$C$7))+$I1113*COS(RADIANS('13_시나리오비교'!$B$7))),0)</f>
        <v/>
      </c>
      <c r="S1113" s="80">
        <f>IF($I1113&gt;0,MAX(0,$G1113*SIN(RADIANS('13_시나리오비교'!$B$8))*SIN(RADIANS('13_시나리오비교'!$C$8))+$H1113*SIN(RADIANS('13_시나리오비교'!$B$8))*COS(RADIANS('13_시나리오비교'!$C$8))+$I1113*COS(RADIANS('13_시나리오비교'!$B$8))),0)</f>
        <v/>
      </c>
      <c r="T1113" s="80">
        <f>IF($I1113&gt;0,MAX(0,$G1113*SIN(RADIANS('13_시나리오비교'!$B$9))*SIN(RADIANS('13_시나리오비교'!$C$9))+$H1113*SIN(RADIANS('13_시나리오비교'!$B$9))*COS(RADIANS('13_시나리오비교'!$C$9))+$I1113*COS(RADIANS('13_시나리오비교'!$B$9))),0)</f>
        <v/>
      </c>
      <c r="U1113" s="80">
        <f>IF($I1113&gt;0,MAX(0,$G1113*SIN(RADIANS('13_시나리오비교'!$B$10))*SIN(RADIANS('13_시나리오비교'!$C$10))+$H1113*SIN(RADIANS('13_시나리오비교'!$B$10))*COS(RADIANS('13_시나리오비교'!$C$10))+$I1113*COS(RADIANS('13_시나리오비교'!$B$10))),0)</f>
        <v/>
      </c>
      <c r="V1113" s="80">
        <f>IF($I1113&gt;0,MAX(0,$G1113*SIN(RADIANS('13_시나리오비교'!$B$11))*SIN(RADIANS('13_시나리오비교'!$C$11))+$H1113*SIN(RADIANS('13_시나리오비교'!$B$11))*COS(RADIANS('13_시나리오비교'!$C$11))+$I1113*COS(RADIANS('13_시나리오비교'!$B$11))),0)</f>
        <v/>
      </c>
      <c r="W1113" s="80">
        <f>IF($I1113&gt;0,MAX(0,$G1113*SIN(RADIANS('13_시나리오비교'!$B$12))*SIN(RADIANS('13_시나리오비교'!$C$12))+$H1113*SIN(RADIANS('13_시나리오비교'!$B$12))*COS(RADIANS('13_시나리오비교'!$C$12))+$I1113*COS(RADIANS('13_시나리오비교'!$B$12))),0)</f>
        <v/>
      </c>
      <c r="X1113" s="80">
        <f>IF($I1113&gt;0,MAX(0,$G1113*SIN(RADIANS('13_시나리오비교'!$B$13))*SIN(RADIANS('13_시나리오비교'!$C$13))+$H1113*SIN(RADIANS('13_시나리오비교'!$B$13))*COS(RADIANS('13_시나리오비교'!$C$13))+$I1113*COS(RADIANS('13_시나리오비교'!$B$13))),0)</f>
        <v/>
      </c>
      <c r="Y1113" s="80">
        <f>IF($I1113&gt;0,MAX(0,$G1113*SIN(RADIANS('13_시나리오비교'!$B$14))*SIN(RADIANS('13_시나리오비교'!$C$14))+$H1113*SIN(RADIANS('13_시나리오비교'!$B$14))*COS(RADIANS('13_시나리오비교'!$C$14))+$I1113*COS(RADIANS('13_시나리오비교'!$B$14))),0)</f>
        <v/>
      </c>
    </row>
    <row r="1114" hidden="1" outlineLevel="1">
      <c r="A1114" s="79" t="n">
        <v>12</v>
      </c>
      <c r="B1114" s="79" t="n">
        <v>38</v>
      </c>
      <c r="C1114" s="80">
        <f>(B1114-0.5)*'14_지역·상수'!$H$6</f>
        <v/>
      </c>
      <c r="D1114" s="79" t="n">
        <v>344</v>
      </c>
      <c r="E1114" s="80">
        <f>INDEX($C$4:$C$15,MATCH(A1114,$A$4:$A$15,0))</f>
        <v/>
      </c>
      <c r="F1114" s="80">
        <f>15*(C1114-12)</f>
        <v/>
      </c>
      <c r="G1114" s="80">
        <f>-COS(RADIANS(E1114))*SIN(RADIANS(F1114))</f>
        <v/>
      </c>
      <c r="H1114" s="80">
        <f>COS(RADIANS('11_발전량_모델'!$B$17))*SIN(RADIANS(E1114))-SIN(RADIANS('11_발전량_모델'!$B$17))*COS(RADIANS(E1114))*COS(RADIANS(F1114))</f>
        <v/>
      </c>
      <c r="I1114" s="80">
        <f>SIN(RADIANS('11_발전량_모델'!$B$17))*SIN(RADIANS(E1114))+COS(RADIANS('11_발전량_모델'!$B$17))*COS(RADIANS(E1114))*COS(RADIANS(F1114))</f>
        <v/>
      </c>
      <c r="J1114" s="80">
        <f>SIN(RADIANS('11_발전량_모델'!$B$7))*SIN(RADIANS('11_발전량_모델'!$B$8))</f>
        <v/>
      </c>
      <c r="K1114" s="80">
        <f>SIN(RADIANS('11_발전량_모델'!$B$7))*COS(RADIANS('11_발전량_모델'!$B$8))</f>
        <v/>
      </c>
      <c r="L1114" s="80">
        <f>COS(RADIANS('11_발전량_모델'!$B$7))</f>
        <v/>
      </c>
      <c r="M1114" s="80">
        <f>G1114*J1114+H1114*K1114+I1114*L1114</f>
        <v/>
      </c>
      <c r="N1114" s="80">
        <f>MAX(0,I1114)</f>
        <v/>
      </c>
      <c r="O1114" s="80">
        <f>IF(I1114&gt;0,MAX(0,M1114),0)</f>
        <v/>
      </c>
      <c r="P1114" s="80">
        <f>IF($I1114&gt;0,MAX(0,$G1114*SIN(RADIANS('13_시나리오비교'!$B$5))*SIN(RADIANS('13_시나리오비교'!$C$5))+$H1114*SIN(RADIANS('13_시나리오비교'!$B$5))*COS(RADIANS('13_시나리오비교'!$C$5))+$I1114*COS(RADIANS('13_시나리오비교'!$B$5))),0)</f>
        <v/>
      </c>
      <c r="Q1114" s="80">
        <f>IF($I1114&gt;0,MAX(0,$G1114*SIN(RADIANS('13_시나리오비교'!$B$6))*SIN(RADIANS('13_시나리오비교'!$C$6))+$H1114*SIN(RADIANS('13_시나리오비교'!$B$6))*COS(RADIANS('13_시나리오비교'!$C$6))+$I1114*COS(RADIANS('13_시나리오비교'!$B$6))),0)</f>
        <v/>
      </c>
      <c r="R1114" s="80">
        <f>IF($I1114&gt;0,MAX(0,$G1114*SIN(RADIANS('13_시나리오비교'!$B$7))*SIN(RADIANS('13_시나리오비교'!$C$7))+$H1114*SIN(RADIANS('13_시나리오비교'!$B$7))*COS(RADIANS('13_시나리오비교'!$C$7))+$I1114*COS(RADIANS('13_시나리오비교'!$B$7))),0)</f>
        <v/>
      </c>
      <c r="S1114" s="80">
        <f>IF($I1114&gt;0,MAX(0,$G1114*SIN(RADIANS('13_시나리오비교'!$B$8))*SIN(RADIANS('13_시나리오비교'!$C$8))+$H1114*SIN(RADIANS('13_시나리오비교'!$B$8))*COS(RADIANS('13_시나리오비교'!$C$8))+$I1114*COS(RADIANS('13_시나리오비교'!$B$8))),0)</f>
        <v/>
      </c>
      <c r="T1114" s="80">
        <f>IF($I1114&gt;0,MAX(0,$G1114*SIN(RADIANS('13_시나리오비교'!$B$9))*SIN(RADIANS('13_시나리오비교'!$C$9))+$H1114*SIN(RADIANS('13_시나리오비교'!$B$9))*COS(RADIANS('13_시나리오비교'!$C$9))+$I1114*COS(RADIANS('13_시나리오비교'!$B$9))),0)</f>
        <v/>
      </c>
      <c r="U1114" s="80">
        <f>IF($I1114&gt;0,MAX(0,$G1114*SIN(RADIANS('13_시나리오비교'!$B$10))*SIN(RADIANS('13_시나리오비교'!$C$10))+$H1114*SIN(RADIANS('13_시나리오비교'!$B$10))*COS(RADIANS('13_시나리오비교'!$C$10))+$I1114*COS(RADIANS('13_시나리오비교'!$B$10))),0)</f>
        <v/>
      </c>
      <c r="V1114" s="80">
        <f>IF($I1114&gt;0,MAX(0,$G1114*SIN(RADIANS('13_시나리오비교'!$B$11))*SIN(RADIANS('13_시나리오비교'!$C$11))+$H1114*SIN(RADIANS('13_시나리오비교'!$B$11))*COS(RADIANS('13_시나리오비교'!$C$11))+$I1114*COS(RADIANS('13_시나리오비교'!$B$11))),0)</f>
        <v/>
      </c>
      <c r="W1114" s="80">
        <f>IF($I1114&gt;0,MAX(0,$G1114*SIN(RADIANS('13_시나리오비교'!$B$12))*SIN(RADIANS('13_시나리오비교'!$C$12))+$H1114*SIN(RADIANS('13_시나리오비교'!$B$12))*COS(RADIANS('13_시나리오비교'!$C$12))+$I1114*COS(RADIANS('13_시나리오비교'!$B$12))),0)</f>
        <v/>
      </c>
      <c r="X1114" s="80">
        <f>IF($I1114&gt;0,MAX(0,$G1114*SIN(RADIANS('13_시나리오비교'!$B$13))*SIN(RADIANS('13_시나리오비교'!$C$13))+$H1114*SIN(RADIANS('13_시나리오비교'!$B$13))*COS(RADIANS('13_시나리오비교'!$C$13))+$I1114*COS(RADIANS('13_시나리오비교'!$B$13))),0)</f>
        <v/>
      </c>
      <c r="Y1114" s="80">
        <f>IF($I1114&gt;0,MAX(0,$G1114*SIN(RADIANS('13_시나리오비교'!$B$14))*SIN(RADIANS('13_시나리오비교'!$C$14))+$H1114*SIN(RADIANS('13_시나리오비교'!$B$14))*COS(RADIANS('13_시나리오비교'!$C$14))+$I1114*COS(RADIANS('13_시나리오비교'!$B$14))),0)</f>
        <v/>
      </c>
    </row>
    <row r="1115" hidden="1" outlineLevel="1">
      <c r="A1115" s="79" t="n">
        <v>12</v>
      </c>
      <c r="B1115" s="79" t="n">
        <v>39</v>
      </c>
      <c r="C1115" s="80">
        <f>(B1115-0.5)*'14_지역·상수'!$H$6</f>
        <v/>
      </c>
      <c r="D1115" s="79" t="n">
        <v>344</v>
      </c>
      <c r="E1115" s="80">
        <f>INDEX($C$4:$C$15,MATCH(A1115,$A$4:$A$15,0))</f>
        <v/>
      </c>
      <c r="F1115" s="80">
        <f>15*(C1115-12)</f>
        <v/>
      </c>
      <c r="G1115" s="80">
        <f>-COS(RADIANS(E1115))*SIN(RADIANS(F1115))</f>
        <v/>
      </c>
      <c r="H1115" s="80">
        <f>COS(RADIANS('11_발전량_모델'!$B$17))*SIN(RADIANS(E1115))-SIN(RADIANS('11_발전량_모델'!$B$17))*COS(RADIANS(E1115))*COS(RADIANS(F1115))</f>
        <v/>
      </c>
      <c r="I1115" s="80">
        <f>SIN(RADIANS('11_발전량_모델'!$B$17))*SIN(RADIANS(E1115))+COS(RADIANS('11_발전량_모델'!$B$17))*COS(RADIANS(E1115))*COS(RADIANS(F1115))</f>
        <v/>
      </c>
      <c r="J1115" s="80">
        <f>SIN(RADIANS('11_발전량_모델'!$B$7))*SIN(RADIANS('11_발전량_모델'!$B$8))</f>
        <v/>
      </c>
      <c r="K1115" s="80">
        <f>SIN(RADIANS('11_발전량_모델'!$B$7))*COS(RADIANS('11_발전량_모델'!$B$8))</f>
        <v/>
      </c>
      <c r="L1115" s="80">
        <f>COS(RADIANS('11_발전량_모델'!$B$7))</f>
        <v/>
      </c>
      <c r="M1115" s="80">
        <f>G1115*J1115+H1115*K1115+I1115*L1115</f>
        <v/>
      </c>
      <c r="N1115" s="80">
        <f>MAX(0,I1115)</f>
        <v/>
      </c>
      <c r="O1115" s="80">
        <f>IF(I1115&gt;0,MAX(0,M1115),0)</f>
        <v/>
      </c>
      <c r="P1115" s="80">
        <f>IF($I1115&gt;0,MAX(0,$G1115*SIN(RADIANS('13_시나리오비교'!$B$5))*SIN(RADIANS('13_시나리오비교'!$C$5))+$H1115*SIN(RADIANS('13_시나리오비교'!$B$5))*COS(RADIANS('13_시나리오비교'!$C$5))+$I1115*COS(RADIANS('13_시나리오비교'!$B$5))),0)</f>
        <v/>
      </c>
      <c r="Q1115" s="80">
        <f>IF($I1115&gt;0,MAX(0,$G1115*SIN(RADIANS('13_시나리오비교'!$B$6))*SIN(RADIANS('13_시나리오비교'!$C$6))+$H1115*SIN(RADIANS('13_시나리오비교'!$B$6))*COS(RADIANS('13_시나리오비교'!$C$6))+$I1115*COS(RADIANS('13_시나리오비교'!$B$6))),0)</f>
        <v/>
      </c>
      <c r="R1115" s="80">
        <f>IF($I1115&gt;0,MAX(0,$G1115*SIN(RADIANS('13_시나리오비교'!$B$7))*SIN(RADIANS('13_시나리오비교'!$C$7))+$H1115*SIN(RADIANS('13_시나리오비교'!$B$7))*COS(RADIANS('13_시나리오비교'!$C$7))+$I1115*COS(RADIANS('13_시나리오비교'!$B$7))),0)</f>
        <v/>
      </c>
      <c r="S1115" s="80">
        <f>IF($I1115&gt;0,MAX(0,$G1115*SIN(RADIANS('13_시나리오비교'!$B$8))*SIN(RADIANS('13_시나리오비교'!$C$8))+$H1115*SIN(RADIANS('13_시나리오비교'!$B$8))*COS(RADIANS('13_시나리오비교'!$C$8))+$I1115*COS(RADIANS('13_시나리오비교'!$B$8))),0)</f>
        <v/>
      </c>
      <c r="T1115" s="80">
        <f>IF($I1115&gt;0,MAX(0,$G1115*SIN(RADIANS('13_시나리오비교'!$B$9))*SIN(RADIANS('13_시나리오비교'!$C$9))+$H1115*SIN(RADIANS('13_시나리오비교'!$B$9))*COS(RADIANS('13_시나리오비교'!$C$9))+$I1115*COS(RADIANS('13_시나리오비교'!$B$9))),0)</f>
        <v/>
      </c>
      <c r="U1115" s="80">
        <f>IF($I1115&gt;0,MAX(0,$G1115*SIN(RADIANS('13_시나리오비교'!$B$10))*SIN(RADIANS('13_시나리오비교'!$C$10))+$H1115*SIN(RADIANS('13_시나리오비교'!$B$10))*COS(RADIANS('13_시나리오비교'!$C$10))+$I1115*COS(RADIANS('13_시나리오비교'!$B$10))),0)</f>
        <v/>
      </c>
      <c r="V1115" s="80">
        <f>IF($I1115&gt;0,MAX(0,$G1115*SIN(RADIANS('13_시나리오비교'!$B$11))*SIN(RADIANS('13_시나리오비교'!$C$11))+$H1115*SIN(RADIANS('13_시나리오비교'!$B$11))*COS(RADIANS('13_시나리오비교'!$C$11))+$I1115*COS(RADIANS('13_시나리오비교'!$B$11))),0)</f>
        <v/>
      </c>
      <c r="W1115" s="80">
        <f>IF($I1115&gt;0,MAX(0,$G1115*SIN(RADIANS('13_시나리오비교'!$B$12))*SIN(RADIANS('13_시나리오비교'!$C$12))+$H1115*SIN(RADIANS('13_시나리오비교'!$B$12))*COS(RADIANS('13_시나리오비교'!$C$12))+$I1115*COS(RADIANS('13_시나리오비교'!$B$12))),0)</f>
        <v/>
      </c>
      <c r="X1115" s="80">
        <f>IF($I1115&gt;0,MAX(0,$G1115*SIN(RADIANS('13_시나리오비교'!$B$13))*SIN(RADIANS('13_시나리오비교'!$C$13))+$H1115*SIN(RADIANS('13_시나리오비교'!$B$13))*COS(RADIANS('13_시나리오비교'!$C$13))+$I1115*COS(RADIANS('13_시나리오비교'!$B$13))),0)</f>
        <v/>
      </c>
      <c r="Y1115" s="80">
        <f>IF($I1115&gt;0,MAX(0,$G1115*SIN(RADIANS('13_시나리오비교'!$B$14))*SIN(RADIANS('13_시나리오비교'!$C$14))+$H1115*SIN(RADIANS('13_시나리오비교'!$B$14))*COS(RADIANS('13_시나리오비교'!$C$14))+$I1115*COS(RADIANS('13_시나리오비교'!$B$14))),0)</f>
        <v/>
      </c>
    </row>
    <row r="1116" hidden="1" outlineLevel="1">
      <c r="A1116" s="79" t="n">
        <v>12</v>
      </c>
      <c r="B1116" s="79" t="n">
        <v>40</v>
      </c>
      <c r="C1116" s="80">
        <f>(B1116-0.5)*'14_지역·상수'!$H$6</f>
        <v/>
      </c>
      <c r="D1116" s="79" t="n">
        <v>344</v>
      </c>
      <c r="E1116" s="80">
        <f>INDEX($C$4:$C$15,MATCH(A1116,$A$4:$A$15,0))</f>
        <v/>
      </c>
      <c r="F1116" s="80">
        <f>15*(C1116-12)</f>
        <v/>
      </c>
      <c r="G1116" s="80">
        <f>-COS(RADIANS(E1116))*SIN(RADIANS(F1116))</f>
        <v/>
      </c>
      <c r="H1116" s="80">
        <f>COS(RADIANS('11_발전량_모델'!$B$17))*SIN(RADIANS(E1116))-SIN(RADIANS('11_발전량_모델'!$B$17))*COS(RADIANS(E1116))*COS(RADIANS(F1116))</f>
        <v/>
      </c>
      <c r="I1116" s="80">
        <f>SIN(RADIANS('11_발전량_모델'!$B$17))*SIN(RADIANS(E1116))+COS(RADIANS('11_발전량_모델'!$B$17))*COS(RADIANS(E1116))*COS(RADIANS(F1116))</f>
        <v/>
      </c>
      <c r="J1116" s="80">
        <f>SIN(RADIANS('11_발전량_모델'!$B$7))*SIN(RADIANS('11_발전량_모델'!$B$8))</f>
        <v/>
      </c>
      <c r="K1116" s="80">
        <f>SIN(RADIANS('11_발전량_모델'!$B$7))*COS(RADIANS('11_발전량_모델'!$B$8))</f>
        <v/>
      </c>
      <c r="L1116" s="80">
        <f>COS(RADIANS('11_발전량_모델'!$B$7))</f>
        <v/>
      </c>
      <c r="M1116" s="80">
        <f>G1116*J1116+H1116*K1116+I1116*L1116</f>
        <v/>
      </c>
      <c r="N1116" s="80">
        <f>MAX(0,I1116)</f>
        <v/>
      </c>
      <c r="O1116" s="80">
        <f>IF(I1116&gt;0,MAX(0,M1116),0)</f>
        <v/>
      </c>
      <c r="P1116" s="80">
        <f>IF($I1116&gt;0,MAX(0,$G1116*SIN(RADIANS('13_시나리오비교'!$B$5))*SIN(RADIANS('13_시나리오비교'!$C$5))+$H1116*SIN(RADIANS('13_시나리오비교'!$B$5))*COS(RADIANS('13_시나리오비교'!$C$5))+$I1116*COS(RADIANS('13_시나리오비교'!$B$5))),0)</f>
        <v/>
      </c>
      <c r="Q1116" s="80">
        <f>IF($I1116&gt;0,MAX(0,$G1116*SIN(RADIANS('13_시나리오비교'!$B$6))*SIN(RADIANS('13_시나리오비교'!$C$6))+$H1116*SIN(RADIANS('13_시나리오비교'!$B$6))*COS(RADIANS('13_시나리오비교'!$C$6))+$I1116*COS(RADIANS('13_시나리오비교'!$B$6))),0)</f>
        <v/>
      </c>
      <c r="R1116" s="80">
        <f>IF($I1116&gt;0,MAX(0,$G1116*SIN(RADIANS('13_시나리오비교'!$B$7))*SIN(RADIANS('13_시나리오비교'!$C$7))+$H1116*SIN(RADIANS('13_시나리오비교'!$B$7))*COS(RADIANS('13_시나리오비교'!$C$7))+$I1116*COS(RADIANS('13_시나리오비교'!$B$7))),0)</f>
        <v/>
      </c>
      <c r="S1116" s="80">
        <f>IF($I1116&gt;0,MAX(0,$G1116*SIN(RADIANS('13_시나리오비교'!$B$8))*SIN(RADIANS('13_시나리오비교'!$C$8))+$H1116*SIN(RADIANS('13_시나리오비교'!$B$8))*COS(RADIANS('13_시나리오비교'!$C$8))+$I1116*COS(RADIANS('13_시나리오비교'!$B$8))),0)</f>
        <v/>
      </c>
      <c r="T1116" s="80">
        <f>IF($I1116&gt;0,MAX(0,$G1116*SIN(RADIANS('13_시나리오비교'!$B$9))*SIN(RADIANS('13_시나리오비교'!$C$9))+$H1116*SIN(RADIANS('13_시나리오비교'!$B$9))*COS(RADIANS('13_시나리오비교'!$C$9))+$I1116*COS(RADIANS('13_시나리오비교'!$B$9))),0)</f>
        <v/>
      </c>
      <c r="U1116" s="80">
        <f>IF($I1116&gt;0,MAX(0,$G1116*SIN(RADIANS('13_시나리오비교'!$B$10))*SIN(RADIANS('13_시나리오비교'!$C$10))+$H1116*SIN(RADIANS('13_시나리오비교'!$B$10))*COS(RADIANS('13_시나리오비교'!$C$10))+$I1116*COS(RADIANS('13_시나리오비교'!$B$10))),0)</f>
        <v/>
      </c>
      <c r="V1116" s="80">
        <f>IF($I1116&gt;0,MAX(0,$G1116*SIN(RADIANS('13_시나리오비교'!$B$11))*SIN(RADIANS('13_시나리오비교'!$C$11))+$H1116*SIN(RADIANS('13_시나리오비교'!$B$11))*COS(RADIANS('13_시나리오비교'!$C$11))+$I1116*COS(RADIANS('13_시나리오비교'!$B$11))),0)</f>
        <v/>
      </c>
      <c r="W1116" s="80">
        <f>IF($I1116&gt;0,MAX(0,$G1116*SIN(RADIANS('13_시나리오비교'!$B$12))*SIN(RADIANS('13_시나리오비교'!$C$12))+$H1116*SIN(RADIANS('13_시나리오비교'!$B$12))*COS(RADIANS('13_시나리오비교'!$C$12))+$I1116*COS(RADIANS('13_시나리오비교'!$B$12))),0)</f>
        <v/>
      </c>
      <c r="X1116" s="80">
        <f>IF($I1116&gt;0,MAX(0,$G1116*SIN(RADIANS('13_시나리오비교'!$B$13))*SIN(RADIANS('13_시나리오비교'!$C$13))+$H1116*SIN(RADIANS('13_시나리오비교'!$B$13))*COS(RADIANS('13_시나리오비교'!$C$13))+$I1116*COS(RADIANS('13_시나리오비교'!$B$13))),0)</f>
        <v/>
      </c>
      <c r="Y1116" s="80">
        <f>IF($I1116&gt;0,MAX(0,$G1116*SIN(RADIANS('13_시나리오비교'!$B$14))*SIN(RADIANS('13_시나리오비교'!$C$14))+$H1116*SIN(RADIANS('13_시나리오비교'!$B$14))*COS(RADIANS('13_시나리오비교'!$C$14))+$I1116*COS(RADIANS('13_시나리오비교'!$B$14))),0)</f>
        <v/>
      </c>
    </row>
    <row r="1117" hidden="1" outlineLevel="1">
      <c r="A1117" s="79" t="n">
        <v>12</v>
      </c>
      <c r="B1117" s="79" t="n">
        <v>41</v>
      </c>
      <c r="C1117" s="80">
        <f>(B1117-0.5)*'14_지역·상수'!$H$6</f>
        <v/>
      </c>
      <c r="D1117" s="79" t="n">
        <v>344</v>
      </c>
      <c r="E1117" s="80">
        <f>INDEX($C$4:$C$15,MATCH(A1117,$A$4:$A$15,0))</f>
        <v/>
      </c>
      <c r="F1117" s="80">
        <f>15*(C1117-12)</f>
        <v/>
      </c>
      <c r="G1117" s="80">
        <f>-COS(RADIANS(E1117))*SIN(RADIANS(F1117))</f>
        <v/>
      </c>
      <c r="H1117" s="80">
        <f>COS(RADIANS('11_발전량_모델'!$B$17))*SIN(RADIANS(E1117))-SIN(RADIANS('11_발전량_모델'!$B$17))*COS(RADIANS(E1117))*COS(RADIANS(F1117))</f>
        <v/>
      </c>
      <c r="I1117" s="80">
        <f>SIN(RADIANS('11_발전량_모델'!$B$17))*SIN(RADIANS(E1117))+COS(RADIANS('11_발전량_모델'!$B$17))*COS(RADIANS(E1117))*COS(RADIANS(F1117))</f>
        <v/>
      </c>
      <c r="J1117" s="80">
        <f>SIN(RADIANS('11_발전량_모델'!$B$7))*SIN(RADIANS('11_발전량_모델'!$B$8))</f>
        <v/>
      </c>
      <c r="K1117" s="80">
        <f>SIN(RADIANS('11_발전량_모델'!$B$7))*COS(RADIANS('11_발전량_모델'!$B$8))</f>
        <v/>
      </c>
      <c r="L1117" s="80">
        <f>COS(RADIANS('11_발전량_모델'!$B$7))</f>
        <v/>
      </c>
      <c r="M1117" s="80">
        <f>G1117*J1117+H1117*K1117+I1117*L1117</f>
        <v/>
      </c>
      <c r="N1117" s="80">
        <f>MAX(0,I1117)</f>
        <v/>
      </c>
      <c r="O1117" s="80">
        <f>IF(I1117&gt;0,MAX(0,M1117),0)</f>
        <v/>
      </c>
      <c r="P1117" s="80">
        <f>IF($I1117&gt;0,MAX(0,$G1117*SIN(RADIANS('13_시나리오비교'!$B$5))*SIN(RADIANS('13_시나리오비교'!$C$5))+$H1117*SIN(RADIANS('13_시나리오비교'!$B$5))*COS(RADIANS('13_시나리오비교'!$C$5))+$I1117*COS(RADIANS('13_시나리오비교'!$B$5))),0)</f>
        <v/>
      </c>
      <c r="Q1117" s="80">
        <f>IF($I1117&gt;0,MAX(0,$G1117*SIN(RADIANS('13_시나리오비교'!$B$6))*SIN(RADIANS('13_시나리오비교'!$C$6))+$H1117*SIN(RADIANS('13_시나리오비교'!$B$6))*COS(RADIANS('13_시나리오비교'!$C$6))+$I1117*COS(RADIANS('13_시나리오비교'!$B$6))),0)</f>
        <v/>
      </c>
      <c r="R1117" s="80">
        <f>IF($I1117&gt;0,MAX(0,$G1117*SIN(RADIANS('13_시나리오비교'!$B$7))*SIN(RADIANS('13_시나리오비교'!$C$7))+$H1117*SIN(RADIANS('13_시나리오비교'!$B$7))*COS(RADIANS('13_시나리오비교'!$C$7))+$I1117*COS(RADIANS('13_시나리오비교'!$B$7))),0)</f>
        <v/>
      </c>
      <c r="S1117" s="80">
        <f>IF($I1117&gt;0,MAX(0,$G1117*SIN(RADIANS('13_시나리오비교'!$B$8))*SIN(RADIANS('13_시나리오비교'!$C$8))+$H1117*SIN(RADIANS('13_시나리오비교'!$B$8))*COS(RADIANS('13_시나리오비교'!$C$8))+$I1117*COS(RADIANS('13_시나리오비교'!$B$8))),0)</f>
        <v/>
      </c>
      <c r="T1117" s="80">
        <f>IF($I1117&gt;0,MAX(0,$G1117*SIN(RADIANS('13_시나리오비교'!$B$9))*SIN(RADIANS('13_시나리오비교'!$C$9))+$H1117*SIN(RADIANS('13_시나리오비교'!$B$9))*COS(RADIANS('13_시나리오비교'!$C$9))+$I1117*COS(RADIANS('13_시나리오비교'!$B$9))),0)</f>
        <v/>
      </c>
      <c r="U1117" s="80">
        <f>IF($I1117&gt;0,MAX(0,$G1117*SIN(RADIANS('13_시나리오비교'!$B$10))*SIN(RADIANS('13_시나리오비교'!$C$10))+$H1117*SIN(RADIANS('13_시나리오비교'!$B$10))*COS(RADIANS('13_시나리오비교'!$C$10))+$I1117*COS(RADIANS('13_시나리오비교'!$B$10))),0)</f>
        <v/>
      </c>
      <c r="V1117" s="80">
        <f>IF($I1117&gt;0,MAX(0,$G1117*SIN(RADIANS('13_시나리오비교'!$B$11))*SIN(RADIANS('13_시나리오비교'!$C$11))+$H1117*SIN(RADIANS('13_시나리오비교'!$B$11))*COS(RADIANS('13_시나리오비교'!$C$11))+$I1117*COS(RADIANS('13_시나리오비교'!$B$11))),0)</f>
        <v/>
      </c>
      <c r="W1117" s="80">
        <f>IF($I1117&gt;0,MAX(0,$G1117*SIN(RADIANS('13_시나리오비교'!$B$12))*SIN(RADIANS('13_시나리오비교'!$C$12))+$H1117*SIN(RADIANS('13_시나리오비교'!$B$12))*COS(RADIANS('13_시나리오비교'!$C$12))+$I1117*COS(RADIANS('13_시나리오비교'!$B$12))),0)</f>
        <v/>
      </c>
      <c r="X1117" s="80">
        <f>IF($I1117&gt;0,MAX(0,$G1117*SIN(RADIANS('13_시나리오비교'!$B$13))*SIN(RADIANS('13_시나리오비교'!$C$13))+$H1117*SIN(RADIANS('13_시나리오비교'!$B$13))*COS(RADIANS('13_시나리오비교'!$C$13))+$I1117*COS(RADIANS('13_시나리오비교'!$B$13))),0)</f>
        <v/>
      </c>
      <c r="Y1117" s="80">
        <f>IF($I1117&gt;0,MAX(0,$G1117*SIN(RADIANS('13_시나리오비교'!$B$14))*SIN(RADIANS('13_시나리오비교'!$C$14))+$H1117*SIN(RADIANS('13_시나리오비교'!$B$14))*COS(RADIANS('13_시나리오비교'!$C$14))+$I1117*COS(RADIANS('13_시나리오비교'!$B$14))),0)</f>
        <v/>
      </c>
    </row>
    <row r="1118" hidden="1" outlineLevel="1">
      <c r="A1118" s="79" t="n">
        <v>12</v>
      </c>
      <c r="B1118" s="79" t="n">
        <v>42</v>
      </c>
      <c r="C1118" s="80">
        <f>(B1118-0.5)*'14_지역·상수'!$H$6</f>
        <v/>
      </c>
      <c r="D1118" s="79" t="n">
        <v>344</v>
      </c>
      <c r="E1118" s="80">
        <f>INDEX($C$4:$C$15,MATCH(A1118,$A$4:$A$15,0))</f>
        <v/>
      </c>
      <c r="F1118" s="80">
        <f>15*(C1118-12)</f>
        <v/>
      </c>
      <c r="G1118" s="80">
        <f>-COS(RADIANS(E1118))*SIN(RADIANS(F1118))</f>
        <v/>
      </c>
      <c r="H1118" s="80">
        <f>COS(RADIANS('11_발전량_모델'!$B$17))*SIN(RADIANS(E1118))-SIN(RADIANS('11_발전량_모델'!$B$17))*COS(RADIANS(E1118))*COS(RADIANS(F1118))</f>
        <v/>
      </c>
      <c r="I1118" s="80">
        <f>SIN(RADIANS('11_발전량_모델'!$B$17))*SIN(RADIANS(E1118))+COS(RADIANS('11_발전량_모델'!$B$17))*COS(RADIANS(E1118))*COS(RADIANS(F1118))</f>
        <v/>
      </c>
      <c r="J1118" s="80">
        <f>SIN(RADIANS('11_발전량_모델'!$B$7))*SIN(RADIANS('11_발전량_모델'!$B$8))</f>
        <v/>
      </c>
      <c r="K1118" s="80">
        <f>SIN(RADIANS('11_발전량_모델'!$B$7))*COS(RADIANS('11_발전량_모델'!$B$8))</f>
        <v/>
      </c>
      <c r="L1118" s="80">
        <f>COS(RADIANS('11_발전량_모델'!$B$7))</f>
        <v/>
      </c>
      <c r="M1118" s="80">
        <f>G1118*J1118+H1118*K1118+I1118*L1118</f>
        <v/>
      </c>
      <c r="N1118" s="80">
        <f>MAX(0,I1118)</f>
        <v/>
      </c>
      <c r="O1118" s="80">
        <f>IF(I1118&gt;0,MAX(0,M1118),0)</f>
        <v/>
      </c>
      <c r="P1118" s="80">
        <f>IF($I1118&gt;0,MAX(0,$G1118*SIN(RADIANS('13_시나리오비교'!$B$5))*SIN(RADIANS('13_시나리오비교'!$C$5))+$H1118*SIN(RADIANS('13_시나리오비교'!$B$5))*COS(RADIANS('13_시나리오비교'!$C$5))+$I1118*COS(RADIANS('13_시나리오비교'!$B$5))),0)</f>
        <v/>
      </c>
      <c r="Q1118" s="80">
        <f>IF($I1118&gt;0,MAX(0,$G1118*SIN(RADIANS('13_시나리오비교'!$B$6))*SIN(RADIANS('13_시나리오비교'!$C$6))+$H1118*SIN(RADIANS('13_시나리오비교'!$B$6))*COS(RADIANS('13_시나리오비교'!$C$6))+$I1118*COS(RADIANS('13_시나리오비교'!$B$6))),0)</f>
        <v/>
      </c>
      <c r="R1118" s="80">
        <f>IF($I1118&gt;0,MAX(0,$G1118*SIN(RADIANS('13_시나리오비교'!$B$7))*SIN(RADIANS('13_시나리오비교'!$C$7))+$H1118*SIN(RADIANS('13_시나리오비교'!$B$7))*COS(RADIANS('13_시나리오비교'!$C$7))+$I1118*COS(RADIANS('13_시나리오비교'!$B$7))),0)</f>
        <v/>
      </c>
      <c r="S1118" s="80">
        <f>IF($I1118&gt;0,MAX(0,$G1118*SIN(RADIANS('13_시나리오비교'!$B$8))*SIN(RADIANS('13_시나리오비교'!$C$8))+$H1118*SIN(RADIANS('13_시나리오비교'!$B$8))*COS(RADIANS('13_시나리오비교'!$C$8))+$I1118*COS(RADIANS('13_시나리오비교'!$B$8))),0)</f>
        <v/>
      </c>
      <c r="T1118" s="80">
        <f>IF($I1118&gt;0,MAX(0,$G1118*SIN(RADIANS('13_시나리오비교'!$B$9))*SIN(RADIANS('13_시나리오비교'!$C$9))+$H1118*SIN(RADIANS('13_시나리오비교'!$B$9))*COS(RADIANS('13_시나리오비교'!$C$9))+$I1118*COS(RADIANS('13_시나리오비교'!$B$9))),0)</f>
        <v/>
      </c>
      <c r="U1118" s="80">
        <f>IF($I1118&gt;0,MAX(0,$G1118*SIN(RADIANS('13_시나리오비교'!$B$10))*SIN(RADIANS('13_시나리오비교'!$C$10))+$H1118*SIN(RADIANS('13_시나리오비교'!$B$10))*COS(RADIANS('13_시나리오비교'!$C$10))+$I1118*COS(RADIANS('13_시나리오비교'!$B$10))),0)</f>
        <v/>
      </c>
      <c r="V1118" s="80">
        <f>IF($I1118&gt;0,MAX(0,$G1118*SIN(RADIANS('13_시나리오비교'!$B$11))*SIN(RADIANS('13_시나리오비교'!$C$11))+$H1118*SIN(RADIANS('13_시나리오비교'!$B$11))*COS(RADIANS('13_시나리오비교'!$C$11))+$I1118*COS(RADIANS('13_시나리오비교'!$B$11))),0)</f>
        <v/>
      </c>
      <c r="W1118" s="80">
        <f>IF($I1118&gt;0,MAX(0,$G1118*SIN(RADIANS('13_시나리오비교'!$B$12))*SIN(RADIANS('13_시나리오비교'!$C$12))+$H1118*SIN(RADIANS('13_시나리오비교'!$B$12))*COS(RADIANS('13_시나리오비교'!$C$12))+$I1118*COS(RADIANS('13_시나리오비교'!$B$12))),0)</f>
        <v/>
      </c>
      <c r="X1118" s="80">
        <f>IF($I1118&gt;0,MAX(0,$G1118*SIN(RADIANS('13_시나리오비교'!$B$13))*SIN(RADIANS('13_시나리오비교'!$C$13))+$H1118*SIN(RADIANS('13_시나리오비교'!$B$13))*COS(RADIANS('13_시나리오비교'!$C$13))+$I1118*COS(RADIANS('13_시나리오비교'!$B$13))),0)</f>
        <v/>
      </c>
      <c r="Y1118" s="80">
        <f>IF($I1118&gt;0,MAX(0,$G1118*SIN(RADIANS('13_시나리오비교'!$B$14))*SIN(RADIANS('13_시나리오비교'!$C$14))+$H1118*SIN(RADIANS('13_시나리오비교'!$B$14))*COS(RADIANS('13_시나리오비교'!$C$14))+$I1118*COS(RADIANS('13_시나리오비교'!$B$14))),0)</f>
        <v/>
      </c>
    </row>
    <row r="1119" hidden="1" outlineLevel="1">
      <c r="A1119" s="79" t="n">
        <v>12</v>
      </c>
      <c r="B1119" s="79" t="n">
        <v>43</v>
      </c>
      <c r="C1119" s="80">
        <f>(B1119-0.5)*'14_지역·상수'!$H$6</f>
        <v/>
      </c>
      <c r="D1119" s="79" t="n">
        <v>344</v>
      </c>
      <c r="E1119" s="80">
        <f>INDEX($C$4:$C$15,MATCH(A1119,$A$4:$A$15,0))</f>
        <v/>
      </c>
      <c r="F1119" s="80">
        <f>15*(C1119-12)</f>
        <v/>
      </c>
      <c r="G1119" s="80">
        <f>-COS(RADIANS(E1119))*SIN(RADIANS(F1119))</f>
        <v/>
      </c>
      <c r="H1119" s="80">
        <f>COS(RADIANS('11_발전량_모델'!$B$17))*SIN(RADIANS(E1119))-SIN(RADIANS('11_발전량_모델'!$B$17))*COS(RADIANS(E1119))*COS(RADIANS(F1119))</f>
        <v/>
      </c>
      <c r="I1119" s="80">
        <f>SIN(RADIANS('11_발전량_모델'!$B$17))*SIN(RADIANS(E1119))+COS(RADIANS('11_발전량_모델'!$B$17))*COS(RADIANS(E1119))*COS(RADIANS(F1119))</f>
        <v/>
      </c>
      <c r="J1119" s="80">
        <f>SIN(RADIANS('11_발전량_모델'!$B$7))*SIN(RADIANS('11_발전량_모델'!$B$8))</f>
        <v/>
      </c>
      <c r="K1119" s="80">
        <f>SIN(RADIANS('11_발전량_모델'!$B$7))*COS(RADIANS('11_발전량_모델'!$B$8))</f>
        <v/>
      </c>
      <c r="L1119" s="80">
        <f>COS(RADIANS('11_발전량_모델'!$B$7))</f>
        <v/>
      </c>
      <c r="M1119" s="80">
        <f>G1119*J1119+H1119*K1119+I1119*L1119</f>
        <v/>
      </c>
      <c r="N1119" s="80">
        <f>MAX(0,I1119)</f>
        <v/>
      </c>
      <c r="O1119" s="80">
        <f>IF(I1119&gt;0,MAX(0,M1119),0)</f>
        <v/>
      </c>
      <c r="P1119" s="80">
        <f>IF($I1119&gt;0,MAX(0,$G1119*SIN(RADIANS('13_시나리오비교'!$B$5))*SIN(RADIANS('13_시나리오비교'!$C$5))+$H1119*SIN(RADIANS('13_시나리오비교'!$B$5))*COS(RADIANS('13_시나리오비교'!$C$5))+$I1119*COS(RADIANS('13_시나리오비교'!$B$5))),0)</f>
        <v/>
      </c>
      <c r="Q1119" s="80">
        <f>IF($I1119&gt;0,MAX(0,$G1119*SIN(RADIANS('13_시나리오비교'!$B$6))*SIN(RADIANS('13_시나리오비교'!$C$6))+$H1119*SIN(RADIANS('13_시나리오비교'!$B$6))*COS(RADIANS('13_시나리오비교'!$C$6))+$I1119*COS(RADIANS('13_시나리오비교'!$B$6))),0)</f>
        <v/>
      </c>
      <c r="R1119" s="80">
        <f>IF($I1119&gt;0,MAX(0,$G1119*SIN(RADIANS('13_시나리오비교'!$B$7))*SIN(RADIANS('13_시나리오비교'!$C$7))+$H1119*SIN(RADIANS('13_시나리오비교'!$B$7))*COS(RADIANS('13_시나리오비교'!$C$7))+$I1119*COS(RADIANS('13_시나리오비교'!$B$7))),0)</f>
        <v/>
      </c>
      <c r="S1119" s="80">
        <f>IF($I1119&gt;0,MAX(0,$G1119*SIN(RADIANS('13_시나리오비교'!$B$8))*SIN(RADIANS('13_시나리오비교'!$C$8))+$H1119*SIN(RADIANS('13_시나리오비교'!$B$8))*COS(RADIANS('13_시나리오비교'!$C$8))+$I1119*COS(RADIANS('13_시나리오비교'!$B$8))),0)</f>
        <v/>
      </c>
      <c r="T1119" s="80">
        <f>IF($I1119&gt;0,MAX(0,$G1119*SIN(RADIANS('13_시나리오비교'!$B$9))*SIN(RADIANS('13_시나리오비교'!$C$9))+$H1119*SIN(RADIANS('13_시나리오비교'!$B$9))*COS(RADIANS('13_시나리오비교'!$C$9))+$I1119*COS(RADIANS('13_시나리오비교'!$B$9))),0)</f>
        <v/>
      </c>
      <c r="U1119" s="80">
        <f>IF($I1119&gt;0,MAX(0,$G1119*SIN(RADIANS('13_시나리오비교'!$B$10))*SIN(RADIANS('13_시나리오비교'!$C$10))+$H1119*SIN(RADIANS('13_시나리오비교'!$B$10))*COS(RADIANS('13_시나리오비교'!$C$10))+$I1119*COS(RADIANS('13_시나리오비교'!$B$10))),0)</f>
        <v/>
      </c>
      <c r="V1119" s="80">
        <f>IF($I1119&gt;0,MAX(0,$G1119*SIN(RADIANS('13_시나리오비교'!$B$11))*SIN(RADIANS('13_시나리오비교'!$C$11))+$H1119*SIN(RADIANS('13_시나리오비교'!$B$11))*COS(RADIANS('13_시나리오비교'!$C$11))+$I1119*COS(RADIANS('13_시나리오비교'!$B$11))),0)</f>
        <v/>
      </c>
      <c r="W1119" s="80">
        <f>IF($I1119&gt;0,MAX(0,$G1119*SIN(RADIANS('13_시나리오비교'!$B$12))*SIN(RADIANS('13_시나리오비교'!$C$12))+$H1119*SIN(RADIANS('13_시나리오비교'!$B$12))*COS(RADIANS('13_시나리오비교'!$C$12))+$I1119*COS(RADIANS('13_시나리오비교'!$B$12))),0)</f>
        <v/>
      </c>
      <c r="X1119" s="80">
        <f>IF($I1119&gt;0,MAX(0,$G1119*SIN(RADIANS('13_시나리오비교'!$B$13))*SIN(RADIANS('13_시나리오비교'!$C$13))+$H1119*SIN(RADIANS('13_시나리오비교'!$B$13))*COS(RADIANS('13_시나리오비교'!$C$13))+$I1119*COS(RADIANS('13_시나리오비교'!$B$13))),0)</f>
        <v/>
      </c>
      <c r="Y1119" s="80">
        <f>IF($I1119&gt;0,MAX(0,$G1119*SIN(RADIANS('13_시나리오비교'!$B$14))*SIN(RADIANS('13_시나리오비교'!$C$14))+$H1119*SIN(RADIANS('13_시나리오비교'!$B$14))*COS(RADIANS('13_시나리오비교'!$C$14))+$I1119*COS(RADIANS('13_시나리오비교'!$B$14))),0)</f>
        <v/>
      </c>
    </row>
    <row r="1120" hidden="1" outlineLevel="1">
      <c r="A1120" s="79" t="n">
        <v>12</v>
      </c>
      <c r="B1120" s="79" t="n">
        <v>44</v>
      </c>
      <c r="C1120" s="80">
        <f>(B1120-0.5)*'14_지역·상수'!$H$6</f>
        <v/>
      </c>
      <c r="D1120" s="79" t="n">
        <v>344</v>
      </c>
      <c r="E1120" s="80">
        <f>INDEX($C$4:$C$15,MATCH(A1120,$A$4:$A$15,0))</f>
        <v/>
      </c>
      <c r="F1120" s="80">
        <f>15*(C1120-12)</f>
        <v/>
      </c>
      <c r="G1120" s="80">
        <f>-COS(RADIANS(E1120))*SIN(RADIANS(F1120))</f>
        <v/>
      </c>
      <c r="H1120" s="80">
        <f>COS(RADIANS('11_발전량_모델'!$B$17))*SIN(RADIANS(E1120))-SIN(RADIANS('11_발전량_모델'!$B$17))*COS(RADIANS(E1120))*COS(RADIANS(F1120))</f>
        <v/>
      </c>
      <c r="I1120" s="80">
        <f>SIN(RADIANS('11_발전량_모델'!$B$17))*SIN(RADIANS(E1120))+COS(RADIANS('11_발전량_모델'!$B$17))*COS(RADIANS(E1120))*COS(RADIANS(F1120))</f>
        <v/>
      </c>
      <c r="J1120" s="80">
        <f>SIN(RADIANS('11_발전량_모델'!$B$7))*SIN(RADIANS('11_발전량_모델'!$B$8))</f>
        <v/>
      </c>
      <c r="K1120" s="80">
        <f>SIN(RADIANS('11_발전량_모델'!$B$7))*COS(RADIANS('11_발전량_모델'!$B$8))</f>
        <v/>
      </c>
      <c r="L1120" s="80">
        <f>COS(RADIANS('11_발전량_모델'!$B$7))</f>
        <v/>
      </c>
      <c r="M1120" s="80">
        <f>G1120*J1120+H1120*K1120+I1120*L1120</f>
        <v/>
      </c>
      <c r="N1120" s="80">
        <f>MAX(0,I1120)</f>
        <v/>
      </c>
      <c r="O1120" s="80">
        <f>IF(I1120&gt;0,MAX(0,M1120),0)</f>
        <v/>
      </c>
      <c r="P1120" s="80">
        <f>IF($I1120&gt;0,MAX(0,$G1120*SIN(RADIANS('13_시나리오비교'!$B$5))*SIN(RADIANS('13_시나리오비교'!$C$5))+$H1120*SIN(RADIANS('13_시나리오비교'!$B$5))*COS(RADIANS('13_시나리오비교'!$C$5))+$I1120*COS(RADIANS('13_시나리오비교'!$B$5))),0)</f>
        <v/>
      </c>
      <c r="Q1120" s="80">
        <f>IF($I1120&gt;0,MAX(0,$G1120*SIN(RADIANS('13_시나리오비교'!$B$6))*SIN(RADIANS('13_시나리오비교'!$C$6))+$H1120*SIN(RADIANS('13_시나리오비교'!$B$6))*COS(RADIANS('13_시나리오비교'!$C$6))+$I1120*COS(RADIANS('13_시나리오비교'!$B$6))),0)</f>
        <v/>
      </c>
      <c r="R1120" s="80">
        <f>IF($I1120&gt;0,MAX(0,$G1120*SIN(RADIANS('13_시나리오비교'!$B$7))*SIN(RADIANS('13_시나리오비교'!$C$7))+$H1120*SIN(RADIANS('13_시나리오비교'!$B$7))*COS(RADIANS('13_시나리오비교'!$C$7))+$I1120*COS(RADIANS('13_시나리오비교'!$B$7))),0)</f>
        <v/>
      </c>
      <c r="S1120" s="80">
        <f>IF($I1120&gt;0,MAX(0,$G1120*SIN(RADIANS('13_시나리오비교'!$B$8))*SIN(RADIANS('13_시나리오비교'!$C$8))+$H1120*SIN(RADIANS('13_시나리오비교'!$B$8))*COS(RADIANS('13_시나리오비교'!$C$8))+$I1120*COS(RADIANS('13_시나리오비교'!$B$8))),0)</f>
        <v/>
      </c>
      <c r="T1120" s="80">
        <f>IF($I1120&gt;0,MAX(0,$G1120*SIN(RADIANS('13_시나리오비교'!$B$9))*SIN(RADIANS('13_시나리오비교'!$C$9))+$H1120*SIN(RADIANS('13_시나리오비교'!$B$9))*COS(RADIANS('13_시나리오비교'!$C$9))+$I1120*COS(RADIANS('13_시나리오비교'!$B$9))),0)</f>
        <v/>
      </c>
      <c r="U1120" s="80">
        <f>IF($I1120&gt;0,MAX(0,$G1120*SIN(RADIANS('13_시나리오비교'!$B$10))*SIN(RADIANS('13_시나리오비교'!$C$10))+$H1120*SIN(RADIANS('13_시나리오비교'!$B$10))*COS(RADIANS('13_시나리오비교'!$C$10))+$I1120*COS(RADIANS('13_시나리오비교'!$B$10))),0)</f>
        <v/>
      </c>
      <c r="V1120" s="80">
        <f>IF($I1120&gt;0,MAX(0,$G1120*SIN(RADIANS('13_시나리오비교'!$B$11))*SIN(RADIANS('13_시나리오비교'!$C$11))+$H1120*SIN(RADIANS('13_시나리오비교'!$B$11))*COS(RADIANS('13_시나리오비교'!$C$11))+$I1120*COS(RADIANS('13_시나리오비교'!$B$11))),0)</f>
        <v/>
      </c>
      <c r="W1120" s="80">
        <f>IF($I1120&gt;0,MAX(0,$G1120*SIN(RADIANS('13_시나리오비교'!$B$12))*SIN(RADIANS('13_시나리오비교'!$C$12))+$H1120*SIN(RADIANS('13_시나리오비교'!$B$12))*COS(RADIANS('13_시나리오비교'!$C$12))+$I1120*COS(RADIANS('13_시나리오비교'!$B$12))),0)</f>
        <v/>
      </c>
      <c r="X1120" s="80">
        <f>IF($I1120&gt;0,MAX(0,$G1120*SIN(RADIANS('13_시나리오비교'!$B$13))*SIN(RADIANS('13_시나리오비교'!$C$13))+$H1120*SIN(RADIANS('13_시나리오비교'!$B$13))*COS(RADIANS('13_시나리오비교'!$C$13))+$I1120*COS(RADIANS('13_시나리오비교'!$B$13))),0)</f>
        <v/>
      </c>
      <c r="Y1120" s="80">
        <f>IF($I1120&gt;0,MAX(0,$G1120*SIN(RADIANS('13_시나리오비교'!$B$14))*SIN(RADIANS('13_시나리오비교'!$C$14))+$H1120*SIN(RADIANS('13_시나리오비교'!$B$14))*COS(RADIANS('13_시나리오비교'!$C$14))+$I1120*COS(RADIANS('13_시나리오비교'!$B$14))),0)</f>
        <v/>
      </c>
    </row>
    <row r="1121" hidden="1" outlineLevel="1">
      <c r="A1121" s="79" t="n">
        <v>12</v>
      </c>
      <c r="B1121" s="79" t="n">
        <v>45</v>
      </c>
      <c r="C1121" s="80">
        <f>(B1121-0.5)*'14_지역·상수'!$H$6</f>
        <v/>
      </c>
      <c r="D1121" s="79" t="n">
        <v>344</v>
      </c>
      <c r="E1121" s="80">
        <f>INDEX($C$4:$C$15,MATCH(A1121,$A$4:$A$15,0))</f>
        <v/>
      </c>
      <c r="F1121" s="80">
        <f>15*(C1121-12)</f>
        <v/>
      </c>
      <c r="G1121" s="80">
        <f>-COS(RADIANS(E1121))*SIN(RADIANS(F1121))</f>
        <v/>
      </c>
      <c r="H1121" s="80">
        <f>COS(RADIANS('11_발전량_모델'!$B$17))*SIN(RADIANS(E1121))-SIN(RADIANS('11_발전량_모델'!$B$17))*COS(RADIANS(E1121))*COS(RADIANS(F1121))</f>
        <v/>
      </c>
      <c r="I1121" s="80">
        <f>SIN(RADIANS('11_발전량_모델'!$B$17))*SIN(RADIANS(E1121))+COS(RADIANS('11_발전량_모델'!$B$17))*COS(RADIANS(E1121))*COS(RADIANS(F1121))</f>
        <v/>
      </c>
      <c r="J1121" s="80">
        <f>SIN(RADIANS('11_발전량_모델'!$B$7))*SIN(RADIANS('11_발전량_모델'!$B$8))</f>
        <v/>
      </c>
      <c r="K1121" s="80">
        <f>SIN(RADIANS('11_발전량_모델'!$B$7))*COS(RADIANS('11_발전량_모델'!$B$8))</f>
        <v/>
      </c>
      <c r="L1121" s="80">
        <f>COS(RADIANS('11_발전량_모델'!$B$7))</f>
        <v/>
      </c>
      <c r="M1121" s="80">
        <f>G1121*J1121+H1121*K1121+I1121*L1121</f>
        <v/>
      </c>
      <c r="N1121" s="80">
        <f>MAX(0,I1121)</f>
        <v/>
      </c>
      <c r="O1121" s="80">
        <f>IF(I1121&gt;0,MAX(0,M1121),0)</f>
        <v/>
      </c>
      <c r="P1121" s="80">
        <f>IF($I1121&gt;0,MAX(0,$G1121*SIN(RADIANS('13_시나리오비교'!$B$5))*SIN(RADIANS('13_시나리오비교'!$C$5))+$H1121*SIN(RADIANS('13_시나리오비교'!$B$5))*COS(RADIANS('13_시나리오비교'!$C$5))+$I1121*COS(RADIANS('13_시나리오비교'!$B$5))),0)</f>
        <v/>
      </c>
      <c r="Q1121" s="80">
        <f>IF($I1121&gt;0,MAX(0,$G1121*SIN(RADIANS('13_시나리오비교'!$B$6))*SIN(RADIANS('13_시나리오비교'!$C$6))+$H1121*SIN(RADIANS('13_시나리오비교'!$B$6))*COS(RADIANS('13_시나리오비교'!$C$6))+$I1121*COS(RADIANS('13_시나리오비교'!$B$6))),0)</f>
        <v/>
      </c>
      <c r="R1121" s="80">
        <f>IF($I1121&gt;0,MAX(0,$G1121*SIN(RADIANS('13_시나리오비교'!$B$7))*SIN(RADIANS('13_시나리오비교'!$C$7))+$H1121*SIN(RADIANS('13_시나리오비교'!$B$7))*COS(RADIANS('13_시나리오비교'!$C$7))+$I1121*COS(RADIANS('13_시나리오비교'!$B$7))),0)</f>
        <v/>
      </c>
      <c r="S1121" s="80">
        <f>IF($I1121&gt;0,MAX(0,$G1121*SIN(RADIANS('13_시나리오비교'!$B$8))*SIN(RADIANS('13_시나리오비교'!$C$8))+$H1121*SIN(RADIANS('13_시나리오비교'!$B$8))*COS(RADIANS('13_시나리오비교'!$C$8))+$I1121*COS(RADIANS('13_시나리오비교'!$B$8))),0)</f>
        <v/>
      </c>
      <c r="T1121" s="80">
        <f>IF($I1121&gt;0,MAX(0,$G1121*SIN(RADIANS('13_시나리오비교'!$B$9))*SIN(RADIANS('13_시나리오비교'!$C$9))+$H1121*SIN(RADIANS('13_시나리오비교'!$B$9))*COS(RADIANS('13_시나리오비교'!$C$9))+$I1121*COS(RADIANS('13_시나리오비교'!$B$9))),0)</f>
        <v/>
      </c>
      <c r="U1121" s="80">
        <f>IF($I1121&gt;0,MAX(0,$G1121*SIN(RADIANS('13_시나리오비교'!$B$10))*SIN(RADIANS('13_시나리오비교'!$C$10))+$H1121*SIN(RADIANS('13_시나리오비교'!$B$10))*COS(RADIANS('13_시나리오비교'!$C$10))+$I1121*COS(RADIANS('13_시나리오비교'!$B$10))),0)</f>
        <v/>
      </c>
      <c r="V1121" s="80">
        <f>IF($I1121&gt;0,MAX(0,$G1121*SIN(RADIANS('13_시나리오비교'!$B$11))*SIN(RADIANS('13_시나리오비교'!$C$11))+$H1121*SIN(RADIANS('13_시나리오비교'!$B$11))*COS(RADIANS('13_시나리오비교'!$C$11))+$I1121*COS(RADIANS('13_시나리오비교'!$B$11))),0)</f>
        <v/>
      </c>
      <c r="W1121" s="80">
        <f>IF($I1121&gt;0,MAX(0,$G1121*SIN(RADIANS('13_시나리오비교'!$B$12))*SIN(RADIANS('13_시나리오비교'!$C$12))+$H1121*SIN(RADIANS('13_시나리오비교'!$B$12))*COS(RADIANS('13_시나리오비교'!$C$12))+$I1121*COS(RADIANS('13_시나리오비교'!$B$12))),0)</f>
        <v/>
      </c>
      <c r="X1121" s="80">
        <f>IF($I1121&gt;0,MAX(0,$G1121*SIN(RADIANS('13_시나리오비교'!$B$13))*SIN(RADIANS('13_시나리오비교'!$C$13))+$H1121*SIN(RADIANS('13_시나리오비교'!$B$13))*COS(RADIANS('13_시나리오비교'!$C$13))+$I1121*COS(RADIANS('13_시나리오비교'!$B$13))),0)</f>
        <v/>
      </c>
      <c r="Y1121" s="80">
        <f>IF($I1121&gt;0,MAX(0,$G1121*SIN(RADIANS('13_시나리오비교'!$B$14))*SIN(RADIANS('13_시나리오비교'!$C$14))+$H1121*SIN(RADIANS('13_시나리오비교'!$B$14))*COS(RADIANS('13_시나리오비교'!$C$14))+$I1121*COS(RADIANS('13_시나리오비교'!$B$14))),0)</f>
        <v/>
      </c>
    </row>
    <row r="1122" hidden="1" outlineLevel="1">
      <c r="A1122" s="79" t="n">
        <v>12</v>
      </c>
      <c r="B1122" s="79" t="n">
        <v>46</v>
      </c>
      <c r="C1122" s="80">
        <f>(B1122-0.5)*'14_지역·상수'!$H$6</f>
        <v/>
      </c>
      <c r="D1122" s="79" t="n">
        <v>344</v>
      </c>
      <c r="E1122" s="80">
        <f>INDEX($C$4:$C$15,MATCH(A1122,$A$4:$A$15,0))</f>
        <v/>
      </c>
      <c r="F1122" s="80">
        <f>15*(C1122-12)</f>
        <v/>
      </c>
      <c r="G1122" s="80">
        <f>-COS(RADIANS(E1122))*SIN(RADIANS(F1122))</f>
        <v/>
      </c>
      <c r="H1122" s="80">
        <f>COS(RADIANS('11_발전량_모델'!$B$17))*SIN(RADIANS(E1122))-SIN(RADIANS('11_발전량_모델'!$B$17))*COS(RADIANS(E1122))*COS(RADIANS(F1122))</f>
        <v/>
      </c>
      <c r="I1122" s="80">
        <f>SIN(RADIANS('11_발전량_모델'!$B$17))*SIN(RADIANS(E1122))+COS(RADIANS('11_발전량_모델'!$B$17))*COS(RADIANS(E1122))*COS(RADIANS(F1122))</f>
        <v/>
      </c>
      <c r="J1122" s="80">
        <f>SIN(RADIANS('11_발전량_모델'!$B$7))*SIN(RADIANS('11_발전량_모델'!$B$8))</f>
        <v/>
      </c>
      <c r="K1122" s="80">
        <f>SIN(RADIANS('11_발전량_모델'!$B$7))*COS(RADIANS('11_발전량_모델'!$B$8))</f>
        <v/>
      </c>
      <c r="L1122" s="80">
        <f>COS(RADIANS('11_발전량_모델'!$B$7))</f>
        <v/>
      </c>
      <c r="M1122" s="80">
        <f>G1122*J1122+H1122*K1122+I1122*L1122</f>
        <v/>
      </c>
      <c r="N1122" s="80">
        <f>MAX(0,I1122)</f>
        <v/>
      </c>
      <c r="O1122" s="80">
        <f>IF(I1122&gt;0,MAX(0,M1122),0)</f>
        <v/>
      </c>
      <c r="P1122" s="80">
        <f>IF($I1122&gt;0,MAX(0,$G1122*SIN(RADIANS('13_시나리오비교'!$B$5))*SIN(RADIANS('13_시나리오비교'!$C$5))+$H1122*SIN(RADIANS('13_시나리오비교'!$B$5))*COS(RADIANS('13_시나리오비교'!$C$5))+$I1122*COS(RADIANS('13_시나리오비교'!$B$5))),0)</f>
        <v/>
      </c>
      <c r="Q1122" s="80">
        <f>IF($I1122&gt;0,MAX(0,$G1122*SIN(RADIANS('13_시나리오비교'!$B$6))*SIN(RADIANS('13_시나리오비교'!$C$6))+$H1122*SIN(RADIANS('13_시나리오비교'!$B$6))*COS(RADIANS('13_시나리오비교'!$C$6))+$I1122*COS(RADIANS('13_시나리오비교'!$B$6))),0)</f>
        <v/>
      </c>
      <c r="R1122" s="80">
        <f>IF($I1122&gt;0,MAX(0,$G1122*SIN(RADIANS('13_시나리오비교'!$B$7))*SIN(RADIANS('13_시나리오비교'!$C$7))+$H1122*SIN(RADIANS('13_시나리오비교'!$B$7))*COS(RADIANS('13_시나리오비교'!$C$7))+$I1122*COS(RADIANS('13_시나리오비교'!$B$7))),0)</f>
        <v/>
      </c>
      <c r="S1122" s="80">
        <f>IF($I1122&gt;0,MAX(0,$G1122*SIN(RADIANS('13_시나리오비교'!$B$8))*SIN(RADIANS('13_시나리오비교'!$C$8))+$H1122*SIN(RADIANS('13_시나리오비교'!$B$8))*COS(RADIANS('13_시나리오비교'!$C$8))+$I1122*COS(RADIANS('13_시나리오비교'!$B$8))),0)</f>
        <v/>
      </c>
      <c r="T1122" s="80">
        <f>IF($I1122&gt;0,MAX(0,$G1122*SIN(RADIANS('13_시나리오비교'!$B$9))*SIN(RADIANS('13_시나리오비교'!$C$9))+$H1122*SIN(RADIANS('13_시나리오비교'!$B$9))*COS(RADIANS('13_시나리오비교'!$C$9))+$I1122*COS(RADIANS('13_시나리오비교'!$B$9))),0)</f>
        <v/>
      </c>
      <c r="U1122" s="80">
        <f>IF($I1122&gt;0,MAX(0,$G1122*SIN(RADIANS('13_시나리오비교'!$B$10))*SIN(RADIANS('13_시나리오비교'!$C$10))+$H1122*SIN(RADIANS('13_시나리오비교'!$B$10))*COS(RADIANS('13_시나리오비교'!$C$10))+$I1122*COS(RADIANS('13_시나리오비교'!$B$10))),0)</f>
        <v/>
      </c>
      <c r="V1122" s="80">
        <f>IF($I1122&gt;0,MAX(0,$G1122*SIN(RADIANS('13_시나리오비교'!$B$11))*SIN(RADIANS('13_시나리오비교'!$C$11))+$H1122*SIN(RADIANS('13_시나리오비교'!$B$11))*COS(RADIANS('13_시나리오비교'!$C$11))+$I1122*COS(RADIANS('13_시나리오비교'!$B$11))),0)</f>
        <v/>
      </c>
      <c r="W1122" s="80">
        <f>IF($I1122&gt;0,MAX(0,$G1122*SIN(RADIANS('13_시나리오비교'!$B$12))*SIN(RADIANS('13_시나리오비교'!$C$12))+$H1122*SIN(RADIANS('13_시나리오비교'!$B$12))*COS(RADIANS('13_시나리오비교'!$C$12))+$I1122*COS(RADIANS('13_시나리오비교'!$B$12))),0)</f>
        <v/>
      </c>
      <c r="X1122" s="80">
        <f>IF($I1122&gt;0,MAX(0,$G1122*SIN(RADIANS('13_시나리오비교'!$B$13))*SIN(RADIANS('13_시나리오비교'!$C$13))+$H1122*SIN(RADIANS('13_시나리오비교'!$B$13))*COS(RADIANS('13_시나리오비교'!$C$13))+$I1122*COS(RADIANS('13_시나리오비교'!$B$13))),0)</f>
        <v/>
      </c>
      <c r="Y1122" s="80">
        <f>IF($I1122&gt;0,MAX(0,$G1122*SIN(RADIANS('13_시나리오비교'!$B$14))*SIN(RADIANS('13_시나리오비교'!$C$14))+$H1122*SIN(RADIANS('13_시나리오비교'!$B$14))*COS(RADIANS('13_시나리오비교'!$C$14))+$I1122*COS(RADIANS('13_시나리오비교'!$B$14))),0)</f>
        <v/>
      </c>
    </row>
    <row r="1123" hidden="1" outlineLevel="1">
      <c r="A1123" s="79" t="n">
        <v>12</v>
      </c>
      <c r="B1123" s="79" t="n">
        <v>47</v>
      </c>
      <c r="C1123" s="80">
        <f>(B1123-0.5)*'14_지역·상수'!$H$6</f>
        <v/>
      </c>
      <c r="D1123" s="79" t="n">
        <v>344</v>
      </c>
      <c r="E1123" s="80">
        <f>INDEX($C$4:$C$15,MATCH(A1123,$A$4:$A$15,0))</f>
        <v/>
      </c>
      <c r="F1123" s="80">
        <f>15*(C1123-12)</f>
        <v/>
      </c>
      <c r="G1123" s="80">
        <f>-COS(RADIANS(E1123))*SIN(RADIANS(F1123))</f>
        <v/>
      </c>
      <c r="H1123" s="80">
        <f>COS(RADIANS('11_발전량_모델'!$B$17))*SIN(RADIANS(E1123))-SIN(RADIANS('11_발전량_모델'!$B$17))*COS(RADIANS(E1123))*COS(RADIANS(F1123))</f>
        <v/>
      </c>
      <c r="I1123" s="80">
        <f>SIN(RADIANS('11_발전량_모델'!$B$17))*SIN(RADIANS(E1123))+COS(RADIANS('11_발전량_모델'!$B$17))*COS(RADIANS(E1123))*COS(RADIANS(F1123))</f>
        <v/>
      </c>
      <c r="J1123" s="80">
        <f>SIN(RADIANS('11_발전량_모델'!$B$7))*SIN(RADIANS('11_발전량_모델'!$B$8))</f>
        <v/>
      </c>
      <c r="K1123" s="80">
        <f>SIN(RADIANS('11_발전량_모델'!$B$7))*COS(RADIANS('11_발전량_모델'!$B$8))</f>
        <v/>
      </c>
      <c r="L1123" s="80">
        <f>COS(RADIANS('11_발전량_모델'!$B$7))</f>
        <v/>
      </c>
      <c r="M1123" s="80">
        <f>G1123*J1123+H1123*K1123+I1123*L1123</f>
        <v/>
      </c>
      <c r="N1123" s="80">
        <f>MAX(0,I1123)</f>
        <v/>
      </c>
      <c r="O1123" s="80">
        <f>IF(I1123&gt;0,MAX(0,M1123),0)</f>
        <v/>
      </c>
      <c r="P1123" s="80">
        <f>IF($I1123&gt;0,MAX(0,$G1123*SIN(RADIANS('13_시나리오비교'!$B$5))*SIN(RADIANS('13_시나리오비교'!$C$5))+$H1123*SIN(RADIANS('13_시나리오비교'!$B$5))*COS(RADIANS('13_시나리오비교'!$C$5))+$I1123*COS(RADIANS('13_시나리오비교'!$B$5))),0)</f>
        <v/>
      </c>
      <c r="Q1123" s="80">
        <f>IF($I1123&gt;0,MAX(0,$G1123*SIN(RADIANS('13_시나리오비교'!$B$6))*SIN(RADIANS('13_시나리오비교'!$C$6))+$H1123*SIN(RADIANS('13_시나리오비교'!$B$6))*COS(RADIANS('13_시나리오비교'!$C$6))+$I1123*COS(RADIANS('13_시나리오비교'!$B$6))),0)</f>
        <v/>
      </c>
      <c r="R1123" s="80">
        <f>IF($I1123&gt;0,MAX(0,$G1123*SIN(RADIANS('13_시나리오비교'!$B$7))*SIN(RADIANS('13_시나리오비교'!$C$7))+$H1123*SIN(RADIANS('13_시나리오비교'!$B$7))*COS(RADIANS('13_시나리오비교'!$C$7))+$I1123*COS(RADIANS('13_시나리오비교'!$B$7))),0)</f>
        <v/>
      </c>
      <c r="S1123" s="80">
        <f>IF($I1123&gt;0,MAX(0,$G1123*SIN(RADIANS('13_시나리오비교'!$B$8))*SIN(RADIANS('13_시나리오비교'!$C$8))+$H1123*SIN(RADIANS('13_시나리오비교'!$B$8))*COS(RADIANS('13_시나리오비교'!$C$8))+$I1123*COS(RADIANS('13_시나리오비교'!$B$8))),0)</f>
        <v/>
      </c>
      <c r="T1123" s="80">
        <f>IF($I1123&gt;0,MAX(0,$G1123*SIN(RADIANS('13_시나리오비교'!$B$9))*SIN(RADIANS('13_시나리오비교'!$C$9))+$H1123*SIN(RADIANS('13_시나리오비교'!$B$9))*COS(RADIANS('13_시나리오비교'!$C$9))+$I1123*COS(RADIANS('13_시나리오비교'!$B$9))),0)</f>
        <v/>
      </c>
      <c r="U1123" s="80">
        <f>IF($I1123&gt;0,MAX(0,$G1123*SIN(RADIANS('13_시나리오비교'!$B$10))*SIN(RADIANS('13_시나리오비교'!$C$10))+$H1123*SIN(RADIANS('13_시나리오비교'!$B$10))*COS(RADIANS('13_시나리오비교'!$C$10))+$I1123*COS(RADIANS('13_시나리오비교'!$B$10))),0)</f>
        <v/>
      </c>
      <c r="V1123" s="80">
        <f>IF($I1123&gt;0,MAX(0,$G1123*SIN(RADIANS('13_시나리오비교'!$B$11))*SIN(RADIANS('13_시나리오비교'!$C$11))+$H1123*SIN(RADIANS('13_시나리오비교'!$B$11))*COS(RADIANS('13_시나리오비교'!$C$11))+$I1123*COS(RADIANS('13_시나리오비교'!$B$11))),0)</f>
        <v/>
      </c>
      <c r="W1123" s="80">
        <f>IF($I1123&gt;0,MAX(0,$G1123*SIN(RADIANS('13_시나리오비교'!$B$12))*SIN(RADIANS('13_시나리오비교'!$C$12))+$H1123*SIN(RADIANS('13_시나리오비교'!$B$12))*COS(RADIANS('13_시나리오비교'!$C$12))+$I1123*COS(RADIANS('13_시나리오비교'!$B$12))),0)</f>
        <v/>
      </c>
      <c r="X1123" s="80">
        <f>IF($I1123&gt;0,MAX(0,$G1123*SIN(RADIANS('13_시나리오비교'!$B$13))*SIN(RADIANS('13_시나리오비교'!$C$13))+$H1123*SIN(RADIANS('13_시나리오비교'!$B$13))*COS(RADIANS('13_시나리오비교'!$C$13))+$I1123*COS(RADIANS('13_시나리오비교'!$B$13))),0)</f>
        <v/>
      </c>
      <c r="Y1123" s="80">
        <f>IF($I1123&gt;0,MAX(0,$G1123*SIN(RADIANS('13_시나리오비교'!$B$14))*SIN(RADIANS('13_시나리오비교'!$C$14))+$H1123*SIN(RADIANS('13_시나리오비교'!$B$14))*COS(RADIANS('13_시나리오비교'!$C$14))+$I1123*COS(RADIANS('13_시나리오비교'!$B$14))),0)</f>
        <v/>
      </c>
    </row>
    <row r="1124" hidden="1" outlineLevel="1">
      <c r="A1124" s="79" t="n">
        <v>12</v>
      </c>
      <c r="B1124" s="79" t="n">
        <v>48</v>
      </c>
      <c r="C1124" s="80">
        <f>(B1124-0.5)*'14_지역·상수'!$H$6</f>
        <v/>
      </c>
      <c r="D1124" s="79" t="n">
        <v>344</v>
      </c>
      <c r="E1124" s="80">
        <f>INDEX($C$4:$C$15,MATCH(A1124,$A$4:$A$15,0))</f>
        <v/>
      </c>
      <c r="F1124" s="80">
        <f>15*(C1124-12)</f>
        <v/>
      </c>
      <c r="G1124" s="80">
        <f>-COS(RADIANS(E1124))*SIN(RADIANS(F1124))</f>
        <v/>
      </c>
      <c r="H1124" s="80">
        <f>COS(RADIANS('11_발전량_모델'!$B$17))*SIN(RADIANS(E1124))-SIN(RADIANS('11_발전량_모델'!$B$17))*COS(RADIANS(E1124))*COS(RADIANS(F1124))</f>
        <v/>
      </c>
      <c r="I1124" s="80">
        <f>SIN(RADIANS('11_발전량_모델'!$B$17))*SIN(RADIANS(E1124))+COS(RADIANS('11_발전량_모델'!$B$17))*COS(RADIANS(E1124))*COS(RADIANS(F1124))</f>
        <v/>
      </c>
      <c r="J1124" s="80">
        <f>SIN(RADIANS('11_발전량_모델'!$B$7))*SIN(RADIANS('11_발전량_모델'!$B$8))</f>
        <v/>
      </c>
      <c r="K1124" s="80">
        <f>SIN(RADIANS('11_발전량_모델'!$B$7))*COS(RADIANS('11_발전량_모델'!$B$8))</f>
        <v/>
      </c>
      <c r="L1124" s="80">
        <f>COS(RADIANS('11_발전량_모델'!$B$7))</f>
        <v/>
      </c>
      <c r="M1124" s="80">
        <f>G1124*J1124+H1124*K1124+I1124*L1124</f>
        <v/>
      </c>
      <c r="N1124" s="80">
        <f>MAX(0,I1124)</f>
        <v/>
      </c>
      <c r="O1124" s="80">
        <f>IF(I1124&gt;0,MAX(0,M1124),0)</f>
        <v/>
      </c>
      <c r="P1124" s="80">
        <f>IF($I1124&gt;0,MAX(0,$G1124*SIN(RADIANS('13_시나리오비교'!$B$5))*SIN(RADIANS('13_시나리오비교'!$C$5))+$H1124*SIN(RADIANS('13_시나리오비교'!$B$5))*COS(RADIANS('13_시나리오비교'!$C$5))+$I1124*COS(RADIANS('13_시나리오비교'!$B$5))),0)</f>
        <v/>
      </c>
      <c r="Q1124" s="80">
        <f>IF($I1124&gt;0,MAX(0,$G1124*SIN(RADIANS('13_시나리오비교'!$B$6))*SIN(RADIANS('13_시나리오비교'!$C$6))+$H1124*SIN(RADIANS('13_시나리오비교'!$B$6))*COS(RADIANS('13_시나리오비교'!$C$6))+$I1124*COS(RADIANS('13_시나리오비교'!$B$6))),0)</f>
        <v/>
      </c>
      <c r="R1124" s="80">
        <f>IF($I1124&gt;0,MAX(0,$G1124*SIN(RADIANS('13_시나리오비교'!$B$7))*SIN(RADIANS('13_시나리오비교'!$C$7))+$H1124*SIN(RADIANS('13_시나리오비교'!$B$7))*COS(RADIANS('13_시나리오비교'!$C$7))+$I1124*COS(RADIANS('13_시나리오비교'!$B$7))),0)</f>
        <v/>
      </c>
      <c r="S1124" s="80">
        <f>IF($I1124&gt;0,MAX(0,$G1124*SIN(RADIANS('13_시나리오비교'!$B$8))*SIN(RADIANS('13_시나리오비교'!$C$8))+$H1124*SIN(RADIANS('13_시나리오비교'!$B$8))*COS(RADIANS('13_시나리오비교'!$C$8))+$I1124*COS(RADIANS('13_시나리오비교'!$B$8))),0)</f>
        <v/>
      </c>
      <c r="T1124" s="80">
        <f>IF($I1124&gt;0,MAX(0,$G1124*SIN(RADIANS('13_시나리오비교'!$B$9))*SIN(RADIANS('13_시나리오비교'!$C$9))+$H1124*SIN(RADIANS('13_시나리오비교'!$B$9))*COS(RADIANS('13_시나리오비교'!$C$9))+$I1124*COS(RADIANS('13_시나리오비교'!$B$9))),0)</f>
        <v/>
      </c>
      <c r="U1124" s="80">
        <f>IF($I1124&gt;0,MAX(0,$G1124*SIN(RADIANS('13_시나리오비교'!$B$10))*SIN(RADIANS('13_시나리오비교'!$C$10))+$H1124*SIN(RADIANS('13_시나리오비교'!$B$10))*COS(RADIANS('13_시나리오비교'!$C$10))+$I1124*COS(RADIANS('13_시나리오비교'!$B$10))),0)</f>
        <v/>
      </c>
      <c r="V1124" s="80">
        <f>IF($I1124&gt;0,MAX(0,$G1124*SIN(RADIANS('13_시나리오비교'!$B$11))*SIN(RADIANS('13_시나리오비교'!$C$11))+$H1124*SIN(RADIANS('13_시나리오비교'!$B$11))*COS(RADIANS('13_시나리오비교'!$C$11))+$I1124*COS(RADIANS('13_시나리오비교'!$B$11))),0)</f>
        <v/>
      </c>
      <c r="W1124" s="80">
        <f>IF($I1124&gt;0,MAX(0,$G1124*SIN(RADIANS('13_시나리오비교'!$B$12))*SIN(RADIANS('13_시나리오비교'!$C$12))+$H1124*SIN(RADIANS('13_시나리오비교'!$B$12))*COS(RADIANS('13_시나리오비교'!$C$12))+$I1124*COS(RADIANS('13_시나리오비교'!$B$12))),0)</f>
        <v/>
      </c>
      <c r="X1124" s="80">
        <f>IF($I1124&gt;0,MAX(0,$G1124*SIN(RADIANS('13_시나리오비교'!$B$13))*SIN(RADIANS('13_시나리오비교'!$C$13))+$H1124*SIN(RADIANS('13_시나리오비교'!$B$13))*COS(RADIANS('13_시나리오비교'!$C$13))+$I1124*COS(RADIANS('13_시나리오비교'!$B$13))),0)</f>
        <v/>
      </c>
      <c r="Y1124" s="80">
        <f>IF($I1124&gt;0,MAX(0,$G1124*SIN(RADIANS('13_시나리오비교'!$B$14))*SIN(RADIANS('13_시나리오비교'!$C$14))+$H1124*SIN(RADIANS('13_시나리오비교'!$B$14))*COS(RADIANS('13_시나리오비교'!$C$14))+$I1124*COS(RADIANS('13_시나리오비교'!$B$14))),0)</f>
        <v/>
      </c>
    </row>
    <row r="1125" hidden="1" outlineLevel="1">
      <c r="A1125" s="79" t="n">
        <v>12</v>
      </c>
      <c r="B1125" s="79" t="n">
        <v>49</v>
      </c>
      <c r="C1125" s="80">
        <f>(B1125-0.5)*'14_지역·상수'!$H$6</f>
        <v/>
      </c>
      <c r="D1125" s="79" t="n">
        <v>344</v>
      </c>
      <c r="E1125" s="80">
        <f>INDEX($C$4:$C$15,MATCH(A1125,$A$4:$A$15,0))</f>
        <v/>
      </c>
      <c r="F1125" s="80">
        <f>15*(C1125-12)</f>
        <v/>
      </c>
      <c r="G1125" s="80">
        <f>-COS(RADIANS(E1125))*SIN(RADIANS(F1125))</f>
        <v/>
      </c>
      <c r="H1125" s="80">
        <f>COS(RADIANS('11_발전량_모델'!$B$17))*SIN(RADIANS(E1125))-SIN(RADIANS('11_발전량_모델'!$B$17))*COS(RADIANS(E1125))*COS(RADIANS(F1125))</f>
        <v/>
      </c>
      <c r="I1125" s="80">
        <f>SIN(RADIANS('11_발전량_모델'!$B$17))*SIN(RADIANS(E1125))+COS(RADIANS('11_발전량_모델'!$B$17))*COS(RADIANS(E1125))*COS(RADIANS(F1125))</f>
        <v/>
      </c>
      <c r="J1125" s="80">
        <f>SIN(RADIANS('11_발전량_모델'!$B$7))*SIN(RADIANS('11_발전량_모델'!$B$8))</f>
        <v/>
      </c>
      <c r="K1125" s="80">
        <f>SIN(RADIANS('11_발전량_모델'!$B$7))*COS(RADIANS('11_발전량_모델'!$B$8))</f>
        <v/>
      </c>
      <c r="L1125" s="80">
        <f>COS(RADIANS('11_발전량_모델'!$B$7))</f>
        <v/>
      </c>
      <c r="M1125" s="80">
        <f>G1125*J1125+H1125*K1125+I1125*L1125</f>
        <v/>
      </c>
      <c r="N1125" s="80">
        <f>MAX(0,I1125)</f>
        <v/>
      </c>
      <c r="O1125" s="80">
        <f>IF(I1125&gt;0,MAX(0,M1125),0)</f>
        <v/>
      </c>
      <c r="P1125" s="80">
        <f>IF($I1125&gt;0,MAX(0,$G1125*SIN(RADIANS('13_시나리오비교'!$B$5))*SIN(RADIANS('13_시나리오비교'!$C$5))+$H1125*SIN(RADIANS('13_시나리오비교'!$B$5))*COS(RADIANS('13_시나리오비교'!$C$5))+$I1125*COS(RADIANS('13_시나리오비교'!$B$5))),0)</f>
        <v/>
      </c>
      <c r="Q1125" s="80">
        <f>IF($I1125&gt;0,MAX(0,$G1125*SIN(RADIANS('13_시나리오비교'!$B$6))*SIN(RADIANS('13_시나리오비교'!$C$6))+$H1125*SIN(RADIANS('13_시나리오비교'!$B$6))*COS(RADIANS('13_시나리오비교'!$C$6))+$I1125*COS(RADIANS('13_시나리오비교'!$B$6))),0)</f>
        <v/>
      </c>
      <c r="R1125" s="80">
        <f>IF($I1125&gt;0,MAX(0,$G1125*SIN(RADIANS('13_시나리오비교'!$B$7))*SIN(RADIANS('13_시나리오비교'!$C$7))+$H1125*SIN(RADIANS('13_시나리오비교'!$B$7))*COS(RADIANS('13_시나리오비교'!$C$7))+$I1125*COS(RADIANS('13_시나리오비교'!$B$7))),0)</f>
        <v/>
      </c>
      <c r="S1125" s="80">
        <f>IF($I1125&gt;0,MAX(0,$G1125*SIN(RADIANS('13_시나리오비교'!$B$8))*SIN(RADIANS('13_시나리오비교'!$C$8))+$H1125*SIN(RADIANS('13_시나리오비교'!$B$8))*COS(RADIANS('13_시나리오비교'!$C$8))+$I1125*COS(RADIANS('13_시나리오비교'!$B$8))),0)</f>
        <v/>
      </c>
      <c r="T1125" s="80">
        <f>IF($I1125&gt;0,MAX(0,$G1125*SIN(RADIANS('13_시나리오비교'!$B$9))*SIN(RADIANS('13_시나리오비교'!$C$9))+$H1125*SIN(RADIANS('13_시나리오비교'!$B$9))*COS(RADIANS('13_시나리오비교'!$C$9))+$I1125*COS(RADIANS('13_시나리오비교'!$B$9))),0)</f>
        <v/>
      </c>
      <c r="U1125" s="80">
        <f>IF($I1125&gt;0,MAX(0,$G1125*SIN(RADIANS('13_시나리오비교'!$B$10))*SIN(RADIANS('13_시나리오비교'!$C$10))+$H1125*SIN(RADIANS('13_시나리오비교'!$B$10))*COS(RADIANS('13_시나리오비교'!$C$10))+$I1125*COS(RADIANS('13_시나리오비교'!$B$10))),0)</f>
        <v/>
      </c>
      <c r="V1125" s="80">
        <f>IF($I1125&gt;0,MAX(0,$G1125*SIN(RADIANS('13_시나리오비교'!$B$11))*SIN(RADIANS('13_시나리오비교'!$C$11))+$H1125*SIN(RADIANS('13_시나리오비교'!$B$11))*COS(RADIANS('13_시나리오비교'!$C$11))+$I1125*COS(RADIANS('13_시나리오비교'!$B$11))),0)</f>
        <v/>
      </c>
      <c r="W1125" s="80">
        <f>IF($I1125&gt;0,MAX(0,$G1125*SIN(RADIANS('13_시나리오비교'!$B$12))*SIN(RADIANS('13_시나리오비교'!$C$12))+$H1125*SIN(RADIANS('13_시나리오비교'!$B$12))*COS(RADIANS('13_시나리오비교'!$C$12))+$I1125*COS(RADIANS('13_시나리오비교'!$B$12))),0)</f>
        <v/>
      </c>
      <c r="X1125" s="80">
        <f>IF($I1125&gt;0,MAX(0,$G1125*SIN(RADIANS('13_시나리오비교'!$B$13))*SIN(RADIANS('13_시나리오비교'!$C$13))+$H1125*SIN(RADIANS('13_시나리오비교'!$B$13))*COS(RADIANS('13_시나리오비교'!$C$13))+$I1125*COS(RADIANS('13_시나리오비교'!$B$13))),0)</f>
        <v/>
      </c>
      <c r="Y1125" s="80">
        <f>IF($I1125&gt;0,MAX(0,$G1125*SIN(RADIANS('13_시나리오비교'!$B$14))*SIN(RADIANS('13_시나리오비교'!$C$14))+$H1125*SIN(RADIANS('13_시나리오비교'!$B$14))*COS(RADIANS('13_시나리오비교'!$C$14))+$I1125*COS(RADIANS('13_시나리오비교'!$B$14))),0)</f>
        <v/>
      </c>
    </row>
    <row r="1126" hidden="1" outlineLevel="1">
      <c r="A1126" s="79" t="n">
        <v>12</v>
      </c>
      <c r="B1126" s="79" t="n">
        <v>50</v>
      </c>
      <c r="C1126" s="80">
        <f>(B1126-0.5)*'14_지역·상수'!$H$6</f>
        <v/>
      </c>
      <c r="D1126" s="79" t="n">
        <v>344</v>
      </c>
      <c r="E1126" s="80">
        <f>INDEX($C$4:$C$15,MATCH(A1126,$A$4:$A$15,0))</f>
        <v/>
      </c>
      <c r="F1126" s="80">
        <f>15*(C1126-12)</f>
        <v/>
      </c>
      <c r="G1126" s="80">
        <f>-COS(RADIANS(E1126))*SIN(RADIANS(F1126))</f>
        <v/>
      </c>
      <c r="H1126" s="80">
        <f>COS(RADIANS('11_발전량_모델'!$B$17))*SIN(RADIANS(E1126))-SIN(RADIANS('11_발전량_모델'!$B$17))*COS(RADIANS(E1126))*COS(RADIANS(F1126))</f>
        <v/>
      </c>
      <c r="I1126" s="80">
        <f>SIN(RADIANS('11_발전량_모델'!$B$17))*SIN(RADIANS(E1126))+COS(RADIANS('11_발전량_모델'!$B$17))*COS(RADIANS(E1126))*COS(RADIANS(F1126))</f>
        <v/>
      </c>
      <c r="J1126" s="80">
        <f>SIN(RADIANS('11_발전량_모델'!$B$7))*SIN(RADIANS('11_발전량_모델'!$B$8))</f>
        <v/>
      </c>
      <c r="K1126" s="80">
        <f>SIN(RADIANS('11_발전량_모델'!$B$7))*COS(RADIANS('11_발전량_모델'!$B$8))</f>
        <v/>
      </c>
      <c r="L1126" s="80">
        <f>COS(RADIANS('11_발전량_모델'!$B$7))</f>
        <v/>
      </c>
      <c r="M1126" s="80">
        <f>G1126*J1126+H1126*K1126+I1126*L1126</f>
        <v/>
      </c>
      <c r="N1126" s="80">
        <f>MAX(0,I1126)</f>
        <v/>
      </c>
      <c r="O1126" s="80">
        <f>IF(I1126&gt;0,MAX(0,M1126),0)</f>
        <v/>
      </c>
      <c r="P1126" s="80">
        <f>IF($I1126&gt;0,MAX(0,$G1126*SIN(RADIANS('13_시나리오비교'!$B$5))*SIN(RADIANS('13_시나리오비교'!$C$5))+$H1126*SIN(RADIANS('13_시나리오비교'!$B$5))*COS(RADIANS('13_시나리오비교'!$C$5))+$I1126*COS(RADIANS('13_시나리오비교'!$B$5))),0)</f>
        <v/>
      </c>
      <c r="Q1126" s="80">
        <f>IF($I1126&gt;0,MAX(0,$G1126*SIN(RADIANS('13_시나리오비교'!$B$6))*SIN(RADIANS('13_시나리오비교'!$C$6))+$H1126*SIN(RADIANS('13_시나리오비교'!$B$6))*COS(RADIANS('13_시나리오비교'!$C$6))+$I1126*COS(RADIANS('13_시나리오비교'!$B$6))),0)</f>
        <v/>
      </c>
      <c r="R1126" s="80">
        <f>IF($I1126&gt;0,MAX(0,$G1126*SIN(RADIANS('13_시나리오비교'!$B$7))*SIN(RADIANS('13_시나리오비교'!$C$7))+$H1126*SIN(RADIANS('13_시나리오비교'!$B$7))*COS(RADIANS('13_시나리오비교'!$C$7))+$I1126*COS(RADIANS('13_시나리오비교'!$B$7))),0)</f>
        <v/>
      </c>
      <c r="S1126" s="80">
        <f>IF($I1126&gt;0,MAX(0,$G1126*SIN(RADIANS('13_시나리오비교'!$B$8))*SIN(RADIANS('13_시나리오비교'!$C$8))+$H1126*SIN(RADIANS('13_시나리오비교'!$B$8))*COS(RADIANS('13_시나리오비교'!$C$8))+$I1126*COS(RADIANS('13_시나리오비교'!$B$8))),0)</f>
        <v/>
      </c>
      <c r="T1126" s="80">
        <f>IF($I1126&gt;0,MAX(0,$G1126*SIN(RADIANS('13_시나리오비교'!$B$9))*SIN(RADIANS('13_시나리오비교'!$C$9))+$H1126*SIN(RADIANS('13_시나리오비교'!$B$9))*COS(RADIANS('13_시나리오비교'!$C$9))+$I1126*COS(RADIANS('13_시나리오비교'!$B$9))),0)</f>
        <v/>
      </c>
      <c r="U1126" s="80">
        <f>IF($I1126&gt;0,MAX(0,$G1126*SIN(RADIANS('13_시나리오비교'!$B$10))*SIN(RADIANS('13_시나리오비교'!$C$10))+$H1126*SIN(RADIANS('13_시나리오비교'!$B$10))*COS(RADIANS('13_시나리오비교'!$C$10))+$I1126*COS(RADIANS('13_시나리오비교'!$B$10))),0)</f>
        <v/>
      </c>
      <c r="V1126" s="80">
        <f>IF($I1126&gt;0,MAX(0,$G1126*SIN(RADIANS('13_시나리오비교'!$B$11))*SIN(RADIANS('13_시나리오비교'!$C$11))+$H1126*SIN(RADIANS('13_시나리오비교'!$B$11))*COS(RADIANS('13_시나리오비교'!$C$11))+$I1126*COS(RADIANS('13_시나리오비교'!$B$11))),0)</f>
        <v/>
      </c>
      <c r="W1126" s="80">
        <f>IF($I1126&gt;0,MAX(0,$G1126*SIN(RADIANS('13_시나리오비교'!$B$12))*SIN(RADIANS('13_시나리오비교'!$C$12))+$H1126*SIN(RADIANS('13_시나리오비교'!$B$12))*COS(RADIANS('13_시나리오비교'!$C$12))+$I1126*COS(RADIANS('13_시나리오비교'!$B$12))),0)</f>
        <v/>
      </c>
      <c r="X1126" s="80">
        <f>IF($I1126&gt;0,MAX(0,$G1126*SIN(RADIANS('13_시나리오비교'!$B$13))*SIN(RADIANS('13_시나리오비교'!$C$13))+$H1126*SIN(RADIANS('13_시나리오비교'!$B$13))*COS(RADIANS('13_시나리오비교'!$C$13))+$I1126*COS(RADIANS('13_시나리오비교'!$B$13))),0)</f>
        <v/>
      </c>
      <c r="Y1126" s="80">
        <f>IF($I1126&gt;0,MAX(0,$G1126*SIN(RADIANS('13_시나리오비교'!$B$14))*SIN(RADIANS('13_시나리오비교'!$C$14))+$H1126*SIN(RADIANS('13_시나리오비교'!$B$14))*COS(RADIANS('13_시나리오비교'!$C$14))+$I1126*COS(RADIANS('13_시나리오비교'!$B$14))),0)</f>
        <v/>
      </c>
    </row>
    <row r="1127" hidden="1" outlineLevel="1">
      <c r="A1127" s="79" t="n">
        <v>12</v>
      </c>
      <c r="B1127" s="79" t="n">
        <v>51</v>
      </c>
      <c r="C1127" s="80">
        <f>(B1127-0.5)*'14_지역·상수'!$H$6</f>
        <v/>
      </c>
      <c r="D1127" s="79" t="n">
        <v>344</v>
      </c>
      <c r="E1127" s="80">
        <f>INDEX($C$4:$C$15,MATCH(A1127,$A$4:$A$15,0))</f>
        <v/>
      </c>
      <c r="F1127" s="80">
        <f>15*(C1127-12)</f>
        <v/>
      </c>
      <c r="G1127" s="80">
        <f>-COS(RADIANS(E1127))*SIN(RADIANS(F1127))</f>
        <v/>
      </c>
      <c r="H1127" s="80">
        <f>COS(RADIANS('11_발전량_모델'!$B$17))*SIN(RADIANS(E1127))-SIN(RADIANS('11_발전량_모델'!$B$17))*COS(RADIANS(E1127))*COS(RADIANS(F1127))</f>
        <v/>
      </c>
      <c r="I1127" s="80">
        <f>SIN(RADIANS('11_발전량_모델'!$B$17))*SIN(RADIANS(E1127))+COS(RADIANS('11_발전량_모델'!$B$17))*COS(RADIANS(E1127))*COS(RADIANS(F1127))</f>
        <v/>
      </c>
      <c r="J1127" s="80">
        <f>SIN(RADIANS('11_발전량_모델'!$B$7))*SIN(RADIANS('11_발전량_모델'!$B$8))</f>
        <v/>
      </c>
      <c r="K1127" s="80">
        <f>SIN(RADIANS('11_발전량_모델'!$B$7))*COS(RADIANS('11_발전량_모델'!$B$8))</f>
        <v/>
      </c>
      <c r="L1127" s="80">
        <f>COS(RADIANS('11_발전량_모델'!$B$7))</f>
        <v/>
      </c>
      <c r="M1127" s="80">
        <f>G1127*J1127+H1127*K1127+I1127*L1127</f>
        <v/>
      </c>
      <c r="N1127" s="80">
        <f>MAX(0,I1127)</f>
        <v/>
      </c>
      <c r="O1127" s="80">
        <f>IF(I1127&gt;0,MAX(0,M1127),0)</f>
        <v/>
      </c>
      <c r="P1127" s="80">
        <f>IF($I1127&gt;0,MAX(0,$G1127*SIN(RADIANS('13_시나리오비교'!$B$5))*SIN(RADIANS('13_시나리오비교'!$C$5))+$H1127*SIN(RADIANS('13_시나리오비교'!$B$5))*COS(RADIANS('13_시나리오비교'!$C$5))+$I1127*COS(RADIANS('13_시나리오비교'!$B$5))),0)</f>
        <v/>
      </c>
      <c r="Q1127" s="80">
        <f>IF($I1127&gt;0,MAX(0,$G1127*SIN(RADIANS('13_시나리오비교'!$B$6))*SIN(RADIANS('13_시나리오비교'!$C$6))+$H1127*SIN(RADIANS('13_시나리오비교'!$B$6))*COS(RADIANS('13_시나리오비교'!$C$6))+$I1127*COS(RADIANS('13_시나리오비교'!$B$6))),0)</f>
        <v/>
      </c>
      <c r="R1127" s="80">
        <f>IF($I1127&gt;0,MAX(0,$G1127*SIN(RADIANS('13_시나리오비교'!$B$7))*SIN(RADIANS('13_시나리오비교'!$C$7))+$H1127*SIN(RADIANS('13_시나리오비교'!$B$7))*COS(RADIANS('13_시나리오비교'!$C$7))+$I1127*COS(RADIANS('13_시나리오비교'!$B$7))),0)</f>
        <v/>
      </c>
      <c r="S1127" s="80">
        <f>IF($I1127&gt;0,MAX(0,$G1127*SIN(RADIANS('13_시나리오비교'!$B$8))*SIN(RADIANS('13_시나리오비교'!$C$8))+$H1127*SIN(RADIANS('13_시나리오비교'!$B$8))*COS(RADIANS('13_시나리오비교'!$C$8))+$I1127*COS(RADIANS('13_시나리오비교'!$B$8))),0)</f>
        <v/>
      </c>
      <c r="T1127" s="80">
        <f>IF($I1127&gt;0,MAX(0,$G1127*SIN(RADIANS('13_시나리오비교'!$B$9))*SIN(RADIANS('13_시나리오비교'!$C$9))+$H1127*SIN(RADIANS('13_시나리오비교'!$B$9))*COS(RADIANS('13_시나리오비교'!$C$9))+$I1127*COS(RADIANS('13_시나리오비교'!$B$9))),0)</f>
        <v/>
      </c>
      <c r="U1127" s="80">
        <f>IF($I1127&gt;0,MAX(0,$G1127*SIN(RADIANS('13_시나리오비교'!$B$10))*SIN(RADIANS('13_시나리오비교'!$C$10))+$H1127*SIN(RADIANS('13_시나리오비교'!$B$10))*COS(RADIANS('13_시나리오비교'!$C$10))+$I1127*COS(RADIANS('13_시나리오비교'!$B$10))),0)</f>
        <v/>
      </c>
      <c r="V1127" s="80">
        <f>IF($I1127&gt;0,MAX(0,$G1127*SIN(RADIANS('13_시나리오비교'!$B$11))*SIN(RADIANS('13_시나리오비교'!$C$11))+$H1127*SIN(RADIANS('13_시나리오비교'!$B$11))*COS(RADIANS('13_시나리오비교'!$C$11))+$I1127*COS(RADIANS('13_시나리오비교'!$B$11))),0)</f>
        <v/>
      </c>
      <c r="W1127" s="80">
        <f>IF($I1127&gt;0,MAX(0,$G1127*SIN(RADIANS('13_시나리오비교'!$B$12))*SIN(RADIANS('13_시나리오비교'!$C$12))+$H1127*SIN(RADIANS('13_시나리오비교'!$B$12))*COS(RADIANS('13_시나리오비교'!$C$12))+$I1127*COS(RADIANS('13_시나리오비교'!$B$12))),0)</f>
        <v/>
      </c>
      <c r="X1127" s="80">
        <f>IF($I1127&gt;0,MAX(0,$G1127*SIN(RADIANS('13_시나리오비교'!$B$13))*SIN(RADIANS('13_시나리오비교'!$C$13))+$H1127*SIN(RADIANS('13_시나리오비교'!$B$13))*COS(RADIANS('13_시나리오비교'!$C$13))+$I1127*COS(RADIANS('13_시나리오비교'!$B$13))),0)</f>
        <v/>
      </c>
      <c r="Y1127" s="80">
        <f>IF($I1127&gt;0,MAX(0,$G1127*SIN(RADIANS('13_시나리오비교'!$B$14))*SIN(RADIANS('13_시나리오비교'!$C$14))+$H1127*SIN(RADIANS('13_시나리오비교'!$B$14))*COS(RADIANS('13_시나리오비교'!$C$14))+$I1127*COS(RADIANS('13_시나리오비교'!$B$14))),0)</f>
        <v/>
      </c>
    </row>
    <row r="1128" hidden="1" outlineLevel="1">
      <c r="A1128" s="79" t="n">
        <v>12</v>
      </c>
      <c r="B1128" s="79" t="n">
        <v>52</v>
      </c>
      <c r="C1128" s="80">
        <f>(B1128-0.5)*'14_지역·상수'!$H$6</f>
        <v/>
      </c>
      <c r="D1128" s="79" t="n">
        <v>344</v>
      </c>
      <c r="E1128" s="80">
        <f>INDEX($C$4:$C$15,MATCH(A1128,$A$4:$A$15,0))</f>
        <v/>
      </c>
      <c r="F1128" s="80">
        <f>15*(C1128-12)</f>
        <v/>
      </c>
      <c r="G1128" s="80">
        <f>-COS(RADIANS(E1128))*SIN(RADIANS(F1128))</f>
        <v/>
      </c>
      <c r="H1128" s="80">
        <f>COS(RADIANS('11_발전량_모델'!$B$17))*SIN(RADIANS(E1128))-SIN(RADIANS('11_발전량_모델'!$B$17))*COS(RADIANS(E1128))*COS(RADIANS(F1128))</f>
        <v/>
      </c>
      <c r="I1128" s="80">
        <f>SIN(RADIANS('11_발전량_모델'!$B$17))*SIN(RADIANS(E1128))+COS(RADIANS('11_발전량_모델'!$B$17))*COS(RADIANS(E1128))*COS(RADIANS(F1128))</f>
        <v/>
      </c>
      <c r="J1128" s="80">
        <f>SIN(RADIANS('11_발전량_모델'!$B$7))*SIN(RADIANS('11_발전량_모델'!$B$8))</f>
        <v/>
      </c>
      <c r="K1128" s="80">
        <f>SIN(RADIANS('11_발전량_모델'!$B$7))*COS(RADIANS('11_발전량_모델'!$B$8))</f>
        <v/>
      </c>
      <c r="L1128" s="80">
        <f>COS(RADIANS('11_발전량_모델'!$B$7))</f>
        <v/>
      </c>
      <c r="M1128" s="80">
        <f>G1128*J1128+H1128*K1128+I1128*L1128</f>
        <v/>
      </c>
      <c r="N1128" s="80">
        <f>MAX(0,I1128)</f>
        <v/>
      </c>
      <c r="O1128" s="80">
        <f>IF(I1128&gt;0,MAX(0,M1128),0)</f>
        <v/>
      </c>
      <c r="P1128" s="80">
        <f>IF($I1128&gt;0,MAX(0,$G1128*SIN(RADIANS('13_시나리오비교'!$B$5))*SIN(RADIANS('13_시나리오비교'!$C$5))+$H1128*SIN(RADIANS('13_시나리오비교'!$B$5))*COS(RADIANS('13_시나리오비교'!$C$5))+$I1128*COS(RADIANS('13_시나리오비교'!$B$5))),0)</f>
        <v/>
      </c>
      <c r="Q1128" s="80">
        <f>IF($I1128&gt;0,MAX(0,$G1128*SIN(RADIANS('13_시나리오비교'!$B$6))*SIN(RADIANS('13_시나리오비교'!$C$6))+$H1128*SIN(RADIANS('13_시나리오비교'!$B$6))*COS(RADIANS('13_시나리오비교'!$C$6))+$I1128*COS(RADIANS('13_시나리오비교'!$B$6))),0)</f>
        <v/>
      </c>
      <c r="R1128" s="80">
        <f>IF($I1128&gt;0,MAX(0,$G1128*SIN(RADIANS('13_시나리오비교'!$B$7))*SIN(RADIANS('13_시나리오비교'!$C$7))+$H1128*SIN(RADIANS('13_시나리오비교'!$B$7))*COS(RADIANS('13_시나리오비교'!$C$7))+$I1128*COS(RADIANS('13_시나리오비교'!$B$7))),0)</f>
        <v/>
      </c>
      <c r="S1128" s="80">
        <f>IF($I1128&gt;0,MAX(0,$G1128*SIN(RADIANS('13_시나리오비교'!$B$8))*SIN(RADIANS('13_시나리오비교'!$C$8))+$H1128*SIN(RADIANS('13_시나리오비교'!$B$8))*COS(RADIANS('13_시나리오비교'!$C$8))+$I1128*COS(RADIANS('13_시나리오비교'!$B$8))),0)</f>
        <v/>
      </c>
      <c r="T1128" s="80">
        <f>IF($I1128&gt;0,MAX(0,$G1128*SIN(RADIANS('13_시나리오비교'!$B$9))*SIN(RADIANS('13_시나리오비교'!$C$9))+$H1128*SIN(RADIANS('13_시나리오비교'!$B$9))*COS(RADIANS('13_시나리오비교'!$C$9))+$I1128*COS(RADIANS('13_시나리오비교'!$B$9))),0)</f>
        <v/>
      </c>
      <c r="U1128" s="80">
        <f>IF($I1128&gt;0,MAX(0,$G1128*SIN(RADIANS('13_시나리오비교'!$B$10))*SIN(RADIANS('13_시나리오비교'!$C$10))+$H1128*SIN(RADIANS('13_시나리오비교'!$B$10))*COS(RADIANS('13_시나리오비교'!$C$10))+$I1128*COS(RADIANS('13_시나리오비교'!$B$10))),0)</f>
        <v/>
      </c>
      <c r="V1128" s="80">
        <f>IF($I1128&gt;0,MAX(0,$G1128*SIN(RADIANS('13_시나리오비교'!$B$11))*SIN(RADIANS('13_시나리오비교'!$C$11))+$H1128*SIN(RADIANS('13_시나리오비교'!$B$11))*COS(RADIANS('13_시나리오비교'!$C$11))+$I1128*COS(RADIANS('13_시나리오비교'!$B$11))),0)</f>
        <v/>
      </c>
      <c r="W1128" s="80">
        <f>IF($I1128&gt;0,MAX(0,$G1128*SIN(RADIANS('13_시나리오비교'!$B$12))*SIN(RADIANS('13_시나리오비교'!$C$12))+$H1128*SIN(RADIANS('13_시나리오비교'!$B$12))*COS(RADIANS('13_시나리오비교'!$C$12))+$I1128*COS(RADIANS('13_시나리오비교'!$B$12))),0)</f>
        <v/>
      </c>
      <c r="X1128" s="80">
        <f>IF($I1128&gt;0,MAX(0,$G1128*SIN(RADIANS('13_시나리오비교'!$B$13))*SIN(RADIANS('13_시나리오비교'!$C$13))+$H1128*SIN(RADIANS('13_시나리오비교'!$B$13))*COS(RADIANS('13_시나리오비교'!$C$13))+$I1128*COS(RADIANS('13_시나리오비교'!$B$13))),0)</f>
        <v/>
      </c>
      <c r="Y1128" s="80">
        <f>IF($I1128&gt;0,MAX(0,$G1128*SIN(RADIANS('13_시나리오비교'!$B$14))*SIN(RADIANS('13_시나리오비교'!$C$14))+$H1128*SIN(RADIANS('13_시나리오비교'!$B$14))*COS(RADIANS('13_시나리오비교'!$C$14))+$I1128*COS(RADIANS('13_시나리오비교'!$B$14))),0)</f>
        <v/>
      </c>
    </row>
    <row r="1129" hidden="1" outlineLevel="1">
      <c r="A1129" s="79" t="n">
        <v>12</v>
      </c>
      <c r="B1129" s="79" t="n">
        <v>53</v>
      </c>
      <c r="C1129" s="80">
        <f>(B1129-0.5)*'14_지역·상수'!$H$6</f>
        <v/>
      </c>
      <c r="D1129" s="79" t="n">
        <v>344</v>
      </c>
      <c r="E1129" s="80">
        <f>INDEX($C$4:$C$15,MATCH(A1129,$A$4:$A$15,0))</f>
        <v/>
      </c>
      <c r="F1129" s="80">
        <f>15*(C1129-12)</f>
        <v/>
      </c>
      <c r="G1129" s="80">
        <f>-COS(RADIANS(E1129))*SIN(RADIANS(F1129))</f>
        <v/>
      </c>
      <c r="H1129" s="80">
        <f>COS(RADIANS('11_발전량_모델'!$B$17))*SIN(RADIANS(E1129))-SIN(RADIANS('11_발전량_모델'!$B$17))*COS(RADIANS(E1129))*COS(RADIANS(F1129))</f>
        <v/>
      </c>
      <c r="I1129" s="80">
        <f>SIN(RADIANS('11_발전량_모델'!$B$17))*SIN(RADIANS(E1129))+COS(RADIANS('11_발전량_모델'!$B$17))*COS(RADIANS(E1129))*COS(RADIANS(F1129))</f>
        <v/>
      </c>
      <c r="J1129" s="80">
        <f>SIN(RADIANS('11_발전량_모델'!$B$7))*SIN(RADIANS('11_발전량_모델'!$B$8))</f>
        <v/>
      </c>
      <c r="K1129" s="80">
        <f>SIN(RADIANS('11_발전량_모델'!$B$7))*COS(RADIANS('11_발전량_모델'!$B$8))</f>
        <v/>
      </c>
      <c r="L1129" s="80">
        <f>COS(RADIANS('11_발전량_모델'!$B$7))</f>
        <v/>
      </c>
      <c r="M1129" s="80">
        <f>G1129*J1129+H1129*K1129+I1129*L1129</f>
        <v/>
      </c>
      <c r="N1129" s="80">
        <f>MAX(0,I1129)</f>
        <v/>
      </c>
      <c r="O1129" s="80">
        <f>IF(I1129&gt;0,MAX(0,M1129),0)</f>
        <v/>
      </c>
      <c r="P1129" s="80">
        <f>IF($I1129&gt;0,MAX(0,$G1129*SIN(RADIANS('13_시나리오비교'!$B$5))*SIN(RADIANS('13_시나리오비교'!$C$5))+$H1129*SIN(RADIANS('13_시나리오비교'!$B$5))*COS(RADIANS('13_시나리오비교'!$C$5))+$I1129*COS(RADIANS('13_시나리오비교'!$B$5))),0)</f>
        <v/>
      </c>
      <c r="Q1129" s="80">
        <f>IF($I1129&gt;0,MAX(0,$G1129*SIN(RADIANS('13_시나리오비교'!$B$6))*SIN(RADIANS('13_시나리오비교'!$C$6))+$H1129*SIN(RADIANS('13_시나리오비교'!$B$6))*COS(RADIANS('13_시나리오비교'!$C$6))+$I1129*COS(RADIANS('13_시나리오비교'!$B$6))),0)</f>
        <v/>
      </c>
      <c r="R1129" s="80">
        <f>IF($I1129&gt;0,MAX(0,$G1129*SIN(RADIANS('13_시나리오비교'!$B$7))*SIN(RADIANS('13_시나리오비교'!$C$7))+$H1129*SIN(RADIANS('13_시나리오비교'!$B$7))*COS(RADIANS('13_시나리오비교'!$C$7))+$I1129*COS(RADIANS('13_시나리오비교'!$B$7))),0)</f>
        <v/>
      </c>
      <c r="S1129" s="80">
        <f>IF($I1129&gt;0,MAX(0,$G1129*SIN(RADIANS('13_시나리오비교'!$B$8))*SIN(RADIANS('13_시나리오비교'!$C$8))+$H1129*SIN(RADIANS('13_시나리오비교'!$B$8))*COS(RADIANS('13_시나리오비교'!$C$8))+$I1129*COS(RADIANS('13_시나리오비교'!$B$8))),0)</f>
        <v/>
      </c>
      <c r="T1129" s="80">
        <f>IF($I1129&gt;0,MAX(0,$G1129*SIN(RADIANS('13_시나리오비교'!$B$9))*SIN(RADIANS('13_시나리오비교'!$C$9))+$H1129*SIN(RADIANS('13_시나리오비교'!$B$9))*COS(RADIANS('13_시나리오비교'!$C$9))+$I1129*COS(RADIANS('13_시나리오비교'!$B$9))),0)</f>
        <v/>
      </c>
      <c r="U1129" s="80">
        <f>IF($I1129&gt;0,MAX(0,$G1129*SIN(RADIANS('13_시나리오비교'!$B$10))*SIN(RADIANS('13_시나리오비교'!$C$10))+$H1129*SIN(RADIANS('13_시나리오비교'!$B$10))*COS(RADIANS('13_시나리오비교'!$C$10))+$I1129*COS(RADIANS('13_시나리오비교'!$B$10))),0)</f>
        <v/>
      </c>
      <c r="V1129" s="80">
        <f>IF($I1129&gt;0,MAX(0,$G1129*SIN(RADIANS('13_시나리오비교'!$B$11))*SIN(RADIANS('13_시나리오비교'!$C$11))+$H1129*SIN(RADIANS('13_시나리오비교'!$B$11))*COS(RADIANS('13_시나리오비교'!$C$11))+$I1129*COS(RADIANS('13_시나리오비교'!$B$11))),0)</f>
        <v/>
      </c>
      <c r="W1129" s="80">
        <f>IF($I1129&gt;0,MAX(0,$G1129*SIN(RADIANS('13_시나리오비교'!$B$12))*SIN(RADIANS('13_시나리오비교'!$C$12))+$H1129*SIN(RADIANS('13_시나리오비교'!$B$12))*COS(RADIANS('13_시나리오비교'!$C$12))+$I1129*COS(RADIANS('13_시나리오비교'!$B$12))),0)</f>
        <v/>
      </c>
      <c r="X1129" s="80">
        <f>IF($I1129&gt;0,MAX(0,$G1129*SIN(RADIANS('13_시나리오비교'!$B$13))*SIN(RADIANS('13_시나리오비교'!$C$13))+$H1129*SIN(RADIANS('13_시나리오비교'!$B$13))*COS(RADIANS('13_시나리오비교'!$C$13))+$I1129*COS(RADIANS('13_시나리오비교'!$B$13))),0)</f>
        <v/>
      </c>
      <c r="Y1129" s="80">
        <f>IF($I1129&gt;0,MAX(0,$G1129*SIN(RADIANS('13_시나리오비교'!$B$14))*SIN(RADIANS('13_시나리오비교'!$C$14))+$H1129*SIN(RADIANS('13_시나리오비교'!$B$14))*COS(RADIANS('13_시나리오비교'!$C$14))+$I1129*COS(RADIANS('13_시나리오비교'!$B$14))),0)</f>
        <v/>
      </c>
    </row>
    <row r="1130" hidden="1" outlineLevel="1">
      <c r="A1130" s="79" t="n">
        <v>12</v>
      </c>
      <c r="B1130" s="79" t="n">
        <v>54</v>
      </c>
      <c r="C1130" s="80">
        <f>(B1130-0.5)*'14_지역·상수'!$H$6</f>
        <v/>
      </c>
      <c r="D1130" s="79" t="n">
        <v>344</v>
      </c>
      <c r="E1130" s="80">
        <f>INDEX($C$4:$C$15,MATCH(A1130,$A$4:$A$15,0))</f>
        <v/>
      </c>
      <c r="F1130" s="80">
        <f>15*(C1130-12)</f>
        <v/>
      </c>
      <c r="G1130" s="80">
        <f>-COS(RADIANS(E1130))*SIN(RADIANS(F1130))</f>
        <v/>
      </c>
      <c r="H1130" s="80">
        <f>COS(RADIANS('11_발전량_모델'!$B$17))*SIN(RADIANS(E1130))-SIN(RADIANS('11_발전량_모델'!$B$17))*COS(RADIANS(E1130))*COS(RADIANS(F1130))</f>
        <v/>
      </c>
      <c r="I1130" s="80">
        <f>SIN(RADIANS('11_발전량_모델'!$B$17))*SIN(RADIANS(E1130))+COS(RADIANS('11_발전량_모델'!$B$17))*COS(RADIANS(E1130))*COS(RADIANS(F1130))</f>
        <v/>
      </c>
      <c r="J1130" s="80">
        <f>SIN(RADIANS('11_발전량_모델'!$B$7))*SIN(RADIANS('11_발전량_모델'!$B$8))</f>
        <v/>
      </c>
      <c r="K1130" s="80">
        <f>SIN(RADIANS('11_발전량_모델'!$B$7))*COS(RADIANS('11_발전량_모델'!$B$8))</f>
        <v/>
      </c>
      <c r="L1130" s="80">
        <f>COS(RADIANS('11_발전량_모델'!$B$7))</f>
        <v/>
      </c>
      <c r="M1130" s="80">
        <f>G1130*J1130+H1130*K1130+I1130*L1130</f>
        <v/>
      </c>
      <c r="N1130" s="80">
        <f>MAX(0,I1130)</f>
        <v/>
      </c>
      <c r="O1130" s="80">
        <f>IF(I1130&gt;0,MAX(0,M1130),0)</f>
        <v/>
      </c>
      <c r="P1130" s="80">
        <f>IF($I1130&gt;0,MAX(0,$G1130*SIN(RADIANS('13_시나리오비교'!$B$5))*SIN(RADIANS('13_시나리오비교'!$C$5))+$H1130*SIN(RADIANS('13_시나리오비교'!$B$5))*COS(RADIANS('13_시나리오비교'!$C$5))+$I1130*COS(RADIANS('13_시나리오비교'!$B$5))),0)</f>
        <v/>
      </c>
      <c r="Q1130" s="80">
        <f>IF($I1130&gt;0,MAX(0,$G1130*SIN(RADIANS('13_시나리오비교'!$B$6))*SIN(RADIANS('13_시나리오비교'!$C$6))+$H1130*SIN(RADIANS('13_시나리오비교'!$B$6))*COS(RADIANS('13_시나리오비교'!$C$6))+$I1130*COS(RADIANS('13_시나리오비교'!$B$6))),0)</f>
        <v/>
      </c>
      <c r="R1130" s="80">
        <f>IF($I1130&gt;0,MAX(0,$G1130*SIN(RADIANS('13_시나리오비교'!$B$7))*SIN(RADIANS('13_시나리오비교'!$C$7))+$H1130*SIN(RADIANS('13_시나리오비교'!$B$7))*COS(RADIANS('13_시나리오비교'!$C$7))+$I1130*COS(RADIANS('13_시나리오비교'!$B$7))),0)</f>
        <v/>
      </c>
      <c r="S1130" s="80">
        <f>IF($I1130&gt;0,MAX(0,$G1130*SIN(RADIANS('13_시나리오비교'!$B$8))*SIN(RADIANS('13_시나리오비교'!$C$8))+$H1130*SIN(RADIANS('13_시나리오비교'!$B$8))*COS(RADIANS('13_시나리오비교'!$C$8))+$I1130*COS(RADIANS('13_시나리오비교'!$B$8))),0)</f>
        <v/>
      </c>
      <c r="T1130" s="80">
        <f>IF($I1130&gt;0,MAX(0,$G1130*SIN(RADIANS('13_시나리오비교'!$B$9))*SIN(RADIANS('13_시나리오비교'!$C$9))+$H1130*SIN(RADIANS('13_시나리오비교'!$B$9))*COS(RADIANS('13_시나리오비교'!$C$9))+$I1130*COS(RADIANS('13_시나리오비교'!$B$9))),0)</f>
        <v/>
      </c>
      <c r="U1130" s="80">
        <f>IF($I1130&gt;0,MAX(0,$G1130*SIN(RADIANS('13_시나리오비교'!$B$10))*SIN(RADIANS('13_시나리오비교'!$C$10))+$H1130*SIN(RADIANS('13_시나리오비교'!$B$10))*COS(RADIANS('13_시나리오비교'!$C$10))+$I1130*COS(RADIANS('13_시나리오비교'!$B$10))),0)</f>
        <v/>
      </c>
      <c r="V1130" s="80">
        <f>IF($I1130&gt;0,MAX(0,$G1130*SIN(RADIANS('13_시나리오비교'!$B$11))*SIN(RADIANS('13_시나리오비교'!$C$11))+$H1130*SIN(RADIANS('13_시나리오비교'!$B$11))*COS(RADIANS('13_시나리오비교'!$C$11))+$I1130*COS(RADIANS('13_시나리오비교'!$B$11))),0)</f>
        <v/>
      </c>
      <c r="W1130" s="80">
        <f>IF($I1130&gt;0,MAX(0,$G1130*SIN(RADIANS('13_시나리오비교'!$B$12))*SIN(RADIANS('13_시나리오비교'!$C$12))+$H1130*SIN(RADIANS('13_시나리오비교'!$B$12))*COS(RADIANS('13_시나리오비교'!$C$12))+$I1130*COS(RADIANS('13_시나리오비교'!$B$12))),0)</f>
        <v/>
      </c>
      <c r="X1130" s="80">
        <f>IF($I1130&gt;0,MAX(0,$G1130*SIN(RADIANS('13_시나리오비교'!$B$13))*SIN(RADIANS('13_시나리오비교'!$C$13))+$H1130*SIN(RADIANS('13_시나리오비교'!$B$13))*COS(RADIANS('13_시나리오비교'!$C$13))+$I1130*COS(RADIANS('13_시나리오비교'!$B$13))),0)</f>
        <v/>
      </c>
      <c r="Y1130" s="80">
        <f>IF($I1130&gt;0,MAX(0,$G1130*SIN(RADIANS('13_시나리오비교'!$B$14))*SIN(RADIANS('13_시나리오비교'!$C$14))+$H1130*SIN(RADIANS('13_시나리오비교'!$B$14))*COS(RADIANS('13_시나리오비교'!$C$14))+$I1130*COS(RADIANS('13_시나리오비교'!$B$14))),0)</f>
        <v/>
      </c>
    </row>
    <row r="1131" hidden="1" outlineLevel="1">
      <c r="A1131" s="79" t="n">
        <v>12</v>
      </c>
      <c r="B1131" s="79" t="n">
        <v>55</v>
      </c>
      <c r="C1131" s="80">
        <f>(B1131-0.5)*'14_지역·상수'!$H$6</f>
        <v/>
      </c>
      <c r="D1131" s="79" t="n">
        <v>344</v>
      </c>
      <c r="E1131" s="80">
        <f>INDEX($C$4:$C$15,MATCH(A1131,$A$4:$A$15,0))</f>
        <v/>
      </c>
      <c r="F1131" s="80">
        <f>15*(C1131-12)</f>
        <v/>
      </c>
      <c r="G1131" s="80">
        <f>-COS(RADIANS(E1131))*SIN(RADIANS(F1131))</f>
        <v/>
      </c>
      <c r="H1131" s="80">
        <f>COS(RADIANS('11_발전량_모델'!$B$17))*SIN(RADIANS(E1131))-SIN(RADIANS('11_발전량_모델'!$B$17))*COS(RADIANS(E1131))*COS(RADIANS(F1131))</f>
        <v/>
      </c>
      <c r="I1131" s="80">
        <f>SIN(RADIANS('11_발전량_모델'!$B$17))*SIN(RADIANS(E1131))+COS(RADIANS('11_발전량_모델'!$B$17))*COS(RADIANS(E1131))*COS(RADIANS(F1131))</f>
        <v/>
      </c>
      <c r="J1131" s="80">
        <f>SIN(RADIANS('11_발전량_모델'!$B$7))*SIN(RADIANS('11_발전량_모델'!$B$8))</f>
        <v/>
      </c>
      <c r="K1131" s="80">
        <f>SIN(RADIANS('11_발전량_모델'!$B$7))*COS(RADIANS('11_발전량_모델'!$B$8))</f>
        <v/>
      </c>
      <c r="L1131" s="80">
        <f>COS(RADIANS('11_발전량_모델'!$B$7))</f>
        <v/>
      </c>
      <c r="M1131" s="80">
        <f>G1131*J1131+H1131*K1131+I1131*L1131</f>
        <v/>
      </c>
      <c r="N1131" s="80">
        <f>MAX(0,I1131)</f>
        <v/>
      </c>
      <c r="O1131" s="80">
        <f>IF(I1131&gt;0,MAX(0,M1131),0)</f>
        <v/>
      </c>
      <c r="P1131" s="80">
        <f>IF($I1131&gt;0,MAX(0,$G1131*SIN(RADIANS('13_시나리오비교'!$B$5))*SIN(RADIANS('13_시나리오비교'!$C$5))+$H1131*SIN(RADIANS('13_시나리오비교'!$B$5))*COS(RADIANS('13_시나리오비교'!$C$5))+$I1131*COS(RADIANS('13_시나리오비교'!$B$5))),0)</f>
        <v/>
      </c>
      <c r="Q1131" s="80">
        <f>IF($I1131&gt;0,MAX(0,$G1131*SIN(RADIANS('13_시나리오비교'!$B$6))*SIN(RADIANS('13_시나리오비교'!$C$6))+$H1131*SIN(RADIANS('13_시나리오비교'!$B$6))*COS(RADIANS('13_시나리오비교'!$C$6))+$I1131*COS(RADIANS('13_시나리오비교'!$B$6))),0)</f>
        <v/>
      </c>
      <c r="R1131" s="80">
        <f>IF($I1131&gt;0,MAX(0,$G1131*SIN(RADIANS('13_시나리오비교'!$B$7))*SIN(RADIANS('13_시나리오비교'!$C$7))+$H1131*SIN(RADIANS('13_시나리오비교'!$B$7))*COS(RADIANS('13_시나리오비교'!$C$7))+$I1131*COS(RADIANS('13_시나리오비교'!$B$7))),0)</f>
        <v/>
      </c>
      <c r="S1131" s="80">
        <f>IF($I1131&gt;0,MAX(0,$G1131*SIN(RADIANS('13_시나리오비교'!$B$8))*SIN(RADIANS('13_시나리오비교'!$C$8))+$H1131*SIN(RADIANS('13_시나리오비교'!$B$8))*COS(RADIANS('13_시나리오비교'!$C$8))+$I1131*COS(RADIANS('13_시나리오비교'!$B$8))),0)</f>
        <v/>
      </c>
      <c r="T1131" s="80">
        <f>IF($I1131&gt;0,MAX(0,$G1131*SIN(RADIANS('13_시나리오비교'!$B$9))*SIN(RADIANS('13_시나리오비교'!$C$9))+$H1131*SIN(RADIANS('13_시나리오비교'!$B$9))*COS(RADIANS('13_시나리오비교'!$C$9))+$I1131*COS(RADIANS('13_시나리오비교'!$B$9))),0)</f>
        <v/>
      </c>
      <c r="U1131" s="80">
        <f>IF($I1131&gt;0,MAX(0,$G1131*SIN(RADIANS('13_시나리오비교'!$B$10))*SIN(RADIANS('13_시나리오비교'!$C$10))+$H1131*SIN(RADIANS('13_시나리오비교'!$B$10))*COS(RADIANS('13_시나리오비교'!$C$10))+$I1131*COS(RADIANS('13_시나리오비교'!$B$10))),0)</f>
        <v/>
      </c>
      <c r="V1131" s="80">
        <f>IF($I1131&gt;0,MAX(0,$G1131*SIN(RADIANS('13_시나리오비교'!$B$11))*SIN(RADIANS('13_시나리오비교'!$C$11))+$H1131*SIN(RADIANS('13_시나리오비교'!$B$11))*COS(RADIANS('13_시나리오비교'!$C$11))+$I1131*COS(RADIANS('13_시나리오비교'!$B$11))),0)</f>
        <v/>
      </c>
      <c r="W1131" s="80">
        <f>IF($I1131&gt;0,MAX(0,$G1131*SIN(RADIANS('13_시나리오비교'!$B$12))*SIN(RADIANS('13_시나리오비교'!$C$12))+$H1131*SIN(RADIANS('13_시나리오비교'!$B$12))*COS(RADIANS('13_시나리오비교'!$C$12))+$I1131*COS(RADIANS('13_시나리오비교'!$B$12))),0)</f>
        <v/>
      </c>
      <c r="X1131" s="80">
        <f>IF($I1131&gt;0,MAX(0,$G1131*SIN(RADIANS('13_시나리오비교'!$B$13))*SIN(RADIANS('13_시나리오비교'!$C$13))+$H1131*SIN(RADIANS('13_시나리오비교'!$B$13))*COS(RADIANS('13_시나리오비교'!$C$13))+$I1131*COS(RADIANS('13_시나리오비교'!$B$13))),0)</f>
        <v/>
      </c>
      <c r="Y1131" s="80">
        <f>IF($I1131&gt;0,MAX(0,$G1131*SIN(RADIANS('13_시나리오비교'!$B$14))*SIN(RADIANS('13_시나리오비교'!$C$14))+$H1131*SIN(RADIANS('13_시나리오비교'!$B$14))*COS(RADIANS('13_시나리오비교'!$C$14))+$I1131*COS(RADIANS('13_시나리오비교'!$B$14))),0)</f>
        <v/>
      </c>
    </row>
    <row r="1132" hidden="1" outlineLevel="1">
      <c r="A1132" s="79" t="n">
        <v>12</v>
      </c>
      <c r="B1132" s="79" t="n">
        <v>56</v>
      </c>
      <c r="C1132" s="80">
        <f>(B1132-0.5)*'14_지역·상수'!$H$6</f>
        <v/>
      </c>
      <c r="D1132" s="79" t="n">
        <v>344</v>
      </c>
      <c r="E1132" s="80">
        <f>INDEX($C$4:$C$15,MATCH(A1132,$A$4:$A$15,0))</f>
        <v/>
      </c>
      <c r="F1132" s="80">
        <f>15*(C1132-12)</f>
        <v/>
      </c>
      <c r="G1132" s="80">
        <f>-COS(RADIANS(E1132))*SIN(RADIANS(F1132))</f>
        <v/>
      </c>
      <c r="H1132" s="80">
        <f>COS(RADIANS('11_발전량_모델'!$B$17))*SIN(RADIANS(E1132))-SIN(RADIANS('11_발전량_모델'!$B$17))*COS(RADIANS(E1132))*COS(RADIANS(F1132))</f>
        <v/>
      </c>
      <c r="I1132" s="80">
        <f>SIN(RADIANS('11_발전량_모델'!$B$17))*SIN(RADIANS(E1132))+COS(RADIANS('11_발전량_모델'!$B$17))*COS(RADIANS(E1132))*COS(RADIANS(F1132))</f>
        <v/>
      </c>
      <c r="J1132" s="80">
        <f>SIN(RADIANS('11_발전량_모델'!$B$7))*SIN(RADIANS('11_발전량_모델'!$B$8))</f>
        <v/>
      </c>
      <c r="K1132" s="80">
        <f>SIN(RADIANS('11_발전량_모델'!$B$7))*COS(RADIANS('11_발전량_모델'!$B$8))</f>
        <v/>
      </c>
      <c r="L1132" s="80">
        <f>COS(RADIANS('11_발전량_모델'!$B$7))</f>
        <v/>
      </c>
      <c r="M1132" s="80">
        <f>G1132*J1132+H1132*K1132+I1132*L1132</f>
        <v/>
      </c>
      <c r="N1132" s="80">
        <f>MAX(0,I1132)</f>
        <v/>
      </c>
      <c r="O1132" s="80">
        <f>IF(I1132&gt;0,MAX(0,M1132),0)</f>
        <v/>
      </c>
      <c r="P1132" s="80">
        <f>IF($I1132&gt;0,MAX(0,$G1132*SIN(RADIANS('13_시나리오비교'!$B$5))*SIN(RADIANS('13_시나리오비교'!$C$5))+$H1132*SIN(RADIANS('13_시나리오비교'!$B$5))*COS(RADIANS('13_시나리오비교'!$C$5))+$I1132*COS(RADIANS('13_시나리오비교'!$B$5))),0)</f>
        <v/>
      </c>
      <c r="Q1132" s="80">
        <f>IF($I1132&gt;0,MAX(0,$G1132*SIN(RADIANS('13_시나리오비교'!$B$6))*SIN(RADIANS('13_시나리오비교'!$C$6))+$H1132*SIN(RADIANS('13_시나리오비교'!$B$6))*COS(RADIANS('13_시나리오비교'!$C$6))+$I1132*COS(RADIANS('13_시나리오비교'!$B$6))),0)</f>
        <v/>
      </c>
      <c r="R1132" s="80">
        <f>IF($I1132&gt;0,MAX(0,$G1132*SIN(RADIANS('13_시나리오비교'!$B$7))*SIN(RADIANS('13_시나리오비교'!$C$7))+$H1132*SIN(RADIANS('13_시나리오비교'!$B$7))*COS(RADIANS('13_시나리오비교'!$C$7))+$I1132*COS(RADIANS('13_시나리오비교'!$B$7))),0)</f>
        <v/>
      </c>
      <c r="S1132" s="80">
        <f>IF($I1132&gt;0,MAX(0,$G1132*SIN(RADIANS('13_시나리오비교'!$B$8))*SIN(RADIANS('13_시나리오비교'!$C$8))+$H1132*SIN(RADIANS('13_시나리오비교'!$B$8))*COS(RADIANS('13_시나리오비교'!$C$8))+$I1132*COS(RADIANS('13_시나리오비교'!$B$8))),0)</f>
        <v/>
      </c>
      <c r="T1132" s="80">
        <f>IF($I1132&gt;0,MAX(0,$G1132*SIN(RADIANS('13_시나리오비교'!$B$9))*SIN(RADIANS('13_시나리오비교'!$C$9))+$H1132*SIN(RADIANS('13_시나리오비교'!$B$9))*COS(RADIANS('13_시나리오비교'!$C$9))+$I1132*COS(RADIANS('13_시나리오비교'!$B$9))),0)</f>
        <v/>
      </c>
      <c r="U1132" s="80">
        <f>IF($I1132&gt;0,MAX(0,$G1132*SIN(RADIANS('13_시나리오비교'!$B$10))*SIN(RADIANS('13_시나리오비교'!$C$10))+$H1132*SIN(RADIANS('13_시나리오비교'!$B$10))*COS(RADIANS('13_시나리오비교'!$C$10))+$I1132*COS(RADIANS('13_시나리오비교'!$B$10))),0)</f>
        <v/>
      </c>
      <c r="V1132" s="80">
        <f>IF($I1132&gt;0,MAX(0,$G1132*SIN(RADIANS('13_시나리오비교'!$B$11))*SIN(RADIANS('13_시나리오비교'!$C$11))+$H1132*SIN(RADIANS('13_시나리오비교'!$B$11))*COS(RADIANS('13_시나리오비교'!$C$11))+$I1132*COS(RADIANS('13_시나리오비교'!$B$11))),0)</f>
        <v/>
      </c>
      <c r="W1132" s="80">
        <f>IF($I1132&gt;0,MAX(0,$G1132*SIN(RADIANS('13_시나리오비교'!$B$12))*SIN(RADIANS('13_시나리오비교'!$C$12))+$H1132*SIN(RADIANS('13_시나리오비교'!$B$12))*COS(RADIANS('13_시나리오비교'!$C$12))+$I1132*COS(RADIANS('13_시나리오비교'!$B$12))),0)</f>
        <v/>
      </c>
      <c r="X1132" s="80">
        <f>IF($I1132&gt;0,MAX(0,$G1132*SIN(RADIANS('13_시나리오비교'!$B$13))*SIN(RADIANS('13_시나리오비교'!$C$13))+$H1132*SIN(RADIANS('13_시나리오비교'!$B$13))*COS(RADIANS('13_시나리오비교'!$C$13))+$I1132*COS(RADIANS('13_시나리오비교'!$B$13))),0)</f>
        <v/>
      </c>
      <c r="Y1132" s="80">
        <f>IF($I1132&gt;0,MAX(0,$G1132*SIN(RADIANS('13_시나리오비교'!$B$14))*SIN(RADIANS('13_시나리오비교'!$C$14))+$H1132*SIN(RADIANS('13_시나리오비교'!$B$14))*COS(RADIANS('13_시나리오비교'!$C$14))+$I1132*COS(RADIANS('13_시나리오비교'!$B$14))),0)</f>
        <v/>
      </c>
    </row>
    <row r="1133" hidden="1" outlineLevel="1">
      <c r="A1133" s="79" t="n">
        <v>12</v>
      </c>
      <c r="B1133" s="79" t="n">
        <v>57</v>
      </c>
      <c r="C1133" s="80">
        <f>(B1133-0.5)*'14_지역·상수'!$H$6</f>
        <v/>
      </c>
      <c r="D1133" s="79" t="n">
        <v>344</v>
      </c>
      <c r="E1133" s="80">
        <f>INDEX($C$4:$C$15,MATCH(A1133,$A$4:$A$15,0))</f>
        <v/>
      </c>
      <c r="F1133" s="80">
        <f>15*(C1133-12)</f>
        <v/>
      </c>
      <c r="G1133" s="80">
        <f>-COS(RADIANS(E1133))*SIN(RADIANS(F1133))</f>
        <v/>
      </c>
      <c r="H1133" s="80">
        <f>COS(RADIANS('11_발전량_모델'!$B$17))*SIN(RADIANS(E1133))-SIN(RADIANS('11_발전량_모델'!$B$17))*COS(RADIANS(E1133))*COS(RADIANS(F1133))</f>
        <v/>
      </c>
      <c r="I1133" s="80">
        <f>SIN(RADIANS('11_발전량_모델'!$B$17))*SIN(RADIANS(E1133))+COS(RADIANS('11_발전량_모델'!$B$17))*COS(RADIANS(E1133))*COS(RADIANS(F1133))</f>
        <v/>
      </c>
      <c r="J1133" s="80">
        <f>SIN(RADIANS('11_발전량_모델'!$B$7))*SIN(RADIANS('11_발전량_모델'!$B$8))</f>
        <v/>
      </c>
      <c r="K1133" s="80">
        <f>SIN(RADIANS('11_발전량_모델'!$B$7))*COS(RADIANS('11_발전량_모델'!$B$8))</f>
        <v/>
      </c>
      <c r="L1133" s="80">
        <f>COS(RADIANS('11_발전량_모델'!$B$7))</f>
        <v/>
      </c>
      <c r="M1133" s="80">
        <f>G1133*J1133+H1133*K1133+I1133*L1133</f>
        <v/>
      </c>
      <c r="N1133" s="80">
        <f>MAX(0,I1133)</f>
        <v/>
      </c>
      <c r="O1133" s="80">
        <f>IF(I1133&gt;0,MAX(0,M1133),0)</f>
        <v/>
      </c>
      <c r="P1133" s="80">
        <f>IF($I1133&gt;0,MAX(0,$G1133*SIN(RADIANS('13_시나리오비교'!$B$5))*SIN(RADIANS('13_시나리오비교'!$C$5))+$H1133*SIN(RADIANS('13_시나리오비교'!$B$5))*COS(RADIANS('13_시나리오비교'!$C$5))+$I1133*COS(RADIANS('13_시나리오비교'!$B$5))),0)</f>
        <v/>
      </c>
      <c r="Q1133" s="80">
        <f>IF($I1133&gt;0,MAX(0,$G1133*SIN(RADIANS('13_시나리오비교'!$B$6))*SIN(RADIANS('13_시나리오비교'!$C$6))+$H1133*SIN(RADIANS('13_시나리오비교'!$B$6))*COS(RADIANS('13_시나리오비교'!$C$6))+$I1133*COS(RADIANS('13_시나리오비교'!$B$6))),0)</f>
        <v/>
      </c>
      <c r="R1133" s="80">
        <f>IF($I1133&gt;0,MAX(0,$G1133*SIN(RADIANS('13_시나리오비교'!$B$7))*SIN(RADIANS('13_시나리오비교'!$C$7))+$H1133*SIN(RADIANS('13_시나리오비교'!$B$7))*COS(RADIANS('13_시나리오비교'!$C$7))+$I1133*COS(RADIANS('13_시나리오비교'!$B$7))),0)</f>
        <v/>
      </c>
      <c r="S1133" s="80">
        <f>IF($I1133&gt;0,MAX(0,$G1133*SIN(RADIANS('13_시나리오비교'!$B$8))*SIN(RADIANS('13_시나리오비교'!$C$8))+$H1133*SIN(RADIANS('13_시나리오비교'!$B$8))*COS(RADIANS('13_시나리오비교'!$C$8))+$I1133*COS(RADIANS('13_시나리오비교'!$B$8))),0)</f>
        <v/>
      </c>
      <c r="T1133" s="80">
        <f>IF($I1133&gt;0,MAX(0,$G1133*SIN(RADIANS('13_시나리오비교'!$B$9))*SIN(RADIANS('13_시나리오비교'!$C$9))+$H1133*SIN(RADIANS('13_시나리오비교'!$B$9))*COS(RADIANS('13_시나리오비교'!$C$9))+$I1133*COS(RADIANS('13_시나리오비교'!$B$9))),0)</f>
        <v/>
      </c>
      <c r="U1133" s="80">
        <f>IF($I1133&gt;0,MAX(0,$G1133*SIN(RADIANS('13_시나리오비교'!$B$10))*SIN(RADIANS('13_시나리오비교'!$C$10))+$H1133*SIN(RADIANS('13_시나리오비교'!$B$10))*COS(RADIANS('13_시나리오비교'!$C$10))+$I1133*COS(RADIANS('13_시나리오비교'!$B$10))),0)</f>
        <v/>
      </c>
      <c r="V1133" s="80">
        <f>IF($I1133&gt;0,MAX(0,$G1133*SIN(RADIANS('13_시나리오비교'!$B$11))*SIN(RADIANS('13_시나리오비교'!$C$11))+$H1133*SIN(RADIANS('13_시나리오비교'!$B$11))*COS(RADIANS('13_시나리오비교'!$C$11))+$I1133*COS(RADIANS('13_시나리오비교'!$B$11))),0)</f>
        <v/>
      </c>
      <c r="W1133" s="80">
        <f>IF($I1133&gt;0,MAX(0,$G1133*SIN(RADIANS('13_시나리오비교'!$B$12))*SIN(RADIANS('13_시나리오비교'!$C$12))+$H1133*SIN(RADIANS('13_시나리오비교'!$B$12))*COS(RADIANS('13_시나리오비교'!$C$12))+$I1133*COS(RADIANS('13_시나리오비교'!$B$12))),0)</f>
        <v/>
      </c>
      <c r="X1133" s="80">
        <f>IF($I1133&gt;0,MAX(0,$G1133*SIN(RADIANS('13_시나리오비교'!$B$13))*SIN(RADIANS('13_시나리오비교'!$C$13))+$H1133*SIN(RADIANS('13_시나리오비교'!$B$13))*COS(RADIANS('13_시나리오비교'!$C$13))+$I1133*COS(RADIANS('13_시나리오비교'!$B$13))),0)</f>
        <v/>
      </c>
      <c r="Y1133" s="80">
        <f>IF($I1133&gt;0,MAX(0,$G1133*SIN(RADIANS('13_시나리오비교'!$B$14))*SIN(RADIANS('13_시나리오비교'!$C$14))+$H1133*SIN(RADIANS('13_시나리오비교'!$B$14))*COS(RADIANS('13_시나리오비교'!$C$14))+$I1133*COS(RADIANS('13_시나리오비교'!$B$14))),0)</f>
        <v/>
      </c>
    </row>
    <row r="1134" hidden="1" outlineLevel="1">
      <c r="A1134" s="79" t="n">
        <v>12</v>
      </c>
      <c r="B1134" s="79" t="n">
        <v>58</v>
      </c>
      <c r="C1134" s="80">
        <f>(B1134-0.5)*'14_지역·상수'!$H$6</f>
        <v/>
      </c>
      <c r="D1134" s="79" t="n">
        <v>344</v>
      </c>
      <c r="E1134" s="80">
        <f>INDEX($C$4:$C$15,MATCH(A1134,$A$4:$A$15,0))</f>
        <v/>
      </c>
      <c r="F1134" s="80">
        <f>15*(C1134-12)</f>
        <v/>
      </c>
      <c r="G1134" s="80">
        <f>-COS(RADIANS(E1134))*SIN(RADIANS(F1134))</f>
        <v/>
      </c>
      <c r="H1134" s="80">
        <f>COS(RADIANS('11_발전량_모델'!$B$17))*SIN(RADIANS(E1134))-SIN(RADIANS('11_발전량_모델'!$B$17))*COS(RADIANS(E1134))*COS(RADIANS(F1134))</f>
        <v/>
      </c>
      <c r="I1134" s="80">
        <f>SIN(RADIANS('11_발전량_모델'!$B$17))*SIN(RADIANS(E1134))+COS(RADIANS('11_발전량_모델'!$B$17))*COS(RADIANS(E1134))*COS(RADIANS(F1134))</f>
        <v/>
      </c>
      <c r="J1134" s="80">
        <f>SIN(RADIANS('11_발전량_모델'!$B$7))*SIN(RADIANS('11_발전량_모델'!$B$8))</f>
        <v/>
      </c>
      <c r="K1134" s="80">
        <f>SIN(RADIANS('11_발전량_모델'!$B$7))*COS(RADIANS('11_발전량_모델'!$B$8))</f>
        <v/>
      </c>
      <c r="L1134" s="80">
        <f>COS(RADIANS('11_발전량_모델'!$B$7))</f>
        <v/>
      </c>
      <c r="M1134" s="80">
        <f>G1134*J1134+H1134*K1134+I1134*L1134</f>
        <v/>
      </c>
      <c r="N1134" s="80">
        <f>MAX(0,I1134)</f>
        <v/>
      </c>
      <c r="O1134" s="80">
        <f>IF(I1134&gt;0,MAX(0,M1134),0)</f>
        <v/>
      </c>
      <c r="P1134" s="80">
        <f>IF($I1134&gt;0,MAX(0,$G1134*SIN(RADIANS('13_시나리오비교'!$B$5))*SIN(RADIANS('13_시나리오비교'!$C$5))+$H1134*SIN(RADIANS('13_시나리오비교'!$B$5))*COS(RADIANS('13_시나리오비교'!$C$5))+$I1134*COS(RADIANS('13_시나리오비교'!$B$5))),0)</f>
        <v/>
      </c>
      <c r="Q1134" s="80">
        <f>IF($I1134&gt;0,MAX(0,$G1134*SIN(RADIANS('13_시나리오비교'!$B$6))*SIN(RADIANS('13_시나리오비교'!$C$6))+$H1134*SIN(RADIANS('13_시나리오비교'!$B$6))*COS(RADIANS('13_시나리오비교'!$C$6))+$I1134*COS(RADIANS('13_시나리오비교'!$B$6))),0)</f>
        <v/>
      </c>
      <c r="R1134" s="80">
        <f>IF($I1134&gt;0,MAX(0,$G1134*SIN(RADIANS('13_시나리오비교'!$B$7))*SIN(RADIANS('13_시나리오비교'!$C$7))+$H1134*SIN(RADIANS('13_시나리오비교'!$B$7))*COS(RADIANS('13_시나리오비교'!$C$7))+$I1134*COS(RADIANS('13_시나리오비교'!$B$7))),0)</f>
        <v/>
      </c>
      <c r="S1134" s="80">
        <f>IF($I1134&gt;0,MAX(0,$G1134*SIN(RADIANS('13_시나리오비교'!$B$8))*SIN(RADIANS('13_시나리오비교'!$C$8))+$H1134*SIN(RADIANS('13_시나리오비교'!$B$8))*COS(RADIANS('13_시나리오비교'!$C$8))+$I1134*COS(RADIANS('13_시나리오비교'!$B$8))),0)</f>
        <v/>
      </c>
      <c r="T1134" s="80">
        <f>IF($I1134&gt;0,MAX(0,$G1134*SIN(RADIANS('13_시나리오비교'!$B$9))*SIN(RADIANS('13_시나리오비교'!$C$9))+$H1134*SIN(RADIANS('13_시나리오비교'!$B$9))*COS(RADIANS('13_시나리오비교'!$C$9))+$I1134*COS(RADIANS('13_시나리오비교'!$B$9))),0)</f>
        <v/>
      </c>
      <c r="U1134" s="80">
        <f>IF($I1134&gt;0,MAX(0,$G1134*SIN(RADIANS('13_시나리오비교'!$B$10))*SIN(RADIANS('13_시나리오비교'!$C$10))+$H1134*SIN(RADIANS('13_시나리오비교'!$B$10))*COS(RADIANS('13_시나리오비교'!$C$10))+$I1134*COS(RADIANS('13_시나리오비교'!$B$10))),0)</f>
        <v/>
      </c>
      <c r="V1134" s="80">
        <f>IF($I1134&gt;0,MAX(0,$G1134*SIN(RADIANS('13_시나리오비교'!$B$11))*SIN(RADIANS('13_시나리오비교'!$C$11))+$H1134*SIN(RADIANS('13_시나리오비교'!$B$11))*COS(RADIANS('13_시나리오비교'!$C$11))+$I1134*COS(RADIANS('13_시나리오비교'!$B$11))),0)</f>
        <v/>
      </c>
      <c r="W1134" s="80">
        <f>IF($I1134&gt;0,MAX(0,$G1134*SIN(RADIANS('13_시나리오비교'!$B$12))*SIN(RADIANS('13_시나리오비교'!$C$12))+$H1134*SIN(RADIANS('13_시나리오비교'!$B$12))*COS(RADIANS('13_시나리오비교'!$C$12))+$I1134*COS(RADIANS('13_시나리오비교'!$B$12))),0)</f>
        <v/>
      </c>
      <c r="X1134" s="80">
        <f>IF($I1134&gt;0,MAX(0,$G1134*SIN(RADIANS('13_시나리오비교'!$B$13))*SIN(RADIANS('13_시나리오비교'!$C$13))+$H1134*SIN(RADIANS('13_시나리오비교'!$B$13))*COS(RADIANS('13_시나리오비교'!$C$13))+$I1134*COS(RADIANS('13_시나리오비교'!$B$13))),0)</f>
        <v/>
      </c>
      <c r="Y1134" s="80">
        <f>IF($I1134&gt;0,MAX(0,$G1134*SIN(RADIANS('13_시나리오비교'!$B$14))*SIN(RADIANS('13_시나리오비교'!$C$14))+$H1134*SIN(RADIANS('13_시나리오비교'!$B$14))*COS(RADIANS('13_시나리오비교'!$C$14))+$I1134*COS(RADIANS('13_시나리오비교'!$B$14))),0)</f>
        <v/>
      </c>
    </row>
    <row r="1135" hidden="1" outlineLevel="1">
      <c r="A1135" s="79" t="n">
        <v>12</v>
      </c>
      <c r="B1135" s="79" t="n">
        <v>59</v>
      </c>
      <c r="C1135" s="80">
        <f>(B1135-0.5)*'14_지역·상수'!$H$6</f>
        <v/>
      </c>
      <c r="D1135" s="79" t="n">
        <v>344</v>
      </c>
      <c r="E1135" s="80">
        <f>INDEX($C$4:$C$15,MATCH(A1135,$A$4:$A$15,0))</f>
        <v/>
      </c>
      <c r="F1135" s="80">
        <f>15*(C1135-12)</f>
        <v/>
      </c>
      <c r="G1135" s="80">
        <f>-COS(RADIANS(E1135))*SIN(RADIANS(F1135))</f>
        <v/>
      </c>
      <c r="H1135" s="80">
        <f>COS(RADIANS('11_발전량_모델'!$B$17))*SIN(RADIANS(E1135))-SIN(RADIANS('11_발전량_모델'!$B$17))*COS(RADIANS(E1135))*COS(RADIANS(F1135))</f>
        <v/>
      </c>
      <c r="I1135" s="80">
        <f>SIN(RADIANS('11_발전량_모델'!$B$17))*SIN(RADIANS(E1135))+COS(RADIANS('11_발전량_모델'!$B$17))*COS(RADIANS(E1135))*COS(RADIANS(F1135))</f>
        <v/>
      </c>
      <c r="J1135" s="80">
        <f>SIN(RADIANS('11_발전량_모델'!$B$7))*SIN(RADIANS('11_발전량_모델'!$B$8))</f>
        <v/>
      </c>
      <c r="K1135" s="80">
        <f>SIN(RADIANS('11_발전량_모델'!$B$7))*COS(RADIANS('11_발전량_모델'!$B$8))</f>
        <v/>
      </c>
      <c r="L1135" s="80">
        <f>COS(RADIANS('11_발전량_모델'!$B$7))</f>
        <v/>
      </c>
      <c r="M1135" s="80">
        <f>G1135*J1135+H1135*K1135+I1135*L1135</f>
        <v/>
      </c>
      <c r="N1135" s="80">
        <f>MAX(0,I1135)</f>
        <v/>
      </c>
      <c r="O1135" s="80">
        <f>IF(I1135&gt;0,MAX(0,M1135),0)</f>
        <v/>
      </c>
      <c r="P1135" s="80">
        <f>IF($I1135&gt;0,MAX(0,$G1135*SIN(RADIANS('13_시나리오비교'!$B$5))*SIN(RADIANS('13_시나리오비교'!$C$5))+$H1135*SIN(RADIANS('13_시나리오비교'!$B$5))*COS(RADIANS('13_시나리오비교'!$C$5))+$I1135*COS(RADIANS('13_시나리오비교'!$B$5))),0)</f>
        <v/>
      </c>
      <c r="Q1135" s="80">
        <f>IF($I1135&gt;0,MAX(0,$G1135*SIN(RADIANS('13_시나리오비교'!$B$6))*SIN(RADIANS('13_시나리오비교'!$C$6))+$H1135*SIN(RADIANS('13_시나리오비교'!$B$6))*COS(RADIANS('13_시나리오비교'!$C$6))+$I1135*COS(RADIANS('13_시나리오비교'!$B$6))),0)</f>
        <v/>
      </c>
      <c r="R1135" s="80">
        <f>IF($I1135&gt;0,MAX(0,$G1135*SIN(RADIANS('13_시나리오비교'!$B$7))*SIN(RADIANS('13_시나리오비교'!$C$7))+$H1135*SIN(RADIANS('13_시나리오비교'!$B$7))*COS(RADIANS('13_시나리오비교'!$C$7))+$I1135*COS(RADIANS('13_시나리오비교'!$B$7))),0)</f>
        <v/>
      </c>
      <c r="S1135" s="80">
        <f>IF($I1135&gt;0,MAX(0,$G1135*SIN(RADIANS('13_시나리오비교'!$B$8))*SIN(RADIANS('13_시나리오비교'!$C$8))+$H1135*SIN(RADIANS('13_시나리오비교'!$B$8))*COS(RADIANS('13_시나리오비교'!$C$8))+$I1135*COS(RADIANS('13_시나리오비교'!$B$8))),0)</f>
        <v/>
      </c>
      <c r="T1135" s="80">
        <f>IF($I1135&gt;0,MAX(0,$G1135*SIN(RADIANS('13_시나리오비교'!$B$9))*SIN(RADIANS('13_시나리오비교'!$C$9))+$H1135*SIN(RADIANS('13_시나리오비교'!$B$9))*COS(RADIANS('13_시나리오비교'!$C$9))+$I1135*COS(RADIANS('13_시나리오비교'!$B$9))),0)</f>
        <v/>
      </c>
      <c r="U1135" s="80">
        <f>IF($I1135&gt;0,MAX(0,$G1135*SIN(RADIANS('13_시나리오비교'!$B$10))*SIN(RADIANS('13_시나리오비교'!$C$10))+$H1135*SIN(RADIANS('13_시나리오비교'!$B$10))*COS(RADIANS('13_시나리오비교'!$C$10))+$I1135*COS(RADIANS('13_시나리오비교'!$B$10))),0)</f>
        <v/>
      </c>
      <c r="V1135" s="80">
        <f>IF($I1135&gt;0,MAX(0,$G1135*SIN(RADIANS('13_시나리오비교'!$B$11))*SIN(RADIANS('13_시나리오비교'!$C$11))+$H1135*SIN(RADIANS('13_시나리오비교'!$B$11))*COS(RADIANS('13_시나리오비교'!$C$11))+$I1135*COS(RADIANS('13_시나리오비교'!$B$11))),0)</f>
        <v/>
      </c>
      <c r="W1135" s="80">
        <f>IF($I1135&gt;0,MAX(0,$G1135*SIN(RADIANS('13_시나리오비교'!$B$12))*SIN(RADIANS('13_시나리오비교'!$C$12))+$H1135*SIN(RADIANS('13_시나리오비교'!$B$12))*COS(RADIANS('13_시나리오비교'!$C$12))+$I1135*COS(RADIANS('13_시나리오비교'!$B$12))),0)</f>
        <v/>
      </c>
      <c r="X1135" s="80">
        <f>IF($I1135&gt;0,MAX(0,$G1135*SIN(RADIANS('13_시나리오비교'!$B$13))*SIN(RADIANS('13_시나리오비교'!$C$13))+$H1135*SIN(RADIANS('13_시나리오비교'!$B$13))*COS(RADIANS('13_시나리오비교'!$C$13))+$I1135*COS(RADIANS('13_시나리오비교'!$B$13))),0)</f>
        <v/>
      </c>
      <c r="Y1135" s="80">
        <f>IF($I1135&gt;0,MAX(0,$G1135*SIN(RADIANS('13_시나리오비교'!$B$14))*SIN(RADIANS('13_시나리오비교'!$C$14))+$H1135*SIN(RADIANS('13_시나리오비교'!$B$14))*COS(RADIANS('13_시나리오비교'!$C$14))+$I1135*COS(RADIANS('13_시나리오비교'!$B$14))),0)</f>
        <v/>
      </c>
    </row>
    <row r="1136" hidden="1" outlineLevel="1">
      <c r="A1136" s="79" t="n">
        <v>12</v>
      </c>
      <c r="B1136" s="79" t="n">
        <v>60</v>
      </c>
      <c r="C1136" s="80">
        <f>(B1136-0.5)*'14_지역·상수'!$H$6</f>
        <v/>
      </c>
      <c r="D1136" s="79" t="n">
        <v>344</v>
      </c>
      <c r="E1136" s="80">
        <f>INDEX($C$4:$C$15,MATCH(A1136,$A$4:$A$15,0))</f>
        <v/>
      </c>
      <c r="F1136" s="80">
        <f>15*(C1136-12)</f>
        <v/>
      </c>
      <c r="G1136" s="80">
        <f>-COS(RADIANS(E1136))*SIN(RADIANS(F1136))</f>
        <v/>
      </c>
      <c r="H1136" s="80">
        <f>COS(RADIANS('11_발전량_모델'!$B$17))*SIN(RADIANS(E1136))-SIN(RADIANS('11_발전량_모델'!$B$17))*COS(RADIANS(E1136))*COS(RADIANS(F1136))</f>
        <v/>
      </c>
      <c r="I1136" s="80">
        <f>SIN(RADIANS('11_발전량_모델'!$B$17))*SIN(RADIANS(E1136))+COS(RADIANS('11_발전량_모델'!$B$17))*COS(RADIANS(E1136))*COS(RADIANS(F1136))</f>
        <v/>
      </c>
      <c r="J1136" s="80">
        <f>SIN(RADIANS('11_발전량_모델'!$B$7))*SIN(RADIANS('11_발전량_모델'!$B$8))</f>
        <v/>
      </c>
      <c r="K1136" s="80">
        <f>SIN(RADIANS('11_발전량_모델'!$B$7))*COS(RADIANS('11_발전량_모델'!$B$8))</f>
        <v/>
      </c>
      <c r="L1136" s="80">
        <f>COS(RADIANS('11_발전량_모델'!$B$7))</f>
        <v/>
      </c>
      <c r="M1136" s="80">
        <f>G1136*J1136+H1136*K1136+I1136*L1136</f>
        <v/>
      </c>
      <c r="N1136" s="80">
        <f>MAX(0,I1136)</f>
        <v/>
      </c>
      <c r="O1136" s="80">
        <f>IF(I1136&gt;0,MAX(0,M1136),0)</f>
        <v/>
      </c>
      <c r="P1136" s="80">
        <f>IF($I1136&gt;0,MAX(0,$G1136*SIN(RADIANS('13_시나리오비교'!$B$5))*SIN(RADIANS('13_시나리오비교'!$C$5))+$H1136*SIN(RADIANS('13_시나리오비교'!$B$5))*COS(RADIANS('13_시나리오비교'!$C$5))+$I1136*COS(RADIANS('13_시나리오비교'!$B$5))),0)</f>
        <v/>
      </c>
      <c r="Q1136" s="80">
        <f>IF($I1136&gt;0,MAX(0,$G1136*SIN(RADIANS('13_시나리오비교'!$B$6))*SIN(RADIANS('13_시나리오비교'!$C$6))+$H1136*SIN(RADIANS('13_시나리오비교'!$B$6))*COS(RADIANS('13_시나리오비교'!$C$6))+$I1136*COS(RADIANS('13_시나리오비교'!$B$6))),0)</f>
        <v/>
      </c>
      <c r="R1136" s="80">
        <f>IF($I1136&gt;0,MAX(0,$G1136*SIN(RADIANS('13_시나리오비교'!$B$7))*SIN(RADIANS('13_시나리오비교'!$C$7))+$H1136*SIN(RADIANS('13_시나리오비교'!$B$7))*COS(RADIANS('13_시나리오비교'!$C$7))+$I1136*COS(RADIANS('13_시나리오비교'!$B$7))),0)</f>
        <v/>
      </c>
      <c r="S1136" s="80">
        <f>IF($I1136&gt;0,MAX(0,$G1136*SIN(RADIANS('13_시나리오비교'!$B$8))*SIN(RADIANS('13_시나리오비교'!$C$8))+$H1136*SIN(RADIANS('13_시나리오비교'!$B$8))*COS(RADIANS('13_시나리오비교'!$C$8))+$I1136*COS(RADIANS('13_시나리오비교'!$B$8))),0)</f>
        <v/>
      </c>
      <c r="T1136" s="80">
        <f>IF($I1136&gt;0,MAX(0,$G1136*SIN(RADIANS('13_시나리오비교'!$B$9))*SIN(RADIANS('13_시나리오비교'!$C$9))+$H1136*SIN(RADIANS('13_시나리오비교'!$B$9))*COS(RADIANS('13_시나리오비교'!$C$9))+$I1136*COS(RADIANS('13_시나리오비교'!$B$9))),0)</f>
        <v/>
      </c>
      <c r="U1136" s="80">
        <f>IF($I1136&gt;0,MAX(0,$G1136*SIN(RADIANS('13_시나리오비교'!$B$10))*SIN(RADIANS('13_시나리오비교'!$C$10))+$H1136*SIN(RADIANS('13_시나리오비교'!$B$10))*COS(RADIANS('13_시나리오비교'!$C$10))+$I1136*COS(RADIANS('13_시나리오비교'!$B$10))),0)</f>
        <v/>
      </c>
      <c r="V1136" s="80">
        <f>IF($I1136&gt;0,MAX(0,$G1136*SIN(RADIANS('13_시나리오비교'!$B$11))*SIN(RADIANS('13_시나리오비교'!$C$11))+$H1136*SIN(RADIANS('13_시나리오비교'!$B$11))*COS(RADIANS('13_시나리오비교'!$C$11))+$I1136*COS(RADIANS('13_시나리오비교'!$B$11))),0)</f>
        <v/>
      </c>
      <c r="W1136" s="80">
        <f>IF($I1136&gt;0,MAX(0,$G1136*SIN(RADIANS('13_시나리오비교'!$B$12))*SIN(RADIANS('13_시나리오비교'!$C$12))+$H1136*SIN(RADIANS('13_시나리오비교'!$B$12))*COS(RADIANS('13_시나리오비교'!$C$12))+$I1136*COS(RADIANS('13_시나리오비교'!$B$12))),0)</f>
        <v/>
      </c>
      <c r="X1136" s="80">
        <f>IF($I1136&gt;0,MAX(0,$G1136*SIN(RADIANS('13_시나리오비교'!$B$13))*SIN(RADIANS('13_시나리오비교'!$C$13))+$H1136*SIN(RADIANS('13_시나리오비교'!$B$13))*COS(RADIANS('13_시나리오비교'!$C$13))+$I1136*COS(RADIANS('13_시나리오비교'!$B$13))),0)</f>
        <v/>
      </c>
      <c r="Y1136" s="80">
        <f>IF($I1136&gt;0,MAX(0,$G1136*SIN(RADIANS('13_시나리오비교'!$B$14))*SIN(RADIANS('13_시나리오비교'!$C$14))+$H1136*SIN(RADIANS('13_시나리오비교'!$B$14))*COS(RADIANS('13_시나리오비교'!$C$14))+$I1136*COS(RADIANS('13_시나리오비교'!$B$14))),0)</f>
        <v/>
      </c>
    </row>
    <row r="1137" hidden="1" outlineLevel="1">
      <c r="A1137" s="79" t="n">
        <v>12</v>
      </c>
      <c r="B1137" s="79" t="n">
        <v>61</v>
      </c>
      <c r="C1137" s="80">
        <f>(B1137-0.5)*'14_지역·상수'!$H$6</f>
        <v/>
      </c>
      <c r="D1137" s="79" t="n">
        <v>344</v>
      </c>
      <c r="E1137" s="80">
        <f>INDEX($C$4:$C$15,MATCH(A1137,$A$4:$A$15,0))</f>
        <v/>
      </c>
      <c r="F1137" s="80">
        <f>15*(C1137-12)</f>
        <v/>
      </c>
      <c r="G1137" s="80">
        <f>-COS(RADIANS(E1137))*SIN(RADIANS(F1137))</f>
        <v/>
      </c>
      <c r="H1137" s="80">
        <f>COS(RADIANS('11_발전량_모델'!$B$17))*SIN(RADIANS(E1137))-SIN(RADIANS('11_발전량_모델'!$B$17))*COS(RADIANS(E1137))*COS(RADIANS(F1137))</f>
        <v/>
      </c>
      <c r="I1137" s="80">
        <f>SIN(RADIANS('11_발전량_모델'!$B$17))*SIN(RADIANS(E1137))+COS(RADIANS('11_발전량_모델'!$B$17))*COS(RADIANS(E1137))*COS(RADIANS(F1137))</f>
        <v/>
      </c>
      <c r="J1137" s="80">
        <f>SIN(RADIANS('11_발전량_모델'!$B$7))*SIN(RADIANS('11_발전량_모델'!$B$8))</f>
        <v/>
      </c>
      <c r="K1137" s="80">
        <f>SIN(RADIANS('11_발전량_모델'!$B$7))*COS(RADIANS('11_발전량_모델'!$B$8))</f>
        <v/>
      </c>
      <c r="L1137" s="80">
        <f>COS(RADIANS('11_발전량_모델'!$B$7))</f>
        <v/>
      </c>
      <c r="M1137" s="80">
        <f>G1137*J1137+H1137*K1137+I1137*L1137</f>
        <v/>
      </c>
      <c r="N1137" s="80">
        <f>MAX(0,I1137)</f>
        <v/>
      </c>
      <c r="O1137" s="80">
        <f>IF(I1137&gt;0,MAX(0,M1137),0)</f>
        <v/>
      </c>
      <c r="P1137" s="80">
        <f>IF($I1137&gt;0,MAX(0,$G1137*SIN(RADIANS('13_시나리오비교'!$B$5))*SIN(RADIANS('13_시나리오비교'!$C$5))+$H1137*SIN(RADIANS('13_시나리오비교'!$B$5))*COS(RADIANS('13_시나리오비교'!$C$5))+$I1137*COS(RADIANS('13_시나리오비교'!$B$5))),0)</f>
        <v/>
      </c>
      <c r="Q1137" s="80">
        <f>IF($I1137&gt;0,MAX(0,$G1137*SIN(RADIANS('13_시나리오비교'!$B$6))*SIN(RADIANS('13_시나리오비교'!$C$6))+$H1137*SIN(RADIANS('13_시나리오비교'!$B$6))*COS(RADIANS('13_시나리오비교'!$C$6))+$I1137*COS(RADIANS('13_시나리오비교'!$B$6))),0)</f>
        <v/>
      </c>
      <c r="R1137" s="80">
        <f>IF($I1137&gt;0,MAX(0,$G1137*SIN(RADIANS('13_시나리오비교'!$B$7))*SIN(RADIANS('13_시나리오비교'!$C$7))+$H1137*SIN(RADIANS('13_시나리오비교'!$B$7))*COS(RADIANS('13_시나리오비교'!$C$7))+$I1137*COS(RADIANS('13_시나리오비교'!$B$7))),0)</f>
        <v/>
      </c>
      <c r="S1137" s="80">
        <f>IF($I1137&gt;0,MAX(0,$G1137*SIN(RADIANS('13_시나리오비교'!$B$8))*SIN(RADIANS('13_시나리오비교'!$C$8))+$H1137*SIN(RADIANS('13_시나리오비교'!$B$8))*COS(RADIANS('13_시나리오비교'!$C$8))+$I1137*COS(RADIANS('13_시나리오비교'!$B$8))),0)</f>
        <v/>
      </c>
      <c r="T1137" s="80">
        <f>IF($I1137&gt;0,MAX(0,$G1137*SIN(RADIANS('13_시나리오비교'!$B$9))*SIN(RADIANS('13_시나리오비교'!$C$9))+$H1137*SIN(RADIANS('13_시나리오비교'!$B$9))*COS(RADIANS('13_시나리오비교'!$C$9))+$I1137*COS(RADIANS('13_시나리오비교'!$B$9))),0)</f>
        <v/>
      </c>
      <c r="U1137" s="80">
        <f>IF($I1137&gt;0,MAX(0,$G1137*SIN(RADIANS('13_시나리오비교'!$B$10))*SIN(RADIANS('13_시나리오비교'!$C$10))+$H1137*SIN(RADIANS('13_시나리오비교'!$B$10))*COS(RADIANS('13_시나리오비교'!$C$10))+$I1137*COS(RADIANS('13_시나리오비교'!$B$10))),0)</f>
        <v/>
      </c>
      <c r="V1137" s="80">
        <f>IF($I1137&gt;0,MAX(0,$G1137*SIN(RADIANS('13_시나리오비교'!$B$11))*SIN(RADIANS('13_시나리오비교'!$C$11))+$H1137*SIN(RADIANS('13_시나리오비교'!$B$11))*COS(RADIANS('13_시나리오비교'!$C$11))+$I1137*COS(RADIANS('13_시나리오비교'!$B$11))),0)</f>
        <v/>
      </c>
      <c r="W1137" s="80">
        <f>IF($I1137&gt;0,MAX(0,$G1137*SIN(RADIANS('13_시나리오비교'!$B$12))*SIN(RADIANS('13_시나리오비교'!$C$12))+$H1137*SIN(RADIANS('13_시나리오비교'!$B$12))*COS(RADIANS('13_시나리오비교'!$C$12))+$I1137*COS(RADIANS('13_시나리오비교'!$B$12))),0)</f>
        <v/>
      </c>
      <c r="X1137" s="80">
        <f>IF($I1137&gt;0,MAX(0,$G1137*SIN(RADIANS('13_시나리오비교'!$B$13))*SIN(RADIANS('13_시나리오비교'!$C$13))+$H1137*SIN(RADIANS('13_시나리오비교'!$B$13))*COS(RADIANS('13_시나리오비교'!$C$13))+$I1137*COS(RADIANS('13_시나리오비교'!$B$13))),0)</f>
        <v/>
      </c>
      <c r="Y1137" s="80">
        <f>IF($I1137&gt;0,MAX(0,$G1137*SIN(RADIANS('13_시나리오비교'!$B$14))*SIN(RADIANS('13_시나리오비교'!$C$14))+$H1137*SIN(RADIANS('13_시나리오비교'!$B$14))*COS(RADIANS('13_시나리오비교'!$C$14))+$I1137*COS(RADIANS('13_시나리오비교'!$B$14))),0)</f>
        <v/>
      </c>
    </row>
    <row r="1138" hidden="1" outlineLevel="1">
      <c r="A1138" s="79" t="n">
        <v>12</v>
      </c>
      <c r="B1138" s="79" t="n">
        <v>62</v>
      </c>
      <c r="C1138" s="80">
        <f>(B1138-0.5)*'14_지역·상수'!$H$6</f>
        <v/>
      </c>
      <c r="D1138" s="79" t="n">
        <v>344</v>
      </c>
      <c r="E1138" s="80">
        <f>INDEX($C$4:$C$15,MATCH(A1138,$A$4:$A$15,0))</f>
        <v/>
      </c>
      <c r="F1138" s="80">
        <f>15*(C1138-12)</f>
        <v/>
      </c>
      <c r="G1138" s="80">
        <f>-COS(RADIANS(E1138))*SIN(RADIANS(F1138))</f>
        <v/>
      </c>
      <c r="H1138" s="80">
        <f>COS(RADIANS('11_발전량_모델'!$B$17))*SIN(RADIANS(E1138))-SIN(RADIANS('11_발전량_모델'!$B$17))*COS(RADIANS(E1138))*COS(RADIANS(F1138))</f>
        <v/>
      </c>
      <c r="I1138" s="80">
        <f>SIN(RADIANS('11_발전량_모델'!$B$17))*SIN(RADIANS(E1138))+COS(RADIANS('11_발전량_모델'!$B$17))*COS(RADIANS(E1138))*COS(RADIANS(F1138))</f>
        <v/>
      </c>
      <c r="J1138" s="80">
        <f>SIN(RADIANS('11_발전량_모델'!$B$7))*SIN(RADIANS('11_발전량_모델'!$B$8))</f>
        <v/>
      </c>
      <c r="K1138" s="80">
        <f>SIN(RADIANS('11_발전량_모델'!$B$7))*COS(RADIANS('11_발전량_모델'!$B$8))</f>
        <v/>
      </c>
      <c r="L1138" s="80">
        <f>COS(RADIANS('11_발전량_모델'!$B$7))</f>
        <v/>
      </c>
      <c r="M1138" s="80">
        <f>G1138*J1138+H1138*K1138+I1138*L1138</f>
        <v/>
      </c>
      <c r="N1138" s="80">
        <f>MAX(0,I1138)</f>
        <v/>
      </c>
      <c r="O1138" s="80">
        <f>IF(I1138&gt;0,MAX(0,M1138),0)</f>
        <v/>
      </c>
      <c r="P1138" s="80">
        <f>IF($I1138&gt;0,MAX(0,$G1138*SIN(RADIANS('13_시나리오비교'!$B$5))*SIN(RADIANS('13_시나리오비교'!$C$5))+$H1138*SIN(RADIANS('13_시나리오비교'!$B$5))*COS(RADIANS('13_시나리오비교'!$C$5))+$I1138*COS(RADIANS('13_시나리오비교'!$B$5))),0)</f>
        <v/>
      </c>
      <c r="Q1138" s="80">
        <f>IF($I1138&gt;0,MAX(0,$G1138*SIN(RADIANS('13_시나리오비교'!$B$6))*SIN(RADIANS('13_시나리오비교'!$C$6))+$H1138*SIN(RADIANS('13_시나리오비교'!$B$6))*COS(RADIANS('13_시나리오비교'!$C$6))+$I1138*COS(RADIANS('13_시나리오비교'!$B$6))),0)</f>
        <v/>
      </c>
      <c r="R1138" s="80">
        <f>IF($I1138&gt;0,MAX(0,$G1138*SIN(RADIANS('13_시나리오비교'!$B$7))*SIN(RADIANS('13_시나리오비교'!$C$7))+$H1138*SIN(RADIANS('13_시나리오비교'!$B$7))*COS(RADIANS('13_시나리오비교'!$C$7))+$I1138*COS(RADIANS('13_시나리오비교'!$B$7))),0)</f>
        <v/>
      </c>
      <c r="S1138" s="80">
        <f>IF($I1138&gt;0,MAX(0,$G1138*SIN(RADIANS('13_시나리오비교'!$B$8))*SIN(RADIANS('13_시나리오비교'!$C$8))+$H1138*SIN(RADIANS('13_시나리오비교'!$B$8))*COS(RADIANS('13_시나리오비교'!$C$8))+$I1138*COS(RADIANS('13_시나리오비교'!$B$8))),0)</f>
        <v/>
      </c>
      <c r="T1138" s="80">
        <f>IF($I1138&gt;0,MAX(0,$G1138*SIN(RADIANS('13_시나리오비교'!$B$9))*SIN(RADIANS('13_시나리오비교'!$C$9))+$H1138*SIN(RADIANS('13_시나리오비교'!$B$9))*COS(RADIANS('13_시나리오비교'!$C$9))+$I1138*COS(RADIANS('13_시나리오비교'!$B$9))),0)</f>
        <v/>
      </c>
      <c r="U1138" s="80">
        <f>IF($I1138&gt;0,MAX(0,$G1138*SIN(RADIANS('13_시나리오비교'!$B$10))*SIN(RADIANS('13_시나리오비교'!$C$10))+$H1138*SIN(RADIANS('13_시나리오비교'!$B$10))*COS(RADIANS('13_시나리오비교'!$C$10))+$I1138*COS(RADIANS('13_시나리오비교'!$B$10))),0)</f>
        <v/>
      </c>
      <c r="V1138" s="80">
        <f>IF($I1138&gt;0,MAX(0,$G1138*SIN(RADIANS('13_시나리오비교'!$B$11))*SIN(RADIANS('13_시나리오비교'!$C$11))+$H1138*SIN(RADIANS('13_시나리오비교'!$B$11))*COS(RADIANS('13_시나리오비교'!$C$11))+$I1138*COS(RADIANS('13_시나리오비교'!$B$11))),0)</f>
        <v/>
      </c>
      <c r="W1138" s="80">
        <f>IF($I1138&gt;0,MAX(0,$G1138*SIN(RADIANS('13_시나리오비교'!$B$12))*SIN(RADIANS('13_시나리오비교'!$C$12))+$H1138*SIN(RADIANS('13_시나리오비교'!$B$12))*COS(RADIANS('13_시나리오비교'!$C$12))+$I1138*COS(RADIANS('13_시나리오비교'!$B$12))),0)</f>
        <v/>
      </c>
      <c r="X1138" s="80">
        <f>IF($I1138&gt;0,MAX(0,$G1138*SIN(RADIANS('13_시나리오비교'!$B$13))*SIN(RADIANS('13_시나리오비교'!$C$13))+$H1138*SIN(RADIANS('13_시나리오비교'!$B$13))*COS(RADIANS('13_시나리오비교'!$C$13))+$I1138*COS(RADIANS('13_시나리오비교'!$B$13))),0)</f>
        <v/>
      </c>
      <c r="Y1138" s="80">
        <f>IF($I1138&gt;0,MAX(0,$G1138*SIN(RADIANS('13_시나리오비교'!$B$14))*SIN(RADIANS('13_시나리오비교'!$C$14))+$H1138*SIN(RADIANS('13_시나리오비교'!$B$14))*COS(RADIANS('13_시나리오비교'!$C$14))+$I1138*COS(RADIANS('13_시나리오비교'!$B$14))),0)</f>
        <v/>
      </c>
    </row>
    <row r="1139" hidden="1" outlineLevel="1">
      <c r="A1139" s="79" t="n">
        <v>12</v>
      </c>
      <c r="B1139" s="79" t="n">
        <v>63</v>
      </c>
      <c r="C1139" s="80">
        <f>(B1139-0.5)*'14_지역·상수'!$H$6</f>
        <v/>
      </c>
      <c r="D1139" s="79" t="n">
        <v>344</v>
      </c>
      <c r="E1139" s="80">
        <f>INDEX($C$4:$C$15,MATCH(A1139,$A$4:$A$15,0))</f>
        <v/>
      </c>
      <c r="F1139" s="80">
        <f>15*(C1139-12)</f>
        <v/>
      </c>
      <c r="G1139" s="80">
        <f>-COS(RADIANS(E1139))*SIN(RADIANS(F1139))</f>
        <v/>
      </c>
      <c r="H1139" s="80">
        <f>COS(RADIANS('11_발전량_모델'!$B$17))*SIN(RADIANS(E1139))-SIN(RADIANS('11_발전량_모델'!$B$17))*COS(RADIANS(E1139))*COS(RADIANS(F1139))</f>
        <v/>
      </c>
      <c r="I1139" s="80">
        <f>SIN(RADIANS('11_발전량_모델'!$B$17))*SIN(RADIANS(E1139))+COS(RADIANS('11_발전량_모델'!$B$17))*COS(RADIANS(E1139))*COS(RADIANS(F1139))</f>
        <v/>
      </c>
      <c r="J1139" s="80">
        <f>SIN(RADIANS('11_발전량_모델'!$B$7))*SIN(RADIANS('11_발전량_모델'!$B$8))</f>
        <v/>
      </c>
      <c r="K1139" s="80">
        <f>SIN(RADIANS('11_발전량_모델'!$B$7))*COS(RADIANS('11_발전량_모델'!$B$8))</f>
        <v/>
      </c>
      <c r="L1139" s="80">
        <f>COS(RADIANS('11_발전량_모델'!$B$7))</f>
        <v/>
      </c>
      <c r="M1139" s="80">
        <f>G1139*J1139+H1139*K1139+I1139*L1139</f>
        <v/>
      </c>
      <c r="N1139" s="80">
        <f>MAX(0,I1139)</f>
        <v/>
      </c>
      <c r="O1139" s="80">
        <f>IF(I1139&gt;0,MAX(0,M1139),0)</f>
        <v/>
      </c>
      <c r="P1139" s="80">
        <f>IF($I1139&gt;0,MAX(0,$G1139*SIN(RADIANS('13_시나리오비교'!$B$5))*SIN(RADIANS('13_시나리오비교'!$C$5))+$H1139*SIN(RADIANS('13_시나리오비교'!$B$5))*COS(RADIANS('13_시나리오비교'!$C$5))+$I1139*COS(RADIANS('13_시나리오비교'!$B$5))),0)</f>
        <v/>
      </c>
      <c r="Q1139" s="80">
        <f>IF($I1139&gt;0,MAX(0,$G1139*SIN(RADIANS('13_시나리오비교'!$B$6))*SIN(RADIANS('13_시나리오비교'!$C$6))+$H1139*SIN(RADIANS('13_시나리오비교'!$B$6))*COS(RADIANS('13_시나리오비교'!$C$6))+$I1139*COS(RADIANS('13_시나리오비교'!$B$6))),0)</f>
        <v/>
      </c>
      <c r="R1139" s="80">
        <f>IF($I1139&gt;0,MAX(0,$G1139*SIN(RADIANS('13_시나리오비교'!$B$7))*SIN(RADIANS('13_시나리오비교'!$C$7))+$H1139*SIN(RADIANS('13_시나리오비교'!$B$7))*COS(RADIANS('13_시나리오비교'!$C$7))+$I1139*COS(RADIANS('13_시나리오비교'!$B$7))),0)</f>
        <v/>
      </c>
      <c r="S1139" s="80">
        <f>IF($I1139&gt;0,MAX(0,$G1139*SIN(RADIANS('13_시나리오비교'!$B$8))*SIN(RADIANS('13_시나리오비교'!$C$8))+$H1139*SIN(RADIANS('13_시나리오비교'!$B$8))*COS(RADIANS('13_시나리오비교'!$C$8))+$I1139*COS(RADIANS('13_시나리오비교'!$B$8))),0)</f>
        <v/>
      </c>
      <c r="T1139" s="80">
        <f>IF($I1139&gt;0,MAX(0,$G1139*SIN(RADIANS('13_시나리오비교'!$B$9))*SIN(RADIANS('13_시나리오비교'!$C$9))+$H1139*SIN(RADIANS('13_시나리오비교'!$B$9))*COS(RADIANS('13_시나리오비교'!$C$9))+$I1139*COS(RADIANS('13_시나리오비교'!$B$9))),0)</f>
        <v/>
      </c>
      <c r="U1139" s="80">
        <f>IF($I1139&gt;0,MAX(0,$G1139*SIN(RADIANS('13_시나리오비교'!$B$10))*SIN(RADIANS('13_시나리오비교'!$C$10))+$H1139*SIN(RADIANS('13_시나리오비교'!$B$10))*COS(RADIANS('13_시나리오비교'!$C$10))+$I1139*COS(RADIANS('13_시나리오비교'!$B$10))),0)</f>
        <v/>
      </c>
      <c r="V1139" s="80">
        <f>IF($I1139&gt;0,MAX(0,$G1139*SIN(RADIANS('13_시나리오비교'!$B$11))*SIN(RADIANS('13_시나리오비교'!$C$11))+$H1139*SIN(RADIANS('13_시나리오비교'!$B$11))*COS(RADIANS('13_시나리오비교'!$C$11))+$I1139*COS(RADIANS('13_시나리오비교'!$B$11))),0)</f>
        <v/>
      </c>
      <c r="W1139" s="80">
        <f>IF($I1139&gt;0,MAX(0,$G1139*SIN(RADIANS('13_시나리오비교'!$B$12))*SIN(RADIANS('13_시나리오비교'!$C$12))+$H1139*SIN(RADIANS('13_시나리오비교'!$B$12))*COS(RADIANS('13_시나리오비교'!$C$12))+$I1139*COS(RADIANS('13_시나리오비교'!$B$12))),0)</f>
        <v/>
      </c>
      <c r="X1139" s="80">
        <f>IF($I1139&gt;0,MAX(0,$G1139*SIN(RADIANS('13_시나리오비교'!$B$13))*SIN(RADIANS('13_시나리오비교'!$C$13))+$H1139*SIN(RADIANS('13_시나리오비교'!$B$13))*COS(RADIANS('13_시나리오비교'!$C$13))+$I1139*COS(RADIANS('13_시나리오비교'!$B$13))),0)</f>
        <v/>
      </c>
      <c r="Y1139" s="80">
        <f>IF($I1139&gt;0,MAX(0,$G1139*SIN(RADIANS('13_시나리오비교'!$B$14))*SIN(RADIANS('13_시나리오비교'!$C$14))+$H1139*SIN(RADIANS('13_시나리오비교'!$B$14))*COS(RADIANS('13_시나리오비교'!$C$14))+$I1139*COS(RADIANS('13_시나리오비교'!$B$14))),0)</f>
        <v/>
      </c>
    </row>
    <row r="1140" hidden="1" outlineLevel="1">
      <c r="A1140" s="79" t="n">
        <v>12</v>
      </c>
      <c r="B1140" s="79" t="n">
        <v>64</v>
      </c>
      <c r="C1140" s="80">
        <f>(B1140-0.5)*'14_지역·상수'!$H$6</f>
        <v/>
      </c>
      <c r="D1140" s="79" t="n">
        <v>344</v>
      </c>
      <c r="E1140" s="80">
        <f>INDEX($C$4:$C$15,MATCH(A1140,$A$4:$A$15,0))</f>
        <v/>
      </c>
      <c r="F1140" s="80">
        <f>15*(C1140-12)</f>
        <v/>
      </c>
      <c r="G1140" s="80">
        <f>-COS(RADIANS(E1140))*SIN(RADIANS(F1140))</f>
        <v/>
      </c>
      <c r="H1140" s="80">
        <f>COS(RADIANS('11_발전량_모델'!$B$17))*SIN(RADIANS(E1140))-SIN(RADIANS('11_발전량_모델'!$B$17))*COS(RADIANS(E1140))*COS(RADIANS(F1140))</f>
        <v/>
      </c>
      <c r="I1140" s="80">
        <f>SIN(RADIANS('11_발전량_모델'!$B$17))*SIN(RADIANS(E1140))+COS(RADIANS('11_발전량_모델'!$B$17))*COS(RADIANS(E1140))*COS(RADIANS(F1140))</f>
        <v/>
      </c>
      <c r="J1140" s="80">
        <f>SIN(RADIANS('11_발전량_모델'!$B$7))*SIN(RADIANS('11_발전량_모델'!$B$8))</f>
        <v/>
      </c>
      <c r="K1140" s="80">
        <f>SIN(RADIANS('11_발전량_모델'!$B$7))*COS(RADIANS('11_발전량_모델'!$B$8))</f>
        <v/>
      </c>
      <c r="L1140" s="80">
        <f>COS(RADIANS('11_발전량_모델'!$B$7))</f>
        <v/>
      </c>
      <c r="M1140" s="80">
        <f>G1140*J1140+H1140*K1140+I1140*L1140</f>
        <v/>
      </c>
      <c r="N1140" s="80">
        <f>MAX(0,I1140)</f>
        <v/>
      </c>
      <c r="O1140" s="80">
        <f>IF(I1140&gt;0,MAX(0,M1140),0)</f>
        <v/>
      </c>
      <c r="P1140" s="80">
        <f>IF($I1140&gt;0,MAX(0,$G1140*SIN(RADIANS('13_시나리오비교'!$B$5))*SIN(RADIANS('13_시나리오비교'!$C$5))+$H1140*SIN(RADIANS('13_시나리오비교'!$B$5))*COS(RADIANS('13_시나리오비교'!$C$5))+$I1140*COS(RADIANS('13_시나리오비교'!$B$5))),0)</f>
        <v/>
      </c>
      <c r="Q1140" s="80">
        <f>IF($I1140&gt;0,MAX(0,$G1140*SIN(RADIANS('13_시나리오비교'!$B$6))*SIN(RADIANS('13_시나리오비교'!$C$6))+$H1140*SIN(RADIANS('13_시나리오비교'!$B$6))*COS(RADIANS('13_시나리오비교'!$C$6))+$I1140*COS(RADIANS('13_시나리오비교'!$B$6))),0)</f>
        <v/>
      </c>
      <c r="R1140" s="80">
        <f>IF($I1140&gt;0,MAX(0,$G1140*SIN(RADIANS('13_시나리오비교'!$B$7))*SIN(RADIANS('13_시나리오비교'!$C$7))+$H1140*SIN(RADIANS('13_시나리오비교'!$B$7))*COS(RADIANS('13_시나리오비교'!$C$7))+$I1140*COS(RADIANS('13_시나리오비교'!$B$7))),0)</f>
        <v/>
      </c>
      <c r="S1140" s="80">
        <f>IF($I1140&gt;0,MAX(0,$G1140*SIN(RADIANS('13_시나리오비교'!$B$8))*SIN(RADIANS('13_시나리오비교'!$C$8))+$H1140*SIN(RADIANS('13_시나리오비교'!$B$8))*COS(RADIANS('13_시나리오비교'!$C$8))+$I1140*COS(RADIANS('13_시나리오비교'!$B$8))),0)</f>
        <v/>
      </c>
      <c r="T1140" s="80">
        <f>IF($I1140&gt;0,MAX(0,$G1140*SIN(RADIANS('13_시나리오비교'!$B$9))*SIN(RADIANS('13_시나리오비교'!$C$9))+$H1140*SIN(RADIANS('13_시나리오비교'!$B$9))*COS(RADIANS('13_시나리오비교'!$C$9))+$I1140*COS(RADIANS('13_시나리오비교'!$B$9))),0)</f>
        <v/>
      </c>
      <c r="U1140" s="80">
        <f>IF($I1140&gt;0,MAX(0,$G1140*SIN(RADIANS('13_시나리오비교'!$B$10))*SIN(RADIANS('13_시나리오비교'!$C$10))+$H1140*SIN(RADIANS('13_시나리오비교'!$B$10))*COS(RADIANS('13_시나리오비교'!$C$10))+$I1140*COS(RADIANS('13_시나리오비교'!$B$10))),0)</f>
        <v/>
      </c>
      <c r="V1140" s="80">
        <f>IF($I1140&gt;0,MAX(0,$G1140*SIN(RADIANS('13_시나리오비교'!$B$11))*SIN(RADIANS('13_시나리오비교'!$C$11))+$H1140*SIN(RADIANS('13_시나리오비교'!$B$11))*COS(RADIANS('13_시나리오비교'!$C$11))+$I1140*COS(RADIANS('13_시나리오비교'!$B$11))),0)</f>
        <v/>
      </c>
      <c r="W1140" s="80">
        <f>IF($I1140&gt;0,MAX(0,$G1140*SIN(RADIANS('13_시나리오비교'!$B$12))*SIN(RADIANS('13_시나리오비교'!$C$12))+$H1140*SIN(RADIANS('13_시나리오비교'!$B$12))*COS(RADIANS('13_시나리오비교'!$C$12))+$I1140*COS(RADIANS('13_시나리오비교'!$B$12))),0)</f>
        <v/>
      </c>
      <c r="X1140" s="80">
        <f>IF($I1140&gt;0,MAX(0,$G1140*SIN(RADIANS('13_시나리오비교'!$B$13))*SIN(RADIANS('13_시나리오비교'!$C$13))+$H1140*SIN(RADIANS('13_시나리오비교'!$B$13))*COS(RADIANS('13_시나리오비교'!$C$13))+$I1140*COS(RADIANS('13_시나리오비교'!$B$13))),0)</f>
        <v/>
      </c>
      <c r="Y1140" s="80">
        <f>IF($I1140&gt;0,MAX(0,$G1140*SIN(RADIANS('13_시나리오비교'!$B$14))*SIN(RADIANS('13_시나리오비교'!$C$14))+$H1140*SIN(RADIANS('13_시나리오비교'!$B$14))*COS(RADIANS('13_시나리오비교'!$C$14))+$I1140*COS(RADIANS('13_시나리오비교'!$B$14))),0)</f>
        <v/>
      </c>
    </row>
    <row r="1141" hidden="1" outlineLevel="1">
      <c r="A1141" s="79" t="n">
        <v>12</v>
      </c>
      <c r="B1141" s="79" t="n">
        <v>65</v>
      </c>
      <c r="C1141" s="80">
        <f>(B1141-0.5)*'14_지역·상수'!$H$6</f>
        <v/>
      </c>
      <c r="D1141" s="79" t="n">
        <v>344</v>
      </c>
      <c r="E1141" s="80">
        <f>INDEX($C$4:$C$15,MATCH(A1141,$A$4:$A$15,0))</f>
        <v/>
      </c>
      <c r="F1141" s="80">
        <f>15*(C1141-12)</f>
        <v/>
      </c>
      <c r="G1141" s="80">
        <f>-COS(RADIANS(E1141))*SIN(RADIANS(F1141))</f>
        <v/>
      </c>
      <c r="H1141" s="80">
        <f>COS(RADIANS('11_발전량_모델'!$B$17))*SIN(RADIANS(E1141))-SIN(RADIANS('11_발전량_모델'!$B$17))*COS(RADIANS(E1141))*COS(RADIANS(F1141))</f>
        <v/>
      </c>
      <c r="I1141" s="80">
        <f>SIN(RADIANS('11_발전량_모델'!$B$17))*SIN(RADIANS(E1141))+COS(RADIANS('11_발전량_모델'!$B$17))*COS(RADIANS(E1141))*COS(RADIANS(F1141))</f>
        <v/>
      </c>
      <c r="J1141" s="80">
        <f>SIN(RADIANS('11_발전량_모델'!$B$7))*SIN(RADIANS('11_발전량_모델'!$B$8))</f>
        <v/>
      </c>
      <c r="K1141" s="80">
        <f>SIN(RADIANS('11_발전량_모델'!$B$7))*COS(RADIANS('11_발전량_모델'!$B$8))</f>
        <v/>
      </c>
      <c r="L1141" s="80">
        <f>COS(RADIANS('11_발전량_모델'!$B$7))</f>
        <v/>
      </c>
      <c r="M1141" s="80">
        <f>G1141*J1141+H1141*K1141+I1141*L1141</f>
        <v/>
      </c>
      <c r="N1141" s="80">
        <f>MAX(0,I1141)</f>
        <v/>
      </c>
      <c r="O1141" s="80">
        <f>IF(I1141&gt;0,MAX(0,M1141),0)</f>
        <v/>
      </c>
      <c r="P1141" s="80">
        <f>IF($I1141&gt;0,MAX(0,$G1141*SIN(RADIANS('13_시나리오비교'!$B$5))*SIN(RADIANS('13_시나리오비교'!$C$5))+$H1141*SIN(RADIANS('13_시나리오비교'!$B$5))*COS(RADIANS('13_시나리오비교'!$C$5))+$I1141*COS(RADIANS('13_시나리오비교'!$B$5))),0)</f>
        <v/>
      </c>
      <c r="Q1141" s="80">
        <f>IF($I1141&gt;0,MAX(0,$G1141*SIN(RADIANS('13_시나리오비교'!$B$6))*SIN(RADIANS('13_시나리오비교'!$C$6))+$H1141*SIN(RADIANS('13_시나리오비교'!$B$6))*COS(RADIANS('13_시나리오비교'!$C$6))+$I1141*COS(RADIANS('13_시나리오비교'!$B$6))),0)</f>
        <v/>
      </c>
      <c r="R1141" s="80">
        <f>IF($I1141&gt;0,MAX(0,$G1141*SIN(RADIANS('13_시나리오비교'!$B$7))*SIN(RADIANS('13_시나리오비교'!$C$7))+$H1141*SIN(RADIANS('13_시나리오비교'!$B$7))*COS(RADIANS('13_시나리오비교'!$C$7))+$I1141*COS(RADIANS('13_시나리오비교'!$B$7))),0)</f>
        <v/>
      </c>
      <c r="S1141" s="80">
        <f>IF($I1141&gt;0,MAX(0,$G1141*SIN(RADIANS('13_시나리오비교'!$B$8))*SIN(RADIANS('13_시나리오비교'!$C$8))+$H1141*SIN(RADIANS('13_시나리오비교'!$B$8))*COS(RADIANS('13_시나리오비교'!$C$8))+$I1141*COS(RADIANS('13_시나리오비교'!$B$8))),0)</f>
        <v/>
      </c>
      <c r="T1141" s="80">
        <f>IF($I1141&gt;0,MAX(0,$G1141*SIN(RADIANS('13_시나리오비교'!$B$9))*SIN(RADIANS('13_시나리오비교'!$C$9))+$H1141*SIN(RADIANS('13_시나리오비교'!$B$9))*COS(RADIANS('13_시나리오비교'!$C$9))+$I1141*COS(RADIANS('13_시나리오비교'!$B$9))),0)</f>
        <v/>
      </c>
      <c r="U1141" s="80">
        <f>IF($I1141&gt;0,MAX(0,$G1141*SIN(RADIANS('13_시나리오비교'!$B$10))*SIN(RADIANS('13_시나리오비교'!$C$10))+$H1141*SIN(RADIANS('13_시나리오비교'!$B$10))*COS(RADIANS('13_시나리오비교'!$C$10))+$I1141*COS(RADIANS('13_시나리오비교'!$B$10))),0)</f>
        <v/>
      </c>
      <c r="V1141" s="80">
        <f>IF($I1141&gt;0,MAX(0,$G1141*SIN(RADIANS('13_시나리오비교'!$B$11))*SIN(RADIANS('13_시나리오비교'!$C$11))+$H1141*SIN(RADIANS('13_시나리오비교'!$B$11))*COS(RADIANS('13_시나리오비교'!$C$11))+$I1141*COS(RADIANS('13_시나리오비교'!$B$11))),0)</f>
        <v/>
      </c>
      <c r="W1141" s="80">
        <f>IF($I1141&gt;0,MAX(0,$G1141*SIN(RADIANS('13_시나리오비교'!$B$12))*SIN(RADIANS('13_시나리오비교'!$C$12))+$H1141*SIN(RADIANS('13_시나리오비교'!$B$12))*COS(RADIANS('13_시나리오비교'!$C$12))+$I1141*COS(RADIANS('13_시나리오비교'!$B$12))),0)</f>
        <v/>
      </c>
      <c r="X1141" s="80">
        <f>IF($I1141&gt;0,MAX(0,$G1141*SIN(RADIANS('13_시나리오비교'!$B$13))*SIN(RADIANS('13_시나리오비교'!$C$13))+$H1141*SIN(RADIANS('13_시나리오비교'!$B$13))*COS(RADIANS('13_시나리오비교'!$C$13))+$I1141*COS(RADIANS('13_시나리오비교'!$B$13))),0)</f>
        <v/>
      </c>
      <c r="Y1141" s="80">
        <f>IF($I1141&gt;0,MAX(0,$G1141*SIN(RADIANS('13_시나리오비교'!$B$14))*SIN(RADIANS('13_시나리오비교'!$C$14))+$H1141*SIN(RADIANS('13_시나리오비교'!$B$14))*COS(RADIANS('13_시나리오비교'!$C$14))+$I1141*COS(RADIANS('13_시나리오비교'!$B$14))),0)</f>
        <v/>
      </c>
    </row>
    <row r="1142" hidden="1" outlineLevel="1">
      <c r="A1142" s="79" t="n">
        <v>12</v>
      </c>
      <c r="B1142" s="79" t="n">
        <v>66</v>
      </c>
      <c r="C1142" s="80">
        <f>(B1142-0.5)*'14_지역·상수'!$H$6</f>
        <v/>
      </c>
      <c r="D1142" s="79" t="n">
        <v>344</v>
      </c>
      <c r="E1142" s="80">
        <f>INDEX($C$4:$C$15,MATCH(A1142,$A$4:$A$15,0))</f>
        <v/>
      </c>
      <c r="F1142" s="80">
        <f>15*(C1142-12)</f>
        <v/>
      </c>
      <c r="G1142" s="80">
        <f>-COS(RADIANS(E1142))*SIN(RADIANS(F1142))</f>
        <v/>
      </c>
      <c r="H1142" s="80">
        <f>COS(RADIANS('11_발전량_모델'!$B$17))*SIN(RADIANS(E1142))-SIN(RADIANS('11_발전량_모델'!$B$17))*COS(RADIANS(E1142))*COS(RADIANS(F1142))</f>
        <v/>
      </c>
      <c r="I1142" s="80">
        <f>SIN(RADIANS('11_발전량_모델'!$B$17))*SIN(RADIANS(E1142))+COS(RADIANS('11_발전량_모델'!$B$17))*COS(RADIANS(E1142))*COS(RADIANS(F1142))</f>
        <v/>
      </c>
      <c r="J1142" s="80">
        <f>SIN(RADIANS('11_발전량_모델'!$B$7))*SIN(RADIANS('11_발전량_모델'!$B$8))</f>
        <v/>
      </c>
      <c r="K1142" s="80">
        <f>SIN(RADIANS('11_발전량_모델'!$B$7))*COS(RADIANS('11_발전량_모델'!$B$8))</f>
        <v/>
      </c>
      <c r="L1142" s="80">
        <f>COS(RADIANS('11_발전량_모델'!$B$7))</f>
        <v/>
      </c>
      <c r="M1142" s="80">
        <f>G1142*J1142+H1142*K1142+I1142*L1142</f>
        <v/>
      </c>
      <c r="N1142" s="80">
        <f>MAX(0,I1142)</f>
        <v/>
      </c>
      <c r="O1142" s="80">
        <f>IF(I1142&gt;0,MAX(0,M1142),0)</f>
        <v/>
      </c>
      <c r="P1142" s="80">
        <f>IF($I1142&gt;0,MAX(0,$G1142*SIN(RADIANS('13_시나리오비교'!$B$5))*SIN(RADIANS('13_시나리오비교'!$C$5))+$H1142*SIN(RADIANS('13_시나리오비교'!$B$5))*COS(RADIANS('13_시나리오비교'!$C$5))+$I1142*COS(RADIANS('13_시나리오비교'!$B$5))),0)</f>
        <v/>
      </c>
      <c r="Q1142" s="80">
        <f>IF($I1142&gt;0,MAX(0,$G1142*SIN(RADIANS('13_시나리오비교'!$B$6))*SIN(RADIANS('13_시나리오비교'!$C$6))+$H1142*SIN(RADIANS('13_시나리오비교'!$B$6))*COS(RADIANS('13_시나리오비교'!$C$6))+$I1142*COS(RADIANS('13_시나리오비교'!$B$6))),0)</f>
        <v/>
      </c>
      <c r="R1142" s="80">
        <f>IF($I1142&gt;0,MAX(0,$G1142*SIN(RADIANS('13_시나리오비교'!$B$7))*SIN(RADIANS('13_시나리오비교'!$C$7))+$H1142*SIN(RADIANS('13_시나리오비교'!$B$7))*COS(RADIANS('13_시나리오비교'!$C$7))+$I1142*COS(RADIANS('13_시나리오비교'!$B$7))),0)</f>
        <v/>
      </c>
      <c r="S1142" s="80">
        <f>IF($I1142&gt;0,MAX(0,$G1142*SIN(RADIANS('13_시나리오비교'!$B$8))*SIN(RADIANS('13_시나리오비교'!$C$8))+$H1142*SIN(RADIANS('13_시나리오비교'!$B$8))*COS(RADIANS('13_시나리오비교'!$C$8))+$I1142*COS(RADIANS('13_시나리오비교'!$B$8))),0)</f>
        <v/>
      </c>
      <c r="T1142" s="80">
        <f>IF($I1142&gt;0,MAX(0,$G1142*SIN(RADIANS('13_시나리오비교'!$B$9))*SIN(RADIANS('13_시나리오비교'!$C$9))+$H1142*SIN(RADIANS('13_시나리오비교'!$B$9))*COS(RADIANS('13_시나리오비교'!$C$9))+$I1142*COS(RADIANS('13_시나리오비교'!$B$9))),0)</f>
        <v/>
      </c>
      <c r="U1142" s="80">
        <f>IF($I1142&gt;0,MAX(0,$G1142*SIN(RADIANS('13_시나리오비교'!$B$10))*SIN(RADIANS('13_시나리오비교'!$C$10))+$H1142*SIN(RADIANS('13_시나리오비교'!$B$10))*COS(RADIANS('13_시나리오비교'!$C$10))+$I1142*COS(RADIANS('13_시나리오비교'!$B$10))),0)</f>
        <v/>
      </c>
      <c r="V1142" s="80">
        <f>IF($I1142&gt;0,MAX(0,$G1142*SIN(RADIANS('13_시나리오비교'!$B$11))*SIN(RADIANS('13_시나리오비교'!$C$11))+$H1142*SIN(RADIANS('13_시나리오비교'!$B$11))*COS(RADIANS('13_시나리오비교'!$C$11))+$I1142*COS(RADIANS('13_시나리오비교'!$B$11))),0)</f>
        <v/>
      </c>
      <c r="W1142" s="80">
        <f>IF($I1142&gt;0,MAX(0,$G1142*SIN(RADIANS('13_시나리오비교'!$B$12))*SIN(RADIANS('13_시나리오비교'!$C$12))+$H1142*SIN(RADIANS('13_시나리오비교'!$B$12))*COS(RADIANS('13_시나리오비교'!$C$12))+$I1142*COS(RADIANS('13_시나리오비교'!$B$12))),0)</f>
        <v/>
      </c>
      <c r="X1142" s="80">
        <f>IF($I1142&gt;0,MAX(0,$G1142*SIN(RADIANS('13_시나리오비교'!$B$13))*SIN(RADIANS('13_시나리오비교'!$C$13))+$H1142*SIN(RADIANS('13_시나리오비교'!$B$13))*COS(RADIANS('13_시나리오비교'!$C$13))+$I1142*COS(RADIANS('13_시나리오비교'!$B$13))),0)</f>
        <v/>
      </c>
      <c r="Y1142" s="80">
        <f>IF($I1142&gt;0,MAX(0,$G1142*SIN(RADIANS('13_시나리오비교'!$B$14))*SIN(RADIANS('13_시나리오비교'!$C$14))+$H1142*SIN(RADIANS('13_시나리오비교'!$B$14))*COS(RADIANS('13_시나리오비교'!$C$14))+$I1142*COS(RADIANS('13_시나리오비교'!$B$14))),0)</f>
        <v/>
      </c>
    </row>
    <row r="1143" hidden="1" outlineLevel="1">
      <c r="A1143" s="79" t="n">
        <v>12</v>
      </c>
      <c r="B1143" s="79" t="n">
        <v>67</v>
      </c>
      <c r="C1143" s="80">
        <f>(B1143-0.5)*'14_지역·상수'!$H$6</f>
        <v/>
      </c>
      <c r="D1143" s="79" t="n">
        <v>344</v>
      </c>
      <c r="E1143" s="80">
        <f>INDEX($C$4:$C$15,MATCH(A1143,$A$4:$A$15,0))</f>
        <v/>
      </c>
      <c r="F1143" s="80">
        <f>15*(C1143-12)</f>
        <v/>
      </c>
      <c r="G1143" s="80">
        <f>-COS(RADIANS(E1143))*SIN(RADIANS(F1143))</f>
        <v/>
      </c>
      <c r="H1143" s="80">
        <f>COS(RADIANS('11_발전량_모델'!$B$17))*SIN(RADIANS(E1143))-SIN(RADIANS('11_발전량_모델'!$B$17))*COS(RADIANS(E1143))*COS(RADIANS(F1143))</f>
        <v/>
      </c>
      <c r="I1143" s="80">
        <f>SIN(RADIANS('11_발전량_모델'!$B$17))*SIN(RADIANS(E1143))+COS(RADIANS('11_발전량_모델'!$B$17))*COS(RADIANS(E1143))*COS(RADIANS(F1143))</f>
        <v/>
      </c>
      <c r="J1143" s="80">
        <f>SIN(RADIANS('11_발전량_모델'!$B$7))*SIN(RADIANS('11_발전량_모델'!$B$8))</f>
        <v/>
      </c>
      <c r="K1143" s="80">
        <f>SIN(RADIANS('11_발전량_모델'!$B$7))*COS(RADIANS('11_발전량_모델'!$B$8))</f>
        <v/>
      </c>
      <c r="L1143" s="80">
        <f>COS(RADIANS('11_발전량_모델'!$B$7))</f>
        <v/>
      </c>
      <c r="M1143" s="80">
        <f>G1143*J1143+H1143*K1143+I1143*L1143</f>
        <v/>
      </c>
      <c r="N1143" s="80">
        <f>MAX(0,I1143)</f>
        <v/>
      </c>
      <c r="O1143" s="80">
        <f>IF(I1143&gt;0,MAX(0,M1143),0)</f>
        <v/>
      </c>
      <c r="P1143" s="80">
        <f>IF($I1143&gt;0,MAX(0,$G1143*SIN(RADIANS('13_시나리오비교'!$B$5))*SIN(RADIANS('13_시나리오비교'!$C$5))+$H1143*SIN(RADIANS('13_시나리오비교'!$B$5))*COS(RADIANS('13_시나리오비교'!$C$5))+$I1143*COS(RADIANS('13_시나리오비교'!$B$5))),0)</f>
        <v/>
      </c>
      <c r="Q1143" s="80">
        <f>IF($I1143&gt;0,MAX(0,$G1143*SIN(RADIANS('13_시나리오비교'!$B$6))*SIN(RADIANS('13_시나리오비교'!$C$6))+$H1143*SIN(RADIANS('13_시나리오비교'!$B$6))*COS(RADIANS('13_시나리오비교'!$C$6))+$I1143*COS(RADIANS('13_시나리오비교'!$B$6))),0)</f>
        <v/>
      </c>
      <c r="R1143" s="80">
        <f>IF($I1143&gt;0,MAX(0,$G1143*SIN(RADIANS('13_시나리오비교'!$B$7))*SIN(RADIANS('13_시나리오비교'!$C$7))+$H1143*SIN(RADIANS('13_시나리오비교'!$B$7))*COS(RADIANS('13_시나리오비교'!$C$7))+$I1143*COS(RADIANS('13_시나리오비교'!$B$7))),0)</f>
        <v/>
      </c>
      <c r="S1143" s="80">
        <f>IF($I1143&gt;0,MAX(0,$G1143*SIN(RADIANS('13_시나리오비교'!$B$8))*SIN(RADIANS('13_시나리오비교'!$C$8))+$H1143*SIN(RADIANS('13_시나리오비교'!$B$8))*COS(RADIANS('13_시나리오비교'!$C$8))+$I1143*COS(RADIANS('13_시나리오비교'!$B$8))),0)</f>
        <v/>
      </c>
      <c r="T1143" s="80">
        <f>IF($I1143&gt;0,MAX(0,$G1143*SIN(RADIANS('13_시나리오비교'!$B$9))*SIN(RADIANS('13_시나리오비교'!$C$9))+$H1143*SIN(RADIANS('13_시나리오비교'!$B$9))*COS(RADIANS('13_시나리오비교'!$C$9))+$I1143*COS(RADIANS('13_시나리오비교'!$B$9))),0)</f>
        <v/>
      </c>
      <c r="U1143" s="80">
        <f>IF($I1143&gt;0,MAX(0,$G1143*SIN(RADIANS('13_시나리오비교'!$B$10))*SIN(RADIANS('13_시나리오비교'!$C$10))+$H1143*SIN(RADIANS('13_시나리오비교'!$B$10))*COS(RADIANS('13_시나리오비교'!$C$10))+$I1143*COS(RADIANS('13_시나리오비교'!$B$10))),0)</f>
        <v/>
      </c>
      <c r="V1143" s="80">
        <f>IF($I1143&gt;0,MAX(0,$G1143*SIN(RADIANS('13_시나리오비교'!$B$11))*SIN(RADIANS('13_시나리오비교'!$C$11))+$H1143*SIN(RADIANS('13_시나리오비교'!$B$11))*COS(RADIANS('13_시나리오비교'!$C$11))+$I1143*COS(RADIANS('13_시나리오비교'!$B$11))),0)</f>
        <v/>
      </c>
      <c r="W1143" s="80">
        <f>IF($I1143&gt;0,MAX(0,$G1143*SIN(RADIANS('13_시나리오비교'!$B$12))*SIN(RADIANS('13_시나리오비교'!$C$12))+$H1143*SIN(RADIANS('13_시나리오비교'!$B$12))*COS(RADIANS('13_시나리오비교'!$C$12))+$I1143*COS(RADIANS('13_시나리오비교'!$B$12))),0)</f>
        <v/>
      </c>
      <c r="X1143" s="80">
        <f>IF($I1143&gt;0,MAX(0,$G1143*SIN(RADIANS('13_시나리오비교'!$B$13))*SIN(RADIANS('13_시나리오비교'!$C$13))+$H1143*SIN(RADIANS('13_시나리오비교'!$B$13))*COS(RADIANS('13_시나리오비교'!$C$13))+$I1143*COS(RADIANS('13_시나리오비교'!$B$13))),0)</f>
        <v/>
      </c>
      <c r="Y1143" s="80">
        <f>IF($I1143&gt;0,MAX(0,$G1143*SIN(RADIANS('13_시나리오비교'!$B$14))*SIN(RADIANS('13_시나리오비교'!$C$14))+$H1143*SIN(RADIANS('13_시나리오비교'!$B$14))*COS(RADIANS('13_시나리오비교'!$C$14))+$I1143*COS(RADIANS('13_시나리오비교'!$B$14))),0)</f>
        <v/>
      </c>
    </row>
    <row r="1144" hidden="1" outlineLevel="1">
      <c r="A1144" s="79" t="n">
        <v>12</v>
      </c>
      <c r="B1144" s="79" t="n">
        <v>68</v>
      </c>
      <c r="C1144" s="80">
        <f>(B1144-0.5)*'14_지역·상수'!$H$6</f>
        <v/>
      </c>
      <c r="D1144" s="79" t="n">
        <v>344</v>
      </c>
      <c r="E1144" s="80">
        <f>INDEX($C$4:$C$15,MATCH(A1144,$A$4:$A$15,0))</f>
        <v/>
      </c>
      <c r="F1144" s="80">
        <f>15*(C1144-12)</f>
        <v/>
      </c>
      <c r="G1144" s="80">
        <f>-COS(RADIANS(E1144))*SIN(RADIANS(F1144))</f>
        <v/>
      </c>
      <c r="H1144" s="80">
        <f>COS(RADIANS('11_발전량_모델'!$B$17))*SIN(RADIANS(E1144))-SIN(RADIANS('11_발전량_모델'!$B$17))*COS(RADIANS(E1144))*COS(RADIANS(F1144))</f>
        <v/>
      </c>
      <c r="I1144" s="80">
        <f>SIN(RADIANS('11_발전량_모델'!$B$17))*SIN(RADIANS(E1144))+COS(RADIANS('11_발전량_모델'!$B$17))*COS(RADIANS(E1144))*COS(RADIANS(F1144))</f>
        <v/>
      </c>
      <c r="J1144" s="80">
        <f>SIN(RADIANS('11_발전량_모델'!$B$7))*SIN(RADIANS('11_발전량_모델'!$B$8))</f>
        <v/>
      </c>
      <c r="K1144" s="80">
        <f>SIN(RADIANS('11_발전량_모델'!$B$7))*COS(RADIANS('11_발전량_모델'!$B$8))</f>
        <v/>
      </c>
      <c r="L1144" s="80">
        <f>COS(RADIANS('11_발전량_모델'!$B$7))</f>
        <v/>
      </c>
      <c r="M1144" s="80">
        <f>G1144*J1144+H1144*K1144+I1144*L1144</f>
        <v/>
      </c>
      <c r="N1144" s="80">
        <f>MAX(0,I1144)</f>
        <v/>
      </c>
      <c r="O1144" s="80">
        <f>IF(I1144&gt;0,MAX(0,M1144),0)</f>
        <v/>
      </c>
      <c r="P1144" s="80">
        <f>IF($I1144&gt;0,MAX(0,$G1144*SIN(RADIANS('13_시나리오비교'!$B$5))*SIN(RADIANS('13_시나리오비교'!$C$5))+$H1144*SIN(RADIANS('13_시나리오비교'!$B$5))*COS(RADIANS('13_시나리오비교'!$C$5))+$I1144*COS(RADIANS('13_시나리오비교'!$B$5))),0)</f>
        <v/>
      </c>
      <c r="Q1144" s="80">
        <f>IF($I1144&gt;0,MAX(0,$G1144*SIN(RADIANS('13_시나리오비교'!$B$6))*SIN(RADIANS('13_시나리오비교'!$C$6))+$H1144*SIN(RADIANS('13_시나리오비교'!$B$6))*COS(RADIANS('13_시나리오비교'!$C$6))+$I1144*COS(RADIANS('13_시나리오비교'!$B$6))),0)</f>
        <v/>
      </c>
      <c r="R1144" s="80">
        <f>IF($I1144&gt;0,MAX(0,$G1144*SIN(RADIANS('13_시나리오비교'!$B$7))*SIN(RADIANS('13_시나리오비교'!$C$7))+$H1144*SIN(RADIANS('13_시나리오비교'!$B$7))*COS(RADIANS('13_시나리오비교'!$C$7))+$I1144*COS(RADIANS('13_시나리오비교'!$B$7))),0)</f>
        <v/>
      </c>
      <c r="S1144" s="80">
        <f>IF($I1144&gt;0,MAX(0,$G1144*SIN(RADIANS('13_시나리오비교'!$B$8))*SIN(RADIANS('13_시나리오비교'!$C$8))+$H1144*SIN(RADIANS('13_시나리오비교'!$B$8))*COS(RADIANS('13_시나리오비교'!$C$8))+$I1144*COS(RADIANS('13_시나리오비교'!$B$8))),0)</f>
        <v/>
      </c>
      <c r="T1144" s="80">
        <f>IF($I1144&gt;0,MAX(0,$G1144*SIN(RADIANS('13_시나리오비교'!$B$9))*SIN(RADIANS('13_시나리오비교'!$C$9))+$H1144*SIN(RADIANS('13_시나리오비교'!$B$9))*COS(RADIANS('13_시나리오비교'!$C$9))+$I1144*COS(RADIANS('13_시나리오비교'!$B$9))),0)</f>
        <v/>
      </c>
      <c r="U1144" s="80">
        <f>IF($I1144&gt;0,MAX(0,$G1144*SIN(RADIANS('13_시나리오비교'!$B$10))*SIN(RADIANS('13_시나리오비교'!$C$10))+$H1144*SIN(RADIANS('13_시나리오비교'!$B$10))*COS(RADIANS('13_시나리오비교'!$C$10))+$I1144*COS(RADIANS('13_시나리오비교'!$B$10))),0)</f>
        <v/>
      </c>
      <c r="V1144" s="80">
        <f>IF($I1144&gt;0,MAX(0,$G1144*SIN(RADIANS('13_시나리오비교'!$B$11))*SIN(RADIANS('13_시나리오비교'!$C$11))+$H1144*SIN(RADIANS('13_시나리오비교'!$B$11))*COS(RADIANS('13_시나리오비교'!$C$11))+$I1144*COS(RADIANS('13_시나리오비교'!$B$11))),0)</f>
        <v/>
      </c>
      <c r="W1144" s="80">
        <f>IF($I1144&gt;0,MAX(0,$G1144*SIN(RADIANS('13_시나리오비교'!$B$12))*SIN(RADIANS('13_시나리오비교'!$C$12))+$H1144*SIN(RADIANS('13_시나리오비교'!$B$12))*COS(RADIANS('13_시나리오비교'!$C$12))+$I1144*COS(RADIANS('13_시나리오비교'!$B$12))),0)</f>
        <v/>
      </c>
      <c r="X1144" s="80">
        <f>IF($I1144&gt;0,MAX(0,$G1144*SIN(RADIANS('13_시나리오비교'!$B$13))*SIN(RADIANS('13_시나리오비교'!$C$13))+$H1144*SIN(RADIANS('13_시나리오비교'!$B$13))*COS(RADIANS('13_시나리오비교'!$C$13))+$I1144*COS(RADIANS('13_시나리오비교'!$B$13))),0)</f>
        <v/>
      </c>
      <c r="Y1144" s="80">
        <f>IF($I1144&gt;0,MAX(0,$G1144*SIN(RADIANS('13_시나리오비교'!$B$14))*SIN(RADIANS('13_시나리오비교'!$C$14))+$H1144*SIN(RADIANS('13_시나리오비교'!$B$14))*COS(RADIANS('13_시나리오비교'!$C$14))+$I1144*COS(RADIANS('13_시나리오비교'!$B$14))),0)</f>
        <v/>
      </c>
    </row>
    <row r="1145" hidden="1" outlineLevel="1">
      <c r="A1145" s="79" t="n">
        <v>12</v>
      </c>
      <c r="B1145" s="79" t="n">
        <v>69</v>
      </c>
      <c r="C1145" s="80">
        <f>(B1145-0.5)*'14_지역·상수'!$H$6</f>
        <v/>
      </c>
      <c r="D1145" s="79" t="n">
        <v>344</v>
      </c>
      <c r="E1145" s="80">
        <f>INDEX($C$4:$C$15,MATCH(A1145,$A$4:$A$15,0))</f>
        <v/>
      </c>
      <c r="F1145" s="80">
        <f>15*(C1145-12)</f>
        <v/>
      </c>
      <c r="G1145" s="80">
        <f>-COS(RADIANS(E1145))*SIN(RADIANS(F1145))</f>
        <v/>
      </c>
      <c r="H1145" s="80">
        <f>COS(RADIANS('11_발전량_모델'!$B$17))*SIN(RADIANS(E1145))-SIN(RADIANS('11_발전량_모델'!$B$17))*COS(RADIANS(E1145))*COS(RADIANS(F1145))</f>
        <v/>
      </c>
      <c r="I1145" s="80">
        <f>SIN(RADIANS('11_발전량_모델'!$B$17))*SIN(RADIANS(E1145))+COS(RADIANS('11_발전량_모델'!$B$17))*COS(RADIANS(E1145))*COS(RADIANS(F1145))</f>
        <v/>
      </c>
      <c r="J1145" s="80">
        <f>SIN(RADIANS('11_발전량_모델'!$B$7))*SIN(RADIANS('11_발전량_모델'!$B$8))</f>
        <v/>
      </c>
      <c r="K1145" s="80">
        <f>SIN(RADIANS('11_발전량_모델'!$B$7))*COS(RADIANS('11_발전량_모델'!$B$8))</f>
        <v/>
      </c>
      <c r="L1145" s="80">
        <f>COS(RADIANS('11_발전량_모델'!$B$7))</f>
        <v/>
      </c>
      <c r="M1145" s="80">
        <f>G1145*J1145+H1145*K1145+I1145*L1145</f>
        <v/>
      </c>
      <c r="N1145" s="80">
        <f>MAX(0,I1145)</f>
        <v/>
      </c>
      <c r="O1145" s="80">
        <f>IF(I1145&gt;0,MAX(0,M1145),0)</f>
        <v/>
      </c>
      <c r="P1145" s="80">
        <f>IF($I1145&gt;0,MAX(0,$G1145*SIN(RADIANS('13_시나리오비교'!$B$5))*SIN(RADIANS('13_시나리오비교'!$C$5))+$H1145*SIN(RADIANS('13_시나리오비교'!$B$5))*COS(RADIANS('13_시나리오비교'!$C$5))+$I1145*COS(RADIANS('13_시나리오비교'!$B$5))),0)</f>
        <v/>
      </c>
      <c r="Q1145" s="80">
        <f>IF($I1145&gt;0,MAX(0,$G1145*SIN(RADIANS('13_시나리오비교'!$B$6))*SIN(RADIANS('13_시나리오비교'!$C$6))+$H1145*SIN(RADIANS('13_시나리오비교'!$B$6))*COS(RADIANS('13_시나리오비교'!$C$6))+$I1145*COS(RADIANS('13_시나리오비교'!$B$6))),0)</f>
        <v/>
      </c>
      <c r="R1145" s="80">
        <f>IF($I1145&gt;0,MAX(0,$G1145*SIN(RADIANS('13_시나리오비교'!$B$7))*SIN(RADIANS('13_시나리오비교'!$C$7))+$H1145*SIN(RADIANS('13_시나리오비교'!$B$7))*COS(RADIANS('13_시나리오비교'!$C$7))+$I1145*COS(RADIANS('13_시나리오비교'!$B$7))),0)</f>
        <v/>
      </c>
      <c r="S1145" s="80">
        <f>IF($I1145&gt;0,MAX(0,$G1145*SIN(RADIANS('13_시나리오비교'!$B$8))*SIN(RADIANS('13_시나리오비교'!$C$8))+$H1145*SIN(RADIANS('13_시나리오비교'!$B$8))*COS(RADIANS('13_시나리오비교'!$C$8))+$I1145*COS(RADIANS('13_시나리오비교'!$B$8))),0)</f>
        <v/>
      </c>
      <c r="T1145" s="80">
        <f>IF($I1145&gt;0,MAX(0,$G1145*SIN(RADIANS('13_시나리오비교'!$B$9))*SIN(RADIANS('13_시나리오비교'!$C$9))+$H1145*SIN(RADIANS('13_시나리오비교'!$B$9))*COS(RADIANS('13_시나리오비교'!$C$9))+$I1145*COS(RADIANS('13_시나리오비교'!$B$9))),0)</f>
        <v/>
      </c>
      <c r="U1145" s="80">
        <f>IF($I1145&gt;0,MAX(0,$G1145*SIN(RADIANS('13_시나리오비교'!$B$10))*SIN(RADIANS('13_시나리오비교'!$C$10))+$H1145*SIN(RADIANS('13_시나리오비교'!$B$10))*COS(RADIANS('13_시나리오비교'!$C$10))+$I1145*COS(RADIANS('13_시나리오비교'!$B$10))),0)</f>
        <v/>
      </c>
      <c r="V1145" s="80">
        <f>IF($I1145&gt;0,MAX(0,$G1145*SIN(RADIANS('13_시나리오비교'!$B$11))*SIN(RADIANS('13_시나리오비교'!$C$11))+$H1145*SIN(RADIANS('13_시나리오비교'!$B$11))*COS(RADIANS('13_시나리오비교'!$C$11))+$I1145*COS(RADIANS('13_시나리오비교'!$B$11))),0)</f>
        <v/>
      </c>
      <c r="W1145" s="80">
        <f>IF($I1145&gt;0,MAX(0,$G1145*SIN(RADIANS('13_시나리오비교'!$B$12))*SIN(RADIANS('13_시나리오비교'!$C$12))+$H1145*SIN(RADIANS('13_시나리오비교'!$B$12))*COS(RADIANS('13_시나리오비교'!$C$12))+$I1145*COS(RADIANS('13_시나리오비교'!$B$12))),0)</f>
        <v/>
      </c>
      <c r="X1145" s="80">
        <f>IF($I1145&gt;0,MAX(0,$G1145*SIN(RADIANS('13_시나리오비교'!$B$13))*SIN(RADIANS('13_시나리오비교'!$C$13))+$H1145*SIN(RADIANS('13_시나리오비교'!$B$13))*COS(RADIANS('13_시나리오비교'!$C$13))+$I1145*COS(RADIANS('13_시나리오비교'!$B$13))),0)</f>
        <v/>
      </c>
      <c r="Y1145" s="80">
        <f>IF($I1145&gt;0,MAX(0,$G1145*SIN(RADIANS('13_시나리오비교'!$B$14))*SIN(RADIANS('13_시나리오비교'!$C$14))+$H1145*SIN(RADIANS('13_시나리오비교'!$B$14))*COS(RADIANS('13_시나리오비교'!$C$14))+$I1145*COS(RADIANS('13_시나리오비교'!$B$14))),0)</f>
        <v/>
      </c>
    </row>
    <row r="1146" hidden="1" outlineLevel="1">
      <c r="A1146" s="79" t="n">
        <v>12</v>
      </c>
      <c r="B1146" s="79" t="n">
        <v>70</v>
      </c>
      <c r="C1146" s="80">
        <f>(B1146-0.5)*'14_지역·상수'!$H$6</f>
        <v/>
      </c>
      <c r="D1146" s="79" t="n">
        <v>344</v>
      </c>
      <c r="E1146" s="80">
        <f>INDEX($C$4:$C$15,MATCH(A1146,$A$4:$A$15,0))</f>
        <v/>
      </c>
      <c r="F1146" s="80">
        <f>15*(C1146-12)</f>
        <v/>
      </c>
      <c r="G1146" s="80">
        <f>-COS(RADIANS(E1146))*SIN(RADIANS(F1146))</f>
        <v/>
      </c>
      <c r="H1146" s="80">
        <f>COS(RADIANS('11_발전량_모델'!$B$17))*SIN(RADIANS(E1146))-SIN(RADIANS('11_발전량_모델'!$B$17))*COS(RADIANS(E1146))*COS(RADIANS(F1146))</f>
        <v/>
      </c>
      <c r="I1146" s="80">
        <f>SIN(RADIANS('11_발전량_모델'!$B$17))*SIN(RADIANS(E1146))+COS(RADIANS('11_발전량_모델'!$B$17))*COS(RADIANS(E1146))*COS(RADIANS(F1146))</f>
        <v/>
      </c>
      <c r="J1146" s="80">
        <f>SIN(RADIANS('11_발전량_모델'!$B$7))*SIN(RADIANS('11_발전량_모델'!$B$8))</f>
        <v/>
      </c>
      <c r="K1146" s="80">
        <f>SIN(RADIANS('11_발전량_모델'!$B$7))*COS(RADIANS('11_발전량_모델'!$B$8))</f>
        <v/>
      </c>
      <c r="L1146" s="80">
        <f>COS(RADIANS('11_발전량_모델'!$B$7))</f>
        <v/>
      </c>
      <c r="M1146" s="80">
        <f>G1146*J1146+H1146*K1146+I1146*L1146</f>
        <v/>
      </c>
      <c r="N1146" s="80">
        <f>MAX(0,I1146)</f>
        <v/>
      </c>
      <c r="O1146" s="80">
        <f>IF(I1146&gt;0,MAX(0,M1146),0)</f>
        <v/>
      </c>
      <c r="P1146" s="80">
        <f>IF($I1146&gt;0,MAX(0,$G1146*SIN(RADIANS('13_시나리오비교'!$B$5))*SIN(RADIANS('13_시나리오비교'!$C$5))+$H1146*SIN(RADIANS('13_시나리오비교'!$B$5))*COS(RADIANS('13_시나리오비교'!$C$5))+$I1146*COS(RADIANS('13_시나리오비교'!$B$5))),0)</f>
        <v/>
      </c>
      <c r="Q1146" s="80">
        <f>IF($I1146&gt;0,MAX(0,$G1146*SIN(RADIANS('13_시나리오비교'!$B$6))*SIN(RADIANS('13_시나리오비교'!$C$6))+$H1146*SIN(RADIANS('13_시나리오비교'!$B$6))*COS(RADIANS('13_시나리오비교'!$C$6))+$I1146*COS(RADIANS('13_시나리오비교'!$B$6))),0)</f>
        <v/>
      </c>
      <c r="R1146" s="80">
        <f>IF($I1146&gt;0,MAX(0,$G1146*SIN(RADIANS('13_시나리오비교'!$B$7))*SIN(RADIANS('13_시나리오비교'!$C$7))+$H1146*SIN(RADIANS('13_시나리오비교'!$B$7))*COS(RADIANS('13_시나리오비교'!$C$7))+$I1146*COS(RADIANS('13_시나리오비교'!$B$7))),0)</f>
        <v/>
      </c>
      <c r="S1146" s="80">
        <f>IF($I1146&gt;0,MAX(0,$G1146*SIN(RADIANS('13_시나리오비교'!$B$8))*SIN(RADIANS('13_시나리오비교'!$C$8))+$H1146*SIN(RADIANS('13_시나리오비교'!$B$8))*COS(RADIANS('13_시나리오비교'!$C$8))+$I1146*COS(RADIANS('13_시나리오비교'!$B$8))),0)</f>
        <v/>
      </c>
      <c r="T1146" s="80">
        <f>IF($I1146&gt;0,MAX(0,$G1146*SIN(RADIANS('13_시나리오비교'!$B$9))*SIN(RADIANS('13_시나리오비교'!$C$9))+$H1146*SIN(RADIANS('13_시나리오비교'!$B$9))*COS(RADIANS('13_시나리오비교'!$C$9))+$I1146*COS(RADIANS('13_시나리오비교'!$B$9))),0)</f>
        <v/>
      </c>
      <c r="U1146" s="80">
        <f>IF($I1146&gt;0,MAX(0,$G1146*SIN(RADIANS('13_시나리오비교'!$B$10))*SIN(RADIANS('13_시나리오비교'!$C$10))+$H1146*SIN(RADIANS('13_시나리오비교'!$B$10))*COS(RADIANS('13_시나리오비교'!$C$10))+$I1146*COS(RADIANS('13_시나리오비교'!$B$10))),0)</f>
        <v/>
      </c>
      <c r="V1146" s="80">
        <f>IF($I1146&gt;0,MAX(0,$G1146*SIN(RADIANS('13_시나리오비교'!$B$11))*SIN(RADIANS('13_시나리오비교'!$C$11))+$H1146*SIN(RADIANS('13_시나리오비교'!$B$11))*COS(RADIANS('13_시나리오비교'!$C$11))+$I1146*COS(RADIANS('13_시나리오비교'!$B$11))),0)</f>
        <v/>
      </c>
      <c r="W1146" s="80">
        <f>IF($I1146&gt;0,MAX(0,$G1146*SIN(RADIANS('13_시나리오비교'!$B$12))*SIN(RADIANS('13_시나리오비교'!$C$12))+$H1146*SIN(RADIANS('13_시나리오비교'!$B$12))*COS(RADIANS('13_시나리오비교'!$C$12))+$I1146*COS(RADIANS('13_시나리오비교'!$B$12))),0)</f>
        <v/>
      </c>
      <c r="X1146" s="80">
        <f>IF($I1146&gt;0,MAX(0,$G1146*SIN(RADIANS('13_시나리오비교'!$B$13))*SIN(RADIANS('13_시나리오비교'!$C$13))+$H1146*SIN(RADIANS('13_시나리오비교'!$B$13))*COS(RADIANS('13_시나리오비교'!$C$13))+$I1146*COS(RADIANS('13_시나리오비교'!$B$13))),0)</f>
        <v/>
      </c>
      <c r="Y1146" s="80">
        <f>IF($I1146&gt;0,MAX(0,$G1146*SIN(RADIANS('13_시나리오비교'!$B$14))*SIN(RADIANS('13_시나리오비교'!$C$14))+$H1146*SIN(RADIANS('13_시나리오비교'!$B$14))*COS(RADIANS('13_시나리오비교'!$C$14))+$I1146*COS(RADIANS('13_시나리오비교'!$B$14))),0)</f>
        <v/>
      </c>
    </row>
    <row r="1147" hidden="1" outlineLevel="1">
      <c r="A1147" s="79" t="n">
        <v>12</v>
      </c>
      <c r="B1147" s="79" t="n">
        <v>71</v>
      </c>
      <c r="C1147" s="80">
        <f>(B1147-0.5)*'14_지역·상수'!$H$6</f>
        <v/>
      </c>
      <c r="D1147" s="79" t="n">
        <v>344</v>
      </c>
      <c r="E1147" s="80">
        <f>INDEX($C$4:$C$15,MATCH(A1147,$A$4:$A$15,0))</f>
        <v/>
      </c>
      <c r="F1147" s="80">
        <f>15*(C1147-12)</f>
        <v/>
      </c>
      <c r="G1147" s="80">
        <f>-COS(RADIANS(E1147))*SIN(RADIANS(F1147))</f>
        <v/>
      </c>
      <c r="H1147" s="80">
        <f>COS(RADIANS('11_발전량_모델'!$B$17))*SIN(RADIANS(E1147))-SIN(RADIANS('11_발전량_모델'!$B$17))*COS(RADIANS(E1147))*COS(RADIANS(F1147))</f>
        <v/>
      </c>
      <c r="I1147" s="80">
        <f>SIN(RADIANS('11_발전량_모델'!$B$17))*SIN(RADIANS(E1147))+COS(RADIANS('11_발전량_모델'!$B$17))*COS(RADIANS(E1147))*COS(RADIANS(F1147))</f>
        <v/>
      </c>
      <c r="J1147" s="80">
        <f>SIN(RADIANS('11_발전량_모델'!$B$7))*SIN(RADIANS('11_발전량_모델'!$B$8))</f>
        <v/>
      </c>
      <c r="K1147" s="80">
        <f>SIN(RADIANS('11_발전량_모델'!$B$7))*COS(RADIANS('11_발전량_모델'!$B$8))</f>
        <v/>
      </c>
      <c r="L1147" s="80">
        <f>COS(RADIANS('11_발전량_모델'!$B$7))</f>
        <v/>
      </c>
      <c r="M1147" s="80">
        <f>G1147*J1147+H1147*K1147+I1147*L1147</f>
        <v/>
      </c>
      <c r="N1147" s="80">
        <f>MAX(0,I1147)</f>
        <v/>
      </c>
      <c r="O1147" s="80">
        <f>IF(I1147&gt;0,MAX(0,M1147),0)</f>
        <v/>
      </c>
      <c r="P1147" s="80">
        <f>IF($I1147&gt;0,MAX(0,$G1147*SIN(RADIANS('13_시나리오비교'!$B$5))*SIN(RADIANS('13_시나리오비교'!$C$5))+$H1147*SIN(RADIANS('13_시나리오비교'!$B$5))*COS(RADIANS('13_시나리오비교'!$C$5))+$I1147*COS(RADIANS('13_시나리오비교'!$B$5))),0)</f>
        <v/>
      </c>
      <c r="Q1147" s="80">
        <f>IF($I1147&gt;0,MAX(0,$G1147*SIN(RADIANS('13_시나리오비교'!$B$6))*SIN(RADIANS('13_시나리오비교'!$C$6))+$H1147*SIN(RADIANS('13_시나리오비교'!$B$6))*COS(RADIANS('13_시나리오비교'!$C$6))+$I1147*COS(RADIANS('13_시나리오비교'!$B$6))),0)</f>
        <v/>
      </c>
      <c r="R1147" s="80">
        <f>IF($I1147&gt;0,MAX(0,$G1147*SIN(RADIANS('13_시나리오비교'!$B$7))*SIN(RADIANS('13_시나리오비교'!$C$7))+$H1147*SIN(RADIANS('13_시나리오비교'!$B$7))*COS(RADIANS('13_시나리오비교'!$C$7))+$I1147*COS(RADIANS('13_시나리오비교'!$B$7))),0)</f>
        <v/>
      </c>
      <c r="S1147" s="80">
        <f>IF($I1147&gt;0,MAX(0,$G1147*SIN(RADIANS('13_시나리오비교'!$B$8))*SIN(RADIANS('13_시나리오비교'!$C$8))+$H1147*SIN(RADIANS('13_시나리오비교'!$B$8))*COS(RADIANS('13_시나리오비교'!$C$8))+$I1147*COS(RADIANS('13_시나리오비교'!$B$8))),0)</f>
        <v/>
      </c>
      <c r="T1147" s="80">
        <f>IF($I1147&gt;0,MAX(0,$G1147*SIN(RADIANS('13_시나리오비교'!$B$9))*SIN(RADIANS('13_시나리오비교'!$C$9))+$H1147*SIN(RADIANS('13_시나리오비교'!$B$9))*COS(RADIANS('13_시나리오비교'!$C$9))+$I1147*COS(RADIANS('13_시나리오비교'!$B$9))),0)</f>
        <v/>
      </c>
      <c r="U1147" s="80">
        <f>IF($I1147&gt;0,MAX(0,$G1147*SIN(RADIANS('13_시나리오비교'!$B$10))*SIN(RADIANS('13_시나리오비교'!$C$10))+$H1147*SIN(RADIANS('13_시나리오비교'!$B$10))*COS(RADIANS('13_시나리오비교'!$C$10))+$I1147*COS(RADIANS('13_시나리오비교'!$B$10))),0)</f>
        <v/>
      </c>
      <c r="V1147" s="80">
        <f>IF($I1147&gt;0,MAX(0,$G1147*SIN(RADIANS('13_시나리오비교'!$B$11))*SIN(RADIANS('13_시나리오비교'!$C$11))+$H1147*SIN(RADIANS('13_시나리오비교'!$B$11))*COS(RADIANS('13_시나리오비교'!$C$11))+$I1147*COS(RADIANS('13_시나리오비교'!$B$11))),0)</f>
        <v/>
      </c>
      <c r="W1147" s="80">
        <f>IF($I1147&gt;0,MAX(0,$G1147*SIN(RADIANS('13_시나리오비교'!$B$12))*SIN(RADIANS('13_시나리오비교'!$C$12))+$H1147*SIN(RADIANS('13_시나리오비교'!$B$12))*COS(RADIANS('13_시나리오비교'!$C$12))+$I1147*COS(RADIANS('13_시나리오비교'!$B$12))),0)</f>
        <v/>
      </c>
      <c r="X1147" s="80">
        <f>IF($I1147&gt;0,MAX(0,$G1147*SIN(RADIANS('13_시나리오비교'!$B$13))*SIN(RADIANS('13_시나리오비교'!$C$13))+$H1147*SIN(RADIANS('13_시나리오비교'!$B$13))*COS(RADIANS('13_시나리오비교'!$C$13))+$I1147*COS(RADIANS('13_시나리오비교'!$B$13))),0)</f>
        <v/>
      </c>
      <c r="Y1147" s="80">
        <f>IF($I1147&gt;0,MAX(0,$G1147*SIN(RADIANS('13_시나리오비교'!$B$14))*SIN(RADIANS('13_시나리오비교'!$C$14))+$H1147*SIN(RADIANS('13_시나리오비교'!$B$14))*COS(RADIANS('13_시나리오비교'!$C$14))+$I1147*COS(RADIANS('13_시나리오비교'!$B$14))),0)</f>
        <v/>
      </c>
    </row>
    <row r="1148" hidden="1" outlineLevel="1">
      <c r="A1148" s="79" t="n">
        <v>12</v>
      </c>
      <c r="B1148" s="79" t="n">
        <v>72</v>
      </c>
      <c r="C1148" s="80">
        <f>(B1148-0.5)*'14_지역·상수'!$H$6</f>
        <v/>
      </c>
      <c r="D1148" s="79" t="n">
        <v>344</v>
      </c>
      <c r="E1148" s="80">
        <f>INDEX($C$4:$C$15,MATCH(A1148,$A$4:$A$15,0))</f>
        <v/>
      </c>
      <c r="F1148" s="80">
        <f>15*(C1148-12)</f>
        <v/>
      </c>
      <c r="G1148" s="80">
        <f>-COS(RADIANS(E1148))*SIN(RADIANS(F1148))</f>
        <v/>
      </c>
      <c r="H1148" s="80">
        <f>COS(RADIANS('11_발전량_모델'!$B$17))*SIN(RADIANS(E1148))-SIN(RADIANS('11_발전량_모델'!$B$17))*COS(RADIANS(E1148))*COS(RADIANS(F1148))</f>
        <v/>
      </c>
      <c r="I1148" s="80">
        <f>SIN(RADIANS('11_발전량_모델'!$B$17))*SIN(RADIANS(E1148))+COS(RADIANS('11_발전량_모델'!$B$17))*COS(RADIANS(E1148))*COS(RADIANS(F1148))</f>
        <v/>
      </c>
      <c r="J1148" s="80">
        <f>SIN(RADIANS('11_발전량_모델'!$B$7))*SIN(RADIANS('11_발전량_모델'!$B$8))</f>
        <v/>
      </c>
      <c r="K1148" s="80">
        <f>SIN(RADIANS('11_발전량_모델'!$B$7))*COS(RADIANS('11_발전량_모델'!$B$8))</f>
        <v/>
      </c>
      <c r="L1148" s="80">
        <f>COS(RADIANS('11_발전량_모델'!$B$7))</f>
        <v/>
      </c>
      <c r="M1148" s="80">
        <f>G1148*J1148+H1148*K1148+I1148*L1148</f>
        <v/>
      </c>
      <c r="N1148" s="80">
        <f>MAX(0,I1148)</f>
        <v/>
      </c>
      <c r="O1148" s="80">
        <f>IF(I1148&gt;0,MAX(0,M1148),0)</f>
        <v/>
      </c>
      <c r="P1148" s="80">
        <f>IF($I1148&gt;0,MAX(0,$G1148*SIN(RADIANS('13_시나리오비교'!$B$5))*SIN(RADIANS('13_시나리오비교'!$C$5))+$H1148*SIN(RADIANS('13_시나리오비교'!$B$5))*COS(RADIANS('13_시나리오비교'!$C$5))+$I1148*COS(RADIANS('13_시나리오비교'!$B$5))),0)</f>
        <v/>
      </c>
      <c r="Q1148" s="80">
        <f>IF($I1148&gt;0,MAX(0,$G1148*SIN(RADIANS('13_시나리오비교'!$B$6))*SIN(RADIANS('13_시나리오비교'!$C$6))+$H1148*SIN(RADIANS('13_시나리오비교'!$B$6))*COS(RADIANS('13_시나리오비교'!$C$6))+$I1148*COS(RADIANS('13_시나리오비교'!$B$6))),0)</f>
        <v/>
      </c>
      <c r="R1148" s="80">
        <f>IF($I1148&gt;0,MAX(0,$G1148*SIN(RADIANS('13_시나리오비교'!$B$7))*SIN(RADIANS('13_시나리오비교'!$C$7))+$H1148*SIN(RADIANS('13_시나리오비교'!$B$7))*COS(RADIANS('13_시나리오비교'!$C$7))+$I1148*COS(RADIANS('13_시나리오비교'!$B$7))),0)</f>
        <v/>
      </c>
      <c r="S1148" s="80">
        <f>IF($I1148&gt;0,MAX(0,$G1148*SIN(RADIANS('13_시나리오비교'!$B$8))*SIN(RADIANS('13_시나리오비교'!$C$8))+$H1148*SIN(RADIANS('13_시나리오비교'!$B$8))*COS(RADIANS('13_시나리오비교'!$C$8))+$I1148*COS(RADIANS('13_시나리오비교'!$B$8))),0)</f>
        <v/>
      </c>
      <c r="T1148" s="80">
        <f>IF($I1148&gt;0,MAX(0,$G1148*SIN(RADIANS('13_시나리오비교'!$B$9))*SIN(RADIANS('13_시나리오비교'!$C$9))+$H1148*SIN(RADIANS('13_시나리오비교'!$B$9))*COS(RADIANS('13_시나리오비교'!$C$9))+$I1148*COS(RADIANS('13_시나리오비교'!$B$9))),0)</f>
        <v/>
      </c>
      <c r="U1148" s="80">
        <f>IF($I1148&gt;0,MAX(0,$G1148*SIN(RADIANS('13_시나리오비교'!$B$10))*SIN(RADIANS('13_시나리오비교'!$C$10))+$H1148*SIN(RADIANS('13_시나리오비교'!$B$10))*COS(RADIANS('13_시나리오비교'!$C$10))+$I1148*COS(RADIANS('13_시나리오비교'!$B$10))),0)</f>
        <v/>
      </c>
      <c r="V1148" s="80">
        <f>IF($I1148&gt;0,MAX(0,$G1148*SIN(RADIANS('13_시나리오비교'!$B$11))*SIN(RADIANS('13_시나리오비교'!$C$11))+$H1148*SIN(RADIANS('13_시나리오비교'!$B$11))*COS(RADIANS('13_시나리오비교'!$C$11))+$I1148*COS(RADIANS('13_시나리오비교'!$B$11))),0)</f>
        <v/>
      </c>
      <c r="W1148" s="80">
        <f>IF($I1148&gt;0,MAX(0,$G1148*SIN(RADIANS('13_시나리오비교'!$B$12))*SIN(RADIANS('13_시나리오비교'!$C$12))+$H1148*SIN(RADIANS('13_시나리오비교'!$B$12))*COS(RADIANS('13_시나리오비교'!$C$12))+$I1148*COS(RADIANS('13_시나리오비교'!$B$12))),0)</f>
        <v/>
      </c>
      <c r="X1148" s="80">
        <f>IF($I1148&gt;0,MAX(0,$G1148*SIN(RADIANS('13_시나리오비교'!$B$13))*SIN(RADIANS('13_시나리오비교'!$C$13))+$H1148*SIN(RADIANS('13_시나리오비교'!$B$13))*COS(RADIANS('13_시나리오비교'!$C$13))+$I1148*COS(RADIANS('13_시나리오비교'!$B$13))),0)</f>
        <v/>
      </c>
      <c r="Y1148" s="80">
        <f>IF($I1148&gt;0,MAX(0,$G1148*SIN(RADIANS('13_시나리오비교'!$B$14))*SIN(RADIANS('13_시나리오비교'!$C$14))+$H1148*SIN(RADIANS('13_시나리오비교'!$B$14))*COS(RADIANS('13_시나리오비교'!$C$14))+$I1148*COS(RADIANS('13_시나리오비교'!$B$14))),0)</f>
        <v/>
      </c>
    </row>
    <row r="1149" hidden="1" outlineLevel="1">
      <c r="A1149" s="79" t="n">
        <v>12</v>
      </c>
      <c r="B1149" s="79" t="n">
        <v>73</v>
      </c>
      <c r="C1149" s="80">
        <f>(B1149-0.5)*'14_지역·상수'!$H$6</f>
        <v/>
      </c>
      <c r="D1149" s="79" t="n">
        <v>344</v>
      </c>
      <c r="E1149" s="80">
        <f>INDEX($C$4:$C$15,MATCH(A1149,$A$4:$A$15,0))</f>
        <v/>
      </c>
      <c r="F1149" s="80">
        <f>15*(C1149-12)</f>
        <v/>
      </c>
      <c r="G1149" s="80">
        <f>-COS(RADIANS(E1149))*SIN(RADIANS(F1149))</f>
        <v/>
      </c>
      <c r="H1149" s="80">
        <f>COS(RADIANS('11_발전량_모델'!$B$17))*SIN(RADIANS(E1149))-SIN(RADIANS('11_발전량_모델'!$B$17))*COS(RADIANS(E1149))*COS(RADIANS(F1149))</f>
        <v/>
      </c>
      <c r="I1149" s="80">
        <f>SIN(RADIANS('11_발전량_모델'!$B$17))*SIN(RADIANS(E1149))+COS(RADIANS('11_발전량_모델'!$B$17))*COS(RADIANS(E1149))*COS(RADIANS(F1149))</f>
        <v/>
      </c>
      <c r="J1149" s="80">
        <f>SIN(RADIANS('11_발전량_모델'!$B$7))*SIN(RADIANS('11_발전량_모델'!$B$8))</f>
        <v/>
      </c>
      <c r="K1149" s="80">
        <f>SIN(RADIANS('11_발전량_모델'!$B$7))*COS(RADIANS('11_발전량_모델'!$B$8))</f>
        <v/>
      </c>
      <c r="L1149" s="80">
        <f>COS(RADIANS('11_발전량_모델'!$B$7))</f>
        <v/>
      </c>
      <c r="M1149" s="80">
        <f>G1149*J1149+H1149*K1149+I1149*L1149</f>
        <v/>
      </c>
      <c r="N1149" s="80">
        <f>MAX(0,I1149)</f>
        <v/>
      </c>
      <c r="O1149" s="80">
        <f>IF(I1149&gt;0,MAX(0,M1149),0)</f>
        <v/>
      </c>
      <c r="P1149" s="80">
        <f>IF($I1149&gt;0,MAX(0,$G1149*SIN(RADIANS('13_시나리오비교'!$B$5))*SIN(RADIANS('13_시나리오비교'!$C$5))+$H1149*SIN(RADIANS('13_시나리오비교'!$B$5))*COS(RADIANS('13_시나리오비교'!$C$5))+$I1149*COS(RADIANS('13_시나리오비교'!$B$5))),0)</f>
        <v/>
      </c>
      <c r="Q1149" s="80">
        <f>IF($I1149&gt;0,MAX(0,$G1149*SIN(RADIANS('13_시나리오비교'!$B$6))*SIN(RADIANS('13_시나리오비교'!$C$6))+$H1149*SIN(RADIANS('13_시나리오비교'!$B$6))*COS(RADIANS('13_시나리오비교'!$C$6))+$I1149*COS(RADIANS('13_시나리오비교'!$B$6))),0)</f>
        <v/>
      </c>
      <c r="R1149" s="80">
        <f>IF($I1149&gt;0,MAX(0,$G1149*SIN(RADIANS('13_시나리오비교'!$B$7))*SIN(RADIANS('13_시나리오비교'!$C$7))+$H1149*SIN(RADIANS('13_시나리오비교'!$B$7))*COS(RADIANS('13_시나리오비교'!$C$7))+$I1149*COS(RADIANS('13_시나리오비교'!$B$7))),0)</f>
        <v/>
      </c>
      <c r="S1149" s="80">
        <f>IF($I1149&gt;0,MAX(0,$G1149*SIN(RADIANS('13_시나리오비교'!$B$8))*SIN(RADIANS('13_시나리오비교'!$C$8))+$H1149*SIN(RADIANS('13_시나리오비교'!$B$8))*COS(RADIANS('13_시나리오비교'!$C$8))+$I1149*COS(RADIANS('13_시나리오비교'!$B$8))),0)</f>
        <v/>
      </c>
      <c r="T1149" s="80">
        <f>IF($I1149&gt;0,MAX(0,$G1149*SIN(RADIANS('13_시나리오비교'!$B$9))*SIN(RADIANS('13_시나리오비교'!$C$9))+$H1149*SIN(RADIANS('13_시나리오비교'!$B$9))*COS(RADIANS('13_시나리오비교'!$C$9))+$I1149*COS(RADIANS('13_시나리오비교'!$B$9))),0)</f>
        <v/>
      </c>
      <c r="U1149" s="80">
        <f>IF($I1149&gt;0,MAX(0,$G1149*SIN(RADIANS('13_시나리오비교'!$B$10))*SIN(RADIANS('13_시나리오비교'!$C$10))+$H1149*SIN(RADIANS('13_시나리오비교'!$B$10))*COS(RADIANS('13_시나리오비교'!$C$10))+$I1149*COS(RADIANS('13_시나리오비교'!$B$10))),0)</f>
        <v/>
      </c>
      <c r="V1149" s="80">
        <f>IF($I1149&gt;0,MAX(0,$G1149*SIN(RADIANS('13_시나리오비교'!$B$11))*SIN(RADIANS('13_시나리오비교'!$C$11))+$H1149*SIN(RADIANS('13_시나리오비교'!$B$11))*COS(RADIANS('13_시나리오비교'!$C$11))+$I1149*COS(RADIANS('13_시나리오비교'!$B$11))),0)</f>
        <v/>
      </c>
      <c r="W1149" s="80">
        <f>IF($I1149&gt;0,MAX(0,$G1149*SIN(RADIANS('13_시나리오비교'!$B$12))*SIN(RADIANS('13_시나리오비교'!$C$12))+$H1149*SIN(RADIANS('13_시나리오비교'!$B$12))*COS(RADIANS('13_시나리오비교'!$C$12))+$I1149*COS(RADIANS('13_시나리오비교'!$B$12))),0)</f>
        <v/>
      </c>
      <c r="X1149" s="80">
        <f>IF($I1149&gt;0,MAX(0,$G1149*SIN(RADIANS('13_시나리오비교'!$B$13))*SIN(RADIANS('13_시나리오비교'!$C$13))+$H1149*SIN(RADIANS('13_시나리오비교'!$B$13))*COS(RADIANS('13_시나리오비교'!$C$13))+$I1149*COS(RADIANS('13_시나리오비교'!$B$13))),0)</f>
        <v/>
      </c>
      <c r="Y1149" s="80">
        <f>IF($I1149&gt;0,MAX(0,$G1149*SIN(RADIANS('13_시나리오비교'!$B$14))*SIN(RADIANS('13_시나리오비교'!$C$14))+$H1149*SIN(RADIANS('13_시나리오비교'!$B$14))*COS(RADIANS('13_시나리오비교'!$C$14))+$I1149*COS(RADIANS('13_시나리오비교'!$B$14))),0)</f>
        <v/>
      </c>
    </row>
    <row r="1150" hidden="1" outlineLevel="1">
      <c r="A1150" s="79" t="n">
        <v>12</v>
      </c>
      <c r="B1150" s="79" t="n">
        <v>74</v>
      </c>
      <c r="C1150" s="80">
        <f>(B1150-0.5)*'14_지역·상수'!$H$6</f>
        <v/>
      </c>
      <c r="D1150" s="79" t="n">
        <v>344</v>
      </c>
      <c r="E1150" s="80">
        <f>INDEX($C$4:$C$15,MATCH(A1150,$A$4:$A$15,0))</f>
        <v/>
      </c>
      <c r="F1150" s="80">
        <f>15*(C1150-12)</f>
        <v/>
      </c>
      <c r="G1150" s="80">
        <f>-COS(RADIANS(E1150))*SIN(RADIANS(F1150))</f>
        <v/>
      </c>
      <c r="H1150" s="80">
        <f>COS(RADIANS('11_발전량_모델'!$B$17))*SIN(RADIANS(E1150))-SIN(RADIANS('11_발전량_모델'!$B$17))*COS(RADIANS(E1150))*COS(RADIANS(F1150))</f>
        <v/>
      </c>
      <c r="I1150" s="80">
        <f>SIN(RADIANS('11_발전량_모델'!$B$17))*SIN(RADIANS(E1150))+COS(RADIANS('11_발전량_모델'!$B$17))*COS(RADIANS(E1150))*COS(RADIANS(F1150))</f>
        <v/>
      </c>
      <c r="J1150" s="80">
        <f>SIN(RADIANS('11_발전량_모델'!$B$7))*SIN(RADIANS('11_발전량_모델'!$B$8))</f>
        <v/>
      </c>
      <c r="K1150" s="80">
        <f>SIN(RADIANS('11_발전량_모델'!$B$7))*COS(RADIANS('11_발전량_모델'!$B$8))</f>
        <v/>
      </c>
      <c r="L1150" s="80">
        <f>COS(RADIANS('11_발전량_모델'!$B$7))</f>
        <v/>
      </c>
      <c r="M1150" s="80">
        <f>G1150*J1150+H1150*K1150+I1150*L1150</f>
        <v/>
      </c>
      <c r="N1150" s="80">
        <f>MAX(0,I1150)</f>
        <v/>
      </c>
      <c r="O1150" s="80">
        <f>IF(I1150&gt;0,MAX(0,M1150),0)</f>
        <v/>
      </c>
      <c r="P1150" s="80">
        <f>IF($I1150&gt;0,MAX(0,$G1150*SIN(RADIANS('13_시나리오비교'!$B$5))*SIN(RADIANS('13_시나리오비교'!$C$5))+$H1150*SIN(RADIANS('13_시나리오비교'!$B$5))*COS(RADIANS('13_시나리오비교'!$C$5))+$I1150*COS(RADIANS('13_시나리오비교'!$B$5))),0)</f>
        <v/>
      </c>
      <c r="Q1150" s="80">
        <f>IF($I1150&gt;0,MAX(0,$G1150*SIN(RADIANS('13_시나리오비교'!$B$6))*SIN(RADIANS('13_시나리오비교'!$C$6))+$H1150*SIN(RADIANS('13_시나리오비교'!$B$6))*COS(RADIANS('13_시나리오비교'!$C$6))+$I1150*COS(RADIANS('13_시나리오비교'!$B$6))),0)</f>
        <v/>
      </c>
      <c r="R1150" s="80">
        <f>IF($I1150&gt;0,MAX(0,$G1150*SIN(RADIANS('13_시나리오비교'!$B$7))*SIN(RADIANS('13_시나리오비교'!$C$7))+$H1150*SIN(RADIANS('13_시나리오비교'!$B$7))*COS(RADIANS('13_시나리오비교'!$C$7))+$I1150*COS(RADIANS('13_시나리오비교'!$B$7))),0)</f>
        <v/>
      </c>
      <c r="S1150" s="80">
        <f>IF($I1150&gt;0,MAX(0,$G1150*SIN(RADIANS('13_시나리오비교'!$B$8))*SIN(RADIANS('13_시나리오비교'!$C$8))+$H1150*SIN(RADIANS('13_시나리오비교'!$B$8))*COS(RADIANS('13_시나리오비교'!$C$8))+$I1150*COS(RADIANS('13_시나리오비교'!$B$8))),0)</f>
        <v/>
      </c>
      <c r="T1150" s="80">
        <f>IF($I1150&gt;0,MAX(0,$G1150*SIN(RADIANS('13_시나리오비교'!$B$9))*SIN(RADIANS('13_시나리오비교'!$C$9))+$H1150*SIN(RADIANS('13_시나리오비교'!$B$9))*COS(RADIANS('13_시나리오비교'!$C$9))+$I1150*COS(RADIANS('13_시나리오비교'!$B$9))),0)</f>
        <v/>
      </c>
      <c r="U1150" s="80">
        <f>IF($I1150&gt;0,MAX(0,$G1150*SIN(RADIANS('13_시나리오비교'!$B$10))*SIN(RADIANS('13_시나리오비교'!$C$10))+$H1150*SIN(RADIANS('13_시나리오비교'!$B$10))*COS(RADIANS('13_시나리오비교'!$C$10))+$I1150*COS(RADIANS('13_시나리오비교'!$B$10))),0)</f>
        <v/>
      </c>
      <c r="V1150" s="80">
        <f>IF($I1150&gt;0,MAX(0,$G1150*SIN(RADIANS('13_시나리오비교'!$B$11))*SIN(RADIANS('13_시나리오비교'!$C$11))+$H1150*SIN(RADIANS('13_시나리오비교'!$B$11))*COS(RADIANS('13_시나리오비교'!$C$11))+$I1150*COS(RADIANS('13_시나리오비교'!$B$11))),0)</f>
        <v/>
      </c>
      <c r="W1150" s="80">
        <f>IF($I1150&gt;0,MAX(0,$G1150*SIN(RADIANS('13_시나리오비교'!$B$12))*SIN(RADIANS('13_시나리오비교'!$C$12))+$H1150*SIN(RADIANS('13_시나리오비교'!$B$12))*COS(RADIANS('13_시나리오비교'!$C$12))+$I1150*COS(RADIANS('13_시나리오비교'!$B$12))),0)</f>
        <v/>
      </c>
      <c r="X1150" s="80">
        <f>IF($I1150&gt;0,MAX(0,$G1150*SIN(RADIANS('13_시나리오비교'!$B$13))*SIN(RADIANS('13_시나리오비교'!$C$13))+$H1150*SIN(RADIANS('13_시나리오비교'!$B$13))*COS(RADIANS('13_시나리오비교'!$C$13))+$I1150*COS(RADIANS('13_시나리오비교'!$B$13))),0)</f>
        <v/>
      </c>
      <c r="Y1150" s="80">
        <f>IF($I1150&gt;0,MAX(0,$G1150*SIN(RADIANS('13_시나리오비교'!$B$14))*SIN(RADIANS('13_시나리오비교'!$C$14))+$H1150*SIN(RADIANS('13_시나리오비교'!$B$14))*COS(RADIANS('13_시나리오비교'!$C$14))+$I1150*COS(RADIANS('13_시나리오비교'!$B$14))),0)</f>
        <v/>
      </c>
    </row>
    <row r="1151" hidden="1" outlineLevel="1">
      <c r="A1151" s="79" t="n">
        <v>12</v>
      </c>
      <c r="B1151" s="79" t="n">
        <v>75</v>
      </c>
      <c r="C1151" s="80">
        <f>(B1151-0.5)*'14_지역·상수'!$H$6</f>
        <v/>
      </c>
      <c r="D1151" s="79" t="n">
        <v>344</v>
      </c>
      <c r="E1151" s="80">
        <f>INDEX($C$4:$C$15,MATCH(A1151,$A$4:$A$15,0))</f>
        <v/>
      </c>
      <c r="F1151" s="80">
        <f>15*(C1151-12)</f>
        <v/>
      </c>
      <c r="G1151" s="80">
        <f>-COS(RADIANS(E1151))*SIN(RADIANS(F1151))</f>
        <v/>
      </c>
      <c r="H1151" s="80">
        <f>COS(RADIANS('11_발전량_모델'!$B$17))*SIN(RADIANS(E1151))-SIN(RADIANS('11_발전량_모델'!$B$17))*COS(RADIANS(E1151))*COS(RADIANS(F1151))</f>
        <v/>
      </c>
      <c r="I1151" s="80">
        <f>SIN(RADIANS('11_발전량_모델'!$B$17))*SIN(RADIANS(E1151))+COS(RADIANS('11_발전량_모델'!$B$17))*COS(RADIANS(E1151))*COS(RADIANS(F1151))</f>
        <v/>
      </c>
      <c r="J1151" s="80">
        <f>SIN(RADIANS('11_발전량_모델'!$B$7))*SIN(RADIANS('11_발전량_모델'!$B$8))</f>
        <v/>
      </c>
      <c r="K1151" s="80">
        <f>SIN(RADIANS('11_발전량_모델'!$B$7))*COS(RADIANS('11_발전량_모델'!$B$8))</f>
        <v/>
      </c>
      <c r="L1151" s="80">
        <f>COS(RADIANS('11_발전량_모델'!$B$7))</f>
        <v/>
      </c>
      <c r="M1151" s="80">
        <f>G1151*J1151+H1151*K1151+I1151*L1151</f>
        <v/>
      </c>
      <c r="N1151" s="80">
        <f>MAX(0,I1151)</f>
        <v/>
      </c>
      <c r="O1151" s="80">
        <f>IF(I1151&gt;0,MAX(0,M1151),0)</f>
        <v/>
      </c>
      <c r="P1151" s="80">
        <f>IF($I1151&gt;0,MAX(0,$G1151*SIN(RADIANS('13_시나리오비교'!$B$5))*SIN(RADIANS('13_시나리오비교'!$C$5))+$H1151*SIN(RADIANS('13_시나리오비교'!$B$5))*COS(RADIANS('13_시나리오비교'!$C$5))+$I1151*COS(RADIANS('13_시나리오비교'!$B$5))),0)</f>
        <v/>
      </c>
      <c r="Q1151" s="80">
        <f>IF($I1151&gt;0,MAX(0,$G1151*SIN(RADIANS('13_시나리오비교'!$B$6))*SIN(RADIANS('13_시나리오비교'!$C$6))+$H1151*SIN(RADIANS('13_시나리오비교'!$B$6))*COS(RADIANS('13_시나리오비교'!$C$6))+$I1151*COS(RADIANS('13_시나리오비교'!$B$6))),0)</f>
        <v/>
      </c>
      <c r="R1151" s="80">
        <f>IF($I1151&gt;0,MAX(0,$G1151*SIN(RADIANS('13_시나리오비교'!$B$7))*SIN(RADIANS('13_시나리오비교'!$C$7))+$H1151*SIN(RADIANS('13_시나리오비교'!$B$7))*COS(RADIANS('13_시나리오비교'!$C$7))+$I1151*COS(RADIANS('13_시나리오비교'!$B$7))),0)</f>
        <v/>
      </c>
      <c r="S1151" s="80">
        <f>IF($I1151&gt;0,MAX(0,$G1151*SIN(RADIANS('13_시나리오비교'!$B$8))*SIN(RADIANS('13_시나리오비교'!$C$8))+$H1151*SIN(RADIANS('13_시나리오비교'!$B$8))*COS(RADIANS('13_시나리오비교'!$C$8))+$I1151*COS(RADIANS('13_시나리오비교'!$B$8))),0)</f>
        <v/>
      </c>
      <c r="T1151" s="80">
        <f>IF($I1151&gt;0,MAX(0,$G1151*SIN(RADIANS('13_시나리오비교'!$B$9))*SIN(RADIANS('13_시나리오비교'!$C$9))+$H1151*SIN(RADIANS('13_시나리오비교'!$B$9))*COS(RADIANS('13_시나리오비교'!$C$9))+$I1151*COS(RADIANS('13_시나리오비교'!$B$9))),0)</f>
        <v/>
      </c>
      <c r="U1151" s="80">
        <f>IF($I1151&gt;0,MAX(0,$G1151*SIN(RADIANS('13_시나리오비교'!$B$10))*SIN(RADIANS('13_시나리오비교'!$C$10))+$H1151*SIN(RADIANS('13_시나리오비교'!$B$10))*COS(RADIANS('13_시나리오비교'!$C$10))+$I1151*COS(RADIANS('13_시나리오비교'!$B$10))),0)</f>
        <v/>
      </c>
      <c r="V1151" s="80">
        <f>IF($I1151&gt;0,MAX(0,$G1151*SIN(RADIANS('13_시나리오비교'!$B$11))*SIN(RADIANS('13_시나리오비교'!$C$11))+$H1151*SIN(RADIANS('13_시나리오비교'!$B$11))*COS(RADIANS('13_시나리오비교'!$C$11))+$I1151*COS(RADIANS('13_시나리오비교'!$B$11))),0)</f>
        <v/>
      </c>
      <c r="W1151" s="80">
        <f>IF($I1151&gt;0,MAX(0,$G1151*SIN(RADIANS('13_시나리오비교'!$B$12))*SIN(RADIANS('13_시나리오비교'!$C$12))+$H1151*SIN(RADIANS('13_시나리오비교'!$B$12))*COS(RADIANS('13_시나리오비교'!$C$12))+$I1151*COS(RADIANS('13_시나리오비교'!$B$12))),0)</f>
        <v/>
      </c>
      <c r="X1151" s="80">
        <f>IF($I1151&gt;0,MAX(0,$G1151*SIN(RADIANS('13_시나리오비교'!$B$13))*SIN(RADIANS('13_시나리오비교'!$C$13))+$H1151*SIN(RADIANS('13_시나리오비교'!$B$13))*COS(RADIANS('13_시나리오비교'!$C$13))+$I1151*COS(RADIANS('13_시나리오비교'!$B$13))),0)</f>
        <v/>
      </c>
      <c r="Y1151" s="80">
        <f>IF($I1151&gt;0,MAX(0,$G1151*SIN(RADIANS('13_시나리오비교'!$B$14))*SIN(RADIANS('13_시나리오비교'!$C$14))+$H1151*SIN(RADIANS('13_시나리오비교'!$B$14))*COS(RADIANS('13_시나리오비교'!$C$14))+$I1151*COS(RADIANS('13_시나리오비교'!$B$14))),0)</f>
        <v/>
      </c>
    </row>
    <row r="1152" hidden="1" outlineLevel="1">
      <c r="A1152" s="79" t="n">
        <v>12</v>
      </c>
      <c r="B1152" s="79" t="n">
        <v>76</v>
      </c>
      <c r="C1152" s="80">
        <f>(B1152-0.5)*'14_지역·상수'!$H$6</f>
        <v/>
      </c>
      <c r="D1152" s="79" t="n">
        <v>344</v>
      </c>
      <c r="E1152" s="80">
        <f>INDEX($C$4:$C$15,MATCH(A1152,$A$4:$A$15,0))</f>
        <v/>
      </c>
      <c r="F1152" s="80">
        <f>15*(C1152-12)</f>
        <v/>
      </c>
      <c r="G1152" s="80">
        <f>-COS(RADIANS(E1152))*SIN(RADIANS(F1152))</f>
        <v/>
      </c>
      <c r="H1152" s="80">
        <f>COS(RADIANS('11_발전량_모델'!$B$17))*SIN(RADIANS(E1152))-SIN(RADIANS('11_발전량_모델'!$B$17))*COS(RADIANS(E1152))*COS(RADIANS(F1152))</f>
        <v/>
      </c>
      <c r="I1152" s="80">
        <f>SIN(RADIANS('11_발전량_모델'!$B$17))*SIN(RADIANS(E1152))+COS(RADIANS('11_발전량_모델'!$B$17))*COS(RADIANS(E1152))*COS(RADIANS(F1152))</f>
        <v/>
      </c>
      <c r="J1152" s="80">
        <f>SIN(RADIANS('11_발전량_모델'!$B$7))*SIN(RADIANS('11_발전량_모델'!$B$8))</f>
        <v/>
      </c>
      <c r="K1152" s="80">
        <f>SIN(RADIANS('11_발전량_모델'!$B$7))*COS(RADIANS('11_발전량_모델'!$B$8))</f>
        <v/>
      </c>
      <c r="L1152" s="80">
        <f>COS(RADIANS('11_발전량_모델'!$B$7))</f>
        <v/>
      </c>
      <c r="M1152" s="80">
        <f>G1152*J1152+H1152*K1152+I1152*L1152</f>
        <v/>
      </c>
      <c r="N1152" s="80">
        <f>MAX(0,I1152)</f>
        <v/>
      </c>
      <c r="O1152" s="80">
        <f>IF(I1152&gt;0,MAX(0,M1152),0)</f>
        <v/>
      </c>
      <c r="P1152" s="80">
        <f>IF($I1152&gt;0,MAX(0,$G1152*SIN(RADIANS('13_시나리오비교'!$B$5))*SIN(RADIANS('13_시나리오비교'!$C$5))+$H1152*SIN(RADIANS('13_시나리오비교'!$B$5))*COS(RADIANS('13_시나리오비교'!$C$5))+$I1152*COS(RADIANS('13_시나리오비교'!$B$5))),0)</f>
        <v/>
      </c>
      <c r="Q1152" s="80">
        <f>IF($I1152&gt;0,MAX(0,$G1152*SIN(RADIANS('13_시나리오비교'!$B$6))*SIN(RADIANS('13_시나리오비교'!$C$6))+$H1152*SIN(RADIANS('13_시나리오비교'!$B$6))*COS(RADIANS('13_시나리오비교'!$C$6))+$I1152*COS(RADIANS('13_시나리오비교'!$B$6))),0)</f>
        <v/>
      </c>
      <c r="R1152" s="80">
        <f>IF($I1152&gt;0,MAX(0,$G1152*SIN(RADIANS('13_시나리오비교'!$B$7))*SIN(RADIANS('13_시나리오비교'!$C$7))+$H1152*SIN(RADIANS('13_시나리오비교'!$B$7))*COS(RADIANS('13_시나리오비교'!$C$7))+$I1152*COS(RADIANS('13_시나리오비교'!$B$7))),0)</f>
        <v/>
      </c>
      <c r="S1152" s="80">
        <f>IF($I1152&gt;0,MAX(0,$G1152*SIN(RADIANS('13_시나리오비교'!$B$8))*SIN(RADIANS('13_시나리오비교'!$C$8))+$H1152*SIN(RADIANS('13_시나리오비교'!$B$8))*COS(RADIANS('13_시나리오비교'!$C$8))+$I1152*COS(RADIANS('13_시나리오비교'!$B$8))),0)</f>
        <v/>
      </c>
      <c r="T1152" s="80">
        <f>IF($I1152&gt;0,MAX(0,$G1152*SIN(RADIANS('13_시나리오비교'!$B$9))*SIN(RADIANS('13_시나리오비교'!$C$9))+$H1152*SIN(RADIANS('13_시나리오비교'!$B$9))*COS(RADIANS('13_시나리오비교'!$C$9))+$I1152*COS(RADIANS('13_시나리오비교'!$B$9))),0)</f>
        <v/>
      </c>
      <c r="U1152" s="80">
        <f>IF($I1152&gt;0,MAX(0,$G1152*SIN(RADIANS('13_시나리오비교'!$B$10))*SIN(RADIANS('13_시나리오비교'!$C$10))+$H1152*SIN(RADIANS('13_시나리오비교'!$B$10))*COS(RADIANS('13_시나리오비교'!$C$10))+$I1152*COS(RADIANS('13_시나리오비교'!$B$10))),0)</f>
        <v/>
      </c>
      <c r="V1152" s="80">
        <f>IF($I1152&gt;0,MAX(0,$G1152*SIN(RADIANS('13_시나리오비교'!$B$11))*SIN(RADIANS('13_시나리오비교'!$C$11))+$H1152*SIN(RADIANS('13_시나리오비교'!$B$11))*COS(RADIANS('13_시나리오비교'!$C$11))+$I1152*COS(RADIANS('13_시나리오비교'!$B$11))),0)</f>
        <v/>
      </c>
      <c r="W1152" s="80">
        <f>IF($I1152&gt;0,MAX(0,$G1152*SIN(RADIANS('13_시나리오비교'!$B$12))*SIN(RADIANS('13_시나리오비교'!$C$12))+$H1152*SIN(RADIANS('13_시나리오비교'!$B$12))*COS(RADIANS('13_시나리오비교'!$C$12))+$I1152*COS(RADIANS('13_시나리오비교'!$B$12))),0)</f>
        <v/>
      </c>
      <c r="X1152" s="80">
        <f>IF($I1152&gt;0,MAX(0,$G1152*SIN(RADIANS('13_시나리오비교'!$B$13))*SIN(RADIANS('13_시나리오비교'!$C$13))+$H1152*SIN(RADIANS('13_시나리오비교'!$B$13))*COS(RADIANS('13_시나리오비교'!$C$13))+$I1152*COS(RADIANS('13_시나리오비교'!$B$13))),0)</f>
        <v/>
      </c>
      <c r="Y1152" s="80">
        <f>IF($I1152&gt;0,MAX(0,$G1152*SIN(RADIANS('13_시나리오비교'!$B$14))*SIN(RADIANS('13_시나리오비교'!$C$14))+$H1152*SIN(RADIANS('13_시나리오비교'!$B$14))*COS(RADIANS('13_시나리오비교'!$C$14))+$I1152*COS(RADIANS('13_시나리오비교'!$B$14))),0)</f>
        <v/>
      </c>
    </row>
    <row r="1153" hidden="1" outlineLevel="1">
      <c r="A1153" s="79" t="n">
        <v>12</v>
      </c>
      <c r="B1153" s="79" t="n">
        <v>77</v>
      </c>
      <c r="C1153" s="80">
        <f>(B1153-0.5)*'14_지역·상수'!$H$6</f>
        <v/>
      </c>
      <c r="D1153" s="79" t="n">
        <v>344</v>
      </c>
      <c r="E1153" s="80">
        <f>INDEX($C$4:$C$15,MATCH(A1153,$A$4:$A$15,0))</f>
        <v/>
      </c>
      <c r="F1153" s="80">
        <f>15*(C1153-12)</f>
        <v/>
      </c>
      <c r="G1153" s="80">
        <f>-COS(RADIANS(E1153))*SIN(RADIANS(F1153))</f>
        <v/>
      </c>
      <c r="H1153" s="80">
        <f>COS(RADIANS('11_발전량_모델'!$B$17))*SIN(RADIANS(E1153))-SIN(RADIANS('11_발전량_모델'!$B$17))*COS(RADIANS(E1153))*COS(RADIANS(F1153))</f>
        <v/>
      </c>
      <c r="I1153" s="80">
        <f>SIN(RADIANS('11_발전량_모델'!$B$17))*SIN(RADIANS(E1153))+COS(RADIANS('11_발전량_모델'!$B$17))*COS(RADIANS(E1153))*COS(RADIANS(F1153))</f>
        <v/>
      </c>
      <c r="J1153" s="80">
        <f>SIN(RADIANS('11_발전량_모델'!$B$7))*SIN(RADIANS('11_발전량_모델'!$B$8))</f>
        <v/>
      </c>
      <c r="K1153" s="80">
        <f>SIN(RADIANS('11_발전량_모델'!$B$7))*COS(RADIANS('11_발전량_모델'!$B$8))</f>
        <v/>
      </c>
      <c r="L1153" s="80">
        <f>COS(RADIANS('11_발전량_모델'!$B$7))</f>
        <v/>
      </c>
      <c r="M1153" s="80">
        <f>G1153*J1153+H1153*K1153+I1153*L1153</f>
        <v/>
      </c>
      <c r="N1153" s="80">
        <f>MAX(0,I1153)</f>
        <v/>
      </c>
      <c r="O1153" s="80">
        <f>IF(I1153&gt;0,MAX(0,M1153),0)</f>
        <v/>
      </c>
      <c r="P1153" s="80">
        <f>IF($I1153&gt;0,MAX(0,$G1153*SIN(RADIANS('13_시나리오비교'!$B$5))*SIN(RADIANS('13_시나리오비교'!$C$5))+$H1153*SIN(RADIANS('13_시나리오비교'!$B$5))*COS(RADIANS('13_시나리오비교'!$C$5))+$I1153*COS(RADIANS('13_시나리오비교'!$B$5))),0)</f>
        <v/>
      </c>
      <c r="Q1153" s="80">
        <f>IF($I1153&gt;0,MAX(0,$G1153*SIN(RADIANS('13_시나리오비교'!$B$6))*SIN(RADIANS('13_시나리오비교'!$C$6))+$H1153*SIN(RADIANS('13_시나리오비교'!$B$6))*COS(RADIANS('13_시나리오비교'!$C$6))+$I1153*COS(RADIANS('13_시나리오비교'!$B$6))),0)</f>
        <v/>
      </c>
      <c r="R1153" s="80">
        <f>IF($I1153&gt;0,MAX(0,$G1153*SIN(RADIANS('13_시나리오비교'!$B$7))*SIN(RADIANS('13_시나리오비교'!$C$7))+$H1153*SIN(RADIANS('13_시나리오비교'!$B$7))*COS(RADIANS('13_시나리오비교'!$C$7))+$I1153*COS(RADIANS('13_시나리오비교'!$B$7))),0)</f>
        <v/>
      </c>
      <c r="S1153" s="80">
        <f>IF($I1153&gt;0,MAX(0,$G1153*SIN(RADIANS('13_시나리오비교'!$B$8))*SIN(RADIANS('13_시나리오비교'!$C$8))+$H1153*SIN(RADIANS('13_시나리오비교'!$B$8))*COS(RADIANS('13_시나리오비교'!$C$8))+$I1153*COS(RADIANS('13_시나리오비교'!$B$8))),0)</f>
        <v/>
      </c>
      <c r="T1153" s="80">
        <f>IF($I1153&gt;0,MAX(0,$G1153*SIN(RADIANS('13_시나리오비교'!$B$9))*SIN(RADIANS('13_시나리오비교'!$C$9))+$H1153*SIN(RADIANS('13_시나리오비교'!$B$9))*COS(RADIANS('13_시나리오비교'!$C$9))+$I1153*COS(RADIANS('13_시나리오비교'!$B$9))),0)</f>
        <v/>
      </c>
      <c r="U1153" s="80">
        <f>IF($I1153&gt;0,MAX(0,$G1153*SIN(RADIANS('13_시나리오비교'!$B$10))*SIN(RADIANS('13_시나리오비교'!$C$10))+$H1153*SIN(RADIANS('13_시나리오비교'!$B$10))*COS(RADIANS('13_시나리오비교'!$C$10))+$I1153*COS(RADIANS('13_시나리오비교'!$B$10))),0)</f>
        <v/>
      </c>
      <c r="V1153" s="80">
        <f>IF($I1153&gt;0,MAX(0,$G1153*SIN(RADIANS('13_시나리오비교'!$B$11))*SIN(RADIANS('13_시나리오비교'!$C$11))+$H1153*SIN(RADIANS('13_시나리오비교'!$B$11))*COS(RADIANS('13_시나리오비교'!$C$11))+$I1153*COS(RADIANS('13_시나리오비교'!$B$11))),0)</f>
        <v/>
      </c>
      <c r="W1153" s="80">
        <f>IF($I1153&gt;0,MAX(0,$G1153*SIN(RADIANS('13_시나리오비교'!$B$12))*SIN(RADIANS('13_시나리오비교'!$C$12))+$H1153*SIN(RADIANS('13_시나리오비교'!$B$12))*COS(RADIANS('13_시나리오비교'!$C$12))+$I1153*COS(RADIANS('13_시나리오비교'!$B$12))),0)</f>
        <v/>
      </c>
      <c r="X1153" s="80">
        <f>IF($I1153&gt;0,MAX(0,$G1153*SIN(RADIANS('13_시나리오비교'!$B$13))*SIN(RADIANS('13_시나리오비교'!$C$13))+$H1153*SIN(RADIANS('13_시나리오비교'!$B$13))*COS(RADIANS('13_시나리오비교'!$C$13))+$I1153*COS(RADIANS('13_시나리오비교'!$B$13))),0)</f>
        <v/>
      </c>
      <c r="Y1153" s="80">
        <f>IF($I1153&gt;0,MAX(0,$G1153*SIN(RADIANS('13_시나리오비교'!$B$14))*SIN(RADIANS('13_시나리오비교'!$C$14))+$H1153*SIN(RADIANS('13_시나리오비교'!$B$14))*COS(RADIANS('13_시나리오비교'!$C$14))+$I1153*COS(RADIANS('13_시나리오비교'!$B$14))),0)</f>
        <v/>
      </c>
    </row>
    <row r="1154" hidden="1" outlineLevel="1">
      <c r="A1154" s="79" t="n">
        <v>12</v>
      </c>
      <c r="B1154" s="79" t="n">
        <v>78</v>
      </c>
      <c r="C1154" s="80">
        <f>(B1154-0.5)*'14_지역·상수'!$H$6</f>
        <v/>
      </c>
      <c r="D1154" s="79" t="n">
        <v>344</v>
      </c>
      <c r="E1154" s="80">
        <f>INDEX($C$4:$C$15,MATCH(A1154,$A$4:$A$15,0))</f>
        <v/>
      </c>
      <c r="F1154" s="80">
        <f>15*(C1154-12)</f>
        <v/>
      </c>
      <c r="G1154" s="80">
        <f>-COS(RADIANS(E1154))*SIN(RADIANS(F1154))</f>
        <v/>
      </c>
      <c r="H1154" s="80">
        <f>COS(RADIANS('11_발전량_모델'!$B$17))*SIN(RADIANS(E1154))-SIN(RADIANS('11_발전량_모델'!$B$17))*COS(RADIANS(E1154))*COS(RADIANS(F1154))</f>
        <v/>
      </c>
      <c r="I1154" s="80">
        <f>SIN(RADIANS('11_발전량_모델'!$B$17))*SIN(RADIANS(E1154))+COS(RADIANS('11_발전량_모델'!$B$17))*COS(RADIANS(E1154))*COS(RADIANS(F1154))</f>
        <v/>
      </c>
      <c r="J1154" s="80">
        <f>SIN(RADIANS('11_발전량_모델'!$B$7))*SIN(RADIANS('11_발전량_모델'!$B$8))</f>
        <v/>
      </c>
      <c r="K1154" s="80">
        <f>SIN(RADIANS('11_발전량_모델'!$B$7))*COS(RADIANS('11_발전량_모델'!$B$8))</f>
        <v/>
      </c>
      <c r="L1154" s="80">
        <f>COS(RADIANS('11_발전량_모델'!$B$7))</f>
        <v/>
      </c>
      <c r="M1154" s="80">
        <f>G1154*J1154+H1154*K1154+I1154*L1154</f>
        <v/>
      </c>
      <c r="N1154" s="80">
        <f>MAX(0,I1154)</f>
        <v/>
      </c>
      <c r="O1154" s="80">
        <f>IF(I1154&gt;0,MAX(0,M1154),0)</f>
        <v/>
      </c>
      <c r="P1154" s="80">
        <f>IF($I1154&gt;0,MAX(0,$G1154*SIN(RADIANS('13_시나리오비교'!$B$5))*SIN(RADIANS('13_시나리오비교'!$C$5))+$H1154*SIN(RADIANS('13_시나리오비교'!$B$5))*COS(RADIANS('13_시나리오비교'!$C$5))+$I1154*COS(RADIANS('13_시나리오비교'!$B$5))),0)</f>
        <v/>
      </c>
      <c r="Q1154" s="80">
        <f>IF($I1154&gt;0,MAX(0,$G1154*SIN(RADIANS('13_시나리오비교'!$B$6))*SIN(RADIANS('13_시나리오비교'!$C$6))+$H1154*SIN(RADIANS('13_시나리오비교'!$B$6))*COS(RADIANS('13_시나리오비교'!$C$6))+$I1154*COS(RADIANS('13_시나리오비교'!$B$6))),0)</f>
        <v/>
      </c>
      <c r="R1154" s="80">
        <f>IF($I1154&gt;0,MAX(0,$G1154*SIN(RADIANS('13_시나리오비교'!$B$7))*SIN(RADIANS('13_시나리오비교'!$C$7))+$H1154*SIN(RADIANS('13_시나리오비교'!$B$7))*COS(RADIANS('13_시나리오비교'!$C$7))+$I1154*COS(RADIANS('13_시나리오비교'!$B$7))),0)</f>
        <v/>
      </c>
      <c r="S1154" s="80">
        <f>IF($I1154&gt;0,MAX(0,$G1154*SIN(RADIANS('13_시나리오비교'!$B$8))*SIN(RADIANS('13_시나리오비교'!$C$8))+$H1154*SIN(RADIANS('13_시나리오비교'!$B$8))*COS(RADIANS('13_시나리오비교'!$C$8))+$I1154*COS(RADIANS('13_시나리오비교'!$B$8))),0)</f>
        <v/>
      </c>
      <c r="T1154" s="80">
        <f>IF($I1154&gt;0,MAX(0,$G1154*SIN(RADIANS('13_시나리오비교'!$B$9))*SIN(RADIANS('13_시나리오비교'!$C$9))+$H1154*SIN(RADIANS('13_시나리오비교'!$B$9))*COS(RADIANS('13_시나리오비교'!$C$9))+$I1154*COS(RADIANS('13_시나리오비교'!$B$9))),0)</f>
        <v/>
      </c>
      <c r="U1154" s="80">
        <f>IF($I1154&gt;0,MAX(0,$G1154*SIN(RADIANS('13_시나리오비교'!$B$10))*SIN(RADIANS('13_시나리오비교'!$C$10))+$H1154*SIN(RADIANS('13_시나리오비교'!$B$10))*COS(RADIANS('13_시나리오비교'!$C$10))+$I1154*COS(RADIANS('13_시나리오비교'!$B$10))),0)</f>
        <v/>
      </c>
      <c r="V1154" s="80">
        <f>IF($I1154&gt;0,MAX(0,$G1154*SIN(RADIANS('13_시나리오비교'!$B$11))*SIN(RADIANS('13_시나리오비교'!$C$11))+$H1154*SIN(RADIANS('13_시나리오비교'!$B$11))*COS(RADIANS('13_시나리오비교'!$C$11))+$I1154*COS(RADIANS('13_시나리오비교'!$B$11))),0)</f>
        <v/>
      </c>
      <c r="W1154" s="80">
        <f>IF($I1154&gt;0,MAX(0,$G1154*SIN(RADIANS('13_시나리오비교'!$B$12))*SIN(RADIANS('13_시나리오비교'!$C$12))+$H1154*SIN(RADIANS('13_시나리오비교'!$B$12))*COS(RADIANS('13_시나리오비교'!$C$12))+$I1154*COS(RADIANS('13_시나리오비교'!$B$12))),0)</f>
        <v/>
      </c>
      <c r="X1154" s="80">
        <f>IF($I1154&gt;0,MAX(0,$G1154*SIN(RADIANS('13_시나리오비교'!$B$13))*SIN(RADIANS('13_시나리오비교'!$C$13))+$H1154*SIN(RADIANS('13_시나리오비교'!$B$13))*COS(RADIANS('13_시나리오비교'!$C$13))+$I1154*COS(RADIANS('13_시나리오비교'!$B$13))),0)</f>
        <v/>
      </c>
      <c r="Y1154" s="80">
        <f>IF($I1154&gt;0,MAX(0,$G1154*SIN(RADIANS('13_시나리오비교'!$B$14))*SIN(RADIANS('13_시나리오비교'!$C$14))+$H1154*SIN(RADIANS('13_시나리오비교'!$B$14))*COS(RADIANS('13_시나리오비교'!$C$14))+$I1154*COS(RADIANS('13_시나리오비교'!$B$14))),0)</f>
        <v/>
      </c>
    </row>
    <row r="1155" hidden="1" outlineLevel="1">
      <c r="A1155" s="79" t="n">
        <v>12</v>
      </c>
      <c r="B1155" s="79" t="n">
        <v>79</v>
      </c>
      <c r="C1155" s="80">
        <f>(B1155-0.5)*'14_지역·상수'!$H$6</f>
        <v/>
      </c>
      <c r="D1155" s="79" t="n">
        <v>344</v>
      </c>
      <c r="E1155" s="80">
        <f>INDEX($C$4:$C$15,MATCH(A1155,$A$4:$A$15,0))</f>
        <v/>
      </c>
      <c r="F1155" s="80">
        <f>15*(C1155-12)</f>
        <v/>
      </c>
      <c r="G1155" s="80">
        <f>-COS(RADIANS(E1155))*SIN(RADIANS(F1155))</f>
        <v/>
      </c>
      <c r="H1155" s="80">
        <f>COS(RADIANS('11_발전량_모델'!$B$17))*SIN(RADIANS(E1155))-SIN(RADIANS('11_발전량_모델'!$B$17))*COS(RADIANS(E1155))*COS(RADIANS(F1155))</f>
        <v/>
      </c>
      <c r="I1155" s="80">
        <f>SIN(RADIANS('11_발전량_모델'!$B$17))*SIN(RADIANS(E1155))+COS(RADIANS('11_발전량_모델'!$B$17))*COS(RADIANS(E1155))*COS(RADIANS(F1155))</f>
        <v/>
      </c>
      <c r="J1155" s="80">
        <f>SIN(RADIANS('11_발전량_모델'!$B$7))*SIN(RADIANS('11_발전량_모델'!$B$8))</f>
        <v/>
      </c>
      <c r="K1155" s="80">
        <f>SIN(RADIANS('11_발전량_모델'!$B$7))*COS(RADIANS('11_발전량_모델'!$B$8))</f>
        <v/>
      </c>
      <c r="L1155" s="80">
        <f>COS(RADIANS('11_발전량_모델'!$B$7))</f>
        <v/>
      </c>
      <c r="M1155" s="80">
        <f>G1155*J1155+H1155*K1155+I1155*L1155</f>
        <v/>
      </c>
      <c r="N1155" s="80">
        <f>MAX(0,I1155)</f>
        <v/>
      </c>
      <c r="O1155" s="80">
        <f>IF(I1155&gt;0,MAX(0,M1155),0)</f>
        <v/>
      </c>
      <c r="P1155" s="80">
        <f>IF($I1155&gt;0,MAX(0,$G1155*SIN(RADIANS('13_시나리오비교'!$B$5))*SIN(RADIANS('13_시나리오비교'!$C$5))+$H1155*SIN(RADIANS('13_시나리오비교'!$B$5))*COS(RADIANS('13_시나리오비교'!$C$5))+$I1155*COS(RADIANS('13_시나리오비교'!$B$5))),0)</f>
        <v/>
      </c>
      <c r="Q1155" s="80">
        <f>IF($I1155&gt;0,MAX(0,$G1155*SIN(RADIANS('13_시나리오비교'!$B$6))*SIN(RADIANS('13_시나리오비교'!$C$6))+$H1155*SIN(RADIANS('13_시나리오비교'!$B$6))*COS(RADIANS('13_시나리오비교'!$C$6))+$I1155*COS(RADIANS('13_시나리오비교'!$B$6))),0)</f>
        <v/>
      </c>
      <c r="R1155" s="80">
        <f>IF($I1155&gt;0,MAX(0,$G1155*SIN(RADIANS('13_시나리오비교'!$B$7))*SIN(RADIANS('13_시나리오비교'!$C$7))+$H1155*SIN(RADIANS('13_시나리오비교'!$B$7))*COS(RADIANS('13_시나리오비교'!$C$7))+$I1155*COS(RADIANS('13_시나리오비교'!$B$7))),0)</f>
        <v/>
      </c>
      <c r="S1155" s="80">
        <f>IF($I1155&gt;0,MAX(0,$G1155*SIN(RADIANS('13_시나리오비교'!$B$8))*SIN(RADIANS('13_시나리오비교'!$C$8))+$H1155*SIN(RADIANS('13_시나리오비교'!$B$8))*COS(RADIANS('13_시나리오비교'!$C$8))+$I1155*COS(RADIANS('13_시나리오비교'!$B$8))),0)</f>
        <v/>
      </c>
      <c r="T1155" s="80">
        <f>IF($I1155&gt;0,MAX(0,$G1155*SIN(RADIANS('13_시나리오비교'!$B$9))*SIN(RADIANS('13_시나리오비교'!$C$9))+$H1155*SIN(RADIANS('13_시나리오비교'!$B$9))*COS(RADIANS('13_시나리오비교'!$C$9))+$I1155*COS(RADIANS('13_시나리오비교'!$B$9))),0)</f>
        <v/>
      </c>
      <c r="U1155" s="80">
        <f>IF($I1155&gt;0,MAX(0,$G1155*SIN(RADIANS('13_시나리오비교'!$B$10))*SIN(RADIANS('13_시나리오비교'!$C$10))+$H1155*SIN(RADIANS('13_시나리오비교'!$B$10))*COS(RADIANS('13_시나리오비교'!$C$10))+$I1155*COS(RADIANS('13_시나리오비교'!$B$10))),0)</f>
        <v/>
      </c>
      <c r="V1155" s="80">
        <f>IF($I1155&gt;0,MAX(0,$G1155*SIN(RADIANS('13_시나리오비교'!$B$11))*SIN(RADIANS('13_시나리오비교'!$C$11))+$H1155*SIN(RADIANS('13_시나리오비교'!$B$11))*COS(RADIANS('13_시나리오비교'!$C$11))+$I1155*COS(RADIANS('13_시나리오비교'!$B$11))),0)</f>
        <v/>
      </c>
      <c r="W1155" s="80">
        <f>IF($I1155&gt;0,MAX(0,$G1155*SIN(RADIANS('13_시나리오비교'!$B$12))*SIN(RADIANS('13_시나리오비교'!$C$12))+$H1155*SIN(RADIANS('13_시나리오비교'!$B$12))*COS(RADIANS('13_시나리오비교'!$C$12))+$I1155*COS(RADIANS('13_시나리오비교'!$B$12))),0)</f>
        <v/>
      </c>
      <c r="X1155" s="80">
        <f>IF($I1155&gt;0,MAX(0,$G1155*SIN(RADIANS('13_시나리오비교'!$B$13))*SIN(RADIANS('13_시나리오비교'!$C$13))+$H1155*SIN(RADIANS('13_시나리오비교'!$B$13))*COS(RADIANS('13_시나리오비교'!$C$13))+$I1155*COS(RADIANS('13_시나리오비교'!$B$13))),0)</f>
        <v/>
      </c>
      <c r="Y1155" s="80">
        <f>IF($I1155&gt;0,MAX(0,$G1155*SIN(RADIANS('13_시나리오비교'!$B$14))*SIN(RADIANS('13_시나리오비교'!$C$14))+$H1155*SIN(RADIANS('13_시나리오비교'!$B$14))*COS(RADIANS('13_시나리오비교'!$C$14))+$I1155*COS(RADIANS('13_시나리오비교'!$B$14))),0)</f>
        <v/>
      </c>
    </row>
    <row r="1156" hidden="1" outlineLevel="1">
      <c r="A1156" s="79" t="n">
        <v>12</v>
      </c>
      <c r="B1156" s="79" t="n">
        <v>80</v>
      </c>
      <c r="C1156" s="80">
        <f>(B1156-0.5)*'14_지역·상수'!$H$6</f>
        <v/>
      </c>
      <c r="D1156" s="79" t="n">
        <v>344</v>
      </c>
      <c r="E1156" s="80">
        <f>INDEX($C$4:$C$15,MATCH(A1156,$A$4:$A$15,0))</f>
        <v/>
      </c>
      <c r="F1156" s="80">
        <f>15*(C1156-12)</f>
        <v/>
      </c>
      <c r="G1156" s="80">
        <f>-COS(RADIANS(E1156))*SIN(RADIANS(F1156))</f>
        <v/>
      </c>
      <c r="H1156" s="80">
        <f>COS(RADIANS('11_발전량_모델'!$B$17))*SIN(RADIANS(E1156))-SIN(RADIANS('11_발전량_모델'!$B$17))*COS(RADIANS(E1156))*COS(RADIANS(F1156))</f>
        <v/>
      </c>
      <c r="I1156" s="80">
        <f>SIN(RADIANS('11_발전량_모델'!$B$17))*SIN(RADIANS(E1156))+COS(RADIANS('11_발전량_모델'!$B$17))*COS(RADIANS(E1156))*COS(RADIANS(F1156))</f>
        <v/>
      </c>
      <c r="J1156" s="80">
        <f>SIN(RADIANS('11_발전량_모델'!$B$7))*SIN(RADIANS('11_발전량_모델'!$B$8))</f>
        <v/>
      </c>
      <c r="K1156" s="80">
        <f>SIN(RADIANS('11_발전량_모델'!$B$7))*COS(RADIANS('11_발전량_모델'!$B$8))</f>
        <v/>
      </c>
      <c r="L1156" s="80">
        <f>COS(RADIANS('11_발전량_모델'!$B$7))</f>
        <v/>
      </c>
      <c r="M1156" s="80">
        <f>G1156*J1156+H1156*K1156+I1156*L1156</f>
        <v/>
      </c>
      <c r="N1156" s="80">
        <f>MAX(0,I1156)</f>
        <v/>
      </c>
      <c r="O1156" s="80">
        <f>IF(I1156&gt;0,MAX(0,M1156),0)</f>
        <v/>
      </c>
      <c r="P1156" s="80">
        <f>IF($I1156&gt;0,MAX(0,$G1156*SIN(RADIANS('13_시나리오비교'!$B$5))*SIN(RADIANS('13_시나리오비교'!$C$5))+$H1156*SIN(RADIANS('13_시나리오비교'!$B$5))*COS(RADIANS('13_시나리오비교'!$C$5))+$I1156*COS(RADIANS('13_시나리오비교'!$B$5))),0)</f>
        <v/>
      </c>
      <c r="Q1156" s="80">
        <f>IF($I1156&gt;0,MAX(0,$G1156*SIN(RADIANS('13_시나리오비교'!$B$6))*SIN(RADIANS('13_시나리오비교'!$C$6))+$H1156*SIN(RADIANS('13_시나리오비교'!$B$6))*COS(RADIANS('13_시나리오비교'!$C$6))+$I1156*COS(RADIANS('13_시나리오비교'!$B$6))),0)</f>
        <v/>
      </c>
      <c r="R1156" s="80">
        <f>IF($I1156&gt;0,MAX(0,$G1156*SIN(RADIANS('13_시나리오비교'!$B$7))*SIN(RADIANS('13_시나리오비교'!$C$7))+$H1156*SIN(RADIANS('13_시나리오비교'!$B$7))*COS(RADIANS('13_시나리오비교'!$C$7))+$I1156*COS(RADIANS('13_시나리오비교'!$B$7))),0)</f>
        <v/>
      </c>
      <c r="S1156" s="80">
        <f>IF($I1156&gt;0,MAX(0,$G1156*SIN(RADIANS('13_시나리오비교'!$B$8))*SIN(RADIANS('13_시나리오비교'!$C$8))+$H1156*SIN(RADIANS('13_시나리오비교'!$B$8))*COS(RADIANS('13_시나리오비교'!$C$8))+$I1156*COS(RADIANS('13_시나리오비교'!$B$8))),0)</f>
        <v/>
      </c>
      <c r="T1156" s="80">
        <f>IF($I1156&gt;0,MAX(0,$G1156*SIN(RADIANS('13_시나리오비교'!$B$9))*SIN(RADIANS('13_시나리오비교'!$C$9))+$H1156*SIN(RADIANS('13_시나리오비교'!$B$9))*COS(RADIANS('13_시나리오비교'!$C$9))+$I1156*COS(RADIANS('13_시나리오비교'!$B$9))),0)</f>
        <v/>
      </c>
      <c r="U1156" s="80">
        <f>IF($I1156&gt;0,MAX(0,$G1156*SIN(RADIANS('13_시나리오비교'!$B$10))*SIN(RADIANS('13_시나리오비교'!$C$10))+$H1156*SIN(RADIANS('13_시나리오비교'!$B$10))*COS(RADIANS('13_시나리오비교'!$C$10))+$I1156*COS(RADIANS('13_시나리오비교'!$B$10))),0)</f>
        <v/>
      </c>
      <c r="V1156" s="80">
        <f>IF($I1156&gt;0,MAX(0,$G1156*SIN(RADIANS('13_시나리오비교'!$B$11))*SIN(RADIANS('13_시나리오비교'!$C$11))+$H1156*SIN(RADIANS('13_시나리오비교'!$B$11))*COS(RADIANS('13_시나리오비교'!$C$11))+$I1156*COS(RADIANS('13_시나리오비교'!$B$11))),0)</f>
        <v/>
      </c>
      <c r="W1156" s="80">
        <f>IF($I1156&gt;0,MAX(0,$G1156*SIN(RADIANS('13_시나리오비교'!$B$12))*SIN(RADIANS('13_시나리오비교'!$C$12))+$H1156*SIN(RADIANS('13_시나리오비교'!$B$12))*COS(RADIANS('13_시나리오비교'!$C$12))+$I1156*COS(RADIANS('13_시나리오비교'!$B$12))),0)</f>
        <v/>
      </c>
      <c r="X1156" s="80">
        <f>IF($I1156&gt;0,MAX(0,$G1156*SIN(RADIANS('13_시나리오비교'!$B$13))*SIN(RADIANS('13_시나리오비교'!$C$13))+$H1156*SIN(RADIANS('13_시나리오비교'!$B$13))*COS(RADIANS('13_시나리오비교'!$C$13))+$I1156*COS(RADIANS('13_시나리오비교'!$B$13))),0)</f>
        <v/>
      </c>
      <c r="Y1156" s="80">
        <f>IF($I1156&gt;0,MAX(0,$G1156*SIN(RADIANS('13_시나리오비교'!$B$14))*SIN(RADIANS('13_시나리오비교'!$C$14))+$H1156*SIN(RADIANS('13_시나리오비교'!$B$14))*COS(RADIANS('13_시나리오비교'!$C$14))+$I1156*COS(RADIANS('13_시나리오비교'!$B$14))),0)</f>
        <v/>
      </c>
    </row>
    <row r="1157" hidden="1" outlineLevel="1">
      <c r="A1157" s="79" t="n">
        <v>12</v>
      </c>
      <c r="B1157" s="79" t="n">
        <v>81</v>
      </c>
      <c r="C1157" s="80">
        <f>(B1157-0.5)*'14_지역·상수'!$H$6</f>
        <v/>
      </c>
      <c r="D1157" s="79" t="n">
        <v>344</v>
      </c>
      <c r="E1157" s="80">
        <f>INDEX($C$4:$C$15,MATCH(A1157,$A$4:$A$15,0))</f>
        <v/>
      </c>
      <c r="F1157" s="80">
        <f>15*(C1157-12)</f>
        <v/>
      </c>
      <c r="G1157" s="80">
        <f>-COS(RADIANS(E1157))*SIN(RADIANS(F1157))</f>
        <v/>
      </c>
      <c r="H1157" s="80">
        <f>COS(RADIANS('11_발전량_모델'!$B$17))*SIN(RADIANS(E1157))-SIN(RADIANS('11_발전량_모델'!$B$17))*COS(RADIANS(E1157))*COS(RADIANS(F1157))</f>
        <v/>
      </c>
      <c r="I1157" s="80">
        <f>SIN(RADIANS('11_발전량_모델'!$B$17))*SIN(RADIANS(E1157))+COS(RADIANS('11_발전량_모델'!$B$17))*COS(RADIANS(E1157))*COS(RADIANS(F1157))</f>
        <v/>
      </c>
      <c r="J1157" s="80">
        <f>SIN(RADIANS('11_발전량_모델'!$B$7))*SIN(RADIANS('11_발전량_모델'!$B$8))</f>
        <v/>
      </c>
      <c r="K1157" s="80">
        <f>SIN(RADIANS('11_발전량_모델'!$B$7))*COS(RADIANS('11_발전량_모델'!$B$8))</f>
        <v/>
      </c>
      <c r="L1157" s="80">
        <f>COS(RADIANS('11_발전량_모델'!$B$7))</f>
        <v/>
      </c>
      <c r="M1157" s="80">
        <f>G1157*J1157+H1157*K1157+I1157*L1157</f>
        <v/>
      </c>
      <c r="N1157" s="80">
        <f>MAX(0,I1157)</f>
        <v/>
      </c>
      <c r="O1157" s="80">
        <f>IF(I1157&gt;0,MAX(0,M1157),0)</f>
        <v/>
      </c>
      <c r="P1157" s="80">
        <f>IF($I1157&gt;0,MAX(0,$G1157*SIN(RADIANS('13_시나리오비교'!$B$5))*SIN(RADIANS('13_시나리오비교'!$C$5))+$H1157*SIN(RADIANS('13_시나리오비교'!$B$5))*COS(RADIANS('13_시나리오비교'!$C$5))+$I1157*COS(RADIANS('13_시나리오비교'!$B$5))),0)</f>
        <v/>
      </c>
      <c r="Q1157" s="80">
        <f>IF($I1157&gt;0,MAX(0,$G1157*SIN(RADIANS('13_시나리오비교'!$B$6))*SIN(RADIANS('13_시나리오비교'!$C$6))+$H1157*SIN(RADIANS('13_시나리오비교'!$B$6))*COS(RADIANS('13_시나리오비교'!$C$6))+$I1157*COS(RADIANS('13_시나리오비교'!$B$6))),0)</f>
        <v/>
      </c>
      <c r="R1157" s="80">
        <f>IF($I1157&gt;0,MAX(0,$G1157*SIN(RADIANS('13_시나리오비교'!$B$7))*SIN(RADIANS('13_시나리오비교'!$C$7))+$H1157*SIN(RADIANS('13_시나리오비교'!$B$7))*COS(RADIANS('13_시나리오비교'!$C$7))+$I1157*COS(RADIANS('13_시나리오비교'!$B$7))),0)</f>
        <v/>
      </c>
      <c r="S1157" s="80">
        <f>IF($I1157&gt;0,MAX(0,$G1157*SIN(RADIANS('13_시나리오비교'!$B$8))*SIN(RADIANS('13_시나리오비교'!$C$8))+$H1157*SIN(RADIANS('13_시나리오비교'!$B$8))*COS(RADIANS('13_시나리오비교'!$C$8))+$I1157*COS(RADIANS('13_시나리오비교'!$B$8))),0)</f>
        <v/>
      </c>
      <c r="T1157" s="80">
        <f>IF($I1157&gt;0,MAX(0,$G1157*SIN(RADIANS('13_시나리오비교'!$B$9))*SIN(RADIANS('13_시나리오비교'!$C$9))+$H1157*SIN(RADIANS('13_시나리오비교'!$B$9))*COS(RADIANS('13_시나리오비교'!$C$9))+$I1157*COS(RADIANS('13_시나리오비교'!$B$9))),0)</f>
        <v/>
      </c>
      <c r="U1157" s="80">
        <f>IF($I1157&gt;0,MAX(0,$G1157*SIN(RADIANS('13_시나리오비교'!$B$10))*SIN(RADIANS('13_시나리오비교'!$C$10))+$H1157*SIN(RADIANS('13_시나리오비교'!$B$10))*COS(RADIANS('13_시나리오비교'!$C$10))+$I1157*COS(RADIANS('13_시나리오비교'!$B$10))),0)</f>
        <v/>
      </c>
      <c r="V1157" s="80">
        <f>IF($I1157&gt;0,MAX(0,$G1157*SIN(RADIANS('13_시나리오비교'!$B$11))*SIN(RADIANS('13_시나리오비교'!$C$11))+$H1157*SIN(RADIANS('13_시나리오비교'!$B$11))*COS(RADIANS('13_시나리오비교'!$C$11))+$I1157*COS(RADIANS('13_시나리오비교'!$B$11))),0)</f>
        <v/>
      </c>
      <c r="W1157" s="80">
        <f>IF($I1157&gt;0,MAX(0,$G1157*SIN(RADIANS('13_시나리오비교'!$B$12))*SIN(RADIANS('13_시나리오비교'!$C$12))+$H1157*SIN(RADIANS('13_시나리오비교'!$B$12))*COS(RADIANS('13_시나리오비교'!$C$12))+$I1157*COS(RADIANS('13_시나리오비교'!$B$12))),0)</f>
        <v/>
      </c>
      <c r="X1157" s="80">
        <f>IF($I1157&gt;0,MAX(0,$G1157*SIN(RADIANS('13_시나리오비교'!$B$13))*SIN(RADIANS('13_시나리오비교'!$C$13))+$H1157*SIN(RADIANS('13_시나리오비교'!$B$13))*COS(RADIANS('13_시나리오비교'!$C$13))+$I1157*COS(RADIANS('13_시나리오비교'!$B$13))),0)</f>
        <v/>
      </c>
      <c r="Y1157" s="80">
        <f>IF($I1157&gt;0,MAX(0,$G1157*SIN(RADIANS('13_시나리오비교'!$B$14))*SIN(RADIANS('13_시나리오비교'!$C$14))+$H1157*SIN(RADIANS('13_시나리오비교'!$B$14))*COS(RADIANS('13_시나리오비교'!$C$14))+$I1157*COS(RADIANS('13_시나리오비교'!$B$14))),0)</f>
        <v/>
      </c>
    </row>
    <row r="1158" hidden="1" outlineLevel="1">
      <c r="A1158" s="79" t="n">
        <v>12</v>
      </c>
      <c r="B1158" s="79" t="n">
        <v>82</v>
      </c>
      <c r="C1158" s="80">
        <f>(B1158-0.5)*'14_지역·상수'!$H$6</f>
        <v/>
      </c>
      <c r="D1158" s="79" t="n">
        <v>344</v>
      </c>
      <c r="E1158" s="80">
        <f>INDEX($C$4:$C$15,MATCH(A1158,$A$4:$A$15,0))</f>
        <v/>
      </c>
      <c r="F1158" s="80">
        <f>15*(C1158-12)</f>
        <v/>
      </c>
      <c r="G1158" s="80">
        <f>-COS(RADIANS(E1158))*SIN(RADIANS(F1158))</f>
        <v/>
      </c>
      <c r="H1158" s="80">
        <f>COS(RADIANS('11_발전량_모델'!$B$17))*SIN(RADIANS(E1158))-SIN(RADIANS('11_발전량_모델'!$B$17))*COS(RADIANS(E1158))*COS(RADIANS(F1158))</f>
        <v/>
      </c>
      <c r="I1158" s="80">
        <f>SIN(RADIANS('11_발전량_모델'!$B$17))*SIN(RADIANS(E1158))+COS(RADIANS('11_발전량_모델'!$B$17))*COS(RADIANS(E1158))*COS(RADIANS(F1158))</f>
        <v/>
      </c>
      <c r="J1158" s="80">
        <f>SIN(RADIANS('11_발전량_모델'!$B$7))*SIN(RADIANS('11_발전량_모델'!$B$8))</f>
        <v/>
      </c>
      <c r="K1158" s="80">
        <f>SIN(RADIANS('11_발전량_모델'!$B$7))*COS(RADIANS('11_발전량_모델'!$B$8))</f>
        <v/>
      </c>
      <c r="L1158" s="80">
        <f>COS(RADIANS('11_발전량_모델'!$B$7))</f>
        <v/>
      </c>
      <c r="M1158" s="80">
        <f>G1158*J1158+H1158*K1158+I1158*L1158</f>
        <v/>
      </c>
      <c r="N1158" s="80">
        <f>MAX(0,I1158)</f>
        <v/>
      </c>
      <c r="O1158" s="80">
        <f>IF(I1158&gt;0,MAX(0,M1158),0)</f>
        <v/>
      </c>
      <c r="P1158" s="80">
        <f>IF($I1158&gt;0,MAX(0,$G1158*SIN(RADIANS('13_시나리오비교'!$B$5))*SIN(RADIANS('13_시나리오비교'!$C$5))+$H1158*SIN(RADIANS('13_시나리오비교'!$B$5))*COS(RADIANS('13_시나리오비교'!$C$5))+$I1158*COS(RADIANS('13_시나리오비교'!$B$5))),0)</f>
        <v/>
      </c>
      <c r="Q1158" s="80">
        <f>IF($I1158&gt;0,MAX(0,$G1158*SIN(RADIANS('13_시나리오비교'!$B$6))*SIN(RADIANS('13_시나리오비교'!$C$6))+$H1158*SIN(RADIANS('13_시나리오비교'!$B$6))*COS(RADIANS('13_시나리오비교'!$C$6))+$I1158*COS(RADIANS('13_시나리오비교'!$B$6))),0)</f>
        <v/>
      </c>
      <c r="R1158" s="80">
        <f>IF($I1158&gt;0,MAX(0,$G1158*SIN(RADIANS('13_시나리오비교'!$B$7))*SIN(RADIANS('13_시나리오비교'!$C$7))+$H1158*SIN(RADIANS('13_시나리오비교'!$B$7))*COS(RADIANS('13_시나리오비교'!$C$7))+$I1158*COS(RADIANS('13_시나리오비교'!$B$7))),0)</f>
        <v/>
      </c>
      <c r="S1158" s="80">
        <f>IF($I1158&gt;0,MAX(0,$G1158*SIN(RADIANS('13_시나리오비교'!$B$8))*SIN(RADIANS('13_시나리오비교'!$C$8))+$H1158*SIN(RADIANS('13_시나리오비교'!$B$8))*COS(RADIANS('13_시나리오비교'!$C$8))+$I1158*COS(RADIANS('13_시나리오비교'!$B$8))),0)</f>
        <v/>
      </c>
      <c r="T1158" s="80">
        <f>IF($I1158&gt;0,MAX(0,$G1158*SIN(RADIANS('13_시나리오비교'!$B$9))*SIN(RADIANS('13_시나리오비교'!$C$9))+$H1158*SIN(RADIANS('13_시나리오비교'!$B$9))*COS(RADIANS('13_시나리오비교'!$C$9))+$I1158*COS(RADIANS('13_시나리오비교'!$B$9))),0)</f>
        <v/>
      </c>
      <c r="U1158" s="80">
        <f>IF($I1158&gt;0,MAX(0,$G1158*SIN(RADIANS('13_시나리오비교'!$B$10))*SIN(RADIANS('13_시나리오비교'!$C$10))+$H1158*SIN(RADIANS('13_시나리오비교'!$B$10))*COS(RADIANS('13_시나리오비교'!$C$10))+$I1158*COS(RADIANS('13_시나리오비교'!$B$10))),0)</f>
        <v/>
      </c>
      <c r="V1158" s="80">
        <f>IF($I1158&gt;0,MAX(0,$G1158*SIN(RADIANS('13_시나리오비교'!$B$11))*SIN(RADIANS('13_시나리오비교'!$C$11))+$H1158*SIN(RADIANS('13_시나리오비교'!$B$11))*COS(RADIANS('13_시나리오비교'!$C$11))+$I1158*COS(RADIANS('13_시나리오비교'!$B$11))),0)</f>
        <v/>
      </c>
      <c r="W1158" s="80">
        <f>IF($I1158&gt;0,MAX(0,$G1158*SIN(RADIANS('13_시나리오비교'!$B$12))*SIN(RADIANS('13_시나리오비교'!$C$12))+$H1158*SIN(RADIANS('13_시나리오비교'!$B$12))*COS(RADIANS('13_시나리오비교'!$C$12))+$I1158*COS(RADIANS('13_시나리오비교'!$B$12))),0)</f>
        <v/>
      </c>
      <c r="X1158" s="80">
        <f>IF($I1158&gt;0,MAX(0,$G1158*SIN(RADIANS('13_시나리오비교'!$B$13))*SIN(RADIANS('13_시나리오비교'!$C$13))+$H1158*SIN(RADIANS('13_시나리오비교'!$B$13))*COS(RADIANS('13_시나리오비교'!$C$13))+$I1158*COS(RADIANS('13_시나리오비교'!$B$13))),0)</f>
        <v/>
      </c>
      <c r="Y1158" s="80">
        <f>IF($I1158&gt;0,MAX(0,$G1158*SIN(RADIANS('13_시나리오비교'!$B$14))*SIN(RADIANS('13_시나리오비교'!$C$14))+$H1158*SIN(RADIANS('13_시나리오비교'!$B$14))*COS(RADIANS('13_시나리오비교'!$C$14))+$I1158*COS(RADIANS('13_시나리오비교'!$B$14))),0)</f>
        <v/>
      </c>
    </row>
    <row r="1159" hidden="1" outlineLevel="1">
      <c r="A1159" s="79" t="n">
        <v>12</v>
      </c>
      <c r="B1159" s="79" t="n">
        <v>83</v>
      </c>
      <c r="C1159" s="80">
        <f>(B1159-0.5)*'14_지역·상수'!$H$6</f>
        <v/>
      </c>
      <c r="D1159" s="79" t="n">
        <v>344</v>
      </c>
      <c r="E1159" s="80">
        <f>INDEX($C$4:$C$15,MATCH(A1159,$A$4:$A$15,0))</f>
        <v/>
      </c>
      <c r="F1159" s="80">
        <f>15*(C1159-12)</f>
        <v/>
      </c>
      <c r="G1159" s="80">
        <f>-COS(RADIANS(E1159))*SIN(RADIANS(F1159))</f>
        <v/>
      </c>
      <c r="H1159" s="80">
        <f>COS(RADIANS('11_발전량_모델'!$B$17))*SIN(RADIANS(E1159))-SIN(RADIANS('11_발전량_모델'!$B$17))*COS(RADIANS(E1159))*COS(RADIANS(F1159))</f>
        <v/>
      </c>
      <c r="I1159" s="80">
        <f>SIN(RADIANS('11_발전량_모델'!$B$17))*SIN(RADIANS(E1159))+COS(RADIANS('11_발전량_모델'!$B$17))*COS(RADIANS(E1159))*COS(RADIANS(F1159))</f>
        <v/>
      </c>
      <c r="J1159" s="80">
        <f>SIN(RADIANS('11_발전량_모델'!$B$7))*SIN(RADIANS('11_발전량_모델'!$B$8))</f>
        <v/>
      </c>
      <c r="K1159" s="80">
        <f>SIN(RADIANS('11_발전량_모델'!$B$7))*COS(RADIANS('11_발전량_모델'!$B$8))</f>
        <v/>
      </c>
      <c r="L1159" s="80">
        <f>COS(RADIANS('11_발전량_모델'!$B$7))</f>
        <v/>
      </c>
      <c r="M1159" s="80">
        <f>G1159*J1159+H1159*K1159+I1159*L1159</f>
        <v/>
      </c>
      <c r="N1159" s="80">
        <f>MAX(0,I1159)</f>
        <v/>
      </c>
      <c r="O1159" s="80">
        <f>IF(I1159&gt;0,MAX(0,M1159),0)</f>
        <v/>
      </c>
      <c r="P1159" s="80">
        <f>IF($I1159&gt;0,MAX(0,$G1159*SIN(RADIANS('13_시나리오비교'!$B$5))*SIN(RADIANS('13_시나리오비교'!$C$5))+$H1159*SIN(RADIANS('13_시나리오비교'!$B$5))*COS(RADIANS('13_시나리오비교'!$C$5))+$I1159*COS(RADIANS('13_시나리오비교'!$B$5))),0)</f>
        <v/>
      </c>
      <c r="Q1159" s="80">
        <f>IF($I1159&gt;0,MAX(0,$G1159*SIN(RADIANS('13_시나리오비교'!$B$6))*SIN(RADIANS('13_시나리오비교'!$C$6))+$H1159*SIN(RADIANS('13_시나리오비교'!$B$6))*COS(RADIANS('13_시나리오비교'!$C$6))+$I1159*COS(RADIANS('13_시나리오비교'!$B$6))),0)</f>
        <v/>
      </c>
      <c r="R1159" s="80">
        <f>IF($I1159&gt;0,MAX(0,$G1159*SIN(RADIANS('13_시나리오비교'!$B$7))*SIN(RADIANS('13_시나리오비교'!$C$7))+$H1159*SIN(RADIANS('13_시나리오비교'!$B$7))*COS(RADIANS('13_시나리오비교'!$C$7))+$I1159*COS(RADIANS('13_시나리오비교'!$B$7))),0)</f>
        <v/>
      </c>
      <c r="S1159" s="80">
        <f>IF($I1159&gt;0,MAX(0,$G1159*SIN(RADIANS('13_시나리오비교'!$B$8))*SIN(RADIANS('13_시나리오비교'!$C$8))+$H1159*SIN(RADIANS('13_시나리오비교'!$B$8))*COS(RADIANS('13_시나리오비교'!$C$8))+$I1159*COS(RADIANS('13_시나리오비교'!$B$8))),0)</f>
        <v/>
      </c>
      <c r="T1159" s="80">
        <f>IF($I1159&gt;0,MAX(0,$G1159*SIN(RADIANS('13_시나리오비교'!$B$9))*SIN(RADIANS('13_시나리오비교'!$C$9))+$H1159*SIN(RADIANS('13_시나리오비교'!$B$9))*COS(RADIANS('13_시나리오비교'!$C$9))+$I1159*COS(RADIANS('13_시나리오비교'!$B$9))),0)</f>
        <v/>
      </c>
      <c r="U1159" s="80">
        <f>IF($I1159&gt;0,MAX(0,$G1159*SIN(RADIANS('13_시나리오비교'!$B$10))*SIN(RADIANS('13_시나리오비교'!$C$10))+$H1159*SIN(RADIANS('13_시나리오비교'!$B$10))*COS(RADIANS('13_시나리오비교'!$C$10))+$I1159*COS(RADIANS('13_시나리오비교'!$B$10))),0)</f>
        <v/>
      </c>
      <c r="V1159" s="80">
        <f>IF($I1159&gt;0,MAX(0,$G1159*SIN(RADIANS('13_시나리오비교'!$B$11))*SIN(RADIANS('13_시나리오비교'!$C$11))+$H1159*SIN(RADIANS('13_시나리오비교'!$B$11))*COS(RADIANS('13_시나리오비교'!$C$11))+$I1159*COS(RADIANS('13_시나리오비교'!$B$11))),0)</f>
        <v/>
      </c>
      <c r="W1159" s="80">
        <f>IF($I1159&gt;0,MAX(0,$G1159*SIN(RADIANS('13_시나리오비교'!$B$12))*SIN(RADIANS('13_시나리오비교'!$C$12))+$H1159*SIN(RADIANS('13_시나리오비교'!$B$12))*COS(RADIANS('13_시나리오비교'!$C$12))+$I1159*COS(RADIANS('13_시나리오비교'!$B$12))),0)</f>
        <v/>
      </c>
      <c r="X1159" s="80">
        <f>IF($I1159&gt;0,MAX(0,$G1159*SIN(RADIANS('13_시나리오비교'!$B$13))*SIN(RADIANS('13_시나리오비교'!$C$13))+$H1159*SIN(RADIANS('13_시나리오비교'!$B$13))*COS(RADIANS('13_시나리오비교'!$C$13))+$I1159*COS(RADIANS('13_시나리오비교'!$B$13))),0)</f>
        <v/>
      </c>
      <c r="Y1159" s="80">
        <f>IF($I1159&gt;0,MAX(0,$G1159*SIN(RADIANS('13_시나리오비교'!$B$14))*SIN(RADIANS('13_시나리오비교'!$C$14))+$H1159*SIN(RADIANS('13_시나리오비교'!$B$14))*COS(RADIANS('13_시나리오비교'!$C$14))+$I1159*COS(RADIANS('13_시나리오비교'!$B$14))),0)</f>
        <v/>
      </c>
    </row>
    <row r="1160" hidden="1" outlineLevel="1">
      <c r="A1160" s="79" t="n">
        <v>12</v>
      </c>
      <c r="B1160" s="79" t="n">
        <v>84</v>
      </c>
      <c r="C1160" s="80">
        <f>(B1160-0.5)*'14_지역·상수'!$H$6</f>
        <v/>
      </c>
      <c r="D1160" s="79" t="n">
        <v>344</v>
      </c>
      <c r="E1160" s="80">
        <f>INDEX($C$4:$C$15,MATCH(A1160,$A$4:$A$15,0))</f>
        <v/>
      </c>
      <c r="F1160" s="80">
        <f>15*(C1160-12)</f>
        <v/>
      </c>
      <c r="G1160" s="80">
        <f>-COS(RADIANS(E1160))*SIN(RADIANS(F1160))</f>
        <v/>
      </c>
      <c r="H1160" s="80">
        <f>COS(RADIANS('11_발전량_모델'!$B$17))*SIN(RADIANS(E1160))-SIN(RADIANS('11_발전량_모델'!$B$17))*COS(RADIANS(E1160))*COS(RADIANS(F1160))</f>
        <v/>
      </c>
      <c r="I1160" s="80">
        <f>SIN(RADIANS('11_발전량_모델'!$B$17))*SIN(RADIANS(E1160))+COS(RADIANS('11_발전량_모델'!$B$17))*COS(RADIANS(E1160))*COS(RADIANS(F1160))</f>
        <v/>
      </c>
      <c r="J1160" s="80">
        <f>SIN(RADIANS('11_발전량_모델'!$B$7))*SIN(RADIANS('11_발전량_모델'!$B$8))</f>
        <v/>
      </c>
      <c r="K1160" s="80">
        <f>SIN(RADIANS('11_발전량_모델'!$B$7))*COS(RADIANS('11_발전량_모델'!$B$8))</f>
        <v/>
      </c>
      <c r="L1160" s="80">
        <f>COS(RADIANS('11_발전량_모델'!$B$7))</f>
        <v/>
      </c>
      <c r="M1160" s="80">
        <f>G1160*J1160+H1160*K1160+I1160*L1160</f>
        <v/>
      </c>
      <c r="N1160" s="80">
        <f>MAX(0,I1160)</f>
        <v/>
      </c>
      <c r="O1160" s="80">
        <f>IF(I1160&gt;0,MAX(0,M1160),0)</f>
        <v/>
      </c>
      <c r="P1160" s="80">
        <f>IF($I1160&gt;0,MAX(0,$G1160*SIN(RADIANS('13_시나리오비교'!$B$5))*SIN(RADIANS('13_시나리오비교'!$C$5))+$H1160*SIN(RADIANS('13_시나리오비교'!$B$5))*COS(RADIANS('13_시나리오비교'!$C$5))+$I1160*COS(RADIANS('13_시나리오비교'!$B$5))),0)</f>
        <v/>
      </c>
      <c r="Q1160" s="80">
        <f>IF($I1160&gt;0,MAX(0,$G1160*SIN(RADIANS('13_시나리오비교'!$B$6))*SIN(RADIANS('13_시나리오비교'!$C$6))+$H1160*SIN(RADIANS('13_시나리오비교'!$B$6))*COS(RADIANS('13_시나리오비교'!$C$6))+$I1160*COS(RADIANS('13_시나리오비교'!$B$6))),0)</f>
        <v/>
      </c>
      <c r="R1160" s="80">
        <f>IF($I1160&gt;0,MAX(0,$G1160*SIN(RADIANS('13_시나리오비교'!$B$7))*SIN(RADIANS('13_시나리오비교'!$C$7))+$H1160*SIN(RADIANS('13_시나리오비교'!$B$7))*COS(RADIANS('13_시나리오비교'!$C$7))+$I1160*COS(RADIANS('13_시나리오비교'!$B$7))),0)</f>
        <v/>
      </c>
      <c r="S1160" s="80">
        <f>IF($I1160&gt;0,MAX(0,$G1160*SIN(RADIANS('13_시나리오비교'!$B$8))*SIN(RADIANS('13_시나리오비교'!$C$8))+$H1160*SIN(RADIANS('13_시나리오비교'!$B$8))*COS(RADIANS('13_시나리오비교'!$C$8))+$I1160*COS(RADIANS('13_시나리오비교'!$B$8))),0)</f>
        <v/>
      </c>
      <c r="T1160" s="80">
        <f>IF($I1160&gt;0,MAX(0,$G1160*SIN(RADIANS('13_시나리오비교'!$B$9))*SIN(RADIANS('13_시나리오비교'!$C$9))+$H1160*SIN(RADIANS('13_시나리오비교'!$B$9))*COS(RADIANS('13_시나리오비교'!$C$9))+$I1160*COS(RADIANS('13_시나리오비교'!$B$9))),0)</f>
        <v/>
      </c>
      <c r="U1160" s="80">
        <f>IF($I1160&gt;0,MAX(0,$G1160*SIN(RADIANS('13_시나리오비교'!$B$10))*SIN(RADIANS('13_시나리오비교'!$C$10))+$H1160*SIN(RADIANS('13_시나리오비교'!$B$10))*COS(RADIANS('13_시나리오비교'!$C$10))+$I1160*COS(RADIANS('13_시나리오비교'!$B$10))),0)</f>
        <v/>
      </c>
      <c r="V1160" s="80">
        <f>IF($I1160&gt;0,MAX(0,$G1160*SIN(RADIANS('13_시나리오비교'!$B$11))*SIN(RADIANS('13_시나리오비교'!$C$11))+$H1160*SIN(RADIANS('13_시나리오비교'!$B$11))*COS(RADIANS('13_시나리오비교'!$C$11))+$I1160*COS(RADIANS('13_시나리오비교'!$B$11))),0)</f>
        <v/>
      </c>
      <c r="W1160" s="80">
        <f>IF($I1160&gt;0,MAX(0,$G1160*SIN(RADIANS('13_시나리오비교'!$B$12))*SIN(RADIANS('13_시나리오비교'!$C$12))+$H1160*SIN(RADIANS('13_시나리오비교'!$B$12))*COS(RADIANS('13_시나리오비교'!$C$12))+$I1160*COS(RADIANS('13_시나리오비교'!$B$12))),0)</f>
        <v/>
      </c>
      <c r="X1160" s="80">
        <f>IF($I1160&gt;0,MAX(0,$G1160*SIN(RADIANS('13_시나리오비교'!$B$13))*SIN(RADIANS('13_시나리오비교'!$C$13))+$H1160*SIN(RADIANS('13_시나리오비교'!$B$13))*COS(RADIANS('13_시나리오비교'!$C$13))+$I1160*COS(RADIANS('13_시나리오비교'!$B$13))),0)</f>
        <v/>
      </c>
      <c r="Y1160" s="80">
        <f>IF($I1160&gt;0,MAX(0,$G1160*SIN(RADIANS('13_시나리오비교'!$B$14))*SIN(RADIANS('13_시나리오비교'!$C$14))+$H1160*SIN(RADIANS('13_시나리오비교'!$B$14))*COS(RADIANS('13_시나리오비교'!$C$14))+$I1160*COS(RADIANS('13_시나리오비교'!$B$14))),0)</f>
        <v/>
      </c>
    </row>
    <row r="1161" hidden="1" outlineLevel="1">
      <c r="A1161" s="79" t="n">
        <v>12</v>
      </c>
      <c r="B1161" s="79" t="n">
        <v>85</v>
      </c>
      <c r="C1161" s="80">
        <f>(B1161-0.5)*'14_지역·상수'!$H$6</f>
        <v/>
      </c>
      <c r="D1161" s="79" t="n">
        <v>344</v>
      </c>
      <c r="E1161" s="80">
        <f>INDEX($C$4:$C$15,MATCH(A1161,$A$4:$A$15,0))</f>
        <v/>
      </c>
      <c r="F1161" s="80">
        <f>15*(C1161-12)</f>
        <v/>
      </c>
      <c r="G1161" s="80">
        <f>-COS(RADIANS(E1161))*SIN(RADIANS(F1161))</f>
        <v/>
      </c>
      <c r="H1161" s="80">
        <f>COS(RADIANS('11_발전량_모델'!$B$17))*SIN(RADIANS(E1161))-SIN(RADIANS('11_발전량_모델'!$B$17))*COS(RADIANS(E1161))*COS(RADIANS(F1161))</f>
        <v/>
      </c>
      <c r="I1161" s="80">
        <f>SIN(RADIANS('11_발전량_모델'!$B$17))*SIN(RADIANS(E1161))+COS(RADIANS('11_발전량_모델'!$B$17))*COS(RADIANS(E1161))*COS(RADIANS(F1161))</f>
        <v/>
      </c>
      <c r="J1161" s="80">
        <f>SIN(RADIANS('11_발전량_모델'!$B$7))*SIN(RADIANS('11_발전량_모델'!$B$8))</f>
        <v/>
      </c>
      <c r="K1161" s="80">
        <f>SIN(RADIANS('11_발전량_모델'!$B$7))*COS(RADIANS('11_발전량_모델'!$B$8))</f>
        <v/>
      </c>
      <c r="L1161" s="80">
        <f>COS(RADIANS('11_발전량_모델'!$B$7))</f>
        <v/>
      </c>
      <c r="M1161" s="80">
        <f>G1161*J1161+H1161*K1161+I1161*L1161</f>
        <v/>
      </c>
      <c r="N1161" s="80">
        <f>MAX(0,I1161)</f>
        <v/>
      </c>
      <c r="O1161" s="80">
        <f>IF(I1161&gt;0,MAX(0,M1161),0)</f>
        <v/>
      </c>
      <c r="P1161" s="80">
        <f>IF($I1161&gt;0,MAX(0,$G1161*SIN(RADIANS('13_시나리오비교'!$B$5))*SIN(RADIANS('13_시나리오비교'!$C$5))+$H1161*SIN(RADIANS('13_시나리오비교'!$B$5))*COS(RADIANS('13_시나리오비교'!$C$5))+$I1161*COS(RADIANS('13_시나리오비교'!$B$5))),0)</f>
        <v/>
      </c>
      <c r="Q1161" s="80">
        <f>IF($I1161&gt;0,MAX(0,$G1161*SIN(RADIANS('13_시나리오비교'!$B$6))*SIN(RADIANS('13_시나리오비교'!$C$6))+$H1161*SIN(RADIANS('13_시나리오비교'!$B$6))*COS(RADIANS('13_시나리오비교'!$C$6))+$I1161*COS(RADIANS('13_시나리오비교'!$B$6))),0)</f>
        <v/>
      </c>
      <c r="R1161" s="80">
        <f>IF($I1161&gt;0,MAX(0,$G1161*SIN(RADIANS('13_시나리오비교'!$B$7))*SIN(RADIANS('13_시나리오비교'!$C$7))+$H1161*SIN(RADIANS('13_시나리오비교'!$B$7))*COS(RADIANS('13_시나리오비교'!$C$7))+$I1161*COS(RADIANS('13_시나리오비교'!$B$7))),0)</f>
        <v/>
      </c>
      <c r="S1161" s="80">
        <f>IF($I1161&gt;0,MAX(0,$G1161*SIN(RADIANS('13_시나리오비교'!$B$8))*SIN(RADIANS('13_시나리오비교'!$C$8))+$H1161*SIN(RADIANS('13_시나리오비교'!$B$8))*COS(RADIANS('13_시나리오비교'!$C$8))+$I1161*COS(RADIANS('13_시나리오비교'!$B$8))),0)</f>
        <v/>
      </c>
      <c r="T1161" s="80">
        <f>IF($I1161&gt;0,MAX(0,$G1161*SIN(RADIANS('13_시나리오비교'!$B$9))*SIN(RADIANS('13_시나리오비교'!$C$9))+$H1161*SIN(RADIANS('13_시나리오비교'!$B$9))*COS(RADIANS('13_시나리오비교'!$C$9))+$I1161*COS(RADIANS('13_시나리오비교'!$B$9))),0)</f>
        <v/>
      </c>
      <c r="U1161" s="80">
        <f>IF($I1161&gt;0,MAX(0,$G1161*SIN(RADIANS('13_시나리오비교'!$B$10))*SIN(RADIANS('13_시나리오비교'!$C$10))+$H1161*SIN(RADIANS('13_시나리오비교'!$B$10))*COS(RADIANS('13_시나리오비교'!$C$10))+$I1161*COS(RADIANS('13_시나리오비교'!$B$10))),0)</f>
        <v/>
      </c>
      <c r="V1161" s="80">
        <f>IF($I1161&gt;0,MAX(0,$G1161*SIN(RADIANS('13_시나리오비교'!$B$11))*SIN(RADIANS('13_시나리오비교'!$C$11))+$H1161*SIN(RADIANS('13_시나리오비교'!$B$11))*COS(RADIANS('13_시나리오비교'!$C$11))+$I1161*COS(RADIANS('13_시나리오비교'!$B$11))),0)</f>
        <v/>
      </c>
      <c r="W1161" s="80">
        <f>IF($I1161&gt;0,MAX(0,$G1161*SIN(RADIANS('13_시나리오비교'!$B$12))*SIN(RADIANS('13_시나리오비교'!$C$12))+$H1161*SIN(RADIANS('13_시나리오비교'!$B$12))*COS(RADIANS('13_시나리오비교'!$C$12))+$I1161*COS(RADIANS('13_시나리오비교'!$B$12))),0)</f>
        <v/>
      </c>
      <c r="X1161" s="80">
        <f>IF($I1161&gt;0,MAX(0,$G1161*SIN(RADIANS('13_시나리오비교'!$B$13))*SIN(RADIANS('13_시나리오비교'!$C$13))+$H1161*SIN(RADIANS('13_시나리오비교'!$B$13))*COS(RADIANS('13_시나리오비교'!$C$13))+$I1161*COS(RADIANS('13_시나리오비교'!$B$13))),0)</f>
        <v/>
      </c>
      <c r="Y1161" s="80">
        <f>IF($I1161&gt;0,MAX(0,$G1161*SIN(RADIANS('13_시나리오비교'!$B$14))*SIN(RADIANS('13_시나리오비교'!$C$14))+$H1161*SIN(RADIANS('13_시나리오비교'!$B$14))*COS(RADIANS('13_시나리오비교'!$C$14))+$I1161*COS(RADIANS('13_시나리오비교'!$B$14))),0)</f>
        <v/>
      </c>
    </row>
    <row r="1162" hidden="1" outlineLevel="1">
      <c r="A1162" s="79" t="n">
        <v>12</v>
      </c>
      <c r="B1162" s="79" t="n">
        <v>86</v>
      </c>
      <c r="C1162" s="80">
        <f>(B1162-0.5)*'14_지역·상수'!$H$6</f>
        <v/>
      </c>
      <c r="D1162" s="79" t="n">
        <v>344</v>
      </c>
      <c r="E1162" s="80">
        <f>INDEX($C$4:$C$15,MATCH(A1162,$A$4:$A$15,0))</f>
        <v/>
      </c>
      <c r="F1162" s="80">
        <f>15*(C1162-12)</f>
        <v/>
      </c>
      <c r="G1162" s="80">
        <f>-COS(RADIANS(E1162))*SIN(RADIANS(F1162))</f>
        <v/>
      </c>
      <c r="H1162" s="80">
        <f>COS(RADIANS('11_발전량_모델'!$B$17))*SIN(RADIANS(E1162))-SIN(RADIANS('11_발전량_모델'!$B$17))*COS(RADIANS(E1162))*COS(RADIANS(F1162))</f>
        <v/>
      </c>
      <c r="I1162" s="80">
        <f>SIN(RADIANS('11_발전량_모델'!$B$17))*SIN(RADIANS(E1162))+COS(RADIANS('11_발전량_모델'!$B$17))*COS(RADIANS(E1162))*COS(RADIANS(F1162))</f>
        <v/>
      </c>
      <c r="J1162" s="80">
        <f>SIN(RADIANS('11_발전량_모델'!$B$7))*SIN(RADIANS('11_발전량_모델'!$B$8))</f>
        <v/>
      </c>
      <c r="K1162" s="80">
        <f>SIN(RADIANS('11_발전량_모델'!$B$7))*COS(RADIANS('11_발전량_모델'!$B$8))</f>
        <v/>
      </c>
      <c r="L1162" s="80">
        <f>COS(RADIANS('11_발전량_모델'!$B$7))</f>
        <v/>
      </c>
      <c r="M1162" s="80">
        <f>G1162*J1162+H1162*K1162+I1162*L1162</f>
        <v/>
      </c>
      <c r="N1162" s="80">
        <f>MAX(0,I1162)</f>
        <v/>
      </c>
      <c r="O1162" s="80">
        <f>IF(I1162&gt;0,MAX(0,M1162),0)</f>
        <v/>
      </c>
      <c r="P1162" s="80">
        <f>IF($I1162&gt;0,MAX(0,$G1162*SIN(RADIANS('13_시나리오비교'!$B$5))*SIN(RADIANS('13_시나리오비교'!$C$5))+$H1162*SIN(RADIANS('13_시나리오비교'!$B$5))*COS(RADIANS('13_시나리오비교'!$C$5))+$I1162*COS(RADIANS('13_시나리오비교'!$B$5))),0)</f>
        <v/>
      </c>
      <c r="Q1162" s="80">
        <f>IF($I1162&gt;0,MAX(0,$G1162*SIN(RADIANS('13_시나리오비교'!$B$6))*SIN(RADIANS('13_시나리오비교'!$C$6))+$H1162*SIN(RADIANS('13_시나리오비교'!$B$6))*COS(RADIANS('13_시나리오비교'!$C$6))+$I1162*COS(RADIANS('13_시나리오비교'!$B$6))),0)</f>
        <v/>
      </c>
      <c r="R1162" s="80">
        <f>IF($I1162&gt;0,MAX(0,$G1162*SIN(RADIANS('13_시나리오비교'!$B$7))*SIN(RADIANS('13_시나리오비교'!$C$7))+$H1162*SIN(RADIANS('13_시나리오비교'!$B$7))*COS(RADIANS('13_시나리오비교'!$C$7))+$I1162*COS(RADIANS('13_시나리오비교'!$B$7))),0)</f>
        <v/>
      </c>
      <c r="S1162" s="80">
        <f>IF($I1162&gt;0,MAX(0,$G1162*SIN(RADIANS('13_시나리오비교'!$B$8))*SIN(RADIANS('13_시나리오비교'!$C$8))+$H1162*SIN(RADIANS('13_시나리오비교'!$B$8))*COS(RADIANS('13_시나리오비교'!$C$8))+$I1162*COS(RADIANS('13_시나리오비교'!$B$8))),0)</f>
        <v/>
      </c>
      <c r="T1162" s="80">
        <f>IF($I1162&gt;0,MAX(0,$G1162*SIN(RADIANS('13_시나리오비교'!$B$9))*SIN(RADIANS('13_시나리오비교'!$C$9))+$H1162*SIN(RADIANS('13_시나리오비교'!$B$9))*COS(RADIANS('13_시나리오비교'!$C$9))+$I1162*COS(RADIANS('13_시나리오비교'!$B$9))),0)</f>
        <v/>
      </c>
      <c r="U1162" s="80">
        <f>IF($I1162&gt;0,MAX(0,$G1162*SIN(RADIANS('13_시나리오비교'!$B$10))*SIN(RADIANS('13_시나리오비교'!$C$10))+$H1162*SIN(RADIANS('13_시나리오비교'!$B$10))*COS(RADIANS('13_시나리오비교'!$C$10))+$I1162*COS(RADIANS('13_시나리오비교'!$B$10))),0)</f>
        <v/>
      </c>
      <c r="V1162" s="80">
        <f>IF($I1162&gt;0,MAX(0,$G1162*SIN(RADIANS('13_시나리오비교'!$B$11))*SIN(RADIANS('13_시나리오비교'!$C$11))+$H1162*SIN(RADIANS('13_시나리오비교'!$B$11))*COS(RADIANS('13_시나리오비교'!$C$11))+$I1162*COS(RADIANS('13_시나리오비교'!$B$11))),0)</f>
        <v/>
      </c>
      <c r="W1162" s="80">
        <f>IF($I1162&gt;0,MAX(0,$G1162*SIN(RADIANS('13_시나리오비교'!$B$12))*SIN(RADIANS('13_시나리오비교'!$C$12))+$H1162*SIN(RADIANS('13_시나리오비교'!$B$12))*COS(RADIANS('13_시나리오비교'!$C$12))+$I1162*COS(RADIANS('13_시나리오비교'!$B$12))),0)</f>
        <v/>
      </c>
      <c r="X1162" s="80">
        <f>IF($I1162&gt;0,MAX(0,$G1162*SIN(RADIANS('13_시나리오비교'!$B$13))*SIN(RADIANS('13_시나리오비교'!$C$13))+$H1162*SIN(RADIANS('13_시나리오비교'!$B$13))*COS(RADIANS('13_시나리오비교'!$C$13))+$I1162*COS(RADIANS('13_시나리오비교'!$B$13))),0)</f>
        <v/>
      </c>
      <c r="Y1162" s="80">
        <f>IF($I1162&gt;0,MAX(0,$G1162*SIN(RADIANS('13_시나리오비교'!$B$14))*SIN(RADIANS('13_시나리오비교'!$C$14))+$H1162*SIN(RADIANS('13_시나리오비교'!$B$14))*COS(RADIANS('13_시나리오비교'!$C$14))+$I1162*COS(RADIANS('13_시나리오비교'!$B$14))),0)</f>
        <v/>
      </c>
    </row>
    <row r="1163" hidden="1" outlineLevel="1">
      <c r="A1163" s="79" t="n">
        <v>12</v>
      </c>
      <c r="B1163" s="79" t="n">
        <v>87</v>
      </c>
      <c r="C1163" s="80">
        <f>(B1163-0.5)*'14_지역·상수'!$H$6</f>
        <v/>
      </c>
      <c r="D1163" s="79" t="n">
        <v>344</v>
      </c>
      <c r="E1163" s="80">
        <f>INDEX($C$4:$C$15,MATCH(A1163,$A$4:$A$15,0))</f>
        <v/>
      </c>
      <c r="F1163" s="80">
        <f>15*(C1163-12)</f>
        <v/>
      </c>
      <c r="G1163" s="80">
        <f>-COS(RADIANS(E1163))*SIN(RADIANS(F1163))</f>
        <v/>
      </c>
      <c r="H1163" s="80">
        <f>COS(RADIANS('11_발전량_모델'!$B$17))*SIN(RADIANS(E1163))-SIN(RADIANS('11_발전량_모델'!$B$17))*COS(RADIANS(E1163))*COS(RADIANS(F1163))</f>
        <v/>
      </c>
      <c r="I1163" s="80">
        <f>SIN(RADIANS('11_발전량_모델'!$B$17))*SIN(RADIANS(E1163))+COS(RADIANS('11_발전량_모델'!$B$17))*COS(RADIANS(E1163))*COS(RADIANS(F1163))</f>
        <v/>
      </c>
      <c r="J1163" s="80">
        <f>SIN(RADIANS('11_발전량_모델'!$B$7))*SIN(RADIANS('11_발전량_모델'!$B$8))</f>
        <v/>
      </c>
      <c r="K1163" s="80">
        <f>SIN(RADIANS('11_발전량_모델'!$B$7))*COS(RADIANS('11_발전량_모델'!$B$8))</f>
        <v/>
      </c>
      <c r="L1163" s="80">
        <f>COS(RADIANS('11_발전량_모델'!$B$7))</f>
        <v/>
      </c>
      <c r="M1163" s="80">
        <f>G1163*J1163+H1163*K1163+I1163*L1163</f>
        <v/>
      </c>
      <c r="N1163" s="80">
        <f>MAX(0,I1163)</f>
        <v/>
      </c>
      <c r="O1163" s="80">
        <f>IF(I1163&gt;0,MAX(0,M1163),0)</f>
        <v/>
      </c>
      <c r="P1163" s="80">
        <f>IF($I1163&gt;0,MAX(0,$G1163*SIN(RADIANS('13_시나리오비교'!$B$5))*SIN(RADIANS('13_시나리오비교'!$C$5))+$H1163*SIN(RADIANS('13_시나리오비교'!$B$5))*COS(RADIANS('13_시나리오비교'!$C$5))+$I1163*COS(RADIANS('13_시나리오비교'!$B$5))),0)</f>
        <v/>
      </c>
      <c r="Q1163" s="80">
        <f>IF($I1163&gt;0,MAX(0,$G1163*SIN(RADIANS('13_시나리오비교'!$B$6))*SIN(RADIANS('13_시나리오비교'!$C$6))+$H1163*SIN(RADIANS('13_시나리오비교'!$B$6))*COS(RADIANS('13_시나리오비교'!$C$6))+$I1163*COS(RADIANS('13_시나리오비교'!$B$6))),0)</f>
        <v/>
      </c>
      <c r="R1163" s="80">
        <f>IF($I1163&gt;0,MAX(0,$G1163*SIN(RADIANS('13_시나리오비교'!$B$7))*SIN(RADIANS('13_시나리오비교'!$C$7))+$H1163*SIN(RADIANS('13_시나리오비교'!$B$7))*COS(RADIANS('13_시나리오비교'!$C$7))+$I1163*COS(RADIANS('13_시나리오비교'!$B$7))),0)</f>
        <v/>
      </c>
      <c r="S1163" s="80">
        <f>IF($I1163&gt;0,MAX(0,$G1163*SIN(RADIANS('13_시나리오비교'!$B$8))*SIN(RADIANS('13_시나리오비교'!$C$8))+$H1163*SIN(RADIANS('13_시나리오비교'!$B$8))*COS(RADIANS('13_시나리오비교'!$C$8))+$I1163*COS(RADIANS('13_시나리오비교'!$B$8))),0)</f>
        <v/>
      </c>
      <c r="T1163" s="80">
        <f>IF($I1163&gt;0,MAX(0,$G1163*SIN(RADIANS('13_시나리오비교'!$B$9))*SIN(RADIANS('13_시나리오비교'!$C$9))+$H1163*SIN(RADIANS('13_시나리오비교'!$B$9))*COS(RADIANS('13_시나리오비교'!$C$9))+$I1163*COS(RADIANS('13_시나리오비교'!$B$9))),0)</f>
        <v/>
      </c>
      <c r="U1163" s="80">
        <f>IF($I1163&gt;0,MAX(0,$G1163*SIN(RADIANS('13_시나리오비교'!$B$10))*SIN(RADIANS('13_시나리오비교'!$C$10))+$H1163*SIN(RADIANS('13_시나리오비교'!$B$10))*COS(RADIANS('13_시나리오비교'!$C$10))+$I1163*COS(RADIANS('13_시나리오비교'!$B$10))),0)</f>
        <v/>
      </c>
      <c r="V1163" s="80">
        <f>IF($I1163&gt;0,MAX(0,$G1163*SIN(RADIANS('13_시나리오비교'!$B$11))*SIN(RADIANS('13_시나리오비교'!$C$11))+$H1163*SIN(RADIANS('13_시나리오비교'!$B$11))*COS(RADIANS('13_시나리오비교'!$C$11))+$I1163*COS(RADIANS('13_시나리오비교'!$B$11))),0)</f>
        <v/>
      </c>
      <c r="W1163" s="80">
        <f>IF($I1163&gt;0,MAX(0,$G1163*SIN(RADIANS('13_시나리오비교'!$B$12))*SIN(RADIANS('13_시나리오비교'!$C$12))+$H1163*SIN(RADIANS('13_시나리오비교'!$B$12))*COS(RADIANS('13_시나리오비교'!$C$12))+$I1163*COS(RADIANS('13_시나리오비교'!$B$12))),0)</f>
        <v/>
      </c>
      <c r="X1163" s="80">
        <f>IF($I1163&gt;0,MAX(0,$G1163*SIN(RADIANS('13_시나리오비교'!$B$13))*SIN(RADIANS('13_시나리오비교'!$C$13))+$H1163*SIN(RADIANS('13_시나리오비교'!$B$13))*COS(RADIANS('13_시나리오비교'!$C$13))+$I1163*COS(RADIANS('13_시나리오비교'!$B$13))),0)</f>
        <v/>
      </c>
      <c r="Y1163" s="80">
        <f>IF($I1163&gt;0,MAX(0,$G1163*SIN(RADIANS('13_시나리오비교'!$B$14))*SIN(RADIANS('13_시나리오비교'!$C$14))+$H1163*SIN(RADIANS('13_시나리오비교'!$B$14))*COS(RADIANS('13_시나리오비교'!$C$14))+$I1163*COS(RADIANS('13_시나리오비교'!$B$14))),0)</f>
        <v/>
      </c>
    </row>
    <row r="1164" hidden="1" outlineLevel="1">
      <c r="A1164" s="79" t="n">
        <v>12</v>
      </c>
      <c r="B1164" s="79" t="n">
        <v>88</v>
      </c>
      <c r="C1164" s="80">
        <f>(B1164-0.5)*'14_지역·상수'!$H$6</f>
        <v/>
      </c>
      <c r="D1164" s="79" t="n">
        <v>344</v>
      </c>
      <c r="E1164" s="80">
        <f>INDEX($C$4:$C$15,MATCH(A1164,$A$4:$A$15,0))</f>
        <v/>
      </c>
      <c r="F1164" s="80">
        <f>15*(C1164-12)</f>
        <v/>
      </c>
      <c r="G1164" s="80">
        <f>-COS(RADIANS(E1164))*SIN(RADIANS(F1164))</f>
        <v/>
      </c>
      <c r="H1164" s="80">
        <f>COS(RADIANS('11_발전량_모델'!$B$17))*SIN(RADIANS(E1164))-SIN(RADIANS('11_발전량_모델'!$B$17))*COS(RADIANS(E1164))*COS(RADIANS(F1164))</f>
        <v/>
      </c>
      <c r="I1164" s="80">
        <f>SIN(RADIANS('11_발전량_모델'!$B$17))*SIN(RADIANS(E1164))+COS(RADIANS('11_발전량_모델'!$B$17))*COS(RADIANS(E1164))*COS(RADIANS(F1164))</f>
        <v/>
      </c>
      <c r="J1164" s="80">
        <f>SIN(RADIANS('11_발전량_모델'!$B$7))*SIN(RADIANS('11_발전량_모델'!$B$8))</f>
        <v/>
      </c>
      <c r="K1164" s="80">
        <f>SIN(RADIANS('11_발전량_모델'!$B$7))*COS(RADIANS('11_발전량_모델'!$B$8))</f>
        <v/>
      </c>
      <c r="L1164" s="80">
        <f>COS(RADIANS('11_발전량_모델'!$B$7))</f>
        <v/>
      </c>
      <c r="M1164" s="80">
        <f>G1164*J1164+H1164*K1164+I1164*L1164</f>
        <v/>
      </c>
      <c r="N1164" s="80">
        <f>MAX(0,I1164)</f>
        <v/>
      </c>
      <c r="O1164" s="80">
        <f>IF(I1164&gt;0,MAX(0,M1164),0)</f>
        <v/>
      </c>
      <c r="P1164" s="80">
        <f>IF($I1164&gt;0,MAX(0,$G1164*SIN(RADIANS('13_시나리오비교'!$B$5))*SIN(RADIANS('13_시나리오비교'!$C$5))+$H1164*SIN(RADIANS('13_시나리오비교'!$B$5))*COS(RADIANS('13_시나리오비교'!$C$5))+$I1164*COS(RADIANS('13_시나리오비교'!$B$5))),0)</f>
        <v/>
      </c>
      <c r="Q1164" s="80">
        <f>IF($I1164&gt;0,MAX(0,$G1164*SIN(RADIANS('13_시나리오비교'!$B$6))*SIN(RADIANS('13_시나리오비교'!$C$6))+$H1164*SIN(RADIANS('13_시나리오비교'!$B$6))*COS(RADIANS('13_시나리오비교'!$C$6))+$I1164*COS(RADIANS('13_시나리오비교'!$B$6))),0)</f>
        <v/>
      </c>
      <c r="R1164" s="80">
        <f>IF($I1164&gt;0,MAX(0,$G1164*SIN(RADIANS('13_시나리오비교'!$B$7))*SIN(RADIANS('13_시나리오비교'!$C$7))+$H1164*SIN(RADIANS('13_시나리오비교'!$B$7))*COS(RADIANS('13_시나리오비교'!$C$7))+$I1164*COS(RADIANS('13_시나리오비교'!$B$7))),0)</f>
        <v/>
      </c>
      <c r="S1164" s="80">
        <f>IF($I1164&gt;0,MAX(0,$G1164*SIN(RADIANS('13_시나리오비교'!$B$8))*SIN(RADIANS('13_시나리오비교'!$C$8))+$H1164*SIN(RADIANS('13_시나리오비교'!$B$8))*COS(RADIANS('13_시나리오비교'!$C$8))+$I1164*COS(RADIANS('13_시나리오비교'!$B$8))),0)</f>
        <v/>
      </c>
      <c r="T1164" s="80">
        <f>IF($I1164&gt;0,MAX(0,$G1164*SIN(RADIANS('13_시나리오비교'!$B$9))*SIN(RADIANS('13_시나리오비교'!$C$9))+$H1164*SIN(RADIANS('13_시나리오비교'!$B$9))*COS(RADIANS('13_시나리오비교'!$C$9))+$I1164*COS(RADIANS('13_시나리오비교'!$B$9))),0)</f>
        <v/>
      </c>
      <c r="U1164" s="80">
        <f>IF($I1164&gt;0,MAX(0,$G1164*SIN(RADIANS('13_시나리오비교'!$B$10))*SIN(RADIANS('13_시나리오비교'!$C$10))+$H1164*SIN(RADIANS('13_시나리오비교'!$B$10))*COS(RADIANS('13_시나리오비교'!$C$10))+$I1164*COS(RADIANS('13_시나리오비교'!$B$10))),0)</f>
        <v/>
      </c>
      <c r="V1164" s="80">
        <f>IF($I1164&gt;0,MAX(0,$G1164*SIN(RADIANS('13_시나리오비교'!$B$11))*SIN(RADIANS('13_시나리오비교'!$C$11))+$H1164*SIN(RADIANS('13_시나리오비교'!$B$11))*COS(RADIANS('13_시나리오비교'!$C$11))+$I1164*COS(RADIANS('13_시나리오비교'!$B$11))),0)</f>
        <v/>
      </c>
      <c r="W1164" s="80">
        <f>IF($I1164&gt;0,MAX(0,$G1164*SIN(RADIANS('13_시나리오비교'!$B$12))*SIN(RADIANS('13_시나리오비교'!$C$12))+$H1164*SIN(RADIANS('13_시나리오비교'!$B$12))*COS(RADIANS('13_시나리오비교'!$C$12))+$I1164*COS(RADIANS('13_시나리오비교'!$B$12))),0)</f>
        <v/>
      </c>
      <c r="X1164" s="80">
        <f>IF($I1164&gt;0,MAX(0,$G1164*SIN(RADIANS('13_시나리오비교'!$B$13))*SIN(RADIANS('13_시나리오비교'!$C$13))+$H1164*SIN(RADIANS('13_시나리오비교'!$B$13))*COS(RADIANS('13_시나리오비교'!$C$13))+$I1164*COS(RADIANS('13_시나리오비교'!$B$13))),0)</f>
        <v/>
      </c>
      <c r="Y1164" s="80">
        <f>IF($I1164&gt;0,MAX(0,$G1164*SIN(RADIANS('13_시나리오비교'!$B$14))*SIN(RADIANS('13_시나리오비교'!$C$14))+$H1164*SIN(RADIANS('13_시나리오비교'!$B$14))*COS(RADIANS('13_시나리오비교'!$C$14))+$I1164*COS(RADIANS('13_시나리오비교'!$B$14))),0)</f>
        <v/>
      </c>
    </row>
    <row r="1165" hidden="1" outlineLevel="1">
      <c r="A1165" s="79" t="n">
        <v>12</v>
      </c>
      <c r="B1165" s="79" t="n">
        <v>89</v>
      </c>
      <c r="C1165" s="80">
        <f>(B1165-0.5)*'14_지역·상수'!$H$6</f>
        <v/>
      </c>
      <c r="D1165" s="79" t="n">
        <v>344</v>
      </c>
      <c r="E1165" s="80">
        <f>INDEX($C$4:$C$15,MATCH(A1165,$A$4:$A$15,0))</f>
        <v/>
      </c>
      <c r="F1165" s="80">
        <f>15*(C1165-12)</f>
        <v/>
      </c>
      <c r="G1165" s="80">
        <f>-COS(RADIANS(E1165))*SIN(RADIANS(F1165))</f>
        <v/>
      </c>
      <c r="H1165" s="80">
        <f>COS(RADIANS('11_발전량_모델'!$B$17))*SIN(RADIANS(E1165))-SIN(RADIANS('11_발전량_모델'!$B$17))*COS(RADIANS(E1165))*COS(RADIANS(F1165))</f>
        <v/>
      </c>
      <c r="I1165" s="80">
        <f>SIN(RADIANS('11_발전량_모델'!$B$17))*SIN(RADIANS(E1165))+COS(RADIANS('11_발전량_모델'!$B$17))*COS(RADIANS(E1165))*COS(RADIANS(F1165))</f>
        <v/>
      </c>
      <c r="J1165" s="80">
        <f>SIN(RADIANS('11_발전량_모델'!$B$7))*SIN(RADIANS('11_발전량_모델'!$B$8))</f>
        <v/>
      </c>
      <c r="K1165" s="80">
        <f>SIN(RADIANS('11_발전량_모델'!$B$7))*COS(RADIANS('11_발전량_모델'!$B$8))</f>
        <v/>
      </c>
      <c r="L1165" s="80">
        <f>COS(RADIANS('11_발전량_모델'!$B$7))</f>
        <v/>
      </c>
      <c r="M1165" s="80">
        <f>G1165*J1165+H1165*K1165+I1165*L1165</f>
        <v/>
      </c>
      <c r="N1165" s="80">
        <f>MAX(0,I1165)</f>
        <v/>
      </c>
      <c r="O1165" s="80">
        <f>IF(I1165&gt;0,MAX(0,M1165),0)</f>
        <v/>
      </c>
      <c r="P1165" s="80">
        <f>IF($I1165&gt;0,MAX(0,$G1165*SIN(RADIANS('13_시나리오비교'!$B$5))*SIN(RADIANS('13_시나리오비교'!$C$5))+$H1165*SIN(RADIANS('13_시나리오비교'!$B$5))*COS(RADIANS('13_시나리오비교'!$C$5))+$I1165*COS(RADIANS('13_시나리오비교'!$B$5))),0)</f>
        <v/>
      </c>
      <c r="Q1165" s="80">
        <f>IF($I1165&gt;0,MAX(0,$G1165*SIN(RADIANS('13_시나리오비교'!$B$6))*SIN(RADIANS('13_시나리오비교'!$C$6))+$H1165*SIN(RADIANS('13_시나리오비교'!$B$6))*COS(RADIANS('13_시나리오비교'!$C$6))+$I1165*COS(RADIANS('13_시나리오비교'!$B$6))),0)</f>
        <v/>
      </c>
      <c r="R1165" s="80">
        <f>IF($I1165&gt;0,MAX(0,$G1165*SIN(RADIANS('13_시나리오비교'!$B$7))*SIN(RADIANS('13_시나리오비교'!$C$7))+$H1165*SIN(RADIANS('13_시나리오비교'!$B$7))*COS(RADIANS('13_시나리오비교'!$C$7))+$I1165*COS(RADIANS('13_시나리오비교'!$B$7))),0)</f>
        <v/>
      </c>
      <c r="S1165" s="80">
        <f>IF($I1165&gt;0,MAX(0,$G1165*SIN(RADIANS('13_시나리오비교'!$B$8))*SIN(RADIANS('13_시나리오비교'!$C$8))+$H1165*SIN(RADIANS('13_시나리오비교'!$B$8))*COS(RADIANS('13_시나리오비교'!$C$8))+$I1165*COS(RADIANS('13_시나리오비교'!$B$8))),0)</f>
        <v/>
      </c>
      <c r="T1165" s="80">
        <f>IF($I1165&gt;0,MAX(0,$G1165*SIN(RADIANS('13_시나리오비교'!$B$9))*SIN(RADIANS('13_시나리오비교'!$C$9))+$H1165*SIN(RADIANS('13_시나리오비교'!$B$9))*COS(RADIANS('13_시나리오비교'!$C$9))+$I1165*COS(RADIANS('13_시나리오비교'!$B$9))),0)</f>
        <v/>
      </c>
      <c r="U1165" s="80">
        <f>IF($I1165&gt;0,MAX(0,$G1165*SIN(RADIANS('13_시나리오비교'!$B$10))*SIN(RADIANS('13_시나리오비교'!$C$10))+$H1165*SIN(RADIANS('13_시나리오비교'!$B$10))*COS(RADIANS('13_시나리오비교'!$C$10))+$I1165*COS(RADIANS('13_시나리오비교'!$B$10))),0)</f>
        <v/>
      </c>
      <c r="V1165" s="80">
        <f>IF($I1165&gt;0,MAX(0,$G1165*SIN(RADIANS('13_시나리오비교'!$B$11))*SIN(RADIANS('13_시나리오비교'!$C$11))+$H1165*SIN(RADIANS('13_시나리오비교'!$B$11))*COS(RADIANS('13_시나리오비교'!$C$11))+$I1165*COS(RADIANS('13_시나리오비교'!$B$11))),0)</f>
        <v/>
      </c>
      <c r="W1165" s="80">
        <f>IF($I1165&gt;0,MAX(0,$G1165*SIN(RADIANS('13_시나리오비교'!$B$12))*SIN(RADIANS('13_시나리오비교'!$C$12))+$H1165*SIN(RADIANS('13_시나리오비교'!$B$12))*COS(RADIANS('13_시나리오비교'!$C$12))+$I1165*COS(RADIANS('13_시나리오비교'!$B$12))),0)</f>
        <v/>
      </c>
      <c r="X1165" s="80">
        <f>IF($I1165&gt;0,MAX(0,$G1165*SIN(RADIANS('13_시나리오비교'!$B$13))*SIN(RADIANS('13_시나리오비교'!$C$13))+$H1165*SIN(RADIANS('13_시나리오비교'!$B$13))*COS(RADIANS('13_시나리오비교'!$C$13))+$I1165*COS(RADIANS('13_시나리오비교'!$B$13))),0)</f>
        <v/>
      </c>
      <c r="Y1165" s="80">
        <f>IF($I1165&gt;0,MAX(0,$G1165*SIN(RADIANS('13_시나리오비교'!$B$14))*SIN(RADIANS('13_시나리오비교'!$C$14))+$H1165*SIN(RADIANS('13_시나리오비교'!$B$14))*COS(RADIANS('13_시나리오비교'!$C$14))+$I1165*COS(RADIANS('13_시나리오비교'!$B$14))),0)</f>
        <v/>
      </c>
    </row>
    <row r="1166" hidden="1" outlineLevel="1">
      <c r="A1166" s="79" t="n">
        <v>12</v>
      </c>
      <c r="B1166" s="79" t="n">
        <v>90</v>
      </c>
      <c r="C1166" s="80">
        <f>(B1166-0.5)*'14_지역·상수'!$H$6</f>
        <v/>
      </c>
      <c r="D1166" s="79" t="n">
        <v>344</v>
      </c>
      <c r="E1166" s="80">
        <f>INDEX($C$4:$C$15,MATCH(A1166,$A$4:$A$15,0))</f>
        <v/>
      </c>
      <c r="F1166" s="80">
        <f>15*(C1166-12)</f>
        <v/>
      </c>
      <c r="G1166" s="80">
        <f>-COS(RADIANS(E1166))*SIN(RADIANS(F1166))</f>
        <v/>
      </c>
      <c r="H1166" s="80">
        <f>COS(RADIANS('11_발전량_모델'!$B$17))*SIN(RADIANS(E1166))-SIN(RADIANS('11_발전량_모델'!$B$17))*COS(RADIANS(E1166))*COS(RADIANS(F1166))</f>
        <v/>
      </c>
      <c r="I1166" s="80">
        <f>SIN(RADIANS('11_발전량_모델'!$B$17))*SIN(RADIANS(E1166))+COS(RADIANS('11_발전량_모델'!$B$17))*COS(RADIANS(E1166))*COS(RADIANS(F1166))</f>
        <v/>
      </c>
      <c r="J1166" s="80">
        <f>SIN(RADIANS('11_발전량_모델'!$B$7))*SIN(RADIANS('11_발전량_모델'!$B$8))</f>
        <v/>
      </c>
      <c r="K1166" s="80">
        <f>SIN(RADIANS('11_발전량_모델'!$B$7))*COS(RADIANS('11_발전량_모델'!$B$8))</f>
        <v/>
      </c>
      <c r="L1166" s="80">
        <f>COS(RADIANS('11_발전량_모델'!$B$7))</f>
        <v/>
      </c>
      <c r="M1166" s="80">
        <f>G1166*J1166+H1166*K1166+I1166*L1166</f>
        <v/>
      </c>
      <c r="N1166" s="80">
        <f>MAX(0,I1166)</f>
        <v/>
      </c>
      <c r="O1166" s="80">
        <f>IF(I1166&gt;0,MAX(0,M1166),0)</f>
        <v/>
      </c>
      <c r="P1166" s="80">
        <f>IF($I1166&gt;0,MAX(0,$G1166*SIN(RADIANS('13_시나리오비교'!$B$5))*SIN(RADIANS('13_시나리오비교'!$C$5))+$H1166*SIN(RADIANS('13_시나리오비교'!$B$5))*COS(RADIANS('13_시나리오비교'!$C$5))+$I1166*COS(RADIANS('13_시나리오비교'!$B$5))),0)</f>
        <v/>
      </c>
      <c r="Q1166" s="80">
        <f>IF($I1166&gt;0,MAX(0,$G1166*SIN(RADIANS('13_시나리오비교'!$B$6))*SIN(RADIANS('13_시나리오비교'!$C$6))+$H1166*SIN(RADIANS('13_시나리오비교'!$B$6))*COS(RADIANS('13_시나리오비교'!$C$6))+$I1166*COS(RADIANS('13_시나리오비교'!$B$6))),0)</f>
        <v/>
      </c>
      <c r="R1166" s="80">
        <f>IF($I1166&gt;0,MAX(0,$G1166*SIN(RADIANS('13_시나리오비교'!$B$7))*SIN(RADIANS('13_시나리오비교'!$C$7))+$H1166*SIN(RADIANS('13_시나리오비교'!$B$7))*COS(RADIANS('13_시나리오비교'!$C$7))+$I1166*COS(RADIANS('13_시나리오비교'!$B$7))),0)</f>
        <v/>
      </c>
      <c r="S1166" s="80">
        <f>IF($I1166&gt;0,MAX(0,$G1166*SIN(RADIANS('13_시나리오비교'!$B$8))*SIN(RADIANS('13_시나리오비교'!$C$8))+$H1166*SIN(RADIANS('13_시나리오비교'!$B$8))*COS(RADIANS('13_시나리오비교'!$C$8))+$I1166*COS(RADIANS('13_시나리오비교'!$B$8))),0)</f>
        <v/>
      </c>
      <c r="T1166" s="80">
        <f>IF($I1166&gt;0,MAX(0,$G1166*SIN(RADIANS('13_시나리오비교'!$B$9))*SIN(RADIANS('13_시나리오비교'!$C$9))+$H1166*SIN(RADIANS('13_시나리오비교'!$B$9))*COS(RADIANS('13_시나리오비교'!$C$9))+$I1166*COS(RADIANS('13_시나리오비교'!$B$9))),0)</f>
        <v/>
      </c>
      <c r="U1166" s="80">
        <f>IF($I1166&gt;0,MAX(0,$G1166*SIN(RADIANS('13_시나리오비교'!$B$10))*SIN(RADIANS('13_시나리오비교'!$C$10))+$H1166*SIN(RADIANS('13_시나리오비교'!$B$10))*COS(RADIANS('13_시나리오비교'!$C$10))+$I1166*COS(RADIANS('13_시나리오비교'!$B$10))),0)</f>
        <v/>
      </c>
      <c r="V1166" s="80">
        <f>IF($I1166&gt;0,MAX(0,$G1166*SIN(RADIANS('13_시나리오비교'!$B$11))*SIN(RADIANS('13_시나리오비교'!$C$11))+$H1166*SIN(RADIANS('13_시나리오비교'!$B$11))*COS(RADIANS('13_시나리오비교'!$C$11))+$I1166*COS(RADIANS('13_시나리오비교'!$B$11))),0)</f>
        <v/>
      </c>
      <c r="W1166" s="80">
        <f>IF($I1166&gt;0,MAX(0,$G1166*SIN(RADIANS('13_시나리오비교'!$B$12))*SIN(RADIANS('13_시나리오비교'!$C$12))+$H1166*SIN(RADIANS('13_시나리오비교'!$B$12))*COS(RADIANS('13_시나리오비교'!$C$12))+$I1166*COS(RADIANS('13_시나리오비교'!$B$12))),0)</f>
        <v/>
      </c>
      <c r="X1166" s="80">
        <f>IF($I1166&gt;0,MAX(0,$G1166*SIN(RADIANS('13_시나리오비교'!$B$13))*SIN(RADIANS('13_시나리오비교'!$C$13))+$H1166*SIN(RADIANS('13_시나리오비교'!$B$13))*COS(RADIANS('13_시나리오비교'!$C$13))+$I1166*COS(RADIANS('13_시나리오비교'!$B$13))),0)</f>
        <v/>
      </c>
      <c r="Y1166" s="80">
        <f>IF($I1166&gt;0,MAX(0,$G1166*SIN(RADIANS('13_시나리오비교'!$B$14))*SIN(RADIANS('13_시나리오비교'!$C$14))+$H1166*SIN(RADIANS('13_시나리오비교'!$B$14))*COS(RADIANS('13_시나리오비교'!$C$14))+$I1166*COS(RADIANS('13_시나리오비교'!$B$14))),0)</f>
        <v/>
      </c>
    </row>
    <row r="1167" hidden="1" outlineLevel="1">
      <c r="A1167" s="79" t="n">
        <v>12</v>
      </c>
      <c r="B1167" s="79" t="n">
        <v>91</v>
      </c>
      <c r="C1167" s="80">
        <f>(B1167-0.5)*'14_지역·상수'!$H$6</f>
        <v/>
      </c>
      <c r="D1167" s="79" t="n">
        <v>344</v>
      </c>
      <c r="E1167" s="80">
        <f>INDEX($C$4:$C$15,MATCH(A1167,$A$4:$A$15,0))</f>
        <v/>
      </c>
      <c r="F1167" s="80">
        <f>15*(C1167-12)</f>
        <v/>
      </c>
      <c r="G1167" s="80">
        <f>-COS(RADIANS(E1167))*SIN(RADIANS(F1167))</f>
        <v/>
      </c>
      <c r="H1167" s="80">
        <f>COS(RADIANS('11_발전량_모델'!$B$17))*SIN(RADIANS(E1167))-SIN(RADIANS('11_발전량_모델'!$B$17))*COS(RADIANS(E1167))*COS(RADIANS(F1167))</f>
        <v/>
      </c>
      <c r="I1167" s="80">
        <f>SIN(RADIANS('11_발전량_모델'!$B$17))*SIN(RADIANS(E1167))+COS(RADIANS('11_발전량_모델'!$B$17))*COS(RADIANS(E1167))*COS(RADIANS(F1167))</f>
        <v/>
      </c>
      <c r="J1167" s="80">
        <f>SIN(RADIANS('11_발전량_모델'!$B$7))*SIN(RADIANS('11_발전량_모델'!$B$8))</f>
        <v/>
      </c>
      <c r="K1167" s="80">
        <f>SIN(RADIANS('11_발전량_모델'!$B$7))*COS(RADIANS('11_발전량_모델'!$B$8))</f>
        <v/>
      </c>
      <c r="L1167" s="80">
        <f>COS(RADIANS('11_발전량_모델'!$B$7))</f>
        <v/>
      </c>
      <c r="M1167" s="80">
        <f>G1167*J1167+H1167*K1167+I1167*L1167</f>
        <v/>
      </c>
      <c r="N1167" s="80">
        <f>MAX(0,I1167)</f>
        <v/>
      </c>
      <c r="O1167" s="80">
        <f>IF(I1167&gt;0,MAX(0,M1167),0)</f>
        <v/>
      </c>
      <c r="P1167" s="80">
        <f>IF($I1167&gt;0,MAX(0,$G1167*SIN(RADIANS('13_시나리오비교'!$B$5))*SIN(RADIANS('13_시나리오비교'!$C$5))+$H1167*SIN(RADIANS('13_시나리오비교'!$B$5))*COS(RADIANS('13_시나리오비교'!$C$5))+$I1167*COS(RADIANS('13_시나리오비교'!$B$5))),0)</f>
        <v/>
      </c>
      <c r="Q1167" s="80">
        <f>IF($I1167&gt;0,MAX(0,$G1167*SIN(RADIANS('13_시나리오비교'!$B$6))*SIN(RADIANS('13_시나리오비교'!$C$6))+$H1167*SIN(RADIANS('13_시나리오비교'!$B$6))*COS(RADIANS('13_시나리오비교'!$C$6))+$I1167*COS(RADIANS('13_시나리오비교'!$B$6))),0)</f>
        <v/>
      </c>
      <c r="R1167" s="80">
        <f>IF($I1167&gt;0,MAX(0,$G1167*SIN(RADIANS('13_시나리오비교'!$B$7))*SIN(RADIANS('13_시나리오비교'!$C$7))+$H1167*SIN(RADIANS('13_시나리오비교'!$B$7))*COS(RADIANS('13_시나리오비교'!$C$7))+$I1167*COS(RADIANS('13_시나리오비교'!$B$7))),0)</f>
        <v/>
      </c>
      <c r="S1167" s="80">
        <f>IF($I1167&gt;0,MAX(0,$G1167*SIN(RADIANS('13_시나리오비교'!$B$8))*SIN(RADIANS('13_시나리오비교'!$C$8))+$H1167*SIN(RADIANS('13_시나리오비교'!$B$8))*COS(RADIANS('13_시나리오비교'!$C$8))+$I1167*COS(RADIANS('13_시나리오비교'!$B$8))),0)</f>
        <v/>
      </c>
      <c r="T1167" s="80">
        <f>IF($I1167&gt;0,MAX(0,$G1167*SIN(RADIANS('13_시나리오비교'!$B$9))*SIN(RADIANS('13_시나리오비교'!$C$9))+$H1167*SIN(RADIANS('13_시나리오비교'!$B$9))*COS(RADIANS('13_시나리오비교'!$C$9))+$I1167*COS(RADIANS('13_시나리오비교'!$B$9))),0)</f>
        <v/>
      </c>
      <c r="U1167" s="80">
        <f>IF($I1167&gt;0,MAX(0,$G1167*SIN(RADIANS('13_시나리오비교'!$B$10))*SIN(RADIANS('13_시나리오비교'!$C$10))+$H1167*SIN(RADIANS('13_시나리오비교'!$B$10))*COS(RADIANS('13_시나리오비교'!$C$10))+$I1167*COS(RADIANS('13_시나리오비교'!$B$10))),0)</f>
        <v/>
      </c>
      <c r="V1167" s="80">
        <f>IF($I1167&gt;0,MAX(0,$G1167*SIN(RADIANS('13_시나리오비교'!$B$11))*SIN(RADIANS('13_시나리오비교'!$C$11))+$H1167*SIN(RADIANS('13_시나리오비교'!$B$11))*COS(RADIANS('13_시나리오비교'!$C$11))+$I1167*COS(RADIANS('13_시나리오비교'!$B$11))),0)</f>
        <v/>
      </c>
      <c r="W1167" s="80">
        <f>IF($I1167&gt;0,MAX(0,$G1167*SIN(RADIANS('13_시나리오비교'!$B$12))*SIN(RADIANS('13_시나리오비교'!$C$12))+$H1167*SIN(RADIANS('13_시나리오비교'!$B$12))*COS(RADIANS('13_시나리오비교'!$C$12))+$I1167*COS(RADIANS('13_시나리오비교'!$B$12))),0)</f>
        <v/>
      </c>
      <c r="X1167" s="80">
        <f>IF($I1167&gt;0,MAX(0,$G1167*SIN(RADIANS('13_시나리오비교'!$B$13))*SIN(RADIANS('13_시나리오비교'!$C$13))+$H1167*SIN(RADIANS('13_시나리오비교'!$B$13))*COS(RADIANS('13_시나리오비교'!$C$13))+$I1167*COS(RADIANS('13_시나리오비교'!$B$13))),0)</f>
        <v/>
      </c>
      <c r="Y1167" s="80">
        <f>IF($I1167&gt;0,MAX(0,$G1167*SIN(RADIANS('13_시나리오비교'!$B$14))*SIN(RADIANS('13_시나리오비교'!$C$14))+$H1167*SIN(RADIANS('13_시나리오비교'!$B$14))*COS(RADIANS('13_시나리오비교'!$C$14))+$I1167*COS(RADIANS('13_시나리오비교'!$B$14))),0)</f>
        <v/>
      </c>
    </row>
    <row r="1168" hidden="1" outlineLevel="1">
      <c r="A1168" s="79" t="n">
        <v>12</v>
      </c>
      <c r="B1168" s="79" t="n">
        <v>92</v>
      </c>
      <c r="C1168" s="80">
        <f>(B1168-0.5)*'14_지역·상수'!$H$6</f>
        <v/>
      </c>
      <c r="D1168" s="79" t="n">
        <v>344</v>
      </c>
      <c r="E1168" s="80">
        <f>INDEX($C$4:$C$15,MATCH(A1168,$A$4:$A$15,0))</f>
        <v/>
      </c>
      <c r="F1168" s="80">
        <f>15*(C1168-12)</f>
        <v/>
      </c>
      <c r="G1168" s="80">
        <f>-COS(RADIANS(E1168))*SIN(RADIANS(F1168))</f>
        <v/>
      </c>
      <c r="H1168" s="80">
        <f>COS(RADIANS('11_발전량_모델'!$B$17))*SIN(RADIANS(E1168))-SIN(RADIANS('11_발전량_모델'!$B$17))*COS(RADIANS(E1168))*COS(RADIANS(F1168))</f>
        <v/>
      </c>
      <c r="I1168" s="80">
        <f>SIN(RADIANS('11_발전량_모델'!$B$17))*SIN(RADIANS(E1168))+COS(RADIANS('11_발전량_모델'!$B$17))*COS(RADIANS(E1168))*COS(RADIANS(F1168))</f>
        <v/>
      </c>
      <c r="J1168" s="80">
        <f>SIN(RADIANS('11_발전량_모델'!$B$7))*SIN(RADIANS('11_발전량_모델'!$B$8))</f>
        <v/>
      </c>
      <c r="K1168" s="80">
        <f>SIN(RADIANS('11_발전량_모델'!$B$7))*COS(RADIANS('11_발전량_모델'!$B$8))</f>
        <v/>
      </c>
      <c r="L1168" s="80">
        <f>COS(RADIANS('11_발전량_모델'!$B$7))</f>
        <v/>
      </c>
      <c r="M1168" s="80">
        <f>G1168*J1168+H1168*K1168+I1168*L1168</f>
        <v/>
      </c>
      <c r="N1168" s="80">
        <f>MAX(0,I1168)</f>
        <v/>
      </c>
      <c r="O1168" s="80">
        <f>IF(I1168&gt;0,MAX(0,M1168),0)</f>
        <v/>
      </c>
      <c r="P1168" s="80">
        <f>IF($I1168&gt;0,MAX(0,$G1168*SIN(RADIANS('13_시나리오비교'!$B$5))*SIN(RADIANS('13_시나리오비교'!$C$5))+$H1168*SIN(RADIANS('13_시나리오비교'!$B$5))*COS(RADIANS('13_시나리오비교'!$C$5))+$I1168*COS(RADIANS('13_시나리오비교'!$B$5))),0)</f>
        <v/>
      </c>
      <c r="Q1168" s="80">
        <f>IF($I1168&gt;0,MAX(0,$G1168*SIN(RADIANS('13_시나리오비교'!$B$6))*SIN(RADIANS('13_시나리오비교'!$C$6))+$H1168*SIN(RADIANS('13_시나리오비교'!$B$6))*COS(RADIANS('13_시나리오비교'!$C$6))+$I1168*COS(RADIANS('13_시나리오비교'!$B$6))),0)</f>
        <v/>
      </c>
      <c r="R1168" s="80">
        <f>IF($I1168&gt;0,MAX(0,$G1168*SIN(RADIANS('13_시나리오비교'!$B$7))*SIN(RADIANS('13_시나리오비교'!$C$7))+$H1168*SIN(RADIANS('13_시나리오비교'!$B$7))*COS(RADIANS('13_시나리오비교'!$C$7))+$I1168*COS(RADIANS('13_시나리오비교'!$B$7))),0)</f>
        <v/>
      </c>
      <c r="S1168" s="80">
        <f>IF($I1168&gt;0,MAX(0,$G1168*SIN(RADIANS('13_시나리오비교'!$B$8))*SIN(RADIANS('13_시나리오비교'!$C$8))+$H1168*SIN(RADIANS('13_시나리오비교'!$B$8))*COS(RADIANS('13_시나리오비교'!$C$8))+$I1168*COS(RADIANS('13_시나리오비교'!$B$8))),0)</f>
        <v/>
      </c>
      <c r="T1168" s="80">
        <f>IF($I1168&gt;0,MAX(0,$G1168*SIN(RADIANS('13_시나리오비교'!$B$9))*SIN(RADIANS('13_시나리오비교'!$C$9))+$H1168*SIN(RADIANS('13_시나리오비교'!$B$9))*COS(RADIANS('13_시나리오비교'!$C$9))+$I1168*COS(RADIANS('13_시나리오비교'!$B$9))),0)</f>
        <v/>
      </c>
      <c r="U1168" s="80">
        <f>IF($I1168&gt;0,MAX(0,$G1168*SIN(RADIANS('13_시나리오비교'!$B$10))*SIN(RADIANS('13_시나리오비교'!$C$10))+$H1168*SIN(RADIANS('13_시나리오비교'!$B$10))*COS(RADIANS('13_시나리오비교'!$C$10))+$I1168*COS(RADIANS('13_시나리오비교'!$B$10))),0)</f>
        <v/>
      </c>
      <c r="V1168" s="80">
        <f>IF($I1168&gt;0,MAX(0,$G1168*SIN(RADIANS('13_시나리오비교'!$B$11))*SIN(RADIANS('13_시나리오비교'!$C$11))+$H1168*SIN(RADIANS('13_시나리오비교'!$B$11))*COS(RADIANS('13_시나리오비교'!$C$11))+$I1168*COS(RADIANS('13_시나리오비교'!$B$11))),0)</f>
        <v/>
      </c>
      <c r="W1168" s="80">
        <f>IF($I1168&gt;0,MAX(0,$G1168*SIN(RADIANS('13_시나리오비교'!$B$12))*SIN(RADIANS('13_시나리오비교'!$C$12))+$H1168*SIN(RADIANS('13_시나리오비교'!$B$12))*COS(RADIANS('13_시나리오비교'!$C$12))+$I1168*COS(RADIANS('13_시나리오비교'!$B$12))),0)</f>
        <v/>
      </c>
      <c r="X1168" s="80">
        <f>IF($I1168&gt;0,MAX(0,$G1168*SIN(RADIANS('13_시나리오비교'!$B$13))*SIN(RADIANS('13_시나리오비교'!$C$13))+$H1168*SIN(RADIANS('13_시나리오비교'!$B$13))*COS(RADIANS('13_시나리오비교'!$C$13))+$I1168*COS(RADIANS('13_시나리오비교'!$B$13))),0)</f>
        <v/>
      </c>
      <c r="Y1168" s="80">
        <f>IF($I1168&gt;0,MAX(0,$G1168*SIN(RADIANS('13_시나리오비교'!$B$14))*SIN(RADIANS('13_시나리오비교'!$C$14))+$H1168*SIN(RADIANS('13_시나리오비교'!$B$14))*COS(RADIANS('13_시나리오비교'!$C$14))+$I1168*COS(RADIANS('13_시나리오비교'!$B$14))),0)</f>
        <v/>
      </c>
    </row>
    <row r="1169" hidden="1" outlineLevel="1">
      <c r="A1169" s="79" t="n">
        <v>12</v>
      </c>
      <c r="B1169" s="79" t="n">
        <v>93</v>
      </c>
      <c r="C1169" s="80">
        <f>(B1169-0.5)*'14_지역·상수'!$H$6</f>
        <v/>
      </c>
      <c r="D1169" s="79" t="n">
        <v>344</v>
      </c>
      <c r="E1169" s="80">
        <f>INDEX($C$4:$C$15,MATCH(A1169,$A$4:$A$15,0))</f>
        <v/>
      </c>
      <c r="F1169" s="80">
        <f>15*(C1169-12)</f>
        <v/>
      </c>
      <c r="G1169" s="80">
        <f>-COS(RADIANS(E1169))*SIN(RADIANS(F1169))</f>
        <v/>
      </c>
      <c r="H1169" s="80">
        <f>COS(RADIANS('11_발전량_모델'!$B$17))*SIN(RADIANS(E1169))-SIN(RADIANS('11_발전량_모델'!$B$17))*COS(RADIANS(E1169))*COS(RADIANS(F1169))</f>
        <v/>
      </c>
      <c r="I1169" s="80">
        <f>SIN(RADIANS('11_발전량_모델'!$B$17))*SIN(RADIANS(E1169))+COS(RADIANS('11_발전량_모델'!$B$17))*COS(RADIANS(E1169))*COS(RADIANS(F1169))</f>
        <v/>
      </c>
      <c r="J1169" s="80">
        <f>SIN(RADIANS('11_발전량_모델'!$B$7))*SIN(RADIANS('11_발전량_모델'!$B$8))</f>
        <v/>
      </c>
      <c r="K1169" s="80">
        <f>SIN(RADIANS('11_발전량_모델'!$B$7))*COS(RADIANS('11_발전량_모델'!$B$8))</f>
        <v/>
      </c>
      <c r="L1169" s="80">
        <f>COS(RADIANS('11_발전량_모델'!$B$7))</f>
        <v/>
      </c>
      <c r="M1169" s="80">
        <f>G1169*J1169+H1169*K1169+I1169*L1169</f>
        <v/>
      </c>
      <c r="N1169" s="80">
        <f>MAX(0,I1169)</f>
        <v/>
      </c>
      <c r="O1169" s="80">
        <f>IF(I1169&gt;0,MAX(0,M1169),0)</f>
        <v/>
      </c>
      <c r="P1169" s="80">
        <f>IF($I1169&gt;0,MAX(0,$G1169*SIN(RADIANS('13_시나리오비교'!$B$5))*SIN(RADIANS('13_시나리오비교'!$C$5))+$H1169*SIN(RADIANS('13_시나리오비교'!$B$5))*COS(RADIANS('13_시나리오비교'!$C$5))+$I1169*COS(RADIANS('13_시나리오비교'!$B$5))),0)</f>
        <v/>
      </c>
      <c r="Q1169" s="80">
        <f>IF($I1169&gt;0,MAX(0,$G1169*SIN(RADIANS('13_시나리오비교'!$B$6))*SIN(RADIANS('13_시나리오비교'!$C$6))+$H1169*SIN(RADIANS('13_시나리오비교'!$B$6))*COS(RADIANS('13_시나리오비교'!$C$6))+$I1169*COS(RADIANS('13_시나리오비교'!$B$6))),0)</f>
        <v/>
      </c>
      <c r="R1169" s="80">
        <f>IF($I1169&gt;0,MAX(0,$G1169*SIN(RADIANS('13_시나리오비교'!$B$7))*SIN(RADIANS('13_시나리오비교'!$C$7))+$H1169*SIN(RADIANS('13_시나리오비교'!$B$7))*COS(RADIANS('13_시나리오비교'!$C$7))+$I1169*COS(RADIANS('13_시나리오비교'!$B$7))),0)</f>
        <v/>
      </c>
      <c r="S1169" s="80">
        <f>IF($I1169&gt;0,MAX(0,$G1169*SIN(RADIANS('13_시나리오비교'!$B$8))*SIN(RADIANS('13_시나리오비교'!$C$8))+$H1169*SIN(RADIANS('13_시나리오비교'!$B$8))*COS(RADIANS('13_시나리오비교'!$C$8))+$I1169*COS(RADIANS('13_시나리오비교'!$B$8))),0)</f>
        <v/>
      </c>
      <c r="T1169" s="80">
        <f>IF($I1169&gt;0,MAX(0,$G1169*SIN(RADIANS('13_시나리오비교'!$B$9))*SIN(RADIANS('13_시나리오비교'!$C$9))+$H1169*SIN(RADIANS('13_시나리오비교'!$B$9))*COS(RADIANS('13_시나리오비교'!$C$9))+$I1169*COS(RADIANS('13_시나리오비교'!$B$9))),0)</f>
        <v/>
      </c>
      <c r="U1169" s="80">
        <f>IF($I1169&gt;0,MAX(0,$G1169*SIN(RADIANS('13_시나리오비교'!$B$10))*SIN(RADIANS('13_시나리오비교'!$C$10))+$H1169*SIN(RADIANS('13_시나리오비교'!$B$10))*COS(RADIANS('13_시나리오비교'!$C$10))+$I1169*COS(RADIANS('13_시나리오비교'!$B$10))),0)</f>
        <v/>
      </c>
      <c r="V1169" s="80">
        <f>IF($I1169&gt;0,MAX(0,$G1169*SIN(RADIANS('13_시나리오비교'!$B$11))*SIN(RADIANS('13_시나리오비교'!$C$11))+$H1169*SIN(RADIANS('13_시나리오비교'!$B$11))*COS(RADIANS('13_시나리오비교'!$C$11))+$I1169*COS(RADIANS('13_시나리오비교'!$B$11))),0)</f>
        <v/>
      </c>
      <c r="W1169" s="80">
        <f>IF($I1169&gt;0,MAX(0,$G1169*SIN(RADIANS('13_시나리오비교'!$B$12))*SIN(RADIANS('13_시나리오비교'!$C$12))+$H1169*SIN(RADIANS('13_시나리오비교'!$B$12))*COS(RADIANS('13_시나리오비교'!$C$12))+$I1169*COS(RADIANS('13_시나리오비교'!$B$12))),0)</f>
        <v/>
      </c>
      <c r="X1169" s="80">
        <f>IF($I1169&gt;0,MAX(0,$G1169*SIN(RADIANS('13_시나리오비교'!$B$13))*SIN(RADIANS('13_시나리오비교'!$C$13))+$H1169*SIN(RADIANS('13_시나리오비교'!$B$13))*COS(RADIANS('13_시나리오비교'!$C$13))+$I1169*COS(RADIANS('13_시나리오비교'!$B$13))),0)</f>
        <v/>
      </c>
      <c r="Y1169" s="80">
        <f>IF($I1169&gt;0,MAX(0,$G1169*SIN(RADIANS('13_시나리오비교'!$B$14))*SIN(RADIANS('13_시나리오비교'!$C$14))+$H1169*SIN(RADIANS('13_시나리오비교'!$B$14))*COS(RADIANS('13_시나리오비교'!$C$14))+$I1169*COS(RADIANS('13_시나리오비교'!$B$14))),0)</f>
        <v/>
      </c>
    </row>
    <row r="1170" hidden="1" outlineLevel="1">
      <c r="A1170" s="79" t="n">
        <v>12</v>
      </c>
      <c r="B1170" s="79" t="n">
        <v>94</v>
      </c>
      <c r="C1170" s="80">
        <f>(B1170-0.5)*'14_지역·상수'!$H$6</f>
        <v/>
      </c>
      <c r="D1170" s="79" t="n">
        <v>344</v>
      </c>
      <c r="E1170" s="80">
        <f>INDEX($C$4:$C$15,MATCH(A1170,$A$4:$A$15,0))</f>
        <v/>
      </c>
      <c r="F1170" s="80">
        <f>15*(C1170-12)</f>
        <v/>
      </c>
      <c r="G1170" s="80">
        <f>-COS(RADIANS(E1170))*SIN(RADIANS(F1170))</f>
        <v/>
      </c>
      <c r="H1170" s="80">
        <f>COS(RADIANS('11_발전량_모델'!$B$17))*SIN(RADIANS(E1170))-SIN(RADIANS('11_발전량_모델'!$B$17))*COS(RADIANS(E1170))*COS(RADIANS(F1170))</f>
        <v/>
      </c>
      <c r="I1170" s="80">
        <f>SIN(RADIANS('11_발전량_모델'!$B$17))*SIN(RADIANS(E1170))+COS(RADIANS('11_발전량_모델'!$B$17))*COS(RADIANS(E1170))*COS(RADIANS(F1170))</f>
        <v/>
      </c>
      <c r="J1170" s="80">
        <f>SIN(RADIANS('11_발전량_모델'!$B$7))*SIN(RADIANS('11_발전량_모델'!$B$8))</f>
        <v/>
      </c>
      <c r="K1170" s="80">
        <f>SIN(RADIANS('11_발전량_모델'!$B$7))*COS(RADIANS('11_발전량_모델'!$B$8))</f>
        <v/>
      </c>
      <c r="L1170" s="80">
        <f>COS(RADIANS('11_발전량_모델'!$B$7))</f>
        <v/>
      </c>
      <c r="M1170" s="80">
        <f>G1170*J1170+H1170*K1170+I1170*L1170</f>
        <v/>
      </c>
      <c r="N1170" s="80">
        <f>MAX(0,I1170)</f>
        <v/>
      </c>
      <c r="O1170" s="80">
        <f>IF(I1170&gt;0,MAX(0,M1170),0)</f>
        <v/>
      </c>
      <c r="P1170" s="80">
        <f>IF($I1170&gt;0,MAX(0,$G1170*SIN(RADIANS('13_시나리오비교'!$B$5))*SIN(RADIANS('13_시나리오비교'!$C$5))+$H1170*SIN(RADIANS('13_시나리오비교'!$B$5))*COS(RADIANS('13_시나리오비교'!$C$5))+$I1170*COS(RADIANS('13_시나리오비교'!$B$5))),0)</f>
        <v/>
      </c>
      <c r="Q1170" s="80">
        <f>IF($I1170&gt;0,MAX(0,$G1170*SIN(RADIANS('13_시나리오비교'!$B$6))*SIN(RADIANS('13_시나리오비교'!$C$6))+$H1170*SIN(RADIANS('13_시나리오비교'!$B$6))*COS(RADIANS('13_시나리오비교'!$C$6))+$I1170*COS(RADIANS('13_시나리오비교'!$B$6))),0)</f>
        <v/>
      </c>
      <c r="R1170" s="80">
        <f>IF($I1170&gt;0,MAX(0,$G1170*SIN(RADIANS('13_시나리오비교'!$B$7))*SIN(RADIANS('13_시나리오비교'!$C$7))+$H1170*SIN(RADIANS('13_시나리오비교'!$B$7))*COS(RADIANS('13_시나리오비교'!$C$7))+$I1170*COS(RADIANS('13_시나리오비교'!$B$7))),0)</f>
        <v/>
      </c>
      <c r="S1170" s="80">
        <f>IF($I1170&gt;0,MAX(0,$G1170*SIN(RADIANS('13_시나리오비교'!$B$8))*SIN(RADIANS('13_시나리오비교'!$C$8))+$H1170*SIN(RADIANS('13_시나리오비교'!$B$8))*COS(RADIANS('13_시나리오비교'!$C$8))+$I1170*COS(RADIANS('13_시나리오비교'!$B$8))),0)</f>
        <v/>
      </c>
      <c r="T1170" s="80">
        <f>IF($I1170&gt;0,MAX(0,$G1170*SIN(RADIANS('13_시나리오비교'!$B$9))*SIN(RADIANS('13_시나리오비교'!$C$9))+$H1170*SIN(RADIANS('13_시나리오비교'!$B$9))*COS(RADIANS('13_시나리오비교'!$C$9))+$I1170*COS(RADIANS('13_시나리오비교'!$B$9))),0)</f>
        <v/>
      </c>
      <c r="U1170" s="80">
        <f>IF($I1170&gt;0,MAX(0,$G1170*SIN(RADIANS('13_시나리오비교'!$B$10))*SIN(RADIANS('13_시나리오비교'!$C$10))+$H1170*SIN(RADIANS('13_시나리오비교'!$B$10))*COS(RADIANS('13_시나리오비교'!$C$10))+$I1170*COS(RADIANS('13_시나리오비교'!$B$10))),0)</f>
        <v/>
      </c>
      <c r="V1170" s="80">
        <f>IF($I1170&gt;0,MAX(0,$G1170*SIN(RADIANS('13_시나리오비교'!$B$11))*SIN(RADIANS('13_시나리오비교'!$C$11))+$H1170*SIN(RADIANS('13_시나리오비교'!$B$11))*COS(RADIANS('13_시나리오비교'!$C$11))+$I1170*COS(RADIANS('13_시나리오비교'!$B$11))),0)</f>
        <v/>
      </c>
      <c r="W1170" s="80">
        <f>IF($I1170&gt;0,MAX(0,$G1170*SIN(RADIANS('13_시나리오비교'!$B$12))*SIN(RADIANS('13_시나리오비교'!$C$12))+$H1170*SIN(RADIANS('13_시나리오비교'!$B$12))*COS(RADIANS('13_시나리오비교'!$C$12))+$I1170*COS(RADIANS('13_시나리오비교'!$B$12))),0)</f>
        <v/>
      </c>
      <c r="X1170" s="80">
        <f>IF($I1170&gt;0,MAX(0,$G1170*SIN(RADIANS('13_시나리오비교'!$B$13))*SIN(RADIANS('13_시나리오비교'!$C$13))+$H1170*SIN(RADIANS('13_시나리오비교'!$B$13))*COS(RADIANS('13_시나리오비교'!$C$13))+$I1170*COS(RADIANS('13_시나리오비교'!$B$13))),0)</f>
        <v/>
      </c>
      <c r="Y1170" s="80">
        <f>IF($I1170&gt;0,MAX(0,$G1170*SIN(RADIANS('13_시나리오비교'!$B$14))*SIN(RADIANS('13_시나리오비교'!$C$14))+$H1170*SIN(RADIANS('13_시나리오비교'!$B$14))*COS(RADIANS('13_시나리오비교'!$C$14))+$I1170*COS(RADIANS('13_시나리오비교'!$B$14))),0)</f>
        <v/>
      </c>
    </row>
    <row r="1171" hidden="1" outlineLevel="1">
      <c r="A1171" s="79" t="n">
        <v>12</v>
      </c>
      <c r="B1171" s="79" t="n">
        <v>95</v>
      </c>
      <c r="C1171" s="80">
        <f>(B1171-0.5)*'14_지역·상수'!$H$6</f>
        <v/>
      </c>
      <c r="D1171" s="79" t="n">
        <v>344</v>
      </c>
      <c r="E1171" s="80">
        <f>INDEX($C$4:$C$15,MATCH(A1171,$A$4:$A$15,0))</f>
        <v/>
      </c>
      <c r="F1171" s="80">
        <f>15*(C1171-12)</f>
        <v/>
      </c>
      <c r="G1171" s="80">
        <f>-COS(RADIANS(E1171))*SIN(RADIANS(F1171))</f>
        <v/>
      </c>
      <c r="H1171" s="80">
        <f>COS(RADIANS('11_발전량_모델'!$B$17))*SIN(RADIANS(E1171))-SIN(RADIANS('11_발전량_모델'!$B$17))*COS(RADIANS(E1171))*COS(RADIANS(F1171))</f>
        <v/>
      </c>
      <c r="I1171" s="80">
        <f>SIN(RADIANS('11_발전량_모델'!$B$17))*SIN(RADIANS(E1171))+COS(RADIANS('11_발전량_모델'!$B$17))*COS(RADIANS(E1171))*COS(RADIANS(F1171))</f>
        <v/>
      </c>
      <c r="J1171" s="80">
        <f>SIN(RADIANS('11_발전량_모델'!$B$7))*SIN(RADIANS('11_발전량_모델'!$B$8))</f>
        <v/>
      </c>
      <c r="K1171" s="80">
        <f>SIN(RADIANS('11_발전량_모델'!$B$7))*COS(RADIANS('11_발전량_모델'!$B$8))</f>
        <v/>
      </c>
      <c r="L1171" s="80">
        <f>COS(RADIANS('11_발전량_모델'!$B$7))</f>
        <v/>
      </c>
      <c r="M1171" s="80">
        <f>G1171*J1171+H1171*K1171+I1171*L1171</f>
        <v/>
      </c>
      <c r="N1171" s="80">
        <f>MAX(0,I1171)</f>
        <v/>
      </c>
      <c r="O1171" s="80">
        <f>IF(I1171&gt;0,MAX(0,M1171),0)</f>
        <v/>
      </c>
      <c r="P1171" s="80">
        <f>IF($I1171&gt;0,MAX(0,$G1171*SIN(RADIANS('13_시나리오비교'!$B$5))*SIN(RADIANS('13_시나리오비교'!$C$5))+$H1171*SIN(RADIANS('13_시나리오비교'!$B$5))*COS(RADIANS('13_시나리오비교'!$C$5))+$I1171*COS(RADIANS('13_시나리오비교'!$B$5))),0)</f>
        <v/>
      </c>
      <c r="Q1171" s="80">
        <f>IF($I1171&gt;0,MAX(0,$G1171*SIN(RADIANS('13_시나리오비교'!$B$6))*SIN(RADIANS('13_시나리오비교'!$C$6))+$H1171*SIN(RADIANS('13_시나리오비교'!$B$6))*COS(RADIANS('13_시나리오비교'!$C$6))+$I1171*COS(RADIANS('13_시나리오비교'!$B$6))),0)</f>
        <v/>
      </c>
      <c r="R1171" s="80">
        <f>IF($I1171&gt;0,MAX(0,$G1171*SIN(RADIANS('13_시나리오비교'!$B$7))*SIN(RADIANS('13_시나리오비교'!$C$7))+$H1171*SIN(RADIANS('13_시나리오비교'!$B$7))*COS(RADIANS('13_시나리오비교'!$C$7))+$I1171*COS(RADIANS('13_시나리오비교'!$B$7))),0)</f>
        <v/>
      </c>
      <c r="S1171" s="80">
        <f>IF($I1171&gt;0,MAX(0,$G1171*SIN(RADIANS('13_시나리오비교'!$B$8))*SIN(RADIANS('13_시나리오비교'!$C$8))+$H1171*SIN(RADIANS('13_시나리오비교'!$B$8))*COS(RADIANS('13_시나리오비교'!$C$8))+$I1171*COS(RADIANS('13_시나리오비교'!$B$8))),0)</f>
        <v/>
      </c>
      <c r="T1171" s="80">
        <f>IF($I1171&gt;0,MAX(0,$G1171*SIN(RADIANS('13_시나리오비교'!$B$9))*SIN(RADIANS('13_시나리오비교'!$C$9))+$H1171*SIN(RADIANS('13_시나리오비교'!$B$9))*COS(RADIANS('13_시나리오비교'!$C$9))+$I1171*COS(RADIANS('13_시나리오비교'!$B$9))),0)</f>
        <v/>
      </c>
      <c r="U1171" s="80">
        <f>IF($I1171&gt;0,MAX(0,$G1171*SIN(RADIANS('13_시나리오비교'!$B$10))*SIN(RADIANS('13_시나리오비교'!$C$10))+$H1171*SIN(RADIANS('13_시나리오비교'!$B$10))*COS(RADIANS('13_시나리오비교'!$C$10))+$I1171*COS(RADIANS('13_시나리오비교'!$B$10))),0)</f>
        <v/>
      </c>
      <c r="V1171" s="80">
        <f>IF($I1171&gt;0,MAX(0,$G1171*SIN(RADIANS('13_시나리오비교'!$B$11))*SIN(RADIANS('13_시나리오비교'!$C$11))+$H1171*SIN(RADIANS('13_시나리오비교'!$B$11))*COS(RADIANS('13_시나리오비교'!$C$11))+$I1171*COS(RADIANS('13_시나리오비교'!$B$11))),0)</f>
        <v/>
      </c>
      <c r="W1171" s="80">
        <f>IF($I1171&gt;0,MAX(0,$G1171*SIN(RADIANS('13_시나리오비교'!$B$12))*SIN(RADIANS('13_시나리오비교'!$C$12))+$H1171*SIN(RADIANS('13_시나리오비교'!$B$12))*COS(RADIANS('13_시나리오비교'!$C$12))+$I1171*COS(RADIANS('13_시나리오비교'!$B$12))),0)</f>
        <v/>
      </c>
      <c r="X1171" s="80">
        <f>IF($I1171&gt;0,MAX(0,$G1171*SIN(RADIANS('13_시나리오비교'!$B$13))*SIN(RADIANS('13_시나리오비교'!$C$13))+$H1171*SIN(RADIANS('13_시나리오비교'!$B$13))*COS(RADIANS('13_시나리오비교'!$C$13))+$I1171*COS(RADIANS('13_시나리오비교'!$B$13))),0)</f>
        <v/>
      </c>
      <c r="Y1171" s="80">
        <f>IF($I1171&gt;0,MAX(0,$G1171*SIN(RADIANS('13_시나리오비교'!$B$14))*SIN(RADIANS('13_시나리오비교'!$C$14))+$H1171*SIN(RADIANS('13_시나리오비교'!$B$14))*COS(RADIANS('13_시나리오비교'!$C$14))+$I1171*COS(RADIANS('13_시나리오비교'!$B$14))),0)</f>
        <v/>
      </c>
    </row>
    <row r="1172" hidden="1" outlineLevel="1">
      <c r="A1172" s="79" t="n">
        <v>12</v>
      </c>
      <c r="B1172" s="79" t="n">
        <v>96</v>
      </c>
      <c r="C1172" s="80">
        <f>(B1172-0.5)*'14_지역·상수'!$H$6</f>
        <v/>
      </c>
      <c r="D1172" s="79" t="n">
        <v>344</v>
      </c>
      <c r="E1172" s="80">
        <f>INDEX($C$4:$C$15,MATCH(A1172,$A$4:$A$15,0))</f>
        <v/>
      </c>
      <c r="F1172" s="80">
        <f>15*(C1172-12)</f>
        <v/>
      </c>
      <c r="G1172" s="80">
        <f>-COS(RADIANS(E1172))*SIN(RADIANS(F1172))</f>
        <v/>
      </c>
      <c r="H1172" s="80">
        <f>COS(RADIANS('11_발전량_모델'!$B$17))*SIN(RADIANS(E1172))-SIN(RADIANS('11_발전량_모델'!$B$17))*COS(RADIANS(E1172))*COS(RADIANS(F1172))</f>
        <v/>
      </c>
      <c r="I1172" s="80">
        <f>SIN(RADIANS('11_발전량_모델'!$B$17))*SIN(RADIANS(E1172))+COS(RADIANS('11_발전량_모델'!$B$17))*COS(RADIANS(E1172))*COS(RADIANS(F1172))</f>
        <v/>
      </c>
      <c r="J1172" s="80">
        <f>SIN(RADIANS('11_발전량_모델'!$B$7))*SIN(RADIANS('11_발전량_모델'!$B$8))</f>
        <v/>
      </c>
      <c r="K1172" s="80">
        <f>SIN(RADIANS('11_발전량_모델'!$B$7))*COS(RADIANS('11_발전량_모델'!$B$8))</f>
        <v/>
      </c>
      <c r="L1172" s="80">
        <f>COS(RADIANS('11_발전량_모델'!$B$7))</f>
        <v/>
      </c>
      <c r="M1172" s="80">
        <f>G1172*J1172+H1172*K1172+I1172*L1172</f>
        <v/>
      </c>
      <c r="N1172" s="80">
        <f>MAX(0,I1172)</f>
        <v/>
      </c>
      <c r="O1172" s="80">
        <f>IF(I1172&gt;0,MAX(0,M1172),0)</f>
        <v/>
      </c>
      <c r="P1172" s="80">
        <f>IF($I1172&gt;0,MAX(0,$G1172*SIN(RADIANS('13_시나리오비교'!$B$5))*SIN(RADIANS('13_시나리오비교'!$C$5))+$H1172*SIN(RADIANS('13_시나리오비교'!$B$5))*COS(RADIANS('13_시나리오비교'!$C$5))+$I1172*COS(RADIANS('13_시나리오비교'!$B$5))),0)</f>
        <v/>
      </c>
      <c r="Q1172" s="80">
        <f>IF($I1172&gt;0,MAX(0,$G1172*SIN(RADIANS('13_시나리오비교'!$B$6))*SIN(RADIANS('13_시나리오비교'!$C$6))+$H1172*SIN(RADIANS('13_시나리오비교'!$B$6))*COS(RADIANS('13_시나리오비교'!$C$6))+$I1172*COS(RADIANS('13_시나리오비교'!$B$6))),0)</f>
        <v/>
      </c>
      <c r="R1172" s="80">
        <f>IF($I1172&gt;0,MAX(0,$G1172*SIN(RADIANS('13_시나리오비교'!$B$7))*SIN(RADIANS('13_시나리오비교'!$C$7))+$H1172*SIN(RADIANS('13_시나리오비교'!$B$7))*COS(RADIANS('13_시나리오비교'!$C$7))+$I1172*COS(RADIANS('13_시나리오비교'!$B$7))),0)</f>
        <v/>
      </c>
      <c r="S1172" s="80">
        <f>IF($I1172&gt;0,MAX(0,$G1172*SIN(RADIANS('13_시나리오비교'!$B$8))*SIN(RADIANS('13_시나리오비교'!$C$8))+$H1172*SIN(RADIANS('13_시나리오비교'!$B$8))*COS(RADIANS('13_시나리오비교'!$C$8))+$I1172*COS(RADIANS('13_시나리오비교'!$B$8))),0)</f>
        <v/>
      </c>
      <c r="T1172" s="80">
        <f>IF($I1172&gt;0,MAX(0,$G1172*SIN(RADIANS('13_시나리오비교'!$B$9))*SIN(RADIANS('13_시나리오비교'!$C$9))+$H1172*SIN(RADIANS('13_시나리오비교'!$B$9))*COS(RADIANS('13_시나리오비교'!$C$9))+$I1172*COS(RADIANS('13_시나리오비교'!$B$9))),0)</f>
        <v/>
      </c>
      <c r="U1172" s="80">
        <f>IF($I1172&gt;0,MAX(0,$G1172*SIN(RADIANS('13_시나리오비교'!$B$10))*SIN(RADIANS('13_시나리오비교'!$C$10))+$H1172*SIN(RADIANS('13_시나리오비교'!$B$10))*COS(RADIANS('13_시나리오비교'!$C$10))+$I1172*COS(RADIANS('13_시나리오비교'!$B$10))),0)</f>
        <v/>
      </c>
      <c r="V1172" s="80">
        <f>IF($I1172&gt;0,MAX(0,$G1172*SIN(RADIANS('13_시나리오비교'!$B$11))*SIN(RADIANS('13_시나리오비교'!$C$11))+$H1172*SIN(RADIANS('13_시나리오비교'!$B$11))*COS(RADIANS('13_시나리오비교'!$C$11))+$I1172*COS(RADIANS('13_시나리오비교'!$B$11))),0)</f>
        <v/>
      </c>
      <c r="W1172" s="80">
        <f>IF($I1172&gt;0,MAX(0,$G1172*SIN(RADIANS('13_시나리오비교'!$B$12))*SIN(RADIANS('13_시나리오비교'!$C$12))+$H1172*SIN(RADIANS('13_시나리오비교'!$B$12))*COS(RADIANS('13_시나리오비교'!$C$12))+$I1172*COS(RADIANS('13_시나리오비교'!$B$12))),0)</f>
        <v/>
      </c>
      <c r="X1172" s="80">
        <f>IF($I1172&gt;0,MAX(0,$G1172*SIN(RADIANS('13_시나리오비교'!$B$13))*SIN(RADIANS('13_시나리오비교'!$C$13))+$H1172*SIN(RADIANS('13_시나리오비교'!$B$13))*COS(RADIANS('13_시나리오비교'!$C$13))+$I1172*COS(RADIANS('13_시나리오비교'!$B$13))),0)</f>
        <v/>
      </c>
      <c r="Y1172" s="80">
        <f>IF($I1172&gt;0,MAX(0,$G1172*SIN(RADIANS('13_시나리오비교'!$B$14))*SIN(RADIANS('13_시나리오비교'!$C$14))+$H1172*SIN(RADIANS('13_시나리오비교'!$B$14))*COS(RADIANS('13_시나리오비교'!$C$14))+$I1172*COS(RADIANS('13_시나리오비교'!$B$14))),0)</f>
        <v/>
      </c>
    </row>
  </sheetData>
  <mergeCells count="5">
    <mergeCell ref="P19:Y19"/>
    <mergeCell ref="A2:O2"/>
    <mergeCell ref="A1:O1"/>
    <mergeCell ref="A18:Y18"/>
    <mergeCell ref="J3:L3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25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22" customWidth="1" min="4" max="4"/>
  </cols>
  <sheetData>
    <row r="1" ht="30" customHeight="1">
      <c r="A1" s="1" t="inlineStr">
        <is>
          <t>적용 한계 및 참고 자료</t>
        </is>
      </c>
      <c r="B1" s="2" t="n"/>
      <c r="C1" s="2" t="n"/>
      <c r="D1" s="2" t="n"/>
    </row>
    <row r="2" ht="18" customHeight="1">
      <c r="A2" s="3" t="inlineStr">
        <is>
          <t>본 워크북의 계산 결과를 해석할 때 반드시 함께 확인해야 하는 입력 기준·한계·근거 자료입니다.</t>
        </is>
      </c>
    </row>
    <row r="4" ht="20" customHeight="1">
      <c r="A4" s="4" t="inlineStr">
        <is>
          <t>■ 입력 기준</t>
        </is>
      </c>
      <c r="B4" s="5" t="n"/>
      <c r="C4" s="5" t="n"/>
      <c r="D4" s="5" t="n"/>
    </row>
    <row r="5" ht="20" customHeight="1">
      <c r="A5" s="14" t="inlineStr">
        <is>
          <t>항목</t>
        </is>
      </c>
      <c r="B5" s="14" t="inlineStr">
        <is>
          <t>기준</t>
        </is>
      </c>
      <c r="C5" s="14" t="inlineStr">
        <is>
          <t>비고</t>
        </is>
      </c>
      <c r="D5" s="24" t="n"/>
    </row>
    <row r="6" ht="30" customHeight="1">
      <c r="A6" s="81" t="inlineStr">
        <is>
          <t>경사각 β</t>
        </is>
      </c>
      <c r="B6" s="7" t="inlineStr">
        <is>
          <t>0° = 수평 / 90° = 수직</t>
        </is>
      </c>
      <c r="C6" s="7" t="inlineStr">
        <is>
          <t>고정식 국내 일반 20~30°</t>
        </is>
      </c>
      <c r="D6" s="8" t="n"/>
    </row>
    <row r="7" ht="30" customHeight="1">
      <c r="A7" s="82" t="inlineStr">
        <is>
          <t>방위각 A</t>
        </is>
      </c>
      <c r="B7" s="21" t="inlineStr">
        <is>
          <t>0° 북 / 90° 동 / 180° 남 / 270° 서</t>
        </is>
      </c>
      <c r="C7" s="21" t="inlineStr">
        <is>
          <t>정남향 = 180°</t>
        </is>
      </c>
      <c r="D7" s="22" t="n"/>
    </row>
    <row r="8" ht="30" customHeight="1">
      <c r="A8" s="81" t="inlineStr">
        <is>
          <t>지면반사율 ρg</t>
        </is>
      </c>
      <c r="B8" s="7" t="inlineStr">
        <is>
          <t>일반 토지·잔디 0.15~0.25</t>
        </is>
      </c>
      <c r="C8" s="7" t="inlineStr">
        <is>
          <t>적설 시 크게 상승 가능하므로 별도 검토</t>
        </is>
      </c>
      <c r="D8" s="8" t="n"/>
    </row>
    <row r="9" ht="30" customHeight="1">
      <c r="A9" s="82" t="inlineStr">
        <is>
          <t>PR</t>
        </is>
      </c>
      <c r="B9" s="21" t="inlineStr">
        <is>
          <t>온도·인버터·배선·오염·불일치·음영 등 포함 범위를 프로젝트마다 명시</t>
        </is>
      </c>
      <c r="C9" s="21" t="inlineStr">
        <is>
          <t>포함 범위를 문서화하지 않으면 이중 차감 위험</t>
        </is>
      </c>
      <c r="D9" s="22" t="n"/>
    </row>
    <row r="10" ht="30" customHeight="1">
      <c r="A10" s="81" t="inlineStr">
        <is>
          <t>가동률 / 출력제한</t>
        </is>
      </c>
      <c r="B10" s="7" t="inlineStr">
        <is>
          <t>PR과 중복되지 않도록 손실 경계를 명확히 구분</t>
        </is>
      </c>
      <c r="C10" s="7" t="inlineStr">
        <is>
          <t>고장·정비는 가동률, 의도적 감발은 출력제한</t>
        </is>
      </c>
      <c r="D10" s="8" t="n"/>
    </row>
    <row r="12" ht="20" customHeight="1">
      <c r="A12" s="4" t="inlineStr">
        <is>
          <t>■ 적용 한계 및 사용 권고</t>
        </is>
      </c>
      <c r="B12" s="5" t="n"/>
      <c r="C12" s="5" t="n"/>
      <c r="D12" s="5" t="n"/>
    </row>
    <row r="13" ht="26" customHeight="1">
      <c r="A13" s="17" t="inlineStr">
        <is>
          <t>•</t>
        </is>
      </c>
      <c r="B13" s="7" t="inlineStr">
        <is>
          <t>본 모델은 광역 지역 월자료와 대표 위도를 사용하는 예비 타당성 분석용입니다.</t>
        </is>
      </c>
      <c r="C13" s="8" t="n"/>
      <c r="D13" s="8" t="n"/>
    </row>
    <row r="14" ht="26" customHeight="1">
      <c r="A14" s="17" t="inlineStr">
        <is>
          <t>•</t>
        </is>
      </c>
      <c r="B14" s="7" t="inlineStr">
        <is>
          <t>월평균 GHI만으로 DNI/DHI를 통계적으로 분리하므로, 시간별 실측 또는 위성자료 기반 모델보다 불확실성이 큽니다.</t>
        </is>
      </c>
      <c r="C14" s="8" t="n"/>
      <c r="D14" s="8" t="n"/>
    </row>
    <row r="15" ht="26" customHeight="1">
      <c r="A15" s="17" t="inlineStr">
        <is>
          <t>•</t>
        </is>
      </c>
      <c r="B15" s="7" t="inlineStr">
        <is>
          <t>지형·수평선·주변 음영, 적설, 모듈 온도, IAM, 양면발전, 배열 간 차폐, 인버터 클리핑은 별도 모델링하지 않습니다.</t>
        </is>
      </c>
      <c r="C15" s="8" t="n"/>
      <c r="D15" s="8" t="n"/>
    </row>
    <row r="16" ht="26" customHeight="1">
      <c r="A16" s="17" t="inlineStr">
        <is>
          <t>•</t>
        </is>
      </c>
      <c r="B16" s="7" t="inlineStr">
        <is>
          <t>금융·EPC 성능보증·정밀 설계에는 현장 좌표, 시간별 GHI/DNI/DHI 또는 POA, 모듈·인버터 사양과 손실 시뮬레이션을 사용하세요.</t>
        </is>
      </c>
      <c r="C16" s="8" t="n"/>
      <c r="D16" s="8" t="n"/>
    </row>
    <row r="17" ht="26" customHeight="1">
      <c r="A17" s="17" t="inlineStr">
        <is>
          <t>•</t>
        </is>
      </c>
      <c r="B17" s="7" t="inlineStr">
        <is>
          <t>현장 POA 실측이 있으면 경사면 전사 계산 대신 실측값을 우선 적용하는 것이 적절합니다.</t>
        </is>
      </c>
      <c r="C17" s="8" t="n"/>
      <c r="D17" s="8" t="n"/>
    </row>
    <row r="19" ht="20" customHeight="1">
      <c r="A19" s="4" t="inlineStr">
        <is>
          <t>■ 참고 문헌 및 공식 자료</t>
        </is>
      </c>
      <c r="B19" s="5" t="n"/>
      <c r="C19" s="5" t="n"/>
      <c r="D19" s="5" t="n"/>
    </row>
    <row r="20" ht="20" customHeight="1">
      <c r="A20" s="14" t="inlineStr">
        <is>
          <t>출처</t>
        </is>
      </c>
      <c r="B20" s="14" t="inlineStr">
        <is>
          <t>내용</t>
        </is>
      </c>
      <c r="C20" s="14" t="inlineStr">
        <is>
          <t>URL</t>
        </is>
      </c>
      <c r="D20" s="24" t="n"/>
    </row>
    <row r="21" ht="26" customHeight="1">
      <c r="A21" s="81" t="inlineStr">
        <is>
          <t>기상청 기상자료개방포털</t>
        </is>
      </c>
      <c r="B21" s="7" t="inlineStr">
        <is>
          <t>기후통계분석 - 일조일사 (원자료 출처)</t>
        </is>
      </c>
      <c r="C21" s="26" t="inlineStr">
        <is>
          <t>https://data.kma.go.kr/</t>
        </is>
      </c>
      <c r="D21" s="83" t="n"/>
    </row>
    <row r="22" ht="26" customHeight="1">
      <c r="A22" s="82" t="inlineStr">
        <is>
          <t>Erbs, Klein &amp; Duffie (1982)</t>
        </is>
      </c>
      <c r="B22" s="21" t="inlineStr">
        <is>
          <t>월평균 산란비(diffuse fraction) 상관식</t>
        </is>
      </c>
      <c r="C22" s="27" t="inlineStr">
        <is>
          <t>https://doi.org/10.1016/0038-092X(82)90302-4</t>
        </is>
      </c>
      <c r="D22" s="84" t="n"/>
    </row>
    <row r="23" ht="26" customHeight="1">
      <c r="A23" s="81" t="inlineStr">
        <is>
          <t>Sandia PVPMC</t>
        </is>
      </c>
      <c r="B23" s="7" t="inlineStr">
        <is>
          <t>Plane of Array (POA) Irradiance</t>
        </is>
      </c>
      <c r="C23" s="26" t="inlineStr">
        <is>
          <t>https://pvpmc.sandia.gov/modeling-guide/1-weather-design-inputs/plane-of-array-poa-irradiance/</t>
        </is>
      </c>
      <c r="D23" s="83" t="n"/>
    </row>
    <row r="24" ht="26" customHeight="1">
      <c r="A24" s="82" t="inlineStr">
        <is>
          <t>Sandia PVPMC</t>
        </is>
      </c>
      <c r="B24" s="21" t="inlineStr">
        <is>
          <t>Calculating POA Irradiance (등방성 천공산란·지면반사·입사각)</t>
        </is>
      </c>
      <c r="C24" s="27" t="inlineStr">
        <is>
          <t>https://pvpmc.sandia.gov/modeling-guide/1-weather-design-inputs/plane-of-array-poa-irradiance/calculating-poa-irradiance</t>
        </is>
      </c>
      <c r="D24" s="84" t="n"/>
    </row>
    <row r="25" ht="26" customHeight="1">
      <c r="A25" s="81" t="inlineStr">
        <is>
          <t>Sandia PVPMC</t>
        </is>
      </c>
      <c r="B25" s="7" t="inlineStr">
        <is>
          <t>PV Performance Metrics - Performance Ratio</t>
        </is>
      </c>
      <c r="C25" s="26" t="inlineStr">
        <is>
          <t>https://pvpmc.sandia.gov/modeling-guide/5-ac-system-output/pv-performance-metrics/performance-ratio/</t>
        </is>
      </c>
      <c r="D25" s="83" t="n"/>
    </row>
  </sheetData>
  <mergeCells count="22">
    <mergeCell ref="C6:D6"/>
    <mergeCell ref="B14:D14"/>
    <mergeCell ref="C24:D24"/>
    <mergeCell ref="A4:D4"/>
    <mergeCell ref="C5:D5"/>
    <mergeCell ref="B17:D17"/>
    <mergeCell ref="B13:D13"/>
    <mergeCell ref="A19:D19"/>
    <mergeCell ref="C20:D20"/>
    <mergeCell ref="C10:D10"/>
    <mergeCell ref="C25:D25"/>
    <mergeCell ref="C22:D22"/>
    <mergeCell ref="C9:D9"/>
    <mergeCell ref="B15:D15"/>
    <mergeCell ref="A1:D1"/>
    <mergeCell ref="C21:D21"/>
    <mergeCell ref="C23:D23"/>
    <mergeCell ref="B16:D16"/>
    <mergeCell ref="C8:D8"/>
    <mergeCell ref="C7:D7"/>
    <mergeCell ref="A12:D12"/>
    <mergeCell ref="A2:D2"/>
  </mergeCells>
  <hyperlinks>
    <hyperlink xmlns:r="http://schemas.openxmlformats.org/officeDocument/2006/relationships" ref="C21" r:id="rId1"/>
    <hyperlink xmlns:r="http://schemas.openxmlformats.org/officeDocument/2006/relationships" ref="C22" r:id="rId2"/>
    <hyperlink xmlns:r="http://schemas.openxmlformats.org/officeDocument/2006/relationships" ref="C23" r:id="rId3"/>
    <hyperlink xmlns:r="http://schemas.openxmlformats.org/officeDocument/2006/relationships" ref="C24" r:id="rId4"/>
    <hyperlink xmlns:r="http://schemas.openxmlformats.org/officeDocument/2006/relationships" ref="C25" r:id="rId5"/>
  </hyperlink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12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1" customWidth="1" min="4" max="4"/>
    <col width="13" customWidth="1" min="5" max="5"/>
    <col width="17" customWidth="1" min="6" max="6"/>
    <col width="8" customWidth="1" min="7" max="7"/>
    <col width="22" customWidth="1" min="8" max="8"/>
  </cols>
  <sheetData>
    <row r="1" ht="24" customHeight="1">
      <c r="A1" s="85" t="inlineStr">
        <is>
          <t>지역명</t>
        </is>
      </c>
      <c r="B1" s="85" t="inlineStr">
        <is>
          <t>연도</t>
        </is>
      </c>
      <c r="C1" s="85" t="inlineStr">
        <is>
          <t>월</t>
        </is>
      </c>
      <c r="D1" s="85" t="inlineStr">
        <is>
          <t>연월</t>
        </is>
      </c>
      <c r="E1" s="85" t="inlineStr">
        <is>
          <t>일조합_hr</t>
        </is>
      </c>
      <c r="F1" s="85" t="inlineStr">
        <is>
          <t>일사합_kWh_m2</t>
        </is>
      </c>
      <c r="G1" s="85" t="inlineStr">
        <is>
          <t>일수</t>
        </is>
      </c>
      <c r="H1" s="85" t="inlineStr">
        <is>
          <t>일평균_일사합_kWh_m2</t>
        </is>
      </c>
    </row>
    <row r="2">
      <c r="A2" s="86" t="inlineStr">
        <is>
          <t>강원영동</t>
        </is>
      </c>
      <c r="B2" s="86" t="n">
        <v>2016</v>
      </c>
      <c r="C2" s="86" t="n">
        <v>1</v>
      </c>
      <c r="D2" s="86" t="inlineStr">
        <is>
          <t>2016-01</t>
        </is>
      </c>
      <c r="E2" s="87" t="n">
        <v>212</v>
      </c>
      <c r="F2" s="87" t="n">
        <v>87.7056</v>
      </c>
      <c r="G2" s="88">
        <f>DAY(EOMONTH(DATE(B2,C2,1),0))</f>
        <v/>
      </c>
      <c r="H2" s="89">
        <f>F2/G2</f>
        <v/>
      </c>
    </row>
    <row r="3">
      <c r="A3" s="86" t="inlineStr">
        <is>
          <t>강원영동</t>
        </is>
      </c>
      <c r="B3" s="86" t="n">
        <v>2016</v>
      </c>
      <c r="C3" s="86" t="n">
        <v>2</v>
      </c>
      <c r="D3" s="86" t="inlineStr">
        <is>
          <t>2016-02</t>
        </is>
      </c>
      <c r="E3" s="87" t="n">
        <v>205.8</v>
      </c>
      <c r="F3" s="87" t="n">
        <v>99.1833</v>
      </c>
      <c r="G3" s="88">
        <f>DAY(EOMONTH(DATE(B3,C3,1),0))</f>
        <v/>
      </c>
      <c r="H3" s="89">
        <f>F3/G3</f>
        <v/>
      </c>
    </row>
    <row r="4">
      <c r="A4" s="86" t="inlineStr">
        <is>
          <t>강원영동</t>
        </is>
      </c>
      <c r="B4" s="86" t="n">
        <v>2016</v>
      </c>
      <c r="C4" s="86" t="n">
        <v>3</v>
      </c>
      <c r="D4" s="86" t="inlineStr">
        <is>
          <t>2016-03</t>
        </is>
      </c>
      <c r="E4" s="87" t="n">
        <v>208.3</v>
      </c>
      <c r="F4" s="87" t="n">
        <v>122.3694</v>
      </c>
      <c r="G4" s="88">
        <f>DAY(EOMONTH(DATE(B4,C4,1),0))</f>
        <v/>
      </c>
      <c r="H4" s="89">
        <f>F4/G4</f>
        <v/>
      </c>
    </row>
    <row r="5">
      <c r="A5" s="86" t="inlineStr">
        <is>
          <t>강원영동</t>
        </is>
      </c>
      <c r="B5" s="86" t="n">
        <v>2016</v>
      </c>
      <c r="C5" s="86" t="n">
        <v>4</v>
      </c>
      <c r="D5" s="86" t="inlineStr">
        <is>
          <t>2016-04</t>
        </is>
      </c>
      <c r="E5" s="87" t="n">
        <v>230.3</v>
      </c>
      <c r="F5" s="87" t="n">
        <v>157.6</v>
      </c>
      <c r="G5" s="88">
        <f>DAY(EOMONTH(DATE(B5,C5,1),0))</f>
        <v/>
      </c>
      <c r="H5" s="89">
        <f>F5/G5</f>
        <v/>
      </c>
    </row>
    <row r="6">
      <c r="A6" s="86" t="inlineStr">
        <is>
          <t>강원영동</t>
        </is>
      </c>
      <c r="B6" s="86" t="n">
        <v>2016</v>
      </c>
      <c r="C6" s="86" t="n">
        <v>5</v>
      </c>
      <c r="D6" s="86" t="inlineStr">
        <is>
          <t>2016-05</t>
        </is>
      </c>
      <c r="E6" s="87" t="n">
        <v>273.5</v>
      </c>
      <c r="F6" s="87" t="n">
        <v>198.8</v>
      </c>
      <c r="G6" s="88">
        <f>DAY(EOMONTH(DATE(B6,C6,1),0))</f>
        <v/>
      </c>
      <c r="H6" s="89">
        <f>F6/G6</f>
        <v/>
      </c>
    </row>
    <row r="7">
      <c r="A7" s="86" t="inlineStr">
        <is>
          <t>강원영동</t>
        </is>
      </c>
      <c r="B7" s="86" t="n">
        <v>2016</v>
      </c>
      <c r="C7" s="86" t="n">
        <v>6</v>
      </c>
      <c r="D7" s="86" t="inlineStr">
        <is>
          <t>2016-06</t>
        </is>
      </c>
      <c r="E7" s="87" t="n">
        <v>190.2</v>
      </c>
      <c r="F7" s="87" t="n">
        <v>161.6417</v>
      </c>
      <c r="G7" s="88">
        <f>DAY(EOMONTH(DATE(B7,C7,1),0))</f>
        <v/>
      </c>
      <c r="H7" s="89">
        <f>F7/G7</f>
        <v/>
      </c>
    </row>
    <row r="8">
      <c r="A8" s="86" t="inlineStr">
        <is>
          <t>강원영동</t>
        </is>
      </c>
      <c r="B8" s="86" t="n">
        <v>2016</v>
      </c>
      <c r="C8" s="86" t="n">
        <v>7</v>
      </c>
      <c r="D8" s="86" t="inlineStr">
        <is>
          <t>2016-07</t>
        </is>
      </c>
      <c r="E8" s="87" t="n">
        <v>130.2</v>
      </c>
      <c r="F8" s="87" t="n">
        <v>131.7972</v>
      </c>
      <c r="G8" s="88">
        <f>DAY(EOMONTH(DATE(B8,C8,1),0))</f>
        <v/>
      </c>
      <c r="H8" s="89">
        <f>F8/G8</f>
        <v/>
      </c>
    </row>
    <row r="9">
      <c r="A9" s="86" t="inlineStr">
        <is>
          <t>강원영동</t>
        </is>
      </c>
      <c r="B9" s="86" t="n">
        <v>2016</v>
      </c>
      <c r="C9" s="86" t="n">
        <v>8</v>
      </c>
      <c r="D9" s="86" t="inlineStr">
        <is>
          <t>2016-08</t>
        </is>
      </c>
      <c r="E9" s="87" t="n">
        <v>228.1</v>
      </c>
      <c r="F9" s="87" t="n">
        <v>159.3833</v>
      </c>
      <c r="G9" s="88">
        <f>DAY(EOMONTH(DATE(B9,C9,1),0))</f>
        <v/>
      </c>
      <c r="H9" s="89">
        <f>F9/G9</f>
        <v/>
      </c>
    </row>
    <row r="10">
      <c r="A10" s="86" t="inlineStr">
        <is>
          <t>강원영동</t>
        </is>
      </c>
      <c r="B10" s="86" t="n">
        <v>2016</v>
      </c>
      <c r="C10" s="86" t="n">
        <v>9</v>
      </c>
      <c r="D10" s="86" t="inlineStr">
        <is>
          <t>2016-09</t>
        </is>
      </c>
      <c r="E10" s="87" t="n">
        <v>127.7</v>
      </c>
      <c r="F10" s="87" t="n">
        <v>94.5667</v>
      </c>
      <c r="G10" s="88">
        <f>DAY(EOMONTH(DATE(B10,C10,1),0))</f>
        <v/>
      </c>
      <c r="H10" s="89">
        <f>F10/G10</f>
        <v/>
      </c>
    </row>
    <row r="11">
      <c r="A11" s="86" t="inlineStr">
        <is>
          <t>강원영동</t>
        </is>
      </c>
      <c r="B11" s="86" t="n">
        <v>2016</v>
      </c>
      <c r="C11" s="86" t="n">
        <v>10</v>
      </c>
      <c r="D11" s="86" t="inlineStr">
        <is>
          <t>2016-10</t>
        </is>
      </c>
      <c r="E11" s="87" t="n">
        <v>146.1</v>
      </c>
      <c r="F11" s="87" t="n">
        <v>84.48609999999999</v>
      </c>
      <c r="G11" s="88">
        <f>DAY(EOMONTH(DATE(B11,C11,1),0))</f>
        <v/>
      </c>
      <c r="H11" s="89">
        <f>F11/G11</f>
        <v/>
      </c>
    </row>
    <row r="12">
      <c r="A12" s="86" t="inlineStr">
        <is>
          <t>강원영동</t>
        </is>
      </c>
      <c r="B12" s="86" t="n">
        <v>2016</v>
      </c>
      <c r="C12" s="86" t="n">
        <v>11</v>
      </c>
      <c r="D12" s="86" t="inlineStr">
        <is>
          <t>2016-11</t>
        </is>
      </c>
      <c r="E12" s="87" t="n">
        <v>181</v>
      </c>
      <c r="F12" s="87" t="n">
        <v>77.9944</v>
      </c>
      <c r="G12" s="88">
        <f>DAY(EOMONTH(DATE(B12,C12,1),0))</f>
        <v/>
      </c>
      <c r="H12" s="89">
        <f>F12/G12</f>
        <v/>
      </c>
    </row>
    <row r="13">
      <c r="A13" s="86" t="inlineStr">
        <is>
          <t>강원영동</t>
        </is>
      </c>
      <c r="B13" s="86" t="n">
        <v>2016</v>
      </c>
      <c r="C13" s="86" t="n">
        <v>12</v>
      </c>
      <c r="D13" s="86" t="inlineStr">
        <is>
          <t>2016-12</t>
        </is>
      </c>
      <c r="E13" s="87" t="n">
        <v>174.4</v>
      </c>
      <c r="F13" s="87" t="n">
        <v>67.27500000000001</v>
      </c>
      <c r="G13" s="88">
        <f>DAY(EOMONTH(DATE(B13,C13,1),0))</f>
        <v/>
      </c>
      <c r="H13" s="89">
        <f>F13/G13</f>
        <v/>
      </c>
    </row>
    <row r="14">
      <c r="A14" s="86" t="inlineStr">
        <is>
          <t>강원영동</t>
        </is>
      </c>
      <c r="B14" s="86" t="n">
        <v>2017</v>
      </c>
      <c r="C14" s="86" t="n">
        <v>1</v>
      </c>
      <c r="D14" s="86" t="inlineStr">
        <is>
          <t>2017-01</t>
        </is>
      </c>
      <c r="E14" s="87" t="n">
        <v>222.6</v>
      </c>
      <c r="F14" s="87" t="n">
        <v>85.2444</v>
      </c>
      <c r="G14" s="88">
        <f>DAY(EOMONTH(DATE(B14,C14,1),0))</f>
        <v/>
      </c>
      <c r="H14" s="89">
        <f>F14/G14</f>
        <v/>
      </c>
    </row>
    <row r="15">
      <c r="A15" s="86" t="inlineStr">
        <is>
          <t>강원영동</t>
        </is>
      </c>
      <c r="B15" s="86" t="n">
        <v>2017</v>
      </c>
      <c r="C15" s="86" t="n">
        <v>2</v>
      </c>
      <c r="D15" s="86" t="inlineStr">
        <is>
          <t>2017-02</t>
        </is>
      </c>
      <c r="E15" s="87" t="n">
        <v>221.1</v>
      </c>
      <c r="F15" s="87" t="n">
        <v>104.2722</v>
      </c>
      <c r="G15" s="88">
        <f>DAY(EOMONTH(DATE(B15,C15,1),0))</f>
        <v/>
      </c>
      <c r="H15" s="89">
        <f>F15/G15</f>
        <v/>
      </c>
    </row>
    <row r="16">
      <c r="A16" s="86" t="inlineStr">
        <is>
          <t>강원영동</t>
        </is>
      </c>
      <c r="B16" s="86" t="n">
        <v>2017</v>
      </c>
      <c r="C16" s="86" t="n">
        <v>3</v>
      </c>
      <c r="D16" s="86" t="inlineStr">
        <is>
          <t>2017-03</t>
        </is>
      </c>
      <c r="E16" s="87" t="n">
        <v>201.3</v>
      </c>
      <c r="F16" s="87" t="n">
        <v>121.7611</v>
      </c>
      <c r="G16" s="88">
        <f>DAY(EOMONTH(DATE(B16,C16,1),0))</f>
        <v/>
      </c>
      <c r="H16" s="89">
        <f>F16/G16</f>
        <v/>
      </c>
    </row>
    <row r="17">
      <c r="A17" s="86" t="inlineStr">
        <is>
          <t>강원영동</t>
        </is>
      </c>
      <c r="B17" s="86" t="n">
        <v>2017</v>
      </c>
      <c r="C17" s="86" t="n">
        <v>4</v>
      </c>
      <c r="D17" s="86" t="inlineStr">
        <is>
          <t>2017-04</t>
        </is>
      </c>
      <c r="E17" s="87" t="n">
        <v>259.9</v>
      </c>
      <c r="F17" s="87" t="n">
        <v>171.475</v>
      </c>
      <c r="G17" s="88">
        <f>DAY(EOMONTH(DATE(B17,C17,1),0))</f>
        <v/>
      </c>
      <c r="H17" s="89">
        <f>F17/G17</f>
        <v/>
      </c>
    </row>
    <row r="18">
      <c r="A18" s="86" t="inlineStr">
        <is>
          <t>강원영동</t>
        </is>
      </c>
      <c r="B18" s="86" t="n">
        <v>2017</v>
      </c>
      <c r="C18" s="86" t="n">
        <v>5</v>
      </c>
      <c r="D18" s="86" t="inlineStr">
        <is>
          <t>2017-05</t>
        </is>
      </c>
      <c r="E18" s="87" t="n">
        <v>275.1</v>
      </c>
      <c r="F18" s="87" t="n">
        <v>195.5139</v>
      </c>
      <c r="G18" s="88">
        <f>DAY(EOMONTH(DATE(B18,C18,1),0))</f>
        <v/>
      </c>
      <c r="H18" s="89">
        <f>F18/G18</f>
        <v/>
      </c>
    </row>
    <row r="19">
      <c r="A19" s="86" t="inlineStr">
        <is>
          <t>강원영동</t>
        </is>
      </c>
      <c r="B19" s="86" t="n">
        <v>2017</v>
      </c>
      <c r="C19" s="86" t="n">
        <v>6</v>
      </c>
      <c r="D19" s="86" t="inlineStr">
        <is>
          <t>2017-06</t>
        </is>
      </c>
      <c r="E19" s="87" t="n">
        <v>227.8</v>
      </c>
      <c r="F19" s="87" t="n">
        <v>190.2056</v>
      </c>
      <c r="G19" s="88">
        <f>DAY(EOMONTH(DATE(B19,C19,1),0))</f>
        <v/>
      </c>
      <c r="H19" s="89">
        <f>F19/G19</f>
        <v/>
      </c>
    </row>
    <row r="20">
      <c r="A20" s="86" t="inlineStr">
        <is>
          <t>강원영동</t>
        </is>
      </c>
      <c r="B20" s="86" t="n">
        <v>2017</v>
      </c>
      <c r="C20" s="86" t="n">
        <v>7</v>
      </c>
      <c r="D20" s="86" t="inlineStr">
        <is>
          <t>2017-07</t>
        </is>
      </c>
      <c r="E20" s="87" t="n">
        <v>172.3</v>
      </c>
      <c r="F20" s="87" t="n">
        <v>142.0639</v>
      </c>
      <c r="G20" s="88">
        <f>DAY(EOMONTH(DATE(B20,C20,1),0))</f>
        <v/>
      </c>
      <c r="H20" s="89">
        <f>F20/G20</f>
        <v/>
      </c>
    </row>
    <row r="21">
      <c r="A21" s="86" t="inlineStr">
        <is>
          <t>강원영동</t>
        </is>
      </c>
      <c r="B21" s="86" t="n">
        <v>2017</v>
      </c>
      <c r="C21" s="86" t="n">
        <v>8</v>
      </c>
      <c r="D21" s="86" t="inlineStr">
        <is>
          <t>2017-08</t>
        </is>
      </c>
      <c r="E21" s="87" t="n">
        <v>123.6</v>
      </c>
      <c r="F21" s="87" t="n">
        <v>116.2361</v>
      </c>
      <c r="G21" s="88">
        <f>DAY(EOMONTH(DATE(B21,C21,1),0))</f>
        <v/>
      </c>
      <c r="H21" s="89">
        <f>F21/G21</f>
        <v/>
      </c>
    </row>
    <row r="22">
      <c r="A22" s="86" t="inlineStr">
        <is>
          <t>강원영동</t>
        </is>
      </c>
      <c r="B22" s="86" t="n">
        <v>2017</v>
      </c>
      <c r="C22" s="86" t="n">
        <v>9</v>
      </c>
      <c r="D22" s="86" t="inlineStr">
        <is>
          <t>2017-09</t>
        </is>
      </c>
      <c r="E22" s="87" t="n">
        <v>249.2</v>
      </c>
      <c r="F22" s="87" t="n">
        <v>148.6528</v>
      </c>
      <c r="G22" s="88">
        <f>DAY(EOMONTH(DATE(B22,C22,1),0))</f>
        <v/>
      </c>
      <c r="H22" s="89">
        <f>F22/G22</f>
        <v/>
      </c>
    </row>
    <row r="23">
      <c r="A23" s="86" t="inlineStr">
        <is>
          <t>강원영동</t>
        </is>
      </c>
      <c r="B23" s="86" t="n">
        <v>2017</v>
      </c>
      <c r="C23" s="86" t="n">
        <v>10</v>
      </c>
      <c r="D23" s="86" t="inlineStr">
        <is>
          <t>2017-10</t>
        </is>
      </c>
      <c r="E23" s="87" t="n">
        <v>155.2</v>
      </c>
      <c r="F23" s="87" t="n">
        <v>85.3861</v>
      </c>
      <c r="G23" s="88">
        <f>DAY(EOMONTH(DATE(B23,C23,1),0))</f>
        <v/>
      </c>
      <c r="H23" s="89">
        <f>F23/G23</f>
        <v/>
      </c>
    </row>
    <row r="24">
      <c r="A24" s="86" t="inlineStr">
        <is>
          <t>강원영동</t>
        </is>
      </c>
      <c r="B24" s="86" t="n">
        <v>2017</v>
      </c>
      <c r="C24" s="86" t="n">
        <v>11</v>
      </c>
      <c r="D24" s="86" t="inlineStr">
        <is>
          <t>2017-11</t>
        </is>
      </c>
      <c r="E24" s="87" t="n">
        <v>223</v>
      </c>
      <c r="F24" s="87" t="n">
        <v>86.7972</v>
      </c>
      <c r="G24" s="88">
        <f>DAY(EOMONTH(DATE(B24,C24,1),0))</f>
        <v/>
      </c>
      <c r="H24" s="89">
        <f>F24/G24</f>
        <v/>
      </c>
    </row>
    <row r="25">
      <c r="A25" s="86" t="inlineStr">
        <is>
          <t>강원영동</t>
        </is>
      </c>
      <c r="B25" s="86" t="n">
        <v>2017</v>
      </c>
      <c r="C25" s="86" t="n">
        <v>12</v>
      </c>
      <c r="D25" s="86" t="inlineStr">
        <is>
          <t>2017-12</t>
        </is>
      </c>
      <c r="E25" s="87" t="n">
        <v>236.1</v>
      </c>
      <c r="F25" s="87" t="n">
        <v>83.73609999999999</v>
      </c>
      <c r="G25" s="88">
        <f>DAY(EOMONTH(DATE(B25,C25,1),0))</f>
        <v/>
      </c>
      <c r="H25" s="89">
        <f>F25/G25</f>
        <v/>
      </c>
    </row>
    <row r="26">
      <c r="A26" s="86" t="inlineStr">
        <is>
          <t>강원영동</t>
        </is>
      </c>
      <c r="B26" s="86" t="n">
        <v>2018</v>
      </c>
      <c r="C26" s="86" t="n">
        <v>1</v>
      </c>
      <c r="D26" s="86" t="inlineStr">
        <is>
          <t>2018-01</t>
        </is>
      </c>
      <c r="E26" s="87" t="n">
        <v>220.1</v>
      </c>
      <c r="F26" s="87" t="n">
        <v>89.375</v>
      </c>
      <c r="G26" s="88">
        <f>DAY(EOMONTH(DATE(B26,C26,1),0))</f>
        <v/>
      </c>
      <c r="H26" s="89">
        <f>F26/G26</f>
        <v/>
      </c>
    </row>
    <row r="27">
      <c r="A27" s="86" t="inlineStr">
        <is>
          <t>강원영동</t>
        </is>
      </c>
      <c r="B27" s="86" t="n">
        <v>2018</v>
      </c>
      <c r="C27" s="86" t="n">
        <v>2</v>
      </c>
      <c r="D27" s="86" t="inlineStr">
        <is>
          <t>2018-02</t>
        </is>
      </c>
      <c r="E27" s="87" t="n">
        <v>221.4</v>
      </c>
      <c r="F27" s="87" t="n">
        <v>104.6056</v>
      </c>
      <c r="G27" s="88">
        <f>DAY(EOMONTH(DATE(B27,C27,1),0))</f>
        <v/>
      </c>
      <c r="H27" s="89">
        <f>F27/G27</f>
        <v/>
      </c>
    </row>
    <row r="28">
      <c r="A28" s="86" t="inlineStr">
        <is>
          <t>강원영동</t>
        </is>
      </c>
      <c r="B28" s="86" t="n">
        <v>2018</v>
      </c>
      <c r="C28" s="86" t="n">
        <v>3</v>
      </c>
      <c r="D28" s="86" t="inlineStr">
        <is>
          <t>2018-03</t>
        </is>
      </c>
      <c r="E28" s="87" t="n">
        <v>191.1</v>
      </c>
      <c r="F28" s="87" t="n">
        <v>127.5556</v>
      </c>
      <c r="G28" s="88">
        <f>DAY(EOMONTH(DATE(B28,C28,1),0))</f>
        <v/>
      </c>
      <c r="H28" s="89">
        <f>F28/G28</f>
        <v/>
      </c>
    </row>
    <row r="29">
      <c r="A29" s="86" t="inlineStr">
        <is>
          <t>강원영동</t>
        </is>
      </c>
      <c r="B29" s="86" t="n">
        <v>2018</v>
      </c>
      <c r="C29" s="86" t="n">
        <v>4</v>
      </c>
      <c r="D29" s="86" t="inlineStr">
        <is>
          <t>2018-04</t>
        </is>
      </c>
      <c r="E29" s="87" t="n">
        <v>235.1</v>
      </c>
      <c r="F29" s="87" t="n">
        <v>157.65</v>
      </c>
      <c r="G29" s="88">
        <f>DAY(EOMONTH(DATE(B29,C29,1),0))</f>
        <v/>
      </c>
      <c r="H29" s="89">
        <f>F29/G29</f>
        <v/>
      </c>
    </row>
    <row r="30">
      <c r="A30" s="86" t="inlineStr">
        <is>
          <t>강원영동</t>
        </is>
      </c>
      <c r="B30" s="86" t="n">
        <v>2018</v>
      </c>
      <c r="C30" s="86" t="n">
        <v>5</v>
      </c>
      <c r="D30" s="86" t="inlineStr">
        <is>
          <t>2018-05</t>
        </is>
      </c>
      <c r="E30" s="87" t="n">
        <v>197.5</v>
      </c>
      <c r="F30" s="87" t="n">
        <v>159.1361</v>
      </c>
      <c r="G30" s="88">
        <f>DAY(EOMONTH(DATE(B30,C30,1),0))</f>
        <v/>
      </c>
      <c r="H30" s="89">
        <f>F30/G30</f>
        <v/>
      </c>
    </row>
    <row r="31">
      <c r="A31" s="86" t="inlineStr">
        <is>
          <t>강원영동</t>
        </is>
      </c>
      <c r="B31" s="86" t="n">
        <v>2018</v>
      </c>
      <c r="C31" s="86" t="n">
        <v>6</v>
      </c>
      <c r="D31" s="86" t="inlineStr">
        <is>
          <t>2018-06</t>
        </is>
      </c>
      <c r="E31" s="87" t="n">
        <v>222.2</v>
      </c>
      <c r="F31" s="87" t="n">
        <v>180.7111</v>
      </c>
      <c r="G31" s="88">
        <f>DAY(EOMONTH(DATE(B31,C31,1),0))</f>
        <v/>
      </c>
      <c r="H31" s="89">
        <f>F31/G31</f>
        <v/>
      </c>
    </row>
    <row r="32">
      <c r="A32" s="86" t="inlineStr">
        <is>
          <t>강원영동</t>
        </is>
      </c>
      <c r="B32" s="86" t="n">
        <v>2018</v>
      </c>
      <c r="C32" s="86" t="n">
        <v>7</v>
      </c>
      <c r="D32" s="86" t="inlineStr">
        <is>
          <t>2018-07</t>
        </is>
      </c>
      <c r="E32" s="87" t="n">
        <v>214.3</v>
      </c>
      <c r="F32" s="87" t="n">
        <v>169.4417</v>
      </c>
      <c r="G32" s="88">
        <f>DAY(EOMONTH(DATE(B32,C32,1),0))</f>
        <v/>
      </c>
      <c r="H32" s="89">
        <f>F32/G32</f>
        <v/>
      </c>
    </row>
    <row r="33">
      <c r="A33" s="86" t="inlineStr">
        <is>
          <t>강원영동</t>
        </is>
      </c>
      <c r="B33" s="86" t="n">
        <v>2018</v>
      </c>
      <c r="C33" s="86" t="n">
        <v>8</v>
      </c>
      <c r="D33" s="86" t="inlineStr">
        <is>
          <t>2018-08</t>
        </is>
      </c>
      <c r="E33" s="87" t="n">
        <v>184.1</v>
      </c>
      <c r="F33" s="87" t="n">
        <v>137.9472</v>
      </c>
      <c r="G33" s="88">
        <f>DAY(EOMONTH(DATE(B33,C33,1),0))</f>
        <v/>
      </c>
      <c r="H33" s="89">
        <f>F33/G33</f>
        <v/>
      </c>
    </row>
    <row r="34">
      <c r="A34" s="86" t="inlineStr">
        <is>
          <t>강원영동</t>
        </is>
      </c>
      <c r="B34" s="86" t="n">
        <v>2018</v>
      </c>
      <c r="C34" s="86" t="n">
        <v>9</v>
      </c>
      <c r="D34" s="86" t="inlineStr">
        <is>
          <t>2018-09</t>
        </is>
      </c>
      <c r="E34" s="87" t="n">
        <v>187.4</v>
      </c>
      <c r="F34" s="87" t="n">
        <v>122.0944</v>
      </c>
      <c r="G34" s="88">
        <f>DAY(EOMONTH(DATE(B34,C34,1),0))</f>
        <v/>
      </c>
      <c r="H34" s="89">
        <f>F34/G34</f>
        <v/>
      </c>
    </row>
    <row r="35">
      <c r="A35" s="86" t="inlineStr">
        <is>
          <t>강원영동</t>
        </is>
      </c>
      <c r="B35" s="86" t="n">
        <v>2018</v>
      </c>
      <c r="C35" s="86" t="n">
        <v>10</v>
      </c>
      <c r="D35" s="86" t="inlineStr">
        <is>
          <t>2018-10</t>
        </is>
      </c>
      <c r="E35" s="87" t="n">
        <v>234.1</v>
      </c>
      <c r="F35" s="87" t="n">
        <v>117.7417</v>
      </c>
      <c r="G35" s="88">
        <f>DAY(EOMONTH(DATE(B35,C35,1),0))</f>
        <v/>
      </c>
      <c r="H35" s="89">
        <f>F35/G35</f>
        <v/>
      </c>
    </row>
    <row r="36">
      <c r="A36" s="86" t="inlineStr">
        <is>
          <t>강원영동</t>
        </is>
      </c>
      <c r="B36" s="86" t="n">
        <v>2018</v>
      </c>
      <c r="C36" s="86" t="n">
        <v>11</v>
      </c>
      <c r="D36" s="86" t="inlineStr">
        <is>
          <t>2018-11</t>
        </is>
      </c>
      <c r="E36" s="87" t="n">
        <v>175.6</v>
      </c>
      <c r="F36" s="87" t="n">
        <v>76.76390000000001</v>
      </c>
      <c r="G36" s="88">
        <f>DAY(EOMONTH(DATE(B36,C36,1),0))</f>
        <v/>
      </c>
      <c r="H36" s="89">
        <f>F36/G36</f>
        <v/>
      </c>
    </row>
    <row r="37">
      <c r="A37" s="86" t="inlineStr">
        <is>
          <t>강원영동</t>
        </is>
      </c>
      <c r="B37" s="86" t="n">
        <v>2018</v>
      </c>
      <c r="C37" s="86" t="n">
        <v>12</v>
      </c>
      <c r="D37" s="86" t="inlineStr">
        <is>
          <t>2018-12</t>
        </is>
      </c>
      <c r="E37" s="87" t="n">
        <v>212.9</v>
      </c>
      <c r="F37" s="87" t="n">
        <v>78.50279999999999</v>
      </c>
      <c r="G37" s="88">
        <f>DAY(EOMONTH(DATE(B37,C37,1),0))</f>
        <v/>
      </c>
      <c r="H37" s="89">
        <f>F37/G37</f>
        <v/>
      </c>
    </row>
    <row r="38">
      <c r="A38" s="86" t="inlineStr">
        <is>
          <t>강원영동</t>
        </is>
      </c>
      <c r="B38" s="86" t="n">
        <v>2019</v>
      </c>
      <c r="C38" s="86" t="n">
        <v>1</v>
      </c>
      <c r="D38" s="86" t="inlineStr">
        <is>
          <t>2019-01</t>
        </is>
      </c>
      <c r="E38" s="87" t="n">
        <v>236.4</v>
      </c>
      <c r="F38" s="87" t="n">
        <v>87.7861</v>
      </c>
      <c r="G38" s="88">
        <f>DAY(EOMONTH(DATE(B38,C38,1),0))</f>
        <v/>
      </c>
      <c r="H38" s="89">
        <f>F38/G38</f>
        <v/>
      </c>
    </row>
    <row r="39">
      <c r="A39" s="86" t="inlineStr">
        <is>
          <t>강원영동</t>
        </is>
      </c>
      <c r="B39" s="86" t="n">
        <v>2019</v>
      </c>
      <c r="C39" s="86" t="n">
        <v>2</v>
      </c>
      <c r="D39" s="86" t="inlineStr">
        <is>
          <t>2019-02</t>
        </is>
      </c>
      <c r="E39" s="87" t="n">
        <v>217.2</v>
      </c>
      <c r="F39" s="87" t="n">
        <v>100.4611</v>
      </c>
      <c r="G39" s="88">
        <f>DAY(EOMONTH(DATE(B39,C39,1),0))</f>
        <v/>
      </c>
      <c r="H39" s="89">
        <f>F39/G39</f>
        <v/>
      </c>
    </row>
    <row r="40">
      <c r="A40" s="86" t="inlineStr">
        <is>
          <t>강원영동</t>
        </is>
      </c>
      <c r="B40" s="86" t="n">
        <v>2019</v>
      </c>
      <c r="C40" s="86" t="n">
        <v>3</v>
      </c>
      <c r="D40" s="86" t="inlineStr">
        <is>
          <t>2019-03</t>
        </is>
      </c>
      <c r="E40" s="87" t="n">
        <v>235.4</v>
      </c>
      <c r="F40" s="87" t="n">
        <v>136.6056</v>
      </c>
      <c r="G40" s="88">
        <f>DAY(EOMONTH(DATE(B40,C40,1),0))</f>
        <v/>
      </c>
      <c r="H40" s="89">
        <f>F40/G40</f>
        <v/>
      </c>
    </row>
    <row r="41">
      <c r="A41" s="86" t="inlineStr">
        <is>
          <t>강원영동</t>
        </is>
      </c>
      <c r="B41" s="86" t="n">
        <v>2019</v>
      </c>
      <c r="C41" s="86" t="n">
        <v>4</v>
      </c>
      <c r="D41" s="86" t="inlineStr">
        <is>
          <t>2019-04</t>
        </is>
      </c>
      <c r="E41" s="87" t="n">
        <v>227.2</v>
      </c>
      <c r="F41" s="87" t="n">
        <v>153.5417</v>
      </c>
      <c r="G41" s="88">
        <f>DAY(EOMONTH(DATE(B41,C41,1),0))</f>
        <v/>
      </c>
      <c r="H41" s="89">
        <f>F41/G41</f>
        <v/>
      </c>
    </row>
    <row r="42">
      <c r="A42" s="86" t="inlineStr">
        <is>
          <t>강원영동</t>
        </is>
      </c>
      <c r="B42" s="86" t="n">
        <v>2019</v>
      </c>
      <c r="C42" s="86" t="n">
        <v>5</v>
      </c>
      <c r="D42" s="86" t="inlineStr">
        <is>
          <t>2019-05</t>
        </is>
      </c>
      <c r="E42" s="87" t="n">
        <v>296.1</v>
      </c>
      <c r="F42" s="87" t="n">
        <v>206.2528</v>
      </c>
      <c r="G42" s="88">
        <f>DAY(EOMONTH(DATE(B42,C42,1),0))</f>
        <v/>
      </c>
      <c r="H42" s="89">
        <f>F42/G42</f>
        <v/>
      </c>
    </row>
    <row r="43">
      <c r="A43" s="86" t="inlineStr">
        <is>
          <t>강원영동</t>
        </is>
      </c>
      <c r="B43" s="86" t="n">
        <v>2019</v>
      </c>
      <c r="C43" s="86" t="n">
        <v>6</v>
      </c>
      <c r="D43" s="86" t="inlineStr">
        <is>
          <t>2019-06</t>
        </is>
      </c>
      <c r="E43" s="87" t="n">
        <v>225.3</v>
      </c>
      <c r="F43" s="87" t="n">
        <v>174.6306</v>
      </c>
      <c r="G43" s="88">
        <f>DAY(EOMONTH(DATE(B43,C43,1),0))</f>
        <v/>
      </c>
      <c r="H43" s="89">
        <f>F43/G43</f>
        <v/>
      </c>
    </row>
    <row r="44">
      <c r="A44" s="86" t="inlineStr">
        <is>
          <t>강원영동</t>
        </is>
      </c>
      <c r="B44" s="86" t="n">
        <v>2019</v>
      </c>
      <c r="C44" s="86" t="n">
        <v>7</v>
      </c>
      <c r="D44" s="86" t="inlineStr">
        <is>
          <t>2019-07</t>
        </is>
      </c>
      <c r="E44" s="87" t="n">
        <v>199.1</v>
      </c>
      <c r="F44" s="87" t="n">
        <v>154.5472</v>
      </c>
      <c r="G44" s="88">
        <f>DAY(EOMONTH(DATE(B44,C44,1),0))</f>
        <v/>
      </c>
      <c r="H44" s="89">
        <f>F44/G44</f>
        <v/>
      </c>
    </row>
    <row r="45">
      <c r="A45" s="86" t="inlineStr">
        <is>
          <t>강원영동</t>
        </is>
      </c>
      <c r="B45" s="86" t="n">
        <v>2019</v>
      </c>
      <c r="C45" s="86" t="n">
        <v>8</v>
      </c>
      <c r="D45" s="86" t="inlineStr">
        <is>
          <t>2019-08</t>
        </is>
      </c>
      <c r="E45" s="87" t="n">
        <v>228.4</v>
      </c>
      <c r="F45" s="87" t="n">
        <v>155.1722</v>
      </c>
      <c r="G45" s="88">
        <f>DAY(EOMONTH(DATE(B45,C45,1),0))</f>
        <v/>
      </c>
      <c r="H45" s="89">
        <f>F45/G45</f>
        <v/>
      </c>
    </row>
    <row r="46">
      <c r="A46" s="86" t="inlineStr">
        <is>
          <t>강원영동</t>
        </is>
      </c>
      <c r="B46" s="86" t="n">
        <v>2019</v>
      </c>
      <c r="C46" s="86" t="n">
        <v>9</v>
      </c>
      <c r="D46" s="86" t="inlineStr">
        <is>
          <t>2019-09</t>
        </is>
      </c>
      <c r="E46" s="87" t="n">
        <v>146</v>
      </c>
      <c r="F46" s="87" t="n">
        <v>104.825</v>
      </c>
      <c r="G46" s="88">
        <f>DAY(EOMONTH(DATE(B46,C46,1),0))</f>
        <v/>
      </c>
      <c r="H46" s="89">
        <f>F46/G46</f>
        <v/>
      </c>
    </row>
    <row r="47">
      <c r="A47" s="86" t="inlineStr">
        <is>
          <t>강원영동</t>
        </is>
      </c>
      <c r="B47" s="86" t="n">
        <v>2019</v>
      </c>
      <c r="C47" s="86" t="n">
        <v>10</v>
      </c>
      <c r="D47" s="86" t="inlineStr">
        <is>
          <t>2019-10</t>
        </is>
      </c>
      <c r="E47" s="87" t="n">
        <v>161</v>
      </c>
      <c r="F47" s="87" t="n">
        <v>93.7611</v>
      </c>
      <c r="G47" s="88">
        <f>DAY(EOMONTH(DATE(B47,C47,1),0))</f>
        <v/>
      </c>
      <c r="H47" s="89">
        <f>F47/G47</f>
        <v/>
      </c>
    </row>
    <row r="48">
      <c r="A48" s="86" t="inlineStr">
        <is>
          <t>강원영동</t>
        </is>
      </c>
      <c r="B48" s="86" t="n">
        <v>2019</v>
      </c>
      <c r="C48" s="86" t="n">
        <v>11</v>
      </c>
      <c r="D48" s="86" t="inlineStr">
        <is>
          <t>2019-11</t>
        </is>
      </c>
      <c r="E48" s="87" t="n">
        <v>188.5</v>
      </c>
      <c r="F48" s="87" t="n">
        <v>77.45829999999999</v>
      </c>
      <c r="G48" s="88">
        <f>DAY(EOMONTH(DATE(B48,C48,1),0))</f>
        <v/>
      </c>
      <c r="H48" s="89">
        <f>F48/G48</f>
        <v/>
      </c>
    </row>
    <row r="49">
      <c r="A49" s="86" t="inlineStr">
        <is>
          <t>강원영동</t>
        </is>
      </c>
      <c r="B49" s="86" t="n">
        <v>2019</v>
      </c>
      <c r="C49" s="86" t="n">
        <v>12</v>
      </c>
      <c r="D49" s="86" t="inlineStr">
        <is>
          <t>2019-12</t>
        </is>
      </c>
      <c r="E49" s="87" t="n">
        <v>191.2</v>
      </c>
      <c r="F49" s="87" t="n">
        <v>71.5556</v>
      </c>
      <c r="G49" s="88">
        <f>DAY(EOMONTH(DATE(B49,C49,1),0))</f>
        <v/>
      </c>
      <c r="H49" s="89">
        <f>F49/G49</f>
        <v/>
      </c>
    </row>
    <row r="50">
      <c r="A50" s="86" t="inlineStr">
        <is>
          <t>강원영동</t>
        </is>
      </c>
      <c r="B50" s="86" t="n">
        <v>2020</v>
      </c>
      <c r="C50" s="86" t="n">
        <v>1</v>
      </c>
      <c r="D50" s="86" t="inlineStr">
        <is>
          <t>2020-01</t>
        </is>
      </c>
      <c r="E50" s="87" t="n">
        <v>159.9</v>
      </c>
      <c r="F50" s="87" t="n">
        <v>66.1528</v>
      </c>
      <c r="G50" s="88">
        <f>DAY(EOMONTH(DATE(B50,C50,1),0))</f>
        <v/>
      </c>
      <c r="H50" s="89">
        <f>F50/G50</f>
        <v/>
      </c>
    </row>
    <row r="51">
      <c r="A51" s="86" t="inlineStr">
        <is>
          <t>강원영동</t>
        </is>
      </c>
      <c r="B51" s="86" t="n">
        <v>2020</v>
      </c>
      <c r="C51" s="86" t="n">
        <v>2</v>
      </c>
      <c r="D51" s="86" t="inlineStr">
        <is>
          <t>2020-02</t>
        </is>
      </c>
      <c r="E51" s="87" t="n">
        <v>195.1</v>
      </c>
      <c r="F51" s="87" t="n">
        <v>95.8222</v>
      </c>
      <c r="G51" s="88">
        <f>DAY(EOMONTH(DATE(B51,C51,1),0))</f>
        <v/>
      </c>
      <c r="H51" s="89">
        <f>F51/G51</f>
        <v/>
      </c>
    </row>
    <row r="52">
      <c r="A52" s="86" t="inlineStr">
        <is>
          <t>강원영동</t>
        </is>
      </c>
      <c r="B52" s="86" t="n">
        <v>2020</v>
      </c>
      <c r="C52" s="86" t="n">
        <v>3</v>
      </c>
      <c r="D52" s="86" t="inlineStr">
        <is>
          <t>2020-03</t>
        </is>
      </c>
      <c r="E52" s="87" t="n">
        <v>257.5</v>
      </c>
      <c r="F52" s="87" t="n">
        <v>144.4694</v>
      </c>
      <c r="G52" s="88">
        <f>DAY(EOMONTH(DATE(B52,C52,1),0))</f>
        <v/>
      </c>
      <c r="H52" s="89">
        <f>F52/G52</f>
        <v/>
      </c>
    </row>
    <row r="53">
      <c r="A53" s="86" t="inlineStr">
        <is>
          <t>강원영동</t>
        </is>
      </c>
      <c r="B53" s="86" t="n">
        <v>2020</v>
      </c>
      <c r="C53" s="86" t="n">
        <v>4</v>
      </c>
      <c r="D53" s="86" t="inlineStr">
        <is>
          <t>2020-04</t>
        </is>
      </c>
      <c r="E53" s="87" t="n">
        <v>242.8</v>
      </c>
      <c r="F53" s="87" t="n">
        <v>158.4361</v>
      </c>
      <c r="G53" s="88">
        <f>DAY(EOMONTH(DATE(B53,C53,1),0))</f>
        <v/>
      </c>
      <c r="H53" s="89">
        <f>F53/G53</f>
        <v/>
      </c>
    </row>
    <row r="54">
      <c r="A54" s="86" t="inlineStr">
        <is>
          <t>강원영동</t>
        </is>
      </c>
      <c r="B54" s="86" t="n">
        <v>2020</v>
      </c>
      <c r="C54" s="86" t="n">
        <v>5</v>
      </c>
      <c r="D54" s="86" t="inlineStr">
        <is>
          <t>2020-05</t>
        </is>
      </c>
      <c r="E54" s="87" t="n">
        <v>213</v>
      </c>
      <c r="F54" s="87" t="n">
        <v>171.825</v>
      </c>
      <c r="G54" s="88">
        <f>DAY(EOMONTH(DATE(B54,C54,1),0))</f>
        <v/>
      </c>
      <c r="H54" s="89">
        <f>F54/G54</f>
        <v/>
      </c>
    </row>
    <row r="55">
      <c r="A55" s="86" t="inlineStr">
        <is>
          <t>강원영동</t>
        </is>
      </c>
      <c r="B55" s="86" t="n">
        <v>2020</v>
      </c>
      <c r="C55" s="86" t="n">
        <v>6</v>
      </c>
      <c r="D55" s="86" t="inlineStr">
        <is>
          <t>2020-06</t>
        </is>
      </c>
      <c r="E55" s="87" t="n">
        <v>225.7</v>
      </c>
      <c r="F55" s="87" t="n">
        <v>172.4278</v>
      </c>
      <c r="G55" s="88">
        <f>DAY(EOMONTH(DATE(B55,C55,1),0))</f>
        <v/>
      </c>
      <c r="H55" s="89">
        <f>F55/G55</f>
        <v/>
      </c>
    </row>
    <row r="56">
      <c r="A56" s="86" t="inlineStr">
        <is>
          <t>강원영동</t>
        </is>
      </c>
      <c r="B56" s="86" t="n">
        <v>2020</v>
      </c>
      <c r="C56" s="86" t="n">
        <v>7</v>
      </c>
      <c r="D56" s="86" t="inlineStr">
        <is>
          <t>2020-07</t>
        </is>
      </c>
      <c r="E56" s="87" t="n">
        <v>147.2</v>
      </c>
      <c r="F56" s="87" t="n">
        <v>125.9639</v>
      </c>
      <c r="G56" s="88">
        <f>DAY(EOMONTH(DATE(B56,C56,1),0))</f>
        <v/>
      </c>
      <c r="H56" s="89">
        <f>F56/G56</f>
        <v/>
      </c>
    </row>
    <row r="57">
      <c r="A57" s="86" t="inlineStr">
        <is>
          <t>강원영동</t>
        </is>
      </c>
      <c r="B57" s="86" t="n">
        <v>2020</v>
      </c>
      <c r="C57" s="86" t="n">
        <v>8</v>
      </c>
      <c r="D57" s="86" t="inlineStr">
        <is>
          <t>2020-08</t>
        </is>
      </c>
      <c r="E57" s="87" t="n">
        <v>120.9</v>
      </c>
      <c r="F57" s="87" t="n">
        <v>107.9833</v>
      </c>
      <c r="G57" s="88">
        <f>DAY(EOMONTH(DATE(B57,C57,1),0))</f>
        <v/>
      </c>
      <c r="H57" s="89">
        <f>F57/G57</f>
        <v/>
      </c>
    </row>
    <row r="58">
      <c r="A58" s="86" t="inlineStr">
        <is>
          <t>강원영동</t>
        </is>
      </c>
      <c r="B58" s="86" t="n">
        <v>2020</v>
      </c>
      <c r="C58" s="86" t="n">
        <v>9</v>
      </c>
      <c r="D58" s="86" t="inlineStr">
        <is>
          <t>2020-09</t>
        </is>
      </c>
      <c r="E58" s="87" t="n">
        <v>146</v>
      </c>
      <c r="F58" s="87" t="n">
        <v>108.5694</v>
      </c>
      <c r="G58" s="88">
        <f>DAY(EOMONTH(DATE(B58,C58,1),0))</f>
        <v/>
      </c>
      <c r="H58" s="89">
        <f>F58/G58</f>
        <v/>
      </c>
    </row>
    <row r="59">
      <c r="A59" s="86" t="inlineStr">
        <is>
          <t>강원영동</t>
        </is>
      </c>
      <c r="B59" s="86" t="n">
        <v>2020</v>
      </c>
      <c r="C59" s="86" t="n">
        <v>10</v>
      </c>
      <c r="D59" s="86" t="inlineStr">
        <is>
          <t>2020-10</t>
        </is>
      </c>
      <c r="E59" s="87" t="n">
        <v>217.3</v>
      </c>
      <c r="F59" s="87" t="n">
        <v>113.1083</v>
      </c>
      <c r="G59" s="88">
        <f>DAY(EOMONTH(DATE(B59,C59,1),0))</f>
        <v/>
      </c>
      <c r="H59" s="89">
        <f>F59/G59</f>
        <v/>
      </c>
    </row>
    <row r="60">
      <c r="A60" s="86" t="inlineStr">
        <is>
          <t>강원영동</t>
        </is>
      </c>
      <c r="B60" s="86" t="n">
        <v>2020</v>
      </c>
      <c r="C60" s="86" t="n">
        <v>11</v>
      </c>
      <c r="D60" s="86" t="inlineStr">
        <is>
          <t>2020-11</t>
        </is>
      </c>
      <c r="E60" s="87" t="n">
        <v>199.7</v>
      </c>
      <c r="F60" s="87" t="n">
        <v>85.0333</v>
      </c>
      <c r="G60" s="88">
        <f>DAY(EOMONTH(DATE(B60,C60,1),0))</f>
        <v/>
      </c>
      <c r="H60" s="89">
        <f>F60/G60</f>
        <v/>
      </c>
    </row>
    <row r="61">
      <c r="A61" s="86" t="inlineStr">
        <is>
          <t>강원영동</t>
        </is>
      </c>
      <c r="B61" s="86" t="n">
        <v>2020</v>
      </c>
      <c r="C61" s="86" t="n">
        <v>12</v>
      </c>
      <c r="D61" s="86" t="inlineStr">
        <is>
          <t>2020-12</t>
        </is>
      </c>
      <c r="E61" s="87" t="n">
        <v>223.3</v>
      </c>
      <c r="F61" s="87" t="n">
        <v>81.2556</v>
      </c>
      <c r="G61" s="88">
        <f>DAY(EOMONTH(DATE(B61,C61,1),0))</f>
        <v/>
      </c>
      <c r="H61" s="89">
        <f>F61/G61</f>
        <v/>
      </c>
    </row>
    <row r="62">
      <c r="A62" s="86" t="inlineStr">
        <is>
          <t>강원영동</t>
        </is>
      </c>
      <c r="B62" s="86" t="n">
        <v>2021</v>
      </c>
      <c r="C62" s="86" t="n">
        <v>1</v>
      </c>
      <c r="D62" s="86" t="inlineStr">
        <is>
          <t>2021-01</t>
        </is>
      </c>
      <c r="E62" s="87" t="n">
        <v>200.3</v>
      </c>
      <c r="F62" s="87" t="n">
        <v>82.2278</v>
      </c>
      <c r="G62" s="88">
        <f>DAY(EOMONTH(DATE(B62,C62,1),0))</f>
        <v/>
      </c>
      <c r="H62" s="89">
        <f>F62/G62</f>
        <v/>
      </c>
    </row>
    <row r="63">
      <c r="A63" s="86" t="inlineStr">
        <is>
          <t>강원영동</t>
        </is>
      </c>
      <c r="B63" s="86" t="n">
        <v>2021</v>
      </c>
      <c r="C63" s="86" t="n">
        <v>2</v>
      </c>
      <c r="D63" s="86" t="inlineStr">
        <is>
          <t>2021-02</t>
        </is>
      </c>
      <c r="E63" s="87" t="n">
        <v>208.8</v>
      </c>
      <c r="F63" s="87" t="n">
        <v>101.8694</v>
      </c>
      <c r="G63" s="88">
        <f>DAY(EOMONTH(DATE(B63,C63,1),0))</f>
        <v/>
      </c>
      <c r="H63" s="89">
        <f>F63/G63</f>
        <v/>
      </c>
    </row>
    <row r="64">
      <c r="A64" s="86" t="inlineStr">
        <is>
          <t>강원영동</t>
        </is>
      </c>
      <c r="B64" s="86" t="n">
        <v>2021</v>
      </c>
      <c r="C64" s="86" t="n">
        <v>3</v>
      </c>
      <c r="D64" s="86" t="inlineStr">
        <is>
          <t>2021-03</t>
        </is>
      </c>
      <c r="E64" s="87" t="n">
        <v>205</v>
      </c>
      <c r="F64" s="87" t="n">
        <v>128.3278</v>
      </c>
      <c r="G64" s="88">
        <f>DAY(EOMONTH(DATE(B64,C64,1),0))</f>
        <v/>
      </c>
      <c r="H64" s="89">
        <f>F64/G64</f>
        <v/>
      </c>
    </row>
    <row r="65">
      <c r="A65" s="86" t="inlineStr">
        <is>
          <t>강원영동</t>
        </is>
      </c>
      <c r="B65" s="86" t="n">
        <v>2021</v>
      </c>
      <c r="C65" s="86" t="n">
        <v>4</v>
      </c>
      <c r="D65" s="86" t="inlineStr">
        <is>
          <t>2021-04</t>
        </is>
      </c>
      <c r="E65" s="87" t="n">
        <v>223</v>
      </c>
      <c r="F65" s="87" t="n">
        <v>158.6778</v>
      </c>
      <c r="G65" s="88">
        <f>DAY(EOMONTH(DATE(B65,C65,1),0))</f>
        <v/>
      </c>
      <c r="H65" s="89">
        <f>F65/G65</f>
        <v/>
      </c>
    </row>
    <row r="66">
      <c r="A66" s="86" t="inlineStr">
        <is>
          <t>강원영동</t>
        </is>
      </c>
      <c r="B66" s="86" t="n">
        <v>2021</v>
      </c>
      <c r="C66" s="86" t="n">
        <v>5</v>
      </c>
      <c r="D66" s="86" t="inlineStr">
        <is>
          <t>2021-05</t>
        </is>
      </c>
      <c r="E66" s="87" t="n">
        <v>222.5</v>
      </c>
      <c r="F66" s="87" t="n">
        <v>161.2556</v>
      </c>
      <c r="G66" s="88">
        <f>DAY(EOMONTH(DATE(B66,C66,1),0))</f>
        <v/>
      </c>
      <c r="H66" s="89">
        <f>F66/G66</f>
        <v/>
      </c>
    </row>
    <row r="67">
      <c r="A67" s="86" t="inlineStr">
        <is>
          <t>강원영동</t>
        </is>
      </c>
      <c r="B67" s="86" t="n">
        <v>2021</v>
      </c>
      <c r="C67" s="86" t="n">
        <v>6</v>
      </c>
      <c r="D67" s="86" t="inlineStr">
        <is>
          <t>2021-06</t>
        </is>
      </c>
      <c r="E67" s="87" t="n">
        <v>172.4</v>
      </c>
      <c r="F67" s="87" t="n">
        <v>153.5444</v>
      </c>
      <c r="G67" s="88">
        <f>DAY(EOMONTH(DATE(B67,C67,1),0))</f>
        <v/>
      </c>
      <c r="H67" s="89">
        <f>F67/G67</f>
        <v/>
      </c>
    </row>
    <row r="68">
      <c r="A68" s="86" t="inlineStr">
        <is>
          <t>강원영동</t>
        </is>
      </c>
      <c r="B68" s="86" t="n">
        <v>2021</v>
      </c>
      <c r="C68" s="86" t="n">
        <v>7</v>
      </c>
      <c r="D68" s="86" t="inlineStr">
        <is>
          <t>2021-07</t>
        </is>
      </c>
      <c r="E68" s="87" t="n">
        <v>242.4</v>
      </c>
      <c r="F68" s="87" t="n">
        <v>183.6361</v>
      </c>
      <c r="G68" s="88">
        <f>DAY(EOMONTH(DATE(B68,C68,1),0))</f>
        <v/>
      </c>
      <c r="H68" s="89">
        <f>F68/G68</f>
        <v/>
      </c>
    </row>
    <row r="69">
      <c r="A69" s="86" t="inlineStr">
        <is>
          <t>강원영동</t>
        </is>
      </c>
      <c r="B69" s="86" t="n">
        <v>2021</v>
      </c>
      <c r="C69" s="86" t="n">
        <v>8</v>
      </c>
      <c r="D69" s="86" t="inlineStr">
        <is>
          <t>2021-08</t>
        </is>
      </c>
      <c r="E69" s="87" t="n">
        <v>103</v>
      </c>
      <c r="F69" s="87" t="n">
        <v>102.05</v>
      </c>
      <c r="G69" s="88">
        <f>DAY(EOMONTH(DATE(B69,C69,1),0))</f>
        <v/>
      </c>
      <c r="H69" s="89">
        <f>F69/G69</f>
        <v/>
      </c>
    </row>
    <row r="70">
      <c r="A70" s="86" t="inlineStr">
        <is>
          <t>강원영동</t>
        </is>
      </c>
      <c r="B70" s="86" t="n">
        <v>2021</v>
      </c>
      <c r="C70" s="86" t="n">
        <v>9</v>
      </c>
      <c r="D70" s="86" t="inlineStr">
        <is>
          <t>2021-09</t>
        </is>
      </c>
      <c r="E70" s="87" t="n">
        <v>165</v>
      </c>
      <c r="F70" s="87" t="n">
        <v>112.4889</v>
      </c>
      <c r="G70" s="88">
        <f>DAY(EOMONTH(DATE(B70,C70,1),0))</f>
        <v/>
      </c>
      <c r="H70" s="89">
        <f>F70/G70</f>
        <v/>
      </c>
    </row>
    <row r="71">
      <c r="A71" s="86" t="inlineStr">
        <is>
          <t>강원영동</t>
        </is>
      </c>
      <c r="B71" s="86" t="n">
        <v>2021</v>
      </c>
      <c r="C71" s="86" t="n">
        <v>10</v>
      </c>
      <c r="D71" s="86" t="inlineStr">
        <is>
          <t>2021-10</t>
        </is>
      </c>
      <c r="E71" s="87" t="n">
        <v>166.6</v>
      </c>
      <c r="F71" s="87" t="n">
        <v>91.2861</v>
      </c>
      <c r="G71" s="88">
        <f>DAY(EOMONTH(DATE(B71,C71,1),0))</f>
        <v/>
      </c>
      <c r="H71" s="89">
        <f>F71/G71</f>
        <v/>
      </c>
    </row>
    <row r="72">
      <c r="A72" s="86" t="inlineStr">
        <is>
          <t>강원영동</t>
        </is>
      </c>
      <c r="B72" s="86" t="n">
        <v>2021</v>
      </c>
      <c r="C72" s="86" t="n">
        <v>11</v>
      </c>
      <c r="D72" s="86" t="inlineStr">
        <is>
          <t>2021-11</t>
        </is>
      </c>
      <c r="E72" s="87" t="n">
        <v>202.9</v>
      </c>
      <c r="F72" s="87" t="n">
        <v>84.33329999999999</v>
      </c>
      <c r="G72" s="88">
        <f>DAY(EOMONTH(DATE(B72,C72,1),0))</f>
        <v/>
      </c>
      <c r="H72" s="89">
        <f>F72/G72</f>
        <v/>
      </c>
    </row>
    <row r="73">
      <c r="A73" s="86" t="inlineStr">
        <is>
          <t>강원영동</t>
        </is>
      </c>
      <c r="B73" s="86" t="n">
        <v>2021</v>
      </c>
      <c r="C73" s="86" t="n">
        <v>12</v>
      </c>
      <c r="D73" s="86" t="inlineStr">
        <is>
          <t>2021-12</t>
        </is>
      </c>
      <c r="E73" s="87" t="n">
        <v>213.5</v>
      </c>
      <c r="F73" s="87" t="n">
        <v>79.4556</v>
      </c>
      <c r="G73" s="88">
        <f>DAY(EOMONTH(DATE(B73,C73,1),0))</f>
        <v/>
      </c>
      <c r="H73" s="89">
        <f>F73/G73</f>
        <v/>
      </c>
    </row>
    <row r="74">
      <c r="A74" s="86" t="inlineStr">
        <is>
          <t>강원영동</t>
        </is>
      </c>
      <c r="B74" s="86" t="n">
        <v>2022</v>
      </c>
      <c r="C74" s="86" t="n">
        <v>1</v>
      </c>
      <c r="D74" s="86" t="inlineStr">
        <is>
          <t>2022-01</t>
        </is>
      </c>
      <c r="E74" s="87" t="n">
        <v>224.8</v>
      </c>
      <c r="F74" s="87" t="n">
        <v>87.90560000000001</v>
      </c>
      <c r="G74" s="88">
        <f>DAY(EOMONTH(DATE(B74,C74,1),0))</f>
        <v/>
      </c>
      <c r="H74" s="89">
        <f>F74/G74</f>
        <v/>
      </c>
    </row>
    <row r="75">
      <c r="A75" s="86" t="inlineStr">
        <is>
          <t>강원영동</t>
        </is>
      </c>
      <c r="B75" s="86" t="n">
        <v>2022</v>
      </c>
      <c r="C75" s="86" t="n">
        <v>2</v>
      </c>
      <c r="D75" s="86" t="inlineStr">
        <is>
          <t>2022-02</t>
        </is>
      </c>
      <c r="E75" s="87" t="n">
        <v>241.6</v>
      </c>
      <c r="F75" s="87" t="n">
        <v>113.2833</v>
      </c>
      <c r="G75" s="88">
        <f>DAY(EOMONTH(DATE(B75,C75,1),0))</f>
        <v/>
      </c>
      <c r="H75" s="89">
        <f>F75/G75</f>
        <v/>
      </c>
    </row>
    <row r="76">
      <c r="A76" s="86" t="inlineStr">
        <is>
          <t>강원영동</t>
        </is>
      </c>
      <c r="B76" s="86" t="n">
        <v>2022</v>
      </c>
      <c r="C76" s="86" t="n">
        <v>3</v>
      </c>
      <c r="D76" s="86" t="inlineStr">
        <is>
          <t>2022-03</t>
        </is>
      </c>
      <c r="E76" s="87" t="n">
        <v>191.3</v>
      </c>
      <c r="F76" s="87" t="n">
        <v>121.2194</v>
      </c>
      <c r="G76" s="88">
        <f>DAY(EOMONTH(DATE(B76,C76,1),0))</f>
        <v/>
      </c>
      <c r="H76" s="89">
        <f>F76/G76</f>
        <v/>
      </c>
    </row>
    <row r="77">
      <c r="A77" s="86" t="inlineStr">
        <is>
          <t>강원영동</t>
        </is>
      </c>
      <c r="B77" s="86" t="n">
        <v>2022</v>
      </c>
      <c r="C77" s="86" t="n">
        <v>4</v>
      </c>
      <c r="D77" s="86" t="inlineStr">
        <is>
          <t>2022-04</t>
        </is>
      </c>
      <c r="E77" s="87" t="n">
        <v>260</v>
      </c>
      <c r="F77" s="87" t="n">
        <v>168.9417</v>
      </c>
      <c r="G77" s="88">
        <f>DAY(EOMONTH(DATE(B77,C77,1),0))</f>
        <v/>
      </c>
      <c r="H77" s="89">
        <f>F77/G77</f>
        <v/>
      </c>
    </row>
    <row r="78">
      <c r="A78" s="86" t="inlineStr">
        <is>
          <t>강원영동</t>
        </is>
      </c>
      <c r="B78" s="86" t="n">
        <v>2022</v>
      </c>
      <c r="C78" s="86" t="n">
        <v>5</v>
      </c>
      <c r="D78" s="86" t="inlineStr">
        <is>
          <t>2022-05</t>
        </is>
      </c>
      <c r="E78" s="87" t="n">
        <v>292.9</v>
      </c>
      <c r="F78" s="87" t="n">
        <v>190.8139</v>
      </c>
      <c r="G78" s="88">
        <f>DAY(EOMONTH(DATE(B78,C78,1),0))</f>
        <v/>
      </c>
      <c r="H78" s="89">
        <f>F78/G78</f>
        <v/>
      </c>
    </row>
    <row r="79">
      <c r="A79" s="86" t="inlineStr">
        <is>
          <t>강원영동</t>
        </is>
      </c>
      <c r="B79" s="86" t="n">
        <v>2022</v>
      </c>
      <c r="C79" s="86" t="n">
        <v>6</v>
      </c>
      <c r="D79" s="86" t="inlineStr">
        <is>
          <t>2022-06</t>
        </is>
      </c>
      <c r="E79" s="87" t="n">
        <v>166.2</v>
      </c>
      <c r="F79" s="87" t="n">
        <v>144.8972</v>
      </c>
      <c r="G79" s="88">
        <f>DAY(EOMONTH(DATE(B79,C79,1),0))</f>
        <v/>
      </c>
      <c r="H79" s="89">
        <f>F79/G79</f>
        <v/>
      </c>
    </row>
    <row r="80">
      <c r="A80" s="86" t="inlineStr">
        <is>
          <t>강원영동</t>
        </is>
      </c>
      <c r="B80" s="86" t="n">
        <v>2022</v>
      </c>
      <c r="C80" s="86" t="n">
        <v>7</v>
      </c>
      <c r="D80" s="86" t="inlineStr">
        <is>
          <t>2022-07</t>
        </is>
      </c>
      <c r="E80" s="87" t="n">
        <v>125.7</v>
      </c>
      <c r="F80" s="87" t="n">
        <v>139.3806</v>
      </c>
      <c r="G80" s="88">
        <f>DAY(EOMONTH(DATE(B80,C80,1),0))</f>
        <v/>
      </c>
      <c r="H80" s="89">
        <f>F80/G80</f>
        <v/>
      </c>
    </row>
    <row r="81">
      <c r="A81" s="86" t="inlineStr">
        <is>
          <t>강원영동</t>
        </is>
      </c>
      <c r="B81" s="86" t="n">
        <v>2022</v>
      </c>
      <c r="C81" s="86" t="n">
        <v>8</v>
      </c>
      <c r="D81" s="86" t="inlineStr">
        <is>
          <t>2022-08</t>
        </is>
      </c>
      <c r="E81" s="87" t="n">
        <v>138.8</v>
      </c>
      <c r="F81" s="87" t="n">
        <v>114.6111</v>
      </c>
      <c r="G81" s="88">
        <f>DAY(EOMONTH(DATE(B81,C81,1),0))</f>
        <v/>
      </c>
      <c r="H81" s="89">
        <f>F81/G81</f>
        <v/>
      </c>
    </row>
    <row r="82">
      <c r="A82" s="86" t="inlineStr">
        <is>
          <t>강원영동</t>
        </is>
      </c>
      <c r="B82" s="86" t="n">
        <v>2022</v>
      </c>
      <c r="C82" s="86" t="n">
        <v>9</v>
      </c>
      <c r="D82" s="86" t="inlineStr">
        <is>
          <t>2022-09</t>
        </is>
      </c>
      <c r="E82" s="87" t="n">
        <v>194.1</v>
      </c>
      <c r="F82" s="87" t="n">
        <v>136.3556</v>
      </c>
      <c r="G82" s="88">
        <f>DAY(EOMONTH(DATE(B82,C82,1),0))</f>
        <v/>
      </c>
      <c r="H82" s="89">
        <f>F82/G82</f>
        <v/>
      </c>
    </row>
    <row r="83">
      <c r="A83" s="86" t="inlineStr">
        <is>
          <t>강원영동</t>
        </is>
      </c>
      <c r="B83" s="86" t="n">
        <v>2022</v>
      </c>
      <c r="C83" s="86" t="n">
        <v>10</v>
      </c>
      <c r="D83" s="86" t="inlineStr">
        <is>
          <t>2022-10</t>
        </is>
      </c>
      <c r="E83" s="87" t="n">
        <v>149.3</v>
      </c>
      <c r="F83" s="87" t="n">
        <v>99.3139</v>
      </c>
      <c r="G83" s="88">
        <f>DAY(EOMONTH(DATE(B83,C83,1),0))</f>
        <v/>
      </c>
      <c r="H83" s="89">
        <f>F83/G83</f>
        <v/>
      </c>
    </row>
    <row r="84">
      <c r="A84" s="86" t="inlineStr">
        <is>
          <t>강원영동</t>
        </is>
      </c>
      <c r="B84" s="86" t="n">
        <v>2022</v>
      </c>
      <c r="C84" s="86" t="n">
        <v>11</v>
      </c>
      <c r="D84" s="86" t="inlineStr">
        <is>
          <t>2022-11</t>
        </is>
      </c>
      <c r="E84" s="87" t="n">
        <v>192.8</v>
      </c>
      <c r="F84" s="87" t="n">
        <v>75.5278</v>
      </c>
      <c r="G84" s="88">
        <f>DAY(EOMONTH(DATE(B84,C84,1),0))</f>
        <v/>
      </c>
      <c r="H84" s="89">
        <f>F84/G84</f>
        <v/>
      </c>
    </row>
    <row r="85">
      <c r="A85" s="86" t="inlineStr">
        <is>
          <t>강원영동</t>
        </is>
      </c>
      <c r="B85" s="86" t="n">
        <v>2022</v>
      </c>
      <c r="C85" s="86" t="n">
        <v>12</v>
      </c>
      <c r="D85" s="86" t="inlineStr">
        <is>
          <t>2022-12</t>
        </is>
      </c>
      <c r="E85" s="87" t="n">
        <v>224.5</v>
      </c>
      <c r="F85" s="87" t="n">
        <v>56.8611</v>
      </c>
      <c r="G85" s="88">
        <f>DAY(EOMONTH(DATE(B85,C85,1),0))</f>
        <v/>
      </c>
      <c r="H85" s="89">
        <f>F85/G85</f>
        <v/>
      </c>
    </row>
    <row r="86">
      <c r="A86" s="86" t="inlineStr">
        <is>
          <t>강원영동</t>
        </is>
      </c>
      <c r="B86" s="86" t="n">
        <v>2023</v>
      </c>
      <c r="C86" s="86" t="n">
        <v>1</v>
      </c>
      <c r="D86" s="86" t="inlineStr">
        <is>
          <t>2023-01</t>
        </is>
      </c>
      <c r="E86" s="87" t="n">
        <v>217.1</v>
      </c>
      <c r="F86" s="87" t="n">
        <v>81.3306</v>
      </c>
      <c r="G86" s="88">
        <f>DAY(EOMONTH(DATE(B86,C86,1),0))</f>
        <v/>
      </c>
      <c r="H86" s="89">
        <f>F86/G86</f>
        <v/>
      </c>
    </row>
    <row r="87">
      <c r="A87" s="86" t="inlineStr">
        <is>
          <t>강원영동</t>
        </is>
      </c>
      <c r="B87" s="86" t="n">
        <v>2023</v>
      </c>
      <c r="C87" s="86" t="n">
        <v>2</v>
      </c>
      <c r="D87" s="86" t="inlineStr">
        <is>
          <t>2023-02</t>
        </is>
      </c>
      <c r="E87" s="87" t="n">
        <v>175.4</v>
      </c>
      <c r="F87" s="87" t="n">
        <v>83.84999999999999</v>
      </c>
      <c r="G87" s="88">
        <f>DAY(EOMONTH(DATE(B87,C87,1),0))</f>
        <v/>
      </c>
      <c r="H87" s="89">
        <f>F87/G87</f>
        <v/>
      </c>
    </row>
    <row r="88">
      <c r="A88" s="86" t="inlineStr">
        <is>
          <t>강원영동</t>
        </is>
      </c>
      <c r="B88" s="86" t="n">
        <v>2023</v>
      </c>
      <c r="C88" s="86" t="n">
        <v>3</v>
      </c>
      <c r="D88" s="86" t="inlineStr">
        <is>
          <t>2023-03</t>
        </is>
      </c>
      <c r="E88" s="87" t="n">
        <v>226.7</v>
      </c>
      <c r="F88" s="87" t="n">
        <v>126.5333</v>
      </c>
      <c r="G88" s="88">
        <f>DAY(EOMONTH(DATE(B88,C88,1),0))</f>
        <v/>
      </c>
      <c r="H88" s="89">
        <f>F88/G88</f>
        <v/>
      </c>
    </row>
    <row r="89">
      <c r="A89" s="86" t="inlineStr">
        <is>
          <t>강원영동</t>
        </is>
      </c>
      <c r="B89" s="86" t="n">
        <v>2023</v>
      </c>
      <c r="C89" s="86" t="n">
        <v>4</v>
      </c>
      <c r="D89" s="86" t="inlineStr">
        <is>
          <t>2023-04</t>
        </is>
      </c>
      <c r="E89" s="87" t="n">
        <v>216.7</v>
      </c>
      <c r="F89" s="87" t="n">
        <v>145.9028</v>
      </c>
      <c r="G89" s="88">
        <f>DAY(EOMONTH(DATE(B89,C89,1),0))</f>
        <v/>
      </c>
      <c r="H89" s="89">
        <f>F89/G89</f>
        <v/>
      </c>
    </row>
    <row r="90">
      <c r="A90" s="86" t="inlineStr">
        <is>
          <t>강원영동</t>
        </is>
      </c>
      <c r="B90" s="86" t="n">
        <v>2023</v>
      </c>
      <c r="C90" s="86" t="n">
        <v>5</v>
      </c>
      <c r="D90" s="86" t="inlineStr">
        <is>
          <t>2023-05</t>
        </is>
      </c>
      <c r="E90" s="87" t="n">
        <v>228</v>
      </c>
      <c r="F90" s="87" t="n">
        <v>163.2361</v>
      </c>
      <c r="G90" s="88">
        <f>DAY(EOMONTH(DATE(B90,C90,1),0))</f>
        <v/>
      </c>
      <c r="H90" s="89">
        <f>F90/G90</f>
        <v/>
      </c>
    </row>
    <row r="91">
      <c r="A91" s="86" t="inlineStr">
        <is>
          <t>강원영동</t>
        </is>
      </c>
      <c r="B91" s="86" t="n">
        <v>2023</v>
      </c>
      <c r="C91" s="86" t="n">
        <v>6</v>
      </c>
      <c r="D91" s="86" t="inlineStr">
        <is>
          <t>2023-06</t>
        </is>
      </c>
      <c r="E91" s="87" t="n">
        <v>232.6</v>
      </c>
      <c r="F91" s="87" t="n">
        <v>168.2028</v>
      </c>
      <c r="G91" s="88">
        <f>DAY(EOMONTH(DATE(B91,C91,1),0))</f>
        <v/>
      </c>
      <c r="H91" s="89">
        <f>F91/G91</f>
        <v/>
      </c>
    </row>
    <row r="92">
      <c r="A92" s="86" t="inlineStr">
        <is>
          <t>강원영동</t>
        </is>
      </c>
      <c r="B92" s="86" t="n">
        <v>2023</v>
      </c>
      <c r="C92" s="86" t="n">
        <v>7</v>
      </c>
      <c r="D92" s="86" t="inlineStr">
        <is>
          <t>2023-07</t>
        </is>
      </c>
      <c r="E92" s="87" t="n">
        <v>172.8</v>
      </c>
      <c r="F92" s="87" t="n">
        <v>140.1639</v>
      </c>
      <c r="G92" s="88">
        <f>DAY(EOMONTH(DATE(B92,C92,1),0))</f>
        <v/>
      </c>
      <c r="H92" s="89">
        <f>F92/G92</f>
        <v/>
      </c>
    </row>
    <row r="93">
      <c r="A93" s="86" t="inlineStr">
        <is>
          <t>강원영동</t>
        </is>
      </c>
      <c r="B93" s="86" t="n">
        <v>2023</v>
      </c>
      <c r="C93" s="86" t="n">
        <v>8</v>
      </c>
      <c r="D93" s="86" t="inlineStr">
        <is>
          <t>2023-08</t>
        </is>
      </c>
      <c r="E93" s="87" t="n">
        <v>130.5</v>
      </c>
      <c r="F93" s="87" t="n">
        <v>120.2472</v>
      </c>
      <c r="G93" s="88">
        <f>DAY(EOMONTH(DATE(B93,C93,1),0))</f>
        <v/>
      </c>
      <c r="H93" s="89">
        <f>F93/G93</f>
        <v/>
      </c>
    </row>
    <row r="94">
      <c r="A94" s="86" t="inlineStr">
        <is>
          <t>강원영동</t>
        </is>
      </c>
      <c r="B94" s="86" t="n">
        <v>2023</v>
      </c>
      <c r="C94" s="86" t="n">
        <v>9</v>
      </c>
      <c r="D94" s="86" t="inlineStr">
        <is>
          <t>2023-09</t>
        </is>
      </c>
      <c r="E94" s="87" t="n">
        <v>152.8</v>
      </c>
      <c r="F94" s="87" t="n">
        <v>104.8194</v>
      </c>
      <c r="G94" s="88">
        <f>DAY(EOMONTH(DATE(B94,C94,1),0))</f>
        <v/>
      </c>
      <c r="H94" s="89">
        <f>F94/G94</f>
        <v/>
      </c>
    </row>
    <row r="95">
      <c r="A95" s="86" t="inlineStr">
        <is>
          <t>강원영동</t>
        </is>
      </c>
      <c r="B95" s="86" t="n">
        <v>2023</v>
      </c>
      <c r="C95" s="86" t="n">
        <v>10</v>
      </c>
      <c r="D95" s="86" t="inlineStr">
        <is>
          <t>2023-10</t>
        </is>
      </c>
      <c r="E95" s="87" t="n">
        <v>215.9</v>
      </c>
      <c r="F95" s="87" t="n">
        <v>107.5389</v>
      </c>
      <c r="G95" s="88">
        <f>DAY(EOMONTH(DATE(B95,C95,1),0))</f>
        <v/>
      </c>
      <c r="H95" s="89">
        <f>F95/G95</f>
        <v/>
      </c>
    </row>
    <row r="96">
      <c r="A96" s="86" t="inlineStr">
        <is>
          <t>강원영동</t>
        </is>
      </c>
      <c r="B96" s="86" t="n">
        <v>2023</v>
      </c>
      <c r="C96" s="86" t="n">
        <v>11</v>
      </c>
      <c r="D96" s="86" t="inlineStr">
        <is>
          <t>2023-11</t>
        </is>
      </c>
      <c r="E96" s="87" t="n">
        <v>212.3</v>
      </c>
      <c r="F96" s="87" t="n">
        <v>84.24720000000001</v>
      </c>
      <c r="G96" s="88">
        <f>DAY(EOMONTH(DATE(B96,C96,1),0))</f>
        <v/>
      </c>
      <c r="H96" s="89">
        <f>F96/G96</f>
        <v/>
      </c>
    </row>
    <row r="97">
      <c r="A97" s="86" t="inlineStr">
        <is>
          <t>강원영동</t>
        </is>
      </c>
      <c r="B97" s="86" t="n">
        <v>2023</v>
      </c>
      <c r="C97" s="86" t="n">
        <v>12</v>
      </c>
      <c r="D97" s="86" t="inlineStr">
        <is>
          <t>2023-12</t>
        </is>
      </c>
      <c r="E97" s="87" t="n">
        <v>180.1</v>
      </c>
      <c r="F97" s="87" t="n">
        <v>65.90000000000001</v>
      </c>
      <c r="G97" s="88">
        <f>DAY(EOMONTH(DATE(B97,C97,1),0))</f>
        <v/>
      </c>
      <c r="H97" s="89">
        <f>F97/G97</f>
        <v/>
      </c>
    </row>
    <row r="98">
      <c r="A98" s="86" t="inlineStr">
        <is>
          <t>강원영동</t>
        </is>
      </c>
      <c r="B98" s="86" t="n">
        <v>2024</v>
      </c>
      <c r="C98" s="86" t="n">
        <v>1</v>
      </c>
      <c r="D98" s="86" t="inlineStr">
        <is>
          <t>2024-01</t>
        </is>
      </c>
      <c r="E98" s="87" t="n">
        <v>202</v>
      </c>
      <c r="F98" s="87" t="n">
        <v>76.62220000000001</v>
      </c>
      <c r="G98" s="88">
        <f>DAY(EOMONTH(DATE(B98,C98,1),0))</f>
        <v/>
      </c>
      <c r="H98" s="89">
        <f>F98/G98</f>
        <v/>
      </c>
    </row>
    <row r="99">
      <c r="A99" s="86" t="inlineStr">
        <is>
          <t>강원영동</t>
        </is>
      </c>
      <c r="B99" s="86" t="n">
        <v>2024</v>
      </c>
      <c r="C99" s="86" t="n">
        <v>2</v>
      </c>
      <c r="D99" s="86" t="inlineStr">
        <is>
          <t>2024-02</t>
        </is>
      </c>
      <c r="E99" s="87" t="n">
        <v>102.7</v>
      </c>
      <c r="F99" s="87" t="n">
        <v>56.8972</v>
      </c>
      <c r="G99" s="88">
        <f>DAY(EOMONTH(DATE(B99,C99,1),0))</f>
        <v/>
      </c>
      <c r="H99" s="89">
        <f>F99/G99</f>
        <v/>
      </c>
    </row>
    <row r="100">
      <c r="A100" s="86" t="inlineStr">
        <is>
          <t>강원영동</t>
        </is>
      </c>
      <c r="B100" s="86" t="n">
        <v>2024</v>
      </c>
      <c r="C100" s="86" t="n">
        <v>3</v>
      </c>
      <c r="D100" s="86" t="inlineStr">
        <is>
          <t>2024-03</t>
        </is>
      </c>
      <c r="E100" s="87" t="n">
        <v>208.6</v>
      </c>
      <c r="F100" s="87" t="n">
        <v>122.3472</v>
      </c>
      <c r="G100" s="88">
        <f>DAY(EOMONTH(DATE(B100,C100,1),0))</f>
        <v/>
      </c>
      <c r="H100" s="89">
        <f>F100/G100</f>
        <v/>
      </c>
    </row>
    <row r="101">
      <c r="A101" s="86" t="inlineStr">
        <is>
          <t>강원영동</t>
        </is>
      </c>
      <c r="B101" s="86" t="n">
        <v>2024</v>
      </c>
      <c r="C101" s="86" t="n">
        <v>4</v>
      </c>
      <c r="D101" s="86" t="inlineStr">
        <is>
          <t>2024-04</t>
        </is>
      </c>
      <c r="E101" s="87" t="n">
        <v>203.8</v>
      </c>
      <c r="F101" s="87" t="n">
        <v>140.0361</v>
      </c>
      <c r="G101" s="88">
        <f>DAY(EOMONTH(DATE(B101,C101,1),0))</f>
        <v/>
      </c>
      <c r="H101" s="89">
        <f>F101/G101</f>
        <v/>
      </c>
    </row>
    <row r="102">
      <c r="A102" s="86" t="inlineStr">
        <is>
          <t>강원영동</t>
        </is>
      </c>
      <c r="B102" s="86" t="n">
        <v>2024</v>
      </c>
      <c r="C102" s="86" t="n">
        <v>5</v>
      </c>
      <c r="D102" s="86" t="inlineStr">
        <is>
          <t>2024-05</t>
        </is>
      </c>
      <c r="E102" s="87" t="n">
        <v>256.1</v>
      </c>
      <c r="F102" s="87" t="n">
        <v>180.55</v>
      </c>
      <c r="G102" s="88">
        <f>DAY(EOMONTH(DATE(B102,C102,1),0))</f>
        <v/>
      </c>
      <c r="H102" s="89">
        <f>F102/G102</f>
        <v/>
      </c>
    </row>
    <row r="103">
      <c r="A103" s="86" t="inlineStr">
        <is>
          <t>강원영동</t>
        </is>
      </c>
      <c r="B103" s="86" t="n">
        <v>2024</v>
      </c>
      <c r="C103" s="86" t="n">
        <v>6</v>
      </c>
      <c r="D103" s="86" t="inlineStr">
        <is>
          <t>2024-06</t>
        </is>
      </c>
      <c r="E103" s="87" t="n">
        <v>276.5</v>
      </c>
      <c r="F103" s="87" t="n">
        <v>171.8139</v>
      </c>
      <c r="G103" s="88">
        <f>DAY(EOMONTH(DATE(B103,C103,1),0))</f>
        <v/>
      </c>
      <c r="H103" s="89">
        <f>F103/G103</f>
        <v/>
      </c>
    </row>
    <row r="104">
      <c r="A104" s="86" t="inlineStr">
        <is>
          <t>강원영동</t>
        </is>
      </c>
      <c r="B104" s="86" t="n">
        <v>2024</v>
      </c>
      <c r="C104" s="86" t="n">
        <v>7</v>
      </c>
      <c r="D104" s="86" t="inlineStr">
        <is>
          <t>2024-07</t>
        </is>
      </c>
      <c r="E104" s="87" t="n">
        <v>151.5</v>
      </c>
      <c r="F104" s="87" t="n">
        <v>131.3556</v>
      </c>
      <c r="G104" s="88">
        <f>DAY(EOMONTH(DATE(B104,C104,1),0))</f>
        <v/>
      </c>
      <c r="H104" s="89">
        <f>F104/G104</f>
        <v/>
      </c>
    </row>
    <row r="105">
      <c r="A105" s="86" t="inlineStr">
        <is>
          <t>강원영동</t>
        </is>
      </c>
      <c r="B105" s="86" t="n">
        <v>2024</v>
      </c>
      <c r="C105" s="86" t="n">
        <v>8</v>
      </c>
      <c r="D105" s="86" t="inlineStr">
        <is>
          <t>2024-08</t>
        </is>
      </c>
      <c r="E105" s="87" t="n">
        <v>230.5</v>
      </c>
      <c r="F105" s="87" t="n">
        <v>157.1056</v>
      </c>
      <c r="G105" s="88">
        <f>DAY(EOMONTH(DATE(B105,C105,1),0))</f>
        <v/>
      </c>
      <c r="H105" s="89">
        <f>F105/G105</f>
        <v/>
      </c>
    </row>
    <row r="106">
      <c r="A106" s="86" t="inlineStr">
        <is>
          <t>강원영동</t>
        </is>
      </c>
      <c r="B106" s="86" t="n">
        <v>2024</v>
      </c>
      <c r="C106" s="86" t="n">
        <v>9</v>
      </c>
      <c r="D106" s="86" t="inlineStr">
        <is>
          <t>2024-09</t>
        </is>
      </c>
      <c r="E106" s="87" t="n">
        <v>113.9</v>
      </c>
      <c r="F106" s="87" t="n">
        <v>95.5167</v>
      </c>
      <c r="G106" s="88">
        <f>DAY(EOMONTH(DATE(B106,C106,1),0))</f>
        <v/>
      </c>
      <c r="H106" s="89">
        <f>F106/G106</f>
        <v/>
      </c>
    </row>
    <row r="107">
      <c r="A107" s="86" t="inlineStr">
        <is>
          <t>강원영동</t>
        </is>
      </c>
      <c r="B107" s="86" t="n">
        <v>2024</v>
      </c>
      <c r="C107" s="86" t="n">
        <v>10</v>
      </c>
      <c r="D107" s="86" t="inlineStr">
        <is>
          <t>2024-10</t>
        </is>
      </c>
      <c r="E107" s="87" t="n">
        <v>137.1</v>
      </c>
      <c r="F107" s="87" t="n">
        <v>83.5111</v>
      </c>
      <c r="G107" s="88">
        <f>DAY(EOMONTH(DATE(B107,C107,1),0))</f>
        <v/>
      </c>
      <c r="H107" s="89">
        <f>F107/G107</f>
        <v/>
      </c>
    </row>
    <row r="108">
      <c r="A108" s="86" t="inlineStr">
        <is>
          <t>강원영동</t>
        </is>
      </c>
      <c r="B108" s="86" t="n">
        <v>2024</v>
      </c>
      <c r="C108" s="86" t="n">
        <v>11</v>
      </c>
      <c r="D108" s="86" t="inlineStr">
        <is>
          <t>2024-11</t>
        </is>
      </c>
      <c r="E108" s="87" t="n">
        <v>163.3</v>
      </c>
      <c r="F108" s="87" t="n">
        <v>68.7611</v>
      </c>
      <c r="G108" s="88">
        <f>DAY(EOMONTH(DATE(B108,C108,1),0))</f>
        <v/>
      </c>
      <c r="H108" s="89">
        <f>F108/G108</f>
        <v/>
      </c>
    </row>
    <row r="109">
      <c r="A109" s="86" t="inlineStr">
        <is>
          <t>강원영동</t>
        </is>
      </c>
      <c r="B109" s="86" t="n">
        <v>2024</v>
      </c>
      <c r="C109" s="86" t="n">
        <v>12</v>
      </c>
      <c r="D109" s="86" t="inlineStr">
        <is>
          <t>2024-12</t>
        </is>
      </c>
      <c r="E109" s="87" t="n">
        <v>220.3</v>
      </c>
      <c r="F109" s="87" t="n">
        <v>75.8917</v>
      </c>
      <c r="G109" s="88">
        <f>DAY(EOMONTH(DATE(B109,C109,1),0))</f>
        <v/>
      </c>
      <c r="H109" s="89">
        <f>F109/G109</f>
        <v/>
      </c>
    </row>
    <row r="110">
      <c r="A110" s="86" t="inlineStr">
        <is>
          <t>강원영동</t>
        </is>
      </c>
      <c r="B110" s="86" t="n">
        <v>2025</v>
      </c>
      <c r="C110" s="86" t="n">
        <v>1</v>
      </c>
      <c r="D110" s="86" t="inlineStr">
        <is>
          <t>2025-01</t>
        </is>
      </c>
      <c r="E110" s="87" t="n">
        <v>209.4</v>
      </c>
      <c r="F110" s="87" t="n">
        <v>81.5694</v>
      </c>
      <c r="G110" s="88">
        <f>DAY(EOMONTH(DATE(B110,C110,1),0))</f>
        <v/>
      </c>
      <c r="H110" s="89">
        <f>F110/G110</f>
        <v/>
      </c>
    </row>
    <row r="111">
      <c r="A111" s="86" t="inlineStr">
        <is>
          <t>강원영동</t>
        </is>
      </c>
      <c r="B111" s="86" t="n">
        <v>2025</v>
      </c>
      <c r="C111" s="86" t="n">
        <v>2</v>
      </c>
      <c r="D111" s="86" t="inlineStr">
        <is>
          <t>2025-02</t>
        </is>
      </c>
      <c r="E111" s="87" t="n">
        <v>237.4</v>
      </c>
      <c r="F111" s="87" t="n">
        <v>106.9833</v>
      </c>
      <c r="G111" s="88">
        <f>DAY(EOMONTH(DATE(B111,C111,1),0))</f>
        <v/>
      </c>
      <c r="H111" s="89">
        <f>F111/G111</f>
        <v/>
      </c>
    </row>
    <row r="112">
      <c r="A112" s="86" t="inlineStr">
        <is>
          <t>강원영동</t>
        </is>
      </c>
      <c r="B112" s="86" t="n">
        <v>2025</v>
      </c>
      <c r="C112" s="86" t="n">
        <v>3</v>
      </c>
      <c r="D112" s="86" t="inlineStr">
        <is>
          <t>2025-03</t>
        </is>
      </c>
      <c r="E112" s="87" t="n">
        <v>202.7</v>
      </c>
      <c r="F112" s="87" t="n">
        <v>122.65</v>
      </c>
      <c r="G112" s="88">
        <f>DAY(EOMONTH(DATE(B112,C112,1),0))</f>
        <v/>
      </c>
      <c r="H112" s="89">
        <f>F112/G112</f>
        <v/>
      </c>
    </row>
    <row r="113">
      <c r="A113" s="86" t="inlineStr">
        <is>
          <t>강원영동</t>
        </is>
      </c>
      <c r="B113" s="86" t="n">
        <v>2025</v>
      </c>
      <c r="C113" s="86" t="n">
        <v>4</v>
      </c>
      <c r="D113" s="86" t="inlineStr">
        <is>
          <t>2025-04</t>
        </is>
      </c>
      <c r="E113" s="87" t="n">
        <v>244.5</v>
      </c>
      <c r="F113" s="87" t="n">
        <v>153.0444</v>
      </c>
      <c r="G113" s="88">
        <f>DAY(EOMONTH(DATE(B113,C113,1),0))</f>
        <v/>
      </c>
      <c r="H113" s="89">
        <f>F113/G113</f>
        <v/>
      </c>
    </row>
    <row r="114">
      <c r="A114" s="86" t="inlineStr">
        <is>
          <t>강원영동</t>
        </is>
      </c>
      <c r="B114" s="86" t="n">
        <v>2025</v>
      </c>
      <c r="C114" s="86" t="n">
        <v>5</v>
      </c>
      <c r="D114" s="86" t="inlineStr">
        <is>
          <t>2025-05</t>
        </is>
      </c>
      <c r="E114" s="87" t="n">
        <v>233.3</v>
      </c>
      <c r="F114" s="87" t="n">
        <v>163.25</v>
      </c>
      <c r="G114" s="88">
        <f>DAY(EOMONTH(DATE(B114,C114,1),0))</f>
        <v/>
      </c>
      <c r="H114" s="89">
        <f>F114/G114</f>
        <v/>
      </c>
    </row>
    <row r="115">
      <c r="A115" s="86" t="inlineStr">
        <is>
          <t>강원영동</t>
        </is>
      </c>
      <c r="B115" s="86" t="n">
        <v>2025</v>
      </c>
      <c r="C115" s="86" t="n">
        <v>6</v>
      </c>
      <c r="D115" s="86" t="inlineStr">
        <is>
          <t>2025-06</t>
        </is>
      </c>
      <c r="E115" s="87" t="n">
        <v>223.7</v>
      </c>
      <c r="F115" s="87" t="n">
        <v>166.45</v>
      </c>
      <c r="G115" s="88">
        <f>DAY(EOMONTH(DATE(B115,C115,1),0))</f>
        <v/>
      </c>
      <c r="H115" s="89">
        <f>F115/G115</f>
        <v/>
      </c>
    </row>
    <row r="116">
      <c r="A116" s="86" t="inlineStr">
        <is>
          <t>강원영동</t>
        </is>
      </c>
      <c r="B116" s="86" t="n">
        <v>2025</v>
      </c>
      <c r="C116" s="86" t="n">
        <v>7</v>
      </c>
      <c r="D116" s="86" t="inlineStr">
        <is>
          <t>2025-07</t>
        </is>
      </c>
      <c r="E116" s="87" t="n">
        <v>213.8</v>
      </c>
      <c r="F116" s="87" t="n">
        <v>160.6944</v>
      </c>
      <c r="G116" s="88">
        <f>DAY(EOMONTH(DATE(B116,C116,1),0))</f>
        <v/>
      </c>
      <c r="H116" s="89">
        <f>F116/G116</f>
        <v/>
      </c>
    </row>
    <row r="117">
      <c r="A117" s="86" t="inlineStr">
        <is>
          <t>강원영동</t>
        </is>
      </c>
      <c r="B117" s="86" t="n">
        <v>2025</v>
      </c>
      <c r="C117" s="86" t="n">
        <v>8</v>
      </c>
      <c r="D117" s="86" t="inlineStr">
        <is>
          <t>2025-08</t>
        </is>
      </c>
      <c r="E117" s="87" t="n">
        <v>210.4</v>
      </c>
      <c r="F117" s="87" t="n">
        <v>146.3389</v>
      </c>
      <c r="G117" s="88">
        <f>DAY(EOMONTH(DATE(B117,C117,1),0))</f>
        <v/>
      </c>
      <c r="H117" s="89">
        <f>F117/G117</f>
        <v/>
      </c>
    </row>
    <row r="118">
      <c r="A118" s="86" t="inlineStr">
        <is>
          <t>강원영동</t>
        </is>
      </c>
      <c r="B118" s="86" t="n">
        <v>2025</v>
      </c>
      <c r="C118" s="86" t="n">
        <v>9</v>
      </c>
      <c r="D118" s="86" t="inlineStr">
        <is>
          <t>2025-09</t>
        </is>
      </c>
      <c r="E118" s="87" t="n">
        <v>139.5</v>
      </c>
      <c r="F118" s="87" t="n">
        <v>62.3306</v>
      </c>
      <c r="G118" s="88">
        <f>DAY(EOMONTH(DATE(B118,C118,1),0))</f>
        <v/>
      </c>
      <c r="H118" s="89">
        <f>F118/G118</f>
        <v/>
      </c>
    </row>
    <row r="119">
      <c r="A119" s="86" t="inlineStr">
        <is>
          <t>강원영동</t>
        </is>
      </c>
      <c r="B119" s="86" t="n">
        <v>2025</v>
      </c>
      <c r="C119" s="86" t="n">
        <v>10</v>
      </c>
      <c r="D119" s="86" t="inlineStr">
        <is>
          <t>2025-10</t>
        </is>
      </c>
      <c r="E119" s="87" t="n">
        <v>73.59999999999999</v>
      </c>
      <c r="F119" s="87" t="n">
        <v>51.925</v>
      </c>
      <c r="G119" s="88">
        <f>DAY(EOMONTH(DATE(B119,C119,1),0))</f>
        <v/>
      </c>
      <c r="H119" s="89">
        <f>F119/G119</f>
        <v/>
      </c>
    </row>
    <row r="120">
      <c r="A120" s="86" t="inlineStr">
        <is>
          <t>강원영동</t>
        </is>
      </c>
      <c r="B120" s="86" t="n">
        <v>2025</v>
      </c>
      <c r="C120" s="86" t="n">
        <v>11</v>
      </c>
      <c r="D120" s="86" t="inlineStr">
        <is>
          <t>2025-11</t>
        </is>
      </c>
      <c r="E120" s="87" t="n">
        <v>227.9</v>
      </c>
      <c r="F120" s="87" t="n">
        <v>86.6833</v>
      </c>
      <c r="G120" s="88">
        <f>DAY(EOMONTH(DATE(B120,C120,1),0))</f>
        <v/>
      </c>
      <c r="H120" s="89">
        <f>F120/G120</f>
        <v/>
      </c>
    </row>
    <row r="121">
      <c r="A121" s="86" t="inlineStr">
        <is>
          <t>강원영동</t>
        </is>
      </c>
      <c r="B121" s="86" t="n">
        <v>2025</v>
      </c>
      <c r="C121" s="86" t="n">
        <v>12</v>
      </c>
      <c r="D121" s="86" t="inlineStr">
        <is>
          <t>2025-12</t>
        </is>
      </c>
      <c r="E121" s="87" t="n">
        <v>194.7</v>
      </c>
      <c r="F121" s="87" t="n">
        <v>68.7972</v>
      </c>
      <c r="G121" s="88">
        <f>DAY(EOMONTH(DATE(B121,C121,1),0))</f>
        <v/>
      </c>
      <c r="H121" s="89">
        <f>F121/G121</f>
        <v/>
      </c>
    </row>
    <row r="122">
      <c r="A122" s="86" t="inlineStr">
        <is>
          <t>강원영서</t>
        </is>
      </c>
      <c r="B122" s="86" t="n">
        <v>2016</v>
      </c>
      <c r="C122" s="86" t="n">
        <v>1</v>
      </c>
      <c r="D122" s="86" t="inlineStr">
        <is>
          <t>2016-01</t>
        </is>
      </c>
      <c r="E122" s="87" t="n">
        <v>191.9</v>
      </c>
      <c r="F122" s="87" t="n">
        <v>75.0583</v>
      </c>
      <c r="G122" s="88">
        <f>DAY(EOMONTH(DATE(B122,C122,1),0))</f>
        <v/>
      </c>
      <c r="H122" s="89">
        <f>F122/G122</f>
        <v/>
      </c>
    </row>
    <row r="123">
      <c r="A123" s="86" t="inlineStr">
        <is>
          <t>강원영서</t>
        </is>
      </c>
      <c r="B123" s="86" t="n">
        <v>2016</v>
      </c>
      <c r="C123" s="86" t="n">
        <v>2</v>
      </c>
      <c r="D123" s="86" t="inlineStr">
        <is>
          <t>2016-02</t>
        </is>
      </c>
      <c r="E123" s="87" t="n">
        <v>188.8</v>
      </c>
      <c r="F123" s="87" t="n">
        <v>88.0056</v>
      </c>
      <c r="G123" s="88">
        <f>DAY(EOMONTH(DATE(B123,C123,1),0))</f>
        <v/>
      </c>
      <c r="H123" s="89">
        <f>F123/G123</f>
        <v/>
      </c>
    </row>
    <row r="124">
      <c r="A124" s="86" t="inlineStr">
        <is>
          <t>강원영서</t>
        </is>
      </c>
      <c r="B124" s="86" t="n">
        <v>2016</v>
      </c>
      <c r="C124" s="86" t="n">
        <v>3</v>
      </c>
      <c r="D124" s="86" t="inlineStr">
        <is>
          <t>2016-03</t>
        </is>
      </c>
      <c r="E124" s="87" t="n">
        <v>223.9</v>
      </c>
      <c r="F124" s="87" t="n">
        <v>124.1417</v>
      </c>
      <c r="G124" s="88">
        <f>DAY(EOMONTH(DATE(B124,C124,1),0))</f>
        <v/>
      </c>
      <c r="H124" s="89">
        <f>F124/G124</f>
        <v/>
      </c>
    </row>
    <row r="125">
      <c r="A125" s="86" t="inlineStr">
        <is>
          <t>강원영서</t>
        </is>
      </c>
      <c r="B125" s="86" t="n">
        <v>2016</v>
      </c>
      <c r="C125" s="86" t="n">
        <v>4</v>
      </c>
      <c r="D125" s="86" t="inlineStr">
        <is>
          <t>2016-04</t>
        </is>
      </c>
      <c r="E125" s="87" t="n">
        <v>223.9</v>
      </c>
      <c r="F125" s="87" t="n">
        <v>142.9667</v>
      </c>
      <c r="G125" s="88">
        <f>DAY(EOMONTH(DATE(B125,C125,1),0))</f>
        <v/>
      </c>
      <c r="H125" s="89">
        <f>F125/G125</f>
        <v/>
      </c>
    </row>
    <row r="126">
      <c r="A126" s="86" t="inlineStr">
        <is>
          <t>강원영서</t>
        </is>
      </c>
      <c r="B126" s="86" t="n">
        <v>2016</v>
      </c>
      <c r="C126" s="86" t="n">
        <v>5</v>
      </c>
      <c r="D126" s="86" t="inlineStr">
        <is>
          <t>2016-05</t>
        </is>
      </c>
      <c r="E126" s="87" t="n">
        <v>273.8</v>
      </c>
      <c r="F126" s="87" t="n">
        <v>181.3278</v>
      </c>
      <c r="G126" s="88">
        <f>DAY(EOMONTH(DATE(B126,C126,1),0))</f>
        <v/>
      </c>
      <c r="H126" s="89">
        <f>F126/G126</f>
        <v/>
      </c>
    </row>
    <row r="127">
      <c r="A127" s="86" t="inlineStr">
        <is>
          <t>강원영서</t>
        </is>
      </c>
      <c r="B127" s="86" t="n">
        <v>2016</v>
      </c>
      <c r="C127" s="86" t="n">
        <v>6</v>
      </c>
      <c r="D127" s="86" t="inlineStr">
        <is>
          <t>2016-06</t>
        </is>
      </c>
      <c r="E127" s="87" t="n">
        <v>240.1</v>
      </c>
      <c r="F127" s="87" t="n">
        <v>165.8917</v>
      </c>
      <c r="G127" s="88">
        <f>DAY(EOMONTH(DATE(B127,C127,1),0))</f>
        <v/>
      </c>
      <c r="H127" s="89">
        <f>F127/G127</f>
        <v/>
      </c>
    </row>
    <row r="128">
      <c r="A128" s="86" t="inlineStr">
        <is>
          <t>강원영서</t>
        </is>
      </c>
      <c r="B128" s="86" t="n">
        <v>2016</v>
      </c>
      <c r="C128" s="86" t="n">
        <v>7</v>
      </c>
      <c r="D128" s="86" t="inlineStr">
        <is>
          <t>2016-07</t>
        </is>
      </c>
      <c r="E128" s="87" t="n">
        <v>160.5</v>
      </c>
      <c r="F128" s="87" t="n">
        <v>124.4583</v>
      </c>
      <c r="G128" s="88">
        <f>DAY(EOMONTH(DATE(B128,C128,1),0))</f>
        <v/>
      </c>
      <c r="H128" s="89">
        <f>F128/G128</f>
        <v/>
      </c>
    </row>
    <row r="129">
      <c r="A129" s="86" t="inlineStr">
        <is>
          <t>강원영서</t>
        </is>
      </c>
      <c r="B129" s="86" t="n">
        <v>2016</v>
      </c>
      <c r="C129" s="86" t="n">
        <v>8</v>
      </c>
      <c r="D129" s="86" t="inlineStr">
        <is>
          <t>2016-08</t>
        </is>
      </c>
      <c r="E129" s="87" t="n">
        <v>223.5</v>
      </c>
      <c r="F129" s="87" t="n">
        <v>147.7333</v>
      </c>
      <c r="G129" s="88">
        <f>DAY(EOMONTH(DATE(B129,C129,1),0))</f>
        <v/>
      </c>
      <c r="H129" s="89">
        <f>F129/G129</f>
        <v/>
      </c>
    </row>
    <row r="130">
      <c r="A130" s="86" t="inlineStr">
        <is>
          <t>강원영서</t>
        </is>
      </c>
      <c r="B130" s="86" t="n">
        <v>2016</v>
      </c>
      <c r="C130" s="86" t="n">
        <v>9</v>
      </c>
      <c r="D130" s="86" t="inlineStr">
        <is>
          <t>2016-09</t>
        </is>
      </c>
      <c r="E130" s="87" t="n">
        <v>166.1</v>
      </c>
      <c r="F130" s="87" t="n">
        <v>99.16670000000001</v>
      </c>
      <c r="G130" s="88">
        <f>DAY(EOMONTH(DATE(B130,C130,1),0))</f>
        <v/>
      </c>
      <c r="H130" s="89">
        <f>F130/G130</f>
        <v/>
      </c>
    </row>
    <row r="131">
      <c r="A131" s="86" t="inlineStr">
        <is>
          <t>강원영서</t>
        </is>
      </c>
      <c r="B131" s="86" t="n">
        <v>2016</v>
      </c>
      <c r="C131" s="86" t="n">
        <v>10</v>
      </c>
      <c r="D131" s="86" t="inlineStr">
        <is>
          <t>2016-10</t>
        </is>
      </c>
      <c r="E131" s="87" t="n">
        <v>173.1</v>
      </c>
      <c r="F131" s="87" t="n">
        <v>86.1444</v>
      </c>
      <c r="G131" s="88">
        <f>DAY(EOMONTH(DATE(B131,C131,1),0))</f>
        <v/>
      </c>
      <c r="H131" s="89">
        <f>F131/G131</f>
        <v/>
      </c>
    </row>
    <row r="132">
      <c r="A132" s="86" t="inlineStr">
        <is>
          <t>강원영서</t>
        </is>
      </c>
      <c r="B132" s="86" t="n">
        <v>2016</v>
      </c>
      <c r="C132" s="86" t="n">
        <v>11</v>
      </c>
      <c r="D132" s="86" t="inlineStr">
        <is>
          <t>2016-11</t>
        </is>
      </c>
      <c r="E132" s="87" t="n">
        <v>160</v>
      </c>
      <c r="F132" s="87" t="n">
        <v>69.0222</v>
      </c>
      <c r="G132" s="88">
        <f>DAY(EOMONTH(DATE(B132,C132,1),0))</f>
        <v/>
      </c>
      <c r="H132" s="89">
        <f>F132/G132</f>
        <v/>
      </c>
    </row>
    <row r="133">
      <c r="A133" s="86" t="inlineStr">
        <is>
          <t>강원영서</t>
        </is>
      </c>
      <c r="B133" s="86" t="n">
        <v>2016</v>
      </c>
      <c r="C133" s="86" t="n">
        <v>12</v>
      </c>
      <c r="D133" s="86" t="inlineStr">
        <is>
          <t>2016-12</t>
        </is>
      </c>
      <c r="E133" s="87" t="n">
        <v>147.2</v>
      </c>
      <c r="F133" s="87" t="n">
        <v>59.4278</v>
      </c>
      <c r="G133" s="88">
        <f>DAY(EOMONTH(DATE(B133,C133,1),0))</f>
        <v/>
      </c>
      <c r="H133" s="89">
        <f>F133/G133</f>
        <v/>
      </c>
    </row>
    <row r="134">
      <c r="A134" s="86" t="inlineStr">
        <is>
          <t>강원영서</t>
        </is>
      </c>
      <c r="B134" s="86" t="n">
        <v>2017</v>
      </c>
      <c r="C134" s="86" t="n">
        <v>1</v>
      </c>
      <c r="D134" s="86" t="inlineStr">
        <is>
          <t>2017-01</t>
        </is>
      </c>
      <c r="E134" s="87" t="n">
        <v>201.7</v>
      </c>
      <c r="F134" s="87" t="n">
        <v>76.3583</v>
      </c>
      <c r="G134" s="88">
        <f>DAY(EOMONTH(DATE(B134,C134,1),0))</f>
        <v/>
      </c>
      <c r="H134" s="89">
        <f>F134/G134</f>
        <v/>
      </c>
    </row>
    <row r="135">
      <c r="A135" s="86" t="inlineStr">
        <is>
          <t>강원영서</t>
        </is>
      </c>
      <c r="B135" s="86" t="n">
        <v>2017</v>
      </c>
      <c r="C135" s="86" t="n">
        <v>2</v>
      </c>
      <c r="D135" s="86" t="inlineStr">
        <is>
          <t>2017-02</t>
        </is>
      </c>
      <c r="E135" s="87" t="n">
        <v>204.2</v>
      </c>
      <c r="F135" s="87" t="n">
        <v>95.0694</v>
      </c>
      <c r="G135" s="88">
        <f>DAY(EOMONTH(DATE(B135,C135,1),0))</f>
        <v/>
      </c>
      <c r="H135" s="89">
        <f>F135/G135</f>
        <v/>
      </c>
    </row>
    <row r="136">
      <c r="A136" s="86" t="inlineStr">
        <is>
          <t>강원영서</t>
        </is>
      </c>
      <c r="B136" s="86" t="n">
        <v>2017</v>
      </c>
      <c r="C136" s="86" t="n">
        <v>3</v>
      </c>
      <c r="D136" s="86" t="inlineStr">
        <is>
          <t>2017-03</t>
        </is>
      </c>
      <c r="E136" s="87" t="n">
        <v>219.4</v>
      </c>
      <c r="F136" s="87" t="n">
        <v>124.925</v>
      </c>
      <c r="G136" s="88">
        <f>DAY(EOMONTH(DATE(B136,C136,1),0))</f>
        <v/>
      </c>
      <c r="H136" s="89">
        <f>F136/G136</f>
        <v/>
      </c>
    </row>
    <row r="137">
      <c r="A137" s="86" t="inlineStr">
        <is>
          <t>강원영서</t>
        </is>
      </c>
      <c r="B137" s="86" t="n">
        <v>2017</v>
      </c>
      <c r="C137" s="86" t="n">
        <v>4</v>
      </c>
      <c r="D137" s="86" t="inlineStr">
        <is>
          <t>2017-04</t>
        </is>
      </c>
      <c r="E137" s="87" t="n">
        <v>250.5</v>
      </c>
      <c r="F137" s="87" t="n">
        <v>154.1111</v>
      </c>
      <c r="G137" s="88">
        <f>DAY(EOMONTH(DATE(B137,C137,1),0))</f>
        <v/>
      </c>
      <c r="H137" s="89">
        <f>F137/G137</f>
        <v/>
      </c>
    </row>
    <row r="138">
      <c r="A138" s="86" t="inlineStr">
        <is>
          <t>강원영서</t>
        </is>
      </c>
      <c r="B138" s="86" t="n">
        <v>2017</v>
      </c>
      <c r="C138" s="86" t="n">
        <v>5</v>
      </c>
      <c r="D138" s="86" t="inlineStr">
        <is>
          <t>2017-05</t>
        </is>
      </c>
      <c r="E138" s="87" t="n">
        <v>270.5</v>
      </c>
      <c r="F138" s="87" t="n">
        <v>179.2722</v>
      </c>
      <c r="G138" s="88">
        <f>DAY(EOMONTH(DATE(B138,C138,1),0))</f>
        <v/>
      </c>
      <c r="H138" s="89">
        <f>F138/G138</f>
        <v/>
      </c>
    </row>
    <row r="139">
      <c r="A139" s="86" t="inlineStr">
        <is>
          <t>강원영서</t>
        </is>
      </c>
      <c r="B139" s="86" t="n">
        <v>2017</v>
      </c>
      <c r="C139" s="86" t="n">
        <v>6</v>
      </c>
      <c r="D139" s="86" t="inlineStr">
        <is>
          <t>2017-06</t>
        </is>
      </c>
      <c r="E139" s="87" t="n">
        <v>262.5</v>
      </c>
      <c r="F139" s="87" t="n">
        <v>176.1333</v>
      </c>
      <c r="G139" s="88">
        <f>DAY(EOMONTH(DATE(B139,C139,1),0))</f>
        <v/>
      </c>
      <c r="H139" s="89">
        <f>F139/G139</f>
        <v/>
      </c>
    </row>
    <row r="140">
      <c r="A140" s="86" t="inlineStr">
        <is>
          <t>강원영서</t>
        </is>
      </c>
      <c r="B140" s="86" t="n">
        <v>2017</v>
      </c>
      <c r="C140" s="86" t="n">
        <v>7</v>
      </c>
      <c r="D140" s="86" t="inlineStr">
        <is>
          <t>2017-07</t>
        </is>
      </c>
      <c r="E140" s="87" t="n">
        <v>135.8</v>
      </c>
      <c r="F140" s="87" t="n">
        <v>121.6167</v>
      </c>
      <c r="G140" s="88">
        <f>DAY(EOMONTH(DATE(B140,C140,1),0))</f>
        <v/>
      </c>
      <c r="H140" s="89">
        <f>F140/G140</f>
        <v/>
      </c>
    </row>
    <row r="141">
      <c r="A141" s="86" t="inlineStr">
        <is>
          <t>강원영서</t>
        </is>
      </c>
      <c r="B141" s="86" t="n">
        <v>2017</v>
      </c>
      <c r="C141" s="86" t="n">
        <v>8</v>
      </c>
      <c r="D141" s="86" t="inlineStr">
        <is>
          <t>2017-08</t>
        </is>
      </c>
      <c r="E141" s="87" t="n">
        <v>150</v>
      </c>
      <c r="F141" s="87" t="n">
        <v>120.2833</v>
      </c>
      <c r="G141" s="88">
        <f>DAY(EOMONTH(DATE(B141,C141,1),0))</f>
        <v/>
      </c>
      <c r="H141" s="89">
        <f>F141/G141</f>
        <v/>
      </c>
    </row>
    <row r="142">
      <c r="A142" s="86" t="inlineStr">
        <is>
          <t>강원영서</t>
        </is>
      </c>
      <c r="B142" s="86" t="n">
        <v>2017</v>
      </c>
      <c r="C142" s="86" t="n">
        <v>9</v>
      </c>
      <c r="D142" s="86" t="inlineStr">
        <is>
          <t>2017-09</t>
        </is>
      </c>
      <c r="E142" s="87" t="n">
        <v>209.3</v>
      </c>
      <c r="F142" s="87" t="n">
        <v>133.6444</v>
      </c>
      <c r="G142" s="88">
        <f>DAY(EOMONTH(DATE(B142,C142,1),0))</f>
        <v/>
      </c>
      <c r="H142" s="89">
        <f>F142/G142</f>
        <v/>
      </c>
    </row>
    <row r="143">
      <c r="A143" s="86" t="inlineStr">
        <is>
          <t>강원영서</t>
        </is>
      </c>
      <c r="B143" s="86" t="n">
        <v>2017</v>
      </c>
      <c r="C143" s="86" t="n">
        <v>10</v>
      </c>
      <c r="D143" s="86" t="inlineStr">
        <is>
          <t>2017-10</t>
        </is>
      </c>
      <c r="E143" s="87" t="n">
        <v>188.7</v>
      </c>
      <c r="F143" s="87" t="n">
        <v>97.3222</v>
      </c>
      <c r="G143" s="88">
        <f>DAY(EOMONTH(DATE(B143,C143,1),0))</f>
        <v/>
      </c>
      <c r="H143" s="89">
        <f>F143/G143</f>
        <v/>
      </c>
    </row>
    <row r="144">
      <c r="A144" s="86" t="inlineStr">
        <is>
          <t>강원영서</t>
        </is>
      </c>
      <c r="B144" s="86" t="n">
        <v>2017</v>
      </c>
      <c r="C144" s="86" t="n">
        <v>11</v>
      </c>
      <c r="D144" s="86" t="inlineStr">
        <is>
          <t>2017-11</t>
        </is>
      </c>
      <c r="E144" s="87" t="n">
        <v>185.3</v>
      </c>
      <c r="F144" s="87" t="n">
        <v>76.86109999999999</v>
      </c>
      <c r="G144" s="88">
        <f>DAY(EOMONTH(DATE(B144,C144,1),0))</f>
        <v/>
      </c>
      <c r="H144" s="89">
        <f>F144/G144</f>
        <v/>
      </c>
    </row>
    <row r="145">
      <c r="A145" s="86" t="inlineStr">
        <is>
          <t>강원영서</t>
        </is>
      </c>
      <c r="B145" s="86" t="n">
        <v>2017</v>
      </c>
      <c r="C145" s="86" t="n">
        <v>12</v>
      </c>
      <c r="D145" s="86" t="inlineStr">
        <is>
          <t>2017-12</t>
        </is>
      </c>
      <c r="E145" s="87" t="n">
        <v>189.6</v>
      </c>
      <c r="F145" s="87" t="n">
        <v>70.9417</v>
      </c>
      <c r="G145" s="88">
        <f>DAY(EOMONTH(DATE(B145,C145,1),0))</f>
        <v/>
      </c>
      <c r="H145" s="89">
        <f>F145/G145</f>
        <v/>
      </c>
    </row>
    <row r="146">
      <c r="A146" s="86" t="inlineStr">
        <is>
          <t>강원영서</t>
        </is>
      </c>
      <c r="B146" s="86" t="n">
        <v>2018</v>
      </c>
      <c r="C146" s="86" t="n">
        <v>1</v>
      </c>
      <c r="D146" s="86" t="inlineStr">
        <is>
          <t>2018-01</t>
        </is>
      </c>
      <c r="E146" s="87" t="n">
        <v>199.9</v>
      </c>
      <c r="F146" s="87" t="n">
        <v>81.40560000000001</v>
      </c>
      <c r="G146" s="88">
        <f>DAY(EOMONTH(DATE(B146,C146,1),0))</f>
        <v/>
      </c>
      <c r="H146" s="89">
        <f>F146/G146</f>
        <v/>
      </c>
    </row>
    <row r="147">
      <c r="A147" s="86" t="inlineStr">
        <is>
          <t>강원영서</t>
        </is>
      </c>
      <c r="B147" s="86" t="n">
        <v>2018</v>
      </c>
      <c r="C147" s="86" t="n">
        <v>2</v>
      </c>
      <c r="D147" s="86" t="inlineStr">
        <is>
          <t>2018-02</t>
        </is>
      </c>
      <c r="E147" s="87" t="n">
        <v>207.9</v>
      </c>
      <c r="F147" s="87" t="n">
        <v>94.01390000000001</v>
      </c>
      <c r="G147" s="88">
        <f>DAY(EOMONTH(DATE(B147,C147,1),0))</f>
        <v/>
      </c>
      <c r="H147" s="89">
        <f>F147/G147</f>
        <v/>
      </c>
    </row>
    <row r="148">
      <c r="A148" s="86" t="inlineStr">
        <is>
          <t>강원영서</t>
        </is>
      </c>
      <c r="B148" s="86" t="n">
        <v>2018</v>
      </c>
      <c r="C148" s="86" t="n">
        <v>3</v>
      </c>
      <c r="D148" s="86" t="inlineStr">
        <is>
          <t>2018-03</t>
        </is>
      </c>
      <c r="E148" s="87" t="n">
        <v>208.5</v>
      </c>
      <c r="F148" s="87" t="n">
        <v>123.1444</v>
      </c>
      <c r="G148" s="88">
        <f>DAY(EOMONTH(DATE(B148,C148,1),0))</f>
        <v/>
      </c>
      <c r="H148" s="89">
        <f>F148/G148</f>
        <v/>
      </c>
    </row>
    <row r="149">
      <c r="A149" s="86" t="inlineStr">
        <is>
          <t>강원영서</t>
        </is>
      </c>
      <c r="B149" s="86" t="n">
        <v>2018</v>
      </c>
      <c r="C149" s="86" t="n">
        <v>4</v>
      </c>
      <c r="D149" s="86" t="inlineStr">
        <is>
          <t>2018-04</t>
        </is>
      </c>
      <c r="E149" s="87" t="n">
        <v>223.2</v>
      </c>
      <c r="F149" s="87" t="n">
        <v>146.0306</v>
      </c>
      <c r="G149" s="88">
        <f>DAY(EOMONTH(DATE(B149,C149,1),0))</f>
        <v/>
      </c>
      <c r="H149" s="89">
        <f>F149/G149</f>
        <v/>
      </c>
    </row>
    <row r="150">
      <c r="A150" s="86" t="inlineStr">
        <is>
          <t>강원영서</t>
        </is>
      </c>
      <c r="B150" s="86" t="n">
        <v>2018</v>
      </c>
      <c r="C150" s="86" t="n">
        <v>5</v>
      </c>
      <c r="D150" s="86" t="inlineStr">
        <is>
          <t>2018-05</t>
        </is>
      </c>
      <c r="E150" s="87" t="n">
        <v>232.2</v>
      </c>
      <c r="F150" s="87" t="n">
        <v>158.6667</v>
      </c>
      <c r="G150" s="88">
        <f>DAY(EOMONTH(DATE(B150,C150,1),0))</f>
        <v/>
      </c>
      <c r="H150" s="89">
        <f>F150/G150</f>
        <v/>
      </c>
    </row>
    <row r="151">
      <c r="A151" s="86" t="inlineStr">
        <is>
          <t>강원영서</t>
        </is>
      </c>
      <c r="B151" s="86" t="n">
        <v>2018</v>
      </c>
      <c r="C151" s="86" t="n">
        <v>6</v>
      </c>
      <c r="D151" s="86" t="inlineStr">
        <is>
          <t>2018-06</t>
        </is>
      </c>
      <c r="E151" s="87" t="n">
        <v>245.7</v>
      </c>
      <c r="F151" s="87" t="n">
        <v>171.0944</v>
      </c>
      <c r="G151" s="88">
        <f>DAY(EOMONTH(DATE(B151,C151,1),0))</f>
        <v/>
      </c>
      <c r="H151" s="89">
        <f>F151/G151</f>
        <v/>
      </c>
    </row>
    <row r="152">
      <c r="A152" s="86" t="inlineStr">
        <is>
          <t>강원영서</t>
        </is>
      </c>
      <c r="B152" s="86" t="n">
        <v>2018</v>
      </c>
      <c r="C152" s="86" t="n">
        <v>7</v>
      </c>
      <c r="D152" s="86" t="inlineStr">
        <is>
          <t>2018-07</t>
        </is>
      </c>
      <c r="E152" s="87" t="n">
        <v>241.8</v>
      </c>
      <c r="F152" s="87" t="n">
        <v>165.8722</v>
      </c>
      <c r="G152" s="88">
        <f>DAY(EOMONTH(DATE(B152,C152,1),0))</f>
        <v/>
      </c>
      <c r="H152" s="89">
        <f>F152/G152</f>
        <v/>
      </c>
    </row>
    <row r="153">
      <c r="A153" s="86" t="inlineStr">
        <is>
          <t>강원영서</t>
        </is>
      </c>
      <c r="B153" s="86" t="n">
        <v>2018</v>
      </c>
      <c r="C153" s="86" t="n">
        <v>8</v>
      </c>
      <c r="D153" s="86" t="inlineStr">
        <is>
          <t>2018-08</t>
        </is>
      </c>
      <c r="E153" s="87" t="n">
        <v>212.8</v>
      </c>
      <c r="F153" s="87" t="n">
        <v>143.9417</v>
      </c>
      <c r="G153" s="88">
        <f>DAY(EOMONTH(DATE(B153,C153,1),0))</f>
        <v/>
      </c>
      <c r="H153" s="89">
        <f>F153/G153</f>
        <v/>
      </c>
    </row>
    <row r="154">
      <c r="A154" s="86" t="inlineStr">
        <is>
          <t>강원영서</t>
        </is>
      </c>
      <c r="B154" s="86" t="n">
        <v>2018</v>
      </c>
      <c r="C154" s="86" t="n">
        <v>9</v>
      </c>
      <c r="D154" s="86" t="inlineStr">
        <is>
          <t>2018-09</t>
        </is>
      </c>
      <c r="E154" s="87" t="n">
        <v>184</v>
      </c>
      <c r="F154" s="87" t="n">
        <v>117.4639</v>
      </c>
      <c r="G154" s="88">
        <f>DAY(EOMONTH(DATE(B154,C154,1),0))</f>
        <v/>
      </c>
      <c r="H154" s="89">
        <f>F154/G154</f>
        <v/>
      </c>
    </row>
    <row r="155">
      <c r="A155" s="86" t="inlineStr">
        <is>
          <t>강원영서</t>
        </is>
      </c>
      <c r="B155" s="86" t="n">
        <v>2018</v>
      </c>
      <c r="C155" s="86" t="n">
        <v>10</v>
      </c>
      <c r="D155" s="86" t="inlineStr">
        <is>
          <t>2018-10</t>
        </is>
      </c>
      <c r="E155" s="87" t="n">
        <v>209.5</v>
      </c>
      <c r="F155" s="87" t="n">
        <v>98.5917</v>
      </c>
      <c r="G155" s="88">
        <f>DAY(EOMONTH(DATE(B155,C155,1),0))</f>
        <v/>
      </c>
      <c r="H155" s="89">
        <f>F155/G155</f>
        <v/>
      </c>
    </row>
    <row r="156">
      <c r="A156" s="86" t="inlineStr">
        <is>
          <t>강원영서</t>
        </is>
      </c>
      <c r="B156" s="86" t="n">
        <v>2018</v>
      </c>
      <c r="C156" s="86" t="n">
        <v>11</v>
      </c>
      <c r="D156" s="86" t="inlineStr">
        <is>
          <t>2018-11</t>
        </is>
      </c>
      <c r="E156" s="87" t="n">
        <v>159.3</v>
      </c>
      <c r="F156" s="87" t="n">
        <v>65.50279999999999</v>
      </c>
      <c r="G156" s="88">
        <f>DAY(EOMONTH(DATE(B156,C156,1),0))</f>
        <v/>
      </c>
      <c r="H156" s="89">
        <f>F156/G156</f>
        <v/>
      </c>
    </row>
    <row r="157">
      <c r="A157" s="86" t="inlineStr">
        <is>
          <t>강원영서</t>
        </is>
      </c>
      <c r="B157" s="86" t="n">
        <v>2018</v>
      </c>
      <c r="C157" s="86" t="n">
        <v>12</v>
      </c>
      <c r="D157" s="86" t="inlineStr">
        <is>
          <t>2018-12</t>
        </is>
      </c>
      <c r="E157" s="87" t="n">
        <v>190.7</v>
      </c>
      <c r="F157" s="87" t="n">
        <v>65.50830000000001</v>
      </c>
      <c r="G157" s="88">
        <f>DAY(EOMONTH(DATE(B157,C157,1),0))</f>
        <v/>
      </c>
      <c r="H157" s="89">
        <f>F157/G157</f>
        <v/>
      </c>
    </row>
    <row r="158">
      <c r="A158" s="86" t="inlineStr">
        <is>
          <t>강원영서</t>
        </is>
      </c>
      <c r="B158" s="86" t="n">
        <v>2019</v>
      </c>
      <c r="C158" s="86" t="n">
        <v>1</v>
      </c>
      <c r="D158" s="86" t="inlineStr">
        <is>
          <t>2019-01</t>
        </is>
      </c>
      <c r="E158" s="87" t="n">
        <v>221.6</v>
      </c>
      <c r="F158" s="87" t="n">
        <v>77.4361</v>
      </c>
      <c r="G158" s="88">
        <f>DAY(EOMONTH(DATE(B158,C158,1),0))</f>
        <v/>
      </c>
      <c r="H158" s="89">
        <f>F158/G158</f>
        <v/>
      </c>
    </row>
    <row r="159">
      <c r="A159" s="86" t="inlineStr">
        <is>
          <t>강원영서</t>
        </is>
      </c>
      <c r="B159" s="86" t="n">
        <v>2019</v>
      </c>
      <c r="C159" s="86" t="n">
        <v>2</v>
      </c>
      <c r="D159" s="86" t="inlineStr">
        <is>
          <t>2019-02</t>
        </is>
      </c>
      <c r="E159" s="87" t="n">
        <v>201.2</v>
      </c>
      <c r="F159" s="87" t="n">
        <v>88.3361</v>
      </c>
      <c r="G159" s="88">
        <f>DAY(EOMONTH(DATE(B159,C159,1),0))</f>
        <v/>
      </c>
      <c r="H159" s="89">
        <f>F159/G159</f>
        <v/>
      </c>
    </row>
    <row r="160">
      <c r="A160" s="86" t="inlineStr">
        <is>
          <t>강원영서</t>
        </is>
      </c>
      <c r="B160" s="86" t="n">
        <v>2019</v>
      </c>
      <c r="C160" s="86" t="n">
        <v>3</v>
      </c>
      <c r="D160" s="86" t="inlineStr">
        <is>
          <t>2019-03</t>
        </is>
      </c>
      <c r="E160" s="87" t="n">
        <v>209.2</v>
      </c>
      <c r="F160" s="87" t="n">
        <v>116.9639</v>
      </c>
      <c r="G160" s="88">
        <f>DAY(EOMONTH(DATE(B160,C160,1),0))</f>
        <v/>
      </c>
      <c r="H160" s="89">
        <f>F160/G160</f>
        <v/>
      </c>
    </row>
    <row r="161">
      <c r="A161" s="86" t="inlineStr">
        <is>
          <t>강원영서</t>
        </is>
      </c>
      <c r="B161" s="86" t="n">
        <v>2019</v>
      </c>
      <c r="C161" s="86" t="n">
        <v>4</v>
      </c>
      <c r="D161" s="86" t="inlineStr">
        <is>
          <t>2019-04</t>
        </is>
      </c>
      <c r="E161" s="87" t="n">
        <v>217.1</v>
      </c>
      <c r="F161" s="87" t="n">
        <v>140.0889</v>
      </c>
      <c r="G161" s="88">
        <f>DAY(EOMONTH(DATE(B161,C161,1),0))</f>
        <v/>
      </c>
      <c r="H161" s="89">
        <f>F161/G161</f>
        <v/>
      </c>
    </row>
    <row r="162">
      <c r="A162" s="86" t="inlineStr">
        <is>
          <t>강원영서</t>
        </is>
      </c>
      <c r="B162" s="86" t="n">
        <v>2019</v>
      </c>
      <c r="C162" s="86" t="n">
        <v>5</v>
      </c>
      <c r="D162" s="86" t="inlineStr">
        <is>
          <t>2019-05</t>
        </is>
      </c>
      <c r="E162" s="87" t="n">
        <v>318.3</v>
      </c>
      <c r="F162" s="87" t="n">
        <v>194.4222</v>
      </c>
      <c r="G162" s="88">
        <f>DAY(EOMONTH(DATE(B162,C162,1),0))</f>
        <v/>
      </c>
      <c r="H162" s="89">
        <f>F162/G162</f>
        <v/>
      </c>
    </row>
    <row r="163">
      <c r="A163" s="86" t="inlineStr">
        <is>
          <t>강원영서</t>
        </is>
      </c>
      <c r="B163" s="86" t="n">
        <v>2019</v>
      </c>
      <c r="C163" s="86" t="n">
        <v>6</v>
      </c>
      <c r="D163" s="86" t="inlineStr">
        <is>
          <t>2019-06</t>
        </is>
      </c>
      <c r="E163" s="87" t="n">
        <v>252.4</v>
      </c>
      <c r="F163" s="87" t="n">
        <v>169.6694</v>
      </c>
      <c r="G163" s="88">
        <f>DAY(EOMONTH(DATE(B163,C163,1),0))</f>
        <v/>
      </c>
      <c r="H163" s="89">
        <f>F163/G163</f>
        <v/>
      </c>
    </row>
    <row r="164">
      <c r="A164" s="86" t="inlineStr">
        <is>
          <t>강원영서</t>
        </is>
      </c>
      <c r="B164" s="86" t="n">
        <v>2019</v>
      </c>
      <c r="C164" s="86" t="n">
        <v>7</v>
      </c>
      <c r="D164" s="86" t="inlineStr">
        <is>
          <t>2019-07</t>
        </is>
      </c>
      <c r="E164" s="87" t="n">
        <v>169.5</v>
      </c>
      <c r="F164" s="87" t="n">
        <v>129.9667</v>
      </c>
      <c r="G164" s="88">
        <f>DAY(EOMONTH(DATE(B164,C164,1),0))</f>
        <v/>
      </c>
      <c r="H164" s="89">
        <f>F164/G164</f>
        <v/>
      </c>
    </row>
    <row r="165">
      <c r="A165" s="86" t="inlineStr">
        <is>
          <t>강원영서</t>
        </is>
      </c>
      <c r="B165" s="86" t="n">
        <v>2019</v>
      </c>
      <c r="C165" s="86" t="n">
        <v>8</v>
      </c>
      <c r="D165" s="86" t="inlineStr">
        <is>
          <t>2019-08</t>
        </is>
      </c>
      <c r="E165" s="87" t="n">
        <v>238.8</v>
      </c>
      <c r="F165" s="87" t="n">
        <v>151.6222</v>
      </c>
      <c r="G165" s="88">
        <f>DAY(EOMONTH(DATE(B165,C165,1),0))</f>
        <v/>
      </c>
      <c r="H165" s="89">
        <f>F165/G165</f>
        <v/>
      </c>
    </row>
    <row r="166">
      <c r="A166" s="86" t="inlineStr">
        <is>
          <t>강원영서</t>
        </is>
      </c>
      <c r="B166" s="86" t="n">
        <v>2019</v>
      </c>
      <c r="C166" s="86" t="n">
        <v>9</v>
      </c>
      <c r="D166" s="86" t="inlineStr">
        <is>
          <t>2019-09</t>
        </is>
      </c>
      <c r="E166" s="87" t="n">
        <v>153</v>
      </c>
      <c r="F166" s="87" t="n">
        <v>103.5</v>
      </c>
      <c r="G166" s="88">
        <f>DAY(EOMONTH(DATE(B166,C166,1),0))</f>
        <v/>
      </c>
      <c r="H166" s="89">
        <f>F166/G166</f>
        <v/>
      </c>
    </row>
    <row r="167">
      <c r="A167" s="86" t="inlineStr">
        <is>
          <t>강원영서</t>
        </is>
      </c>
      <c r="B167" s="86" t="n">
        <v>2019</v>
      </c>
      <c r="C167" s="86" t="n">
        <v>10</v>
      </c>
      <c r="D167" s="86" t="inlineStr">
        <is>
          <t>2019-10</t>
        </is>
      </c>
      <c r="E167" s="87" t="n">
        <v>195.5</v>
      </c>
      <c r="F167" s="87" t="n">
        <v>100.1639</v>
      </c>
      <c r="G167" s="88">
        <f>DAY(EOMONTH(DATE(B167,C167,1),0))</f>
        <v/>
      </c>
      <c r="H167" s="89">
        <f>F167/G167</f>
        <v/>
      </c>
    </row>
    <row r="168">
      <c r="A168" s="86" t="inlineStr">
        <is>
          <t>강원영서</t>
        </is>
      </c>
      <c r="B168" s="86" t="n">
        <v>2019</v>
      </c>
      <c r="C168" s="86" t="n">
        <v>11</v>
      </c>
      <c r="D168" s="86" t="inlineStr">
        <is>
          <t>2019-11</t>
        </is>
      </c>
      <c r="E168" s="87" t="n">
        <v>179.9</v>
      </c>
      <c r="F168" s="87" t="n">
        <v>76.5694</v>
      </c>
      <c r="G168" s="88">
        <f>DAY(EOMONTH(DATE(B168,C168,1),0))</f>
        <v/>
      </c>
      <c r="H168" s="89">
        <f>F168/G168</f>
        <v/>
      </c>
    </row>
    <row r="169">
      <c r="A169" s="86" t="inlineStr">
        <is>
          <t>강원영서</t>
        </is>
      </c>
      <c r="B169" s="86" t="n">
        <v>2019</v>
      </c>
      <c r="C169" s="86" t="n">
        <v>12</v>
      </c>
      <c r="D169" s="86" t="inlineStr">
        <is>
          <t>2019-12</t>
        </is>
      </c>
      <c r="E169" s="87" t="n">
        <v>156.8</v>
      </c>
      <c r="F169" s="87" t="n">
        <v>64.6944</v>
      </c>
      <c r="G169" s="88">
        <f>DAY(EOMONTH(DATE(B169,C169,1),0))</f>
        <v/>
      </c>
      <c r="H169" s="89">
        <f>F169/G169</f>
        <v/>
      </c>
    </row>
    <row r="170">
      <c r="A170" s="86" t="inlineStr">
        <is>
          <t>강원영서</t>
        </is>
      </c>
      <c r="B170" s="86" t="n">
        <v>2020</v>
      </c>
      <c r="C170" s="86" t="n">
        <v>1</v>
      </c>
      <c r="D170" s="86" t="inlineStr">
        <is>
          <t>2020-01</t>
        </is>
      </c>
      <c r="E170" s="87" t="n">
        <v>171.1</v>
      </c>
      <c r="F170" s="87" t="n">
        <v>72.61109999999999</v>
      </c>
      <c r="G170" s="88">
        <f>DAY(EOMONTH(DATE(B170,C170,1),0))</f>
        <v/>
      </c>
      <c r="H170" s="89">
        <f>F170/G170</f>
        <v/>
      </c>
    </row>
    <row r="171">
      <c r="A171" s="86" t="inlineStr">
        <is>
          <t>강원영서</t>
        </is>
      </c>
      <c r="B171" s="86" t="n">
        <v>2020</v>
      </c>
      <c r="C171" s="86" t="n">
        <v>2</v>
      </c>
      <c r="D171" s="86" t="inlineStr">
        <is>
          <t>2020-02</t>
        </is>
      </c>
      <c r="E171" s="87" t="n">
        <v>187.3</v>
      </c>
      <c r="F171" s="87" t="n">
        <v>94.425</v>
      </c>
      <c r="G171" s="88">
        <f>DAY(EOMONTH(DATE(B171,C171,1),0))</f>
        <v/>
      </c>
      <c r="H171" s="89">
        <f>F171/G171</f>
        <v/>
      </c>
    </row>
    <row r="172">
      <c r="A172" s="86" t="inlineStr">
        <is>
          <t>강원영서</t>
        </is>
      </c>
      <c r="B172" s="86" t="n">
        <v>2020</v>
      </c>
      <c r="C172" s="86" t="n">
        <v>3</v>
      </c>
      <c r="D172" s="86" t="inlineStr">
        <is>
          <t>2020-03</t>
        </is>
      </c>
      <c r="E172" s="87" t="n">
        <v>252.2</v>
      </c>
      <c r="F172" s="87" t="n">
        <v>143.7778</v>
      </c>
      <c r="G172" s="88">
        <f>DAY(EOMONTH(DATE(B172,C172,1),0))</f>
        <v/>
      </c>
      <c r="H172" s="89">
        <f>F172/G172</f>
        <v/>
      </c>
    </row>
    <row r="173">
      <c r="A173" s="86" t="inlineStr">
        <is>
          <t>강원영서</t>
        </is>
      </c>
      <c r="B173" s="86" t="n">
        <v>2020</v>
      </c>
      <c r="C173" s="86" t="n">
        <v>4</v>
      </c>
      <c r="D173" s="86" t="inlineStr">
        <is>
          <t>2020-04</t>
        </is>
      </c>
      <c r="E173" s="87" t="n">
        <v>272.5</v>
      </c>
      <c r="F173" s="87" t="n">
        <v>166.9556</v>
      </c>
      <c r="G173" s="88">
        <f>DAY(EOMONTH(DATE(B173,C173,1),0))</f>
        <v/>
      </c>
      <c r="H173" s="89">
        <f>F173/G173</f>
        <v/>
      </c>
    </row>
    <row r="174">
      <c r="A174" s="86" t="inlineStr">
        <is>
          <t>강원영서</t>
        </is>
      </c>
      <c r="B174" s="86" t="n">
        <v>2020</v>
      </c>
      <c r="C174" s="86" t="n">
        <v>5</v>
      </c>
      <c r="D174" s="86" t="inlineStr">
        <is>
          <t>2020-05</t>
        </is>
      </c>
      <c r="E174" s="87" t="n">
        <v>227.1</v>
      </c>
      <c r="F174" s="87" t="n">
        <v>165.9111</v>
      </c>
      <c r="G174" s="88">
        <f>DAY(EOMONTH(DATE(B174,C174,1),0))</f>
        <v/>
      </c>
      <c r="H174" s="89">
        <f>F174/G174</f>
        <v/>
      </c>
    </row>
    <row r="175">
      <c r="A175" s="86" t="inlineStr">
        <is>
          <t>강원영서</t>
        </is>
      </c>
      <c r="B175" s="86" t="n">
        <v>2020</v>
      </c>
      <c r="C175" s="86" t="n">
        <v>6</v>
      </c>
      <c r="D175" s="86" t="inlineStr">
        <is>
          <t>2020-06</t>
        </is>
      </c>
      <c r="E175" s="87" t="n">
        <v>240.7</v>
      </c>
      <c r="F175" s="87" t="n">
        <v>171.2667</v>
      </c>
      <c r="G175" s="88">
        <f>DAY(EOMONTH(DATE(B175,C175,1),0))</f>
        <v/>
      </c>
      <c r="H175" s="89">
        <f>F175/G175</f>
        <v/>
      </c>
    </row>
    <row r="176">
      <c r="A176" s="86" t="inlineStr">
        <is>
          <t>강원영서</t>
        </is>
      </c>
      <c r="B176" s="86" t="n">
        <v>2020</v>
      </c>
      <c r="C176" s="86" t="n">
        <v>7</v>
      </c>
      <c r="D176" s="86" t="inlineStr">
        <is>
          <t>2020-07</t>
        </is>
      </c>
      <c r="E176" s="87" t="n">
        <v>162.3</v>
      </c>
      <c r="F176" s="87" t="n">
        <v>131.3722</v>
      </c>
      <c r="G176" s="88">
        <f>DAY(EOMONTH(DATE(B176,C176,1),0))</f>
        <v/>
      </c>
      <c r="H176" s="89">
        <f>F176/G176</f>
        <v/>
      </c>
    </row>
    <row r="177">
      <c r="A177" s="86" t="inlineStr">
        <is>
          <t>강원영서</t>
        </is>
      </c>
      <c r="B177" s="86" t="n">
        <v>2020</v>
      </c>
      <c r="C177" s="86" t="n">
        <v>8</v>
      </c>
      <c r="D177" s="86" t="inlineStr">
        <is>
          <t>2020-08</t>
        </is>
      </c>
      <c r="E177" s="87" t="n">
        <v>120.4</v>
      </c>
      <c r="F177" s="87" t="n">
        <v>106.3583</v>
      </c>
      <c r="G177" s="88">
        <f>DAY(EOMONTH(DATE(B177,C177,1),0))</f>
        <v/>
      </c>
      <c r="H177" s="89">
        <f>F177/G177</f>
        <v/>
      </c>
    </row>
    <row r="178">
      <c r="A178" s="86" t="inlineStr">
        <is>
          <t>강원영서</t>
        </is>
      </c>
      <c r="B178" s="86" t="n">
        <v>2020</v>
      </c>
      <c r="C178" s="86" t="n">
        <v>9</v>
      </c>
      <c r="D178" s="86" t="inlineStr">
        <is>
          <t>2020-09</t>
        </is>
      </c>
      <c r="E178" s="87" t="n">
        <v>176.6</v>
      </c>
      <c r="F178" s="87" t="n">
        <v>112.4972</v>
      </c>
      <c r="G178" s="88">
        <f>DAY(EOMONTH(DATE(B178,C178,1),0))</f>
        <v/>
      </c>
      <c r="H178" s="89">
        <f>F178/G178</f>
        <v/>
      </c>
    </row>
    <row r="179">
      <c r="A179" s="86" t="inlineStr">
        <is>
          <t>강원영서</t>
        </is>
      </c>
      <c r="B179" s="86" t="n">
        <v>2020</v>
      </c>
      <c r="C179" s="86" t="n">
        <v>10</v>
      </c>
      <c r="D179" s="86" t="inlineStr">
        <is>
          <t>2020-10</t>
        </is>
      </c>
      <c r="E179" s="87" t="n">
        <v>226.5</v>
      </c>
      <c r="F179" s="87" t="n">
        <v>114.8111</v>
      </c>
      <c r="G179" s="88">
        <f>DAY(EOMONTH(DATE(B179,C179,1),0))</f>
        <v/>
      </c>
      <c r="H179" s="89">
        <f>F179/G179</f>
        <v/>
      </c>
    </row>
    <row r="180">
      <c r="A180" s="86" t="inlineStr">
        <is>
          <t>강원영서</t>
        </is>
      </c>
      <c r="B180" s="86" t="n">
        <v>2020</v>
      </c>
      <c r="C180" s="86" t="n">
        <v>11</v>
      </c>
      <c r="D180" s="86" t="inlineStr">
        <is>
          <t>2020-11</t>
        </is>
      </c>
      <c r="E180" s="87" t="n">
        <v>185.3</v>
      </c>
      <c r="F180" s="87" t="n">
        <v>81.3278</v>
      </c>
      <c r="G180" s="88">
        <f>DAY(EOMONTH(DATE(B180,C180,1),0))</f>
        <v/>
      </c>
      <c r="H180" s="89">
        <f>F180/G180</f>
        <v/>
      </c>
    </row>
    <row r="181">
      <c r="A181" s="86" t="inlineStr">
        <is>
          <t>강원영서</t>
        </is>
      </c>
      <c r="B181" s="86" t="n">
        <v>2020</v>
      </c>
      <c r="C181" s="86" t="n">
        <v>12</v>
      </c>
      <c r="D181" s="86" t="inlineStr">
        <is>
          <t>2020-12</t>
        </is>
      </c>
      <c r="E181" s="87" t="n">
        <v>198.5</v>
      </c>
      <c r="F181" s="87" t="n">
        <v>76.4194</v>
      </c>
      <c r="G181" s="88">
        <f>DAY(EOMONTH(DATE(B181,C181,1),0))</f>
        <v/>
      </c>
      <c r="H181" s="89">
        <f>F181/G181</f>
        <v/>
      </c>
    </row>
    <row r="182">
      <c r="A182" s="86" t="inlineStr">
        <is>
          <t>강원영서</t>
        </is>
      </c>
      <c r="B182" s="86" t="n">
        <v>2021</v>
      </c>
      <c r="C182" s="86" t="n">
        <v>1</v>
      </c>
      <c r="D182" s="86" t="inlineStr">
        <is>
          <t>2021-01</t>
        </is>
      </c>
      <c r="E182" s="87" t="n">
        <v>187.5</v>
      </c>
      <c r="F182" s="87" t="n">
        <v>78.5</v>
      </c>
      <c r="G182" s="88">
        <f>DAY(EOMONTH(DATE(B182,C182,1),0))</f>
        <v/>
      </c>
      <c r="H182" s="89">
        <f>F182/G182</f>
        <v/>
      </c>
    </row>
    <row r="183">
      <c r="A183" s="86" t="inlineStr">
        <is>
          <t>강원영서</t>
        </is>
      </c>
      <c r="B183" s="86" t="n">
        <v>2021</v>
      </c>
      <c r="C183" s="86" t="n">
        <v>2</v>
      </c>
      <c r="D183" s="86" t="inlineStr">
        <is>
          <t>2021-02</t>
        </is>
      </c>
      <c r="E183" s="87" t="n">
        <v>205.1</v>
      </c>
      <c r="F183" s="87" t="n">
        <v>97.6444</v>
      </c>
      <c r="G183" s="88">
        <f>DAY(EOMONTH(DATE(B183,C183,1),0))</f>
        <v/>
      </c>
      <c r="H183" s="89">
        <f>F183/G183</f>
        <v/>
      </c>
    </row>
    <row r="184">
      <c r="A184" s="86" t="inlineStr">
        <is>
          <t>강원영서</t>
        </is>
      </c>
      <c r="B184" s="86" t="n">
        <v>2021</v>
      </c>
      <c r="C184" s="86" t="n">
        <v>3</v>
      </c>
      <c r="D184" s="86" t="inlineStr">
        <is>
          <t>2021-03</t>
        </is>
      </c>
      <c r="E184" s="87" t="n">
        <v>223.6</v>
      </c>
      <c r="F184" s="87" t="n">
        <v>129.8056</v>
      </c>
      <c r="G184" s="88">
        <f>DAY(EOMONTH(DATE(B184,C184,1),0))</f>
        <v/>
      </c>
      <c r="H184" s="89">
        <f>F184/G184</f>
        <v/>
      </c>
    </row>
    <row r="185">
      <c r="A185" s="86" t="inlineStr">
        <is>
          <t>강원영서</t>
        </is>
      </c>
      <c r="B185" s="86" t="n">
        <v>2021</v>
      </c>
      <c r="C185" s="86" t="n">
        <v>4</v>
      </c>
      <c r="D185" s="86" t="inlineStr">
        <is>
          <t>2021-04</t>
        </is>
      </c>
      <c r="E185" s="87" t="n">
        <v>241.3</v>
      </c>
      <c r="F185" s="87" t="n">
        <v>156.6639</v>
      </c>
      <c r="G185" s="88">
        <f>DAY(EOMONTH(DATE(B185,C185,1),0))</f>
        <v/>
      </c>
      <c r="H185" s="89">
        <f>F185/G185</f>
        <v/>
      </c>
    </row>
    <row r="186">
      <c r="A186" s="86" t="inlineStr">
        <is>
          <t>강원영서</t>
        </is>
      </c>
      <c r="B186" s="86" t="n">
        <v>2021</v>
      </c>
      <c r="C186" s="86" t="n">
        <v>5</v>
      </c>
      <c r="D186" s="86" t="inlineStr">
        <is>
          <t>2021-05</t>
        </is>
      </c>
      <c r="E186" s="87" t="n">
        <v>219</v>
      </c>
      <c r="F186" s="87" t="n">
        <v>154.6833</v>
      </c>
      <c r="G186" s="88">
        <f>DAY(EOMONTH(DATE(B186,C186,1),0))</f>
        <v/>
      </c>
      <c r="H186" s="89">
        <f>F186/G186</f>
        <v/>
      </c>
    </row>
    <row r="187">
      <c r="A187" s="86" t="inlineStr">
        <is>
          <t>강원영서</t>
        </is>
      </c>
      <c r="B187" s="86" t="n">
        <v>2021</v>
      </c>
      <c r="C187" s="86" t="n">
        <v>6</v>
      </c>
      <c r="D187" s="86" t="inlineStr">
        <is>
          <t>2021-06</t>
        </is>
      </c>
      <c r="E187" s="87" t="n">
        <v>211.4</v>
      </c>
      <c r="F187" s="87" t="n">
        <v>161.3556</v>
      </c>
      <c r="G187" s="88">
        <f>DAY(EOMONTH(DATE(B187,C187,1),0))</f>
        <v/>
      </c>
      <c r="H187" s="89">
        <f>F187/G187</f>
        <v/>
      </c>
    </row>
    <row r="188">
      <c r="A188" s="86" t="inlineStr">
        <is>
          <t>강원영서</t>
        </is>
      </c>
      <c r="B188" s="86" t="n">
        <v>2021</v>
      </c>
      <c r="C188" s="86" t="n">
        <v>7</v>
      </c>
      <c r="D188" s="86" t="inlineStr">
        <is>
          <t>2021-07</t>
        </is>
      </c>
      <c r="E188" s="87" t="n">
        <v>263.4</v>
      </c>
      <c r="F188" s="87" t="n">
        <v>183.0389</v>
      </c>
      <c r="G188" s="88">
        <f>DAY(EOMONTH(DATE(B188,C188,1),0))</f>
        <v/>
      </c>
      <c r="H188" s="89">
        <f>F188/G188</f>
        <v/>
      </c>
    </row>
    <row r="189">
      <c r="A189" s="86" t="inlineStr">
        <is>
          <t>강원영서</t>
        </is>
      </c>
      <c r="B189" s="86" t="n">
        <v>2021</v>
      </c>
      <c r="C189" s="86" t="n">
        <v>8</v>
      </c>
      <c r="D189" s="86" t="inlineStr">
        <is>
          <t>2021-08</t>
        </is>
      </c>
      <c r="E189" s="87" t="n">
        <v>156.9</v>
      </c>
      <c r="F189" s="87" t="n">
        <v>119.5639</v>
      </c>
      <c r="G189" s="88">
        <f>DAY(EOMONTH(DATE(B189,C189,1),0))</f>
        <v/>
      </c>
      <c r="H189" s="89">
        <f>F189/G189</f>
        <v/>
      </c>
    </row>
    <row r="190">
      <c r="A190" s="86" t="inlineStr">
        <is>
          <t>강원영서</t>
        </is>
      </c>
      <c r="B190" s="86" t="n">
        <v>2021</v>
      </c>
      <c r="C190" s="86" t="n">
        <v>9</v>
      </c>
      <c r="D190" s="86" t="inlineStr">
        <is>
          <t>2021-09</t>
        </is>
      </c>
      <c r="E190" s="87" t="n">
        <v>188.1</v>
      </c>
      <c r="F190" s="87" t="n">
        <v>119.9222</v>
      </c>
      <c r="G190" s="88">
        <f>DAY(EOMONTH(DATE(B190,C190,1),0))</f>
        <v/>
      </c>
      <c r="H190" s="89">
        <f>F190/G190</f>
        <v/>
      </c>
    </row>
    <row r="191">
      <c r="A191" s="86" t="inlineStr">
        <is>
          <t>강원영서</t>
        </is>
      </c>
      <c r="B191" s="86" t="n">
        <v>2021</v>
      </c>
      <c r="C191" s="86" t="n">
        <v>10</v>
      </c>
      <c r="D191" s="86" t="inlineStr">
        <is>
          <t>2021-10</t>
        </is>
      </c>
      <c r="E191" s="87" t="n">
        <v>176.5</v>
      </c>
      <c r="F191" s="87" t="n">
        <v>97.25279999999999</v>
      </c>
      <c r="G191" s="88">
        <f>DAY(EOMONTH(DATE(B191,C191,1),0))</f>
        <v/>
      </c>
      <c r="H191" s="89">
        <f>F191/G191</f>
        <v/>
      </c>
    </row>
    <row r="192">
      <c r="A192" s="86" t="inlineStr">
        <is>
          <t>강원영서</t>
        </is>
      </c>
      <c r="B192" s="86" t="n">
        <v>2021</v>
      </c>
      <c r="C192" s="86" t="n">
        <v>11</v>
      </c>
      <c r="D192" s="86" t="inlineStr">
        <is>
          <t>2021-11</t>
        </is>
      </c>
      <c r="E192" s="87" t="n">
        <v>175.2</v>
      </c>
      <c r="F192" s="87" t="n">
        <v>76.4667</v>
      </c>
      <c r="G192" s="88">
        <f>DAY(EOMONTH(DATE(B192,C192,1),0))</f>
        <v/>
      </c>
      <c r="H192" s="89">
        <f>F192/G192</f>
        <v/>
      </c>
    </row>
    <row r="193">
      <c r="A193" s="86" t="inlineStr">
        <is>
          <t>강원영서</t>
        </is>
      </c>
      <c r="B193" s="86" t="n">
        <v>2021</v>
      </c>
      <c r="C193" s="86" t="n">
        <v>12</v>
      </c>
      <c r="D193" s="86" t="inlineStr">
        <is>
          <t>2021-12</t>
        </is>
      </c>
      <c r="E193" s="87" t="n">
        <v>179.8</v>
      </c>
      <c r="F193" s="87" t="n">
        <v>71.2111</v>
      </c>
      <c r="G193" s="88">
        <f>DAY(EOMONTH(DATE(B193,C193,1),0))</f>
        <v/>
      </c>
      <c r="H193" s="89">
        <f>F193/G193</f>
        <v/>
      </c>
    </row>
    <row r="194">
      <c r="A194" s="86" t="inlineStr">
        <is>
          <t>강원영서</t>
        </is>
      </c>
      <c r="B194" s="86" t="n">
        <v>2022</v>
      </c>
      <c r="C194" s="86" t="n">
        <v>1</v>
      </c>
      <c r="D194" s="86" t="inlineStr">
        <is>
          <t>2022-01</t>
        </is>
      </c>
      <c r="E194" s="87" t="n">
        <v>211.5</v>
      </c>
      <c r="F194" s="87" t="n">
        <v>85.4333</v>
      </c>
      <c r="G194" s="88">
        <f>DAY(EOMONTH(DATE(B194,C194,1),0))</f>
        <v/>
      </c>
      <c r="H194" s="89">
        <f>F194/G194</f>
        <v/>
      </c>
    </row>
    <row r="195">
      <c r="A195" s="86" t="inlineStr">
        <is>
          <t>강원영서</t>
        </is>
      </c>
      <c r="B195" s="86" t="n">
        <v>2022</v>
      </c>
      <c r="C195" s="86" t="n">
        <v>2</v>
      </c>
      <c r="D195" s="86" t="inlineStr">
        <is>
          <t>2022-02</t>
        </is>
      </c>
      <c r="E195" s="87" t="n">
        <v>226.5</v>
      </c>
      <c r="F195" s="87" t="n">
        <v>106.5861</v>
      </c>
      <c r="G195" s="88">
        <f>DAY(EOMONTH(DATE(B195,C195,1),0))</f>
        <v/>
      </c>
      <c r="H195" s="89">
        <f>F195/G195</f>
        <v/>
      </c>
    </row>
    <row r="196">
      <c r="A196" s="86" t="inlineStr">
        <is>
          <t>강원영서</t>
        </is>
      </c>
      <c r="B196" s="86" t="n">
        <v>2022</v>
      </c>
      <c r="C196" s="86" t="n">
        <v>3</v>
      </c>
      <c r="D196" s="86" t="inlineStr">
        <is>
          <t>2022-03</t>
        </is>
      </c>
      <c r="E196" s="87" t="n">
        <v>204.5</v>
      </c>
      <c r="F196" s="87" t="n">
        <v>120.55</v>
      </c>
      <c r="G196" s="88">
        <f>DAY(EOMONTH(DATE(B196,C196,1),0))</f>
        <v/>
      </c>
      <c r="H196" s="89">
        <f>F196/G196</f>
        <v/>
      </c>
    </row>
    <row r="197">
      <c r="A197" s="86" t="inlineStr">
        <is>
          <t>강원영서</t>
        </is>
      </c>
      <c r="B197" s="86" t="n">
        <v>2022</v>
      </c>
      <c r="C197" s="86" t="n">
        <v>4</v>
      </c>
      <c r="D197" s="86" t="inlineStr">
        <is>
          <t>2022-04</t>
        </is>
      </c>
      <c r="E197" s="87" t="n">
        <v>268.7</v>
      </c>
      <c r="F197" s="87" t="n">
        <v>169.35</v>
      </c>
      <c r="G197" s="88">
        <f>DAY(EOMONTH(DATE(B197,C197,1),0))</f>
        <v/>
      </c>
      <c r="H197" s="89">
        <f>F197/G197</f>
        <v/>
      </c>
    </row>
    <row r="198">
      <c r="A198" s="86" t="inlineStr">
        <is>
          <t>강원영서</t>
        </is>
      </c>
      <c r="B198" s="86" t="n">
        <v>2022</v>
      </c>
      <c r="C198" s="86" t="n">
        <v>5</v>
      </c>
      <c r="D198" s="86" t="inlineStr">
        <is>
          <t>2022-05</t>
        </is>
      </c>
      <c r="E198" s="87" t="n">
        <v>310.8</v>
      </c>
      <c r="F198" s="87" t="n">
        <v>201.1306</v>
      </c>
      <c r="G198" s="88">
        <f>DAY(EOMONTH(DATE(B198,C198,1),0))</f>
        <v/>
      </c>
      <c r="H198" s="89">
        <f>F198/G198</f>
        <v/>
      </c>
    </row>
    <row r="199">
      <c r="A199" s="86" t="inlineStr">
        <is>
          <t>강원영서</t>
        </is>
      </c>
      <c r="B199" s="86" t="n">
        <v>2022</v>
      </c>
      <c r="C199" s="86" t="n">
        <v>6</v>
      </c>
      <c r="D199" s="86" t="inlineStr">
        <is>
          <t>2022-06</t>
        </is>
      </c>
      <c r="E199" s="87" t="n">
        <v>179.9</v>
      </c>
      <c r="F199" s="87" t="n">
        <v>143.4333</v>
      </c>
      <c r="G199" s="88">
        <f>DAY(EOMONTH(DATE(B199,C199,1),0))</f>
        <v/>
      </c>
      <c r="H199" s="89">
        <f>F199/G199</f>
        <v/>
      </c>
    </row>
    <row r="200">
      <c r="A200" s="86" t="inlineStr">
        <is>
          <t>강원영서</t>
        </is>
      </c>
      <c r="B200" s="86" t="n">
        <v>2022</v>
      </c>
      <c r="C200" s="86" t="n">
        <v>7</v>
      </c>
      <c r="D200" s="86" t="inlineStr">
        <is>
          <t>2022-07</t>
        </is>
      </c>
      <c r="E200" s="87" t="n">
        <v>193.9</v>
      </c>
      <c r="F200" s="87" t="n">
        <v>154.7333</v>
      </c>
      <c r="G200" s="88">
        <f>DAY(EOMONTH(DATE(B200,C200,1),0))</f>
        <v/>
      </c>
      <c r="H200" s="89">
        <f>F200/G200</f>
        <v/>
      </c>
    </row>
    <row r="201">
      <c r="A201" s="86" t="inlineStr">
        <is>
          <t>강원영서</t>
        </is>
      </c>
      <c r="B201" s="86" t="n">
        <v>2022</v>
      </c>
      <c r="C201" s="86" t="n">
        <v>8</v>
      </c>
      <c r="D201" s="86" t="inlineStr">
        <is>
          <t>2022-08</t>
        </is>
      </c>
      <c r="E201" s="87" t="n">
        <v>145.4</v>
      </c>
      <c r="F201" s="87" t="n">
        <v>116.8472</v>
      </c>
      <c r="G201" s="88">
        <f>DAY(EOMONTH(DATE(B201,C201,1),0))</f>
        <v/>
      </c>
      <c r="H201" s="89">
        <f>F201/G201</f>
        <v/>
      </c>
    </row>
    <row r="202">
      <c r="A202" s="86" t="inlineStr">
        <is>
          <t>강원영서</t>
        </is>
      </c>
      <c r="B202" s="86" t="n">
        <v>2022</v>
      </c>
      <c r="C202" s="86" t="n">
        <v>9</v>
      </c>
      <c r="D202" s="86" t="inlineStr">
        <is>
          <t>2022-09</t>
        </is>
      </c>
      <c r="E202" s="87" t="n">
        <v>207.6</v>
      </c>
      <c r="F202" s="87" t="n">
        <v>129.6528</v>
      </c>
      <c r="G202" s="88">
        <f>DAY(EOMONTH(DATE(B202,C202,1),0))</f>
        <v/>
      </c>
      <c r="H202" s="89">
        <f>F202/G202</f>
        <v/>
      </c>
    </row>
    <row r="203">
      <c r="A203" s="86" t="inlineStr">
        <is>
          <t>강원영서</t>
        </is>
      </c>
      <c r="B203" s="86" t="n">
        <v>2022</v>
      </c>
      <c r="C203" s="86" t="n">
        <v>10</v>
      </c>
      <c r="D203" s="86" t="inlineStr">
        <is>
          <t>2022-10</t>
        </is>
      </c>
      <c r="E203" s="87" t="n">
        <v>188.9</v>
      </c>
      <c r="F203" s="87" t="n">
        <v>102.6167</v>
      </c>
      <c r="G203" s="88">
        <f>DAY(EOMONTH(DATE(B203,C203,1),0))</f>
        <v/>
      </c>
      <c r="H203" s="89">
        <f>F203/G203</f>
        <v/>
      </c>
    </row>
    <row r="204">
      <c r="A204" s="86" t="inlineStr">
        <is>
          <t>강원영서</t>
        </is>
      </c>
      <c r="B204" s="86" t="n">
        <v>2022</v>
      </c>
      <c r="C204" s="86" t="n">
        <v>11</v>
      </c>
      <c r="D204" s="86" t="inlineStr">
        <is>
          <t>2022-11</t>
        </is>
      </c>
      <c r="E204" s="87" t="n">
        <v>186</v>
      </c>
      <c r="F204" s="87" t="n">
        <v>81.4194</v>
      </c>
      <c r="G204" s="88">
        <f>DAY(EOMONTH(DATE(B204,C204,1),0))</f>
        <v/>
      </c>
      <c r="H204" s="89">
        <f>F204/G204</f>
        <v/>
      </c>
    </row>
    <row r="205">
      <c r="A205" s="86" t="inlineStr">
        <is>
          <t>강원영서</t>
        </is>
      </c>
      <c r="B205" s="86" t="n">
        <v>2022</v>
      </c>
      <c r="C205" s="86" t="n">
        <v>12</v>
      </c>
      <c r="D205" s="86" t="inlineStr">
        <is>
          <t>2022-12</t>
        </is>
      </c>
      <c r="E205" s="87" t="n">
        <v>169.2</v>
      </c>
      <c r="F205" s="87" t="n">
        <v>73.1139</v>
      </c>
      <c r="G205" s="88">
        <f>DAY(EOMONTH(DATE(B205,C205,1),0))</f>
        <v/>
      </c>
      <c r="H205" s="89">
        <f>F205/G205</f>
        <v/>
      </c>
    </row>
    <row r="206">
      <c r="A206" s="86" t="inlineStr">
        <is>
          <t>강원영서</t>
        </is>
      </c>
      <c r="B206" s="86" t="n">
        <v>2023</v>
      </c>
      <c r="C206" s="86" t="n">
        <v>1</v>
      </c>
      <c r="D206" s="86" t="inlineStr">
        <is>
          <t>2023-01</t>
        </is>
      </c>
      <c r="E206" s="87" t="n">
        <v>162.2</v>
      </c>
      <c r="F206" s="87" t="n">
        <v>79.6694</v>
      </c>
      <c r="G206" s="88">
        <f>DAY(EOMONTH(DATE(B206,C206,1),0))</f>
        <v/>
      </c>
      <c r="H206" s="89">
        <f>F206/G206</f>
        <v/>
      </c>
    </row>
    <row r="207">
      <c r="A207" s="86" t="inlineStr">
        <is>
          <t>강원영서</t>
        </is>
      </c>
      <c r="B207" s="86" t="n">
        <v>2023</v>
      </c>
      <c r="C207" s="86" t="n">
        <v>2</v>
      </c>
      <c r="D207" s="86" t="inlineStr">
        <is>
          <t>2023-02</t>
        </is>
      </c>
      <c r="E207" s="87" t="n">
        <v>192.2</v>
      </c>
      <c r="F207" s="87" t="n">
        <v>96.3528</v>
      </c>
      <c r="G207" s="88">
        <f>DAY(EOMONTH(DATE(B207,C207,1),0))</f>
        <v/>
      </c>
      <c r="H207" s="89">
        <f>F207/G207</f>
        <v/>
      </c>
    </row>
    <row r="208">
      <c r="A208" s="86" t="inlineStr">
        <is>
          <t>강원영서</t>
        </is>
      </c>
      <c r="B208" s="86" t="n">
        <v>2023</v>
      </c>
      <c r="C208" s="86" t="n">
        <v>3</v>
      </c>
      <c r="D208" s="86" t="inlineStr">
        <is>
          <t>2023-03</t>
        </is>
      </c>
      <c r="E208" s="87" t="n">
        <v>249.3</v>
      </c>
      <c r="F208" s="87" t="n">
        <v>142.125</v>
      </c>
      <c r="G208" s="88">
        <f>DAY(EOMONTH(DATE(B208,C208,1),0))</f>
        <v/>
      </c>
      <c r="H208" s="89">
        <f>F208/G208</f>
        <v/>
      </c>
    </row>
    <row r="209">
      <c r="A209" s="86" t="inlineStr">
        <is>
          <t>강원영서</t>
        </is>
      </c>
      <c r="B209" s="86" t="n">
        <v>2023</v>
      </c>
      <c r="C209" s="86" t="n">
        <v>4</v>
      </c>
      <c r="D209" s="86" t="inlineStr">
        <is>
          <t>2023-04</t>
        </is>
      </c>
      <c r="E209" s="87" t="n">
        <v>199.1</v>
      </c>
      <c r="F209" s="87" t="n">
        <v>144.8944</v>
      </c>
      <c r="G209" s="88">
        <f>DAY(EOMONTH(DATE(B209,C209,1),0))</f>
        <v/>
      </c>
      <c r="H209" s="89">
        <f>F209/G209</f>
        <v/>
      </c>
    </row>
    <row r="210">
      <c r="A210" s="86" t="inlineStr">
        <is>
          <t>강원영서</t>
        </is>
      </c>
      <c r="B210" s="86" t="n">
        <v>2023</v>
      </c>
      <c r="C210" s="86" t="n">
        <v>5</v>
      </c>
      <c r="D210" s="86" t="inlineStr">
        <is>
          <t>2023-05</t>
        </is>
      </c>
      <c r="E210" s="87" t="n">
        <v>248.3</v>
      </c>
      <c r="F210" s="87" t="n">
        <v>176.3</v>
      </c>
      <c r="G210" s="88">
        <f>DAY(EOMONTH(DATE(B210,C210,1),0))</f>
        <v/>
      </c>
      <c r="H210" s="89">
        <f>F210/G210</f>
        <v/>
      </c>
    </row>
    <row r="211">
      <c r="A211" s="86" t="inlineStr">
        <is>
          <t>강원영서</t>
        </is>
      </c>
      <c r="B211" s="86" t="n">
        <v>2023</v>
      </c>
      <c r="C211" s="86" t="n">
        <v>6</v>
      </c>
      <c r="D211" s="86" t="inlineStr">
        <is>
          <t>2023-06</t>
        </is>
      </c>
      <c r="E211" s="87" t="n">
        <v>226</v>
      </c>
      <c r="F211" s="87" t="n">
        <v>175.9333</v>
      </c>
      <c r="G211" s="88">
        <f>DAY(EOMONTH(DATE(B211,C211,1),0))</f>
        <v/>
      </c>
      <c r="H211" s="89">
        <f>F211/G211</f>
        <v/>
      </c>
    </row>
    <row r="212">
      <c r="A212" s="86" t="inlineStr">
        <is>
          <t>강원영서</t>
        </is>
      </c>
      <c r="B212" s="86" t="n">
        <v>2023</v>
      </c>
      <c r="C212" s="86" t="n">
        <v>7</v>
      </c>
      <c r="D212" s="86" t="inlineStr">
        <is>
          <t>2023-07</t>
        </is>
      </c>
      <c r="E212" s="87" t="n">
        <v>168.8</v>
      </c>
      <c r="F212" s="87" t="n">
        <v>148.6111</v>
      </c>
      <c r="G212" s="88">
        <f>DAY(EOMONTH(DATE(B212,C212,1),0))</f>
        <v/>
      </c>
      <c r="H212" s="89">
        <f>F212/G212</f>
        <v/>
      </c>
    </row>
    <row r="213">
      <c r="A213" s="86" t="inlineStr">
        <is>
          <t>강원영서</t>
        </is>
      </c>
      <c r="B213" s="86" t="n">
        <v>2023</v>
      </c>
      <c r="C213" s="86" t="n">
        <v>8</v>
      </c>
      <c r="D213" s="86" t="inlineStr">
        <is>
          <t>2023-08</t>
        </is>
      </c>
      <c r="E213" s="87" t="n">
        <v>166.7</v>
      </c>
      <c r="F213" s="87" t="n">
        <v>140.9833</v>
      </c>
      <c r="G213" s="88">
        <f>DAY(EOMONTH(DATE(B213,C213,1),0))</f>
        <v/>
      </c>
      <c r="H213" s="89">
        <f>F213/G213</f>
        <v/>
      </c>
    </row>
    <row r="214">
      <c r="A214" s="86" t="inlineStr">
        <is>
          <t>강원영서</t>
        </is>
      </c>
      <c r="B214" s="86" t="n">
        <v>2023</v>
      </c>
      <c r="C214" s="86" t="n">
        <v>9</v>
      </c>
      <c r="D214" s="86" t="inlineStr">
        <is>
          <t>2023-09</t>
        </is>
      </c>
      <c r="E214" s="87" t="n">
        <v>160.2</v>
      </c>
      <c r="F214" s="87" t="n">
        <v>120.2944</v>
      </c>
      <c r="G214" s="88">
        <f>DAY(EOMONTH(DATE(B214,C214,1),0))</f>
        <v/>
      </c>
      <c r="H214" s="89">
        <f>F214/G214</f>
        <v/>
      </c>
    </row>
    <row r="215">
      <c r="A215" s="86" t="inlineStr">
        <is>
          <t>강원영서</t>
        </is>
      </c>
      <c r="B215" s="86" t="n">
        <v>2023</v>
      </c>
      <c r="C215" s="86" t="n">
        <v>10</v>
      </c>
      <c r="D215" s="86" t="inlineStr">
        <is>
          <t>2023-10</t>
        </is>
      </c>
      <c r="E215" s="87" t="n">
        <v>201</v>
      </c>
      <c r="F215" s="87" t="n">
        <v>111.1139</v>
      </c>
      <c r="G215" s="88">
        <f>DAY(EOMONTH(DATE(B215,C215,1),0))</f>
        <v/>
      </c>
      <c r="H215" s="89">
        <f>F215/G215</f>
        <v/>
      </c>
    </row>
    <row r="216">
      <c r="A216" s="86" t="inlineStr">
        <is>
          <t>강원영서</t>
        </is>
      </c>
      <c r="B216" s="86" t="n">
        <v>2023</v>
      </c>
      <c r="C216" s="86" t="n">
        <v>11</v>
      </c>
      <c r="D216" s="86" t="inlineStr">
        <is>
          <t>2023-11</t>
        </is>
      </c>
      <c r="E216" s="87" t="n">
        <v>170.3</v>
      </c>
      <c r="F216" s="87" t="n">
        <v>79.1944</v>
      </c>
      <c r="G216" s="88">
        <f>DAY(EOMONTH(DATE(B216,C216,1),0))</f>
        <v/>
      </c>
      <c r="H216" s="89">
        <f>F216/G216</f>
        <v/>
      </c>
    </row>
    <row r="217">
      <c r="A217" s="86" t="inlineStr">
        <is>
          <t>강원영서</t>
        </is>
      </c>
      <c r="B217" s="86" t="n">
        <v>2023</v>
      </c>
      <c r="C217" s="86" t="n">
        <v>12</v>
      </c>
      <c r="D217" s="86" t="inlineStr">
        <is>
          <t>2023-12</t>
        </is>
      </c>
      <c r="E217" s="87" t="n">
        <v>148</v>
      </c>
      <c r="F217" s="87" t="n">
        <v>62.7556</v>
      </c>
      <c r="G217" s="88">
        <f>DAY(EOMONTH(DATE(B217,C217,1),0))</f>
        <v/>
      </c>
      <c r="H217" s="89">
        <f>F217/G217</f>
        <v/>
      </c>
    </row>
    <row r="218">
      <c r="A218" s="86" t="inlineStr">
        <is>
          <t>강원영서</t>
        </is>
      </c>
      <c r="B218" s="86" t="n">
        <v>2024</v>
      </c>
      <c r="C218" s="86" t="n">
        <v>1</v>
      </c>
      <c r="D218" s="86" t="inlineStr">
        <is>
          <t>2024-01</t>
        </is>
      </c>
      <c r="E218" s="87" t="n">
        <v>155.1</v>
      </c>
      <c r="F218" s="87" t="n">
        <v>76.3056</v>
      </c>
      <c r="G218" s="88">
        <f>DAY(EOMONTH(DATE(B218,C218,1),0))</f>
        <v/>
      </c>
      <c r="H218" s="89">
        <f>F218/G218</f>
        <v/>
      </c>
    </row>
    <row r="219">
      <c r="A219" s="86" t="inlineStr">
        <is>
          <t>강원영서</t>
        </is>
      </c>
      <c r="B219" s="86" t="n">
        <v>2024</v>
      </c>
      <c r="C219" s="86" t="n">
        <v>2</v>
      </c>
      <c r="D219" s="86" t="inlineStr">
        <is>
          <t>2024-02</t>
        </is>
      </c>
      <c r="E219" s="87" t="n">
        <v>124.7</v>
      </c>
      <c r="F219" s="87" t="n">
        <v>72.6694</v>
      </c>
      <c r="G219" s="88">
        <f>DAY(EOMONTH(DATE(B219,C219,1),0))</f>
        <v/>
      </c>
      <c r="H219" s="89">
        <f>F219/G219</f>
        <v/>
      </c>
    </row>
    <row r="220">
      <c r="A220" s="86" t="inlineStr">
        <is>
          <t>강원영서</t>
        </is>
      </c>
      <c r="B220" s="86" t="n">
        <v>2024</v>
      </c>
      <c r="C220" s="86" t="n">
        <v>3</v>
      </c>
      <c r="D220" s="86" t="inlineStr">
        <is>
          <t>2024-03</t>
        </is>
      </c>
      <c r="E220" s="87" t="n">
        <v>176.7</v>
      </c>
      <c r="F220" s="87" t="n">
        <v>121.7139</v>
      </c>
      <c r="G220" s="88">
        <f>DAY(EOMONTH(DATE(B220,C220,1),0))</f>
        <v/>
      </c>
      <c r="H220" s="89">
        <f>F220/G220</f>
        <v/>
      </c>
    </row>
    <row r="221">
      <c r="A221" s="86" t="inlineStr">
        <is>
          <t>강원영서</t>
        </is>
      </c>
      <c r="B221" s="86" t="n">
        <v>2024</v>
      </c>
      <c r="C221" s="86" t="n">
        <v>4</v>
      </c>
      <c r="D221" s="86" t="inlineStr">
        <is>
          <t>2024-04</t>
        </is>
      </c>
      <c r="E221" s="87" t="n">
        <v>208.4</v>
      </c>
      <c r="F221" s="87" t="n">
        <v>147.3306</v>
      </c>
      <c r="G221" s="88">
        <f>DAY(EOMONTH(DATE(B221,C221,1),0))</f>
        <v/>
      </c>
      <c r="H221" s="89">
        <f>F221/G221</f>
        <v/>
      </c>
    </row>
    <row r="222">
      <c r="A222" s="86" t="inlineStr">
        <is>
          <t>강원영서</t>
        </is>
      </c>
      <c r="B222" s="86" t="n">
        <v>2024</v>
      </c>
      <c r="C222" s="86" t="n">
        <v>5</v>
      </c>
      <c r="D222" s="86" t="inlineStr">
        <is>
          <t>2024-05</t>
        </is>
      </c>
      <c r="E222" s="87" t="n">
        <v>262.7</v>
      </c>
      <c r="F222" s="87" t="n">
        <v>179.7861</v>
      </c>
      <c r="G222" s="88">
        <f>DAY(EOMONTH(DATE(B222,C222,1),0))</f>
        <v/>
      </c>
      <c r="H222" s="89">
        <f>F222/G222</f>
        <v/>
      </c>
    </row>
    <row r="223">
      <c r="A223" s="86" t="inlineStr">
        <is>
          <t>강원영서</t>
        </is>
      </c>
      <c r="B223" s="86" t="n">
        <v>2024</v>
      </c>
      <c r="C223" s="86" t="n">
        <v>6</v>
      </c>
      <c r="D223" s="86" t="inlineStr">
        <is>
          <t>2024-06</t>
        </is>
      </c>
      <c r="E223" s="87" t="n">
        <v>288.3</v>
      </c>
      <c r="F223" s="87" t="n">
        <v>192.2139</v>
      </c>
      <c r="G223" s="88">
        <f>DAY(EOMONTH(DATE(B223,C223,1),0))</f>
        <v/>
      </c>
      <c r="H223" s="89">
        <f>F223/G223</f>
        <v/>
      </c>
    </row>
    <row r="224">
      <c r="A224" s="86" t="inlineStr">
        <is>
          <t>강원영서</t>
        </is>
      </c>
      <c r="B224" s="86" t="n">
        <v>2024</v>
      </c>
      <c r="C224" s="86" t="n">
        <v>7</v>
      </c>
      <c r="D224" s="86" t="inlineStr">
        <is>
          <t>2024-07</t>
        </is>
      </c>
      <c r="E224" s="87" t="n">
        <v>131.5</v>
      </c>
      <c r="F224" s="87" t="n">
        <v>125.9667</v>
      </c>
      <c r="G224" s="88">
        <f>DAY(EOMONTH(DATE(B224,C224,1),0))</f>
        <v/>
      </c>
      <c r="H224" s="89">
        <f>F224/G224</f>
        <v/>
      </c>
    </row>
    <row r="225">
      <c r="A225" s="86" t="inlineStr">
        <is>
          <t>강원영서</t>
        </is>
      </c>
      <c r="B225" s="86" t="n">
        <v>2024</v>
      </c>
      <c r="C225" s="86" t="n">
        <v>8</v>
      </c>
      <c r="D225" s="86" t="inlineStr">
        <is>
          <t>2024-08</t>
        </is>
      </c>
      <c r="E225" s="87" t="n">
        <v>232.5</v>
      </c>
      <c r="F225" s="87" t="n">
        <v>164.2528</v>
      </c>
      <c r="G225" s="88">
        <f>DAY(EOMONTH(DATE(B225,C225,1),0))</f>
        <v/>
      </c>
      <c r="H225" s="89">
        <f>F225/G225</f>
        <v/>
      </c>
    </row>
    <row r="226">
      <c r="A226" s="86" t="inlineStr">
        <is>
          <t>강원영서</t>
        </is>
      </c>
      <c r="B226" s="86" t="n">
        <v>2024</v>
      </c>
      <c r="C226" s="86" t="n">
        <v>9</v>
      </c>
      <c r="D226" s="86" t="inlineStr">
        <is>
          <t>2024-09</t>
        </is>
      </c>
      <c r="E226" s="87" t="n">
        <v>168</v>
      </c>
      <c r="F226" s="87" t="n">
        <v>117.8639</v>
      </c>
      <c r="G226" s="88">
        <f>DAY(EOMONTH(DATE(B226,C226,1),0))</f>
        <v/>
      </c>
      <c r="H226" s="89">
        <f>F226/G226</f>
        <v/>
      </c>
    </row>
    <row r="227">
      <c r="A227" s="86" t="inlineStr">
        <is>
          <t>강원영서</t>
        </is>
      </c>
      <c r="B227" s="86" t="n">
        <v>2024</v>
      </c>
      <c r="C227" s="86" t="n">
        <v>10</v>
      </c>
      <c r="D227" s="86" t="inlineStr">
        <is>
          <t>2024-10</t>
        </is>
      </c>
      <c r="E227" s="87" t="n">
        <v>151.2</v>
      </c>
      <c r="F227" s="87" t="n">
        <v>92.51390000000001</v>
      </c>
      <c r="G227" s="88">
        <f>DAY(EOMONTH(DATE(B227,C227,1),0))</f>
        <v/>
      </c>
      <c r="H227" s="89">
        <f>F227/G227</f>
        <v/>
      </c>
    </row>
    <row r="228">
      <c r="A228" s="86" t="inlineStr">
        <is>
          <t>강원영서</t>
        </is>
      </c>
      <c r="B228" s="86" t="n">
        <v>2024</v>
      </c>
      <c r="C228" s="86" t="n">
        <v>11</v>
      </c>
      <c r="D228" s="86" t="inlineStr">
        <is>
          <t>2024-11</t>
        </is>
      </c>
      <c r="E228" s="87" t="n">
        <v>175</v>
      </c>
      <c r="F228" s="87" t="n">
        <v>78.7333</v>
      </c>
      <c r="G228" s="88">
        <f>DAY(EOMONTH(DATE(B228,C228,1),0))</f>
        <v/>
      </c>
      <c r="H228" s="89">
        <f>F228/G228</f>
        <v/>
      </c>
    </row>
    <row r="229">
      <c r="A229" s="86" t="inlineStr">
        <is>
          <t>강원영서</t>
        </is>
      </c>
      <c r="B229" s="86" t="n">
        <v>2024</v>
      </c>
      <c r="C229" s="86" t="n">
        <v>12</v>
      </c>
      <c r="D229" s="86" t="inlineStr">
        <is>
          <t>2024-12</t>
        </is>
      </c>
      <c r="E229" s="87" t="n">
        <v>197</v>
      </c>
      <c r="F229" s="87" t="n">
        <v>76.6056</v>
      </c>
      <c r="G229" s="88">
        <f>DAY(EOMONTH(DATE(B229,C229,1),0))</f>
        <v/>
      </c>
      <c r="H229" s="89">
        <f>F229/G229</f>
        <v/>
      </c>
    </row>
    <row r="230">
      <c r="A230" s="86" t="inlineStr">
        <is>
          <t>강원영서</t>
        </is>
      </c>
      <c r="B230" s="86" t="n">
        <v>2025</v>
      </c>
      <c r="C230" s="86" t="n">
        <v>1</v>
      </c>
      <c r="D230" s="86" t="inlineStr">
        <is>
          <t>2025-01</t>
        </is>
      </c>
      <c r="E230" s="87" t="n">
        <v>170.3</v>
      </c>
      <c r="F230" s="87" t="n">
        <v>74.25</v>
      </c>
      <c r="G230" s="88">
        <f>DAY(EOMONTH(DATE(B230,C230,1),0))</f>
        <v/>
      </c>
      <c r="H230" s="89">
        <f>F230/G230</f>
        <v/>
      </c>
    </row>
    <row r="231">
      <c r="A231" s="86" t="inlineStr">
        <is>
          <t>강원영서</t>
        </is>
      </c>
      <c r="B231" s="86" t="n">
        <v>2025</v>
      </c>
      <c r="C231" s="86" t="n">
        <v>2</v>
      </c>
      <c r="D231" s="86" t="inlineStr">
        <is>
          <t>2025-02</t>
        </is>
      </c>
      <c r="E231" s="87" t="n">
        <v>230.5</v>
      </c>
      <c r="F231" s="87" t="n">
        <v>113.4694</v>
      </c>
      <c r="G231" s="88">
        <f>DAY(EOMONTH(DATE(B231,C231,1),0))</f>
        <v/>
      </c>
      <c r="H231" s="89">
        <f>F231/G231</f>
        <v/>
      </c>
    </row>
    <row r="232">
      <c r="A232" s="86" t="inlineStr">
        <is>
          <t>강원영서</t>
        </is>
      </c>
      <c r="B232" s="86" t="n">
        <v>2025</v>
      </c>
      <c r="C232" s="86" t="n">
        <v>3</v>
      </c>
      <c r="D232" s="86" t="inlineStr">
        <is>
          <t>2025-03</t>
        </is>
      </c>
      <c r="E232" s="87" t="n">
        <v>214.3</v>
      </c>
      <c r="F232" s="87" t="n">
        <v>128.5417</v>
      </c>
      <c r="G232" s="88">
        <f>DAY(EOMONTH(DATE(B232,C232,1),0))</f>
        <v/>
      </c>
      <c r="H232" s="89">
        <f>F232/G232</f>
        <v/>
      </c>
    </row>
    <row r="233">
      <c r="A233" s="86" t="inlineStr">
        <is>
          <t>강원영서</t>
        </is>
      </c>
      <c r="B233" s="86" t="n">
        <v>2025</v>
      </c>
      <c r="C233" s="86" t="n">
        <v>4</v>
      </c>
      <c r="D233" s="86" t="inlineStr">
        <is>
          <t>2025-04</t>
        </is>
      </c>
      <c r="E233" s="87" t="n">
        <v>249.4</v>
      </c>
      <c r="F233" s="87" t="n">
        <v>166.8139</v>
      </c>
      <c r="G233" s="88">
        <f>DAY(EOMONTH(DATE(B233,C233,1),0))</f>
        <v/>
      </c>
      <c r="H233" s="89">
        <f>F233/G233</f>
        <v/>
      </c>
    </row>
    <row r="234">
      <c r="A234" s="86" t="inlineStr">
        <is>
          <t>강원영서</t>
        </is>
      </c>
      <c r="B234" s="86" t="n">
        <v>2025</v>
      </c>
      <c r="C234" s="86" t="n">
        <v>5</v>
      </c>
      <c r="D234" s="86" t="inlineStr">
        <is>
          <t>2025-05</t>
        </is>
      </c>
      <c r="E234" s="87" t="n">
        <v>217</v>
      </c>
      <c r="F234" s="87" t="n">
        <v>163.2417</v>
      </c>
      <c r="G234" s="88">
        <f>DAY(EOMONTH(DATE(B234,C234,1),0))</f>
        <v/>
      </c>
      <c r="H234" s="89">
        <f>F234/G234</f>
        <v/>
      </c>
    </row>
    <row r="235">
      <c r="A235" s="86" t="inlineStr">
        <is>
          <t>강원영서</t>
        </is>
      </c>
      <c r="B235" s="86" t="n">
        <v>2025</v>
      </c>
      <c r="C235" s="86" t="n">
        <v>6</v>
      </c>
      <c r="D235" s="86" t="inlineStr">
        <is>
          <t>2025-06</t>
        </is>
      </c>
      <c r="E235" s="87" t="n">
        <v>209</v>
      </c>
      <c r="F235" s="87" t="n">
        <v>166.0667</v>
      </c>
      <c r="G235" s="88">
        <f>DAY(EOMONTH(DATE(B235,C235,1),0))</f>
        <v/>
      </c>
      <c r="H235" s="89">
        <f>F235/G235</f>
        <v/>
      </c>
    </row>
    <row r="236">
      <c r="A236" s="86" t="inlineStr">
        <is>
          <t>강원영서</t>
        </is>
      </c>
      <c r="B236" s="86" t="n">
        <v>2025</v>
      </c>
      <c r="C236" s="86" t="n">
        <v>7</v>
      </c>
      <c r="D236" s="86" t="inlineStr">
        <is>
          <t>2025-07</t>
        </is>
      </c>
      <c r="E236" s="87" t="n">
        <v>210.8</v>
      </c>
      <c r="F236" s="87" t="n">
        <v>166.1778</v>
      </c>
      <c r="G236" s="88">
        <f>DAY(EOMONTH(DATE(B236,C236,1),0))</f>
        <v/>
      </c>
      <c r="H236" s="89">
        <f>F236/G236</f>
        <v/>
      </c>
    </row>
    <row r="237">
      <c r="A237" s="86" t="inlineStr">
        <is>
          <t>강원영서</t>
        </is>
      </c>
      <c r="B237" s="86" t="n">
        <v>2025</v>
      </c>
      <c r="C237" s="86" t="n">
        <v>8</v>
      </c>
      <c r="D237" s="86" t="inlineStr">
        <is>
          <t>2025-08</t>
        </is>
      </c>
      <c r="E237" s="87" t="n">
        <v>187.4</v>
      </c>
      <c r="F237" s="87" t="n">
        <v>149.525</v>
      </c>
      <c r="G237" s="88">
        <f>DAY(EOMONTH(DATE(B237,C237,1),0))</f>
        <v/>
      </c>
      <c r="H237" s="89">
        <f>F237/G237</f>
        <v/>
      </c>
    </row>
    <row r="238">
      <c r="A238" s="86" t="inlineStr">
        <is>
          <t>강원영서</t>
        </is>
      </c>
      <c r="B238" s="86" t="n">
        <v>2025</v>
      </c>
      <c r="C238" s="86" t="n">
        <v>9</v>
      </c>
      <c r="D238" s="86" t="inlineStr">
        <is>
          <t>2025-09</t>
        </is>
      </c>
      <c r="E238" s="87" t="n">
        <v>139.8</v>
      </c>
      <c r="F238" s="87" t="n">
        <v>108.6639</v>
      </c>
      <c r="G238" s="88">
        <f>DAY(EOMONTH(DATE(B238,C238,1),0))</f>
        <v/>
      </c>
      <c r="H238" s="89">
        <f>F238/G238</f>
        <v/>
      </c>
    </row>
    <row r="239">
      <c r="A239" s="86" t="inlineStr">
        <is>
          <t>강원영서</t>
        </is>
      </c>
      <c r="B239" s="86" t="n">
        <v>2025</v>
      </c>
      <c r="C239" s="86" t="n">
        <v>10</v>
      </c>
      <c r="D239" s="86" t="inlineStr">
        <is>
          <t>2025-10</t>
        </is>
      </c>
      <c r="E239" s="87" t="n">
        <v>109.2</v>
      </c>
      <c r="F239" s="87" t="n">
        <v>76.6694</v>
      </c>
      <c r="G239" s="88">
        <f>DAY(EOMONTH(DATE(B239,C239,1),0))</f>
        <v/>
      </c>
      <c r="H239" s="89">
        <f>F239/G239</f>
        <v/>
      </c>
    </row>
    <row r="240">
      <c r="A240" s="86" t="inlineStr">
        <is>
          <t>강원영서</t>
        </is>
      </c>
      <c r="B240" s="86" t="n">
        <v>2025</v>
      </c>
      <c r="C240" s="86" t="n">
        <v>11</v>
      </c>
      <c r="D240" s="86" t="inlineStr">
        <is>
          <t>2025-11</t>
        </is>
      </c>
      <c r="E240" s="87" t="n">
        <v>195.1</v>
      </c>
      <c r="F240" s="87" t="n">
        <v>87.58329999999999</v>
      </c>
      <c r="G240" s="88">
        <f>DAY(EOMONTH(DATE(B240,C240,1),0))</f>
        <v/>
      </c>
      <c r="H240" s="89">
        <f>F240/G240</f>
        <v/>
      </c>
    </row>
    <row r="241">
      <c r="A241" s="86" t="inlineStr">
        <is>
          <t>강원영서</t>
        </is>
      </c>
      <c r="B241" s="86" t="n">
        <v>2025</v>
      </c>
      <c r="C241" s="86" t="n">
        <v>12</v>
      </c>
      <c r="D241" s="86" t="inlineStr">
        <is>
          <t>2025-12</t>
        </is>
      </c>
      <c r="E241" s="87" t="n">
        <v>151.3</v>
      </c>
      <c r="F241" s="87" t="n">
        <v>65.7111</v>
      </c>
      <c r="G241" s="88">
        <f>DAY(EOMONTH(DATE(B241,C241,1),0))</f>
        <v/>
      </c>
      <c r="H241" s="89">
        <f>F241/G241</f>
        <v/>
      </c>
    </row>
    <row r="242">
      <c r="A242" s="86" t="inlineStr">
        <is>
          <t>경남</t>
        </is>
      </c>
      <c r="B242" s="86" t="n">
        <v>2016</v>
      </c>
      <c r="C242" s="86" t="n">
        <v>1</v>
      </c>
      <c r="D242" s="86" t="inlineStr">
        <is>
          <t>2016-01</t>
        </is>
      </c>
      <c r="E242" s="87" t="n">
        <v>194.1</v>
      </c>
      <c r="F242" s="87" t="n">
        <v>69.1083</v>
      </c>
      <c r="G242" s="88">
        <f>DAY(EOMONTH(DATE(B242,C242,1),0))</f>
        <v/>
      </c>
      <c r="H242" s="89">
        <f>F242/G242</f>
        <v/>
      </c>
    </row>
    <row r="243">
      <c r="A243" s="86" t="inlineStr">
        <is>
          <t>경남</t>
        </is>
      </c>
      <c r="B243" s="86" t="n">
        <v>2016</v>
      </c>
      <c r="C243" s="86" t="n">
        <v>2</v>
      </c>
      <c r="D243" s="86" t="inlineStr">
        <is>
          <t>2016-02</t>
        </is>
      </c>
      <c r="E243" s="87" t="n">
        <v>216.7</v>
      </c>
      <c r="F243" s="87" t="n">
        <v>88.5611</v>
      </c>
      <c r="G243" s="88">
        <f>DAY(EOMONTH(DATE(B243,C243,1),0))</f>
        <v/>
      </c>
      <c r="H243" s="89">
        <f>F243/G243</f>
        <v/>
      </c>
    </row>
    <row r="244">
      <c r="A244" s="86" t="inlineStr">
        <is>
          <t>경남</t>
        </is>
      </c>
      <c r="B244" s="86" t="n">
        <v>2016</v>
      </c>
      <c r="C244" s="86" t="n">
        <v>3</v>
      </c>
      <c r="D244" s="86" t="inlineStr">
        <is>
          <t>2016-03</t>
        </is>
      </c>
      <c r="E244" s="87" t="n">
        <v>208.8</v>
      </c>
      <c r="F244" s="87" t="n">
        <v>105.8417</v>
      </c>
      <c r="G244" s="88">
        <f>DAY(EOMONTH(DATE(B244,C244,1),0))</f>
        <v/>
      </c>
      <c r="H244" s="89">
        <f>F244/G244</f>
        <v/>
      </c>
    </row>
    <row r="245">
      <c r="A245" s="86" t="inlineStr">
        <is>
          <t>경남</t>
        </is>
      </c>
      <c r="B245" s="86" t="n">
        <v>2016</v>
      </c>
      <c r="C245" s="86" t="n">
        <v>4</v>
      </c>
      <c r="D245" s="86" t="inlineStr">
        <is>
          <t>2016-04</t>
        </is>
      </c>
      <c r="E245" s="87" t="n">
        <v>200</v>
      </c>
      <c r="F245" s="87" t="n">
        <v>115.3806</v>
      </c>
      <c r="G245" s="88">
        <f>DAY(EOMONTH(DATE(B245,C245,1),0))</f>
        <v/>
      </c>
      <c r="H245" s="89">
        <f>F245/G245</f>
        <v/>
      </c>
    </row>
    <row r="246">
      <c r="A246" s="86" t="inlineStr">
        <is>
          <t>경남</t>
        </is>
      </c>
      <c r="B246" s="86" t="n">
        <v>2016</v>
      </c>
      <c r="C246" s="86" t="n">
        <v>5</v>
      </c>
      <c r="D246" s="86" t="inlineStr">
        <is>
          <t>2016-05</t>
        </is>
      </c>
      <c r="E246" s="87" t="n">
        <v>254.5</v>
      </c>
      <c r="F246" s="87" t="n">
        <v>145.4806</v>
      </c>
      <c r="G246" s="88">
        <f>DAY(EOMONTH(DATE(B246,C246,1),0))</f>
        <v/>
      </c>
      <c r="H246" s="89">
        <f>F246/G246</f>
        <v/>
      </c>
    </row>
    <row r="247">
      <c r="A247" s="86" t="inlineStr">
        <is>
          <t>경남</t>
        </is>
      </c>
      <c r="B247" s="86" t="n">
        <v>2016</v>
      </c>
      <c r="C247" s="86" t="n">
        <v>6</v>
      </c>
      <c r="D247" s="86" t="inlineStr">
        <is>
          <t>2016-06</t>
        </is>
      </c>
      <c r="E247" s="87" t="n">
        <v>164</v>
      </c>
      <c r="F247" s="87" t="n">
        <v>112.6278</v>
      </c>
      <c r="G247" s="88">
        <f>DAY(EOMONTH(DATE(B247,C247,1),0))</f>
        <v/>
      </c>
      <c r="H247" s="89">
        <f>F247/G247</f>
        <v/>
      </c>
    </row>
    <row r="248">
      <c r="A248" s="86" t="inlineStr">
        <is>
          <t>경남</t>
        </is>
      </c>
      <c r="B248" s="86" t="n">
        <v>2016</v>
      </c>
      <c r="C248" s="86" t="n">
        <v>7</v>
      </c>
      <c r="D248" s="86" t="inlineStr">
        <is>
          <t>2016-07</t>
        </is>
      </c>
      <c r="E248" s="87" t="n">
        <v>207.8</v>
      </c>
      <c r="F248" s="87" t="n">
        <v>126.2389</v>
      </c>
      <c r="G248" s="88">
        <f>DAY(EOMONTH(DATE(B248,C248,1),0))</f>
        <v/>
      </c>
      <c r="H248" s="89">
        <f>F248/G248</f>
        <v/>
      </c>
    </row>
    <row r="249">
      <c r="A249" s="86" t="inlineStr">
        <is>
          <t>경남</t>
        </is>
      </c>
      <c r="B249" s="86" t="n">
        <v>2016</v>
      </c>
      <c r="C249" s="86" t="n">
        <v>8</v>
      </c>
      <c r="D249" s="86" t="inlineStr">
        <is>
          <t>2016-08</t>
        </is>
      </c>
      <c r="E249" s="87" t="n">
        <v>274.6</v>
      </c>
      <c r="F249" s="87" t="n">
        <v>141.2028</v>
      </c>
      <c r="G249" s="88">
        <f>DAY(EOMONTH(DATE(B249,C249,1),0))</f>
        <v/>
      </c>
      <c r="H249" s="89">
        <f>F249/G249</f>
        <v/>
      </c>
    </row>
    <row r="250">
      <c r="A250" s="86" t="inlineStr">
        <is>
          <t>경남</t>
        </is>
      </c>
      <c r="B250" s="86" t="n">
        <v>2016</v>
      </c>
      <c r="C250" s="86" t="n">
        <v>9</v>
      </c>
      <c r="D250" s="86" t="inlineStr">
        <is>
          <t>2016-09</t>
        </is>
      </c>
      <c r="E250" s="87" t="n">
        <v>114.1</v>
      </c>
      <c r="F250" s="87" t="n">
        <v>76.58329999999999</v>
      </c>
      <c r="G250" s="88">
        <f>DAY(EOMONTH(DATE(B250,C250,1),0))</f>
        <v/>
      </c>
      <c r="H250" s="89">
        <f>F250/G250</f>
        <v/>
      </c>
    </row>
    <row r="251">
      <c r="A251" s="86" t="inlineStr">
        <is>
          <t>경남</t>
        </is>
      </c>
      <c r="B251" s="86" t="n">
        <v>2016</v>
      </c>
      <c r="C251" s="86" t="n">
        <v>10</v>
      </c>
      <c r="D251" s="86" t="inlineStr">
        <is>
          <t>2016-10</t>
        </is>
      </c>
      <c r="E251" s="87" t="n">
        <v>134.5</v>
      </c>
      <c r="F251" s="87" t="n">
        <v>71.9111</v>
      </c>
      <c r="G251" s="88">
        <f>DAY(EOMONTH(DATE(B251,C251,1),0))</f>
        <v/>
      </c>
      <c r="H251" s="89">
        <f>F251/G251</f>
        <v/>
      </c>
    </row>
    <row r="252">
      <c r="A252" s="86" t="inlineStr">
        <is>
          <t>경남</t>
        </is>
      </c>
      <c r="B252" s="86" t="n">
        <v>2016</v>
      </c>
      <c r="C252" s="86" t="n">
        <v>11</v>
      </c>
      <c r="D252" s="86" t="inlineStr">
        <is>
          <t>2016-11</t>
        </is>
      </c>
      <c r="E252" s="87" t="n">
        <v>173.9</v>
      </c>
      <c r="F252" s="87" t="n">
        <v>64.90000000000001</v>
      </c>
      <c r="G252" s="88">
        <f>DAY(EOMONTH(DATE(B252,C252,1),0))</f>
        <v/>
      </c>
      <c r="H252" s="89">
        <f>F252/G252</f>
        <v/>
      </c>
    </row>
    <row r="253">
      <c r="A253" s="86" t="inlineStr">
        <is>
          <t>경남</t>
        </is>
      </c>
      <c r="B253" s="86" t="n">
        <v>2016</v>
      </c>
      <c r="C253" s="86" t="n">
        <v>12</v>
      </c>
      <c r="D253" s="86" t="inlineStr">
        <is>
          <t>2016-12</t>
        </is>
      </c>
      <c r="E253" s="87" t="n">
        <v>192.6</v>
      </c>
      <c r="F253" s="87" t="n">
        <v>63.3139</v>
      </c>
      <c r="G253" s="88">
        <f>DAY(EOMONTH(DATE(B253,C253,1),0))</f>
        <v/>
      </c>
      <c r="H253" s="89">
        <f>F253/G253</f>
        <v/>
      </c>
    </row>
    <row r="254">
      <c r="A254" s="86" t="inlineStr">
        <is>
          <t>경남</t>
        </is>
      </c>
      <c r="B254" s="86" t="n">
        <v>2017</v>
      </c>
      <c r="C254" s="86" t="n">
        <v>1</v>
      </c>
      <c r="D254" s="86" t="inlineStr">
        <is>
          <t>2017-01</t>
        </is>
      </c>
      <c r="E254" s="87" t="n">
        <v>225.2</v>
      </c>
      <c r="F254" s="87" t="n">
        <v>75.95829999999999</v>
      </c>
      <c r="G254" s="88">
        <f>DAY(EOMONTH(DATE(B254,C254,1),0))</f>
        <v/>
      </c>
      <c r="H254" s="89">
        <f>F254/G254</f>
        <v/>
      </c>
    </row>
    <row r="255">
      <c r="A255" s="86" t="inlineStr">
        <is>
          <t>경남</t>
        </is>
      </c>
      <c r="B255" s="86" t="n">
        <v>2017</v>
      </c>
      <c r="C255" s="86" t="n">
        <v>2</v>
      </c>
      <c r="D255" s="86" t="inlineStr">
        <is>
          <t>2017-02</t>
        </is>
      </c>
      <c r="E255" s="87" t="n">
        <v>224</v>
      </c>
      <c r="F255" s="87" t="n">
        <v>91.875</v>
      </c>
      <c r="G255" s="88">
        <f>DAY(EOMONTH(DATE(B255,C255,1),0))</f>
        <v/>
      </c>
      <c r="H255" s="89">
        <f>F255/G255</f>
        <v/>
      </c>
    </row>
    <row r="256">
      <c r="A256" s="86" t="inlineStr">
        <is>
          <t>경남</t>
        </is>
      </c>
      <c r="B256" s="86" t="n">
        <v>2017</v>
      </c>
      <c r="C256" s="86" t="n">
        <v>3</v>
      </c>
      <c r="D256" s="86" t="inlineStr">
        <is>
          <t>2017-03</t>
        </is>
      </c>
      <c r="E256" s="87" t="n">
        <v>215.8</v>
      </c>
      <c r="F256" s="87" t="n">
        <v>113.2472</v>
      </c>
      <c r="G256" s="88">
        <f>DAY(EOMONTH(DATE(B256,C256,1),0))</f>
        <v/>
      </c>
      <c r="H256" s="89">
        <f>F256/G256</f>
        <v/>
      </c>
    </row>
    <row r="257">
      <c r="A257" s="86" t="inlineStr">
        <is>
          <t>경남</t>
        </is>
      </c>
      <c r="B257" s="86" t="n">
        <v>2017</v>
      </c>
      <c r="C257" s="86" t="n">
        <v>4</v>
      </c>
      <c r="D257" s="86" t="inlineStr">
        <is>
          <t>2017-04</t>
        </is>
      </c>
      <c r="E257" s="87" t="n">
        <v>228.5</v>
      </c>
      <c r="F257" s="87" t="n">
        <v>130.1778</v>
      </c>
      <c r="G257" s="88">
        <f>DAY(EOMONTH(DATE(B257,C257,1),0))</f>
        <v/>
      </c>
      <c r="H257" s="89">
        <f>F257/G257</f>
        <v/>
      </c>
    </row>
    <row r="258">
      <c r="A258" s="86" t="inlineStr">
        <is>
          <t>경남</t>
        </is>
      </c>
      <c r="B258" s="86" t="n">
        <v>2017</v>
      </c>
      <c r="C258" s="86" t="n">
        <v>5</v>
      </c>
      <c r="D258" s="86" t="inlineStr">
        <is>
          <t>2017-05</t>
        </is>
      </c>
      <c r="E258" s="87" t="n">
        <v>283.8</v>
      </c>
      <c r="F258" s="87" t="n">
        <v>156.325</v>
      </c>
      <c r="G258" s="88">
        <f>DAY(EOMONTH(DATE(B258,C258,1),0))</f>
        <v/>
      </c>
      <c r="H258" s="89">
        <f>F258/G258</f>
        <v/>
      </c>
    </row>
    <row r="259">
      <c r="A259" s="86" t="inlineStr">
        <is>
          <t>경남</t>
        </is>
      </c>
      <c r="B259" s="86" t="n">
        <v>2017</v>
      </c>
      <c r="C259" s="86" t="n">
        <v>6</v>
      </c>
      <c r="D259" s="86" t="inlineStr">
        <is>
          <t>2017-06</t>
        </is>
      </c>
      <c r="E259" s="87" t="n">
        <v>251.1</v>
      </c>
      <c r="F259" s="87" t="n">
        <v>149.0306</v>
      </c>
      <c r="G259" s="88">
        <f>DAY(EOMONTH(DATE(B259,C259,1),0))</f>
        <v/>
      </c>
      <c r="H259" s="89">
        <f>F259/G259</f>
        <v/>
      </c>
    </row>
    <row r="260">
      <c r="A260" s="86" t="inlineStr">
        <is>
          <t>경남</t>
        </is>
      </c>
      <c r="B260" s="86" t="n">
        <v>2017</v>
      </c>
      <c r="C260" s="86" t="n">
        <v>7</v>
      </c>
      <c r="D260" s="86" t="inlineStr">
        <is>
          <t>2017-07</t>
        </is>
      </c>
      <c r="E260" s="87" t="n">
        <v>168.3</v>
      </c>
      <c r="F260" s="87" t="n">
        <v>132.9083</v>
      </c>
      <c r="G260" s="88">
        <f>DAY(EOMONTH(DATE(B260,C260,1),0))</f>
        <v/>
      </c>
      <c r="H260" s="89">
        <f>F260/G260</f>
        <v/>
      </c>
    </row>
    <row r="261">
      <c r="A261" s="86" t="inlineStr">
        <is>
          <t>경남</t>
        </is>
      </c>
      <c r="B261" s="86" t="n">
        <v>2017</v>
      </c>
      <c r="C261" s="86" t="n">
        <v>8</v>
      </c>
      <c r="D261" s="86" t="inlineStr">
        <is>
          <t>2017-08</t>
        </is>
      </c>
      <c r="E261" s="87" t="n">
        <v>218.8</v>
      </c>
      <c r="F261" s="87" t="n">
        <v>131.0833</v>
      </c>
      <c r="G261" s="88">
        <f>DAY(EOMONTH(DATE(B261,C261,1),0))</f>
        <v/>
      </c>
      <c r="H261" s="89">
        <f>F261/G261</f>
        <v/>
      </c>
    </row>
    <row r="262">
      <c r="A262" s="86" t="inlineStr">
        <is>
          <t>경남</t>
        </is>
      </c>
      <c r="B262" s="86" t="n">
        <v>2017</v>
      </c>
      <c r="C262" s="86" t="n">
        <v>9</v>
      </c>
      <c r="D262" s="86" t="inlineStr">
        <is>
          <t>2017-09</t>
        </is>
      </c>
      <c r="E262" s="87" t="n">
        <v>203</v>
      </c>
      <c r="F262" s="87" t="n">
        <v>111.9694</v>
      </c>
      <c r="G262" s="88">
        <f>DAY(EOMONTH(DATE(B262,C262,1),0))</f>
        <v/>
      </c>
      <c r="H262" s="89">
        <f>F262/G262</f>
        <v/>
      </c>
    </row>
    <row r="263">
      <c r="A263" s="86" t="inlineStr">
        <is>
          <t>경남</t>
        </is>
      </c>
      <c r="B263" s="86" t="n">
        <v>2017</v>
      </c>
      <c r="C263" s="86" t="n">
        <v>10</v>
      </c>
      <c r="D263" s="86" t="inlineStr">
        <is>
          <t>2017-10</t>
        </is>
      </c>
      <c r="E263" s="87" t="n">
        <v>166.8</v>
      </c>
      <c r="F263" s="87" t="n">
        <v>83.0333</v>
      </c>
      <c r="G263" s="88">
        <f>DAY(EOMONTH(DATE(B263,C263,1),0))</f>
        <v/>
      </c>
      <c r="H263" s="89">
        <f>F263/G263</f>
        <v/>
      </c>
    </row>
    <row r="264">
      <c r="A264" s="86" t="inlineStr">
        <is>
          <t>경남</t>
        </is>
      </c>
      <c r="B264" s="86" t="n">
        <v>2017</v>
      </c>
      <c r="C264" s="86" t="n">
        <v>11</v>
      </c>
      <c r="D264" s="86" t="inlineStr">
        <is>
          <t>2017-11</t>
        </is>
      </c>
      <c r="E264" s="87" t="n">
        <v>228.7</v>
      </c>
      <c r="F264" s="87" t="n">
        <v>77.5361</v>
      </c>
      <c r="G264" s="88">
        <f>DAY(EOMONTH(DATE(B264,C264,1),0))</f>
        <v/>
      </c>
      <c r="H264" s="89">
        <f>F264/G264</f>
        <v/>
      </c>
    </row>
    <row r="265">
      <c r="A265" s="86" t="inlineStr">
        <is>
          <t>경남</t>
        </is>
      </c>
      <c r="B265" s="86" t="n">
        <v>2017</v>
      </c>
      <c r="C265" s="86" t="n">
        <v>12</v>
      </c>
      <c r="D265" s="86" t="inlineStr">
        <is>
          <t>2017-12</t>
        </is>
      </c>
      <c r="E265" s="87" t="n">
        <v>234.2</v>
      </c>
      <c r="F265" s="87" t="n">
        <v>74.2056</v>
      </c>
      <c r="G265" s="88">
        <f>DAY(EOMONTH(DATE(B265,C265,1),0))</f>
        <v/>
      </c>
      <c r="H265" s="89">
        <f>F265/G265</f>
        <v/>
      </c>
    </row>
    <row r="266">
      <c r="A266" s="86" t="inlineStr">
        <is>
          <t>경남</t>
        </is>
      </c>
      <c r="B266" s="86" t="n">
        <v>2018</v>
      </c>
      <c r="C266" s="86" t="n">
        <v>1</v>
      </c>
      <c r="D266" s="86" t="inlineStr">
        <is>
          <t>2018-01</t>
        </is>
      </c>
      <c r="E266" s="87" t="n">
        <v>209.6</v>
      </c>
      <c r="F266" s="87" t="n">
        <v>70.0667</v>
      </c>
      <c r="G266" s="88">
        <f>DAY(EOMONTH(DATE(B266,C266,1),0))</f>
        <v/>
      </c>
      <c r="H266" s="89">
        <f>F266/G266</f>
        <v/>
      </c>
    </row>
    <row r="267">
      <c r="A267" s="86" t="inlineStr">
        <is>
          <t>경남</t>
        </is>
      </c>
      <c r="B267" s="86" t="n">
        <v>2018</v>
      </c>
      <c r="C267" s="86" t="n">
        <v>2</v>
      </c>
      <c r="D267" s="86" t="inlineStr">
        <is>
          <t>2018-02</t>
        </is>
      </c>
      <c r="E267" s="87" t="n">
        <v>211.7</v>
      </c>
      <c r="F267" s="87" t="n">
        <v>80.0583</v>
      </c>
      <c r="G267" s="88">
        <f>DAY(EOMONTH(DATE(B267,C267,1),0))</f>
        <v/>
      </c>
      <c r="H267" s="89">
        <f>F267/G267</f>
        <v/>
      </c>
    </row>
    <row r="268">
      <c r="A268" s="86" t="inlineStr">
        <is>
          <t>경남</t>
        </is>
      </c>
      <c r="B268" s="86" t="n">
        <v>2018</v>
      </c>
      <c r="C268" s="86" t="n">
        <v>3</v>
      </c>
      <c r="D268" s="86" t="inlineStr">
        <is>
          <t>2018-03</t>
        </is>
      </c>
      <c r="E268" s="87" t="n">
        <v>212</v>
      </c>
      <c r="F268" s="87" t="n">
        <v>84.7028</v>
      </c>
      <c r="G268" s="88">
        <f>DAY(EOMONTH(DATE(B268,C268,1),0))</f>
        <v/>
      </c>
      <c r="H268" s="89">
        <f>F268/G268</f>
        <v/>
      </c>
    </row>
    <row r="269">
      <c r="A269" s="86" t="inlineStr">
        <is>
          <t>경남</t>
        </is>
      </c>
      <c r="B269" s="86" t="n">
        <v>2018</v>
      </c>
      <c r="C269" s="86" t="n">
        <v>4</v>
      </c>
      <c r="D269" s="86" t="inlineStr">
        <is>
          <t>2018-04</t>
        </is>
      </c>
      <c r="E269" s="87" t="n">
        <v>232.2</v>
      </c>
      <c r="F269" s="87" t="n">
        <v>129.7667</v>
      </c>
      <c r="G269" s="88">
        <f>DAY(EOMONTH(DATE(B269,C269,1),0))</f>
        <v/>
      </c>
      <c r="H269" s="89">
        <f>F269/G269</f>
        <v/>
      </c>
    </row>
    <row r="270">
      <c r="A270" s="86" t="inlineStr">
        <is>
          <t>경남</t>
        </is>
      </c>
      <c r="B270" s="86" t="n">
        <v>2018</v>
      </c>
      <c r="C270" s="86" t="n">
        <v>5</v>
      </c>
      <c r="D270" s="86" t="inlineStr">
        <is>
          <t>2018-05</t>
        </is>
      </c>
      <c r="E270" s="87" t="n">
        <v>201.1</v>
      </c>
      <c r="F270" s="87" t="n">
        <v>113.95</v>
      </c>
      <c r="G270" s="88">
        <f>DAY(EOMONTH(DATE(B270,C270,1),0))</f>
        <v/>
      </c>
      <c r="H270" s="89">
        <f>F270/G270</f>
        <v/>
      </c>
    </row>
    <row r="271">
      <c r="A271" s="86" t="inlineStr">
        <is>
          <t>경남</t>
        </is>
      </c>
      <c r="B271" s="86" t="n">
        <v>2018</v>
      </c>
      <c r="C271" s="86" t="n">
        <v>6</v>
      </c>
      <c r="D271" s="86" t="inlineStr">
        <is>
          <t>2018-06</t>
        </is>
      </c>
      <c r="E271" s="87" t="n">
        <v>198.7</v>
      </c>
      <c r="F271" s="87" t="n">
        <v>155.7972</v>
      </c>
      <c r="G271" s="88">
        <f>DAY(EOMONTH(DATE(B271,C271,1),0))</f>
        <v/>
      </c>
      <c r="H271" s="89">
        <f>F271/G271</f>
        <v/>
      </c>
    </row>
    <row r="272">
      <c r="A272" s="86" t="inlineStr">
        <is>
          <t>경남</t>
        </is>
      </c>
      <c r="B272" s="86" t="n">
        <v>2018</v>
      </c>
      <c r="C272" s="86" t="n">
        <v>7</v>
      </c>
      <c r="D272" s="86" t="inlineStr">
        <is>
          <t>2018-07</t>
        </is>
      </c>
      <c r="E272" s="87" t="n">
        <v>244.9</v>
      </c>
      <c r="F272" s="87" t="n">
        <v>100.5139</v>
      </c>
      <c r="G272" s="88">
        <f>DAY(EOMONTH(DATE(B272,C272,1),0))</f>
        <v/>
      </c>
      <c r="H272" s="89">
        <f>F272/G272</f>
        <v/>
      </c>
    </row>
    <row r="273">
      <c r="A273" s="86" t="inlineStr">
        <is>
          <t>경남</t>
        </is>
      </c>
      <c r="B273" s="86" t="n">
        <v>2018</v>
      </c>
      <c r="C273" s="86" t="n">
        <v>8</v>
      </c>
      <c r="D273" s="86" t="inlineStr">
        <is>
          <t>2018-08</t>
        </is>
      </c>
      <c r="E273" s="87" t="n">
        <v>227.4</v>
      </c>
      <c r="F273" s="87" t="n">
        <v>147.3</v>
      </c>
      <c r="G273" s="88">
        <f>DAY(EOMONTH(DATE(B273,C273,1),0))</f>
        <v/>
      </c>
      <c r="H273" s="89">
        <f>F273/G273</f>
        <v/>
      </c>
    </row>
    <row r="274">
      <c r="A274" s="86" t="inlineStr">
        <is>
          <t>경남</t>
        </is>
      </c>
      <c r="B274" s="86" t="n">
        <v>2018</v>
      </c>
      <c r="C274" s="86" t="n">
        <v>9</v>
      </c>
      <c r="D274" s="86" t="inlineStr">
        <is>
          <t>2018-09</t>
        </is>
      </c>
      <c r="E274" s="87" t="n">
        <v>130.3</v>
      </c>
      <c r="F274" s="87" t="n">
        <v>80.4806</v>
      </c>
      <c r="G274" s="88">
        <f>DAY(EOMONTH(DATE(B274,C274,1),0))</f>
        <v/>
      </c>
      <c r="H274" s="89">
        <f>F274/G274</f>
        <v/>
      </c>
    </row>
    <row r="275">
      <c r="A275" s="86" t="inlineStr">
        <is>
          <t>경남</t>
        </is>
      </c>
      <c r="B275" s="86" t="n">
        <v>2018</v>
      </c>
      <c r="C275" s="86" t="n">
        <v>10</v>
      </c>
      <c r="D275" s="86" t="inlineStr">
        <is>
          <t>2018-10</t>
        </is>
      </c>
      <c r="E275" s="87" t="n">
        <v>231.7</v>
      </c>
      <c r="F275" s="87" t="n">
        <v>119.0833</v>
      </c>
      <c r="G275" s="88">
        <f>DAY(EOMONTH(DATE(B275,C275,1),0))</f>
        <v/>
      </c>
      <c r="H275" s="89">
        <f>F275/G275</f>
        <v/>
      </c>
    </row>
    <row r="276">
      <c r="A276" s="86" t="inlineStr">
        <is>
          <t>경남</t>
        </is>
      </c>
      <c r="B276" s="86" t="n">
        <v>2018</v>
      </c>
      <c r="C276" s="86" t="n">
        <v>11</v>
      </c>
      <c r="D276" s="86" t="inlineStr">
        <is>
          <t>2018-11</t>
        </is>
      </c>
      <c r="E276" s="87" t="n">
        <v>193.9</v>
      </c>
      <c r="F276" s="87" t="n">
        <v>87.1778</v>
      </c>
      <c r="G276" s="88">
        <f>DAY(EOMONTH(DATE(B276,C276,1),0))</f>
        <v/>
      </c>
      <c r="H276" s="89">
        <f>F276/G276</f>
        <v/>
      </c>
    </row>
    <row r="277">
      <c r="A277" s="86" t="inlineStr">
        <is>
          <t>경남</t>
        </is>
      </c>
      <c r="B277" s="86" t="n">
        <v>2018</v>
      </c>
      <c r="C277" s="86" t="n">
        <v>12</v>
      </c>
      <c r="D277" s="86" t="inlineStr">
        <is>
          <t>2018-12</t>
        </is>
      </c>
      <c r="E277" s="87" t="n">
        <v>181.1</v>
      </c>
      <c r="F277" s="87" t="n">
        <v>79.7389</v>
      </c>
      <c r="G277" s="88">
        <f>DAY(EOMONTH(DATE(B277,C277,1),0))</f>
        <v/>
      </c>
      <c r="H277" s="89">
        <f>F277/G277</f>
        <v/>
      </c>
    </row>
    <row r="278">
      <c r="A278" s="86" t="inlineStr">
        <is>
          <t>경남</t>
        </is>
      </c>
      <c r="B278" s="86" t="n">
        <v>2019</v>
      </c>
      <c r="C278" s="86" t="n">
        <v>1</v>
      </c>
      <c r="D278" s="86" t="inlineStr">
        <is>
          <t>2019-01</t>
        </is>
      </c>
      <c r="E278" s="87" t="n">
        <v>223</v>
      </c>
      <c r="F278" s="87" t="n">
        <v>97.53060000000001</v>
      </c>
      <c r="G278" s="88">
        <f>DAY(EOMONTH(DATE(B278,C278,1),0))</f>
        <v/>
      </c>
      <c r="H278" s="89">
        <f>F278/G278</f>
        <v/>
      </c>
    </row>
    <row r="279">
      <c r="A279" s="86" t="inlineStr">
        <is>
          <t>경남</t>
        </is>
      </c>
      <c r="B279" s="86" t="n">
        <v>2019</v>
      </c>
      <c r="C279" s="86" t="n">
        <v>2</v>
      </c>
      <c r="D279" s="86" t="inlineStr">
        <is>
          <t>2019-02</t>
        </is>
      </c>
      <c r="E279" s="87" t="n">
        <v>192.8</v>
      </c>
      <c r="F279" s="87" t="n">
        <v>104.0167</v>
      </c>
      <c r="G279" s="88">
        <f>DAY(EOMONTH(DATE(B279,C279,1),0))</f>
        <v/>
      </c>
      <c r="H279" s="89">
        <f>F279/G279</f>
        <v/>
      </c>
    </row>
    <row r="280">
      <c r="A280" s="86" t="inlineStr">
        <is>
          <t>경남</t>
        </is>
      </c>
      <c r="B280" s="86" t="n">
        <v>2019</v>
      </c>
      <c r="C280" s="86" t="n">
        <v>3</v>
      </c>
      <c r="D280" s="86" t="inlineStr">
        <is>
          <t>2019-03</t>
        </is>
      </c>
      <c r="E280" s="87" t="n">
        <v>244.4</v>
      </c>
      <c r="F280" s="87" t="n">
        <v>149.7889</v>
      </c>
      <c r="G280" s="88">
        <f>DAY(EOMONTH(DATE(B280,C280,1),0))</f>
        <v/>
      </c>
      <c r="H280" s="89">
        <f>F280/G280</f>
        <v/>
      </c>
    </row>
    <row r="281">
      <c r="A281" s="86" t="inlineStr">
        <is>
          <t>경남</t>
        </is>
      </c>
      <c r="B281" s="86" t="n">
        <v>2019</v>
      </c>
      <c r="C281" s="86" t="n">
        <v>4</v>
      </c>
      <c r="D281" s="86" t="inlineStr">
        <is>
          <t>2019-04</t>
        </is>
      </c>
      <c r="E281" s="87" t="n">
        <v>201.7</v>
      </c>
      <c r="F281" s="87" t="n">
        <v>144.5944</v>
      </c>
      <c r="G281" s="88">
        <f>DAY(EOMONTH(DATE(B281,C281,1),0))</f>
        <v/>
      </c>
      <c r="H281" s="89">
        <f>F281/G281</f>
        <v/>
      </c>
    </row>
    <row r="282">
      <c r="A282" s="86" t="inlineStr">
        <is>
          <t>경남</t>
        </is>
      </c>
      <c r="B282" s="86" t="n">
        <v>2019</v>
      </c>
      <c r="C282" s="86" t="n">
        <v>5</v>
      </c>
      <c r="D282" s="86" t="inlineStr">
        <is>
          <t>2019-05</t>
        </is>
      </c>
      <c r="E282" s="87" t="n">
        <v>292</v>
      </c>
      <c r="F282" s="87" t="n">
        <v>203.3278</v>
      </c>
      <c r="G282" s="88">
        <f>DAY(EOMONTH(DATE(B282,C282,1),0))</f>
        <v/>
      </c>
      <c r="H282" s="89">
        <f>F282/G282</f>
        <v/>
      </c>
    </row>
    <row r="283">
      <c r="A283" s="86" t="inlineStr">
        <is>
          <t>경남</t>
        </is>
      </c>
      <c r="B283" s="86" t="n">
        <v>2019</v>
      </c>
      <c r="C283" s="86" t="n">
        <v>6</v>
      </c>
      <c r="D283" s="86" t="inlineStr">
        <is>
          <t>2019-06</t>
        </is>
      </c>
      <c r="E283" s="87" t="n">
        <v>233.6</v>
      </c>
      <c r="F283" s="87" t="n">
        <v>173.4417</v>
      </c>
      <c r="G283" s="88">
        <f>DAY(EOMONTH(DATE(B283,C283,1),0))</f>
        <v/>
      </c>
      <c r="H283" s="89">
        <f>F283/G283</f>
        <v/>
      </c>
    </row>
    <row r="284">
      <c r="A284" s="86" t="inlineStr">
        <is>
          <t>경남</t>
        </is>
      </c>
      <c r="B284" s="86" t="n">
        <v>2019</v>
      </c>
      <c r="C284" s="86" t="n">
        <v>7</v>
      </c>
      <c r="D284" s="86" t="inlineStr">
        <is>
          <t>2019-07</t>
        </is>
      </c>
      <c r="E284" s="87" t="n">
        <v>182.6</v>
      </c>
      <c r="F284" s="87" t="n">
        <v>148.2889</v>
      </c>
      <c r="G284" s="88">
        <f>DAY(EOMONTH(DATE(B284,C284,1),0))</f>
        <v/>
      </c>
      <c r="H284" s="89">
        <f>F284/G284</f>
        <v/>
      </c>
    </row>
    <row r="285">
      <c r="A285" s="86" t="inlineStr">
        <is>
          <t>경남</t>
        </is>
      </c>
      <c r="B285" s="86" t="n">
        <v>2019</v>
      </c>
      <c r="C285" s="86" t="n">
        <v>8</v>
      </c>
      <c r="D285" s="86" t="inlineStr">
        <is>
          <t>2019-08</t>
        </is>
      </c>
      <c r="E285" s="87" t="n">
        <v>227.6</v>
      </c>
      <c r="F285" s="87" t="n">
        <v>158.6944</v>
      </c>
      <c r="G285" s="88">
        <f>DAY(EOMONTH(DATE(B285,C285,1),0))</f>
        <v/>
      </c>
      <c r="H285" s="89">
        <f>F285/G285</f>
        <v/>
      </c>
    </row>
    <row r="286">
      <c r="A286" s="86" t="inlineStr">
        <is>
          <t>경남</t>
        </is>
      </c>
      <c r="B286" s="86" t="n">
        <v>2019</v>
      </c>
      <c r="C286" s="86" t="n">
        <v>9</v>
      </c>
      <c r="D286" s="86" t="inlineStr">
        <is>
          <t>2019-09</t>
        </is>
      </c>
      <c r="E286" s="87" t="n">
        <v>142.4</v>
      </c>
      <c r="F286" s="87" t="n">
        <v>110.4972</v>
      </c>
      <c r="G286" s="88">
        <f>DAY(EOMONTH(DATE(B286,C286,1),0))</f>
        <v/>
      </c>
      <c r="H286" s="89">
        <f>F286/G286</f>
        <v/>
      </c>
    </row>
    <row r="287">
      <c r="A287" s="86" t="inlineStr">
        <is>
          <t>경남</t>
        </is>
      </c>
      <c r="B287" s="86" t="n">
        <v>2019</v>
      </c>
      <c r="C287" s="86" t="n">
        <v>10</v>
      </c>
      <c r="D287" s="86" t="inlineStr">
        <is>
          <t>2019-10</t>
        </is>
      </c>
      <c r="E287" s="87" t="n">
        <v>214.3</v>
      </c>
      <c r="F287" s="87" t="n">
        <v>116.6444</v>
      </c>
      <c r="G287" s="88">
        <f>DAY(EOMONTH(DATE(B287,C287,1),0))</f>
        <v/>
      </c>
      <c r="H287" s="89">
        <f>F287/G287</f>
        <v/>
      </c>
    </row>
    <row r="288">
      <c r="A288" s="86" t="inlineStr">
        <is>
          <t>경남</t>
        </is>
      </c>
      <c r="B288" s="86" t="n">
        <v>2019</v>
      </c>
      <c r="C288" s="86" t="n">
        <v>11</v>
      </c>
      <c r="D288" s="86" t="inlineStr">
        <is>
          <t>2019-11</t>
        </is>
      </c>
      <c r="E288" s="87" t="n">
        <v>198.9</v>
      </c>
      <c r="F288" s="87" t="n">
        <v>93.6139</v>
      </c>
      <c r="G288" s="88">
        <f>DAY(EOMONTH(DATE(B288,C288,1),0))</f>
        <v/>
      </c>
      <c r="H288" s="89">
        <f>F288/G288</f>
        <v/>
      </c>
    </row>
    <row r="289">
      <c r="A289" s="86" t="inlineStr">
        <is>
          <t>경남</t>
        </is>
      </c>
      <c r="B289" s="86" t="n">
        <v>2019</v>
      </c>
      <c r="C289" s="86" t="n">
        <v>12</v>
      </c>
      <c r="D289" s="86" t="inlineStr">
        <is>
          <t>2019-12</t>
        </is>
      </c>
      <c r="E289" s="87" t="n">
        <v>196.8</v>
      </c>
      <c r="F289" s="87" t="n">
        <v>81.1417</v>
      </c>
      <c r="G289" s="88">
        <f>DAY(EOMONTH(DATE(B289,C289,1),0))</f>
        <v/>
      </c>
      <c r="H289" s="89">
        <f>F289/G289</f>
        <v/>
      </c>
    </row>
    <row r="290">
      <c r="A290" s="86" t="inlineStr">
        <is>
          <t>경남</t>
        </is>
      </c>
      <c r="B290" s="86" t="n">
        <v>2020</v>
      </c>
      <c r="C290" s="86" t="n">
        <v>1</v>
      </c>
      <c r="D290" s="86" t="inlineStr">
        <is>
          <t>2020-01</t>
        </is>
      </c>
      <c r="E290" s="87" t="n">
        <v>163.7</v>
      </c>
      <c r="F290" s="87" t="n">
        <v>78.12220000000001</v>
      </c>
      <c r="G290" s="88">
        <f>DAY(EOMONTH(DATE(B290,C290,1),0))</f>
        <v/>
      </c>
      <c r="H290" s="89">
        <f>F290/G290</f>
        <v/>
      </c>
    </row>
    <row r="291">
      <c r="A291" s="86" t="inlineStr">
        <is>
          <t>경남</t>
        </is>
      </c>
      <c r="B291" s="86" t="n">
        <v>2020</v>
      </c>
      <c r="C291" s="86" t="n">
        <v>2</v>
      </c>
      <c r="D291" s="86" t="inlineStr">
        <is>
          <t>2020-02</t>
        </is>
      </c>
      <c r="E291" s="87" t="n">
        <v>206.7</v>
      </c>
      <c r="F291" s="87" t="n">
        <v>104.7778</v>
      </c>
      <c r="G291" s="88">
        <f>DAY(EOMONTH(DATE(B291,C291,1),0))</f>
        <v/>
      </c>
      <c r="H291" s="89">
        <f>F291/G291</f>
        <v/>
      </c>
    </row>
    <row r="292">
      <c r="A292" s="86" t="inlineStr">
        <is>
          <t>경남</t>
        </is>
      </c>
      <c r="B292" s="86" t="n">
        <v>2020</v>
      </c>
      <c r="C292" s="86" t="n">
        <v>3</v>
      </c>
      <c r="D292" s="86" t="inlineStr">
        <is>
          <t>2020-03</t>
        </is>
      </c>
      <c r="E292" s="87" t="n">
        <v>240.2</v>
      </c>
      <c r="F292" s="87" t="n">
        <v>150.1528</v>
      </c>
      <c r="G292" s="88">
        <f>DAY(EOMONTH(DATE(B292,C292,1),0))</f>
        <v/>
      </c>
      <c r="H292" s="89">
        <f>F292/G292</f>
        <v/>
      </c>
    </row>
    <row r="293">
      <c r="A293" s="86" t="inlineStr">
        <is>
          <t>경남</t>
        </is>
      </c>
      <c r="B293" s="86" t="n">
        <v>2020</v>
      </c>
      <c r="C293" s="86" t="n">
        <v>4</v>
      </c>
      <c r="D293" s="86" t="inlineStr">
        <is>
          <t>2020-04</t>
        </is>
      </c>
      <c r="E293" s="87" t="n">
        <v>274</v>
      </c>
      <c r="F293" s="87" t="n">
        <v>180.5139</v>
      </c>
      <c r="G293" s="88">
        <f>DAY(EOMONTH(DATE(B293,C293,1),0))</f>
        <v/>
      </c>
      <c r="H293" s="89">
        <f>F293/G293</f>
        <v/>
      </c>
    </row>
    <row r="294">
      <c r="A294" s="86" t="inlineStr">
        <is>
          <t>경남</t>
        </is>
      </c>
      <c r="B294" s="86" t="n">
        <v>2020</v>
      </c>
      <c r="C294" s="86" t="n">
        <v>5</v>
      </c>
      <c r="D294" s="86" t="inlineStr">
        <is>
          <t>2020-05</t>
        </is>
      </c>
      <c r="E294" s="87" t="n">
        <v>228.8</v>
      </c>
      <c r="F294" s="87" t="n">
        <v>176.4</v>
      </c>
      <c r="G294" s="88">
        <f>DAY(EOMONTH(DATE(B294,C294,1),0))</f>
        <v/>
      </c>
      <c r="H294" s="89">
        <f>F294/G294</f>
        <v/>
      </c>
    </row>
    <row r="295">
      <c r="A295" s="86" t="inlineStr">
        <is>
          <t>경남</t>
        </is>
      </c>
      <c r="B295" s="86" t="n">
        <v>2020</v>
      </c>
      <c r="C295" s="86" t="n">
        <v>6</v>
      </c>
      <c r="D295" s="86" t="inlineStr">
        <is>
          <t>2020-06</t>
        </is>
      </c>
      <c r="E295" s="87" t="n">
        <v>236.9</v>
      </c>
      <c r="F295" s="87" t="n">
        <v>180.4944</v>
      </c>
      <c r="G295" s="88">
        <f>DAY(EOMONTH(DATE(B295,C295,1),0))</f>
        <v/>
      </c>
      <c r="H295" s="89">
        <f>F295/G295</f>
        <v/>
      </c>
    </row>
    <row r="296">
      <c r="A296" s="86" t="inlineStr">
        <is>
          <t>경남</t>
        </is>
      </c>
      <c r="B296" s="86" t="n">
        <v>2020</v>
      </c>
      <c r="C296" s="86" t="n">
        <v>7</v>
      </c>
      <c r="D296" s="86" t="inlineStr">
        <is>
          <t>2020-07</t>
        </is>
      </c>
      <c r="E296" s="87" t="n">
        <v>96</v>
      </c>
      <c r="F296" s="87" t="n">
        <v>106.5111</v>
      </c>
      <c r="G296" s="88">
        <f>DAY(EOMONTH(DATE(B296,C296,1),0))</f>
        <v/>
      </c>
      <c r="H296" s="89">
        <f>F296/G296</f>
        <v/>
      </c>
    </row>
    <row r="297">
      <c r="A297" s="86" t="inlineStr">
        <is>
          <t>경남</t>
        </is>
      </c>
      <c r="B297" s="86" t="n">
        <v>2020</v>
      </c>
      <c r="C297" s="86" t="n">
        <v>8</v>
      </c>
      <c r="D297" s="86" t="inlineStr">
        <is>
          <t>2020-08</t>
        </is>
      </c>
      <c r="E297" s="87" t="n">
        <v>209.8</v>
      </c>
      <c r="F297" s="87" t="n">
        <v>154.7167</v>
      </c>
      <c r="G297" s="88">
        <f>DAY(EOMONTH(DATE(B297,C297,1),0))</f>
        <v/>
      </c>
      <c r="H297" s="89">
        <f>F297/G297</f>
        <v/>
      </c>
    </row>
    <row r="298">
      <c r="A298" s="86" t="inlineStr">
        <is>
          <t>경남</t>
        </is>
      </c>
      <c r="B298" s="86" t="n">
        <v>2020</v>
      </c>
      <c r="C298" s="86" t="n">
        <v>9</v>
      </c>
      <c r="D298" s="86" t="inlineStr">
        <is>
          <t>2020-09</t>
        </is>
      </c>
      <c r="E298" s="87" t="n">
        <v>164.2</v>
      </c>
      <c r="F298" s="87" t="n">
        <v>118.75</v>
      </c>
      <c r="G298" s="88">
        <f>DAY(EOMONTH(DATE(B298,C298,1),0))</f>
        <v/>
      </c>
      <c r="H298" s="89">
        <f>F298/G298</f>
        <v/>
      </c>
    </row>
    <row r="299">
      <c r="A299" s="86" t="inlineStr">
        <is>
          <t>경남</t>
        </is>
      </c>
      <c r="B299" s="86" t="n">
        <v>2020</v>
      </c>
      <c r="C299" s="86" t="n">
        <v>10</v>
      </c>
      <c r="D299" s="86" t="inlineStr">
        <is>
          <t>2020-10</t>
        </is>
      </c>
      <c r="E299" s="87" t="n">
        <v>227.6</v>
      </c>
      <c r="F299" s="87" t="n">
        <v>128.9333</v>
      </c>
      <c r="G299" s="88">
        <f>DAY(EOMONTH(DATE(B299,C299,1),0))</f>
        <v/>
      </c>
      <c r="H299" s="89">
        <f>F299/G299</f>
        <v/>
      </c>
    </row>
    <row r="300">
      <c r="A300" s="86" t="inlineStr">
        <is>
          <t>경남</t>
        </is>
      </c>
      <c r="B300" s="86" t="n">
        <v>2020</v>
      </c>
      <c r="C300" s="86" t="n">
        <v>11</v>
      </c>
      <c r="D300" s="86" t="inlineStr">
        <is>
          <t>2020-11</t>
        </is>
      </c>
      <c r="E300" s="87" t="n">
        <v>197</v>
      </c>
      <c r="F300" s="87" t="n">
        <v>92.48609999999999</v>
      </c>
      <c r="G300" s="88">
        <f>DAY(EOMONTH(DATE(B300,C300,1),0))</f>
        <v/>
      </c>
      <c r="H300" s="89">
        <f>F300/G300</f>
        <v/>
      </c>
    </row>
    <row r="301">
      <c r="A301" s="86" t="inlineStr">
        <is>
          <t>경남</t>
        </is>
      </c>
      <c r="B301" s="86" t="n">
        <v>2020</v>
      </c>
      <c r="C301" s="86" t="n">
        <v>12</v>
      </c>
      <c r="D301" s="86" t="inlineStr">
        <is>
          <t>2020-12</t>
        </is>
      </c>
      <c r="E301" s="87" t="n">
        <v>223.7</v>
      </c>
      <c r="F301" s="87" t="n">
        <v>89.2972</v>
      </c>
      <c r="G301" s="88">
        <f>DAY(EOMONTH(DATE(B301,C301,1),0))</f>
        <v/>
      </c>
      <c r="H301" s="89">
        <f>F301/G301</f>
        <v/>
      </c>
    </row>
    <row r="302">
      <c r="A302" s="86" t="inlineStr">
        <is>
          <t>경남</t>
        </is>
      </c>
      <c r="B302" s="86" t="n">
        <v>2021</v>
      </c>
      <c r="C302" s="86" t="n">
        <v>1</v>
      </c>
      <c r="D302" s="86" t="inlineStr">
        <is>
          <t>2021-01</t>
        </is>
      </c>
      <c r="E302" s="87" t="n">
        <v>205.3</v>
      </c>
      <c r="F302" s="87" t="n">
        <v>88.53060000000001</v>
      </c>
      <c r="G302" s="88">
        <f>DAY(EOMONTH(DATE(B302,C302,1),0))</f>
        <v/>
      </c>
      <c r="H302" s="89">
        <f>F302/G302</f>
        <v/>
      </c>
    </row>
    <row r="303">
      <c r="A303" s="86" t="inlineStr">
        <is>
          <t>경남</t>
        </is>
      </c>
      <c r="B303" s="86" t="n">
        <v>2021</v>
      </c>
      <c r="C303" s="86" t="n">
        <v>2</v>
      </c>
      <c r="D303" s="86" t="inlineStr">
        <is>
          <t>2021-02</t>
        </is>
      </c>
      <c r="E303" s="87" t="n">
        <v>199.7</v>
      </c>
      <c r="F303" s="87" t="n">
        <v>106.4444</v>
      </c>
      <c r="G303" s="88">
        <f>DAY(EOMONTH(DATE(B303,C303,1),0))</f>
        <v/>
      </c>
      <c r="H303" s="89">
        <f>F303/G303</f>
        <v/>
      </c>
    </row>
    <row r="304">
      <c r="A304" s="86" t="inlineStr">
        <is>
          <t>경남</t>
        </is>
      </c>
      <c r="B304" s="86" t="n">
        <v>2021</v>
      </c>
      <c r="C304" s="86" t="n">
        <v>3</v>
      </c>
      <c r="D304" s="86" t="inlineStr">
        <is>
          <t>2021-03</t>
        </is>
      </c>
      <c r="E304" s="87" t="n">
        <v>219.9</v>
      </c>
      <c r="F304" s="87" t="n">
        <v>142.0194</v>
      </c>
      <c r="G304" s="88">
        <f>DAY(EOMONTH(DATE(B304,C304,1),0))</f>
        <v/>
      </c>
      <c r="H304" s="89">
        <f>F304/G304</f>
        <v/>
      </c>
    </row>
    <row r="305">
      <c r="A305" s="86" t="inlineStr">
        <is>
          <t>경남</t>
        </is>
      </c>
      <c r="B305" s="86" t="n">
        <v>2021</v>
      </c>
      <c r="C305" s="86" t="n">
        <v>4</v>
      </c>
      <c r="D305" s="86" t="inlineStr">
        <is>
          <t>2021-04</t>
        </is>
      </c>
      <c r="E305" s="87" t="n">
        <v>246.5</v>
      </c>
      <c r="F305" s="87" t="n">
        <v>175.05</v>
      </c>
      <c r="G305" s="88">
        <f>DAY(EOMONTH(DATE(B305,C305,1),0))</f>
        <v/>
      </c>
      <c r="H305" s="89">
        <f>F305/G305</f>
        <v/>
      </c>
    </row>
    <row r="306">
      <c r="A306" s="86" t="inlineStr">
        <is>
          <t>경남</t>
        </is>
      </c>
      <c r="B306" s="86" t="n">
        <v>2021</v>
      </c>
      <c r="C306" s="86" t="n">
        <v>5</v>
      </c>
      <c r="D306" s="86" t="inlineStr">
        <is>
          <t>2021-05</t>
        </is>
      </c>
      <c r="E306" s="87" t="n">
        <v>217.3</v>
      </c>
      <c r="F306" s="87" t="n">
        <v>166.8806</v>
      </c>
      <c r="G306" s="88">
        <f>DAY(EOMONTH(DATE(B306,C306,1),0))</f>
        <v/>
      </c>
      <c r="H306" s="89">
        <f>F306/G306</f>
        <v/>
      </c>
    </row>
    <row r="307">
      <c r="A307" s="86" t="inlineStr">
        <is>
          <t>경남</t>
        </is>
      </c>
      <c r="B307" s="86" t="n">
        <v>2021</v>
      </c>
      <c r="C307" s="86" t="n">
        <v>6</v>
      </c>
      <c r="D307" s="86" t="inlineStr">
        <is>
          <t>2021-06</t>
        </is>
      </c>
      <c r="E307" s="87" t="n">
        <v>212.4</v>
      </c>
      <c r="F307" s="87" t="n">
        <v>168.9472</v>
      </c>
      <c r="G307" s="88">
        <f>DAY(EOMONTH(DATE(B307,C307,1),0))</f>
        <v/>
      </c>
      <c r="H307" s="89">
        <f>F307/G307</f>
        <v/>
      </c>
    </row>
    <row r="308">
      <c r="A308" s="86" t="inlineStr">
        <is>
          <t>경남</t>
        </is>
      </c>
      <c r="B308" s="86" t="n">
        <v>2021</v>
      </c>
      <c r="C308" s="86" t="n">
        <v>7</v>
      </c>
      <c r="D308" s="86" t="inlineStr">
        <is>
          <t>2021-07</t>
        </is>
      </c>
      <c r="E308" s="87" t="n">
        <v>216.8</v>
      </c>
      <c r="F308" s="87" t="n">
        <v>165.8222</v>
      </c>
      <c r="G308" s="88">
        <f>DAY(EOMONTH(DATE(B308,C308,1),0))</f>
        <v/>
      </c>
      <c r="H308" s="89">
        <f>F308/G308</f>
        <v/>
      </c>
    </row>
    <row r="309">
      <c r="A309" s="86" t="inlineStr">
        <is>
          <t>경남</t>
        </is>
      </c>
      <c r="B309" s="86" t="n">
        <v>2021</v>
      </c>
      <c r="C309" s="86" t="n">
        <v>8</v>
      </c>
      <c r="D309" s="86" t="inlineStr">
        <is>
          <t>2021-08</t>
        </is>
      </c>
      <c r="E309" s="87" t="n">
        <v>178.2</v>
      </c>
      <c r="F309" s="87" t="n">
        <v>142.4583</v>
      </c>
      <c r="G309" s="88">
        <f>DAY(EOMONTH(DATE(B309,C309,1),0))</f>
        <v/>
      </c>
      <c r="H309" s="89">
        <f>F309/G309</f>
        <v/>
      </c>
    </row>
    <row r="310">
      <c r="A310" s="86" t="inlineStr">
        <is>
          <t>경남</t>
        </is>
      </c>
      <c r="B310" s="86" t="n">
        <v>2021</v>
      </c>
      <c r="C310" s="86" t="n">
        <v>9</v>
      </c>
      <c r="D310" s="86" t="inlineStr">
        <is>
          <t>2021-09</t>
        </is>
      </c>
      <c r="E310" s="87" t="n">
        <v>120.7</v>
      </c>
      <c r="F310" s="87" t="n">
        <v>102.4472</v>
      </c>
      <c r="G310" s="88">
        <f>DAY(EOMONTH(DATE(B310,C310,1),0))</f>
        <v/>
      </c>
      <c r="H310" s="89">
        <f>F310/G310</f>
        <v/>
      </c>
    </row>
    <row r="311">
      <c r="A311" s="86" t="inlineStr">
        <is>
          <t>경남</t>
        </is>
      </c>
      <c r="B311" s="86" t="n">
        <v>2021</v>
      </c>
      <c r="C311" s="86" t="n">
        <v>10</v>
      </c>
      <c r="D311" s="86" t="inlineStr">
        <is>
          <t>2021-10</t>
        </is>
      </c>
      <c r="E311" s="87" t="n">
        <v>221.7</v>
      </c>
      <c r="F311" s="87" t="n">
        <v>125.2806</v>
      </c>
      <c r="G311" s="88">
        <f>DAY(EOMONTH(DATE(B311,C311,1),0))</f>
        <v/>
      </c>
      <c r="H311" s="89">
        <f>F311/G311</f>
        <v/>
      </c>
    </row>
    <row r="312">
      <c r="A312" s="86" t="inlineStr">
        <is>
          <t>경남</t>
        </is>
      </c>
      <c r="B312" s="86" t="n">
        <v>2021</v>
      </c>
      <c r="C312" s="86" t="n">
        <v>11</v>
      </c>
      <c r="D312" s="86" t="inlineStr">
        <is>
          <t>2021-11</t>
        </is>
      </c>
      <c r="E312" s="87" t="n">
        <v>216.8</v>
      </c>
      <c r="F312" s="87" t="n">
        <v>95.7</v>
      </c>
      <c r="G312" s="88">
        <f>DAY(EOMONTH(DATE(B312,C312,1),0))</f>
        <v/>
      </c>
      <c r="H312" s="89">
        <f>F312/G312</f>
        <v/>
      </c>
    </row>
    <row r="313">
      <c r="A313" s="86" t="inlineStr">
        <is>
          <t>경남</t>
        </is>
      </c>
      <c r="B313" s="86" t="n">
        <v>2021</v>
      </c>
      <c r="C313" s="86" t="n">
        <v>12</v>
      </c>
      <c r="D313" s="86" t="inlineStr">
        <is>
          <t>2021-12</t>
        </is>
      </c>
      <c r="E313" s="87" t="n">
        <v>228.8</v>
      </c>
      <c r="F313" s="87" t="n">
        <v>90.9611</v>
      </c>
      <c r="G313" s="88">
        <f>DAY(EOMONTH(DATE(B313,C313,1),0))</f>
        <v/>
      </c>
      <c r="H313" s="89">
        <f>F313/G313</f>
        <v/>
      </c>
    </row>
    <row r="314">
      <c r="A314" s="86" t="inlineStr">
        <is>
          <t>경남</t>
        </is>
      </c>
      <c r="B314" s="86" t="n">
        <v>2022</v>
      </c>
      <c r="C314" s="86" t="n">
        <v>1</v>
      </c>
      <c r="D314" s="86" t="inlineStr">
        <is>
          <t>2022-01</t>
        </is>
      </c>
      <c r="E314" s="87" t="n">
        <v>231.2</v>
      </c>
      <c r="F314" s="87" t="n">
        <v>100.3722</v>
      </c>
      <c r="G314" s="88">
        <f>DAY(EOMONTH(DATE(B314,C314,1),0))</f>
        <v/>
      </c>
      <c r="H314" s="89">
        <f>F314/G314</f>
        <v/>
      </c>
    </row>
    <row r="315">
      <c r="A315" s="86" t="inlineStr">
        <is>
          <t>경남</t>
        </is>
      </c>
      <c r="B315" s="86" t="n">
        <v>2022</v>
      </c>
      <c r="C315" s="86" t="n">
        <v>2</v>
      </c>
      <c r="D315" s="86" t="inlineStr">
        <is>
          <t>2022-02</t>
        </is>
      </c>
      <c r="E315" s="87" t="n">
        <v>236.2</v>
      </c>
      <c r="F315" s="87" t="n">
        <v>121.3361</v>
      </c>
      <c r="G315" s="88">
        <f>DAY(EOMONTH(DATE(B315,C315,1),0))</f>
        <v/>
      </c>
      <c r="H315" s="89">
        <f>F315/G315</f>
        <v/>
      </c>
    </row>
    <row r="316">
      <c r="A316" s="86" t="inlineStr">
        <is>
          <t>경남</t>
        </is>
      </c>
      <c r="B316" s="86" t="n">
        <v>2022</v>
      </c>
      <c r="C316" s="86" t="n">
        <v>3</v>
      </c>
      <c r="D316" s="86" t="inlineStr">
        <is>
          <t>2022-03</t>
        </is>
      </c>
      <c r="E316" s="87" t="n">
        <v>199.2</v>
      </c>
      <c r="F316" s="87" t="n">
        <v>133.0083</v>
      </c>
      <c r="G316" s="88">
        <f>DAY(EOMONTH(DATE(B316,C316,1),0))</f>
        <v/>
      </c>
      <c r="H316" s="89">
        <f>F316/G316</f>
        <v/>
      </c>
    </row>
    <row r="317">
      <c r="A317" s="86" t="inlineStr">
        <is>
          <t>경남</t>
        </is>
      </c>
      <c r="B317" s="86" t="n">
        <v>2022</v>
      </c>
      <c r="C317" s="86" t="n">
        <v>4</v>
      </c>
      <c r="D317" s="86" t="inlineStr">
        <is>
          <t>2022-04</t>
        </is>
      </c>
      <c r="E317" s="87" t="n">
        <v>243.5</v>
      </c>
      <c r="F317" s="87" t="n">
        <v>169.8528</v>
      </c>
      <c r="G317" s="88">
        <f>DAY(EOMONTH(DATE(B317,C317,1),0))</f>
        <v/>
      </c>
      <c r="H317" s="89">
        <f>F317/G317</f>
        <v/>
      </c>
    </row>
    <row r="318">
      <c r="A318" s="86" t="inlineStr">
        <is>
          <t>경남</t>
        </is>
      </c>
      <c r="B318" s="86" t="n">
        <v>2022</v>
      </c>
      <c r="C318" s="86" t="n">
        <v>5</v>
      </c>
      <c r="D318" s="86" t="inlineStr">
        <is>
          <t>2022-05</t>
        </is>
      </c>
      <c r="E318" s="87" t="n">
        <v>304.1</v>
      </c>
      <c r="F318" s="87" t="n">
        <v>216.1083</v>
      </c>
      <c r="G318" s="88">
        <f>DAY(EOMONTH(DATE(B318,C318,1),0))</f>
        <v/>
      </c>
      <c r="H318" s="89">
        <f>F318/G318</f>
        <v/>
      </c>
    </row>
    <row r="319">
      <c r="A319" s="86" t="inlineStr">
        <is>
          <t>경남</t>
        </is>
      </c>
      <c r="B319" s="86" t="n">
        <v>2022</v>
      </c>
      <c r="C319" s="86" t="n">
        <v>6</v>
      </c>
      <c r="D319" s="86" t="inlineStr">
        <is>
          <t>2022-06</t>
        </is>
      </c>
      <c r="E319" s="87" t="n">
        <v>190.9</v>
      </c>
      <c r="F319" s="87" t="n">
        <v>156.7528</v>
      </c>
      <c r="G319" s="88">
        <f>DAY(EOMONTH(DATE(B319,C319,1),0))</f>
        <v/>
      </c>
      <c r="H319" s="89">
        <f>F319/G319</f>
        <v/>
      </c>
    </row>
    <row r="320">
      <c r="A320" s="86" t="inlineStr">
        <is>
          <t>경남</t>
        </is>
      </c>
      <c r="B320" s="86" t="n">
        <v>2022</v>
      </c>
      <c r="C320" s="86" t="n">
        <v>7</v>
      </c>
      <c r="D320" s="86" t="inlineStr">
        <is>
          <t>2022-07</t>
        </is>
      </c>
      <c r="E320" s="87" t="n">
        <v>208.4</v>
      </c>
      <c r="F320" s="87" t="n">
        <v>169.175</v>
      </c>
      <c r="G320" s="88">
        <f>DAY(EOMONTH(DATE(B320,C320,1),0))</f>
        <v/>
      </c>
      <c r="H320" s="89">
        <f>F320/G320</f>
        <v/>
      </c>
    </row>
    <row r="321">
      <c r="A321" s="86" t="inlineStr">
        <is>
          <t>경남</t>
        </is>
      </c>
      <c r="B321" s="86" t="n">
        <v>2022</v>
      </c>
      <c r="C321" s="86" t="n">
        <v>8</v>
      </c>
      <c r="D321" s="86" t="inlineStr">
        <is>
          <t>2022-08</t>
        </is>
      </c>
      <c r="E321" s="87" t="n">
        <v>168.8</v>
      </c>
      <c r="F321" s="87" t="n">
        <v>139.6778</v>
      </c>
      <c r="G321" s="88">
        <f>DAY(EOMONTH(DATE(B321,C321,1),0))</f>
        <v/>
      </c>
      <c r="H321" s="89">
        <f>F321/G321</f>
        <v/>
      </c>
    </row>
    <row r="322">
      <c r="A322" s="86" t="inlineStr">
        <is>
          <t>경남</t>
        </is>
      </c>
      <c r="B322" s="86" t="n">
        <v>2022</v>
      </c>
      <c r="C322" s="86" t="n">
        <v>9</v>
      </c>
      <c r="D322" s="86" t="inlineStr">
        <is>
          <t>2022-09</t>
        </is>
      </c>
      <c r="E322" s="87" t="n">
        <v>153.1</v>
      </c>
      <c r="F322" s="87" t="n">
        <v>121.9556</v>
      </c>
      <c r="G322" s="88">
        <f>DAY(EOMONTH(DATE(B322,C322,1),0))</f>
        <v/>
      </c>
      <c r="H322" s="89">
        <f>F322/G322</f>
        <v/>
      </c>
    </row>
    <row r="323">
      <c r="A323" s="86" t="inlineStr">
        <is>
          <t>경남</t>
        </is>
      </c>
      <c r="B323" s="86" t="n">
        <v>2022</v>
      </c>
      <c r="C323" s="86" t="n">
        <v>10</v>
      </c>
      <c r="D323" s="86" t="inlineStr">
        <is>
          <t>2022-10</t>
        </is>
      </c>
      <c r="E323" s="87" t="n">
        <v>224.2</v>
      </c>
      <c r="F323" s="87" t="n">
        <v>123.9639</v>
      </c>
      <c r="G323" s="88">
        <f>DAY(EOMONTH(DATE(B323,C323,1),0))</f>
        <v/>
      </c>
      <c r="H323" s="89">
        <f>F323/G323</f>
        <v/>
      </c>
    </row>
    <row r="324">
      <c r="A324" s="86" t="inlineStr">
        <is>
          <t>경남</t>
        </is>
      </c>
      <c r="B324" s="86" t="n">
        <v>2022</v>
      </c>
      <c r="C324" s="86" t="n">
        <v>11</v>
      </c>
      <c r="D324" s="86" t="inlineStr">
        <is>
          <t>2022-11</t>
        </is>
      </c>
      <c r="E324" s="87" t="n">
        <v>203.7</v>
      </c>
      <c r="F324" s="87" t="n">
        <v>92.6583</v>
      </c>
      <c r="G324" s="88">
        <f>DAY(EOMONTH(DATE(B324,C324,1),0))</f>
        <v/>
      </c>
      <c r="H324" s="89">
        <f>F324/G324</f>
        <v/>
      </c>
    </row>
    <row r="325">
      <c r="A325" s="86" t="inlineStr">
        <is>
          <t>경남</t>
        </is>
      </c>
      <c r="B325" s="86" t="n">
        <v>2022</v>
      </c>
      <c r="C325" s="86" t="n">
        <v>12</v>
      </c>
      <c r="D325" s="86" t="inlineStr">
        <is>
          <t>2022-12</t>
        </is>
      </c>
      <c r="E325" s="87" t="n">
        <v>222.9</v>
      </c>
      <c r="F325" s="87" t="n">
        <v>90.375</v>
      </c>
      <c r="G325" s="88">
        <f>DAY(EOMONTH(DATE(B325,C325,1),0))</f>
        <v/>
      </c>
      <c r="H325" s="89">
        <f>F325/G325</f>
        <v/>
      </c>
    </row>
    <row r="326">
      <c r="A326" s="86" t="inlineStr">
        <is>
          <t>경남</t>
        </is>
      </c>
      <c r="B326" s="86" t="n">
        <v>2023</v>
      </c>
      <c r="C326" s="86" t="n">
        <v>1</v>
      </c>
      <c r="D326" s="86" t="inlineStr">
        <is>
          <t>2023-01</t>
        </is>
      </c>
      <c r="E326" s="87" t="n">
        <v>223.7</v>
      </c>
      <c r="F326" s="87" t="n">
        <v>98.4722</v>
      </c>
      <c r="G326" s="88">
        <f>DAY(EOMONTH(DATE(B326,C326,1),0))</f>
        <v/>
      </c>
      <c r="H326" s="89">
        <f>F326/G326</f>
        <v/>
      </c>
    </row>
    <row r="327">
      <c r="A327" s="86" t="inlineStr">
        <is>
          <t>경남</t>
        </is>
      </c>
      <c r="B327" s="86" t="n">
        <v>2023</v>
      </c>
      <c r="C327" s="86" t="n">
        <v>2</v>
      </c>
      <c r="D327" s="86" t="inlineStr">
        <is>
          <t>2023-02</t>
        </is>
      </c>
      <c r="E327" s="87" t="n">
        <v>179.9</v>
      </c>
      <c r="F327" s="87" t="n">
        <v>103.4861</v>
      </c>
      <c r="G327" s="88">
        <f>DAY(EOMONTH(DATE(B327,C327,1),0))</f>
        <v/>
      </c>
      <c r="H327" s="89">
        <f>F327/G327</f>
        <v/>
      </c>
    </row>
    <row r="328">
      <c r="A328" s="86" t="inlineStr">
        <is>
          <t>경남</t>
        </is>
      </c>
      <c r="B328" s="86" t="n">
        <v>2023</v>
      </c>
      <c r="C328" s="86" t="n">
        <v>3</v>
      </c>
      <c r="D328" s="86" t="inlineStr">
        <is>
          <t>2023-03</t>
        </is>
      </c>
      <c r="E328" s="87" t="n">
        <v>218.6</v>
      </c>
      <c r="F328" s="87" t="n">
        <v>143.4806</v>
      </c>
      <c r="G328" s="88">
        <f>DAY(EOMONTH(DATE(B328,C328,1),0))</f>
        <v/>
      </c>
      <c r="H328" s="89">
        <f>F328/G328</f>
        <v/>
      </c>
    </row>
    <row r="329">
      <c r="A329" s="86" t="inlineStr">
        <is>
          <t>경남</t>
        </is>
      </c>
      <c r="B329" s="86" t="n">
        <v>2023</v>
      </c>
      <c r="C329" s="86" t="n">
        <v>4</v>
      </c>
      <c r="D329" s="86" t="inlineStr">
        <is>
          <t>2023-04</t>
        </is>
      </c>
      <c r="E329" s="87" t="n">
        <v>209.4</v>
      </c>
      <c r="F329" s="87" t="n">
        <v>152.1667</v>
      </c>
      <c r="G329" s="88">
        <f>DAY(EOMONTH(DATE(B329,C329,1),0))</f>
        <v/>
      </c>
      <c r="H329" s="89">
        <f>F329/G329</f>
        <v/>
      </c>
    </row>
    <row r="330">
      <c r="A330" s="86" t="inlineStr">
        <is>
          <t>경남</t>
        </is>
      </c>
      <c r="B330" s="86" t="n">
        <v>2023</v>
      </c>
      <c r="C330" s="86" t="n">
        <v>5</v>
      </c>
      <c r="D330" s="86" t="inlineStr">
        <is>
          <t>2023-05</t>
        </is>
      </c>
      <c r="E330" s="87" t="n">
        <v>193.4</v>
      </c>
      <c r="F330" s="87" t="n">
        <v>153.55</v>
      </c>
      <c r="G330" s="88">
        <f>DAY(EOMONTH(DATE(B330,C330,1),0))</f>
        <v/>
      </c>
      <c r="H330" s="89">
        <f>F330/G330</f>
        <v/>
      </c>
    </row>
    <row r="331">
      <c r="A331" s="86" t="inlineStr">
        <is>
          <t>경남</t>
        </is>
      </c>
      <c r="B331" s="86" t="n">
        <v>2023</v>
      </c>
      <c r="C331" s="86" t="n">
        <v>6</v>
      </c>
      <c r="D331" s="86" t="inlineStr">
        <is>
          <t>2023-06</t>
        </is>
      </c>
      <c r="E331" s="87" t="n">
        <v>207.3</v>
      </c>
      <c r="F331" s="87" t="n">
        <v>172.8278</v>
      </c>
      <c r="G331" s="88">
        <f>DAY(EOMONTH(DATE(B331,C331,1),0))</f>
        <v/>
      </c>
      <c r="H331" s="89">
        <f>F331/G331</f>
        <v/>
      </c>
    </row>
    <row r="332">
      <c r="A332" s="86" t="inlineStr">
        <is>
          <t>경남</t>
        </is>
      </c>
      <c r="B332" s="86" t="n">
        <v>2023</v>
      </c>
      <c r="C332" s="86" t="n">
        <v>7</v>
      </c>
      <c r="D332" s="86" t="inlineStr">
        <is>
          <t>2023-07</t>
        </is>
      </c>
      <c r="E332" s="87" t="n">
        <v>135.9</v>
      </c>
      <c r="F332" s="87" t="n">
        <v>133.575</v>
      </c>
      <c r="G332" s="88">
        <f>DAY(EOMONTH(DATE(B332,C332,1),0))</f>
        <v/>
      </c>
      <c r="H332" s="89">
        <f>F332/G332</f>
        <v/>
      </c>
    </row>
    <row r="333">
      <c r="A333" s="86" t="inlineStr">
        <is>
          <t>경남</t>
        </is>
      </c>
      <c r="B333" s="86" t="n">
        <v>2023</v>
      </c>
      <c r="C333" s="86" t="n">
        <v>8</v>
      </c>
      <c r="D333" s="86" t="inlineStr">
        <is>
          <t>2023-08</t>
        </is>
      </c>
      <c r="E333" s="87" t="n">
        <v>215.9</v>
      </c>
      <c r="F333" s="87" t="n">
        <v>164.85</v>
      </c>
      <c r="G333" s="88">
        <f>DAY(EOMONTH(DATE(B333,C333,1),0))</f>
        <v/>
      </c>
      <c r="H333" s="89">
        <f>F333/G333</f>
        <v/>
      </c>
    </row>
    <row r="334">
      <c r="A334" s="86" t="inlineStr">
        <is>
          <t>경남</t>
        </is>
      </c>
      <c r="B334" s="86" t="n">
        <v>2023</v>
      </c>
      <c r="C334" s="86" t="n">
        <v>9</v>
      </c>
      <c r="D334" s="86" t="inlineStr">
        <is>
          <t>2023-09</t>
        </is>
      </c>
      <c r="E334" s="87" t="n">
        <v>157.8</v>
      </c>
      <c r="F334" s="87" t="n">
        <v>120.9806</v>
      </c>
      <c r="G334" s="88">
        <f>DAY(EOMONTH(DATE(B334,C334,1),0))</f>
        <v/>
      </c>
      <c r="H334" s="89">
        <f>F334/G334</f>
        <v/>
      </c>
    </row>
    <row r="335">
      <c r="A335" s="86" t="inlineStr">
        <is>
          <t>경남</t>
        </is>
      </c>
      <c r="B335" s="86" t="n">
        <v>2023</v>
      </c>
      <c r="C335" s="86" t="n">
        <v>10</v>
      </c>
      <c r="D335" s="86" t="inlineStr">
        <is>
          <t>2023-10</t>
        </is>
      </c>
      <c r="E335" s="87" t="n">
        <v>232.9</v>
      </c>
      <c r="F335" s="87" t="n">
        <v>133.3694</v>
      </c>
      <c r="G335" s="88">
        <f>DAY(EOMONTH(DATE(B335,C335,1),0))</f>
        <v/>
      </c>
      <c r="H335" s="89">
        <f>F335/G335</f>
        <v/>
      </c>
    </row>
    <row r="336">
      <c r="A336" s="86" t="inlineStr">
        <is>
          <t>경남</t>
        </is>
      </c>
      <c r="B336" s="86" t="n">
        <v>2023</v>
      </c>
      <c r="C336" s="86" t="n">
        <v>11</v>
      </c>
      <c r="D336" s="86" t="inlineStr">
        <is>
          <t>2023-11</t>
        </is>
      </c>
      <c r="E336" s="87" t="n">
        <v>208.5</v>
      </c>
      <c r="F336" s="87" t="n">
        <v>98.51390000000001</v>
      </c>
      <c r="G336" s="88">
        <f>DAY(EOMONTH(DATE(B336,C336,1),0))</f>
        <v/>
      </c>
      <c r="H336" s="89">
        <f>F336/G336</f>
        <v/>
      </c>
    </row>
    <row r="337">
      <c r="A337" s="86" t="inlineStr">
        <is>
          <t>경남</t>
        </is>
      </c>
      <c r="B337" s="86" t="n">
        <v>2023</v>
      </c>
      <c r="C337" s="86" t="n">
        <v>12</v>
      </c>
      <c r="D337" s="86" t="inlineStr">
        <is>
          <t>2023-12</t>
        </is>
      </c>
      <c r="E337" s="87" t="n">
        <v>192.3</v>
      </c>
      <c r="F337" s="87" t="n">
        <v>80.5778</v>
      </c>
      <c r="G337" s="88">
        <f>DAY(EOMONTH(DATE(B337,C337,1),0))</f>
        <v/>
      </c>
      <c r="H337" s="89">
        <f>F337/G337</f>
        <v/>
      </c>
    </row>
    <row r="338">
      <c r="A338" s="86" t="inlineStr">
        <is>
          <t>경남</t>
        </is>
      </c>
      <c r="B338" s="86" t="n">
        <v>2024</v>
      </c>
      <c r="C338" s="86" t="n">
        <v>1</v>
      </c>
      <c r="D338" s="86" t="inlineStr">
        <is>
          <t>2024-01</t>
        </is>
      </c>
      <c r="E338" s="87" t="n">
        <v>203.5</v>
      </c>
      <c r="F338" s="87" t="n">
        <v>93.5194</v>
      </c>
      <c r="G338" s="88">
        <f>DAY(EOMONTH(DATE(B338,C338,1),0))</f>
        <v/>
      </c>
      <c r="H338" s="89">
        <f>F338/G338</f>
        <v/>
      </c>
    </row>
    <row r="339">
      <c r="A339" s="86" t="inlineStr">
        <is>
          <t>경남</t>
        </is>
      </c>
      <c r="B339" s="86" t="n">
        <v>2024</v>
      </c>
      <c r="C339" s="86" t="n">
        <v>2</v>
      </c>
      <c r="D339" s="86" t="inlineStr">
        <is>
          <t>2024-02</t>
        </is>
      </c>
      <c r="E339" s="87" t="n">
        <v>116</v>
      </c>
      <c r="F339" s="87" t="n">
        <v>77.8917</v>
      </c>
      <c r="G339" s="88">
        <f>DAY(EOMONTH(DATE(B339,C339,1),0))</f>
        <v/>
      </c>
      <c r="H339" s="89">
        <f>F339/G339</f>
        <v/>
      </c>
    </row>
    <row r="340">
      <c r="A340" s="86" t="inlineStr">
        <is>
          <t>경남</t>
        </is>
      </c>
      <c r="B340" s="86" t="n">
        <v>2024</v>
      </c>
      <c r="C340" s="86" t="n">
        <v>3</v>
      </c>
      <c r="D340" s="86" t="inlineStr">
        <is>
          <t>2024-03</t>
        </is>
      </c>
      <c r="E340" s="87" t="n">
        <v>210.3</v>
      </c>
      <c r="F340" s="87" t="n">
        <v>137.9167</v>
      </c>
      <c r="G340" s="88">
        <f>DAY(EOMONTH(DATE(B340,C340,1),0))</f>
        <v/>
      </c>
      <c r="H340" s="89">
        <f>F340/G340</f>
        <v/>
      </c>
    </row>
    <row r="341">
      <c r="A341" s="86" t="inlineStr">
        <is>
          <t>경남</t>
        </is>
      </c>
      <c r="B341" s="86" t="n">
        <v>2024</v>
      </c>
      <c r="C341" s="86" t="n">
        <v>4</v>
      </c>
      <c r="D341" s="86" t="inlineStr">
        <is>
          <t>2024-04</t>
        </is>
      </c>
      <c r="E341" s="87" t="n">
        <v>176.5</v>
      </c>
      <c r="F341" s="87" t="n">
        <v>139.5722</v>
      </c>
      <c r="G341" s="88">
        <f>DAY(EOMONTH(DATE(B341,C341,1),0))</f>
        <v/>
      </c>
      <c r="H341" s="89">
        <f>F341/G341</f>
        <v/>
      </c>
    </row>
    <row r="342">
      <c r="A342" s="86" t="inlineStr">
        <is>
          <t>경남</t>
        </is>
      </c>
      <c r="B342" s="86" t="n">
        <v>2024</v>
      </c>
      <c r="C342" s="86" t="n">
        <v>5</v>
      </c>
      <c r="D342" s="86" t="inlineStr">
        <is>
          <t>2024-05</t>
        </is>
      </c>
      <c r="E342" s="87" t="n">
        <v>271.9</v>
      </c>
      <c r="F342" s="87" t="n">
        <v>204.6528</v>
      </c>
      <c r="G342" s="88">
        <f>DAY(EOMONTH(DATE(B342,C342,1),0))</f>
        <v/>
      </c>
      <c r="H342" s="89">
        <f>F342/G342</f>
        <v/>
      </c>
    </row>
    <row r="343">
      <c r="A343" s="86" t="inlineStr">
        <is>
          <t>경남</t>
        </is>
      </c>
      <c r="B343" s="86" t="n">
        <v>2024</v>
      </c>
      <c r="C343" s="86" t="n">
        <v>6</v>
      </c>
      <c r="D343" s="86" t="inlineStr">
        <is>
          <t>2024-06</t>
        </is>
      </c>
      <c r="E343" s="87" t="n">
        <v>205.6</v>
      </c>
      <c r="F343" s="87" t="n">
        <v>167.9917</v>
      </c>
      <c r="G343" s="88">
        <f>DAY(EOMONTH(DATE(B343,C343,1),0))</f>
        <v/>
      </c>
      <c r="H343" s="89">
        <f>F343/G343</f>
        <v/>
      </c>
    </row>
    <row r="344">
      <c r="A344" s="86" t="inlineStr">
        <is>
          <t>경남</t>
        </is>
      </c>
      <c r="B344" s="86" t="n">
        <v>2024</v>
      </c>
      <c r="C344" s="86" t="n">
        <v>7</v>
      </c>
      <c r="D344" s="86" t="inlineStr">
        <is>
          <t>2024-07</t>
        </is>
      </c>
      <c r="E344" s="87" t="n">
        <v>161.2</v>
      </c>
      <c r="F344" s="87" t="n">
        <v>146.8944</v>
      </c>
      <c r="G344" s="88">
        <f>DAY(EOMONTH(DATE(B344,C344,1),0))</f>
        <v/>
      </c>
      <c r="H344" s="89">
        <f>F344/G344</f>
        <v/>
      </c>
    </row>
    <row r="345">
      <c r="A345" s="86" t="inlineStr">
        <is>
          <t>경남</t>
        </is>
      </c>
      <c r="B345" s="86" t="n">
        <v>2024</v>
      </c>
      <c r="C345" s="86" t="n">
        <v>8</v>
      </c>
      <c r="D345" s="86" t="inlineStr">
        <is>
          <t>2024-08</t>
        </is>
      </c>
      <c r="E345" s="87" t="n">
        <v>277</v>
      </c>
      <c r="F345" s="87" t="n">
        <v>191.6972</v>
      </c>
      <c r="G345" s="88">
        <f>DAY(EOMONTH(DATE(B345,C345,1),0))</f>
        <v/>
      </c>
      <c r="H345" s="89">
        <f>F345/G345</f>
        <v/>
      </c>
    </row>
    <row r="346">
      <c r="A346" s="86" t="inlineStr">
        <is>
          <t>경남</t>
        </is>
      </c>
      <c r="B346" s="86" t="n">
        <v>2024</v>
      </c>
      <c r="C346" s="86" t="n">
        <v>9</v>
      </c>
      <c r="D346" s="86" t="inlineStr">
        <is>
          <t>2024-09</t>
        </is>
      </c>
      <c r="E346" s="87" t="n">
        <v>193.2</v>
      </c>
      <c r="F346" s="87" t="n">
        <v>138.4</v>
      </c>
      <c r="G346" s="88">
        <f>DAY(EOMONTH(DATE(B346,C346,1),0))</f>
        <v/>
      </c>
      <c r="H346" s="89">
        <f>F346/G346</f>
        <v/>
      </c>
    </row>
    <row r="347">
      <c r="A347" s="86" t="inlineStr">
        <is>
          <t>경남</t>
        </is>
      </c>
      <c r="B347" s="86" t="n">
        <v>2024</v>
      </c>
      <c r="C347" s="86" t="n">
        <v>10</v>
      </c>
      <c r="D347" s="86" t="inlineStr">
        <is>
          <t>2024-10</t>
        </is>
      </c>
      <c r="E347" s="87" t="n">
        <v>147.6</v>
      </c>
      <c r="F347" s="87" t="n">
        <v>101.2556</v>
      </c>
      <c r="G347" s="88">
        <f>DAY(EOMONTH(DATE(B347,C347,1),0))</f>
        <v/>
      </c>
      <c r="H347" s="89">
        <f>F347/G347</f>
        <v/>
      </c>
    </row>
    <row r="348">
      <c r="A348" s="86" t="inlineStr">
        <is>
          <t>경남</t>
        </is>
      </c>
      <c r="B348" s="86" t="n">
        <v>2024</v>
      </c>
      <c r="C348" s="86" t="n">
        <v>11</v>
      </c>
      <c r="D348" s="86" t="inlineStr">
        <is>
          <t>2024-11</t>
        </is>
      </c>
      <c r="E348" s="87" t="n">
        <v>173</v>
      </c>
      <c r="F348" s="87" t="n">
        <v>87.6611</v>
      </c>
      <c r="G348" s="88">
        <f>DAY(EOMONTH(DATE(B348,C348,1),0))</f>
        <v/>
      </c>
      <c r="H348" s="89">
        <f>F348/G348</f>
        <v/>
      </c>
    </row>
    <row r="349">
      <c r="A349" s="86" t="inlineStr">
        <is>
          <t>경남</t>
        </is>
      </c>
      <c r="B349" s="86" t="n">
        <v>2024</v>
      </c>
      <c r="C349" s="86" t="n">
        <v>12</v>
      </c>
      <c r="D349" s="86" t="inlineStr">
        <is>
          <t>2024-12</t>
        </is>
      </c>
      <c r="E349" s="87" t="n">
        <v>233.6</v>
      </c>
      <c r="F349" s="87" t="n">
        <v>93.2556</v>
      </c>
      <c r="G349" s="88">
        <f>DAY(EOMONTH(DATE(B349,C349,1),0))</f>
        <v/>
      </c>
      <c r="H349" s="89">
        <f>F349/G349</f>
        <v/>
      </c>
    </row>
    <row r="350">
      <c r="A350" s="86" t="inlineStr">
        <is>
          <t>경남</t>
        </is>
      </c>
      <c r="B350" s="86" t="n">
        <v>2025</v>
      </c>
      <c r="C350" s="86" t="n">
        <v>1</v>
      </c>
      <c r="D350" s="86" t="inlineStr">
        <is>
          <t>2025-01</t>
        </is>
      </c>
      <c r="E350" s="87" t="n">
        <v>230.7</v>
      </c>
      <c r="F350" s="87" t="n">
        <v>99.4944</v>
      </c>
      <c r="G350" s="88">
        <f>DAY(EOMONTH(DATE(B350,C350,1),0))</f>
        <v/>
      </c>
      <c r="H350" s="89">
        <f>F350/G350</f>
        <v/>
      </c>
    </row>
    <row r="351">
      <c r="A351" s="86" t="inlineStr">
        <is>
          <t>경남</t>
        </is>
      </c>
      <c r="B351" s="86" t="n">
        <v>2025</v>
      </c>
      <c r="C351" s="86" t="n">
        <v>2</v>
      </c>
      <c r="D351" s="86" t="inlineStr">
        <is>
          <t>2025-02</t>
        </is>
      </c>
      <c r="E351" s="87" t="n">
        <v>223.8</v>
      </c>
      <c r="F351" s="87" t="n">
        <v>119.1833</v>
      </c>
      <c r="G351" s="88">
        <f>DAY(EOMONTH(DATE(B351,C351,1),0))</f>
        <v/>
      </c>
      <c r="H351" s="89">
        <f>F351/G351</f>
        <v/>
      </c>
    </row>
    <row r="352">
      <c r="A352" s="86" t="inlineStr">
        <is>
          <t>경남</t>
        </is>
      </c>
      <c r="B352" s="86" t="n">
        <v>2025</v>
      </c>
      <c r="C352" s="86" t="n">
        <v>3</v>
      </c>
      <c r="D352" s="86" t="inlineStr">
        <is>
          <t>2025-03</t>
        </is>
      </c>
      <c r="E352" s="87" t="n">
        <v>204.1</v>
      </c>
      <c r="F352" s="87" t="n">
        <v>136.65</v>
      </c>
      <c r="G352" s="88">
        <f>DAY(EOMONTH(DATE(B352,C352,1),0))</f>
        <v/>
      </c>
      <c r="H352" s="89">
        <f>F352/G352</f>
        <v/>
      </c>
    </row>
    <row r="353">
      <c r="A353" s="86" t="inlineStr">
        <is>
          <t>경남</t>
        </is>
      </c>
      <c r="B353" s="86" t="n">
        <v>2025</v>
      </c>
      <c r="C353" s="86" t="n">
        <v>4</v>
      </c>
      <c r="D353" s="86" t="inlineStr">
        <is>
          <t>2025-04</t>
        </is>
      </c>
      <c r="E353" s="87" t="n">
        <v>242.3</v>
      </c>
      <c r="F353" s="87" t="n">
        <v>173.0444</v>
      </c>
      <c r="G353" s="88">
        <f>DAY(EOMONTH(DATE(B353,C353,1),0))</f>
        <v/>
      </c>
      <c r="H353" s="89">
        <f>F353/G353</f>
        <v/>
      </c>
    </row>
    <row r="354">
      <c r="A354" s="86" t="inlineStr">
        <is>
          <t>경남</t>
        </is>
      </c>
      <c r="B354" s="86" t="n">
        <v>2025</v>
      </c>
      <c r="C354" s="86" t="n">
        <v>5</v>
      </c>
      <c r="D354" s="86" t="inlineStr">
        <is>
          <t>2025-05</t>
        </is>
      </c>
      <c r="E354" s="87" t="n">
        <v>212.4</v>
      </c>
      <c r="F354" s="87" t="n">
        <v>166.4083</v>
      </c>
      <c r="G354" s="88">
        <f>DAY(EOMONTH(DATE(B354,C354,1),0))</f>
        <v/>
      </c>
      <c r="H354" s="89">
        <f>F354/G354</f>
        <v/>
      </c>
    </row>
    <row r="355">
      <c r="A355" s="86" t="inlineStr">
        <is>
          <t>경남</t>
        </is>
      </c>
      <c r="B355" s="86" t="n">
        <v>2025</v>
      </c>
      <c r="C355" s="86" t="n">
        <v>6</v>
      </c>
      <c r="D355" s="86" t="inlineStr">
        <is>
          <t>2025-06</t>
        </is>
      </c>
      <c r="E355" s="87" t="n">
        <v>204.8</v>
      </c>
      <c r="F355" s="87" t="n">
        <v>167.7417</v>
      </c>
      <c r="G355" s="88">
        <f>DAY(EOMONTH(DATE(B355,C355,1),0))</f>
        <v/>
      </c>
      <c r="H355" s="89">
        <f>F355/G355</f>
        <v/>
      </c>
    </row>
    <row r="356">
      <c r="A356" s="86" t="inlineStr">
        <is>
          <t>경남</t>
        </is>
      </c>
      <c r="B356" s="86" t="n">
        <v>2025</v>
      </c>
      <c r="C356" s="86" t="n">
        <v>7</v>
      </c>
      <c r="D356" s="86" t="inlineStr">
        <is>
          <t>2025-07</t>
        </is>
      </c>
      <c r="E356" s="87" t="n">
        <v>282.2</v>
      </c>
      <c r="F356" s="87" t="n">
        <v>201.2333</v>
      </c>
      <c r="G356" s="88">
        <f>DAY(EOMONTH(DATE(B356,C356,1),0))</f>
        <v/>
      </c>
      <c r="H356" s="89">
        <f>F356/G356</f>
        <v/>
      </c>
    </row>
    <row r="357">
      <c r="A357" s="86" t="inlineStr">
        <is>
          <t>경남</t>
        </is>
      </c>
      <c r="B357" s="86" t="n">
        <v>2025</v>
      </c>
      <c r="C357" s="86" t="n">
        <v>8</v>
      </c>
      <c r="D357" s="86" t="inlineStr">
        <is>
          <t>2025-08</t>
        </is>
      </c>
      <c r="E357" s="87" t="n">
        <v>243.2</v>
      </c>
      <c r="F357" s="87" t="n">
        <v>172.4389</v>
      </c>
      <c r="G357" s="88">
        <f>DAY(EOMONTH(DATE(B357,C357,1),0))</f>
        <v/>
      </c>
      <c r="H357" s="89">
        <f>F357/G357</f>
        <v/>
      </c>
    </row>
    <row r="358">
      <c r="A358" s="86" t="inlineStr">
        <is>
          <t>경남</t>
        </is>
      </c>
      <c r="B358" s="86" t="n">
        <v>2025</v>
      </c>
      <c r="C358" s="86" t="n">
        <v>9</v>
      </c>
      <c r="D358" s="86" t="inlineStr">
        <is>
          <t>2025-09</t>
        </is>
      </c>
      <c r="E358" s="87" t="n">
        <v>137.4</v>
      </c>
      <c r="F358" s="87" t="n">
        <v>118.1722</v>
      </c>
      <c r="G358" s="88">
        <f>DAY(EOMONTH(DATE(B358,C358,1),0))</f>
        <v/>
      </c>
      <c r="H358" s="89">
        <f>F358/G358</f>
        <v/>
      </c>
    </row>
    <row r="359">
      <c r="A359" s="86" t="inlineStr">
        <is>
          <t>경남</t>
        </is>
      </c>
      <c r="B359" s="86" t="n">
        <v>2025</v>
      </c>
      <c r="C359" s="86" t="n">
        <v>10</v>
      </c>
      <c r="D359" s="86" t="inlineStr">
        <is>
          <t>2025-10</t>
        </is>
      </c>
      <c r="E359" s="87" t="n">
        <v>130.5</v>
      </c>
      <c r="F359" s="87" t="n">
        <v>93.9611</v>
      </c>
      <c r="G359" s="88">
        <f>DAY(EOMONTH(DATE(B359,C359,1),0))</f>
        <v/>
      </c>
      <c r="H359" s="89">
        <f>F359/G359</f>
        <v/>
      </c>
    </row>
    <row r="360">
      <c r="A360" s="86" t="inlineStr">
        <is>
          <t>경남</t>
        </is>
      </c>
      <c r="B360" s="86" t="n">
        <v>2025</v>
      </c>
      <c r="C360" s="86" t="n">
        <v>11</v>
      </c>
      <c r="D360" s="86" t="inlineStr">
        <is>
          <t>2025-11</t>
        </is>
      </c>
      <c r="E360" s="87" t="n">
        <v>223.9</v>
      </c>
      <c r="F360" s="87" t="n">
        <v>103.0639</v>
      </c>
      <c r="G360" s="88">
        <f>DAY(EOMONTH(DATE(B360,C360,1),0))</f>
        <v/>
      </c>
      <c r="H360" s="89">
        <f>F360/G360</f>
        <v/>
      </c>
    </row>
    <row r="361">
      <c r="A361" s="86" t="inlineStr">
        <is>
          <t>경남</t>
        </is>
      </c>
      <c r="B361" s="86" t="n">
        <v>2025</v>
      </c>
      <c r="C361" s="86" t="n">
        <v>12</v>
      </c>
      <c r="D361" s="86" t="inlineStr">
        <is>
          <t>2025-12</t>
        </is>
      </c>
      <c r="E361" s="87" t="n">
        <v>203</v>
      </c>
      <c r="F361" s="87" t="n">
        <v>87.125</v>
      </c>
      <c r="G361" s="88">
        <f>DAY(EOMONTH(DATE(B361,C361,1),0))</f>
        <v/>
      </c>
      <c r="H361" s="89">
        <f>F361/G361</f>
        <v/>
      </c>
    </row>
    <row r="362">
      <c r="A362" s="86" t="inlineStr">
        <is>
          <t>경북</t>
        </is>
      </c>
      <c r="B362" s="86" t="n">
        <v>2016</v>
      </c>
      <c r="C362" s="86" t="n">
        <v>1</v>
      </c>
      <c r="D362" s="86" t="inlineStr">
        <is>
          <t>2016-01</t>
        </is>
      </c>
      <c r="E362" s="87" t="n">
        <v>206.7</v>
      </c>
      <c r="F362" s="87" t="n">
        <v>72.65560000000001</v>
      </c>
      <c r="G362" s="88">
        <f>DAY(EOMONTH(DATE(B362,C362,1),0))</f>
        <v/>
      </c>
      <c r="H362" s="89">
        <f>F362/G362</f>
        <v/>
      </c>
    </row>
    <row r="363">
      <c r="A363" s="86" t="inlineStr">
        <is>
          <t>경북</t>
        </is>
      </c>
      <c r="B363" s="86" t="n">
        <v>2016</v>
      </c>
      <c r="C363" s="86" t="n">
        <v>2</v>
      </c>
      <c r="D363" s="86" t="inlineStr">
        <is>
          <t>2016-02</t>
        </is>
      </c>
      <c r="E363" s="87" t="n">
        <v>213.4</v>
      </c>
      <c r="F363" s="87" t="n">
        <v>92.5222</v>
      </c>
      <c r="G363" s="88">
        <f>DAY(EOMONTH(DATE(B363,C363,1),0))</f>
        <v/>
      </c>
      <c r="H363" s="89">
        <f>F363/G363</f>
        <v/>
      </c>
    </row>
    <row r="364">
      <c r="A364" s="86" t="inlineStr">
        <is>
          <t>경북</t>
        </is>
      </c>
      <c r="B364" s="86" t="n">
        <v>2016</v>
      </c>
      <c r="C364" s="86" t="n">
        <v>3</v>
      </c>
      <c r="D364" s="86" t="inlineStr">
        <is>
          <t>2016-03</t>
        </is>
      </c>
      <c r="E364" s="87" t="n">
        <v>210.9</v>
      </c>
      <c r="F364" s="87" t="n">
        <v>120.6111</v>
      </c>
      <c r="G364" s="88">
        <f>DAY(EOMONTH(DATE(B364,C364,1),0))</f>
        <v/>
      </c>
      <c r="H364" s="89">
        <f>F364/G364</f>
        <v/>
      </c>
    </row>
    <row r="365">
      <c r="A365" s="86" t="inlineStr">
        <is>
          <t>경북</t>
        </is>
      </c>
      <c r="B365" s="86" t="n">
        <v>2016</v>
      </c>
      <c r="C365" s="86" t="n">
        <v>4</v>
      </c>
      <c r="D365" s="86" t="inlineStr">
        <is>
          <t>2016-04</t>
        </is>
      </c>
      <c r="E365" s="87" t="n">
        <v>211</v>
      </c>
      <c r="F365" s="87" t="n">
        <v>134.0528</v>
      </c>
      <c r="G365" s="88">
        <f>DAY(EOMONTH(DATE(B365,C365,1),0))</f>
        <v/>
      </c>
      <c r="H365" s="89">
        <f>F365/G365</f>
        <v/>
      </c>
    </row>
    <row r="366">
      <c r="A366" s="86" t="inlineStr">
        <is>
          <t>경북</t>
        </is>
      </c>
      <c r="B366" s="86" t="n">
        <v>2016</v>
      </c>
      <c r="C366" s="86" t="n">
        <v>5</v>
      </c>
      <c r="D366" s="86" t="inlineStr">
        <is>
          <t>2016-05</t>
        </is>
      </c>
      <c r="E366" s="87" t="n">
        <v>291.8</v>
      </c>
      <c r="F366" s="87" t="n">
        <v>176.075</v>
      </c>
      <c r="G366" s="88">
        <f>DAY(EOMONTH(DATE(B366,C366,1),0))</f>
        <v/>
      </c>
      <c r="H366" s="89">
        <f>F366/G366</f>
        <v/>
      </c>
    </row>
    <row r="367">
      <c r="A367" s="86" t="inlineStr">
        <is>
          <t>경북</t>
        </is>
      </c>
      <c r="B367" s="86" t="n">
        <v>2016</v>
      </c>
      <c r="C367" s="86" t="n">
        <v>6</v>
      </c>
      <c r="D367" s="86" t="inlineStr">
        <is>
          <t>2016-06</t>
        </is>
      </c>
      <c r="E367" s="87" t="n">
        <v>207.2</v>
      </c>
      <c r="F367" s="87" t="n">
        <v>144.3167</v>
      </c>
      <c r="G367" s="88">
        <f>DAY(EOMONTH(DATE(B367,C367,1),0))</f>
        <v/>
      </c>
      <c r="H367" s="89">
        <f>F367/G367</f>
        <v/>
      </c>
    </row>
    <row r="368">
      <c r="A368" s="86" t="inlineStr">
        <is>
          <t>경북</t>
        </is>
      </c>
      <c r="B368" s="86" t="n">
        <v>2016</v>
      </c>
      <c r="C368" s="86" t="n">
        <v>7</v>
      </c>
      <c r="D368" s="86" t="inlineStr">
        <is>
          <t>2016-07</t>
        </is>
      </c>
      <c r="E368" s="87" t="n">
        <v>186.2</v>
      </c>
      <c r="F368" s="87" t="n">
        <v>137.9472</v>
      </c>
      <c r="G368" s="88">
        <f>DAY(EOMONTH(DATE(B368,C368,1),0))</f>
        <v/>
      </c>
      <c r="H368" s="89">
        <f>F368/G368</f>
        <v/>
      </c>
    </row>
    <row r="369">
      <c r="A369" s="86" t="inlineStr">
        <is>
          <t>경북</t>
        </is>
      </c>
      <c r="B369" s="86" t="n">
        <v>2016</v>
      </c>
      <c r="C369" s="86" t="n">
        <v>8</v>
      </c>
      <c r="D369" s="86" t="inlineStr">
        <is>
          <t>2016-08</t>
        </is>
      </c>
      <c r="E369" s="87" t="n">
        <v>267.7</v>
      </c>
      <c r="F369" s="87" t="n">
        <v>159.8</v>
      </c>
      <c r="G369" s="88">
        <f>DAY(EOMONTH(DATE(B369,C369,1),0))</f>
        <v/>
      </c>
      <c r="H369" s="89">
        <f>F369/G369</f>
        <v/>
      </c>
    </row>
    <row r="370">
      <c r="A370" s="86" t="inlineStr">
        <is>
          <t>경북</t>
        </is>
      </c>
      <c r="B370" s="86" t="n">
        <v>2016</v>
      </c>
      <c r="C370" s="86" t="n">
        <v>9</v>
      </c>
      <c r="D370" s="86" t="inlineStr">
        <is>
          <t>2016-09</t>
        </is>
      </c>
      <c r="E370" s="87" t="n">
        <v>109.3</v>
      </c>
      <c r="F370" s="87" t="n">
        <v>82.78060000000001</v>
      </c>
      <c r="G370" s="88">
        <f>DAY(EOMONTH(DATE(B370,C370,1),0))</f>
        <v/>
      </c>
      <c r="H370" s="89">
        <f>F370/G370</f>
        <v/>
      </c>
    </row>
    <row r="371">
      <c r="A371" s="86" t="inlineStr">
        <is>
          <t>경북</t>
        </is>
      </c>
      <c r="B371" s="86" t="n">
        <v>2016</v>
      </c>
      <c r="C371" s="86" t="n">
        <v>10</v>
      </c>
      <c r="D371" s="86" t="inlineStr">
        <is>
          <t>2016-10</t>
        </is>
      </c>
      <c r="E371" s="87" t="n">
        <v>138.4</v>
      </c>
      <c r="F371" s="87" t="n">
        <v>78.77500000000001</v>
      </c>
      <c r="G371" s="88">
        <f>DAY(EOMONTH(DATE(B371,C371,1),0))</f>
        <v/>
      </c>
      <c r="H371" s="89">
        <f>F371/G371</f>
        <v/>
      </c>
    </row>
    <row r="372">
      <c r="A372" s="86" t="inlineStr">
        <is>
          <t>경북</t>
        </is>
      </c>
      <c r="B372" s="86" t="n">
        <v>2016</v>
      </c>
      <c r="C372" s="86" t="n">
        <v>11</v>
      </c>
      <c r="D372" s="86" t="inlineStr">
        <is>
          <t>2016-11</t>
        </is>
      </c>
      <c r="E372" s="87" t="n">
        <v>176.4</v>
      </c>
      <c r="F372" s="87" t="n">
        <v>70.825</v>
      </c>
      <c r="G372" s="88">
        <f>DAY(EOMONTH(DATE(B372,C372,1),0))</f>
        <v/>
      </c>
      <c r="H372" s="89">
        <f>F372/G372</f>
        <v/>
      </c>
    </row>
    <row r="373">
      <c r="A373" s="86" t="inlineStr">
        <is>
          <t>경북</t>
        </is>
      </c>
      <c r="B373" s="86" t="n">
        <v>2016</v>
      </c>
      <c r="C373" s="86" t="n">
        <v>12</v>
      </c>
      <c r="D373" s="86" t="inlineStr">
        <is>
          <t>2016-12</t>
        </is>
      </c>
      <c r="E373" s="87" t="n">
        <v>182.9</v>
      </c>
      <c r="F373" s="87" t="n">
        <v>64.4556</v>
      </c>
      <c r="G373" s="88">
        <f>DAY(EOMONTH(DATE(B373,C373,1),0))</f>
        <v/>
      </c>
      <c r="H373" s="89">
        <f>F373/G373</f>
        <v/>
      </c>
    </row>
    <row r="374">
      <c r="A374" s="86" t="inlineStr">
        <is>
          <t>경북</t>
        </is>
      </c>
      <c r="B374" s="86" t="n">
        <v>2017</v>
      </c>
      <c r="C374" s="86" t="n">
        <v>1</v>
      </c>
      <c r="D374" s="86" t="inlineStr">
        <is>
          <t>2017-01</t>
        </is>
      </c>
      <c r="E374" s="87" t="n">
        <v>218.4</v>
      </c>
      <c r="F374" s="87" t="n">
        <v>79.5722</v>
      </c>
      <c r="G374" s="88">
        <f>DAY(EOMONTH(DATE(B374,C374,1),0))</f>
        <v/>
      </c>
      <c r="H374" s="89">
        <f>F374/G374</f>
        <v/>
      </c>
    </row>
    <row r="375">
      <c r="A375" s="86" t="inlineStr">
        <is>
          <t>경북</t>
        </is>
      </c>
      <c r="B375" s="86" t="n">
        <v>2017</v>
      </c>
      <c r="C375" s="86" t="n">
        <v>2</v>
      </c>
      <c r="D375" s="86" t="inlineStr">
        <is>
          <t>2017-02</t>
        </is>
      </c>
      <c r="E375" s="87" t="n">
        <v>225.2</v>
      </c>
      <c r="F375" s="87" t="n">
        <v>100.1139</v>
      </c>
      <c r="G375" s="88">
        <f>DAY(EOMONTH(DATE(B375,C375,1),0))</f>
        <v/>
      </c>
      <c r="H375" s="89">
        <f>F375/G375</f>
        <v/>
      </c>
    </row>
    <row r="376">
      <c r="A376" s="86" t="inlineStr">
        <is>
          <t>경북</t>
        </is>
      </c>
      <c r="B376" s="86" t="n">
        <v>2017</v>
      </c>
      <c r="C376" s="86" t="n">
        <v>3</v>
      </c>
      <c r="D376" s="86" t="inlineStr">
        <is>
          <t>2017-03</t>
        </is>
      </c>
      <c r="E376" s="87" t="n">
        <v>233.9</v>
      </c>
      <c r="F376" s="87" t="n">
        <v>126.9472</v>
      </c>
      <c r="G376" s="88">
        <f>DAY(EOMONTH(DATE(B376,C376,1),0))</f>
        <v/>
      </c>
      <c r="H376" s="89">
        <f>F376/G376</f>
        <v/>
      </c>
    </row>
    <row r="377">
      <c r="A377" s="86" t="inlineStr">
        <is>
          <t>경북</t>
        </is>
      </c>
      <c r="B377" s="86" t="n">
        <v>2017</v>
      </c>
      <c r="C377" s="86" t="n">
        <v>4</v>
      </c>
      <c r="D377" s="86" t="inlineStr">
        <is>
          <t>2017-04</t>
        </is>
      </c>
      <c r="E377" s="87" t="n">
        <v>251.9</v>
      </c>
      <c r="F377" s="87" t="n">
        <v>150.2028</v>
      </c>
      <c r="G377" s="88">
        <f>DAY(EOMONTH(DATE(B377,C377,1),0))</f>
        <v/>
      </c>
      <c r="H377" s="89">
        <f>F377/G377</f>
        <v/>
      </c>
    </row>
    <row r="378">
      <c r="A378" s="86" t="inlineStr">
        <is>
          <t>경북</t>
        </is>
      </c>
      <c r="B378" s="86" t="n">
        <v>2017</v>
      </c>
      <c r="C378" s="86" t="n">
        <v>5</v>
      </c>
      <c r="D378" s="86" t="inlineStr">
        <is>
          <t>2017-05</t>
        </is>
      </c>
      <c r="E378" s="87" t="n">
        <v>289.2</v>
      </c>
      <c r="F378" s="87" t="n">
        <v>177.7167</v>
      </c>
      <c r="G378" s="88">
        <f>DAY(EOMONTH(DATE(B378,C378,1),0))</f>
        <v/>
      </c>
      <c r="H378" s="89">
        <f>F378/G378</f>
        <v/>
      </c>
    </row>
    <row r="379">
      <c r="A379" s="86" t="inlineStr">
        <is>
          <t>경북</t>
        </is>
      </c>
      <c r="B379" s="86" t="n">
        <v>2017</v>
      </c>
      <c r="C379" s="86" t="n">
        <v>6</v>
      </c>
      <c r="D379" s="86" t="inlineStr">
        <is>
          <t>2017-06</t>
        </is>
      </c>
      <c r="E379" s="87" t="n">
        <v>278.7</v>
      </c>
      <c r="F379" s="87" t="n">
        <v>174.8694</v>
      </c>
      <c r="G379" s="88">
        <f>DAY(EOMONTH(DATE(B379,C379,1),0))</f>
        <v/>
      </c>
      <c r="H379" s="89">
        <f>F379/G379</f>
        <v/>
      </c>
    </row>
    <row r="380">
      <c r="A380" s="86" t="inlineStr">
        <is>
          <t>경북</t>
        </is>
      </c>
      <c r="B380" s="86" t="n">
        <v>2017</v>
      </c>
      <c r="C380" s="86" t="n">
        <v>7</v>
      </c>
      <c r="D380" s="86" t="inlineStr">
        <is>
          <t>2017-07</t>
        </is>
      </c>
      <c r="E380" s="87" t="n">
        <v>170.3</v>
      </c>
      <c r="F380" s="87" t="n">
        <v>114.9111</v>
      </c>
      <c r="G380" s="88">
        <f>DAY(EOMONTH(DATE(B380,C380,1),0))</f>
        <v/>
      </c>
      <c r="H380" s="89">
        <f>F380/G380</f>
        <v/>
      </c>
    </row>
    <row r="381">
      <c r="A381" s="86" t="inlineStr">
        <is>
          <t>경북</t>
        </is>
      </c>
      <c r="B381" s="86" t="n">
        <v>2017</v>
      </c>
      <c r="C381" s="86" t="n">
        <v>8</v>
      </c>
      <c r="D381" s="86" t="inlineStr">
        <is>
          <t>2017-08</t>
        </is>
      </c>
      <c r="E381" s="87" t="n">
        <v>195.7</v>
      </c>
      <c r="F381" s="87" t="n">
        <v>122.9278</v>
      </c>
      <c r="G381" s="88">
        <f>DAY(EOMONTH(DATE(B381,C381,1),0))</f>
        <v/>
      </c>
      <c r="H381" s="89">
        <f>F381/G381</f>
        <v/>
      </c>
    </row>
    <row r="382">
      <c r="A382" s="86" t="inlineStr">
        <is>
          <t>경북</t>
        </is>
      </c>
      <c r="B382" s="86" t="n">
        <v>2017</v>
      </c>
      <c r="C382" s="86" t="n">
        <v>9</v>
      </c>
      <c r="D382" s="86" t="inlineStr">
        <is>
          <t>2017-09</t>
        </is>
      </c>
      <c r="E382" s="87" t="n">
        <v>223</v>
      </c>
      <c r="F382" s="87" t="n">
        <v>113.8194</v>
      </c>
      <c r="G382" s="88">
        <f>DAY(EOMONTH(DATE(B382,C382,1),0))</f>
        <v/>
      </c>
      <c r="H382" s="89">
        <f>F382/G382</f>
        <v/>
      </c>
    </row>
    <row r="383">
      <c r="A383" s="86" t="inlineStr">
        <is>
          <t>경북</t>
        </is>
      </c>
      <c r="B383" s="86" t="n">
        <v>2017</v>
      </c>
      <c r="C383" s="86" t="n">
        <v>10</v>
      </c>
      <c r="D383" s="86" t="inlineStr">
        <is>
          <t>2017-10</t>
        </is>
      </c>
      <c r="E383" s="87" t="n">
        <v>159.3</v>
      </c>
      <c r="F383" s="87" t="n">
        <v>80.62220000000001</v>
      </c>
      <c r="G383" s="88">
        <f>DAY(EOMONTH(DATE(B383,C383,1),0))</f>
        <v/>
      </c>
      <c r="H383" s="89">
        <f>F383/G383</f>
        <v/>
      </c>
    </row>
    <row r="384">
      <c r="A384" s="86" t="inlineStr">
        <is>
          <t>경북</t>
        </is>
      </c>
      <c r="B384" s="86" t="n">
        <v>2017</v>
      </c>
      <c r="C384" s="86" t="n">
        <v>11</v>
      </c>
      <c r="D384" s="86" t="inlineStr">
        <is>
          <t>2017-11</t>
        </is>
      </c>
      <c r="E384" s="87" t="n">
        <v>229.1</v>
      </c>
      <c r="F384" s="87" t="n">
        <v>73.0472</v>
      </c>
      <c r="G384" s="88">
        <f>DAY(EOMONTH(DATE(B384,C384,1),0))</f>
        <v/>
      </c>
      <c r="H384" s="89">
        <f>F384/G384</f>
        <v/>
      </c>
    </row>
    <row r="385">
      <c r="A385" s="86" t="inlineStr">
        <is>
          <t>경북</t>
        </is>
      </c>
      <c r="B385" s="86" t="n">
        <v>2017</v>
      </c>
      <c r="C385" s="86" t="n">
        <v>12</v>
      </c>
      <c r="D385" s="86" t="inlineStr">
        <is>
          <t>2017-12</t>
        </is>
      </c>
      <c r="E385" s="87" t="n">
        <v>235.6</v>
      </c>
      <c r="F385" s="87" t="n">
        <v>68.8944</v>
      </c>
      <c r="G385" s="88">
        <f>DAY(EOMONTH(DATE(B385,C385,1),0))</f>
        <v/>
      </c>
      <c r="H385" s="89">
        <f>F385/G385</f>
        <v/>
      </c>
    </row>
    <row r="386">
      <c r="A386" s="86" t="inlineStr">
        <is>
          <t>경북</t>
        </is>
      </c>
      <c r="B386" s="86" t="n">
        <v>2018</v>
      </c>
      <c r="C386" s="86" t="n">
        <v>1</v>
      </c>
      <c r="D386" s="86" t="inlineStr">
        <is>
          <t>2018-01</t>
        </is>
      </c>
      <c r="E386" s="87" t="n">
        <v>220.1</v>
      </c>
      <c r="F386" s="87" t="n">
        <v>73.52500000000001</v>
      </c>
      <c r="G386" s="88">
        <f>DAY(EOMONTH(DATE(B386,C386,1),0))</f>
        <v/>
      </c>
      <c r="H386" s="89">
        <f>F386/G386</f>
        <v/>
      </c>
    </row>
    <row r="387">
      <c r="A387" s="86" t="inlineStr">
        <is>
          <t>경북</t>
        </is>
      </c>
      <c r="B387" s="86" t="n">
        <v>2018</v>
      </c>
      <c r="C387" s="86" t="n">
        <v>2</v>
      </c>
      <c r="D387" s="86" t="inlineStr">
        <is>
          <t>2018-02</t>
        </is>
      </c>
      <c r="E387" s="87" t="n">
        <v>220.7</v>
      </c>
      <c r="F387" s="87" t="n">
        <v>86.9111</v>
      </c>
      <c r="G387" s="88">
        <f>DAY(EOMONTH(DATE(B387,C387,1),0))</f>
        <v/>
      </c>
      <c r="H387" s="89">
        <f>F387/G387</f>
        <v/>
      </c>
    </row>
    <row r="388">
      <c r="A388" s="86" t="inlineStr">
        <is>
          <t>경북</t>
        </is>
      </c>
      <c r="B388" s="86" t="n">
        <v>2018</v>
      </c>
      <c r="C388" s="86" t="n">
        <v>3</v>
      </c>
      <c r="D388" s="86" t="inlineStr">
        <is>
          <t>2018-03</t>
        </is>
      </c>
      <c r="E388" s="87" t="n">
        <v>225.1</v>
      </c>
      <c r="F388" s="87" t="n">
        <v>118.3611</v>
      </c>
      <c r="G388" s="88">
        <f>DAY(EOMONTH(DATE(B388,C388,1),0))</f>
        <v/>
      </c>
      <c r="H388" s="89">
        <f>F388/G388</f>
        <v/>
      </c>
    </row>
    <row r="389">
      <c r="A389" s="86" t="inlineStr">
        <is>
          <t>경북</t>
        </is>
      </c>
      <c r="B389" s="86" t="n">
        <v>2018</v>
      </c>
      <c r="C389" s="86" t="n">
        <v>4</v>
      </c>
      <c r="D389" s="86" t="inlineStr">
        <is>
          <t>2018-04</t>
        </is>
      </c>
      <c r="E389" s="87" t="n">
        <v>248.8</v>
      </c>
      <c r="F389" s="87" t="n">
        <v>159.0583</v>
      </c>
      <c r="G389" s="88">
        <f>DAY(EOMONTH(DATE(B389,C389,1),0))</f>
        <v/>
      </c>
      <c r="H389" s="89">
        <f>F389/G389</f>
        <v/>
      </c>
    </row>
    <row r="390">
      <c r="A390" s="86" t="inlineStr">
        <is>
          <t>경북</t>
        </is>
      </c>
      <c r="B390" s="86" t="n">
        <v>2018</v>
      </c>
      <c r="C390" s="86" t="n">
        <v>5</v>
      </c>
      <c r="D390" s="86" t="inlineStr">
        <is>
          <t>2018-05</t>
        </is>
      </c>
      <c r="E390" s="87" t="n">
        <v>213.9</v>
      </c>
      <c r="F390" s="87" t="n">
        <v>164.9333</v>
      </c>
      <c r="G390" s="88">
        <f>DAY(EOMONTH(DATE(B390,C390,1),0))</f>
        <v/>
      </c>
      <c r="H390" s="89">
        <f>F390/G390</f>
        <v/>
      </c>
    </row>
    <row r="391">
      <c r="A391" s="86" t="inlineStr">
        <is>
          <t>경북</t>
        </is>
      </c>
      <c r="B391" s="86" t="n">
        <v>2018</v>
      </c>
      <c r="C391" s="86" t="n">
        <v>6</v>
      </c>
      <c r="D391" s="86" t="inlineStr">
        <is>
          <t>2018-06</t>
        </is>
      </c>
      <c r="E391" s="87" t="n">
        <v>212.1</v>
      </c>
      <c r="F391" s="87" t="n">
        <v>161.7278</v>
      </c>
      <c r="G391" s="88">
        <f>DAY(EOMONTH(DATE(B391,C391,1),0))</f>
        <v/>
      </c>
      <c r="H391" s="89">
        <f>F391/G391</f>
        <v/>
      </c>
    </row>
    <row r="392">
      <c r="A392" s="86" t="inlineStr">
        <is>
          <t>경북</t>
        </is>
      </c>
      <c r="B392" s="86" t="n">
        <v>2018</v>
      </c>
      <c r="C392" s="86" t="n">
        <v>7</v>
      </c>
      <c r="D392" s="86" t="inlineStr">
        <is>
          <t>2018-07</t>
        </is>
      </c>
      <c r="E392" s="87" t="n">
        <v>248.4</v>
      </c>
      <c r="F392" s="87" t="n">
        <v>173.8111</v>
      </c>
      <c r="G392" s="88">
        <f>DAY(EOMONTH(DATE(B392,C392,1),0))</f>
        <v/>
      </c>
      <c r="H392" s="89">
        <f>F392/G392</f>
        <v/>
      </c>
    </row>
    <row r="393">
      <c r="A393" s="86" t="inlineStr">
        <is>
          <t>경북</t>
        </is>
      </c>
      <c r="B393" s="86" t="n">
        <v>2018</v>
      </c>
      <c r="C393" s="86" t="n">
        <v>8</v>
      </c>
      <c r="D393" s="86" t="inlineStr">
        <is>
          <t>2018-08</t>
        </is>
      </c>
      <c r="E393" s="87" t="n">
        <v>214.2</v>
      </c>
      <c r="F393" s="87" t="n">
        <v>152.5194</v>
      </c>
      <c r="G393" s="88">
        <f>DAY(EOMONTH(DATE(B393,C393,1),0))</f>
        <v/>
      </c>
      <c r="H393" s="89">
        <f>F393/G393</f>
        <v/>
      </c>
    </row>
    <row r="394">
      <c r="A394" s="86" t="inlineStr">
        <is>
          <t>경북</t>
        </is>
      </c>
      <c r="B394" s="86" t="n">
        <v>2018</v>
      </c>
      <c r="C394" s="86" t="n">
        <v>9</v>
      </c>
      <c r="D394" s="86" t="inlineStr">
        <is>
          <t>2018-09</t>
        </is>
      </c>
      <c r="E394" s="87" t="n">
        <v>146.1</v>
      </c>
      <c r="F394" s="87" t="n">
        <v>109.0167</v>
      </c>
      <c r="G394" s="88">
        <f>DAY(EOMONTH(DATE(B394,C394,1),0))</f>
        <v/>
      </c>
      <c r="H394" s="89">
        <f>F394/G394</f>
        <v/>
      </c>
    </row>
    <row r="395">
      <c r="A395" s="86" t="inlineStr">
        <is>
          <t>경북</t>
        </is>
      </c>
      <c r="B395" s="86" t="n">
        <v>2018</v>
      </c>
      <c r="C395" s="86" t="n">
        <v>10</v>
      </c>
      <c r="D395" s="86" t="inlineStr">
        <is>
          <t>2018-10</t>
        </is>
      </c>
      <c r="E395" s="87" t="n">
        <v>224</v>
      </c>
      <c r="F395" s="87" t="n">
        <v>116.1917</v>
      </c>
      <c r="G395" s="88">
        <f>DAY(EOMONTH(DATE(B395,C395,1),0))</f>
        <v/>
      </c>
      <c r="H395" s="89">
        <f>F395/G395</f>
        <v/>
      </c>
    </row>
    <row r="396">
      <c r="A396" s="86" t="inlineStr">
        <is>
          <t>경북</t>
        </is>
      </c>
      <c r="B396" s="86" t="n">
        <v>2018</v>
      </c>
      <c r="C396" s="86" t="n">
        <v>11</v>
      </c>
      <c r="D396" s="86" t="inlineStr">
        <is>
          <t>2018-11</t>
        </is>
      </c>
      <c r="E396" s="87" t="n">
        <v>176.4</v>
      </c>
      <c r="F396" s="87" t="n">
        <v>79.63330000000001</v>
      </c>
      <c r="G396" s="88">
        <f>DAY(EOMONTH(DATE(B396,C396,1),0))</f>
        <v/>
      </c>
      <c r="H396" s="89">
        <f>F396/G396</f>
        <v/>
      </c>
    </row>
    <row r="397">
      <c r="A397" s="86" t="inlineStr">
        <is>
          <t>경북</t>
        </is>
      </c>
      <c r="B397" s="86" t="n">
        <v>2018</v>
      </c>
      <c r="C397" s="86" t="n">
        <v>12</v>
      </c>
      <c r="D397" s="86" t="inlineStr">
        <is>
          <t>2018-12</t>
        </is>
      </c>
      <c r="E397" s="87" t="n">
        <v>193.5</v>
      </c>
      <c r="F397" s="87" t="n">
        <v>73.27500000000001</v>
      </c>
      <c r="G397" s="88">
        <f>DAY(EOMONTH(DATE(B397,C397,1),0))</f>
        <v/>
      </c>
      <c r="H397" s="89">
        <f>F397/G397</f>
        <v/>
      </c>
    </row>
    <row r="398">
      <c r="A398" s="86" t="inlineStr">
        <is>
          <t>경북</t>
        </is>
      </c>
      <c r="B398" s="86" t="n">
        <v>2019</v>
      </c>
      <c r="C398" s="86" t="n">
        <v>1</v>
      </c>
      <c r="D398" s="86" t="inlineStr">
        <is>
          <t>2019-01</t>
        </is>
      </c>
      <c r="E398" s="87" t="n">
        <v>233.4</v>
      </c>
      <c r="F398" s="87" t="n">
        <v>89.2139</v>
      </c>
      <c r="G398" s="88">
        <f>DAY(EOMONTH(DATE(B398,C398,1),0))</f>
        <v/>
      </c>
      <c r="H398" s="89">
        <f>F398/G398</f>
        <v/>
      </c>
    </row>
    <row r="399">
      <c r="A399" s="86" t="inlineStr">
        <is>
          <t>경북</t>
        </is>
      </c>
      <c r="B399" s="86" t="n">
        <v>2019</v>
      </c>
      <c r="C399" s="86" t="n">
        <v>2</v>
      </c>
      <c r="D399" s="86" t="inlineStr">
        <is>
          <t>2019-02</t>
        </is>
      </c>
      <c r="E399" s="87" t="n">
        <v>196.9</v>
      </c>
      <c r="F399" s="87" t="n">
        <v>94.8944</v>
      </c>
      <c r="G399" s="88">
        <f>DAY(EOMONTH(DATE(B399,C399,1),0))</f>
        <v/>
      </c>
      <c r="H399" s="89">
        <f>F399/G399</f>
        <v/>
      </c>
    </row>
    <row r="400">
      <c r="A400" s="86" t="inlineStr">
        <is>
          <t>경북</t>
        </is>
      </c>
      <c r="B400" s="86" t="n">
        <v>2019</v>
      </c>
      <c r="C400" s="86" t="n">
        <v>3</v>
      </c>
      <c r="D400" s="86" t="inlineStr">
        <is>
          <t>2019-03</t>
        </is>
      </c>
      <c r="E400" s="87" t="n">
        <v>241.6</v>
      </c>
      <c r="F400" s="87" t="n">
        <v>136.4583</v>
      </c>
      <c r="G400" s="88">
        <f>DAY(EOMONTH(DATE(B400,C400,1),0))</f>
        <v/>
      </c>
      <c r="H400" s="89">
        <f>F400/G400</f>
        <v/>
      </c>
    </row>
    <row r="401">
      <c r="A401" s="86" t="inlineStr">
        <is>
          <t>경북</t>
        </is>
      </c>
      <c r="B401" s="86" t="n">
        <v>2019</v>
      </c>
      <c r="C401" s="86" t="n">
        <v>4</v>
      </c>
      <c r="D401" s="86" t="inlineStr">
        <is>
          <t>2019-04</t>
        </is>
      </c>
      <c r="E401" s="87" t="n">
        <v>209.8</v>
      </c>
      <c r="F401" s="87" t="n">
        <v>140.8222</v>
      </c>
      <c r="G401" s="88">
        <f>DAY(EOMONTH(DATE(B401,C401,1),0))</f>
        <v/>
      </c>
      <c r="H401" s="89">
        <f>F401/G401</f>
        <v/>
      </c>
    </row>
    <row r="402">
      <c r="A402" s="86" t="inlineStr">
        <is>
          <t>경북</t>
        </is>
      </c>
      <c r="B402" s="86" t="n">
        <v>2019</v>
      </c>
      <c r="C402" s="86" t="n">
        <v>5</v>
      </c>
      <c r="D402" s="86" t="inlineStr">
        <is>
          <t>2019-05</t>
        </is>
      </c>
      <c r="E402" s="87" t="n">
        <v>297.3</v>
      </c>
      <c r="F402" s="87" t="n">
        <v>196.8944</v>
      </c>
      <c r="G402" s="88">
        <f>DAY(EOMONTH(DATE(B402,C402,1),0))</f>
        <v/>
      </c>
      <c r="H402" s="89">
        <f>F402/G402</f>
        <v/>
      </c>
    </row>
    <row r="403">
      <c r="A403" s="86" t="inlineStr">
        <is>
          <t>경북</t>
        </is>
      </c>
      <c r="B403" s="86" t="n">
        <v>2019</v>
      </c>
      <c r="C403" s="86" t="n">
        <v>6</v>
      </c>
      <c r="D403" s="86" t="inlineStr">
        <is>
          <t>2019-06</t>
        </is>
      </c>
      <c r="E403" s="87" t="n">
        <v>237.6</v>
      </c>
      <c r="F403" s="87" t="n">
        <v>171.2194</v>
      </c>
      <c r="G403" s="88">
        <f>DAY(EOMONTH(DATE(B403,C403,1),0))</f>
        <v/>
      </c>
      <c r="H403" s="89">
        <f>F403/G403</f>
        <v/>
      </c>
    </row>
    <row r="404">
      <c r="A404" s="86" t="inlineStr">
        <is>
          <t>경북</t>
        </is>
      </c>
      <c r="B404" s="86" t="n">
        <v>2019</v>
      </c>
      <c r="C404" s="86" t="n">
        <v>7</v>
      </c>
      <c r="D404" s="86" t="inlineStr">
        <is>
          <t>2019-07</t>
        </is>
      </c>
      <c r="E404" s="87" t="n">
        <v>177.4</v>
      </c>
      <c r="F404" s="87" t="n">
        <v>140.9472</v>
      </c>
      <c r="G404" s="88">
        <f>DAY(EOMONTH(DATE(B404,C404,1),0))</f>
        <v/>
      </c>
      <c r="H404" s="89">
        <f>F404/G404</f>
        <v/>
      </c>
    </row>
    <row r="405">
      <c r="A405" s="86" t="inlineStr">
        <is>
          <t>경북</t>
        </is>
      </c>
      <c r="B405" s="86" t="n">
        <v>2019</v>
      </c>
      <c r="C405" s="86" t="n">
        <v>8</v>
      </c>
      <c r="D405" s="86" t="inlineStr">
        <is>
          <t>2019-08</t>
        </is>
      </c>
      <c r="E405" s="87" t="n">
        <v>218.2</v>
      </c>
      <c r="F405" s="87" t="n">
        <v>150.6417</v>
      </c>
      <c r="G405" s="88">
        <f>DAY(EOMONTH(DATE(B405,C405,1),0))</f>
        <v/>
      </c>
      <c r="H405" s="89">
        <f>F405/G405</f>
        <v/>
      </c>
    </row>
    <row r="406">
      <c r="A406" s="86" t="inlineStr">
        <is>
          <t>경북</t>
        </is>
      </c>
      <c r="B406" s="86" t="n">
        <v>2019</v>
      </c>
      <c r="C406" s="86" t="n">
        <v>9</v>
      </c>
      <c r="D406" s="86" t="inlineStr">
        <is>
          <t>2019-09</t>
        </is>
      </c>
      <c r="E406" s="87" t="n">
        <v>136.8</v>
      </c>
      <c r="F406" s="87" t="n">
        <v>103.3306</v>
      </c>
      <c r="G406" s="88">
        <f>DAY(EOMONTH(DATE(B406,C406,1),0))</f>
        <v/>
      </c>
      <c r="H406" s="89">
        <f>F406/G406</f>
        <v/>
      </c>
    </row>
    <row r="407">
      <c r="A407" s="86" t="inlineStr">
        <is>
          <t>경북</t>
        </is>
      </c>
      <c r="B407" s="86" t="n">
        <v>2019</v>
      </c>
      <c r="C407" s="86" t="n">
        <v>10</v>
      </c>
      <c r="D407" s="86" t="inlineStr">
        <is>
          <t>2019-10</t>
        </is>
      </c>
      <c r="E407" s="87" t="n">
        <v>190.6</v>
      </c>
      <c r="F407" s="87" t="n">
        <v>104.9972</v>
      </c>
      <c r="G407" s="88">
        <f>DAY(EOMONTH(DATE(B407,C407,1),0))</f>
        <v/>
      </c>
      <c r="H407" s="89">
        <f>F407/G407</f>
        <v/>
      </c>
    </row>
    <row r="408">
      <c r="A408" s="86" t="inlineStr">
        <is>
          <t>경북</t>
        </is>
      </c>
      <c r="B408" s="86" t="n">
        <v>2019</v>
      </c>
      <c r="C408" s="86" t="n">
        <v>11</v>
      </c>
      <c r="D408" s="86" t="inlineStr">
        <is>
          <t>2019-11</t>
        </is>
      </c>
      <c r="E408" s="87" t="n">
        <v>182</v>
      </c>
      <c r="F408" s="87" t="n">
        <v>79.3</v>
      </c>
      <c r="G408" s="88">
        <f>DAY(EOMONTH(DATE(B408,C408,1),0))</f>
        <v/>
      </c>
      <c r="H408" s="89">
        <f>F408/G408</f>
        <v/>
      </c>
    </row>
    <row r="409">
      <c r="A409" s="86" t="inlineStr">
        <is>
          <t>경북</t>
        </is>
      </c>
      <c r="B409" s="86" t="n">
        <v>2019</v>
      </c>
      <c r="C409" s="86" t="n">
        <v>12</v>
      </c>
      <c r="D409" s="86" t="inlineStr">
        <is>
          <t>2019-12</t>
        </is>
      </c>
      <c r="E409" s="87" t="n">
        <v>193.3</v>
      </c>
      <c r="F409" s="87" t="n">
        <v>71.26390000000001</v>
      </c>
      <c r="G409" s="88">
        <f>DAY(EOMONTH(DATE(B409,C409,1),0))</f>
        <v/>
      </c>
      <c r="H409" s="89">
        <f>F409/G409</f>
        <v/>
      </c>
    </row>
    <row r="410">
      <c r="A410" s="86" t="inlineStr">
        <is>
          <t>경북</t>
        </is>
      </c>
      <c r="B410" s="86" t="n">
        <v>2020</v>
      </c>
      <c r="C410" s="86" t="n">
        <v>1</v>
      </c>
      <c r="D410" s="86" t="inlineStr">
        <is>
          <t>2020-01</t>
        </is>
      </c>
      <c r="E410" s="87" t="n">
        <v>159.5</v>
      </c>
      <c r="F410" s="87" t="n">
        <v>69.9722</v>
      </c>
      <c r="G410" s="88">
        <f>DAY(EOMONTH(DATE(B410,C410,1),0))</f>
        <v/>
      </c>
      <c r="H410" s="89">
        <f>F410/G410</f>
        <v/>
      </c>
    </row>
    <row r="411">
      <c r="A411" s="86" t="inlineStr">
        <is>
          <t>경북</t>
        </is>
      </c>
      <c r="B411" s="86" t="n">
        <v>2020</v>
      </c>
      <c r="C411" s="86" t="n">
        <v>2</v>
      </c>
      <c r="D411" s="86" t="inlineStr">
        <is>
          <t>2020-02</t>
        </is>
      </c>
      <c r="E411" s="87" t="n">
        <v>207.1</v>
      </c>
      <c r="F411" s="87" t="n">
        <v>99.9028</v>
      </c>
      <c r="G411" s="88">
        <f>DAY(EOMONTH(DATE(B411,C411,1),0))</f>
        <v/>
      </c>
      <c r="H411" s="89">
        <f>F411/G411</f>
        <v/>
      </c>
    </row>
    <row r="412">
      <c r="A412" s="86" t="inlineStr">
        <is>
          <t>경북</t>
        </is>
      </c>
      <c r="B412" s="86" t="n">
        <v>2020</v>
      </c>
      <c r="C412" s="86" t="n">
        <v>3</v>
      </c>
      <c r="D412" s="86" t="inlineStr">
        <is>
          <t>2020-03</t>
        </is>
      </c>
      <c r="E412" s="87" t="n">
        <v>244.4</v>
      </c>
      <c r="F412" s="87" t="n">
        <v>142.6194</v>
      </c>
      <c r="G412" s="88">
        <f>DAY(EOMONTH(DATE(B412,C412,1),0))</f>
        <v/>
      </c>
      <c r="H412" s="89">
        <f>F412/G412</f>
        <v/>
      </c>
    </row>
    <row r="413">
      <c r="A413" s="86" t="inlineStr">
        <is>
          <t>경북</t>
        </is>
      </c>
      <c r="B413" s="86" t="n">
        <v>2020</v>
      </c>
      <c r="C413" s="86" t="n">
        <v>4</v>
      </c>
      <c r="D413" s="86" t="inlineStr">
        <is>
          <t>2020-04</t>
        </is>
      </c>
      <c r="E413" s="87" t="n">
        <v>275.3</v>
      </c>
      <c r="F413" s="87" t="n">
        <v>176.2917</v>
      </c>
      <c r="G413" s="88">
        <f>DAY(EOMONTH(DATE(B413,C413,1),0))</f>
        <v/>
      </c>
      <c r="H413" s="89">
        <f>F413/G413</f>
        <v/>
      </c>
    </row>
    <row r="414">
      <c r="A414" s="86" t="inlineStr">
        <is>
          <t>경북</t>
        </is>
      </c>
      <c r="B414" s="86" t="n">
        <v>2020</v>
      </c>
      <c r="C414" s="86" t="n">
        <v>5</v>
      </c>
      <c r="D414" s="86" t="inlineStr">
        <is>
          <t>2020-05</t>
        </is>
      </c>
      <c r="E414" s="87" t="n">
        <v>248.8</v>
      </c>
      <c r="F414" s="87" t="n">
        <v>178.4639</v>
      </c>
      <c r="G414" s="88">
        <f>DAY(EOMONTH(DATE(B414,C414,1),0))</f>
        <v/>
      </c>
      <c r="H414" s="89">
        <f>F414/G414</f>
        <v/>
      </c>
    </row>
    <row r="415">
      <c r="A415" s="86" t="inlineStr">
        <is>
          <t>경북</t>
        </is>
      </c>
      <c r="B415" s="86" t="n">
        <v>2020</v>
      </c>
      <c r="C415" s="86" t="n">
        <v>6</v>
      </c>
      <c r="D415" s="86" t="inlineStr">
        <is>
          <t>2020-06</t>
        </is>
      </c>
      <c r="E415" s="87" t="n">
        <v>242.8</v>
      </c>
      <c r="F415" s="87" t="n">
        <v>177.8056</v>
      </c>
      <c r="G415" s="88">
        <f>DAY(EOMONTH(DATE(B415,C415,1),0))</f>
        <v/>
      </c>
      <c r="H415" s="89">
        <f>F415/G415</f>
        <v/>
      </c>
    </row>
    <row r="416">
      <c r="A416" s="86" t="inlineStr">
        <is>
          <t>경북</t>
        </is>
      </c>
      <c r="B416" s="86" t="n">
        <v>2020</v>
      </c>
      <c r="C416" s="86" t="n">
        <v>7</v>
      </c>
      <c r="D416" s="86" t="inlineStr">
        <is>
          <t>2020-07</t>
        </is>
      </c>
      <c r="E416" s="87" t="n">
        <v>114.5</v>
      </c>
      <c r="F416" s="87" t="n">
        <v>114.4167</v>
      </c>
      <c r="G416" s="88">
        <f>DAY(EOMONTH(DATE(B416,C416,1),0))</f>
        <v/>
      </c>
      <c r="H416" s="89">
        <f>F416/G416</f>
        <v/>
      </c>
    </row>
    <row r="417">
      <c r="A417" s="86" t="inlineStr">
        <is>
          <t>경북</t>
        </is>
      </c>
      <c r="B417" s="86" t="n">
        <v>2020</v>
      </c>
      <c r="C417" s="86" t="n">
        <v>8</v>
      </c>
      <c r="D417" s="86" t="inlineStr">
        <is>
          <t>2020-08</t>
        </is>
      </c>
      <c r="E417" s="87" t="n">
        <v>186.2</v>
      </c>
      <c r="F417" s="87" t="n">
        <v>143.8472</v>
      </c>
      <c r="G417" s="88">
        <f>DAY(EOMONTH(DATE(B417,C417,1),0))</f>
        <v/>
      </c>
      <c r="H417" s="89">
        <f>F417/G417</f>
        <v/>
      </c>
    </row>
    <row r="418">
      <c r="A418" s="86" t="inlineStr">
        <is>
          <t>경북</t>
        </is>
      </c>
      <c r="B418" s="86" t="n">
        <v>2020</v>
      </c>
      <c r="C418" s="86" t="n">
        <v>9</v>
      </c>
      <c r="D418" s="86" t="inlineStr">
        <is>
          <t>2020-09</t>
        </is>
      </c>
      <c r="E418" s="87" t="n">
        <v>163.6</v>
      </c>
      <c r="F418" s="87" t="n">
        <v>111.9889</v>
      </c>
      <c r="G418" s="88">
        <f>DAY(EOMONTH(DATE(B418,C418,1),0))</f>
        <v/>
      </c>
      <c r="H418" s="89">
        <f>F418/G418</f>
        <v/>
      </c>
    </row>
    <row r="419">
      <c r="A419" s="86" t="inlineStr">
        <is>
          <t>경북</t>
        </is>
      </c>
      <c r="B419" s="86" t="n">
        <v>2020</v>
      </c>
      <c r="C419" s="86" t="n">
        <v>10</v>
      </c>
      <c r="D419" s="86" t="inlineStr">
        <is>
          <t>2020-10</t>
        </is>
      </c>
      <c r="E419" s="87" t="n">
        <v>224.2</v>
      </c>
      <c r="F419" s="87" t="n">
        <v>120.6722</v>
      </c>
      <c r="G419" s="88">
        <f>DAY(EOMONTH(DATE(B419,C419,1),0))</f>
        <v/>
      </c>
      <c r="H419" s="89">
        <f>F419/G419</f>
        <v/>
      </c>
    </row>
    <row r="420">
      <c r="A420" s="86" t="inlineStr">
        <is>
          <t>경북</t>
        </is>
      </c>
      <c r="B420" s="86" t="n">
        <v>2020</v>
      </c>
      <c r="C420" s="86" t="n">
        <v>11</v>
      </c>
      <c r="D420" s="86" t="inlineStr">
        <is>
          <t>2020-11</t>
        </is>
      </c>
      <c r="E420" s="87" t="n">
        <v>193.4</v>
      </c>
      <c r="F420" s="87" t="n">
        <v>84.46939999999999</v>
      </c>
      <c r="G420" s="88">
        <f>DAY(EOMONTH(DATE(B420,C420,1),0))</f>
        <v/>
      </c>
      <c r="H420" s="89">
        <f>F420/G420</f>
        <v/>
      </c>
    </row>
    <row r="421">
      <c r="A421" s="86" t="inlineStr">
        <is>
          <t>경북</t>
        </is>
      </c>
      <c r="B421" s="86" t="n">
        <v>2020</v>
      </c>
      <c r="C421" s="86" t="n">
        <v>12</v>
      </c>
      <c r="D421" s="86" t="inlineStr">
        <is>
          <t>2020-12</t>
        </is>
      </c>
      <c r="E421" s="87" t="n">
        <v>222.3</v>
      </c>
      <c r="F421" s="87" t="n">
        <v>82.23609999999999</v>
      </c>
      <c r="G421" s="88">
        <f>DAY(EOMONTH(DATE(B421,C421,1),0))</f>
        <v/>
      </c>
      <c r="H421" s="89">
        <f>F421/G421</f>
        <v/>
      </c>
    </row>
    <row r="422">
      <c r="A422" s="86" t="inlineStr">
        <is>
          <t>경북</t>
        </is>
      </c>
      <c r="B422" s="86" t="n">
        <v>2021</v>
      </c>
      <c r="C422" s="86" t="n">
        <v>1</v>
      </c>
      <c r="D422" s="86" t="inlineStr">
        <is>
          <t>2021-01</t>
        </is>
      </c>
      <c r="E422" s="87" t="n">
        <v>210.4</v>
      </c>
      <c r="F422" s="87" t="n">
        <v>85.4306</v>
      </c>
      <c r="G422" s="88">
        <f>DAY(EOMONTH(DATE(B422,C422,1),0))</f>
        <v/>
      </c>
      <c r="H422" s="89">
        <f>F422/G422</f>
        <v/>
      </c>
    </row>
    <row r="423">
      <c r="A423" s="86" t="inlineStr">
        <is>
          <t>경북</t>
        </is>
      </c>
      <c r="B423" s="86" t="n">
        <v>2021</v>
      </c>
      <c r="C423" s="86" t="n">
        <v>2</v>
      </c>
      <c r="D423" s="86" t="inlineStr">
        <is>
          <t>2021-02</t>
        </is>
      </c>
      <c r="E423" s="87" t="n">
        <v>215.1</v>
      </c>
      <c r="F423" s="87" t="n">
        <v>103.7806</v>
      </c>
      <c r="G423" s="88">
        <f>DAY(EOMONTH(DATE(B423,C423,1),0))</f>
        <v/>
      </c>
      <c r="H423" s="89">
        <f>F423/G423</f>
        <v/>
      </c>
    </row>
    <row r="424">
      <c r="A424" s="86" t="inlineStr">
        <is>
          <t>경북</t>
        </is>
      </c>
      <c r="B424" s="86" t="n">
        <v>2021</v>
      </c>
      <c r="C424" s="86" t="n">
        <v>3</v>
      </c>
      <c r="D424" s="86" t="inlineStr">
        <is>
          <t>2021-03</t>
        </is>
      </c>
      <c r="E424" s="87" t="n">
        <v>207</v>
      </c>
      <c r="F424" s="87" t="n">
        <v>131.0278</v>
      </c>
      <c r="G424" s="88">
        <f>DAY(EOMONTH(DATE(B424,C424,1),0))</f>
        <v/>
      </c>
      <c r="H424" s="89">
        <f>F424/G424</f>
        <v/>
      </c>
    </row>
    <row r="425">
      <c r="A425" s="86" t="inlineStr">
        <is>
          <t>경북</t>
        </is>
      </c>
      <c r="B425" s="86" t="n">
        <v>2021</v>
      </c>
      <c r="C425" s="86" t="n">
        <v>4</v>
      </c>
      <c r="D425" s="86" t="inlineStr">
        <is>
          <t>2021-04</t>
        </is>
      </c>
      <c r="E425" s="87" t="n">
        <v>241.3</v>
      </c>
      <c r="F425" s="87" t="n">
        <v>165.2389</v>
      </c>
      <c r="G425" s="88">
        <f>DAY(EOMONTH(DATE(B425,C425,1),0))</f>
        <v/>
      </c>
      <c r="H425" s="89">
        <f>F425/G425</f>
        <v/>
      </c>
    </row>
    <row r="426">
      <c r="A426" s="86" t="inlineStr">
        <is>
          <t>경북</t>
        </is>
      </c>
      <c r="B426" s="86" t="n">
        <v>2021</v>
      </c>
      <c r="C426" s="86" t="n">
        <v>5</v>
      </c>
      <c r="D426" s="86" t="inlineStr">
        <is>
          <t>2021-05</t>
        </is>
      </c>
      <c r="E426" s="87" t="n">
        <v>208.9</v>
      </c>
      <c r="F426" s="87" t="n">
        <v>160.5083</v>
      </c>
      <c r="G426" s="88">
        <f>DAY(EOMONTH(DATE(B426,C426,1),0))</f>
        <v/>
      </c>
      <c r="H426" s="89">
        <f>F426/G426</f>
        <v/>
      </c>
    </row>
    <row r="427">
      <c r="A427" s="86" t="inlineStr">
        <is>
          <t>경북</t>
        </is>
      </c>
      <c r="B427" s="86" t="n">
        <v>2021</v>
      </c>
      <c r="C427" s="86" t="n">
        <v>6</v>
      </c>
      <c r="D427" s="86" t="inlineStr">
        <is>
          <t>2021-06</t>
        </is>
      </c>
      <c r="E427" s="87" t="n">
        <v>198.1</v>
      </c>
      <c r="F427" s="87" t="n">
        <v>163.4444</v>
      </c>
      <c r="G427" s="88">
        <f>DAY(EOMONTH(DATE(B427,C427,1),0))</f>
        <v/>
      </c>
      <c r="H427" s="89">
        <f>F427/G427</f>
        <v/>
      </c>
    </row>
    <row r="428">
      <c r="A428" s="86" t="inlineStr">
        <is>
          <t>경북</t>
        </is>
      </c>
      <c r="B428" s="86" t="n">
        <v>2021</v>
      </c>
      <c r="C428" s="86" t="n">
        <v>7</v>
      </c>
      <c r="D428" s="86" t="inlineStr">
        <is>
          <t>2021-07</t>
        </is>
      </c>
      <c r="E428" s="87" t="n">
        <v>229.4</v>
      </c>
      <c r="F428" s="87" t="n">
        <v>168.3361</v>
      </c>
      <c r="G428" s="88">
        <f>DAY(EOMONTH(DATE(B428,C428,1),0))</f>
        <v/>
      </c>
      <c r="H428" s="89">
        <f>F428/G428</f>
        <v/>
      </c>
    </row>
    <row r="429">
      <c r="A429" s="86" t="inlineStr">
        <is>
          <t>경북</t>
        </is>
      </c>
      <c r="B429" s="86" t="n">
        <v>2021</v>
      </c>
      <c r="C429" s="86" t="n">
        <v>8</v>
      </c>
      <c r="D429" s="86" t="inlineStr">
        <is>
          <t>2021-08</t>
        </is>
      </c>
      <c r="E429" s="87" t="n">
        <v>137.2</v>
      </c>
      <c r="F429" s="87" t="n">
        <v>121.075</v>
      </c>
      <c r="G429" s="88">
        <f>DAY(EOMONTH(DATE(B429,C429,1),0))</f>
        <v/>
      </c>
      <c r="H429" s="89">
        <f>F429/G429</f>
        <v/>
      </c>
    </row>
    <row r="430">
      <c r="A430" s="86" t="inlineStr">
        <is>
          <t>경북</t>
        </is>
      </c>
      <c r="B430" s="86" t="n">
        <v>2021</v>
      </c>
      <c r="C430" s="86" t="n">
        <v>9</v>
      </c>
      <c r="D430" s="86" t="inlineStr">
        <is>
          <t>2021-09</t>
        </is>
      </c>
      <c r="E430" s="87" t="n">
        <v>149.3</v>
      </c>
      <c r="F430" s="87" t="n">
        <v>109.8639</v>
      </c>
      <c r="G430" s="88">
        <f>DAY(EOMONTH(DATE(B430,C430,1),0))</f>
        <v/>
      </c>
      <c r="H430" s="89">
        <f>F430/G430</f>
        <v/>
      </c>
    </row>
    <row r="431">
      <c r="A431" s="86" t="inlineStr">
        <is>
          <t>경북</t>
        </is>
      </c>
      <c r="B431" s="86" t="n">
        <v>2021</v>
      </c>
      <c r="C431" s="86" t="n">
        <v>10</v>
      </c>
      <c r="D431" s="86" t="inlineStr">
        <is>
          <t>2021-10</t>
        </is>
      </c>
      <c r="E431" s="87" t="n">
        <v>193.3</v>
      </c>
      <c r="F431" s="87" t="n">
        <v>108.4806</v>
      </c>
      <c r="G431" s="88">
        <f>DAY(EOMONTH(DATE(B431,C431,1),0))</f>
        <v/>
      </c>
      <c r="H431" s="89">
        <f>F431/G431</f>
        <v/>
      </c>
    </row>
    <row r="432">
      <c r="A432" s="86" t="inlineStr">
        <is>
          <t>경북</t>
        </is>
      </c>
      <c r="B432" s="86" t="n">
        <v>2021</v>
      </c>
      <c r="C432" s="86" t="n">
        <v>11</v>
      </c>
      <c r="D432" s="86" t="inlineStr">
        <is>
          <t>2021-11</t>
        </is>
      </c>
      <c r="E432" s="87" t="n">
        <v>210.6</v>
      </c>
      <c r="F432" s="87" t="n">
        <v>88.23609999999999</v>
      </c>
      <c r="G432" s="88">
        <f>DAY(EOMONTH(DATE(B432,C432,1),0))</f>
        <v/>
      </c>
      <c r="H432" s="89">
        <f>F432/G432</f>
        <v/>
      </c>
    </row>
    <row r="433">
      <c r="A433" s="86" t="inlineStr">
        <is>
          <t>경북</t>
        </is>
      </c>
      <c r="B433" s="86" t="n">
        <v>2021</v>
      </c>
      <c r="C433" s="86" t="n">
        <v>12</v>
      </c>
      <c r="D433" s="86" t="inlineStr">
        <is>
          <t>2021-12</t>
        </is>
      </c>
      <c r="E433" s="87" t="n">
        <v>218.6</v>
      </c>
      <c r="F433" s="87" t="n">
        <v>82.0167</v>
      </c>
      <c r="G433" s="88">
        <f>DAY(EOMONTH(DATE(B433,C433,1),0))</f>
        <v/>
      </c>
      <c r="H433" s="89">
        <f>F433/G433</f>
        <v/>
      </c>
    </row>
    <row r="434">
      <c r="A434" s="86" t="inlineStr">
        <is>
          <t>경북</t>
        </is>
      </c>
      <c r="B434" s="86" t="n">
        <v>2022</v>
      </c>
      <c r="C434" s="86" t="n">
        <v>1</v>
      </c>
      <c r="D434" s="86" t="inlineStr">
        <is>
          <t>2022-01</t>
        </is>
      </c>
      <c r="E434" s="87" t="n">
        <v>235.7</v>
      </c>
      <c r="F434" s="87" t="n">
        <v>93.8389</v>
      </c>
      <c r="G434" s="88">
        <f>DAY(EOMONTH(DATE(B434,C434,1),0))</f>
        <v/>
      </c>
      <c r="H434" s="89">
        <f>F434/G434</f>
        <v/>
      </c>
    </row>
    <row r="435">
      <c r="A435" s="86" t="inlineStr">
        <is>
          <t>경북</t>
        </is>
      </c>
      <c r="B435" s="86" t="n">
        <v>2022</v>
      </c>
      <c r="C435" s="86" t="n">
        <v>2</v>
      </c>
      <c r="D435" s="86" t="inlineStr">
        <is>
          <t>2022-02</t>
        </is>
      </c>
      <c r="E435" s="87" t="n">
        <v>244.5</v>
      </c>
      <c r="F435" s="87" t="n">
        <v>114.3444</v>
      </c>
      <c r="G435" s="88">
        <f>DAY(EOMONTH(DATE(B435,C435,1),0))</f>
        <v/>
      </c>
      <c r="H435" s="89">
        <f>F435/G435</f>
        <v/>
      </c>
    </row>
    <row r="436">
      <c r="A436" s="86" t="inlineStr">
        <is>
          <t>경북</t>
        </is>
      </c>
      <c r="B436" s="86" t="n">
        <v>2022</v>
      </c>
      <c r="C436" s="86" t="n">
        <v>3</v>
      </c>
      <c r="D436" s="86" t="inlineStr">
        <is>
          <t>2022-03</t>
        </is>
      </c>
      <c r="E436" s="87" t="n">
        <v>209.5</v>
      </c>
      <c r="F436" s="87" t="n">
        <v>127.3833</v>
      </c>
      <c r="G436" s="88">
        <f>DAY(EOMONTH(DATE(B436,C436,1),0))</f>
        <v/>
      </c>
      <c r="H436" s="89">
        <f>F436/G436</f>
        <v/>
      </c>
    </row>
    <row r="437">
      <c r="A437" s="86" t="inlineStr">
        <is>
          <t>경북</t>
        </is>
      </c>
      <c r="B437" s="86" t="n">
        <v>2022</v>
      </c>
      <c r="C437" s="86" t="n">
        <v>4</v>
      </c>
      <c r="D437" s="86" t="inlineStr">
        <is>
          <t>2022-04</t>
        </is>
      </c>
      <c r="E437" s="87" t="n">
        <v>257.9</v>
      </c>
      <c r="F437" s="87" t="n">
        <v>169.5306</v>
      </c>
      <c r="G437" s="88">
        <f>DAY(EOMONTH(DATE(B437,C437,1),0))</f>
        <v/>
      </c>
      <c r="H437" s="89">
        <f>F437/G437</f>
        <v/>
      </c>
    </row>
    <row r="438">
      <c r="A438" s="86" t="inlineStr">
        <is>
          <t>경북</t>
        </is>
      </c>
      <c r="B438" s="86" t="n">
        <v>2022</v>
      </c>
      <c r="C438" s="86" t="n">
        <v>5</v>
      </c>
      <c r="D438" s="86" t="inlineStr">
        <is>
          <t>2022-05</t>
        </is>
      </c>
      <c r="E438" s="87" t="n">
        <v>313.3</v>
      </c>
      <c r="F438" s="87" t="n">
        <v>213.9944</v>
      </c>
      <c r="G438" s="88">
        <f>DAY(EOMONTH(DATE(B438,C438,1),0))</f>
        <v/>
      </c>
      <c r="H438" s="89">
        <f>F438/G438</f>
        <v/>
      </c>
    </row>
    <row r="439">
      <c r="A439" s="86" t="inlineStr">
        <is>
          <t>경북</t>
        </is>
      </c>
      <c r="B439" s="86" t="n">
        <v>2022</v>
      </c>
      <c r="C439" s="86" t="n">
        <v>6</v>
      </c>
      <c r="D439" s="86" t="inlineStr">
        <is>
          <t>2022-06</t>
        </is>
      </c>
      <c r="E439" s="87" t="n">
        <v>212</v>
      </c>
      <c r="F439" s="87" t="n">
        <v>169.7806</v>
      </c>
      <c r="G439" s="88">
        <f>DAY(EOMONTH(DATE(B439,C439,1),0))</f>
        <v/>
      </c>
      <c r="H439" s="89">
        <f>F439/G439</f>
        <v/>
      </c>
    </row>
    <row r="440">
      <c r="A440" s="86" t="inlineStr">
        <is>
          <t>경북</t>
        </is>
      </c>
      <c r="B440" s="86" t="n">
        <v>2022</v>
      </c>
      <c r="C440" s="86" t="n">
        <v>7</v>
      </c>
      <c r="D440" s="86" t="inlineStr">
        <is>
          <t>2022-07</t>
        </is>
      </c>
      <c r="E440" s="87" t="n">
        <v>179.3</v>
      </c>
      <c r="F440" s="87" t="n">
        <v>153.3083</v>
      </c>
      <c r="G440" s="88">
        <f>DAY(EOMONTH(DATE(B440,C440,1),0))</f>
        <v/>
      </c>
      <c r="H440" s="89">
        <f>F440/G440</f>
        <v/>
      </c>
    </row>
    <row r="441">
      <c r="A441" s="86" t="inlineStr">
        <is>
          <t>경북</t>
        </is>
      </c>
      <c r="B441" s="86" t="n">
        <v>2022</v>
      </c>
      <c r="C441" s="86" t="n">
        <v>8</v>
      </c>
      <c r="D441" s="86" t="inlineStr">
        <is>
          <t>2022-08</t>
        </is>
      </c>
      <c r="E441" s="87" t="n">
        <v>150.4</v>
      </c>
      <c r="F441" s="87" t="n">
        <v>124.9333</v>
      </c>
      <c r="G441" s="88">
        <f>DAY(EOMONTH(DATE(B441,C441,1),0))</f>
        <v/>
      </c>
      <c r="H441" s="89">
        <f>F441/G441</f>
        <v/>
      </c>
    </row>
    <row r="442">
      <c r="A442" s="86" t="inlineStr">
        <is>
          <t>경북</t>
        </is>
      </c>
      <c r="B442" s="86" t="n">
        <v>2022</v>
      </c>
      <c r="C442" s="86" t="n">
        <v>9</v>
      </c>
      <c r="D442" s="86" t="inlineStr">
        <is>
          <t>2022-09</t>
        </is>
      </c>
      <c r="E442" s="87" t="n">
        <v>163.2</v>
      </c>
      <c r="F442" s="87" t="n">
        <v>118.7417</v>
      </c>
      <c r="G442" s="88">
        <f>DAY(EOMONTH(DATE(B442,C442,1),0))</f>
        <v/>
      </c>
      <c r="H442" s="89">
        <f>F442/G442</f>
        <v/>
      </c>
    </row>
    <row r="443">
      <c r="A443" s="86" t="inlineStr">
        <is>
          <t>경북</t>
        </is>
      </c>
      <c r="B443" s="86" t="n">
        <v>2022</v>
      </c>
      <c r="C443" s="86" t="n">
        <v>10</v>
      </c>
      <c r="D443" s="86" t="inlineStr">
        <is>
          <t>2022-10</t>
        </is>
      </c>
      <c r="E443" s="87" t="n">
        <v>201.3</v>
      </c>
      <c r="F443" s="87" t="n">
        <v>117.9778</v>
      </c>
      <c r="G443" s="88">
        <f>DAY(EOMONTH(DATE(B443,C443,1),0))</f>
        <v/>
      </c>
      <c r="H443" s="89">
        <f>F443/G443</f>
        <v/>
      </c>
    </row>
    <row r="444">
      <c r="A444" s="86" t="inlineStr">
        <is>
          <t>경북</t>
        </is>
      </c>
      <c r="B444" s="86" t="n">
        <v>2022</v>
      </c>
      <c r="C444" s="86" t="n">
        <v>11</v>
      </c>
      <c r="D444" s="86" t="inlineStr">
        <is>
          <t>2022-11</t>
        </is>
      </c>
      <c r="E444" s="87" t="n">
        <v>208.2</v>
      </c>
      <c r="F444" s="87" t="n">
        <v>89.34439999999999</v>
      </c>
      <c r="G444" s="88">
        <f>DAY(EOMONTH(DATE(B444,C444,1),0))</f>
        <v/>
      </c>
      <c r="H444" s="89">
        <f>F444/G444</f>
        <v/>
      </c>
    </row>
    <row r="445">
      <c r="A445" s="86" t="inlineStr">
        <is>
          <t>경북</t>
        </is>
      </c>
      <c r="B445" s="86" t="n">
        <v>2022</v>
      </c>
      <c r="C445" s="86" t="n">
        <v>12</v>
      </c>
      <c r="D445" s="86" t="inlineStr">
        <is>
          <t>2022-12</t>
        </is>
      </c>
      <c r="E445" s="87" t="n">
        <v>217.9</v>
      </c>
      <c r="F445" s="87" t="n">
        <v>82.6528</v>
      </c>
      <c r="G445" s="88">
        <f>DAY(EOMONTH(DATE(B445,C445,1),0))</f>
        <v/>
      </c>
      <c r="H445" s="89">
        <f>F445/G445</f>
        <v/>
      </c>
    </row>
    <row r="446">
      <c r="A446" s="86" t="inlineStr">
        <is>
          <t>경북</t>
        </is>
      </c>
      <c r="B446" s="86" t="n">
        <v>2023</v>
      </c>
      <c r="C446" s="86" t="n">
        <v>1</v>
      </c>
      <c r="D446" s="86" t="inlineStr">
        <is>
          <t>2023-01</t>
        </is>
      </c>
      <c r="E446" s="87" t="n">
        <v>220.6</v>
      </c>
      <c r="F446" s="87" t="n">
        <v>90.7694</v>
      </c>
      <c r="G446" s="88">
        <f>DAY(EOMONTH(DATE(B446,C446,1),0))</f>
        <v/>
      </c>
      <c r="H446" s="89">
        <f>F446/G446</f>
        <v/>
      </c>
    </row>
    <row r="447">
      <c r="A447" s="86" t="inlineStr">
        <is>
          <t>경북</t>
        </is>
      </c>
      <c r="B447" s="86" t="n">
        <v>2023</v>
      </c>
      <c r="C447" s="86" t="n">
        <v>2</v>
      </c>
      <c r="D447" s="86" t="inlineStr">
        <is>
          <t>2023-02</t>
        </is>
      </c>
      <c r="E447" s="87" t="n">
        <v>179.2</v>
      </c>
      <c r="F447" s="87" t="n">
        <v>96.7694</v>
      </c>
      <c r="G447" s="88">
        <f>DAY(EOMONTH(DATE(B447,C447,1),0))</f>
        <v/>
      </c>
      <c r="H447" s="89">
        <f>F447/G447</f>
        <v/>
      </c>
    </row>
    <row r="448">
      <c r="A448" s="86" t="inlineStr">
        <is>
          <t>경북</t>
        </is>
      </c>
      <c r="B448" s="86" t="n">
        <v>2023</v>
      </c>
      <c r="C448" s="86" t="n">
        <v>3</v>
      </c>
      <c r="D448" s="86" t="inlineStr">
        <is>
          <t>2023-03</t>
        </is>
      </c>
      <c r="E448" s="87" t="n">
        <v>239.3</v>
      </c>
      <c r="F448" s="87" t="n">
        <v>145.1833</v>
      </c>
      <c r="G448" s="88">
        <f>DAY(EOMONTH(DATE(B448,C448,1),0))</f>
        <v/>
      </c>
      <c r="H448" s="89">
        <f>F448/G448</f>
        <v/>
      </c>
    </row>
    <row r="449">
      <c r="A449" s="86" t="inlineStr">
        <is>
          <t>경북</t>
        </is>
      </c>
      <c r="B449" s="86" t="n">
        <v>2023</v>
      </c>
      <c r="C449" s="86" t="n">
        <v>4</v>
      </c>
      <c r="D449" s="86" t="inlineStr">
        <is>
          <t>2023-04</t>
        </is>
      </c>
      <c r="E449" s="87" t="n">
        <v>220.8</v>
      </c>
      <c r="F449" s="87" t="n">
        <v>155.2444</v>
      </c>
      <c r="G449" s="88">
        <f>DAY(EOMONTH(DATE(B449,C449,1),0))</f>
        <v/>
      </c>
      <c r="H449" s="89">
        <f>F449/G449</f>
        <v/>
      </c>
    </row>
    <row r="450">
      <c r="A450" s="86" t="inlineStr">
        <is>
          <t>경북</t>
        </is>
      </c>
      <c r="B450" s="86" t="n">
        <v>2023</v>
      </c>
      <c r="C450" s="86" t="n">
        <v>5</v>
      </c>
      <c r="D450" s="86" t="inlineStr">
        <is>
          <t>2023-05</t>
        </is>
      </c>
      <c r="E450" s="87" t="n">
        <v>225.6</v>
      </c>
      <c r="F450" s="87" t="n">
        <v>167.5583</v>
      </c>
      <c r="G450" s="88">
        <f>DAY(EOMONTH(DATE(B450,C450,1),0))</f>
        <v/>
      </c>
      <c r="H450" s="89">
        <f>F450/G450</f>
        <v/>
      </c>
    </row>
    <row r="451">
      <c r="A451" s="86" t="inlineStr">
        <is>
          <t>경북</t>
        </is>
      </c>
      <c r="B451" s="86" t="n">
        <v>2023</v>
      </c>
      <c r="C451" s="86" t="n">
        <v>6</v>
      </c>
      <c r="D451" s="86" t="inlineStr">
        <is>
          <t>2023-06</t>
        </is>
      </c>
      <c r="E451" s="87" t="n">
        <v>229</v>
      </c>
      <c r="F451" s="87" t="n">
        <v>180.7667</v>
      </c>
      <c r="G451" s="88">
        <f>DAY(EOMONTH(DATE(B451,C451,1),0))</f>
        <v/>
      </c>
      <c r="H451" s="89">
        <f>F451/G451</f>
        <v/>
      </c>
    </row>
    <row r="452">
      <c r="A452" s="86" t="inlineStr">
        <is>
          <t>경북</t>
        </is>
      </c>
      <c r="B452" s="86" t="n">
        <v>2023</v>
      </c>
      <c r="C452" s="86" t="n">
        <v>7</v>
      </c>
      <c r="D452" s="86" t="inlineStr">
        <is>
          <t>2023-07</t>
        </is>
      </c>
      <c r="E452" s="87" t="n">
        <v>150.2</v>
      </c>
      <c r="F452" s="87" t="n">
        <v>141.425</v>
      </c>
      <c r="G452" s="88">
        <f>DAY(EOMONTH(DATE(B452,C452,1),0))</f>
        <v/>
      </c>
      <c r="H452" s="89">
        <f>F452/G452</f>
        <v/>
      </c>
    </row>
    <row r="453">
      <c r="A453" s="86" t="inlineStr">
        <is>
          <t>경북</t>
        </is>
      </c>
      <c r="B453" s="86" t="n">
        <v>2023</v>
      </c>
      <c r="C453" s="86" t="n">
        <v>8</v>
      </c>
      <c r="D453" s="86" t="inlineStr">
        <is>
          <t>2023-08</t>
        </is>
      </c>
      <c r="E453" s="87" t="n">
        <v>196.9</v>
      </c>
      <c r="F453" s="87" t="n">
        <v>151.1778</v>
      </c>
      <c r="G453" s="88">
        <f>DAY(EOMONTH(DATE(B453,C453,1),0))</f>
        <v/>
      </c>
      <c r="H453" s="89">
        <f>F453/G453</f>
        <v/>
      </c>
    </row>
    <row r="454">
      <c r="A454" s="86" t="inlineStr">
        <is>
          <t>경북</t>
        </is>
      </c>
      <c r="B454" s="86" t="n">
        <v>2023</v>
      </c>
      <c r="C454" s="86" t="n">
        <v>9</v>
      </c>
      <c r="D454" s="86" t="inlineStr">
        <is>
          <t>2023-09</t>
        </is>
      </c>
      <c r="E454" s="87" t="n">
        <v>158.1</v>
      </c>
      <c r="F454" s="87" t="n">
        <v>117.7083</v>
      </c>
      <c r="G454" s="88">
        <f>DAY(EOMONTH(DATE(B454,C454,1),0))</f>
        <v/>
      </c>
      <c r="H454" s="89">
        <f>F454/G454</f>
        <v/>
      </c>
    </row>
    <row r="455">
      <c r="A455" s="86" t="inlineStr">
        <is>
          <t>경북</t>
        </is>
      </c>
      <c r="B455" s="86" t="n">
        <v>2023</v>
      </c>
      <c r="C455" s="86" t="n">
        <v>10</v>
      </c>
      <c r="D455" s="86" t="inlineStr">
        <is>
          <t>2023-10</t>
        </is>
      </c>
      <c r="E455" s="87" t="n">
        <v>230.8</v>
      </c>
      <c r="F455" s="87" t="n">
        <v>125.0889</v>
      </c>
      <c r="G455" s="88">
        <f>DAY(EOMONTH(DATE(B455,C455,1),0))</f>
        <v/>
      </c>
      <c r="H455" s="89">
        <f>F455/G455</f>
        <v/>
      </c>
    </row>
    <row r="456">
      <c r="A456" s="86" t="inlineStr">
        <is>
          <t>경북</t>
        </is>
      </c>
      <c r="B456" s="86" t="n">
        <v>2023</v>
      </c>
      <c r="C456" s="86" t="n">
        <v>11</v>
      </c>
      <c r="D456" s="86" t="inlineStr">
        <is>
          <t>2023-11</t>
        </is>
      </c>
      <c r="E456" s="87" t="n">
        <v>215.5</v>
      </c>
      <c r="F456" s="87" t="n">
        <v>92.6639</v>
      </c>
      <c r="G456" s="88">
        <f>DAY(EOMONTH(DATE(B456,C456,1),0))</f>
        <v/>
      </c>
      <c r="H456" s="89">
        <f>F456/G456</f>
        <v/>
      </c>
    </row>
    <row r="457">
      <c r="A457" s="86" t="inlineStr">
        <is>
          <t>경북</t>
        </is>
      </c>
      <c r="B457" s="86" t="n">
        <v>2023</v>
      </c>
      <c r="C457" s="86" t="n">
        <v>12</v>
      </c>
      <c r="D457" s="86" t="inlineStr">
        <is>
          <t>2023-12</t>
        </is>
      </c>
      <c r="E457" s="87" t="n">
        <v>186.9</v>
      </c>
      <c r="F457" s="87" t="n">
        <v>73.6722</v>
      </c>
      <c r="G457" s="88">
        <f>DAY(EOMONTH(DATE(B457,C457,1),0))</f>
        <v/>
      </c>
      <c r="H457" s="89">
        <f>F457/G457</f>
        <v/>
      </c>
    </row>
    <row r="458">
      <c r="A458" s="86" t="inlineStr">
        <is>
          <t>경북</t>
        </is>
      </c>
      <c r="B458" s="86" t="n">
        <v>2024</v>
      </c>
      <c r="C458" s="86" t="n">
        <v>1</v>
      </c>
      <c r="D458" s="86" t="inlineStr">
        <is>
          <t>2024-01</t>
        </is>
      </c>
      <c r="E458" s="87" t="n">
        <v>200.7</v>
      </c>
      <c r="F458" s="87" t="n">
        <v>84.9722</v>
      </c>
      <c r="G458" s="88">
        <f>DAY(EOMONTH(DATE(B458,C458,1),0))</f>
        <v/>
      </c>
      <c r="H458" s="89">
        <f>F458/G458</f>
        <v/>
      </c>
    </row>
    <row r="459">
      <c r="A459" s="86" t="inlineStr">
        <is>
          <t>경북</t>
        </is>
      </c>
      <c r="B459" s="86" t="n">
        <v>2024</v>
      </c>
      <c r="C459" s="86" t="n">
        <v>2</v>
      </c>
      <c r="D459" s="86" t="inlineStr">
        <is>
          <t>2024-02</t>
        </is>
      </c>
      <c r="E459" s="87" t="n">
        <v>106.7</v>
      </c>
      <c r="F459" s="87" t="n">
        <v>69.36109999999999</v>
      </c>
      <c r="G459" s="88">
        <f>DAY(EOMONTH(DATE(B459,C459,1),0))</f>
        <v/>
      </c>
      <c r="H459" s="89">
        <f>F459/G459</f>
        <v/>
      </c>
    </row>
    <row r="460">
      <c r="A460" s="86" t="inlineStr">
        <is>
          <t>경북</t>
        </is>
      </c>
      <c r="B460" s="86" t="n">
        <v>2024</v>
      </c>
      <c r="C460" s="86" t="n">
        <v>3</v>
      </c>
      <c r="D460" s="86" t="inlineStr">
        <is>
          <t>2024-03</t>
        </is>
      </c>
      <c r="E460" s="87" t="n">
        <v>206.8</v>
      </c>
      <c r="F460" s="87" t="n">
        <v>128.5917</v>
      </c>
      <c r="G460" s="88">
        <f>DAY(EOMONTH(DATE(B460,C460,1),0))</f>
        <v/>
      </c>
      <c r="H460" s="89">
        <f>F460/G460</f>
        <v/>
      </c>
    </row>
    <row r="461">
      <c r="A461" s="86" t="inlineStr">
        <is>
          <t>경북</t>
        </is>
      </c>
      <c r="B461" s="86" t="n">
        <v>2024</v>
      </c>
      <c r="C461" s="86" t="n">
        <v>4</v>
      </c>
      <c r="D461" s="86" t="inlineStr">
        <is>
          <t>2024-04</t>
        </is>
      </c>
      <c r="E461" s="87" t="n">
        <v>195.3</v>
      </c>
      <c r="F461" s="87" t="n">
        <v>144.325</v>
      </c>
      <c r="G461" s="88">
        <f>DAY(EOMONTH(DATE(B461,C461,1),0))</f>
        <v/>
      </c>
      <c r="H461" s="89">
        <f>F461/G461</f>
        <v/>
      </c>
    </row>
    <row r="462">
      <c r="A462" s="86" t="inlineStr">
        <is>
          <t>경북</t>
        </is>
      </c>
      <c r="B462" s="86" t="n">
        <v>2024</v>
      </c>
      <c r="C462" s="86" t="n">
        <v>5</v>
      </c>
      <c r="D462" s="86" t="inlineStr">
        <is>
          <t>2024-05</t>
        </is>
      </c>
      <c r="E462" s="87" t="n">
        <v>277.8</v>
      </c>
      <c r="F462" s="87" t="n">
        <v>200.7806</v>
      </c>
      <c r="G462" s="88">
        <f>DAY(EOMONTH(DATE(B462,C462,1),0))</f>
        <v/>
      </c>
      <c r="H462" s="89">
        <f>F462/G462</f>
        <v/>
      </c>
    </row>
    <row r="463">
      <c r="A463" s="86" t="inlineStr">
        <is>
          <t>경북</t>
        </is>
      </c>
      <c r="B463" s="86" t="n">
        <v>2024</v>
      </c>
      <c r="C463" s="86" t="n">
        <v>6</v>
      </c>
      <c r="D463" s="86" t="inlineStr">
        <is>
          <t>2024-06</t>
        </is>
      </c>
      <c r="E463" s="87" t="n">
        <v>249.2</v>
      </c>
      <c r="F463" s="87" t="n">
        <v>183.8889</v>
      </c>
      <c r="G463" s="88">
        <f>DAY(EOMONTH(DATE(B463,C463,1),0))</f>
        <v/>
      </c>
      <c r="H463" s="89">
        <f>F463/G463</f>
        <v/>
      </c>
    </row>
    <row r="464">
      <c r="A464" s="86" t="inlineStr">
        <is>
          <t>경북</t>
        </is>
      </c>
      <c r="B464" s="86" t="n">
        <v>2024</v>
      </c>
      <c r="C464" s="86" t="n">
        <v>7</v>
      </c>
      <c r="D464" s="86" t="inlineStr">
        <is>
          <t>2024-07</t>
        </is>
      </c>
      <c r="E464" s="87" t="n">
        <v>167.1</v>
      </c>
      <c r="F464" s="87" t="n">
        <v>146.775</v>
      </c>
      <c r="G464" s="88">
        <f>DAY(EOMONTH(DATE(B464,C464,1),0))</f>
        <v/>
      </c>
      <c r="H464" s="89">
        <f>F464/G464</f>
        <v/>
      </c>
    </row>
    <row r="465">
      <c r="A465" s="86" t="inlineStr">
        <is>
          <t>경북</t>
        </is>
      </c>
      <c r="B465" s="86" t="n">
        <v>2024</v>
      </c>
      <c r="C465" s="86" t="n">
        <v>8</v>
      </c>
      <c r="D465" s="86" t="inlineStr">
        <is>
          <t>2024-08</t>
        </is>
      </c>
      <c r="E465" s="87" t="n">
        <v>252.5</v>
      </c>
      <c r="F465" s="87" t="n">
        <v>177.9556</v>
      </c>
      <c r="G465" s="88">
        <f>DAY(EOMONTH(DATE(B465,C465,1),0))</f>
        <v/>
      </c>
      <c r="H465" s="89">
        <f>F465/G465</f>
        <v/>
      </c>
    </row>
    <row r="466">
      <c r="A466" s="86" t="inlineStr">
        <is>
          <t>경북</t>
        </is>
      </c>
      <c r="B466" s="86" t="n">
        <v>2024</v>
      </c>
      <c r="C466" s="86" t="n">
        <v>9</v>
      </c>
      <c r="D466" s="86" t="inlineStr">
        <is>
          <t>2024-09</t>
        </is>
      </c>
      <c r="E466" s="87" t="n">
        <v>161.6</v>
      </c>
      <c r="F466" s="87" t="n">
        <v>125.4194</v>
      </c>
      <c r="G466" s="88">
        <f>DAY(EOMONTH(DATE(B466,C466,1),0))</f>
        <v/>
      </c>
      <c r="H466" s="89">
        <f>F466/G466</f>
        <v/>
      </c>
    </row>
    <row r="467">
      <c r="A467" s="86" t="inlineStr">
        <is>
          <t>경북</t>
        </is>
      </c>
      <c r="B467" s="86" t="n">
        <v>2024</v>
      </c>
      <c r="C467" s="86" t="n">
        <v>10</v>
      </c>
      <c r="D467" s="86" t="inlineStr">
        <is>
          <t>2024-10</t>
        </is>
      </c>
      <c r="E467" s="87" t="n">
        <v>139.5</v>
      </c>
      <c r="F467" s="87" t="n">
        <v>91.8472</v>
      </c>
      <c r="G467" s="88">
        <f>DAY(EOMONTH(DATE(B467,C467,1),0))</f>
        <v/>
      </c>
      <c r="H467" s="89">
        <f>F467/G467</f>
        <v/>
      </c>
    </row>
    <row r="468">
      <c r="A468" s="86" t="inlineStr">
        <is>
          <t>경북</t>
        </is>
      </c>
      <c r="B468" s="86" t="n">
        <v>2024</v>
      </c>
      <c r="C468" s="86" t="n">
        <v>11</v>
      </c>
      <c r="D468" s="86" t="inlineStr">
        <is>
          <t>2024-11</t>
        </is>
      </c>
      <c r="E468" s="87" t="n">
        <v>162.1</v>
      </c>
      <c r="F468" s="87" t="n">
        <v>78.2667</v>
      </c>
      <c r="G468" s="88">
        <f>DAY(EOMONTH(DATE(B468,C468,1),0))</f>
        <v/>
      </c>
      <c r="H468" s="89">
        <f>F468/G468</f>
        <v/>
      </c>
    </row>
    <row r="469">
      <c r="A469" s="86" t="inlineStr">
        <is>
          <t>경북</t>
        </is>
      </c>
      <c r="B469" s="86" t="n">
        <v>2024</v>
      </c>
      <c r="C469" s="86" t="n">
        <v>12</v>
      </c>
      <c r="D469" s="86" t="inlineStr">
        <is>
          <t>2024-12</t>
        </is>
      </c>
      <c r="E469" s="87" t="n">
        <v>225.4</v>
      </c>
      <c r="F469" s="87" t="n">
        <v>86.24720000000001</v>
      </c>
      <c r="G469" s="88">
        <f>DAY(EOMONTH(DATE(B469,C469,1),0))</f>
        <v/>
      </c>
      <c r="H469" s="89">
        <f>F469/G469</f>
        <v/>
      </c>
    </row>
    <row r="470">
      <c r="A470" s="86" t="inlineStr">
        <is>
          <t>경북</t>
        </is>
      </c>
      <c r="B470" s="86" t="n">
        <v>2025</v>
      </c>
      <c r="C470" s="86" t="n">
        <v>1</v>
      </c>
      <c r="D470" s="86" t="inlineStr">
        <is>
          <t>2025-01</t>
        </is>
      </c>
      <c r="E470" s="87" t="n">
        <v>220.7</v>
      </c>
      <c r="F470" s="87" t="n">
        <v>88.61669999999999</v>
      </c>
      <c r="G470" s="88">
        <f>DAY(EOMONTH(DATE(B470,C470,1),0))</f>
        <v/>
      </c>
      <c r="H470" s="89">
        <f>F470/G470</f>
        <v/>
      </c>
    </row>
    <row r="471">
      <c r="A471" s="86" t="inlineStr">
        <is>
          <t>경북</t>
        </is>
      </c>
      <c r="B471" s="86" t="n">
        <v>2025</v>
      </c>
      <c r="C471" s="86" t="n">
        <v>2</v>
      </c>
      <c r="D471" s="86" t="inlineStr">
        <is>
          <t>2025-02</t>
        </is>
      </c>
      <c r="E471" s="87" t="n">
        <v>246.4</v>
      </c>
      <c r="F471" s="87" t="n">
        <v>116.2806</v>
      </c>
      <c r="G471" s="88">
        <f>DAY(EOMONTH(DATE(B471,C471,1),0))</f>
        <v/>
      </c>
      <c r="H471" s="89">
        <f>F471/G471</f>
        <v/>
      </c>
    </row>
    <row r="472">
      <c r="A472" s="86" t="inlineStr">
        <is>
          <t>경북</t>
        </is>
      </c>
      <c r="B472" s="86" t="n">
        <v>2025</v>
      </c>
      <c r="C472" s="86" t="n">
        <v>3</v>
      </c>
      <c r="D472" s="86" t="inlineStr">
        <is>
          <t>2025-03</t>
        </is>
      </c>
      <c r="E472" s="87" t="n">
        <v>206</v>
      </c>
      <c r="F472" s="87" t="n">
        <v>132.8944</v>
      </c>
      <c r="G472" s="88">
        <f>DAY(EOMONTH(DATE(B472,C472,1),0))</f>
        <v/>
      </c>
      <c r="H472" s="89">
        <f>F472/G472</f>
        <v/>
      </c>
    </row>
    <row r="473">
      <c r="A473" s="86" t="inlineStr">
        <is>
          <t>경북</t>
        </is>
      </c>
      <c r="B473" s="86" t="n">
        <v>2025</v>
      </c>
      <c r="C473" s="86" t="n">
        <v>4</v>
      </c>
      <c r="D473" s="86" t="inlineStr">
        <is>
          <t>2025-04</t>
        </is>
      </c>
      <c r="E473" s="87" t="n">
        <v>257.8</v>
      </c>
      <c r="F473" s="87" t="n">
        <v>176.1056</v>
      </c>
      <c r="G473" s="88">
        <f>DAY(EOMONTH(DATE(B473,C473,1),0))</f>
        <v/>
      </c>
      <c r="H473" s="89">
        <f>F473/G473</f>
        <v/>
      </c>
    </row>
    <row r="474">
      <c r="A474" s="86" t="inlineStr">
        <is>
          <t>경북</t>
        </is>
      </c>
      <c r="B474" s="86" t="n">
        <v>2025</v>
      </c>
      <c r="C474" s="86" t="n">
        <v>5</v>
      </c>
      <c r="D474" s="86" t="inlineStr">
        <is>
          <t>2025-05</t>
        </is>
      </c>
      <c r="E474" s="87" t="n">
        <v>223.2</v>
      </c>
      <c r="F474" s="87" t="n">
        <v>170.5917</v>
      </c>
      <c r="G474" s="88">
        <f>DAY(EOMONTH(DATE(B474,C474,1),0))</f>
        <v/>
      </c>
      <c r="H474" s="89">
        <f>F474/G474</f>
        <v/>
      </c>
    </row>
    <row r="475">
      <c r="A475" s="86" t="inlineStr">
        <is>
          <t>경북</t>
        </is>
      </c>
      <c r="B475" s="86" t="n">
        <v>2025</v>
      </c>
      <c r="C475" s="86" t="n">
        <v>6</v>
      </c>
      <c r="D475" s="86" t="inlineStr">
        <is>
          <t>2025-06</t>
        </is>
      </c>
      <c r="E475" s="87" t="n">
        <v>212.4</v>
      </c>
      <c r="F475" s="87" t="n">
        <v>171.9778</v>
      </c>
      <c r="G475" s="88">
        <f>DAY(EOMONTH(DATE(B475,C475,1),0))</f>
        <v/>
      </c>
      <c r="H475" s="89">
        <f>F475/G475</f>
        <v/>
      </c>
    </row>
    <row r="476">
      <c r="A476" s="86" t="inlineStr">
        <is>
          <t>경북</t>
        </is>
      </c>
      <c r="B476" s="86" t="n">
        <v>2025</v>
      </c>
      <c r="C476" s="86" t="n">
        <v>7</v>
      </c>
      <c r="D476" s="86" t="inlineStr">
        <is>
          <t>2025-07</t>
        </is>
      </c>
      <c r="E476" s="87" t="n">
        <v>275.5</v>
      </c>
      <c r="F476" s="87" t="n">
        <v>191.2556</v>
      </c>
      <c r="G476" s="88">
        <f>DAY(EOMONTH(DATE(B476,C476,1),0))</f>
        <v/>
      </c>
      <c r="H476" s="89">
        <f>F476/G476</f>
        <v/>
      </c>
    </row>
    <row r="477">
      <c r="A477" s="86" t="inlineStr">
        <is>
          <t>경북</t>
        </is>
      </c>
      <c r="B477" s="86" t="n">
        <v>2025</v>
      </c>
      <c r="C477" s="86" t="n">
        <v>8</v>
      </c>
      <c r="D477" s="86" t="inlineStr">
        <is>
          <t>2025-08</t>
        </is>
      </c>
      <c r="E477" s="87" t="n">
        <v>236.2</v>
      </c>
      <c r="F477" s="87" t="n">
        <v>165.3917</v>
      </c>
      <c r="G477" s="88">
        <f>DAY(EOMONTH(DATE(B477,C477,1),0))</f>
        <v/>
      </c>
      <c r="H477" s="89">
        <f>F477/G477</f>
        <v/>
      </c>
    </row>
    <row r="478">
      <c r="A478" s="86" t="inlineStr">
        <is>
          <t>경북</t>
        </is>
      </c>
      <c r="B478" s="86" t="n">
        <v>2025</v>
      </c>
      <c r="C478" s="86" t="n">
        <v>9</v>
      </c>
      <c r="D478" s="86" t="inlineStr">
        <is>
          <t>2025-09</t>
        </is>
      </c>
      <c r="E478" s="87" t="n">
        <v>128.2</v>
      </c>
      <c r="F478" s="87" t="n">
        <v>111.1556</v>
      </c>
      <c r="G478" s="88">
        <f>DAY(EOMONTH(DATE(B478,C478,1),0))</f>
        <v/>
      </c>
      <c r="H478" s="89">
        <f>F478/G478</f>
        <v/>
      </c>
    </row>
    <row r="479">
      <c r="A479" s="86" t="inlineStr">
        <is>
          <t>경북</t>
        </is>
      </c>
      <c r="B479" s="86" t="n">
        <v>2025</v>
      </c>
      <c r="C479" s="86" t="n">
        <v>10</v>
      </c>
      <c r="D479" s="86" t="inlineStr">
        <is>
          <t>2025-10</t>
        </is>
      </c>
      <c r="E479" s="87" t="n">
        <v>98.40000000000001</v>
      </c>
      <c r="F479" s="87" t="n">
        <v>78.7333</v>
      </c>
      <c r="G479" s="88">
        <f>DAY(EOMONTH(DATE(B479,C479,1),0))</f>
        <v/>
      </c>
      <c r="H479" s="89">
        <f>F479/G479</f>
        <v/>
      </c>
    </row>
    <row r="480">
      <c r="A480" s="86" t="inlineStr">
        <is>
          <t>경북</t>
        </is>
      </c>
      <c r="B480" s="86" t="n">
        <v>2025</v>
      </c>
      <c r="C480" s="86" t="n">
        <v>11</v>
      </c>
      <c r="D480" s="86" t="inlineStr">
        <is>
          <t>2025-11</t>
        </is>
      </c>
      <c r="E480" s="87" t="n">
        <v>228.3</v>
      </c>
      <c r="F480" s="87" t="n">
        <v>96.5278</v>
      </c>
      <c r="G480" s="88">
        <f>DAY(EOMONTH(DATE(B480,C480,1),0))</f>
        <v/>
      </c>
      <c r="H480" s="89">
        <f>F480/G480</f>
        <v/>
      </c>
    </row>
    <row r="481">
      <c r="A481" s="86" t="inlineStr">
        <is>
          <t>경북</t>
        </is>
      </c>
      <c r="B481" s="86" t="n">
        <v>2025</v>
      </c>
      <c r="C481" s="86" t="n">
        <v>12</v>
      </c>
      <c r="D481" s="86" t="inlineStr">
        <is>
          <t>2025-12</t>
        </is>
      </c>
      <c r="E481" s="87" t="n">
        <v>197.9</v>
      </c>
      <c r="F481" s="87" t="n">
        <v>78.3417</v>
      </c>
      <c r="G481" s="88">
        <f>DAY(EOMONTH(DATE(B481,C481,1),0))</f>
        <v/>
      </c>
      <c r="H481" s="89">
        <f>F481/G481</f>
        <v/>
      </c>
    </row>
    <row r="482">
      <c r="A482" s="86" t="inlineStr">
        <is>
          <t>서울경기</t>
        </is>
      </c>
      <c r="B482" s="86" t="n">
        <v>2016</v>
      </c>
      <c r="C482" s="86" t="n">
        <v>1</v>
      </c>
      <c r="D482" s="86" t="inlineStr">
        <is>
          <t>2016-01</t>
        </is>
      </c>
      <c r="E482" s="87" t="n">
        <v>193.1</v>
      </c>
      <c r="F482" s="87" t="n">
        <v>65.1611</v>
      </c>
      <c r="G482" s="88">
        <f>DAY(EOMONTH(DATE(B482,C482,1),0))</f>
        <v/>
      </c>
      <c r="H482" s="89">
        <f>F482/G482</f>
        <v/>
      </c>
    </row>
    <row r="483">
      <c r="A483" s="86" t="inlineStr">
        <is>
          <t>서울경기</t>
        </is>
      </c>
      <c r="B483" s="86" t="n">
        <v>2016</v>
      </c>
      <c r="C483" s="86" t="n">
        <v>2</v>
      </c>
      <c r="D483" s="86" t="inlineStr">
        <is>
          <t>2016-02</t>
        </is>
      </c>
      <c r="E483" s="87" t="n">
        <v>197.4</v>
      </c>
      <c r="F483" s="87" t="n">
        <v>76.9083</v>
      </c>
      <c r="G483" s="88">
        <f>DAY(EOMONTH(DATE(B483,C483,1),0))</f>
        <v/>
      </c>
      <c r="H483" s="89">
        <f>F483/G483</f>
        <v/>
      </c>
    </row>
    <row r="484">
      <c r="A484" s="86" t="inlineStr">
        <is>
          <t>서울경기</t>
        </is>
      </c>
      <c r="B484" s="86" t="n">
        <v>2016</v>
      </c>
      <c r="C484" s="86" t="n">
        <v>3</v>
      </c>
      <c r="D484" s="86" t="inlineStr">
        <is>
          <t>2016-03</t>
        </is>
      </c>
      <c r="E484" s="87" t="n">
        <v>249.1</v>
      </c>
      <c r="F484" s="87" t="n">
        <v>116.2639</v>
      </c>
      <c r="G484" s="88">
        <f>DAY(EOMONTH(DATE(B484,C484,1),0))</f>
        <v/>
      </c>
      <c r="H484" s="89">
        <f>F484/G484</f>
        <v/>
      </c>
    </row>
    <row r="485">
      <c r="A485" s="86" t="inlineStr">
        <is>
          <t>서울경기</t>
        </is>
      </c>
      <c r="B485" s="86" t="n">
        <v>2016</v>
      </c>
      <c r="C485" s="86" t="n">
        <v>4</v>
      </c>
      <c r="D485" s="86" t="inlineStr">
        <is>
          <t>2016-04</t>
        </is>
      </c>
      <c r="E485" s="87" t="n">
        <v>212.2</v>
      </c>
      <c r="F485" s="87" t="n">
        <v>121.9639</v>
      </c>
      <c r="G485" s="88">
        <f>DAY(EOMONTH(DATE(B485,C485,1),0))</f>
        <v/>
      </c>
      <c r="H485" s="89">
        <f>F485/G485</f>
        <v/>
      </c>
    </row>
    <row r="486">
      <c r="A486" s="86" t="inlineStr">
        <is>
          <t>서울경기</t>
        </is>
      </c>
      <c r="B486" s="86" t="n">
        <v>2016</v>
      </c>
      <c r="C486" s="86" t="n">
        <v>5</v>
      </c>
      <c r="D486" s="86" t="inlineStr">
        <is>
          <t>2016-05</t>
        </is>
      </c>
      <c r="E486" s="87" t="n">
        <v>278.2</v>
      </c>
      <c r="F486" s="87" t="n">
        <v>157.2833</v>
      </c>
      <c r="G486" s="88">
        <f>DAY(EOMONTH(DATE(B486,C486,1),0))</f>
        <v/>
      </c>
      <c r="H486" s="89">
        <f>F486/G486</f>
        <v/>
      </c>
    </row>
    <row r="487">
      <c r="A487" s="86" t="inlineStr">
        <is>
          <t>서울경기</t>
        </is>
      </c>
      <c r="B487" s="86" t="n">
        <v>2016</v>
      </c>
      <c r="C487" s="86" t="n">
        <v>6</v>
      </c>
      <c r="D487" s="86" t="inlineStr">
        <is>
          <t>2016-06</t>
        </is>
      </c>
      <c r="E487" s="87" t="n">
        <v>237.1</v>
      </c>
      <c r="F487" s="87" t="n">
        <v>143.5972</v>
      </c>
      <c r="G487" s="88">
        <f>DAY(EOMONTH(DATE(B487,C487,1),0))</f>
        <v/>
      </c>
      <c r="H487" s="89">
        <f>F487/G487</f>
        <v/>
      </c>
    </row>
    <row r="488">
      <c r="A488" s="86" t="inlineStr">
        <is>
          <t>서울경기</t>
        </is>
      </c>
      <c r="B488" s="86" t="n">
        <v>2016</v>
      </c>
      <c r="C488" s="86" t="n">
        <v>7</v>
      </c>
      <c r="D488" s="86" t="inlineStr">
        <is>
          <t>2016-07</t>
        </is>
      </c>
      <c r="E488" s="87" t="n">
        <v>163.8</v>
      </c>
      <c r="F488" s="87" t="n">
        <v>114.375</v>
      </c>
      <c r="G488" s="88">
        <f>DAY(EOMONTH(DATE(B488,C488,1),0))</f>
        <v/>
      </c>
      <c r="H488" s="89">
        <f>F488/G488</f>
        <v/>
      </c>
    </row>
    <row r="489">
      <c r="A489" s="86" t="inlineStr">
        <is>
          <t>서울경기</t>
        </is>
      </c>
      <c r="B489" s="86" t="n">
        <v>2016</v>
      </c>
      <c r="C489" s="86" t="n">
        <v>8</v>
      </c>
      <c r="D489" s="86" t="inlineStr">
        <is>
          <t>2016-08</t>
        </is>
      </c>
      <c r="E489" s="87" t="n">
        <v>243.4</v>
      </c>
      <c r="F489" s="87" t="n">
        <v>132.8833</v>
      </c>
      <c r="G489" s="88">
        <f>DAY(EOMONTH(DATE(B489,C489,1),0))</f>
        <v/>
      </c>
      <c r="H489" s="89">
        <f>F489/G489</f>
        <v/>
      </c>
    </row>
    <row r="490">
      <c r="A490" s="86" t="inlineStr">
        <is>
          <t>서울경기</t>
        </is>
      </c>
      <c r="B490" s="86" t="n">
        <v>2016</v>
      </c>
      <c r="C490" s="86" t="n">
        <v>9</v>
      </c>
      <c r="D490" s="86" t="inlineStr">
        <is>
          <t>2016-09</t>
        </is>
      </c>
      <c r="E490" s="87" t="n">
        <v>189.8</v>
      </c>
      <c r="F490" s="87" t="n">
        <v>100.6139</v>
      </c>
      <c r="G490" s="88">
        <f>DAY(EOMONTH(DATE(B490,C490,1),0))</f>
        <v/>
      </c>
      <c r="H490" s="89">
        <f>F490/G490</f>
        <v/>
      </c>
    </row>
    <row r="491">
      <c r="A491" s="86" t="inlineStr">
        <is>
          <t>서울경기</t>
        </is>
      </c>
      <c r="B491" s="86" t="n">
        <v>2016</v>
      </c>
      <c r="C491" s="86" t="n">
        <v>10</v>
      </c>
      <c r="D491" s="86" t="inlineStr">
        <is>
          <t>2016-10</t>
        </is>
      </c>
      <c r="E491" s="87" t="n">
        <v>185.3</v>
      </c>
      <c r="F491" s="87" t="n">
        <v>82.34439999999999</v>
      </c>
      <c r="G491" s="88">
        <f>DAY(EOMONTH(DATE(B491,C491,1),0))</f>
        <v/>
      </c>
      <c r="H491" s="89">
        <f>F491/G491</f>
        <v/>
      </c>
    </row>
    <row r="492">
      <c r="A492" s="86" t="inlineStr">
        <is>
          <t>서울경기</t>
        </is>
      </c>
      <c r="B492" s="86" t="n">
        <v>2016</v>
      </c>
      <c r="C492" s="86" t="n">
        <v>11</v>
      </c>
      <c r="D492" s="86" t="inlineStr">
        <is>
          <t>2016-11</t>
        </is>
      </c>
      <c r="E492" s="87" t="n">
        <v>171.5</v>
      </c>
      <c r="F492" s="87" t="n">
        <v>61.7111</v>
      </c>
      <c r="G492" s="88">
        <f>DAY(EOMONTH(DATE(B492,C492,1),0))</f>
        <v/>
      </c>
      <c r="H492" s="89">
        <f>F492/G492</f>
        <v/>
      </c>
    </row>
    <row r="493">
      <c r="A493" s="86" t="inlineStr">
        <is>
          <t>서울경기</t>
        </is>
      </c>
      <c r="B493" s="86" t="n">
        <v>2016</v>
      </c>
      <c r="C493" s="86" t="n">
        <v>12</v>
      </c>
      <c r="D493" s="86" t="inlineStr">
        <is>
          <t>2016-12</t>
        </is>
      </c>
      <c r="E493" s="87" t="n">
        <v>165.7</v>
      </c>
      <c r="F493" s="87" t="n">
        <v>54.0417</v>
      </c>
      <c r="G493" s="88">
        <f>DAY(EOMONTH(DATE(B493,C493,1),0))</f>
        <v/>
      </c>
      <c r="H493" s="89">
        <f>F493/G493</f>
        <v/>
      </c>
    </row>
    <row r="494">
      <c r="A494" s="86" t="inlineStr">
        <is>
          <t>서울경기</t>
        </is>
      </c>
      <c r="B494" s="86" t="n">
        <v>2017</v>
      </c>
      <c r="C494" s="86" t="n">
        <v>1</v>
      </c>
      <c r="D494" s="86" t="inlineStr">
        <is>
          <t>2017-01</t>
        </is>
      </c>
      <c r="E494" s="87" t="n">
        <v>210.1</v>
      </c>
      <c r="F494" s="87" t="n">
        <v>67.8806</v>
      </c>
      <c r="G494" s="88">
        <f>DAY(EOMONTH(DATE(B494,C494,1),0))</f>
        <v/>
      </c>
      <c r="H494" s="89">
        <f>F494/G494</f>
        <v/>
      </c>
    </row>
    <row r="495">
      <c r="A495" s="86" t="inlineStr">
        <is>
          <t>서울경기</t>
        </is>
      </c>
      <c r="B495" s="86" t="n">
        <v>2017</v>
      </c>
      <c r="C495" s="86" t="n">
        <v>2</v>
      </c>
      <c r="D495" s="86" t="inlineStr">
        <is>
          <t>2017-02</t>
        </is>
      </c>
      <c r="E495" s="87" t="n">
        <v>211.4</v>
      </c>
      <c r="F495" s="87" t="n">
        <v>83.2278</v>
      </c>
      <c r="G495" s="88">
        <f>DAY(EOMONTH(DATE(B495,C495,1),0))</f>
        <v/>
      </c>
      <c r="H495" s="89">
        <f>F495/G495</f>
        <v/>
      </c>
    </row>
    <row r="496">
      <c r="A496" s="86" t="inlineStr">
        <is>
          <t>서울경기</t>
        </is>
      </c>
      <c r="B496" s="86" t="n">
        <v>2017</v>
      </c>
      <c r="C496" s="86" t="n">
        <v>3</v>
      </c>
      <c r="D496" s="86" t="inlineStr">
        <is>
          <t>2017-03</t>
        </is>
      </c>
      <c r="E496" s="87" t="n">
        <v>253.9</v>
      </c>
      <c r="F496" s="87" t="n">
        <v>120.3972</v>
      </c>
      <c r="G496" s="88">
        <f>DAY(EOMONTH(DATE(B496,C496,1),0))</f>
        <v/>
      </c>
      <c r="H496" s="89">
        <f>F496/G496</f>
        <v/>
      </c>
    </row>
    <row r="497">
      <c r="A497" s="86" t="inlineStr">
        <is>
          <t>서울경기</t>
        </is>
      </c>
      <c r="B497" s="86" t="n">
        <v>2017</v>
      </c>
      <c r="C497" s="86" t="n">
        <v>4</v>
      </c>
      <c r="D497" s="86" t="inlineStr">
        <is>
          <t>2017-04</t>
        </is>
      </c>
      <c r="E497" s="87" t="n">
        <v>257.6</v>
      </c>
      <c r="F497" s="87" t="n">
        <v>134.7028</v>
      </c>
      <c r="G497" s="88">
        <f>DAY(EOMONTH(DATE(B497,C497,1),0))</f>
        <v/>
      </c>
      <c r="H497" s="89">
        <f>F497/G497</f>
        <v/>
      </c>
    </row>
    <row r="498">
      <c r="A498" s="86" t="inlineStr">
        <is>
          <t>서울경기</t>
        </is>
      </c>
      <c r="B498" s="86" t="n">
        <v>2017</v>
      </c>
      <c r="C498" s="86" t="n">
        <v>5</v>
      </c>
      <c r="D498" s="86" t="inlineStr">
        <is>
          <t>2017-05</t>
        </is>
      </c>
      <c r="E498" s="87" t="n">
        <v>305.7</v>
      </c>
      <c r="F498" s="87" t="n">
        <v>167.8889</v>
      </c>
      <c r="G498" s="88">
        <f>DAY(EOMONTH(DATE(B498,C498,1),0))</f>
        <v/>
      </c>
      <c r="H498" s="89">
        <f>F498/G498</f>
        <v/>
      </c>
    </row>
    <row r="499">
      <c r="A499" s="86" t="inlineStr">
        <is>
          <t>서울경기</t>
        </is>
      </c>
      <c r="B499" s="86" t="n">
        <v>2017</v>
      </c>
      <c r="C499" s="86" t="n">
        <v>6</v>
      </c>
      <c r="D499" s="86" t="inlineStr">
        <is>
          <t>2017-06</t>
        </is>
      </c>
      <c r="E499" s="87" t="n">
        <v>282.4</v>
      </c>
      <c r="F499" s="87" t="n">
        <v>162.7083</v>
      </c>
      <c r="G499" s="88">
        <f>DAY(EOMONTH(DATE(B499,C499,1),0))</f>
        <v/>
      </c>
      <c r="H499" s="89">
        <f>F499/G499</f>
        <v/>
      </c>
    </row>
    <row r="500">
      <c r="A500" s="86" t="inlineStr">
        <is>
          <t>서울경기</t>
        </is>
      </c>
      <c r="B500" s="86" t="n">
        <v>2017</v>
      </c>
      <c r="C500" s="86" t="n">
        <v>7</v>
      </c>
      <c r="D500" s="86" t="inlineStr">
        <is>
          <t>2017-07</t>
        </is>
      </c>
      <c r="E500" s="87" t="n">
        <v>129.6</v>
      </c>
      <c r="F500" s="87" t="n">
        <v>101.8083</v>
      </c>
      <c r="G500" s="88">
        <f>DAY(EOMONTH(DATE(B500,C500,1),0))</f>
        <v/>
      </c>
      <c r="H500" s="89">
        <f>F500/G500</f>
        <v/>
      </c>
    </row>
    <row r="501">
      <c r="A501" s="86" t="inlineStr">
        <is>
          <t>서울경기</t>
        </is>
      </c>
      <c r="B501" s="86" t="n">
        <v>2017</v>
      </c>
      <c r="C501" s="86" t="n">
        <v>8</v>
      </c>
      <c r="D501" s="86" t="inlineStr">
        <is>
          <t>2017-08</t>
        </is>
      </c>
      <c r="E501" s="87" t="n">
        <v>171.4</v>
      </c>
      <c r="F501" s="87" t="n">
        <v>108.675</v>
      </c>
      <c r="G501" s="88">
        <f>DAY(EOMONTH(DATE(B501,C501,1),0))</f>
        <v/>
      </c>
      <c r="H501" s="89">
        <f>F501/G501</f>
        <v/>
      </c>
    </row>
    <row r="502">
      <c r="A502" s="86" t="inlineStr">
        <is>
          <t>서울경기</t>
        </is>
      </c>
      <c r="B502" s="86" t="n">
        <v>2017</v>
      </c>
      <c r="C502" s="86" t="n">
        <v>9</v>
      </c>
      <c r="D502" s="86" t="inlineStr">
        <is>
          <t>2017-09</t>
        </is>
      </c>
      <c r="E502" s="87" t="n">
        <v>243</v>
      </c>
      <c r="F502" s="87" t="n">
        <v>117.1</v>
      </c>
      <c r="G502" s="88">
        <f>DAY(EOMONTH(DATE(B502,C502,1),0))</f>
        <v/>
      </c>
      <c r="H502" s="89">
        <f>F502/G502</f>
        <v/>
      </c>
    </row>
    <row r="503">
      <c r="A503" s="86" t="inlineStr">
        <is>
          <t>서울경기</t>
        </is>
      </c>
      <c r="B503" s="86" t="n">
        <v>2017</v>
      </c>
      <c r="C503" s="86" t="n">
        <v>10</v>
      </c>
      <c r="D503" s="86" t="inlineStr">
        <is>
          <t>2017-10</t>
        </is>
      </c>
      <c r="E503" s="87" t="n">
        <v>215.4</v>
      </c>
      <c r="F503" s="87" t="n">
        <v>73.34439999999999</v>
      </c>
      <c r="G503" s="88">
        <f>DAY(EOMONTH(DATE(B503,C503,1),0))</f>
        <v/>
      </c>
      <c r="H503" s="89">
        <f>F503/G503</f>
        <v/>
      </c>
    </row>
    <row r="504">
      <c r="A504" s="86" t="inlineStr">
        <is>
          <t>서울경기</t>
        </is>
      </c>
      <c r="B504" s="86" t="n">
        <v>2017</v>
      </c>
      <c r="C504" s="86" t="n">
        <v>11</v>
      </c>
      <c r="D504" s="86" t="inlineStr">
        <is>
          <t>2017-11</t>
        </is>
      </c>
      <c r="E504" s="87" t="n">
        <v>185.1</v>
      </c>
      <c r="F504" s="87" t="n">
        <v>50.7778</v>
      </c>
      <c r="G504" s="88">
        <f>DAY(EOMONTH(DATE(B504,C504,1),0))</f>
        <v/>
      </c>
      <c r="H504" s="89">
        <f>F504/G504</f>
        <v/>
      </c>
    </row>
    <row r="505">
      <c r="A505" s="86" t="inlineStr">
        <is>
          <t>서울경기</t>
        </is>
      </c>
      <c r="B505" s="86" t="n">
        <v>2017</v>
      </c>
      <c r="C505" s="86" t="n">
        <v>12</v>
      </c>
      <c r="D505" s="86" t="inlineStr">
        <is>
          <t>2017-12</t>
        </is>
      </c>
      <c r="E505" s="87" t="n">
        <v>189</v>
      </c>
      <c r="F505" s="87" t="n">
        <v>47.9028</v>
      </c>
      <c r="G505" s="88">
        <f>DAY(EOMONTH(DATE(B505,C505,1),0))</f>
        <v/>
      </c>
      <c r="H505" s="89">
        <f>F505/G505</f>
        <v/>
      </c>
    </row>
    <row r="506">
      <c r="A506" s="86" t="inlineStr">
        <is>
          <t>서울경기</t>
        </is>
      </c>
      <c r="B506" s="86" t="n">
        <v>2018</v>
      </c>
      <c r="C506" s="86" t="n">
        <v>1</v>
      </c>
      <c r="D506" s="86" t="inlineStr">
        <is>
          <t>2018-01</t>
        </is>
      </c>
      <c r="E506" s="87" t="n">
        <v>196.6</v>
      </c>
      <c r="F506" s="87" t="n">
        <v>51.8167</v>
      </c>
      <c r="G506" s="88">
        <f>DAY(EOMONTH(DATE(B506,C506,1),0))</f>
        <v/>
      </c>
      <c r="H506" s="89">
        <f>F506/G506</f>
        <v/>
      </c>
    </row>
    <row r="507">
      <c r="A507" s="86" t="inlineStr">
        <is>
          <t>서울경기</t>
        </is>
      </c>
      <c r="B507" s="86" t="n">
        <v>2018</v>
      </c>
      <c r="C507" s="86" t="n">
        <v>2</v>
      </c>
      <c r="D507" s="86" t="inlineStr">
        <is>
          <t>2018-02</t>
        </is>
      </c>
      <c r="E507" s="87" t="n">
        <v>204.9</v>
      </c>
      <c r="F507" s="87" t="n">
        <v>76.52500000000001</v>
      </c>
      <c r="G507" s="88">
        <f>DAY(EOMONTH(DATE(B507,C507,1),0))</f>
        <v/>
      </c>
      <c r="H507" s="89">
        <f>F507/G507</f>
        <v/>
      </c>
    </row>
    <row r="508">
      <c r="A508" s="86" t="inlineStr">
        <is>
          <t>서울경기</t>
        </is>
      </c>
      <c r="B508" s="86" t="n">
        <v>2018</v>
      </c>
      <c r="C508" s="86" t="n">
        <v>3</v>
      </c>
      <c r="D508" s="86" t="inlineStr">
        <is>
          <t>2018-03</t>
        </is>
      </c>
      <c r="E508" s="87" t="n">
        <v>208.7</v>
      </c>
      <c r="F508" s="87" t="n">
        <v>117.1056</v>
      </c>
      <c r="G508" s="88">
        <f>DAY(EOMONTH(DATE(B508,C508,1),0))</f>
        <v/>
      </c>
      <c r="H508" s="89">
        <f>F508/G508</f>
        <v/>
      </c>
    </row>
    <row r="509">
      <c r="A509" s="86" t="inlineStr">
        <is>
          <t>서울경기</t>
        </is>
      </c>
      <c r="B509" s="86" t="n">
        <v>2018</v>
      </c>
      <c r="C509" s="86" t="n">
        <v>4</v>
      </c>
      <c r="D509" s="86" t="inlineStr">
        <is>
          <t>2018-04</t>
        </is>
      </c>
      <c r="E509" s="87" t="n">
        <v>221.2</v>
      </c>
      <c r="F509" s="87" t="n">
        <v>140.925</v>
      </c>
      <c r="G509" s="88">
        <f>DAY(EOMONTH(DATE(B509,C509,1),0))</f>
        <v/>
      </c>
      <c r="H509" s="89">
        <f>F509/G509</f>
        <v/>
      </c>
    </row>
    <row r="510">
      <c r="A510" s="86" t="inlineStr">
        <is>
          <t>서울경기</t>
        </is>
      </c>
      <c r="B510" s="86" t="n">
        <v>2018</v>
      </c>
      <c r="C510" s="86" t="n">
        <v>5</v>
      </c>
      <c r="D510" s="86" t="inlineStr">
        <is>
          <t>2018-05</t>
        </is>
      </c>
      <c r="E510" s="87" t="n">
        <v>224.3</v>
      </c>
      <c r="F510" s="87" t="n">
        <v>156.6778</v>
      </c>
      <c r="G510" s="88">
        <f>DAY(EOMONTH(DATE(B510,C510,1),0))</f>
        <v/>
      </c>
      <c r="H510" s="89">
        <f>F510/G510</f>
        <v/>
      </c>
    </row>
    <row r="511">
      <c r="A511" s="86" t="inlineStr">
        <is>
          <t>서울경기</t>
        </is>
      </c>
      <c r="B511" s="86" t="n">
        <v>2018</v>
      </c>
      <c r="C511" s="86" t="n">
        <v>6</v>
      </c>
      <c r="D511" s="86" t="inlineStr">
        <is>
          <t>2018-06</t>
        </is>
      </c>
      <c r="E511" s="87" t="n">
        <v>230.1</v>
      </c>
      <c r="F511" s="87" t="n">
        <v>168.2611</v>
      </c>
      <c r="G511" s="88">
        <f>DAY(EOMONTH(DATE(B511,C511,1),0))</f>
        <v/>
      </c>
      <c r="H511" s="89">
        <f>F511/G511</f>
        <v/>
      </c>
    </row>
    <row r="512">
      <c r="A512" s="86" t="inlineStr">
        <is>
          <t>서울경기</t>
        </is>
      </c>
      <c r="B512" s="86" t="n">
        <v>2018</v>
      </c>
      <c r="C512" s="86" t="n">
        <v>7</v>
      </c>
      <c r="D512" s="86" t="inlineStr">
        <is>
          <t>2018-07</t>
        </is>
      </c>
      <c r="E512" s="87" t="n">
        <v>254.3</v>
      </c>
      <c r="F512" s="87" t="n">
        <v>167.35</v>
      </c>
      <c r="G512" s="88">
        <f>DAY(EOMONTH(DATE(B512,C512,1),0))</f>
        <v/>
      </c>
      <c r="H512" s="89">
        <f>F512/G512</f>
        <v/>
      </c>
    </row>
    <row r="513">
      <c r="A513" s="86" t="inlineStr">
        <is>
          <t>서울경기</t>
        </is>
      </c>
      <c r="B513" s="86" t="n">
        <v>2018</v>
      </c>
      <c r="C513" s="86" t="n">
        <v>8</v>
      </c>
      <c r="D513" s="86" t="inlineStr">
        <is>
          <t>2018-08</t>
        </is>
      </c>
      <c r="E513" s="87" t="n">
        <v>240.9</v>
      </c>
      <c r="F513" s="87" t="n">
        <v>151.3917</v>
      </c>
      <c r="G513" s="88">
        <f>DAY(EOMONTH(DATE(B513,C513,1),0))</f>
        <v/>
      </c>
      <c r="H513" s="89">
        <f>F513/G513</f>
        <v/>
      </c>
    </row>
    <row r="514">
      <c r="A514" s="86" t="inlineStr">
        <is>
          <t>서울경기</t>
        </is>
      </c>
      <c r="B514" s="86" t="n">
        <v>2018</v>
      </c>
      <c r="C514" s="86" t="n">
        <v>9</v>
      </c>
      <c r="D514" s="86" t="inlineStr">
        <is>
          <t>2018-09</t>
        </is>
      </c>
      <c r="E514" s="87" t="n">
        <v>216.7</v>
      </c>
      <c r="F514" s="87" t="n">
        <v>128.5944</v>
      </c>
      <c r="G514" s="88">
        <f>DAY(EOMONTH(DATE(B514,C514,1),0))</f>
        <v/>
      </c>
      <c r="H514" s="89">
        <f>F514/G514</f>
        <v/>
      </c>
    </row>
    <row r="515">
      <c r="A515" s="86" t="inlineStr">
        <is>
          <t>서울경기</t>
        </is>
      </c>
      <c r="B515" s="86" t="n">
        <v>2018</v>
      </c>
      <c r="C515" s="86" t="n">
        <v>10</v>
      </c>
      <c r="D515" s="86" t="inlineStr">
        <is>
          <t>2018-10</t>
        </is>
      </c>
      <c r="E515" s="87" t="n">
        <v>246.6</v>
      </c>
      <c r="F515" s="87" t="n">
        <v>112.1611</v>
      </c>
      <c r="G515" s="88">
        <f>DAY(EOMONTH(DATE(B515,C515,1),0))</f>
        <v/>
      </c>
      <c r="H515" s="89">
        <f>F515/G515</f>
        <v/>
      </c>
    </row>
    <row r="516">
      <c r="A516" s="86" t="inlineStr">
        <is>
          <t>서울경기</t>
        </is>
      </c>
      <c r="B516" s="86" t="n">
        <v>2018</v>
      </c>
      <c r="C516" s="86" t="n">
        <v>11</v>
      </c>
      <c r="D516" s="86" t="inlineStr">
        <is>
          <t>2018-11</t>
        </is>
      </c>
      <c r="E516" s="87" t="n">
        <v>185.6</v>
      </c>
      <c r="F516" s="87" t="n">
        <v>74.6639</v>
      </c>
      <c r="G516" s="88">
        <f>DAY(EOMONTH(DATE(B516,C516,1),0))</f>
        <v/>
      </c>
      <c r="H516" s="89">
        <f>F516/G516</f>
        <v/>
      </c>
    </row>
    <row r="517">
      <c r="A517" s="86" t="inlineStr">
        <is>
          <t>서울경기</t>
        </is>
      </c>
      <c r="B517" s="86" t="n">
        <v>2018</v>
      </c>
      <c r="C517" s="86" t="n">
        <v>12</v>
      </c>
      <c r="D517" s="86" t="inlineStr">
        <is>
          <t>2018-12</t>
        </is>
      </c>
      <c r="E517" s="87" t="n">
        <v>203.9</v>
      </c>
      <c r="F517" s="87" t="n">
        <v>70.9722</v>
      </c>
      <c r="G517" s="88">
        <f>DAY(EOMONTH(DATE(B517,C517,1),0))</f>
        <v/>
      </c>
      <c r="H517" s="89">
        <f>F517/G517</f>
        <v/>
      </c>
    </row>
    <row r="518">
      <c r="A518" s="86" t="inlineStr">
        <is>
          <t>서울경기</t>
        </is>
      </c>
      <c r="B518" s="86" t="n">
        <v>2019</v>
      </c>
      <c r="C518" s="86" t="n">
        <v>1</v>
      </c>
      <c r="D518" s="86" t="inlineStr">
        <is>
          <t>2019-01</t>
        </is>
      </c>
      <c r="E518" s="87" t="n">
        <v>219.1</v>
      </c>
      <c r="F518" s="87" t="n">
        <v>79.9472</v>
      </c>
      <c r="G518" s="88">
        <f>DAY(EOMONTH(DATE(B518,C518,1),0))</f>
        <v/>
      </c>
      <c r="H518" s="89">
        <f>F518/G518</f>
        <v/>
      </c>
    </row>
    <row r="519">
      <c r="A519" s="86" t="inlineStr">
        <is>
          <t>서울경기</t>
        </is>
      </c>
      <c r="B519" s="86" t="n">
        <v>2019</v>
      </c>
      <c r="C519" s="86" t="n">
        <v>2</v>
      </c>
      <c r="D519" s="86" t="inlineStr">
        <is>
          <t>2019-02</t>
        </is>
      </c>
      <c r="E519" s="87" t="n">
        <v>190.3</v>
      </c>
      <c r="F519" s="87" t="n">
        <v>89.25830000000001</v>
      </c>
      <c r="G519" s="88">
        <f>DAY(EOMONTH(DATE(B519,C519,1),0))</f>
        <v/>
      </c>
      <c r="H519" s="89">
        <f>F519/G519</f>
        <v/>
      </c>
    </row>
    <row r="520">
      <c r="A520" s="86" t="inlineStr">
        <is>
          <t>서울경기</t>
        </is>
      </c>
      <c r="B520" s="86" t="n">
        <v>2019</v>
      </c>
      <c r="C520" s="86" t="n">
        <v>3</v>
      </c>
      <c r="D520" s="86" t="inlineStr">
        <is>
          <t>2019-03</t>
        </is>
      </c>
      <c r="E520" s="87" t="n">
        <v>211.5</v>
      </c>
      <c r="F520" s="87" t="n">
        <v>120.775</v>
      </c>
      <c r="G520" s="88">
        <f>DAY(EOMONTH(DATE(B520,C520,1),0))</f>
        <v/>
      </c>
      <c r="H520" s="89">
        <f>F520/G520</f>
        <v/>
      </c>
    </row>
    <row r="521">
      <c r="A521" s="86" t="inlineStr">
        <is>
          <t>서울경기</t>
        </is>
      </c>
      <c r="B521" s="86" t="n">
        <v>2019</v>
      </c>
      <c r="C521" s="86" t="n">
        <v>4</v>
      </c>
      <c r="D521" s="86" t="inlineStr">
        <is>
          <t>2019-04</t>
        </is>
      </c>
      <c r="E521" s="87" t="n">
        <v>217.3</v>
      </c>
      <c r="F521" s="87" t="n">
        <v>138.9389</v>
      </c>
      <c r="G521" s="88">
        <f>DAY(EOMONTH(DATE(B521,C521,1),0))</f>
        <v/>
      </c>
      <c r="H521" s="89">
        <f>F521/G521</f>
        <v/>
      </c>
    </row>
    <row r="522">
      <c r="A522" s="86" t="inlineStr">
        <is>
          <t>서울경기</t>
        </is>
      </c>
      <c r="B522" s="86" t="n">
        <v>2019</v>
      </c>
      <c r="C522" s="86" t="n">
        <v>5</v>
      </c>
      <c r="D522" s="86" t="inlineStr">
        <is>
          <t>2019-05</t>
        </is>
      </c>
      <c r="E522" s="87" t="n">
        <v>309.8</v>
      </c>
      <c r="F522" s="87" t="n">
        <v>197.0028</v>
      </c>
      <c r="G522" s="88">
        <f>DAY(EOMONTH(DATE(B522,C522,1),0))</f>
        <v/>
      </c>
      <c r="H522" s="89">
        <f>F522/G522</f>
        <v/>
      </c>
    </row>
    <row r="523">
      <c r="A523" s="86" t="inlineStr">
        <is>
          <t>서울경기</t>
        </is>
      </c>
      <c r="B523" s="86" t="n">
        <v>2019</v>
      </c>
      <c r="C523" s="86" t="n">
        <v>6</v>
      </c>
      <c r="D523" s="86" t="inlineStr">
        <is>
          <t>2019-06</t>
        </is>
      </c>
      <c r="E523" s="87" t="n">
        <v>239.3</v>
      </c>
      <c r="F523" s="87" t="n">
        <v>168.4639</v>
      </c>
      <c r="G523" s="88">
        <f>DAY(EOMONTH(DATE(B523,C523,1),0))</f>
        <v/>
      </c>
      <c r="H523" s="89">
        <f>F523/G523</f>
        <v/>
      </c>
    </row>
    <row r="524">
      <c r="A524" s="86" t="inlineStr">
        <is>
          <t>서울경기</t>
        </is>
      </c>
      <c r="B524" s="86" t="n">
        <v>2019</v>
      </c>
      <c r="C524" s="86" t="n">
        <v>7</v>
      </c>
      <c r="D524" s="86" t="inlineStr">
        <is>
          <t>2019-07</t>
        </is>
      </c>
      <c r="E524" s="87" t="n">
        <v>156.7</v>
      </c>
      <c r="F524" s="87" t="n">
        <v>125.6667</v>
      </c>
      <c r="G524" s="88">
        <f>DAY(EOMONTH(DATE(B524,C524,1),0))</f>
        <v/>
      </c>
      <c r="H524" s="89">
        <f>F524/G524</f>
        <v/>
      </c>
    </row>
    <row r="525">
      <c r="A525" s="86" t="inlineStr">
        <is>
          <t>서울경기</t>
        </is>
      </c>
      <c r="B525" s="86" t="n">
        <v>2019</v>
      </c>
      <c r="C525" s="86" t="n">
        <v>8</v>
      </c>
      <c r="D525" s="86" t="inlineStr">
        <is>
          <t>2019-08</t>
        </is>
      </c>
      <c r="E525" s="87" t="n">
        <v>251.7</v>
      </c>
      <c r="F525" s="87" t="n">
        <v>150.025</v>
      </c>
      <c r="G525" s="88">
        <f>DAY(EOMONTH(DATE(B525,C525,1),0))</f>
        <v/>
      </c>
      <c r="H525" s="89">
        <f>F525/G525</f>
        <v/>
      </c>
    </row>
    <row r="526">
      <c r="A526" s="86" t="inlineStr">
        <is>
          <t>서울경기</t>
        </is>
      </c>
      <c r="B526" s="86" t="n">
        <v>2019</v>
      </c>
      <c r="C526" s="86" t="n">
        <v>9</v>
      </c>
      <c r="D526" s="86" t="inlineStr">
        <is>
          <t>2019-09</t>
        </is>
      </c>
      <c r="E526" s="87" t="n">
        <v>163.2</v>
      </c>
      <c r="F526" s="87" t="n">
        <v>105.8889</v>
      </c>
      <c r="G526" s="88">
        <f>DAY(EOMONTH(DATE(B526,C526,1),0))</f>
        <v/>
      </c>
      <c r="H526" s="89">
        <f>F526/G526</f>
        <v/>
      </c>
    </row>
    <row r="527">
      <c r="A527" s="86" t="inlineStr">
        <is>
          <t>서울경기</t>
        </is>
      </c>
      <c r="B527" s="86" t="n">
        <v>2019</v>
      </c>
      <c r="C527" s="86" t="n">
        <v>10</v>
      </c>
      <c r="D527" s="86" t="inlineStr">
        <is>
          <t>2019-10</t>
        </is>
      </c>
      <c r="E527" s="87" t="n">
        <v>234.9</v>
      </c>
      <c r="F527" s="87" t="n">
        <v>109.1028</v>
      </c>
      <c r="G527" s="88">
        <f>DAY(EOMONTH(DATE(B527,C527,1),0))</f>
        <v/>
      </c>
      <c r="H527" s="89">
        <f>F527/G527</f>
        <v/>
      </c>
    </row>
    <row r="528">
      <c r="A528" s="86" t="inlineStr">
        <is>
          <t>서울경기</t>
        </is>
      </c>
      <c r="B528" s="86" t="n">
        <v>2019</v>
      </c>
      <c r="C528" s="86" t="n">
        <v>11</v>
      </c>
      <c r="D528" s="86" t="inlineStr">
        <is>
          <t>2019-11</t>
        </is>
      </c>
      <c r="E528" s="87" t="n">
        <v>202.8</v>
      </c>
      <c r="F528" s="87" t="n">
        <v>78.3944</v>
      </c>
      <c r="G528" s="88">
        <f>DAY(EOMONTH(DATE(B528,C528,1),0))</f>
        <v/>
      </c>
      <c r="H528" s="89">
        <f>F528/G528</f>
        <v/>
      </c>
    </row>
    <row r="529">
      <c r="A529" s="86" t="inlineStr">
        <is>
          <t>서울경기</t>
        </is>
      </c>
      <c r="B529" s="86" t="n">
        <v>2019</v>
      </c>
      <c r="C529" s="86" t="n">
        <v>12</v>
      </c>
      <c r="D529" s="86" t="inlineStr">
        <is>
          <t>2019-12</t>
        </is>
      </c>
      <c r="E529" s="87" t="n">
        <v>167</v>
      </c>
      <c r="F529" s="87" t="n">
        <v>62.0944</v>
      </c>
      <c r="G529" s="88">
        <f>DAY(EOMONTH(DATE(B529,C529,1),0))</f>
        <v/>
      </c>
      <c r="H529" s="89">
        <f>F529/G529</f>
        <v/>
      </c>
    </row>
    <row r="530">
      <c r="A530" s="86" t="inlineStr">
        <is>
          <t>서울경기</t>
        </is>
      </c>
      <c r="B530" s="86" t="n">
        <v>2020</v>
      </c>
      <c r="C530" s="86" t="n">
        <v>1</v>
      </c>
      <c r="D530" s="86" t="inlineStr">
        <is>
          <t>2020-01</t>
        </is>
      </c>
      <c r="E530" s="87" t="n">
        <v>181.4</v>
      </c>
      <c r="F530" s="87" t="n">
        <v>70.6056</v>
      </c>
      <c r="G530" s="88">
        <f>DAY(EOMONTH(DATE(B530,C530,1),0))</f>
        <v/>
      </c>
      <c r="H530" s="89">
        <f>F530/G530</f>
        <v/>
      </c>
    </row>
    <row r="531">
      <c r="A531" s="86" t="inlineStr">
        <is>
          <t>서울경기</t>
        </is>
      </c>
      <c r="B531" s="86" t="n">
        <v>2020</v>
      </c>
      <c r="C531" s="86" t="n">
        <v>2</v>
      </c>
      <c r="D531" s="86" t="inlineStr">
        <is>
          <t>2020-02</t>
        </is>
      </c>
      <c r="E531" s="87" t="n">
        <v>192.3</v>
      </c>
      <c r="F531" s="87" t="n">
        <v>88.2694</v>
      </c>
      <c r="G531" s="88">
        <f>DAY(EOMONTH(DATE(B531,C531,1),0))</f>
        <v/>
      </c>
      <c r="H531" s="89">
        <f>F531/G531</f>
        <v/>
      </c>
    </row>
    <row r="532">
      <c r="A532" s="86" t="inlineStr">
        <is>
          <t>서울경기</t>
        </is>
      </c>
      <c r="B532" s="86" t="n">
        <v>2020</v>
      </c>
      <c r="C532" s="86" t="n">
        <v>3</v>
      </c>
      <c r="D532" s="86" t="inlineStr">
        <is>
          <t>2020-03</t>
        </is>
      </c>
      <c r="E532" s="87" t="n">
        <v>264.7</v>
      </c>
      <c r="F532" s="87" t="n">
        <v>144.2917</v>
      </c>
      <c r="G532" s="88">
        <f>DAY(EOMONTH(DATE(B532,C532,1),0))</f>
        <v/>
      </c>
      <c r="H532" s="89">
        <f>F532/G532</f>
        <v/>
      </c>
    </row>
    <row r="533">
      <c r="A533" s="86" t="inlineStr">
        <is>
          <t>서울경기</t>
        </is>
      </c>
      <c r="B533" s="86" t="n">
        <v>2020</v>
      </c>
      <c r="C533" s="86" t="n">
        <v>4</v>
      </c>
      <c r="D533" s="86" t="inlineStr">
        <is>
          <t>2020-04</t>
        </is>
      </c>
      <c r="E533" s="87" t="n">
        <v>301.8</v>
      </c>
      <c r="F533" s="87" t="n">
        <v>178.1472</v>
      </c>
      <c r="G533" s="88">
        <f>DAY(EOMONTH(DATE(B533,C533,1),0))</f>
        <v/>
      </c>
      <c r="H533" s="89">
        <f>F533/G533</f>
        <v/>
      </c>
    </row>
    <row r="534">
      <c r="A534" s="86" t="inlineStr">
        <is>
          <t>서울경기</t>
        </is>
      </c>
      <c r="B534" s="86" t="n">
        <v>2020</v>
      </c>
      <c r="C534" s="86" t="n">
        <v>5</v>
      </c>
      <c r="D534" s="86" t="inlineStr">
        <is>
          <t>2020-05</t>
        </is>
      </c>
      <c r="E534" s="87" t="n">
        <v>199.7</v>
      </c>
      <c r="F534" s="87" t="n">
        <v>155.4889</v>
      </c>
      <c r="G534" s="88">
        <f>DAY(EOMONTH(DATE(B534,C534,1),0))</f>
        <v/>
      </c>
      <c r="H534" s="89">
        <f>F534/G534</f>
        <v/>
      </c>
    </row>
    <row r="535">
      <c r="A535" s="86" t="inlineStr">
        <is>
          <t>서울경기</t>
        </is>
      </c>
      <c r="B535" s="86" t="n">
        <v>2020</v>
      </c>
      <c r="C535" s="86" t="n">
        <v>6</v>
      </c>
      <c r="D535" s="86" t="inlineStr">
        <is>
          <t>2020-06</t>
        </is>
      </c>
      <c r="E535" s="87" t="n">
        <v>222.7</v>
      </c>
      <c r="F535" s="87" t="n">
        <v>164.975</v>
      </c>
      <c r="G535" s="88">
        <f>DAY(EOMONTH(DATE(B535,C535,1),0))</f>
        <v/>
      </c>
      <c r="H535" s="89">
        <f>F535/G535</f>
        <v/>
      </c>
    </row>
    <row r="536">
      <c r="A536" s="86" t="inlineStr">
        <is>
          <t>서울경기</t>
        </is>
      </c>
      <c r="B536" s="86" t="n">
        <v>2020</v>
      </c>
      <c r="C536" s="86" t="n">
        <v>7</v>
      </c>
      <c r="D536" s="86" t="inlineStr">
        <is>
          <t>2020-07</t>
        </is>
      </c>
      <c r="E536" s="87" t="n">
        <v>145.1</v>
      </c>
      <c r="F536" s="87" t="n">
        <v>127.975</v>
      </c>
      <c r="G536" s="88">
        <f>DAY(EOMONTH(DATE(B536,C536,1),0))</f>
        <v/>
      </c>
      <c r="H536" s="89">
        <f>F536/G536</f>
        <v/>
      </c>
    </row>
    <row r="537">
      <c r="A537" s="86" t="inlineStr">
        <is>
          <t>서울경기</t>
        </is>
      </c>
      <c r="B537" s="86" t="n">
        <v>2020</v>
      </c>
      <c r="C537" s="86" t="n">
        <v>8</v>
      </c>
      <c r="D537" s="86" t="inlineStr">
        <is>
          <t>2020-08</t>
        </is>
      </c>
      <c r="E537" s="87" t="n">
        <v>106.9</v>
      </c>
      <c r="F537" s="87" t="n">
        <v>98.6778</v>
      </c>
      <c r="G537" s="88">
        <f>DAY(EOMONTH(DATE(B537,C537,1),0))</f>
        <v/>
      </c>
      <c r="H537" s="89">
        <f>F537/G537</f>
        <v/>
      </c>
    </row>
    <row r="538">
      <c r="A538" s="86" t="inlineStr">
        <is>
          <t>서울경기</t>
        </is>
      </c>
      <c r="B538" s="86" t="n">
        <v>2020</v>
      </c>
      <c r="C538" s="86" t="n">
        <v>9</v>
      </c>
      <c r="D538" s="86" t="inlineStr">
        <is>
          <t>2020-09</t>
        </is>
      </c>
      <c r="E538" s="87" t="n">
        <v>195.8</v>
      </c>
      <c r="F538" s="87" t="n">
        <v>123.3056</v>
      </c>
      <c r="G538" s="88">
        <f>DAY(EOMONTH(DATE(B538,C538,1),0))</f>
        <v/>
      </c>
      <c r="H538" s="89">
        <f>F538/G538</f>
        <v/>
      </c>
    </row>
    <row r="539">
      <c r="A539" s="86" t="inlineStr">
        <is>
          <t>서울경기</t>
        </is>
      </c>
      <c r="B539" s="86" t="n">
        <v>2020</v>
      </c>
      <c r="C539" s="86" t="n">
        <v>10</v>
      </c>
      <c r="D539" s="86" t="inlineStr">
        <is>
          <t>2020-10</t>
        </is>
      </c>
      <c r="E539" s="87" t="n">
        <v>239.6</v>
      </c>
      <c r="F539" s="87" t="n">
        <v>115.9778</v>
      </c>
      <c r="G539" s="88">
        <f>DAY(EOMONTH(DATE(B539,C539,1),0))</f>
        <v/>
      </c>
      <c r="H539" s="89">
        <f>F539/G539</f>
        <v/>
      </c>
    </row>
    <row r="540">
      <c r="A540" s="86" t="inlineStr">
        <is>
          <t>서울경기</t>
        </is>
      </c>
      <c r="B540" s="86" t="n">
        <v>2020</v>
      </c>
      <c r="C540" s="86" t="n">
        <v>11</v>
      </c>
      <c r="D540" s="86" t="inlineStr">
        <is>
          <t>2020-11</t>
        </is>
      </c>
      <c r="E540" s="87" t="n">
        <v>180.5</v>
      </c>
      <c r="F540" s="87" t="n">
        <v>75.46939999999999</v>
      </c>
      <c r="G540" s="88">
        <f>DAY(EOMONTH(DATE(B540,C540,1),0))</f>
        <v/>
      </c>
      <c r="H540" s="89">
        <f>F540/G540</f>
        <v/>
      </c>
    </row>
    <row r="541">
      <c r="A541" s="86" t="inlineStr">
        <is>
          <t>서울경기</t>
        </is>
      </c>
      <c r="B541" s="86" t="n">
        <v>2020</v>
      </c>
      <c r="C541" s="86" t="n">
        <v>12</v>
      </c>
      <c r="D541" s="86" t="inlineStr">
        <is>
          <t>2020-12</t>
        </is>
      </c>
      <c r="E541" s="87" t="n">
        <v>210.9</v>
      </c>
      <c r="F541" s="87" t="n">
        <v>74.27500000000001</v>
      </c>
      <c r="G541" s="88">
        <f>DAY(EOMONTH(DATE(B541,C541,1),0))</f>
        <v/>
      </c>
      <c r="H541" s="89">
        <f>F541/G541</f>
        <v/>
      </c>
    </row>
    <row r="542">
      <c r="A542" s="86" t="inlineStr">
        <is>
          <t>서울경기</t>
        </is>
      </c>
      <c r="B542" s="86" t="n">
        <v>2021</v>
      </c>
      <c r="C542" s="86" t="n">
        <v>1</v>
      </c>
      <c r="D542" s="86" t="inlineStr">
        <is>
          <t>2021-01</t>
        </is>
      </c>
      <c r="E542" s="87" t="n">
        <v>189.2</v>
      </c>
      <c r="F542" s="87" t="n">
        <v>75.4306</v>
      </c>
      <c r="G542" s="88">
        <f>DAY(EOMONTH(DATE(B542,C542,1),0))</f>
        <v/>
      </c>
      <c r="H542" s="89">
        <f>F542/G542</f>
        <v/>
      </c>
    </row>
    <row r="543">
      <c r="A543" s="86" t="inlineStr">
        <is>
          <t>서울경기</t>
        </is>
      </c>
      <c r="B543" s="86" t="n">
        <v>2021</v>
      </c>
      <c r="C543" s="86" t="n">
        <v>2</v>
      </c>
      <c r="D543" s="86" t="inlineStr">
        <is>
          <t>2021-02</t>
        </is>
      </c>
      <c r="E543" s="87" t="n">
        <v>192.5</v>
      </c>
      <c r="F543" s="87" t="n">
        <v>94.26390000000001</v>
      </c>
      <c r="G543" s="88">
        <f>DAY(EOMONTH(DATE(B543,C543,1),0))</f>
        <v/>
      </c>
      <c r="H543" s="89">
        <f>F543/G543</f>
        <v/>
      </c>
    </row>
    <row r="544">
      <c r="A544" s="86" t="inlineStr">
        <is>
          <t>서울경기</t>
        </is>
      </c>
      <c r="B544" s="86" t="n">
        <v>2021</v>
      </c>
      <c r="C544" s="86" t="n">
        <v>3</v>
      </c>
      <c r="D544" s="86" t="inlineStr">
        <is>
          <t>2021-03</t>
        </is>
      </c>
      <c r="E544" s="87" t="n">
        <v>220.9</v>
      </c>
      <c r="F544" s="87" t="n">
        <v>128.6972</v>
      </c>
      <c r="G544" s="88">
        <f>DAY(EOMONTH(DATE(B544,C544,1),0))</f>
        <v/>
      </c>
      <c r="H544" s="89">
        <f>F544/G544</f>
        <v/>
      </c>
    </row>
    <row r="545">
      <c r="A545" s="86" t="inlineStr">
        <is>
          <t>서울경기</t>
        </is>
      </c>
      <c r="B545" s="86" t="n">
        <v>2021</v>
      </c>
      <c r="C545" s="86" t="n">
        <v>4</v>
      </c>
      <c r="D545" s="86" t="inlineStr">
        <is>
          <t>2021-04</t>
        </is>
      </c>
      <c r="E545" s="87" t="n">
        <v>223.1</v>
      </c>
      <c r="F545" s="87" t="n">
        <v>152.5972</v>
      </c>
      <c r="G545" s="88">
        <f>DAY(EOMONTH(DATE(B545,C545,1),0))</f>
        <v/>
      </c>
      <c r="H545" s="89">
        <f>F545/G545</f>
        <v/>
      </c>
    </row>
    <row r="546">
      <c r="A546" s="86" t="inlineStr">
        <is>
          <t>서울경기</t>
        </is>
      </c>
      <c r="B546" s="86" t="n">
        <v>2021</v>
      </c>
      <c r="C546" s="86" t="n">
        <v>5</v>
      </c>
      <c r="D546" s="86" t="inlineStr">
        <is>
          <t>2021-05</t>
        </is>
      </c>
      <c r="E546" s="87" t="n">
        <v>217.5</v>
      </c>
      <c r="F546" s="87" t="n">
        <v>156.0972</v>
      </c>
      <c r="G546" s="88">
        <f>DAY(EOMONTH(DATE(B546,C546,1),0))</f>
        <v/>
      </c>
      <c r="H546" s="89">
        <f>F546/G546</f>
        <v/>
      </c>
    </row>
    <row r="547">
      <c r="A547" s="86" t="inlineStr">
        <is>
          <t>서울경기</t>
        </is>
      </c>
      <c r="B547" s="86" t="n">
        <v>2021</v>
      </c>
      <c r="C547" s="86" t="n">
        <v>6</v>
      </c>
      <c r="D547" s="86" t="inlineStr">
        <is>
          <t>2021-06</t>
        </is>
      </c>
      <c r="E547" s="87" t="n">
        <v>214.5</v>
      </c>
      <c r="F547" s="87" t="n">
        <v>159.2</v>
      </c>
      <c r="G547" s="88">
        <f>DAY(EOMONTH(DATE(B547,C547,1),0))</f>
        <v/>
      </c>
      <c r="H547" s="89">
        <f>F547/G547</f>
        <v/>
      </c>
    </row>
    <row r="548">
      <c r="A548" s="86" t="inlineStr">
        <is>
          <t>서울경기</t>
        </is>
      </c>
      <c r="B548" s="86" t="n">
        <v>2021</v>
      </c>
      <c r="C548" s="86" t="n">
        <v>7</v>
      </c>
      <c r="D548" s="86" t="inlineStr">
        <is>
          <t>2021-07</t>
        </is>
      </c>
      <c r="E548" s="87" t="n">
        <v>236</v>
      </c>
      <c r="F548" s="87" t="n">
        <v>167.6278</v>
      </c>
      <c r="G548" s="88">
        <f>DAY(EOMONTH(DATE(B548,C548,1),0))</f>
        <v/>
      </c>
      <c r="H548" s="89">
        <f>F548/G548</f>
        <v/>
      </c>
    </row>
    <row r="549">
      <c r="A549" s="86" t="inlineStr">
        <is>
          <t>서울경기</t>
        </is>
      </c>
      <c r="B549" s="86" t="n">
        <v>2021</v>
      </c>
      <c r="C549" s="86" t="n">
        <v>8</v>
      </c>
      <c r="D549" s="86" t="inlineStr">
        <is>
          <t>2021-08</t>
        </is>
      </c>
      <c r="E549" s="87" t="n">
        <v>154.6</v>
      </c>
      <c r="F549" s="87" t="n">
        <v>121.9306</v>
      </c>
      <c r="G549" s="88">
        <f>DAY(EOMONTH(DATE(B549,C549,1),0))</f>
        <v/>
      </c>
      <c r="H549" s="89">
        <f>F549/G549</f>
        <v/>
      </c>
    </row>
    <row r="550">
      <c r="A550" s="86" t="inlineStr">
        <is>
          <t>서울경기</t>
        </is>
      </c>
      <c r="B550" s="86" t="n">
        <v>2021</v>
      </c>
      <c r="C550" s="86" t="n">
        <v>9</v>
      </c>
      <c r="D550" s="86" t="inlineStr">
        <is>
          <t>2021-09</t>
        </is>
      </c>
      <c r="E550" s="87" t="n">
        <v>194.4</v>
      </c>
      <c r="F550" s="87" t="n">
        <v>124.8583</v>
      </c>
      <c r="G550" s="88">
        <f>DAY(EOMONTH(DATE(B550,C550,1),0))</f>
        <v/>
      </c>
      <c r="H550" s="89">
        <f>F550/G550</f>
        <v/>
      </c>
    </row>
    <row r="551">
      <c r="A551" s="86" t="inlineStr">
        <is>
          <t>서울경기</t>
        </is>
      </c>
      <c r="B551" s="86" t="n">
        <v>2021</v>
      </c>
      <c r="C551" s="86" t="n">
        <v>10</v>
      </c>
      <c r="D551" s="86" t="inlineStr">
        <is>
          <t>2021-10</t>
        </is>
      </c>
      <c r="E551" s="87" t="n">
        <v>191.6</v>
      </c>
      <c r="F551" s="87" t="n">
        <v>99.575</v>
      </c>
      <c r="G551" s="88">
        <f>DAY(EOMONTH(DATE(B551,C551,1),0))</f>
        <v/>
      </c>
      <c r="H551" s="89">
        <f>F551/G551</f>
        <v/>
      </c>
    </row>
    <row r="552">
      <c r="A552" s="86" t="inlineStr">
        <is>
          <t>서울경기</t>
        </is>
      </c>
      <c r="B552" s="86" t="n">
        <v>2021</v>
      </c>
      <c r="C552" s="86" t="n">
        <v>11</v>
      </c>
      <c r="D552" s="86" t="inlineStr">
        <is>
          <t>2021-11</t>
        </is>
      </c>
      <c r="E552" s="87" t="n">
        <v>176</v>
      </c>
      <c r="F552" s="87" t="n">
        <v>72.825</v>
      </c>
      <c r="G552" s="88">
        <f>DAY(EOMONTH(DATE(B552,C552,1),0))</f>
        <v/>
      </c>
      <c r="H552" s="89">
        <f>F552/G552</f>
        <v/>
      </c>
    </row>
    <row r="553">
      <c r="A553" s="86" t="inlineStr">
        <is>
          <t>서울경기</t>
        </is>
      </c>
      <c r="B553" s="86" t="n">
        <v>2021</v>
      </c>
      <c r="C553" s="86" t="n">
        <v>12</v>
      </c>
      <c r="D553" s="86" t="inlineStr">
        <is>
          <t>2021-12</t>
        </is>
      </c>
      <c r="E553" s="87" t="n">
        <v>189.2</v>
      </c>
      <c r="F553" s="87" t="n">
        <v>69.4389</v>
      </c>
      <c r="G553" s="88">
        <f>DAY(EOMONTH(DATE(B553,C553,1),0))</f>
        <v/>
      </c>
      <c r="H553" s="89">
        <f>F553/G553</f>
        <v/>
      </c>
    </row>
    <row r="554">
      <c r="A554" s="86" t="inlineStr">
        <is>
          <t>서울경기</t>
        </is>
      </c>
      <c r="B554" s="86" t="n">
        <v>2022</v>
      </c>
      <c r="C554" s="86" t="n">
        <v>1</v>
      </c>
      <c r="D554" s="86" t="inlineStr">
        <is>
          <t>2022-01</t>
        </is>
      </c>
      <c r="E554" s="87" t="n">
        <v>213.2</v>
      </c>
      <c r="F554" s="87" t="n">
        <v>84.3167</v>
      </c>
      <c r="G554" s="88">
        <f>DAY(EOMONTH(DATE(B554,C554,1),0))</f>
        <v/>
      </c>
      <c r="H554" s="89">
        <f>F554/G554</f>
        <v/>
      </c>
    </row>
    <row r="555">
      <c r="A555" s="86" t="inlineStr">
        <is>
          <t>서울경기</t>
        </is>
      </c>
      <c r="B555" s="86" t="n">
        <v>2022</v>
      </c>
      <c r="C555" s="86" t="n">
        <v>2</v>
      </c>
      <c r="D555" s="86" t="inlineStr">
        <is>
          <t>2022-02</t>
        </is>
      </c>
      <c r="E555" s="87" t="n">
        <v>215.5</v>
      </c>
      <c r="F555" s="87" t="n">
        <v>103.4139</v>
      </c>
      <c r="G555" s="88">
        <f>DAY(EOMONTH(DATE(B555,C555,1),0))</f>
        <v/>
      </c>
      <c r="H555" s="89">
        <f>F555/G555</f>
        <v/>
      </c>
    </row>
    <row r="556">
      <c r="A556" s="86" t="inlineStr">
        <is>
          <t>서울경기</t>
        </is>
      </c>
      <c r="B556" s="86" t="n">
        <v>2022</v>
      </c>
      <c r="C556" s="86" t="n">
        <v>3</v>
      </c>
      <c r="D556" s="86" t="inlineStr">
        <is>
          <t>2022-03</t>
        </is>
      </c>
      <c r="E556" s="87" t="n">
        <v>179.6</v>
      </c>
      <c r="F556" s="87" t="n">
        <v>116.9861</v>
      </c>
      <c r="G556" s="88">
        <f>DAY(EOMONTH(DATE(B556,C556,1),0))</f>
        <v/>
      </c>
      <c r="H556" s="89">
        <f>F556/G556</f>
        <v/>
      </c>
    </row>
    <row r="557">
      <c r="A557" s="86" t="inlineStr">
        <is>
          <t>서울경기</t>
        </is>
      </c>
      <c r="B557" s="86" t="n">
        <v>2022</v>
      </c>
      <c r="C557" s="86" t="n">
        <v>4</v>
      </c>
      <c r="D557" s="86" t="inlineStr">
        <is>
          <t>2022-04</t>
        </is>
      </c>
      <c r="E557" s="87" t="n">
        <v>250.6</v>
      </c>
      <c r="F557" s="87" t="n">
        <v>168.9972</v>
      </c>
      <c r="G557" s="88">
        <f>DAY(EOMONTH(DATE(B557,C557,1),0))</f>
        <v/>
      </c>
      <c r="H557" s="89">
        <f>F557/G557</f>
        <v/>
      </c>
    </row>
    <row r="558">
      <c r="A558" s="86" t="inlineStr">
        <is>
          <t>서울경기</t>
        </is>
      </c>
      <c r="B558" s="86" t="n">
        <v>2022</v>
      </c>
      <c r="C558" s="86" t="n">
        <v>5</v>
      </c>
      <c r="D558" s="86" t="inlineStr">
        <is>
          <t>2022-05</t>
        </is>
      </c>
      <c r="E558" s="87" t="n">
        <v>307</v>
      </c>
      <c r="F558" s="87" t="n">
        <v>206.9111</v>
      </c>
      <c r="G558" s="88">
        <f>DAY(EOMONTH(DATE(B558,C558,1),0))</f>
        <v/>
      </c>
      <c r="H558" s="89">
        <f>F558/G558</f>
        <v/>
      </c>
    </row>
    <row r="559">
      <c r="A559" s="86" t="inlineStr">
        <is>
          <t>서울경기</t>
        </is>
      </c>
      <c r="B559" s="86" t="n">
        <v>2022</v>
      </c>
      <c r="C559" s="86" t="n">
        <v>6</v>
      </c>
      <c r="D559" s="86" t="inlineStr">
        <is>
          <t>2022-06</t>
        </is>
      </c>
      <c r="E559" s="87" t="n">
        <v>146.6</v>
      </c>
      <c r="F559" s="87" t="n">
        <v>127.9778</v>
      </c>
      <c r="G559" s="88">
        <f>DAY(EOMONTH(DATE(B559,C559,1),0))</f>
        <v/>
      </c>
      <c r="H559" s="89">
        <f>F559/G559</f>
        <v/>
      </c>
    </row>
    <row r="560">
      <c r="A560" s="86" t="inlineStr">
        <is>
          <t>서울경기</t>
        </is>
      </c>
      <c r="B560" s="86" t="n">
        <v>2022</v>
      </c>
      <c r="C560" s="86" t="n">
        <v>7</v>
      </c>
      <c r="D560" s="86" t="inlineStr">
        <is>
          <t>2022-07</t>
        </is>
      </c>
      <c r="E560" s="87" t="n">
        <v>178.2</v>
      </c>
      <c r="F560" s="87" t="n">
        <v>153.9694</v>
      </c>
      <c r="G560" s="88">
        <f>DAY(EOMONTH(DATE(B560,C560,1),0))</f>
        <v/>
      </c>
      <c r="H560" s="89">
        <f>F560/G560</f>
        <v/>
      </c>
    </row>
    <row r="561">
      <c r="A561" s="86" t="inlineStr">
        <is>
          <t>서울경기</t>
        </is>
      </c>
      <c r="B561" s="86" t="n">
        <v>2022</v>
      </c>
      <c r="C561" s="86" t="n">
        <v>8</v>
      </c>
      <c r="D561" s="86" t="inlineStr">
        <is>
          <t>2022-08</t>
        </is>
      </c>
      <c r="E561" s="87" t="n">
        <v>136.5</v>
      </c>
      <c r="F561" s="87" t="n">
        <v>118.3389</v>
      </c>
      <c r="G561" s="88">
        <f>DAY(EOMONTH(DATE(B561,C561,1),0))</f>
        <v/>
      </c>
      <c r="H561" s="89">
        <f>F561/G561</f>
        <v/>
      </c>
    </row>
    <row r="562">
      <c r="A562" s="86" t="inlineStr">
        <is>
          <t>서울경기</t>
        </is>
      </c>
      <c r="B562" s="86" t="n">
        <v>2022</v>
      </c>
      <c r="C562" s="86" t="n">
        <v>9</v>
      </c>
      <c r="D562" s="86" t="inlineStr">
        <is>
          <t>2022-09</t>
        </is>
      </c>
      <c r="E562" s="87" t="n">
        <v>209.2</v>
      </c>
      <c r="F562" s="87" t="n">
        <v>135.2889</v>
      </c>
      <c r="G562" s="88">
        <f>DAY(EOMONTH(DATE(B562,C562,1),0))</f>
        <v/>
      </c>
      <c r="H562" s="89">
        <f>F562/G562</f>
        <v/>
      </c>
    </row>
    <row r="563">
      <c r="A563" s="86" t="inlineStr">
        <is>
          <t>서울경기</t>
        </is>
      </c>
      <c r="B563" s="86" t="n">
        <v>2022</v>
      </c>
      <c r="C563" s="86" t="n">
        <v>10</v>
      </c>
      <c r="D563" s="86" t="inlineStr">
        <is>
          <t>2022-10</t>
        </is>
      </c>
      <c r="E563" s="87" t="n">
        <v>227.8</v>
      </c>
      <c r="F563" s="87" t="n">
        <v>116.5917</v>
      </c>
      <c r="G563" s="88">
        <f>DAY(EOMONTH(DATE(B563,C563,1),0))</f>
        <v/>
      </c>
      <c r="H563" s="89">
        <f>F563/G563</f>
        <v/>
      </c>
    </row>
    <row r="564">
      <c r="A564" s="86" t="inlineStr">
        <is>
          <t>서울경기</t>
        </is>
      </c>
      <c r="B564" s="86" t="n">
        <v>2022</v>
      </c>
      <c r="C564" s="86" t="n">
        <v>11</v>
      </c>
      <c r="D564" s="86" t="inlineStr">
        <is>
          <t>2022-11</t>
        </is>
      </c>
      <c r="E564" s="87" t="n">
        <v>192.3</v>
      </c>
      <c r="F564" s="87" t="n">
        <v>81.625</v>
      </c>
      <c r="G564" s="88">
        <f>DAY(EOMONTH(DATE(B564,C564,1),0))</f>
        <v/>
      </c>
      <c r="H564" s="89">
        <f>F564/G564</f>
        <v/>
      </c>
    </row>
    <row r="565">
      <c r="A565" s="86" t="inlineStr">
        <is>
          <t>서울경기</t>
        </is>
      </c>
      <c r="B565" s="86" t="n">
        <v>2022</v>
      </c>
      <c r="C565" s="86" t="n">
        <v>12</v>
      </c>
      <c r="D565" s="86" t="inlineStr">
        <is>
          <t>2022-12</t>
        </is>
      </c>
      <c r="E565" s="87" t="n">
        <v>197.4</v>
      </c>
      <c r="F565" s="87" t="n">
        <v>73.9833</v>
      </c>
      <c r="G565" s="88">
        <f>DAY(EOMONTH(DATE(B565,C565,1),0))</f>
        <v/>
      </c>
      <c r="H565" s="89">
        <f>F565/G565</f>
        <v/>
      </c>
    </row>
    <row r="566">
      <c r="A566" s="86" t="inlineStr">
        <is>
          <t>서울경기</t>
        </is>
      </c>
      <c r="B566" s="86" t="n">
        <v>2023</v>
      </c>
      <c r="C566" s="86" t="n">
        <v>1</v>
      </c>
      <c r="D566" s="86" t="inlineStr">
        <is>
          <t>2023-01</t>
        </is>
      </c>
      <c r="E566" s="87" t="n">
        <v>195.7</v>
      </c>
      <c r="F566" s="87" t="n">
        <v>80.2861</v>
      </c>
      <c r="G566" s="88">
        <f>DAY(EOMONTH(DATE(B566,C566,1),0))</f>
        <v/>
      </c>
      <c r="H566" s="89">
        <f>F566/G566</f>
        <v/>
      </c>
    </row>
    <row r="567">
      <c r="A567" s="86" t="inlineStr">
        <is>
          <t>서울경기</t>
        </is>
      </c>
      <c r="B567" s="86" t="n">
        <v>2023</v>
      </c>
      <c r="C567" s="86" t="n">
        <v>2</v>
      </c>
      <c r="D567" s="86" t="inlineStr">
        <is>
          <t>2023-02</t>
        </is>
      </c>
      <c r="E567" s="87" t="n">
        <v>199.2</v>
      </c>
      <c r="F567" s="87" t="n">
        <v>100.3806</v>
      </c>
      <c r="G567" s="88">
        <f>DAY(EOMONTH(DATE(B567,C567,1),0))</f>
        <v/>
      </c>
      <c r="H567" s="89">
        <f>F567/G567</f>
        <v/>
      </c>
    </row>
    <row r="568">
      <c r="A568" s="86" t="inlineStr">
        <is>
          <t>서울경기</t>
        </is>
      </c>
      <c r="B568" s="86" t="n">
        <v>2023</v>
      </c>
      <c r="C568" s="86" t="n">
        <v>3</v>
      </c>
      <c r="D568" s="86" t="inlineStr">
        <is>
          <t>2023-03</t>
        </is>
      </c>
      <c r="E568" s="87" t="n">
        <v>241.1</v>
      </c>
      <c r="F568" s="87" t="n">
        <v>143.7889</v>
      </c>
      <c r="G568" s="88">
        <f>DAY(EOMONTH(DATE(B568,C568,1),0))</f>
        <v/>
      </c>
      <c r="H568" s="89">
        <f>F568/G568</f>
        <v/>
      </c>
    </row>
    <row r="569">
      <c r="A569" s="86" t="inlineStr">
        <is>
          <t>서울경기</t>
        </is>
      </c>
      <c r="B569" s="86" t="n">
        <v>2023</v>
      </c>
      <c r="C569" s="86" t="n">
        <v>4</v>
      </c>
      <c r="D569" s="86" t="inlineStr">
        <is>
          <t>2023-04</t>
        </is>
      </c>
      <c r="E569" s="87" t="n">
        <v>186.8</v>
      </c>
      <c r="F569" s="87" t="n">
        <v>140.8722</v>
      </c>
      <c r="G569" s="88">
        <f>DAY(EOMONTH(DATE(B569,C569,1),0))</f>
        <v/>
      </c>
      <c r="H569" s="89">
        <f>F569/G569</f>
        <v/>
      </c>
    </row>
    <row r="570">
      <c r="A570" s="86" t="inlineStr">
        <is>
          <t>서울경기</t>
        </is>
      </c>
      <c r="B570" s="86" t="n">
        <v>2023</v>
      </c>
      <c r="C570" s="86" t="n">
        <v>5</v>
      </c>
      <c r="D570" s="86" t="inlineStr">
        <is>
          <t>2023-05</t>
        </is>
      </c>
      <c r="E570" s="87" t="n">
        <v>233.6</v>
      </c>
      <c r="F570" s="87" t="n">
        <v>174.9167</v>
      </c>
      <c r="G570" s="88">
        <f>DAY(EOMONTH(DATE(B570,C570,1),0))</f>
        <v/>
      </c>
      <c r="H570" s="89">
        <f>F570/G570</f>
        <v/>
      </c>
    </row>
    <row r="571">
      <c r="A571" s="86" t="inlineStr">
        <is>
          <t>서울경기</t>
        </is>
      </c>
      <c r="B571" s="86" t="n">
        <v>2023</v>
      </c>
      <c r="C571" s="86" t="n">
        <v>6</v>
      </c>
      <c r="D571" s="86" t="inlineStr">
        <is>
          <t>2023-06</t>
        </is>
      </c>
      <c r="E571" s="87" t="n">
        <v>213.2</v>
      </c>
      <c r="F571" s="87" t="n">
        <v>166.1222</v>
      </c>
      <c r="G571" s="88">
        <f>DAY(EOMONTH(DATE(B571,C571,1),0))</f>
        <v/>
      </c>
      <c r="H571" s="89">
        <f>F571/G571</f>
        <v/>
      </c>
    </row>
    <row r="572">
      <c r="A572" s="86" t="inlineStr">
        <is>
          <t>서울경기</t>
        </is>
      </c>
      <c r="B572" s="86" t="n">
        <v>2023</v>
      </c>
      <c r="C572" s="86" t="n">
        <v>7</v>
      </c>
      <c r="D572" s="86" t="inlineStr">
        <is>
          <t>2023-07</t>
        </is>
      </c>
      <c r="E572" s="87" t="n">
        <v>164.5</v>
      </c>
      <c r="F572" s="87" t="n">
        <v>139.2417</v>
      </c>
      <c r="G572" s="88">
        <f>DAY(EOMONTH(DATE(B572,C572,1),0))</f>
        <v/>
      </c>
      <c r="H572" s="89">
        <f>F572/G572</f>
        <v/>
      </c>
    </row>
    <row r="573">
      <c r="A573" s="86" t="inlineStr">
        <is>
          <t>서울경기</t>
        </is>
      </c>
      <c r="B573" s="86" t="n">
        <v>2023</v>
      </c>
      <c r="C573" s="86" t="n">
        <v>8</v>
      </c>
      <c r="D573" s="86" t="inlineStr">
        <is>
          <t>2023-08</t>
        </is>
      </c>
      <c r="E573" s="87" t="n">
        <v>180</v>
      </c>
      <c r="F573" s="87" t="n">
        <v>142.1056</v>
      </c>
      <c r="G573" s="88">
        <f>DAY(EOMONTH(DATE(B573,C573,1),0))</f>
        <v/>
      </c>
      <c r="H573" s="89">
        <f>F573/G573</f>
        <v/>
      </c>
    </row>
    <row r="574">
      <c r="A574" s="86" t="inlineStr">
        <is>
          <t>서울경기</t>
        </is>
      </c>
      <c r="B574" s="86" t="n">
        <v>2023</v>
      </c>
      <c r="C574" s="86" t="n">
        <v>9</v>
      </c>
      <c r="D574" s="86" t="inlineStr">
        <is>
          <t>2023-09</t>
        </is>
      </c>
      <c r="E574" s="87" t="n">
        <v>164.9</v>
      </c>
      <c r="F574" s="87" t="n">
        <v>119.0806</v>
      </c>
      <c r="G574" s="88">
        <f>DAY(EOMONTH(DATE(B574,C574,1),0))</f>
        <v/>
      </c>
      <c r="H574" s="89">
        <f>F574/G574</f>
        <v/>
      </c>
    </row>
    <row r="575">
      <c r="A575" s="86" t="inlineStr">
        <is>
          <t>서울경기</t>
        </is>
      </c>
      <c r="B575" s="86" t="n">
        <v>2023</v>
      </c>
      <c r="C575" s="86" t="n">
        <v>10</v>
      </c>
      <c r="D575" s="86" t="inlineStr">
        <is>
          <t>2023-10</t>
        </is>
      </c>
      <c r="E575" s="87" t="n">
        <v>216.5</v>
      </c>
      <c r="F575" s="87" t="n">
        <v>116.5972</v>
      </c>
      <c r="G575" s="88">
        <f>DAY(EOMONTH(DATE(B575,C575,1),0))</f>
        <v/>
      </c>
      <c r="H575" s="89">
        <f>F575/G575</f>
        <v/>
      </c>
    </row>
    <row r="576">
      <c r="A576" s="86" t="inlineStr">
        <is>
          <t>서울경기</t>
        </is>
      </c>
      <c r="B576" s="86" t="n">
        <v>2023</v>
      </c>
      <c r="C576" s="86" t="n">
        <v>11</v>
      </c>
      <c r="D576" s="86" t="inlineStr">
        <is>
          <t>2023-11</t>
        </is>
      </c>
      <c r="E576" s="87" t="n">
        <v>168</v>
      </c>
      <c r="F576" s="87" t="n">
        <v>76.8111</v>
      </c>
      <c r="G576" s="88">
        <f>DAY(EOMONTH(DATE(B576,C576,1),0))</f>
        <v/>
      </c>
      <c r="H576" s="89">
        <f>F576/G576</f>
        <v/>
      </c>
    </row>
    <row r="577">
      <c r="A577" s="86" t="inlineStr">
        <is>
          <t>서울경기</t>
        </is>
      </c>
      <c r="B577" s="86" t="n">
        <v>2023</v>
      </c>
      <c r="C577" s="86" t="n">
        <v>12</v>
      </c>
      <c r="D577" s="86" t="inlineStr">
        <is>
          <t>2023-12</t>
        </is>
      </c>
      <c r="E577" s="87" t="n">
        <v>141.8</v>
      </c>
      <c r="F577" s="87" t="n">
        <v>60.1639</v>
      </c>
      <c r="G577" s="88">
        <f>DAY(EOMONTH(DATE(B577,C577,1),0))</f>
        <v/>
      </c>
      <c r="H577" s="89">
        <f>F577/G577</f>
        <v/>
      </c>
    </row>
    <row r="578">
      <c r="A578" s="86" t="inlineStr">
        <is>
          <t>서울경기</t>
        </is>
      </c>
      <c r="B578" s="86" t="n">
        <v>2024</v>
      </c>
      <c r="C578" s="86" t="n">
        <v>1</v>
      </c>
      <c r="D578" s="86" t="inlineStr">
        <is>
          <t>2024-01</t>
        </is>
      </c>
      <c r="E578" s="87" t="n">
        <v>173.5</v>
      </c>
      <c r="F578" s="87" t="n">
        <v>75.625</v>
      </c>
      <c r="G578" s="88">
        <f>DAY(EOMONTH(DATE(B578,C578,1),0))</f>
        <v/>
      </c>
      <c r="H578" s="89">
        <f>F578/G578</f>
        <v/>
      </c>
    </row>
    <row r="579">
      <c r="A579" s="86" t="inlineStr">
        <is>
          <t>서울경기</t>
        </is>
      </c>
      <c r="B579" s="86" t="n">
        <v>2024</v>
      </c>
      <c r="C579" s="86" t="n">
        <v>2</v>
      </c>
      <c r="D579" s="86" t="inlineStr">
        <is>
          <t>2024-02</t>
        </is>
      </c>
      <c r="E579" s="87" t="n">
        <v>115.9</v>
      </c>
      <c r="F579" s="87" t="n">
        <v>72.7139</v>
      </c>
      <c r="G579" s="88">
        <f>DAY(EOMONTH(DATE(B579,C579,1),0))</f>
        <v/>
      </c>
      <c r="H579" s="89">
        <f>F579/G579</f>
        <v/>
      </c>
    </row>
    <row r="580">
      <c r="A580" s="86" t="inlineStr">
        <is>
          <t>서울경기</t>
        </is>
      </c>
      <c r="B580" s="86" t="n">
        <v>2024</v>
      </c>
      <c r="C580" s="86" t="n">
        <v>3</v>
      </c>
      <c r="D580" s="86" t="inlineStr">
        <is>
          <t>2024-03</t>
        </is>
      </c>
      <c r="E580" s="87" t="n">
        <v>207.7</v>
      </c>
      <c r="F580" s="87" t="n">
        <v>129.8972</v>
      </c>
      <c r="G580" s="88">
        <f>DAY(EOMONTH(DATE(B580,C580,1),0))</f>
        <v/>
      </c>
      <c r="H580" s="89">
        <f>F580/G580</f>
        <v/>
      </c>
    </row>
    <row r="581">
      <c r="A581" s="86" t="inlineStr">
        <is>
          <t>서울경기</t>
        </is>
      </c>
      <c r="B581" s="86" t="n">
        <v>2024</v>
      </c>
      <c r="C581" s="86" t="n">
        <v>4</v>
      </c>
      <c r="D581" s="86" t="inlineStr">
        <is>
          <t>2024-04</t>
        </is>
      </c>
      <c r="E581" s="87" t="n">
        <v>214.2</v>
      </c>
      <c r="F581" s="87" t="n">
        <v>154.6833</v>
      </c>
      <c r="G581" s="88">
        <f>DAY(EOMONTH(DATE(B581,C581,1),0))</f>
        <v/>
      </c>
      <c r="H581" s="89">
        <f>F581/G581</f>
        <v/>
      </c>
    </row>
    <row r="582">
      <c r="A582" s="86" t="inlineStr">
        <is>
          <t>서울경기</t>
        </is>
      </c>
      <c r="B582" s="86" t="n">
        <v>2024</v>
      </c>
      <c r="C582" s="86" t="n">
        <v>5</v>
      </c>
      <c r="D582" s="86" t="inlineStr">
        <is>
          <t>2024-05</t>
        </is>
      </c>
      <c r="E582" s="87" t="n">
        <v>263.8</v>
      </c>
      <c r="F582" s="87" t="n">
        <v>189.0972</v>
      </c>
      <c r="G582" s="88">
        <f>DAY(EOMONTH(DATE(B582,C582,1),0))</f>
        <v/>
      </c>
      <c r="H582" s="89">
        <f>F582/G582</f>
        <v/>
      </c>
    </row>
    <row r="583">
      <c r="A583" s="86" t="inlineStr">
        <is>
          <t>서울경기</t>
        </is>
      </c>
      <c r="B583" s="86" t="n">
        <v>2024</v>
      </c>
      <c r="C583" s="86" t="n">
        <v>6</v>
      </c>
      <c r="D583" s="86" t="inlineStr">
        <is>
          <t>2024-06</t>
        </is>
      </c>
      <c r="E583" s="87" t="n">
        <v>295.5</v>
      </c>
      <c r="F583" s="87" t="n">
        <v>200.7833</v>
      </c>
      <c r="G583" s="88">
        <f>DAY(EOMONTH(DATE(B583,C583,1),0))</f>
        <v/>
      </c>
      <c r="H583" s="89">
        <f>F583/G583</f>
        <v/>
      </c>
    </row>
    <row r="584">
      <c r="A584" s="86" t="inlineStr">
        <is>
          <t>서울경기</t>
        </is>
      </c>
      <c r="B584" s="86" t="n">
        <v>2024</v>
      </c>
      <c r="C584" s="86" t="n">
        <v>7</v>
      </c>
      <c r="D584" s="86" t="inlineStr">
        <is>
          <t>2024-07</t>
        </is>
      </c>
      <c r="E584" s="87" t="n">
        <v>112.1</v>
      </c>
      <c r="F584" s="87" t="n">
        <v>120.0861</v>
      </c>
      <c r="G584" s="88">
        <f>DAY(EOMONTH(DATE(B584,C584,1),0))</f>
        <v/>
      </c>
      <c r="H584" s="89">
        <f>F584/G584</f>
        <v/>
      </c>
    </row>
    <row r="585">
      <c r="A585" s="86" t="inlineStr">
        <is>
          <t>서울경기</t>
        </is>
      </c>
      <c r="B585" s="86" t="n">
        <v>2024</v>
      </c>
      <c r="C585" s="86" t="n">
        <v>8</v>
      </c>
      <c r="D585" s="86" t="inlineStr">
        <is>
          <t>2024-08</t>
        </is>
      </c>
      <c r="E585" s="87" t="n">
        <v>211.3</v>
      </c>
      <c r="F585" s="87" t="n">
        <v>158.1194</v>
      </c>
      <c r="G585" s="88">
        <f>DAY(EOMONTH(DATE(B585,C585,1),0))</f>
        <v/>
      </c>
      <c r="H585" s="89">
        <f>F585/G585</f>
        <v/>
      </c>
    </row>
    <row r="586">
      <c r="A586" s="86" t="inlineStr">
        <is>
          <t>서울경기</t>
        </is>
      </c>
      <c r="B586" s="86" t="n">
        <v>2024</v>
      </c>
      <c r="C586" s="86" t="n">
        <v>9</v>
      </c>
      <c r="D586" s="86" t="inlineStr">
        <is>
          <t>2024-09</t>
        </is>
      </c>
      <c r="E586" s="87" t="n">
        <v>178</v>
      </c>
      <c r="F586" s="87" t="n">
        <v>125.3889</v>
      </c>
      <c r="G586" s="88">
        <f>DAY(EOMONTH(DATE(B586,C586,1),0))</f>
        <v/>
      </c>
      <c r="H586" s="89">
        <f>F586/G586</f>
        <v/>
      </c>
    </row>
    <row r="587">
      <c r="A587" s="86" t="inlineStr">
        <is>
          <t>서울경기</t>
        </is>
      </c>
      <c r="B587" s="86" t="n">
        <v>2024</v>
      </c>
      <c r="C587" s="86" t="n">
        <v>10</v>
      </c>
      <c r="D587" s="86" t="inlineStr">
        <is>
          <t>2024-10</t>
        </is>
      </c>
      <c r="E587" s="87" t="n">
        <v>173.7</v>
      </c>
      <c r="F587" s="87" t="n">
        <v>102.2861</v>
      </c>
      <c r="G587" s="88">
        <f>DAY(EOMONTH(DATE(B587,C587,1),0))</f>
        <v/>
      </c>
      <c r="H587" s="89">
        <f>F587/G587</f>
        <v/>
      </c>
    </row>
    <row r="588">
      <c r="A588" s="86" t="inlineStr">
        <is>
          <t>서울경기</t>
        </is>
      </c>
      <c r="B588" s="86" t="n">
        <v>2024</v>
      </c>
      <c r="C588" s="86" t="n">
        <v>11</v>
      </c>
      <c r="D588" s="86" t="inlineStr">
        <is>
          <t>2024-11</t>
        </is>
      </c>
      <c r="E588" s="87" t="n">
        <v>183</v>
      </c>
      <c r="F588" s="87" t="n">
        <v>80.7333</v>
      </c>
      <c r="G588" s="88">
        <f>DAY(EOMONTH(DATE(B588,C588,1),0))</f>
        <v/>
      </c>
      <c r="H588" s="89">
        <f>F588/G588</f>
        <v/>
      </c>
    </row>
    <row r="589">
      <c r="A589" s="86" t="inlineStr">
        <is>
          <t>서울경기</t>
        </is>
      </c>
      <c r="B589" s="86" t="n">
        <v>2024</v>
      </c>
      <c r="C589" s="86" t="n">
        <v>12</v>
      </c>
      <c r="D589" s="86" t="inlineStr">
        <is>
          <t>2024-12</t>
        </is>
      </c>
      <c r="E589" s="87" t="n">
        <v>199.3</v>
      </c>
      <c r="F589" s="87" t="n">
        <v>77.37220000000001</v>
      </c>
      <c r="G589" s="88">
        <f>DAY(EOMONTH(DATE(B589,C589,1),0))</f>
        <v/>
      </c>
      <c r="H589" s="89">
        <f>F589/G589</f>
        <v/>
      </c>
    </row>
    <row r="590">
      <c r="A590" s="86" t="inlineStr">
        <is>
          <t>서울경기</t>
        </is>
      </c>
      <c r="B590" s="86" t="n">
        <v>2025</v>
      </c>
      <c r="C590" s="86" t="n">
        <v>1</v>
      </c>
      <c r="D590" s="86" t="inlineStr">
        <is>
          <t>2025-01</t>
        </is>
      </c>
      <c r="E590" s="87" t="n">
        <v>168.5</v>
      </c>
      <c r="F590" s="87" t="n">
        <v>74.9778</v>
      </c>
      <c r="G590" s="88">
        <f>DAY(EOMONTH(DATE(B590,C590,1),0))</f>
        <v/>
      </c>
      <c r="H590" s="89">
        <f>F590/G590</f>
        <v/>
      </c>
    </row>
    <row r="591">
      <c r="A591" s="86" t="inlineStr">
        <is>
          <t>서울경기</t>
        </is>
      </c>
      <c r="B591" s="86" t="n">
        <v>2025</v>
      </c>
      <c r="C591" s="86" t="n">
        <v>2</v>
      </c>
      <c r="D591" s="86" t="inlineStr">
        <is>
          <t>2025-02</t>
        </is>
      </c>
      <c r="E591" s="87" t="n">
        <v>224.2</v>
      </c>
      <c r="F591" s="87" t="n">
        <v>110.9667</v>
      </c>
      <c r="G591" s="88">
        <f>DAY(EOMONTH(DATE(B591,C591,1),0))</f>
        <v/>
      </c>
      <c r="H591" s="89">
        <f>F591/G591</f>
        <v/>
      </c>
    </row>
    <row r="592">
      <c r="A592" s="86" t="inlineStr">
        <is>
          <t>서울경기</t>
        </is>
      </c>
      <c r="B592" s="86" t="n">
        <v>2025</v>
      </c>
      <c r="C592" s="86" t="n">
        <v>3</v>
      </c>
      <c r="D592" s="86" t="inlineStr">
        <is>
          <t>2025-03</t>
        </is>
      </c>
      <c r="E592" s="87" t="n">
        <v>220.7</v>
      </c>
      <c r="F592" s="87" t="n">
        <v>137.8806</v>
      </c>
      <c r="G592" s="88">
        <f>DAY(EOMONTH(DATE(B592,C592,1),0))</f>
        <v/>
      </c>
      <c r="H592" s="89">
        <f>F592/G592</f>
        <v/>
      </c>
    </row>
    <row r="593">
      <c r="A593" s="86" t="inlineStr">
        <is>
          <t>서울경기</t>
        </is>
      </c>
      <c r="B593" s="86" t="n">
        <v>2025</v>
      </c>
      <c r="C593" s="86" t="n">
        <v>4</v>
      </c>
      <c r="D593" s="86" t="inlineStr">
        <is>
          <t>2025-04</t>
        </is>
      </c>
      <c r="E593" s="87" t="n">
        <v>239.6</v>
      </c>
      <c r="F593" s="87" t="n">
        <v>162.2444</v>
      </c>
      <c r="G593" s="88">
        <f>DAY(EOMONTH(DATE(B593,C593,1),0))</f>
        <v/>
      </c>
      <c r="H593" s="89">
        <f>F593/G593</f>
        <v/>
      </c>
    </row>
    <row r="594">
      <c r="A594" s="86" t="inlineStr">
        <is>
          <t>서울경기</t>
        </is>
      </c>
      <c r="B594" s="86" t="n">
        <v>2025</v>
      </c>
      <c r="C594" s="86" t="n">
        <v>5</v>
      </c>
      <c r="D594" s="86" t="inlineStr">
        <is>
          <t>2025-05</t>
        </is>
      </c>
      <c r="E594" s="87" t="n">
        <v>208.2</v>
      </c>
      <c r="F594" s="87" t="n">
        <v>159.4472</v>
      </c>
      <c r="G594" s="88">
        <f>DAY(EOMONTH(DATE(B594,C594,1),0))</f>
        <v/>
      </c>
      <c r="H594" s="89">
        <f>F594/G594</f>
        <v/>
      </c>
    </row>
    <row r="595">
      <c r="A595" s="86" t="inlineStr">
        <is>
          <t>서울경기</t>
        </is>
      </c>
      <c r="B595" s="86" t="n">
        <v>2025</v>
      </c>
      <c r="C595" s="86" t="n">
        <v>6</v>
      </c>
      <c r="D595" s="86" t="inlineStr">
        <is>
          <t>2025-06</t>
        </is>
      </c>
      <c r="E595" s="87" t="n">
        <v>201.1</v>
      </c>
      <c r="F595" s="87" t="n">
        <v>163.0583</v>
      </c>
      <c r="G595" s="88">
        <f>DAY(EOMONTH(DATE(B595,C595,1),0))</f>
        <v/>
      </c>
      <c r="H595" s="89">
        <f>F595/G595</f>
        <v/>
      </c>
    </row>
    <row r="596">
      <c r="A596" s="86" t="inlineStr">
        <is>
          <t>서울경기</t>
        </is>
      </c>
      <c r="B596" s="86" t="n">
        <v>2025</v>
      </c>
      <c r="C596" s="86" t="n">
        <v>7</v>
      </c>
      <c r="D596" s="86" t="inlineStr">
        <is>
          <t>2025-07</t>
        </is>
      </c>
      <c r="E596" s="87" t="n">
        <v>197.1</v>
      </c>
      <c r="F596" s="87" t="n">
        <v>160.0722</v>
      </c>
      <c r="G596" s="88">
        <f>DAY(EOMONTH(DATE(B596,C596,1),0))</f>
        <v/>
      </c>
      <c r="H596" s="89">
        <f>F596/G596</f>
        <v/>
      </c>
    </row>
    <row r="597">
      <c r="A597" s="86" t="inlineStr">
        <is>
          <t>서울경기</t>
        </is>
      </c>
      <c r="B597" s="86" t="n">
        <v>2025</v>
      </c>
      <c r="C597" s="86" t="n">
        <v>8</v>
      </c>
      <c r="D597" s="86" t="inlineStr">
        <is>
          <t>2025-08</t>
        </is>
      </c>
      <c r="E597" s="87" t="n">
        <v>179.9</v>
      </c>
      <c r="F597" s="87" t="n">
        <v>148.1944</v>
      </c>
      <c r="G597" s="88">
        <f>DAY(EOMONTH(DATE(B597,C597,1),0))</f>
        <v/>
      </c>
      <c r="H597" s="89">
        <f>F597/G597</f>
        <v/>
      </c>
    </row>
    <row r="598">
      <c r="A598" s="86" t="inlineStr">
        <is>
          <t>서울경기</t>
        </is>
      </c>
      <c r="B598" s="86" t="n">
        <v>2025</v>
      </c>
      <c r="C598" s="86" t="n">
        <v>9</v>
      </c>
      <c r="D598" s="86" t="inlineStr">
        <is>
          <t>2025-09</t>
        </is>
      </c>
      <c r="E598" s="87" t="n">
        <v>130.7</v>
      </c>
      <c r="F598" s="87" t="n">
        <v>109.5</v>
      </c>
      <c r="G598" s="88">
        <f>DAY(EOMONTH(DATE(B598,C598,1),0))</f>
        <v/>
      </c>
      <c r="H598" s="89">
        <f>F598/G598</f>
        <v/>
      </c>
    </row>
    <row r="599">
      <c r="A599" s="86" t="inlineStr">
        <is>
          <t>서울경기</t>
        </is>
      </c>
      <c r="B599" s="86" t="n">
        <v>2025</v>
      </c>
      <c r="C599" s="86" t="n">
        <v>10</v>
      </c>
      <c r="D599" s="86" t="inlineStr">
        <is>
          <t>2025-10</t>
        </is>
      </c>
      <c r="E599" s="87" t="n">
        <v>123.5</v>
      </c>
      <c r="F599" s="87" t="n">
        <v>84.99169999999999</v>
      </c>
      <c r="G599" s="88">
        <f>DAY(EOMONTH(DATE(B599,C599,1),0))</f>
        <v/>
      </c>
      <c r="H599" s="89">
        <f>F599/G599</f>
        <v/>
      </c>
    </row>
    <row r="600">
      <c r="A600" s="86" t="inlineStr">
        <is>
          <t>서울경기</t>
        </is>
      </c>
      <c r="B600" s="86" t="n">
        <v>2025</v>
      </c>
      <c r="C600" s="86" t="n">
        <v>11</v>
      </c>
      <c r="D600" s="86" t="inlineStr">
        <is>
          <t>2025-11</t>
        </is>
      </c>
      <c r="E600" s="87" t="n">
        <v>197.5</v>
      </c>
      <c r="F600" s="87" t="n">
        <v>86.9639</v>
      </c>
      <c r="G600" s="88">
        <f>DAY(EOMONTH(DATE(B600,C600,1),0))</f>
        <v/>
      </c>
      <c r="H600" s="89">
        <f>F600/G600</f>
        <v/>
      </c>
    </row>
    <row r="601">
      <c r="A601" s="86" t="inlineStr">
        <is>
          <t>서울경기</t>
        </is>
      </c>
      <c r="B601" s="86" t="n">
        <v>2025</v>
      </c>
      <c r="C601" s="86" t="n">
        <v>12</v>
      </c>
      <c r="D601" s="86" t="inlineStr">
        <is>
          <t>2025-12</t>
        </is>
      </c>
      <c r="E601" s="87" t="n">
        <v>175.3</v>
      </c>
      <c r="F601" s="87" t="n">
        <v>68.21939999999999</v>
      </c>
      <c r="G601" s="88">
        <f>DAY(EOMONTH(DATE(B601,C601,1),0))</f>
        <v/>
      </c>
      <c r="H601" s="89">
        <f>F601/G601</f>
        <v/>
      </c>
    </row>
    <row r="602">
      <c r="A602" s="86" t="inlineStr">
        <is>
          <t>전남</t>
        </is>
      </c>
      <c r="B602" s="86" t="n">
        <v>2016</v>
      </c>
      <c r="C602" s="86" t="n">
        <v>1</v>
      </c>
      <c r="D602" s="86" t="inlineStr">
        <is>
          <t>2016-01</t>
        </is>
      </c>
      <c r="E602" s="87" t="n">
        <v>146.8</v>
      </c>
      <c r="F602" s="87" t="n">
        <v>61.2306</v>
      </c>
      <c r="G602" s="88">
        <f>DAY(EOMONTH(DATE(B602,C602,1),0))</f>
        <v/>
      </c>
      <c r="H602" s="89">
        <f>F602/G602</f>
        <v/>
      </c>
    </row>
    <row r="603">
      <c r="A603" s="86" t="inlineStr">
        <is>
          <t>전남</t>
        </is>
      </c>
      <c r="B603" s="86" t="n">
        <v>2016</v>
      </c>
      <c r="C603" s="86" t="n">
        <v>2</v>
      </c>
      <c r="D603" s="86" t="inlineStr">
        <is>
          <t>2016-02</t>
        </is>
      </c>
      <c r="E603" s="87" t="n">
        <v>189.5</v>
      </c>
      <c r="F603" s="87" t="n">
        <v>87.0694</v>
      </c>
      <c r="G603" s="88">
        <f>DAY(EOMONTH(DATE(B603,C603,1),0))</f>
        <v/>
      </c>
      <c r="H603" s="89">
        <f>F603/G603</f>
        <v/>
      </c>
    </row>
    <row r="604">
      <c r="A604" s="86" t="inlineStr">
        <is>
          <t>전남</t>
        </is>
      </c>
      <c r="B604" s="86" t="n">
        <v>2016</v>
      </c>
      <c r="C604" s="86" t="n">
        <v>3</v>
      </c>
      <c r="D604" s="86" t="inlineStr">
        <is>
          <t>2016-03</t>
        </is>
      </c>
      <c r="E604" s="87" t="n">
        <v>222.4</v>
      </c>
      <c r="F604" s="87" t="n">
        <v>131.1167</v>
      </c>
      <c r="G604" s="88">
        <f>DAY(EOMONTH(DATE(B604,C604,1),0))</f>
        <v/>
      </c>
      <c r="H604" s="89">
        <f>F604/G604</f>
        <v/>
      </c>
    </row>
    <row r="605">
      <c r="A605" s="86" t="inlineStr">
        <is>
          <t>전남</t>
        </is>
      </c>
      <c r="B605" s="86" t="n">
        <v>2016</v>
      </c>
      <c r="C605" s="86" t="n">
        <v>4</v>
      </c>
      <c r="D605" s="86" t="inlineStr">
        <is>
          <t>2016-04</t>
        </is>
      </c>
      <c r="E605" s="87" t="n">
        <v>192.1</v>
      </c>
      <c r="F605" s="87" t="n">
        <v>135.7028</v>
      </c>
      <c r="G605" s="88">
        <f>DAY(EOMONTH(DATE(B605,C605,1),0))</f>
        <v/>
      </c>
      <c r="H605" s="89">
        <f>F605/G605</f>
        <v/>
      </c>
    </row>
    <row r="606">
      <c r="A606" s="86" t="inlineStr">
        <is>
          <t>전남</t>
        </is>
      </c>
      <c r="B606" s="86" t="n">
        <v>2016</v>
      </c>
      <c r="C606" s="86" t="n">
        <v>5</v>
      </c>
      <c r="D606" s="86" t="inlineStr">
        <is>
          <t>2016-05</t>
        </is>
      </c>
      <c r="E606" s="87" t="n">
        <v>240</v>
      </c>
      <c r="F606" s="87" t="n">
        <v>169.4694</v>
      </c>
      <c r="G606" s="88">
        <f>DAY(EOMONTH(DATE(B606,C606,1),0))</f>
        <v/>
      </c>
      <c r="H606" s="89">
        <f>F606/G606</f>
        <v/>
      </c>
    </row>
    <row r="607">
      <c r="A607" s="86" t="inlineStr">
        <is>
          <t>전남</t>
        </is>
      </c>
      <c r="B607" s="86" t="n">
        <v>2016</v>
      </c>
      <c r="C607" s="86" t="n">
        <v>6</v>
      </c>
      <c r="D607" s="86" t="inlineStr">
        <is>
          <t>2016-06</t>
        </is>
      </c>
      <c r="E607" s="87" t="n">
        <v>142.6</v>
      </c>
      <c r="F607" s="87" t="n">
        <v>129.4667</v>
      </c>
      <c r="G607" s="88">
        <f>DAY(EOMONTH(DATE(B607,C607,1),0))</f>
        <v/>
      </c>
      <c r="H607" s="89">
        <f>F607/G607</f>
        <v/>
      </c>
    </row>
    <row r="608">
      <c r="A608" s="86" t="inlineStr">
        <is>
          <t>전남</t>
        </is>
      </c>
      <c r="B608" s="86" t="n">
        <v>2016</v>
      </c>
      <c r="C608" s="86" t="n">
        <v>7</v>
      </c>
      <c r="D608" s="86" t="inlineStr">
        <is>
          <t>2016-07</t>
        </is>
      </c>
      <c r="E608" s="87" t="n">
        <v>206.9</v>
      </c>
      <c r="F608" s="87" t="n">
        <v>143.5444</v>
      </c>
      <c r="G608" s="88">
        <f>DAY(EOMONTH(DATE(B608,C608,1),0))</f>
        <v/>
      </c>
      <c r="H608" s="89">
        <f>F608/G608</f>
        <v/>
      </c>
    </row>
    <row r="609">
      <c r="A609" s="86" t="inlineStr">
        <is>
          <t>전남</t>
        </is>
      </c>
      <c r="B609" s="86" t="n">
        <v>2016</v>
      </c>
      <c r="C609" s="86" t="n">
        <v>8</v>
      </c>
      <c r="D609" s="86" t="inlineStr">
        <is>
          <t>2016-08</t>
        </is>
      </c>
      <c r="E609" s="87" t="n">
        <v>271.6</v>
      </c>
      <c r="F609" s="87" t="n">
        <v>154.8417</v>
      </c>
      <c r="G609" s="88">
        <f>DAY(EOMONTH(DATE(B609,C609,1),0))</f>
        <v/>
      </c>
      <c r="H609" s="89">
        <f>F609/G609</f>
        <v/>
      </c>
    </row>
    <row r="610">
      <c r="A610" s="86" t="inlineStr">
        <is>
          <t>전남</t>
        </is>
      </c>
      <c r="B610" s="86" t="n">
        <v>2016</v>
      </c>
      <c r="C610" s="86" t="n">
        <v>9</v>
      </c>
      <c r="D610" s="86" t="inlineStr">
        <is>
          <t>2016-09</t>
        </is>
      </c>
      <c r="E610" s="87" t="n">
        <v>136.1</v>
      </c>
      <c r="F610" s="87" t="n">
        <v>103.8833</v>
      </c>
      <c r="G610" s="88">
        <f>DAY(EOMONTH(DATE(B610,C610,1),0))</f>
        <v/>
      </c>
      <c r="H610" s="89">
        <f>F610/G610</f>
        <v/>
      </c>
    </row>
    <row r="611">
      <c r="A611" s="86" t="inlineStr">
        <is>
          <t>전남</t>
        </is>
      </c>
      <c r="B611" s="86" t="n">
        <v>2016</v>
      </c>
      <c r="C611" s="86" t="n">
        <v>10</v>
      </c>
      <c r="D611" s="86" t="inlineStr">
        <is>
          <t>2016-10</t>
        </is>
      </c>
      <c r="E611" s="87" t="n">
        <v>107.8</v>
      </c>
      <c r="F611" s="87" t="n">
        <v>78.7139</v>
      </c>
      <c r="G611" s="88">
        <f>DAY(EOMONTH(DATE(B611,C611,1),0))</f>
        <v/>
      </c>
      <c r="H611" s="89">
        <f>F611/G611</f>
        <v/>
      </c>
    </row>
    <row r="612">
      <c r="A612" s="86" t="inlineStr">
        <is>
          <t>전남</t>
        </is>
      </c>
      <c r="B612" s="86" t="n">
        <v>2016</v>
      </c>
      <c r="C612" s="86" t="n">
        <v>11</v>
      </c>
      <c r="D612" s="86" t="inlineStr">
        <is>
          <t>2016-11</t>
        </is>
      </c>
      <c r="E612" s="87" t="n">
        <v>168.1</v>
      </c>
      <c r="F612" s="87" t="n">
        <v>72.9444</v>
      </c>
      <c r="G612" s="88">
        <f>DAY(EOMONTH(DATE(B612,C612,1),0))</f>
        <v/>
      </c>
      <c r="H612" s="89">
        <f>F612/G612</f>
        <v/>
      </c>
    </row>
    <row r="613">
      <c r="A613" s="86" t="inlineStr">
        <is>
          <t>전남</t>
        </is>
      </c>
      <c r="B613" s="86" t="n">
        <v>2016</v>
      </c>
      <c r="C613" s="86" t="n">
        <v>12</v>
      </c>
      <c r="D613" s="86" t="inlineStr">
        <is>
          <t>2016-12</t>
        </is>
      </c>
      <c r="E613" s="87" t="n">
        <v>157.7</v>
      </c>
      <c r="F613" s="87" t="n">
        <v>60.5056</v>
      </c>
      <c r="G613" s="88">
        <f>DAY(EOMONTH(DATE(B613,C613,1),0))</f>
        <v/>
      </c>
      <c r="H613" s="89">
        <f>F613/G613</f>
        <v/>
      </c>
    </row>
    <row r="614">
      <c r="A614" s="86" t="inlineStr">
        <is>
          <t>전남</t>
        </is>
      </c>
      <c r="B614" s="86" t="n">
        <v>2017</v>
      </c>
      <c r="C614" s="86" t="n">
        <v>1</v>
      </c>
      <c r="D614" s="86" t="inlineStr">
        <is>
          <t>2017-01</t>
        </is>
      </c>
      <c r="E614" s="87" t="n">
        <v>185.5</v>
      </c>
      <c r="F614" s="87" t="n">
        <v>73.0972</v>
      </c>
      <c r="G614" s="88">
        <f>DAY(EOMONTH(DATE(B614,C614,1),0))</f>
        <v/>
      </c>
      <c r="H614" s="89">
        <f>F614/G614</f>
        <v/>
      </c>
    </row>
    <row r="615">
      <c r="A615" s="86" t="inlineStr">
        <is>
          <t>전남</t>
        </is>
      </c>
      <c r="B615" s="86" t="n">
        <v>2017</v>
      </c>
      <c r="C615" s="86" t="n">
        <v>2</v>
      </c>
      <c r="D615" s="86" t="inlineStr">
        <is>
          <t>2017-02</t>
        </is>
      </c>
      <c r="E615" s="87" t="n">
        <v>195.6</v>
      </c>
      <c r="F615" s="87" t="n">
        <v>91.4278</v>
      </c>
      <c r="G615" s="88">
        <f>DAY(EOMONTH(DATE(B615,C615,1),0))</f>
        <v/>
      </c>
      <c r="H615" s="89">
        <f>F615/G615</f>
        <v/>
      </c>
    </row>
    <row r="616">
      <c r="A616" s="86" t="inlineStr">
        <is>
          <t>전남</t>
        </is>
      </c>
      <c r="B616" s="86" t="n">
        <v>2017</v>
      </c>
      <c r="C616" s="86" t="n">
        <v>3</v>
      </c>
      <c r="D616" s="86" t="inlineStr">
        <is>
          <t>2017-03</t>
        </is>
      </c>
      <c r="E616" s="87" t="n">
        <v>221.1</v>
      </c>
      <c r="F616" s="87" t="n">
        <v>131.2944</v>
      </c>
      <c r="G616" s="88">
        <f>DAY(EOMONTH(DATE(B616,C616,1),0))</f>
        <v/>
      </c>
      <c r="H616" s="89">
        <f>F616/G616</f>
        <v/>
      </c>
    </row>
    <row r="617">
      <c r="A617" s="86" t="inlineStr">
        <is>
          <t>전남</t>
        </is>
      </c>
      <c r="B617" s="86" t="n">
        <v>2017</v>
      </c>
      <c r="C617" s="86" t="n">
        <v>4</v>
      </c>
      <c r="D617" s="86" t="inlineStr">
        <is>
          <t>2017-04</t>
        </is>
      </c>
      <c r="E617" s="87" t="n">
        <v>242.1</v>
      </c>
      <c r="F617" s="87" t="n">
        <v>154.3056</v>
      </c>
      <c r="G617" s="88">
        <f>DAY(EOMONTH(DATE(B617,C617,1),0))</f>
        <v/>
      </c>
      <c r="H617" s="89">
        <f>F617/G617</f>
        <v/>
      </c>
    </row>
    <row r="618">
      <c r="A618" s="86" t="inlineStr">
        <is>
          <t>전남</t>
        </is>
      </c>
      <c r="B618" s="86" t="n">
        <v>2017</v>
      </c>
      <c r="C618" s="86" t="n">
        <v>5</v>
      </c>
      <c r="D618" s="86" t="inlineStr">
        <is>
          <t>2017-05</t>
        </is>
      </c>
      <c r="E618" s="87" t="n">
        <v>264.2</v>
      </c>
      <c r="F618" s="87" t="n">
        <v>177.1111</v>
      </c>
      <c r="G618" s="88">
        <f>DAY(EOMONTH(DATE(B618,C618,1),0))</f>
        <v/>
      </c>
      <c r="H618" s="89">
        <f>F618/G618</f>
        <v/>
      </c>
    </row>
    <row r="619">
      <c r="A619" s="86" t="inlineStr">
        <is>
          <t>전남</t>
        </is>
      </c>
      <c r="B619" s="86" t="n">
        <v>2017</v>
      </c>
      <c r="C619" s="86" t="n">
        <v>6</v>
      </c>
      <c r="D619" s="86" t="inlineStr">
        <is>
          <t>2017-06</t>
        </is>
      </c>
      <c r="E619" s="87" t="n">
        <v>215.1</v>
      </c>
      <c r="F619" s="87" t="n">
        <v>160.1528</v>
      </c>
      <c r="G619" s="88">
        <f>DAY(EOMONTH(DATE(B619,C619,1),0))</f>
        <v/>
      </c>
      <c r="H619" s="89">
        <f>F619/G619</f>
        <v/>
      </c>
    </row>
    <row r="620">
      <c r="A620" s="86" t="inlineStr">
        <is>
          <t>전남</t>
        </is>
      </c>
      <c r="B620" s="86" t="n">
        <v>2017</v>
      </c>
      <c r="C620" s="86" t="n">
        <v>7</v>
      </c>
      <c r="D620" s="86" t="inlineStr">
        <is>
          <t>2017-07</t>
        </is>
      </c>
      <c r="E620" s="87" t="n">
        <v>153.3</v>
      </c>
      <c r="F620" s="87" t="n">
        <v>129.3222</v>
      </c>
      <c r="G620" s="88">
        <f>DAY(EOMONTH(DATE(B620,C620,1),0))</f>
        <v/>
      </c>
      <c r="H620" s="89">
        <f>F620/G620</f>
        <v/>
      </c>
    </row>
    <row r="621">
      <c r="A621" s="86" t="inlineStr">
        <is>
          <t>전남</t>
        </is>
      </c>
      <c r="B621" s="86" t="n">
        <v>2017</v>
      </c>
      <c r="C621" s="86" t="n">
        <v>8</v>
      </c>
      <c r="D621" s="86" t="inlineStr">
        <is>
          <t>2017-08</t>
        </is>
      </c>
      <c r="E621" s="87" t="n">
        <v>223.3</v>
      </c>
      <c r="F621" s="87" t="n">
        <v>144.2972</v>
      </c>
      <c r="G621" s="88">
        <f>DAY(EOMONTH(DATE(B621,C621,1),0))</f>
        <v/>
      </c>
      <c r="H621" s="89">
        <f>F621/G621</f>
        <v/>
      </c>
    </row>
    <row r="622">
      <c r="A622" s="86" t="inlineStr">
        <is>
          <t>전남</t>
        </is>
      </c>
      <c r="B622" s="86" t="n">
        <v>2017</v>
      </c>
      <c r="C622" s="86" t="n">
        <v>9</v>
      </c>
      <c r="D622" s="86" t="inlineStr">
        <is>
          <t>2017-09</t>
        </is>
      </c>
      <c r="E622" s="87" t="n">
        <v>193.6</v>
      </c>
      <c r="F622" s="87" t="n">
        <v>120.4056</v>
      </c>
      <c r="G622" s="88">
        <f>DAY(EOMONTH(DATE(B622,C622,1),0))</f>
        <v/>
      </c>
      <c r="H622" s="89">
        <f>F622/G622</f>
        <v/>
      </c>
    </row>
    <row r="623">
      <c r="A623" s="86" t="inlineStr">
        <is>
          <t>전남</t>
        </is>
      </c>
      <c r="B623" s="86" t="n">
        <v>2017</v>
      </c>
      <c r="C623" s="86" t="n">
        <v>10</v>
      </c>
      <c r="D623" s="86" t="inlineStr">
        <is>
          <t>2017-10</t>
        </is>
      </c>
      <c r="E623" s="87" t="n">
        <v>180.5</v>
      </c>
      <c r="F623" s="87" t="n">
        <v>98.125</v>
      </c>
      <c r="G623" s="88">
        <f>DAY(EOMONTH(DATE(B623,C623,1),0))</f>
        <v/>
      </c>
      <c r="H623" s="89">
        <f>F623/G623</f>
        <v/>
      </c>
    </row>
    <row r="624">
      <c r="A624" s="86" t="inlineStr">
        <is>
          <t>전남</t>
        </is>
      </c>
      <c r="B624" s="86" t="n">
        <v>2017</v>
      </c>
      <c r="C624" s="86" t="n">
        <v>11</v>
      </c>
      <c r="D624" s="86" t="inlineStr">
        <is>
          <t>2017-11</t>
        </is>
      </c>
      <c r="E624" s="87" t="n">
        <v>200.5</v>
      </c>
      <c r="F624" s="87" t="n">
        <v>83.6611</v>
      </c>
      <c r="G624" s="88">
        <f>DAY(EOMONTH(DATE(B624,C624,1),0))</f>
        <v/>
      </c>
      <c r="H624" s="89">
        <f>F624/G624</f>
        <v/>
      </c>
    </row>
    <row r="625">
      <c r="A625" s="86" t="inlineStr">
        <is>
          <t>전남</t>
        </is>
      </c>
      <c r="B625" s="86" t="n">
        <v>2017</v>
      </c>
      <c r="C625" s="86" t="n">
        <v>12</v>
      </c>
      <c r="D625" s="86" t="inlineStr">
        <is>
          <t>2017-12</t>
        </is>
      </c>
      <c r="E625" s="87" t="n">
        <v>176.6</v>
      </c>
      <c r="F625" s="87" t="n">
        <v>67.2389</v>
      </c>
      <c r="G625" s="88">
        <f>DAY(EOMONTH(DATE(B625,C625,1),0))</f>
        <v/>
      </c>
      <c r="H625" s="89">
        <f>F625/G625</f>
        <v/>
      </c>
    </row>
    <row r="626">
      <c r="A626" s="86" t="inlineStr">
        <is>
          <t>전남</t>
        </is>
      </c>
      <c r="B626" s="86" t="n">
        <v>2018</v>
      </c>
      <c r="C626" s="86" t="n">
        <v>1</v>
      </c>
      <c r="D626" s="86" t="inlineStr">
        <is>
          <t>2018-01</t>
        </is>
      </c>
      <c r="E626" s="87" t="n">
        <v>179.2</v>
      </c>
      <c r="F626" s="87" t="n">
        <v>73.6861</v>
      </c>
      <c r="G626" s="88">
        <f>DAY(EOMONTH(DATE(B626,C626,1),0))</f>
        <v/>
      </c>
      <c r="H626" s="89">
        <f>F626/G626</f>
        <v/>
      </c>
    </row>
    <row r="627">
      <c r="A627" s="86" t="inlineStr">
        <is>
          <t>전남</t>
        </is>
      </c>
      <c r="B627" s="86" t="n">
        <v>2018</v>
      </c>
      <c r="C627" s="86" t="n">
        <v>2</v>
      </c>
      <c r="D627" s="86" t="inlineStr">
        <is>
          <t>2018-02</t>
        </is>
      </c>
      <c r="E627" s="87" t="n">
        <v>179</v>
      </c>
      <c r="F627" s="87" t="n">
        <v>86.0583</v>
      </c>
      <c r="G627" s="88">
        <f>DAY(EOMONTH(DATE(B627,C627,1),0))</f>
        <v/>
      </c>
      <c r="H627" s="89">
        <f>F627/G627</f>
        <v/>
      </c>
    </row>
    <row r="628">
      <c r="A628" s="86" t="inlineStr">
        <is>
          <t>전남</t>
        </is>
      </c>
      <c r="B628" s="86" t="n">
        <v>2018</v>
      </c>
      <c r="C628" s="86" t="n">
        <v>3</v>
      </c>
      <c r="D628" s="86" t="inlineStr">
        <is>
          <t>2018-03</t>
        </is>
      </c>
      <c r="E628" s="87" t="n">
        <v>199.3</v>
      </c>
      <c r="F628" s="87" t="n">
        <v>115.1417</v>
      </c>
      <c r="G628" s="88">
        <f>DAY(EOMONTH(DATE(B628,C628,1),0))</f>
        <v/>
      </c>
      <c r="H628" s="89">
        <f>F628/G628</f>
        <v/>
      </c>
    </row>
    <row r="629">
      <c r="A629" s="86" t="inlineStr">
        <is>
          <t>전남</t>
        </is>
      </c>
      <c r="B629" s="86" t="n">
        <v>2018</v>
      </c>
      <c r="C629" s="86" t="n">
        <v>4</v>
      </c>
      <c r="D629" s="86" t="inlineStr">
        <is>
          <t>2018-04</t>
        </is>
      </c>
      <c r="E629" s="87" t="n">
        <v>206.1</v>
      </c>
      <c r="F629" s="87" t="n">
        <v>147.4861</v>
      </c>
      <c r="G629" s="88">
        <f>DAY(EOMONTH(DATE(B629,C629,1),0))</f>
        <v/>
      </c>
      <c r="H629" s="89">
        <f>F629/G629</f>
        <v/>
      </c>
    </row>
    <row r="630">
      <c r="A630" s="86" t="inlineStr">
        <is>
          <t>전남</t>
        </is>
      </c>
      <c r="B630" s="86" t="n">
        <v>2018</v>
      </c>
      <c r="C630" s="86" t="n">
        <v>5</v>
      </c>
      <c r="D630" s="86" t="inlineStr">
        <is>
          <t>2018-05</t>
        </is>
      </c>
      <c r="E630" s="87" t="n">
        <v>181.1</v>
      </c>
      <c r="F630" s="87" t="n">
        <v>154.7528</v>
      </c>
      <c r="G630" s="88">
        <f>DAY(EOMONTH(DATE(B630,C630,1),0))</f>
        <v/>
      </c>
      <c r="H630" s="89">
        <f>F630/G630</f>
        <v/>
      </c>
    </row>
    <row r="631">
      <c r="A631" s="86" t="inlineStr">
        <is>
          <t>전남</t>
        </is>
      </c>
      <c r="B631" s="86" t="n">
        <v>2018</v>
      </c>
      <c r="C631" s="86" t="n">
        <v>6</v>
      </c>
      <c r="D631" s="86" t="inlineStr">
        <is>
          <t>2018-06</t>
        </is>
      </c>
      <c r="E631" s="87" t="n">
        <v>213.4</v>
      </c>
      <c r="F631" s="87" t="n">
        <v>174.2667</v>
      </c>
      <c r="G631" s="88">
        <f>DAY(EOMONTH(DATE(B631,C631,1),0))</f>
        <v/>
      </c>
      <c r="H631" s="89">
        <f>F631/G631</f>
        <v/>
      </c>
    </row>
    <row r="632">
      <c r="A632" s="86" t="inlineStr">
        <is>
          <t>전남</t>
        </is>
      </c>
      <c r="B632" s="86" t="n">
        <v>2018</v>
      </c>
      <c r="C632" s="86" t="n">
        <v>7</v>
      </c>
      <c r="D632" s="86" t="inlineStr">
        <is>
          <t>2018-07</t>
        </is>
      </c>
      <c r="E632" s="87" t="n">
        <v>253</v>
      </c>
      <c r="F632" s="87" t="n">
        <v>185.3028</v>
      </c>
      <c r="G632" s="88">
        <f>DAY(EOMONTH(DATE(B632,C632,1),0))</f>
        <v/>
      </c>
      <c r="H632" s="89">
        <f>F632/G632</f>
        <v/>
      </c>
    </row>
    <row r="633">
      <c r="A633" s="86" t="inlineStr">
        <is>
          <t>전남</t>
        </is>
      </c>
      <c r="B633" s="86" t="n">
        <v>2018</v>
      </c>
      <c r="C633" s="86" t="n">
        <v>8</v>
      </c>
      <c r="D633" s="86" t="inlineStr">
        <is>
          <t>2018-08</t>
        </is>
      </c>
      <c r="E633" s="87" t="n">
        <v>230.2</v>
      </c>
      <c r="F633" s="87" t="n">
        <v>161.575</v>
      </c>
      <c r="G633" s="88">
        <f>DAY(EOMONTH(DATE(B633,C633,1),0))</f>
        <v/>
      </c>
      <c r="H633" s="89">
        <f>F633/G633</f>
        <v/>
      </c>
    </row>
    <row r="634">
      <c r="A634" s="86" t="inlineStr">
        <is>
          <t>전남</t>
        </is>
      </c>
      <c r="B634" s="86" t="n">
        <v>2018</v>
      </c>
      <c r="C634" s="86" t="n">
        <v>9</v>
      </c>
      <c r="D634" s="86" t="inlineStr">
        <is>
          <t>2018-09</t>
        </is>
      </c>
      <c r="E634" s="87" t="n">
        <v>156.1</v>
      </c>
      <c r="F634" s="87" t="n">
        <v>127.1972</v>
      </c>
      <c r="G634" s="88">
        <f>DAY(EOMONTH(DATE(B634,C634,1),0))</f>
        <v/>
      </c>
      <c r="H634" s="89">
        <f>F634/G634</f>
        <v/>
      </c>
    </row>
    <row r="635">
      <c r="A635" s="86" t="inlineStr">
        <is>
          <t>전남</t>
        </is>
      </c>
      <c r="B635" s="86" t="n">
        <v>2018</v>
      </c>
      <c r="C635" s="86" t="n">
        <v>10</v>
      </c>
      <c r="D635" s="86" t="inlineStr">
        <is>
          <t>2018-10</t>
        </is>
      </c>
      <c r="E635" s="87" t="n">
        <v>234.8</v>
      </c>
      <c r="F635" s="87" t="n">
        <v>124.0694</v>
      </c>
      <c r="G635" s="88">
        <f>DAY(EOMONTH(DATE(B635,C635,1),0))</f>
        <v/>
      </c>
      <c r="H635" s="89">
        <f>F635/G635</f>
        <v/>
      </c>
    </row>
    <row r="636">
      <c r="A636" s="86" t="inlineStr">
        <is>
          <t>전남</t>
        </is>
      </c>
      <c r="B636" s="86" t="n">
        <v>2018</v>
      </c>
      <c r="C636" s="86" t="n">
        <v>11</v>
      </c>
      <c r="D636" s="86" t="inlineStr">
        <is>
          <t>2018-11</t>
        </is>
      </c>
      <c r="E636" s="87" t="n">
        <v>195.4</v>
      </c>
      <c r="F636" s="87" t="n">
        <v>91.00830000000001</v>
      </c>
      <c r="G636" s="88">
        <f>DAY(EOMONTH(DATE(B636,C636,1),0))</f>
        <v/>
      </c>
      <c r="H636" s="89">
        <f>F636/G636</f>
        <v/>
      </c>
    </row>
    <row r="637">
      <c r="A637" s="86" t="inlineStr">
        <is>
          <t>전남</t>
        </is>
      </c>
      <c r="B637" s="86" t="n">
        <v>2018</v>
      </c>
      <c r="C637" s="86" t="n">
        <v>12</v>
      </c>
      <c r="D637" s="86" t="inlineStr">
        <is>
          <t>2018-12</t>
        </is>
      </c>
      <c r="E637" s="87" t="n">
        <v>160</v>
      </c>
      <c r="F637" s="87" t="n">
        <v>71.99720000000001</v>
      </c>
      <c r="G637" s="88">
        <f>DAY(EOMONTH(DATE(B637,C637,1),0))</f>
        <v/>
      </c>
      <c r="H637" s="89">
        <f>F637/G637</f>
        <v/>
      </c>
    </row>
    <row r="638">
      <c r="A638" s="86" t="inlineStr">
        <is>
          <t>전남</t>
        </is>
      </c>
      <c r="B638" s="86" t="n">
        <v>2019</v>
      </c>
      <c r="C638" s="86" t="n">
        <v>1</v>
      </c>
      <c r="D638" s="86" t="inlineStr">
        <is>
          <t>2019-01</t>
        </is>
      </c>
      <c r="E638" s="87" t="n">
        <v>203.2</v>
      </c>
      <c r="F638" s="87" t="n">
        <v>89.4278</v>
      </c>
      <c r="G638" s="88">
        <f>DAY(EOMONTH(DATE(B638,C638,1),0))</f>
        <v/>
      </c>
      <c r="H638" s="89">
        <f>F638/G638</f>
        <v/>
      </c>
    </row>
    <row r="639">
      <c r="A639" s="86" t="inlineStr">
        <is>
          <t>전남</t>
        </is>
      </c>
      <c r="B639" s="86" t="n">
        <v>2019</v>
      </c>
      <c r="C639" s="86" t="n">
        <v>2</v>
      </c>
      <c r="D639" s="86" t="inlineStr">
        <is>
          <t>2019-02</t>
        </is>
      </c>
      <c r="E639" s="87" t="n">
        <v>165.2</v>
      </c>
      <c r="F639" s="87" t="n">
        <v>94.3389</v>
      </c>
      <c r="G639" s="88">
        <f>DAY(EOMONTH(DATE(B639,C639,1),0))</f>
        <v/>
      </c>
      <c r="H639" s="89">
        <f>F639/G639</f>
        <v/>
      </c>
    </row>
    <row r="640">
      <c r="A640" s="86" t="inlineStr">
        <is>
          <t>전남</t>
        </is>
      </c>
      <c r="B640" s="86" t="n">
        <v>2019</v>
      </c>
      <c r="C640" s="86" t="n">
        <v>3</v>
      </c>
      <c r="D640" s="86" t="inlineStr">
        <is>
          <t>2019-03</t>
        </is>
      </c>
      <c r="E640" s="87" t="n">
        <v>218.8</v>
      </c>
      <c r="F640" s="87" t="n">
        <v>141.1528</v>
      </c>
      <c r="G640" s="88">
        <f>DAY(EOMONTH(DATE(B640,C640,1),0))</f>
        <v/>
      </c>
      <c r="H640" s="89">
        <f>F640/G640</f>
        <v/>
      </c>
    </row>
    <row r="641">
      <c r="A641" s="86" t="inlineStr">
        <is>
          <t>전남</t>
        </is>
      </c>
      <c r="B641" s="86" t="n">
        <v>2019</v>
      </c>
      <c r="C641" s="86" t="n">
        <v>4</v>
      </c>
      <c r="D641" s="86" t="inlineStr">
        <is>
          <t>2019-04</t>
        </is>
      </c>
      <c r="E641" s="87" t="n">
        <v>179.4</v>
      </c>
      <c r="F641" s="87" t="n">
        <v>136.1278</v>
      </c>
      <c r="G641" s="88">
        <f>DAY(EOMONTH(DATE(B641,C641,1),0))</f>
        <v/>
      </c>
      <c r="H641" s="89">
        <f>F641/G641</f>
        <v/>
      </c>
    </row>
    <row r="642">
      <c r="A642" s="86" t="inlineStr">
        <is>
          <t>전남</t>
        </is>
      </c>
      <c r="B642" s="86" t="n">
        <v>2019</v>
      </c>
      <c r="C642" s="86" t="n">
        <v>5</v>
      </c>
      <c r="D642" s="86" t="inlineStr">
        <is>
          <t>2019-05</t>
        </is>
      </c>
      <c r="E642" s="87" t="n">
        <v>281.6</v>
      </c>
      <c r="F642" s="87" t="n">
        <v>203.5778</v>
      </c>
      <c r="G642" s="88">
        <f>DAY(EOMONTH(DATE(B642,C642,1),0))</f>
        <v/>
      </c>
      <c r="H642" s="89">
        <f>F642/G642</f>
        <v/>
      </c>
    </row>
    <row r="643">
      <c r="A643" s="86" t="inlineStr">
        <is>
          <t>전남</t>
        </is>
      </c>
      <c r="B643" s="86" t="n">
        <v>2019</v>
      </c>
      <c r="C643" s="86" t="n">
        <v>6</v>
      </c>
      <c r="D643" s="86" t="inlineStr">
        <is>
          <t>2019-06</t>
        </is>
      </c>
      <c r="E643" s="87" t="n">
        <v>215.1</v>
      </c>
      <c r="F643" s="87" t="n">
        <v>167.9611</v>
      </c>
      <c r="G643" s="88">
        <f>DAY(EOMONTH(DATE(B643,C643,1),0))</f>
        <v/>
      </c>
      <c r="H643" s="89">
        <f>F643/G643</f>
        <v/>
      </c>
    </row>
    <row r="644">
      <c r="A644" s="86" t="inlineStr">
        <is>
          <t>전남</t>
        </is>
      </c>
      <c r="B644" s="86" t="n">
        <v>2019</v>
      </c>
      <c r="C644" s="86" t="n">
        <v>7</v>
      </c>
      <c r="D644" s="86" t="inlineStr">
        <is>
          <t>2019-07</t>
        </is>
      </c>
      <c r="E644" s="87" t="n">
        <v>159.3</v>
      </c>
      <c r="F644" s="87" t="n">
        <v>141.7611</v>
      </c>
      <c r="G644" s="88">
        <f>DAY(EOMONTH(DATE(B644,C644,1),0))</f>
        <v/>
      </c>
      <c r="H644" s="89">
        <f>F644/G644</f>
        <v/>
      </c>
    </row>
    <row r="645">
      <c r="A645" s="86" t="inlineStr">
        <is>
          <t>전남</t>
        </is>
      </c>
      <c r="B645" s="86" t="n">
        <v>2019</v>
      </c>
      <c r="C645" s="86" t="n">
        <v>8</v>
      </c>
      <c r="D645" s="86" t="inlineStr">
        <is>
          <t>2019-08</t>
        </is>
      </c>
      <c r="E645" s="87" t="n">
        <v>199.2</v>
      </c>
      <c r="F645" s="87" t="n">
        <v>154.7333</v>
      </c>
      <c r="G645" s="88">
        <f>DAY(EOMONTH(DATE(B645,C645,1),0))</f>
        <v/>
      </c>
      <c r="H645" s="89">
        <f>F645/G645</f>
        <v/>
      </c>
    </row>
    <row r="646">
      <c r="A646" s="86" t="inlineStr">
        <is>
          <t>전남</t>
        </is>
      </c>
      <c r="B646" s="86" t="n">
        <v>2019</v>
      </c>
      <c r="C646" s="86" t="n">
        <v>9</v>
      </c>
      <c r="D646" s="86" t="inlineStr">
        <is>
          <t>2019-09</t>
        </is>
      </c>
      <c r="E646" s="87" t="n">
        <v>147.2</v>
      </c>
      <c r="F646" s="87" t="n">
        <v>115.6722</v>
      </c>
      <c r="G646" s="88">
        <f>DAY(EOMONTH(DATE(B646,C646,1),0))</f>
        <v/>
      </c>
      <c r="H646" s="89">
        <f>F646/G646</f>
        <v/>
      </c>
    </row>
    <row r="647">
      <c r="A647" s="86" t="inlineStr">
        <is>
          <t>전남</t>
        </is>
      </c>
      <c r="B647" s="86" t="n">
        <v>2019</v>
      </c>
      <c r="C647" s="86" t="n">
        <v>10</v>
      </c>
      <c r="D647" s="86" t="inlineStr">
        <is>
          <t>2019-10</t>
        </is>
      </c>
      <c r="E647" s="87" t="n">
        <v>217.1</v>
      </c>
      <c r="F647" s="87" t="n">
        <v>115.6306</v>
      </c>
      <c r="G647" s="88">
        <f>DAY(EOMONTH(DATE(B647,C647,1),0))</f>
        <v/>
      </c>
      <c r="H647" s="89">
        <f>F647/G647</f>
        <v/>
      </c>
    </row>
    <row r="648">
      <c r="A648" s="86" t="inlineStr">
        <is>
          <t>전남</t>
        </is>
      </c>
      <c r="B648" s="86" t="n">
        <v>2019</v>
      </c>
      <c r="C648" s="86" t="n">
        <v>11</v>
      </c>
      <c r="D648" s="86" t="inlineStr">
        <is>
          <t>2019-11</t>
        </is>
      </c>
      <c r="E648" s="87" t="n">
        <v>189.1</v>
      </c>
      <c r="F648" s="87" t="n">
        <v>89.3389</v>
      </c>
      <c r="G648" s="88">
        <f>DAY(EOMONTH(DATE(B648,C648,1),0))</f>
        <v/>
      </c>
      <c r="H648" s="89">
        <f>F648/G648</f>
        <v/>
      </c>
    </row>
    <row r="649">
      <c r="A649" s="86" t="inlineStr">
        <is>
          <t>전남</t>
        </is>
      </c>
      <c r="B649" s="86" t="n">
        <v>2019</v>
      </c>
      <c r="C649" s="86" t="n">
        <v>12</v>
      </c>
      <c r="D649" s="86" t="inlineStr">
        <is>
          <t>2019-12</t>
        </is>
      </c>
      <c r="E649" s="87" t="n">
        <v>170.5</v>
      </c>
      <c r="F649" s="87" t="n">
        <v>67.5778</v>
      </c>
      <c r="G649" s="88">
        <f>DAY(EOMONTH(DATE(B649,C649,1),0))</f>
        <v/>
      </c>
      <c r="H649" s="89">
        <f>F649/G649</f>
        <v/>
      </c>
    </row>
    <row r="650">
      <c r="A650" s="86" t="inlineStr">
        <is>
          <t>전남</t>
        </is>
      </c>
      <c r="B650" s="86" t="n">
        <v>2020</v>
      </c>
      <c r="C650" s="86" t="n">
        <v>1</v>
      </c>
      <c r="D650" s="86" t="inlineStr">
        <is>
          <t>2020-01</t>
        </is>
      </c>
      <c r="E650" s="87" t="n">
        <v>138.7</v>
      </c>
      <c r="F650" s="87" t="n">
        <v>69.3417</v>
      </c>
      <c r="G650" s="88">
        <f>DAY(EOMONTH(DATE(B650,C650,1),0))</f>
        <v/>
      </c>
      <c r="H650" s="89">
        <f>F650/G650</f>
        <v/>
      </c>
    </row>
    <row r="651">
      <c r="A651" s="86" t="inlineStr">
        <is>
          <t>전남</t>
        </is>
      </c>
      <c r="B651" s="86" t="n">
        <v>2020</v>
      </c>
      <c r="C651" s="86" t="n">
        <v>2</v>
      </c>
      <c r="D651" s="86" t="inlineStr">
        <is>
          <t>2020-02</t>
        </is>
      </c>
      <c r="E651" s="87" t="n">
        <v>183.6</v>
      </c>
      <c r="F651" s="87" t="n">
        <v>93.9194</v>
      </c>
      <c r="G651" s="88">
        <f>DAY(EOMONTH(DATE(B651,C651,1),0))</f>
        <v/>
      </c>
      <c r="H651" s="89">
        <f>F651/G651</f>
        <v/>
      </c>
    </row>
    <row r="652">
      <c r="A652" s="86" t="inlineStr">
        <is>
          <t>전남</t>
        </is>
      </c>
      <c r="B652" s="86" t="n">
        <v>2020</v>
      </c>
      <c r="C652" s="86" t="n">
        <v>3</v>
      </c>
      <c r="D652" s="86" t="inlineStr">
        <is>
          <t>2020-03</t>
        </is>
      </c>
      <c r="E652" s="87" t="n">
        <v>239.9</v>
      </c>
      <c r="F652" s="87" t="n">
        <v>152.0722</v>
      </c>
      <c r="G652" s="88">
        <f>DAY(EOMONTH(DATE(B652,C652,1),0))</f>
        <v/>
      </c>
      <c r="H652" s="89">
        <f>F652/G652</f>
        <v/>
      </c>
    </row>
    <row r="653">
      <c r="A653" s="86" t="inlineStr">
        <is>
          <t>전남</t>
        </is>
      </c>
      <c r="B653" s="86" t="n">
        <v>2020</v>
      </c>
      <c r="C653" s="86" t="n">
        <v>4</v>
      </c>
      <c r="D653" s="86" t="inlineStr">
        <is>
          <t>2020-04</t>
        </is>
      </c>
      <c r="E653" s="87" t="n">
        <v>272.4</v>
      </c>
      <c r="F653" s="87" t="n">
        <v>187.6472</v>
      </c>
      <c r="G653" s="88">
        <f>DAY(EOMONTH(DATE(B653,C653,1),0))</f>
        <v/>
      </c>
      <c r="H653" s="89">
        <f>F653/G653</f>
        <v/>
      </c>
    </row>
    <row r="654">
      <c r="A654" s="86" t="inlineStr">
        <is>
          <t>전남</t>
        </is>
      </c>
      <c r="B654" s="86" t="n">
        <v>2020</v>
      </c>
      <c r="C654" s="86" t="n">
        <v>5</v>
      </c>
      <c r="D654" s="86" t="inlineStr">
        <is>
          <t>2020-05</t>
        </is>
      </c>
      <c r="E654" s="87" t="n">
        <v>205.9</v>
      </c>
      <c r="F654" s="87" t="n">
        <v>166.3889</v>
      </c>
      <c r="G654" s="88">
        <f>DAY(EOMONTH(DATE(B654,C654,1),0))</f>
        <v/>
      </c>
      <c r="H654" s="89">
        <f>F654/G654</f>
        <v/>
      </c>
    </row>
    <row r="655">
      <c r="A655" s="86" t="inlineStr">
        <is>
          <t>전남</t>
        </is>
      </c>
      <c r="B655" s="86" t="n">
        <v>2020</v>
      </c>
      <c r="C655" s="86" t="n">
        <v>6</v>
      </c>
      <c r="D655" s="86" t="inlineStr">
        <is>
          <t>2020-06</t>
        </is>
      </c>
      <c r="E655" s="87" t="n">
        <v>206.5</v>
      </c>
      <c r="F655" s="87" t="n">
        <v>162.5861</v>
      </c>
      <c r="G655" s="88">
        <f>DAY(EOMONTH(DATE(B655,C655,1),0))</f>
        <v/>
      </c>
      <c r="H655" s="89">
        <f>F655/G655</f>
        <v/>
      </c>
    </row>
    <row r="656">
      <c r="A656" s="86" t="inlineStr">
        <is>
          <t>전남</t>
        </is>
      </c>
      <c r="B656" s="86" t="n">
        <v>2020</v>
      </c>
      <c r="C656" s="86" t="n">
        <v>7</v>
      </c>
      <c r="D656" s="86" t="inlineStr">
        <is>
          <t>2020-07</t>
        </is>
      </c>
      <c r="E656" s="87" t="n">
        <v>87</v>
      </c>
      <c r="F656" s="87" t="n">
        <v>110.1944</v>
      </c>
      <c r="G656" s="88">
        <f>DAY(EOMONTH(DATE(B656,C656,1),0))</f>
        <v/>
      </c>
      <c r="H656" s="89">
        <f>F656/G656</f>
        <v/>
      </c>
    </row>
    <row r="657">
      <c r="A657" s="86" t="inlineStr">
        <is>
          <t>전남</t>
        </is>
      </c>
      <c r="B657" s="86" t="n">
        <v>2020</v>
      </c>
      <c r="C657" s="86" t="n">
        <v>8</v>
      </c>
      <c r="D657" s="86" t="inlineStr">
        <is>
          <t>2020-08</t>
        </is>
      </c>
      <c r="E657" s="87" t="n">
        <v>192.3</v>
      </c>
      <c r="F657" s="87" t="n">
        <v>142.3083</v>
      </c>
      <c r="G657" s="88">
        <f>DAY(EOMONTH(DATE(B657,C657,1),0))</f>
        <v/>
      </c>
      <c r="H657" s="89">
        <f>F657/G657</f>
        <v/>
      </c>
    </row>
    <row r="658">
      <c r="A658" s="86" t="inlineStr">
        <is>
          <t>전남</t>
        </is>
      </c>
      <c r="B658" s="86" t="n">
        <v>2020</v>
      </c>
      <c r="C658" s="86" t="n">
        <v>9</v>
      </c>
      <c r="D658" s="86" t="inlineStr">
        <is>
          <t>2020-09</t>
        </is>
      </c>
      <c r="E658" s="87" t="n">
        <v>169.3</v>
      </c>
      <c r="F658" s="87" t="n">
        <v>121.8111</v>
      </c>
      <c r="G658" s="88">
        <f>DAY(EOMONTH(DATE(B658,C658,1),0))</f>
        <v/>
      </c>
      <c r="H658" s="89">
        <f>F658/G658</f>
        <v/>
      </c>
    </row>
    <row r="659">
      <c r="A659" s="86" t="inlineStr">
        <is>
          <t>전남</t>
        </is>
      </c>
      <c r="B659" s="86" t="n">
        <v>2020</v>
      </c>
      <c r="C659" s="86" t="n">
        <v>10</v>
      </c>
      <c r="D659" s="86" t="inlineStr">
        <is>
          <t>2020-10</t>
        </is>
      </c>
      <c r="E659" s="87" t="n">
        <v>238.9</v>
      </c>
      <c r="F659" s="87" t="n">
        <v>128.6694</v>
      </c>
      <c r="G659" s="88">
        <f>DAY(EOMONTH(DATE(B659,C659,1),0))</f>
        <v/>
      </c>
      <c r="H659" s="89">
        <f>F659/G659</f>
        <v/>
      </c>
    </row>
    <row r="660">
      <c r="A660" s="86" t="inlineStr">
        <is>
          <t>전남</t>
        </is>
      </c>
      <c r="B660" s="86" t="n">
        <v>2020</v>
      </c>
      <c r="C660" s="86" t="n">
        <v>11</v>
      </c>
      <c r="D660" s="86" t="inlineStr">
        <is>
          <t>2020-11</t>
        </is>
      </c>
      <c r="E660" s="87" t="n">
        <v>175.4</v>
      </c>
      <c r="F660" s="87" t="n">
        <v>84.21939999999999</v>
      </c>
      <c r="G660" s="88">
        <f>DAY(EOMONTH(DATE(B660,C660,1),0))</f>
        <v/>
      </c>
      <c r="H660" s="89">
        <f>F660/G660</f>
        <v/>
      </c>
    </row>
    <row r="661">
      <c r="A661" s="86" t="inlineStr">
        <is>
          <t>전남</t>
        </is>
      </c>
      <c r="B661" s="86" t="n">
        <v>2020</v>
      </c>
      <c r="C661" s="86" t="n">
        <v>12</v>
      </c>
      <c r="D661" s="86" t="inlineStr">
        <is>
          <t>2020-12</t>
        </is>
      </c>
      <c r="E661" s="87" t="n">
        <v>188.4</v>
      </c>
      <c r="F661" s="87" t="n">
        <v>78.2167</v>
      </c>
      <c r="G661" s="88">
        <f>DAY(EOMONTH(DATE(B661,C661,1),0))</f>
        <v/>
      </c>
      <c r="H661" s="89">
        <f>F661/G661</f>
        <v/>
      </c>
    </row>
    <row r="662">
      <c r="A662" s="86" t="inlineStr">
        <is>
          <t>전남</t>
        </is>
      </c>
      <c r="B662" s="86" t="n">
        <v>2021</v>
      </c>
      <c r="C662" s="86" t="n">
        <v>1</v>
      </c>
      <c r="D662" s="86" t="inlineStr">
        <is>
          <t>2021-01</t>
        </is>
      </c>
      <c r="E662" s="87" t="n">
        <v>179.4</v>
      </c>
      <c r="F662" s="87" t="n">
        <v>80.59999999999999</v>
      </c>
      <c r="G662" s="88">
        <f>DAY(EOMONTH(DATE(B662,C662,1),0))</f>
        <v/>
      </c>
      <c r="H662" s="89">
        <f>F662/G662</f>
        <v/>
      </c>
    </row>
    <row r="663">
      <c r="A663" s="86" t="inlineStr">
        <is>
          <t>전남</t>
        </is>
      </c>
      <c r="B663" s="86" t="n">
        <v>2021</v>
      </c>
      <c r="C663" s="86" t="n">
        <v>2</v>
      </c>
      <c r="D663" s="86" t="inlineStr">
        <is>
          <t>2021-02</t>
        </is>
      </c>
      <c r="E663" s="87" t="n">
        <v>177.8</v>
      </c>
      <c r="F663" s="87" t="n">
        <v>95.3806</v>
      </c>
      <c r="G663" s="88">
        <f>DAY(EOMONTH(DATE(B663,C663,1),0))</f>
        <v/>
      </c>
      <c r="H663" s="89">
        <f>F663/G663</f>
        <v/>
      </c>
    </row>
    <row r="664">
      <c r="A664" s="86" t="inlineStr">
        <is>
          <t>전남</t>
        </is>
      </c>
      <c r="B664" s="86" t="n">
        <v>2021</v>
      </c>
      <c r="C664" s="86" t="n">
        <v>3</v>
      </c>
      <c r="D664" s="86" t="inlineStr">
        <is>
          <t>2021-03</t>
        </is>
      </c>
      <c r="E664" s="87" t="n">
        <v>224.1</v>
      </c>
      <c r="F664" s="87" t="n">
        <v>142.3722</v>
      </c>
      <c r="G664" s="88">
        <f>DAY(EOMONTH(DATE(B664,C664,1),0))</f>
        <v/>
      </c>
      <c r="H664" s="89">
        <f>F664/G664</f>
        <v/>
      </c>
    </row>
    <row r="665">
      <c r="A665" s="86" t="inlineStr">
        <is>
          <t>전남</t>
        </is>
      </c>
      <c r="B665" s="86" t="n">
        <v>2021</v>
      </c>
      <c r="C665" s="86" t="n">
        <v>4</v>
      </c>
      <c r="D665" s="86" t="inlineStr">
        <is>
          <t>2021-04</t>
        </is>
      </c>
      <c r="E665" s="87" t="n">
        <v>240.5</v>
      </c>
      <c r="F665" s="87" t="n">
        <v>169.6417</v>
      </c>
      <c r="G665" s="88">
        <f>DAY(EOMONTH(DATE(B665,C665,1),0))</f>
        <v/>
      </c>
      <c r="H665" s="89">
        <f>F665/G665</f>
        <v/>
      </c>
    </row>
    <row r="666">
      <c r="A666" s="86" t="inlineStr">
        <is>
          <t>전남</t>
        </is>
      </c>
      <c r="B666" s="86" t="n">
        <v>2021</v>
      </c>
      <c r="C666" s="86" t="n">
        <v>5</v>
      </c>
      <c r="D666" s="86" t="inlineStr">
        <is>
          <t>2021-05</t>
        </is>
      </c>
      <c r="E666" s="87" t="n">
        <v>224.3</v>
      </c>
      <c r="F666" s="87" t="n">
        <v>173.4389</v>
      </c>
      <c r="G666" s="88">
        <f>DAY(EOMONTH(DATE(B666,C666,1),0))</f>
        <v/>
      </c>
      <c r="H666" s="89">
        <f>F666/G666</f>
        <v/>
      </c>
    </row>
    <row r="667">
      <c r="A667" s="86" t="inlineStr">
        <is>
          <t>전남</t>
        </is>
      </c>
      <c r="B667" s="86" t="n">
        <v>2021</v>
      </c>
      <c r="C667" s="86" t="n">
        <v>6</v>
      </c>
      <c r="D667" s="86" t="inlineStr">
        <is>
          <t>2021-06</t>
        </is>
      </c>
      <c r="E667" s="87" t="n">
        <v>227.9</v>
      </c>
      <c r="F667" s="87" t="n">
        <v>170.9472</v>
      </c>
      <c r="G667" s="88">
        <f>DAY(EOMONTH(DATE(B667,C667,1),0))</f>
        <v/>
      </c>
      <c r="H667" s="89">
        <f>F667/G667</f>
        <v/>
      </c>
    </row>
    <row r="668">
      <c r="A668" s="86" t="inlineStr">
        <is>
          <t>전남</t>
        </is>
      </c>
      <c r="B668" s="86" t="n">
        <v>2021</v>
      </c>
      <c r="C668" s="86" t="n">
        <v>7</v>
      </c>
      <c r="D668" s="86" t="inlineStr">
        <is>
          <t>2021-07</t>
        </is>
      </c>
      <c r="E668" s="87" t="n">
        <v>204.9</v>
      </c>
      <c r="F668" s="87" t="n">
        <v>158.4111</v>
      </c>
      <c r="G668" s="88">
        <f>DAY(EOMONTH(DATE(B668,C668,1),0))</f>
        <v/>
      </c>
      <c r="H668" s="89">
        <f>F668/G668</f>
        <v/>
      </c>
    </row>
    <row r="669">
      <c r="A669" s="86" t="inlineStr">
        <is>
          <t>전남</t>
        </is>
      </c>
      <c r="B669" s="86" t="n">
        <v>2021</v>
      </c>
      <c r="C669" s="86" t="n">
        <v>8</v>
      </c>
      <c r="D669" s="86" t="inlineStr">
        <is>
          <t>2021-08</t>
        </is>
      </c>
      <c r="E669" s="87" t="n">
        <v>182.7</v>
      </c>
      <c r="F669" s="87" t="n">
        <v>137.2667</v>
      </c>
      <c r="G669" s="88">
        <f>DAY(EOMONTH(DATE(B669,C669,1),0))</f>
        <v/>
      </c>
      <c r="H669" s="89">
        <f>F669/G669</f>
        <v/>
      </c>
    </row>
    <row r="670">
      <c r="A670" s="86" t="inlineStr">
        <is>
          <t>전남</t>
        </is>
      </c>
      <c r="B670" s="86" t="n">
        <v>2021</v>
      </c>
      <c r="C670" s="86" t="n">
        <v>9</v>
      </c>
      <c r="D670" s="86" t="inlineStr">
        <is>
          <t>2021-09</t>
        </is>
      </c>
      <c r="E670" s="87" t="n">
        <v>135.9</v>
      </c>
      <c r="F670" s="87" t="n">
        <v>111.9306</v>
      </c>
      <c r="G670" s="88">
        <f>DAY(EOMONTH(DATE(B670,C670,1),0))</f>
        <v/>
      </c>
      <c r="H670" s="89">
        <f>F670/G670</f>
        <v/>
      </c>
    </row>
    <row r="671">
      <c r="A671" s="86" t="inlineStr">
        <is>
          <t>전남</t>
        </is>
      </c>
      <c r="B671" s="86" t="n">
        <v>2021</v>
      </c>
      <c r="C671" s="86" t="n">
        <v>10</v>
      </c>
      <c r="D671" s="86" t="inlineStr">
        <is>
          <t>2021-10</t>
        </is>
      </c>
      <c r="E671" s="87" t="n">
        <v>224.6</v>
      </c>
      <c r="F671" s="87" t="n">
        <v>121.2361</v>
      </c>
      <c r="G671" s="88">
        <f>DAY(EOMONTH(DATE(B671,C671,1),0))</f>
        <v/>
      </c>
      <c r="H671" s="89">
        <f>F671/G671</f>
        <v/>
      </c>
    </row>
    <row r="672">
      <c r="A672" s="86" t="inlineStr">
        <is>
          <t>전남</t>
        </is>
      </c>
      <c r="B672" s="86" t="n">
        <v>2021</v>
      </c>
      <c r="C672" s="86" t="n">
        <v>11</v>
      </c>
      <c r="D672" s="86" t="inlineStr">
        <is>
          <t>2021-11</t>
        </is>
      </c>
      <c r="E672" s="87" t="n">
        <v>191.7</v>
      </c>
      <c r="F672" s="87" t="n">
        <v>83.95</v>
      </c>
      <c r="G672" s="88">
        <f>DAY(EOMONTH(DATE(B672,C672,1),0))</f>
        <v/>
      </c>
      <c r="H672" s="89">
        <f>F672/G672</f>
        <v/>
      </c>
    </row>
    <row r="673">
      <c r="A673" s="86" t="inlineStr">
        <is>
          <t>전남</t>
        </is>
      </c>
      <c r="B673" s="86" t="n">
        <v>2021</v>
      </c>
      <c r="C673" s="86" t="n">
        <v>12</v>
      </c>
      <c r="D673" s="86" t="inlineStr">
        <is>
          <t>2021-12</t>
        </is>
      </c>
      <c r="E673" s="87" t="n">
        <v>183.9</v>
      </c>
      <c r="F673" s="87" t="n">
        <v>75.25</v>
      </c>
      <c r="G673" s="88">
        <f>DAY(EOMONTH(DATE(B673,C673,1),0))</f>
        <v/>
      </c>
      <c r="H673" s="89">
        <f>F673/G673</f>
        <v/>
      </c>
    </row>
    <row r="674">
      <c r="A674" s="86" t="inlineStr">
        <is>
          <t>전남</t>
        </is>
      </c>
      <c r="B674" s="86" t="n">
        <v>2022</v>
      </c>
      <c r="C674" s="86" t="n">
        <v>1</v>
      </c>
      <c r="D674" s="86" t="inlineStr">
        <is>
          <t>2022-01</t>
        </is>
      </c>
      <c r="E674" s="87" t="n">
        <v>200.8</v>
      </c>
      <c r="F674" s="87" t="n">
        <v>89.1472</v>
      </c>
      <c r="G674" s="88">
        <f>DAY(EOMONTH(DATE(B674,C674,1),0))</f>
        <v/>
      </c>
      <c r="H674" s="89">
        <f>F674/G674</f>
        <v/>
      </c>
    </row>
    <row r="675">
      <c r="A675" s="86" t="inlineStr">
        <is>
          <t>전남</t>
        </is>
      </c>
      <c r="B675" s="86" t="n">
        <v>2022</v>
      </c>
      <c r="C675" s="86" t="n">
        <v>2</v>
      </c>
      <c r="D675" s="86" t="inlineStr">
        <is>
          <t>2022-02</t>
        </is>
      </c>
      <c r="E675" s="87" t="n">
        <v>208.6</v>
      </c>
      <c r="F675" s="87" t="n">
        <v>105.8083</v>
      </c>
      <c r="G675" s="88">
        <f>DAY(EOMONTH(DATE(B675,C675,1),0))</f>
        <v/>
      </c>
      <c r="H675" s="89">
        <f>F675/G675</f>
        <v/>
      </c>
    </row>
    <row r="676">
      <c r="A676" s="86" t="inlineStr">
        <is>
          <t>전남</t>
        </is>
      </c>
      <c r="B676" s="86" t="n">
        <v>2022</v>
      </c>
      <c r="C676" s="86" t="n">
        <v>3</v>
      </c>
      <c r="D676" s="86" t="inlineStr">
        <is>
          <t>2022-03</t>
        </is>
      </c>
      <c r="E676" s="87" t="n">
        <v>183.4</v>
      </c>
      <c r="F676" s="87" t="n">
        <v>122.4694</v>
      </c>
      <c r="G676" s="88">
        <f>DAY(EOMONTH(DATE(B676,C676,1),0))</f>
        <v/>
      </c>
      <c r="H676" s="89">
        <f>F676/G676</f>
        <v/>
      </c>
    </row>
    <row r="677">
      <c r="A677" s="86" t="inlineStr">
        <is>
          <t>전남</t>
        </is>
      </c>
      <c r="B677" s="86" t="n">
        <v>2022</v>
      </c>
      <c r="C677" s="86" t="n">
        <v>4</v>
      </c>
      <c r="D677" s="86" t="inlineStr">
        <is>
          <t>2022-04</t>
        </is>
      </c>
      <c r="E677" s="87" t="n">
        <v>239</v>
      </c>
      <c r="F677" s="87" t="n">
        <v>178.3472</v>
      </c>
      <c r="G677" s="88">
        <f>DAY(EOMONTH(DATE(B677,C677,1),0))</f>
        <v/>
      </c>
      <c r="H677" s="89">
        <f>F677/G677</f>
        <v/>
      </c>
    </row>
    <row r="678">
      <c r="A678" s="86" t="inlineStr">
        <is>
          <t>전남</t>
        </is>
      </c>
      <c r="B678" s="86" t="n">
        <v>2022</v>
      </c>
      <c r="C678" s="86" t="n">
        <v>5</v>
      </c>
      <c r="D678" s="86" t="inlineStr">
        <is>
          <t>2022-05</t>
        </is>
      </c>
      <c r="E678" s="87" t="n">
        <v>286.3</v>
      </c>
      <c r="F678" s="87" t="n">
        <v>211.4917</v>
      </c>
      <c r="G678" s="88">
        <f>DAY(EOMONTH(DATE(B678,C678,1),0))</f>
        <v/>
      </c>
      <c r="H678" s="89">
        <f>F678/G678</f>
        <v/>
      </c>
    </row>
    <row r="679">
      <c r="A679" s="86" t="inlineStr">
        <is>
          <t>전남</t>
        </is>
      </c>
      <c r="B679" s="86" t="n">
        <v>2022</v>
      </c>
      <c r="C679" s="86" t="n">
        <v>6</v>
      </c>
      <c r="D679" s="86" t="inlineStr">
        <is>
          <t>2022-06</t>
        </is>
      </c>
      <c r="E679" s="87" t="n">
        <v>165.6</v>
      </c>
      <c r="F679" s="87" t="n">
        <v>157.7917</v>
      </c>
      <c r="G679" s="88">
        <f>DAY(EOMONTH(DATE(B679,C679,1),0))</f>
        <v/>
      </c>
      <c r="H679" s="89">
        <f>F679/G679</f>
        <v/>
      </c>
    </row>
    <row r="680">
      <c r="A680" s="86" t="inlineStr">
        <is>
          <t>전남</t>
        </is>
      </c>
      <c r="B680" s="86" t="n">
        <v>2022</v>
      </c>
      <c r="C680" s="86" t="n">
        <v>7</v>
      </c>
      <c r="D680" s="86" t="inlineStr">
        <is>
          <t>2022-07</t>
        </is>
      </c>
      <c r="E680" s="87" t="n">
        <v>189.5</v>
      </c>
      <c r="F680" s="87" t="n">
        <v>158.8917</v>
      </c>
      <c r="G680" s="88">
        <f>DAY(EOMONTH(DATE(B680,C680,1),0))</f>
        <v/>
      </c>
      <c r="H680" s="89">
        <f>F680/G680</f>
        <v/>
      </c>
    </row>
    <row r="681">
      <c r="A681" s="86" t="inlineStr">
        <is>
          <t>전남</t>
        </is>
      </c>
      <c r="B681" s="86" t="n">
        <v>2022</v>
      </c>
      <c r="C681" s="86" t="n">
        <v>8</v>
      </c>
      <c r="D681" s="86" t="inlineStr">
        <is>
          <t>2022-08</t>
        </is>
      </c>
      <c r="E681" s="87" t="n">
        <v>140.6</v>
      </c>
      <c r="F681" s="87" t="n">
        <v>134.6333</v>
      </c>
      <c r="G681" s="88">
        <f>DAY(EOMONTH(DATE(B681,C681,1),0))</f>
        <v/>
      </c>
      <c r="H681" s="89">
        <f>F681/G681</f>
        <v/>
      </c>
    </row>
    <row r="682">
      <c r="A682" s="86" t="inlineStr">
        <is>
          <t>전남</t>
        </is>
      </c>
      <c r="B682" s="86" t="n">
        <v>2022</v>
      </c>
      <c r="C682" s="86" t="n">
        <v>9</v>
      </c>
      <c r="D682" s="86" t="inlineStr">
        <is>
          <t>2022-09</t>
        </is>
      </c>
      <c r="E682" s="87" t="n">
        <v>162.8</v>
      </c>
      <c r="F682" s="87" t="n">
        <v>132.2778</v>
      </c>
      <c r="G682" s="88">
        <f>DAY(EOMONTH(DATE(B682,C682,1),0))</f>
        <v/>
      </c>
      <c r="H682" s="89">
        <f>F682/G682</f>
        <v/>
      </c>
    </row>
    <row r="683">
      <c r="A683" s="86" t="inlineStr">
        <is>
          <t>전남</t>
        </is>
      </c>
      <c r="B683" s="86" t="n">
        <v>2022</v>
      </c>
      <c r="C683" s="86" t="n">
        <v>10</v>
      </c>
      <c r="D683" s="86" t="inlineStr">
        <is>
          <t>2022-10</t>
        </is>
      </c>
      <c r="E683" s="87" t="n">
        <v>244.4</v>
      </c>
      <c r="F683" s="87" t="n">
        <v>129.9444</v>
      </c>
      <c r="G683" s="88">
        <f>DAY(EOMONTH(DATE(B683,C683,1),0))</f>
        <v/>
      </c>
      <c r="H683" s="89">
        <f>F683/G683</f>
        <v/>
      </c>
    </row>
    <row r="684">
      <c r="A684" s="86" t="inlineStr">
        <is>
          <t>전남</t>
        </is>
      </c>
      <c r="B684" s="86" t="n">
        <v>2022</v>
      </c>
      <c r="C684" s="86" t="n">
        <v>11</v>
      </c>
      <c r="D684" s="86" t="inlineStr">
        <is>
          <t>2022-11</t>
        </is>
      </c>
      <c r="E684" s="87" t="n">
        <v>189.9</v>
      </c>
      <c r="F684" s="87" t="n">
        <v>91.45</v>
      </c>
      <c r="G684" s="88">
        <f>DAY(EOMONTH(DATE(B684,C684,1),0))</f>
        <v/>
      </c>
      <c r="H684" s="89">
        <f>F684/G684</f>
        <v/>
      </c>
    </row>
    <row r="685">
      <c r="A685" s="86" t="inlineStr">
        <is>
          <t>전남</t>
        </is>
      </c>
      <c r="B685" s="86" t="n">
        <v>2022</v>
      </c>
      <c r="C685" s="86" t="n">
        <v>12</v>
      </c>
      <c r="D685" s="86" t="inlineStr">
        <is>
          <t>2022-12</t>
        </is>
      </c>
      <c r="E685" s="87" t="n">
        <v>169.8</v>
      </c>
      <c r="F685" s="87" t="n">
        <v>75.1028</v>
      </c>
      <c r="G685" s="88">
        <f>DAY(EOMONTH(DATE(B685,C685,1),0))</f>
        <v/>
      </c>
      <c r="H685" s="89">
        <f>F685/G685</f>
        <v/>
      </c>
    </row>
    <row r="686">
      <c r="A686" s="86" t="inlineStr">
        <is>
          <t>전남</t>
        </is>
      </c>
      <c r="B686" s="86" t="n">
        <v>2023</v>
      </c>
      <c r="C686" s="86" t="n">
        <v>1</v>
      </c>
      <c r="D686" s="86" t="inlineStr">
        <is>
          <t>2023-01</t>
        </is>
      </c>
      <c r="E686" s="87" t="n">
        <v>189.5</v>
      </c>
      <c r="F686" s="87" t="n">
        <v>85.33329999999999</v>
      </c>
      <c r="G686" s="88">
        <f>DAY(EOMONTH(DATE(B686,C686,1),0))</f>
        <v/>
      </c>
      <c r="H686" s="89">
        <f>F686/G686</f>
        <v/>
      </c>
    </row>
    <row r="687">
      <c r="A687" s="86" t="inlineStr">
        <is>
          <t>전남</t>
        </is>
      </c>
      <c r="B687" s="86" t="n">
        <v>2023</v>
      </c>
      <c r="C687" s="86" t="n">
        <v>2</v>
      </c>
      <c r="D687" s="86" t="inlineStr">
        <is>
          <t>2023-02</t>
        </is>
      </c>
      <c r="E687" s="87" t="n">
        <v>178.1</v>
      </c>
      <c r="F687" s="87" t="n">
        <v>102.8139</v>
      </c>
      <c r="G687" s="88">
        <f>DAY(EOMONTH(DATE(B687,C687,1),0))</f>
        <v/>
      </c>
      <c r="H687" s="89">
        <f>F687/G687</f>
        <v/>
      </c>
    </row>
    <row r="688">
      <c r="A688" s="86" t="inlineStr">
        <is>
          <t>전남</t>
        </is>
      </c>
      <c r="B688" s="86" t="n">
        <v>2023</v>
      </c>
      <c r="C688" s="86" t="n">
        <v>3</v>
      </c>
      <c r="D688" s="86" t="inlineStr">
        <is>
          <t>2023-03</t>
        </is>
      </c>
      <c r="E688" s="87" t="n">
        <v>228.4</v>
      </c>
      <c r="F688" s="87" t="n">
        <v>148.4667</v>
      </c>
      <c r="G688" s="88">
        <f>DAY(EOMONTH(DATE(B688,C688,1),0))</f>
        <v/>
      </c>
      <c r="H688" s="89">
        <f>F688/G688</f>
        <v/>
      </c>
    </row>
    <row r="689">
      <c r="A689" s="86" t="inlineStr">
        <is>
          <t>전남</t>
        </is>
      </c>
      <c r="B689" s="86" t="n">
        <v>2023</v>
      </c>
      <c r="C689" s="86" t="n">
        <v>4</v>
      </c>
      <c r="D689" s="86" t="inlineStr">
        <is>
          <t>2023-04</t>
        </is>
      </c>
      <c r="E689" s="87" t="n">
        <v>192.8</v>
      </c>
      <c r="F689" s="87" t="n">
        <v>146.6917</v>
      </c>
      <c r="G689" s="88">
        <f>DAY(EOMONTH(DATE(B689,C689,1),0))</f>
        <v/>
      </c>
      <c r="H689" s="89">
        <f>F689/G689</f>
        <v/>
      </c>
    </row>
    <row r="690">
      <c r="A690" s="86" t="inlineStr">
        <is>
          <t>전남</t>
        </is>
      </c>
      <c r="B690" s="86" t="n">
        <v>2023</v>
      </c>
      <c r="C690" s="86" t="n">
        <v>5</v>
      </c>
      <c r="D690" s="86" t="inlineStr">
        <is>
          <t>2023-05</t>
        </is>
      </c>
      <c r="E690" s="87" t="n">
        <v>186.9</v>
      </c>
      <c r="F690" s="87" t="n">
        <v>160.2306</v>
      </c>
      <c r="G690" s="88">
        <f>DAY(EOMONTH(DATE(B690,C690,1),0))</f>
        <v/>
      </c>
      <c r="H690" s="89">
        <f>F690/G690</f>
        <v/>
      </c>
    </row>
    <row r="691">
      <c r="A691" s="86" t="inlineStr">
        <is>
          <t>전남</t>
        </is>
      </c>
      <c r="B691" s="86" t="n">
        <v>2023</v>
      </c>
      <c r="C691" s="86" t="n">
        <v>6</v>
      </c>
      <c r="D691" s="86" t="inlineStr">
        <is>
          <t>2023-06</t>
        </is>
      </c>
      <c r="E691" s="87" t="n">
        <v>194.8</v>
      </c>
      <c r="F691" s="87" t="n">
        <v>169.2917</v>
      </c>
      <c r="G691" s="88">
        <f>DAY(EOMONTH(DATE(B691,C691,1),0))</f>
        <v/>
      </c>
      <c r="H691" s="89">
        <f>F691/G691</f>
        <v/>
      </c>
    </row>
    <row r="692">
      <c r="A692" s="86" t="inlineStr">
        <is>
          <t>전남</t>
        </is>
      </c>
      <c r="B692" s="86" t="n">
        <v>2023</v>
      </c>
      <c r="C692" s="86" t="n">
        <v>7</v>
      </c>
      <c r="D692" s="86" t="inlineStr">
        <is>
          <t>2023-07</t>
        </is>
      </c>
      <c r="E692" s="87" t="n">
        <v>110.8</v>
      </c>
      <c r="F692" s="87" t="n">
        <v>126.1222</v>
      </c>
      <c r="G692" s="88">
        <f>DAY(EOMONTH(DATE(B692,C692,1),0))</f>
        <v/>
      </c>
      <c r="H692" s="89">
        <f>F692/G692</f>
        <v/>
      </c>
    </row>
    <row r="693">
      <c r="A693" s="86" t="inlineStr">
        <is>
          <t>전남</t>
        </is>
      </c>
      <c r="B693" s="86" t="n">
        <v>2023</v>
      </c>
      <c r="C693" s="86" t="n">
        <v>8</v>
      </c>
      <c r="D693" s="86" t="inlineStr">
        <is>
          <t>2023-08</t>
        </is>
      </c>
      <c r="E693" s="87" t="n">
        <v>234.6</v>
      </c>
      <c r="F693" s="87" t="n">
        <v>166.7861</v>
      </c>
      <c r="G693" s="88">
        <f>DAY(EOMONTH(DATE(B693,C693,1),0))</f>
        <v/>
      </c>
      <c r="H693" s="89">
        <f>F693/G693</f>
        <v/>
      </c>
    </row>
    <row r="694">
      <c r="A694" s="86" t="inlineStr">
        <is>
          <t>전남</t>
        </is>
      </c>
      <c r="B694" s="86" t="n">
        <v>2023</v>
      </c>
      <c r="C694" s="86" t="n">
        <v>9</v>
      </c>
      <c r="D694" s="86" t="inlineStr">
        <is>
          <t>2023-09</t>
        </is>
      </c>
      <c r="E694" s="87" t="n">
        <v>173.9</v>
      </c>
      <c r="F694" s="87" t="n">
        <v>130.9278</v>
      </c>
      <c r="G694" s="88">
        <f>DAY(EOMONTH(DATE(B694,C694,1),0))</f>
        <v/>
      </c>
      <c r="H694" s="89">
        <f>F694/G694</f>
        <v/>
      </c>
    </row>
    <row r="695">
      <c r="A695" s="86" t="inlineStr">
        <is>
          <t>전남</t>
        </is>
      </c>
      <c r="B695" s="86" t="n">
        <v>2023</v>
      </c>
      <c r="C695" s="86" t="n">
        <v>10</v>
      </c>
      <c r="D695" s="86" t="inlineStr">
        <is>
          <t>2023-10</t>
        </is>
      </c>
      <c r="E695" s="87" t="n">
        <v>232.9</v>
      </c>
      <c r="F695" s="87" t="n">
        <v>132.3306</v>
      </c>
      <c r="G695" s="88">
        <f>DAY(EOMONTH(DATE(B695,C695,1),0))</f>
        <v/>
      </c>
      <c r="H695" s="89">
        <f>F695/G695</f>
        <v/>
      </c>
    </row>
    <row r="696">
      <c r="A696" s="86" t="inlineStr">
        <is>
          <t>전남</t>
        </is>
      </c>
      <c r="B696" s="86" t="n">
        <v>2023</v>
      </c>
      <c r="C696" s="86" t="n">
        <v>11</v>
      </c>
      <c r="D696" s="86" t="inlineStr">
        <is>
          <t>2023-11</t>
        </is>
      </c>
      <c r="E696" s="87" t="n">
        <v>167.2</v>
      </c>
      <c r="F696" s="87" t="n">
        <v>80.4472</v>
      </c>
      <c r="G696" s="88">
        <f>DAY(EOMONTH(DATE(B696,C696,1),0))</f>
        <v/>
      </c>
      <c r="H696" s="89">
        <f>F696/G696</f>
        <v/>
      </c>
    </row>
    <row r="697">
      <c r="A697" s="86" t="inlineStr">
        <is>
          <t>전남</t>
        </is>
      </c>
      <c r="B697" s="86" t="n">
        <v>2023</v>
      </c>
      <c r="C697" s="86" t="n">
        <v>12</v>
      </c>
      <c r="D697" s="86" t="inlineStr">
        <is>
          <t>2023-12</t>
        </is>
      </c>
      <c r="E697" s="87" t="n">
        <v>130.5</v>
      </c>
      <c r="F697" s="87" t="n">
        <v>61.3361</v>
      </c>
      <c r="G697" s="88">
        <f>DAY(EOMONTH(DATE(B697,C697,1),0))</f>
        <v/>
      </c>
      <c r="H697" s="89">
        <f>F697/G697</f>
        <v/>
      </c>
    </row>
    <row r="698">
      <c r="A698" s="86" t="inlineStr">
        <is>
          <t>전남</t>
        </is>
      </c>
      <c r="B698" s="86" t="n">
        <v>2024</v>
      </c>
      <c r="C698" s="86" t="n">
        <v>1</v>
      </c>
      <c r="D698" s="86" t="inlineStr">
        <is>
          <t>2024-01</t>
        </is>
      </c>
      <c r="E698" s="87" t="n">
        <v>162.3</v>
      </c>
      <c r="F698" s="87" t="n">
        <v>79.2833</v>
      </c>
      <c r="G698" s="88">
        <f>DAY(EOMONTH(DATE(B698,C698,1),0))</f>
        <v/>
      </c>
      <c r="H698" s="89">
        <f>F698/G698</f>
        <v/>
      </c>
    </row>
    <row r="699">
      <c r="A699" s="86" t="inlineStr">
        <is>
          <t>전남</t>
        </is>
      </c>
      <c r="B699" s="86" t="n">
        <v>2024</v>
      </c>
      <c r="C699" s="86" t="n">
        <v>2</v>
      </c>
      <c r="D699" s="86" t="inlineStr">
        <is>
          <t>2024-02</t>
        </is>
      </c>
      <c r="E699" s="87" t="n">
        <v>113.3</v>
      </c>
      <c r="F699" s="87" t="n">
        <v>74.1361</v>
      </c>
      <c r="G699" s="88">
        <f>DAY(EOMONTH(DATE(B699,C699,1),0))</f>
        <v/>
      </c>
      <c r="H699" s="89">
        <f>F699/G699</f>
        <v/>
      </c>
    </row>
    <row r="700">
      <c r="A700" s="86" t="inlineStr">
        <is>
          <t>전남</t>
        </is>
      </c>
      <c r="B700" s="86" t="n">
        <v>2024</v>
      </c>
      <c r="C700" s="86" t="n">
        <v>3</v>
      </c>
      <c r="D700" s="86" t="inlineStr">
        <is>
          <t>2024-03</t>
        </is>
      </c>
      <c r="E700" s="87" t="n">
        <v>193.3</v>
      </c>
      <c r="F700" s="87" t="n">
        <v>129.0861</v>
      </c>
      <c r="G700" s="88">
        <f>DAY(EOMONTH(DATE(B700,C700,1),0))</f>
        <v/>
      </c>
      <c r="H700" s="89">
        <f>F700/G700</f>
        <v/>
      </c>
    </row>
    <row r="701">
      <c r="A701" s="86" t="inlineStr">
        <is>
          <t>전남</t>
        </is>
      </c>
      <c r="B701" s="86" t="n">
        <v>2024</v>
      </c>
      <c r="C701" s="86" t="n">
        <v>4</v>
      </c>
      <c r="D701" s="86" t="inlineStr">
        <is>
          <t>2024-04</t>
        </is>
      </c>
      <c r="E701" s="87" t="n">
        <v>176.7</v>
      </c>
      <c r="F701" s="87" t="n">
        <v>139.3722</v>
      </c>
      <c r="G701" s="88">
        <f>DAY(EOMONTH(DATE(B701,C701,1),0))</f>
        <v/>
      </c>
      <c r="H701" s="89">
        <f>F701/G701</f>
        <v/>
      </c>
    </row>
    <row r="702">
      <c r="A702" s="86" t="inlineStr">
        <is>
          <t>전남</t>
        </is>
      </c>
      <c r="B702" s="86" t="n">
        <v>2024</v>
      </c>
      <c r="C702" s="86" t="n">
        <v>5</v>
      </c>
      <c r="D702" s="86" t="inlineStr">
        <is>
          <t>2024-05</t>
        </is>
      </c>
      <c r="E702" s="87" t="n">
        <v>267.8</v>
      </c>
      <c r="F702" s="87" t="n">
        <v>198.9472</v>
      </c>
      <c r="G702" s="88">
        <f>DAY(EOMONTH(DATE(B702,C702,1),0))</f>
        <v/>
      </c>
      <c r="H702" s="89">
        <f>F702/G702</f>
        <v/>
      </c>
    </row>
    <row r="703">
      <c r="A703" s="86" t="inlineStr">
        <is>
          <t>전남</t>
        </is>
      </c>
      <c r="B703" s="86" t="n">
        <v>2024</v>
      </c>
      <c r="C703" s="86" t="n">
        <v>6</v>
      </c>
      <c r="D703" s="86" t="inlineStr">
        <is>
          <t>2024-06</t>
        </is>
      </c>
      <c r="E703" s="87" t="n">
        <v>196.7</v>
      </c>
      <c r="F703" s="87" t="n">
        <v>168.525</v>
      </c>
      <c r="G703" s="88">
        <f>DAY(EOMONTH(DATE(B703,C703,1),0))</f>
        <v/>
      </c>
      <c r="H703" s="89">
        <f>F703/G703</f>
        <v/>
      </c>
    </row>
    <row r="704">
      <c r="A704" s="86" t="inlineStr">
        <is>
          <t>전남</t>
        </is>
      </c>
      <c r="B704" s="86" t="n">
        <v>2024</v>
      </c>
      <c r="C704" s="86" t="n">
        <v>7</v>
      </c>
      <c r="D704" s="86" t="inlineStr">
        <is>
          <t>2024-07</t>
        </is>
      </c>
      <c r="E704" s="87" t="n">
        <v>140.5</v>
      </c>
      <c r="F704" s="87" t="n">
        <v>134.8944</v>
      </c>
      <c r="G704" s="88">
        <f>DAY(EOMONTH(DATE(B704,C704,1),0))</f>
        <v/>
      </c>
      <c r="H704" s="89">
        <f>F704/G704</f>
        <v/>
      </c>
    </row>
    <row r="705">
      <c r="A705" s="86" t="inlineStr">
        <is>
          <t>전남</t>
        </is>
      </c>
      <c r="B705" s="86" t="n">
        <v>2024</v>
      </c>
      <c r="C705" s="86" t="n">
        <v>8</v>
      </c>
      <c r="D705" s="86" t="inlineStr">
        <is>
          <t>2024-08</t>
        </is>
      </c>
      <c r="E705" s="87" t="n">
        <v>274.3</v>
      </c>
      <c r="F705" s="87" t="n">
        <v>177.1306</v>
      </c>
      <c r="G705" s="88">
        <f>DAY(EOMONTH(DATE(B705,C705,1),0))</f>
        <v/>
      </c>
      <c r="H705" s="89">
        <f>F705/G705</f>
        <v/>
      </c>
    </row>
    <row r="706">
      <c r="A706" s="86" t="inlineStr">
        <is>
          <t>전남</t>
        </is>
      </c>
      <c r="B706" s="86" t="n">
        <v>2024</v>
      </c>
      <c r="C706" s="86" t="n">
        <v>9</v>
      </c>
      <c r="D706" s="86" t="inlineStr">
        <is>
          <t>2024-09</t>
        </is>
      </c>
      <c r="E706" s="87" t="n">
        <v>199.7</v>
      </c>
      <c r="F706" s="87" t="n">
        <v>136.3167</v>
      </c>
      <c r="G706" s="88">
        <f>DAY(EOMONTH(DATE(B706,C706,1),0))</f>
        <v/>
      </c>
      <c r="H706" s="89">
        <f>F706/G706</f>
        <v/>
      </c>
    </row>
    <row r="707">
      <c r="A707" s="86" t="inlineStr">
        <is>
          <t>전남</t>
        </is>
      </c>
      <c r="B707" s="86" t="n">
        <v>2024</v>
      </c>
      <c r="C707" s="86" t="n">
        <v>10</v>
      </c>
      <c r="D707" s="86" t="inlineStr">
        <is>
          <t>2024-10</t>
        </is>
      </c>
      <c r="E707" s="87" t="n">
        <v>153.2</v>
      </c>
      <c r="F707" s="87" t="n">
        <v>103.8083</v>
      </c>
      <c r="G707" s="88">
        <f>DAY(EOMONTH(DATE(B707,C707,1),0))</f>
        <v/>
      </c>
      <c r="H707" s="89">
        <f>F707/G707</f>
        <v/>
      </c>
    </row>
    <row r="708">
      <c r="A708" s="86" t="inlineStr">
        <is>
          <t>전남</t>
        </is>
      </c>
      <c r="B708" s="86" t="n">
        <v>2024</v>
      </c>
      <c r="C708" s="86" t="n">
        <v>11</v>
      </c>
      <c r="D708" s="86" t="inlineStr">
        <is>
          <t>2024-11</t>
        </is>
      </c>
      <c r="E708" s="87" t="n">
        <v>159.5</v>
      </c>
      <c r="F708" s="87" t="n">
        <v>85.1861</v>
      </c>
      <c r="G708" s="88">
        <f>DAY(EOMONTH(DATE(B708,C708,1),0))</f>
        <v/>
      </c>
      <c r="H708" s="89">
        <f>F708/G708</f>
        <v/>
      </c>
    </row>
    <row r="709">
      <c r="A709" s="86" t="inlineStr">
        <is>
          <t>전남</t>
        </is>
      </c>
      <c r="B709" s="86" t="n">
        <v>2024</v>
      </c>
      <c r="C709" s="86" t="n">
        <v>12</v>
      </c>
      <c r="D709" s="86" t="inlineStr">
        <is>
          <t>2024-12</t>
        </is>
      </c>
      <c r="E709" s="87" t="n">
        <v>173.1</v>
      </c>
      <c r="F709" s="87" t="n">
        <v>75.1944</v>
      </c>
      <c r="G709" s="88">
        <f>DAY(EOMONTH(DATE(B709,C709,1),0))</f>
        <v/>
      </c>
      <c r="H709" s="89">
        <f>F709/G709</f>
        <v/>
      </c>
    </row>
    <row r="710">
      <c r="A710" s="86" t="inlineStr">
        <is>
          <t>전남</t>
        </is>
      </c>
      <c r="B710" s="86" t="n">
        <v>2025</v>
      </c>
      <c r="C710" s="86" t="n">
        <v>1</v>
      </c>
      <c r="D710" s="86" t="inlineStr">
        <is>
          <t>2025-01</t>
        </is>
      </c>
      <c r="E710" s="87" t="n">
        <v>192.9</v>
      </c>
      <c r="F710" s="87" t="n">
        <v>87.08329999999999</v>
      </c>
      <c r="G710" s="88">
        <f>DAY(EOMONTH(DATE(B710,C710,1),0))</f>
        <v/>
      </c>
      <c r="H710" s="89">
        <f>F710/G710</f>
        <v/>
      </c>
    </row>
    <row r="711">
      <c r="A711" s="86" t="inlineStr">
        <is>
          <t>전남</t>
        </is>
      </c>
      <c r="B711" s="86" t="n">
        <v>2025</v>
      </c>
      <c r="C711" s="86" t="n">
        <v>2</v>
      </c>
      <c r="D711" s="86" t="inlineStr">
        <is>
          <t>2025-02</t>
        </is>
      </c>
      <c r="E711" s="87" t="n">
        <v>176.3</v>
      </c>
      <c r="F711" s="87" t="n">
        <v>101.7222</v>
      </c>
      <c r="G711" s="88">
        <f>DAY(EOMONTH(DATE(B711,C711,1),0))</f>
        <v/>
      </c>
      <c r="H711" s="89">
        <f>F711/G711</f>
        <v/>
      </c>
    </row>
    <row r="712">
      <c r="A712" s="86" t="inlineStr">
        <is>
          <t>전남</t>
        </is>
      </c>
      <c r="B712" s="86" t="n">
        <v>2025</v>
      </c>
      <c r="C712" s="86" t="n">
        <v>3</v>
      </c>
      <c r="D712" s="86" t="inlineStr">
        <is>
          <t>2025-03</t>
        </is>
      </c>
      <c r="E712" s="87" t="n">
        <v>189.4</v>
      </c>
      <c r="F712" s="87" t="n">
        <v>130.8417</v>
      </c>
      <c r="G712" s="88">
        <f>DAY(EOMONTH(DATE(B712,C712,1),0))</f>
        <v/>
      </c>
      <c r="H712" s="89">
        <f>F712/G712</f>
        <v/>
      </c>
    </row>
    <row r="713">
      <c r="A713" s="86" t="inlineStr">
        <is>
          <t>전남</t>
        </is>
      </c>
      <c r="B713" s="86" t="n">
        <v>2025</v>
      </c>
      <c r="C713" s="86" t="n">
        <v>4</v>
      </c>
      <c r="D713" s="86" t="inlineStr">
        <is>
          <t>2025-04</t>
        </is>
      </c>
      <c r="E713" s="87" t="n">
        <v>237.8</v>
      </c>
      <c r="F713" s="87" t="n">
        <v>174.275</v>
      </c>
      <c r="G713" s="88">
        <f>DAY(EOMONTH(DATE(B713,C713,1),0))</f>
        <v/>
      </c>
      <c r="H713" s="89">
        <f>F713/G713</f>
        <v/>
      </c>
    </row>
    <row r="714">
      <c r="A714" s="86" t="inlineStr">
        <is>
          <t>전남</t>
        </is>
      </c>
      <c r="B714" s="86" t="n">
        <v>2025</v>
      </c>
      <c r="C714" s="86" t="n">
        <v>5</v>
      </c>
      <c r="D714" s="86" t="inlineStr">
        <is>
          <t>2025-05</t>
        </is>
      </c>
      <c r="E714" s="87" t="n">
        <v>201.8</v>
      </c>
      <c r="F714" s="87" t="n">
        <v>160.9056</v>
      </c>
      <c r="G714" s="88">
        <f>DAY(EOMONTH(DATE(B714,C714,1),0))</f>
        <v/>
      </c>
      <c r="H714" s="89">
        <f>F714/G714</f>
        <v/>
      </c>
    </row>
    <row r="715">
      <c r="A715" s="86" t="inlineStr">
        <is>
          <t>전남</t>
        </is>
      </c>
      <c r="B715" s="86" t="n">
        <v>2025</v>
      </c>
      <c r="C715" s="86" t="n">
        <v>6</v>
      </c>
      <c r="D715" s="86" t="inlineStr">
        <is>
          <t>2025-06</t>
        </is>
      </c>
      <c r="E715" s="87" t="n">
        <v>201.6</v>
      </c>
      <c r="F715" s="87" t="n">
        <v>175.975</v>
      </c>
      <c r="G715" s="88">
        <f>DAY(EOMONTH(DATE(B715,C715,1),0))</f>
        <v/>
      </c>
      <c r="H715" s="89">
        <f>F715/G715</f>
        <v/>
      </c>
    </row>
    <row r="716">
      <c r="A716" s="86" t="inlineStr">
        <is>
          <t>전남</t>
        </is>
      </c>
      <c r="B716" s="86" t="n">
        <v>2025</v>
      </c>
      <c r="C716" s="86" t="n">
        <v>7</v>
      </c>
      <c r="D716" s="86" t="inlineStr">
        <is>
          <t>2025-07</t>
        </is>
      </c>
      <c r="E716" s="87" t="n">
        <v>263.9</v>
      </c>
      <c r="F716" s="87" t="n">
        <v>182.4361</v>
      </c>
      <c r="G716" s="88">
        <f>DAY(EOMONTH(DATE(B716,C716,1),0))</f>
        <v/>
      </c>
      <c r="H716" s="89">
        <f>F716/G716</f>
        <v/>
      </c>
    </row>
    <row r="717">
      <c r="A717" s="86" t="inlineStr">
        <is>
          <t>전남</t>
        </is>
      </c>
      <c r="B717" s="86" t="n">
        <v>2025</v>
      </c>
      <c r="C717" s="86" t="n">
        <v>8</v>
      </c>
      <c r="D717" s="86" t="inlineStr">
        <is>
          <t>2025-08</t>
        </is>
      </c>
      <c r="E717" s="87" t="n">
        <v>228.5</v>
      </c>
      <c r="F717" s="87" t="n">
        <v>164.2889</v>
      </c>
      <c r="G717" s="88">
        <f>DAY(EOMONTH(DATE(B717,C717,1),0))</f>
        <v/>
      </c>
      <c r="H717" s="89">
        <f>F717/G717</f>
        <v/>
      </c>
    </row>
    <row r="718">
      <c r="A718" s="86" t="inlineStr">
        <is>
          <t>전남</t>
        </is>
      </c>
      <c r="B718" s="86" t="n">
        <v>2025</v>
      </c>
      <c r="C718" s="86" t="n">
        <v>9</v>
      </c>
      <c r="D718" s="86" t="inlineStr">
        <is>
          <t>2025-09</t>
        </is>
      </c>
      <c r="E718" s="87" t="n">
        <v>138.7</v>
      </c>
      <c r="F718" s="87" t="n">
        <v>115.4222</v>
      </c>
      <c r="G718" s="88">
        <f>DAY(EOMONTH(DATE(B718,C718,1),0))</f>
        <v/>
      </c>
      <c r="H718" s="89">
        <f>F718/G718</f>
        <v/>
      </c>
    </row>
    <row r="719">
      <c r="A719" s="86" t="inlineStr">
        <is>
          <t>전남</t>
        </is>
      </c>
      <c r="B719" s="86" t="n">
        <v>2025</v>
      </c>
      <c r="C719" s="86" t="n">
        <v>10</v>
      </c>
      <c r="D719" s="86" t="inlineStr">
        <is>
          <t>2025-10</t>
        </is>
      </c>
      <c r="E719" s="87" t="n">
        <v>160.4</v>
      </c>
      <c r="F719" s="87" t="n">
        <v>104.6944</v>
      </c>
      <c r="G719" s="88">
        <f>DAY(EOMONTH(DATE(B719,C719,1),0))</f>
        <v/>
      </c>
      <c r="H719" s="89">
        <f>F719/G719</f>
        <v/>
      </c>
    </row>
    <row r="720">
      <c r="A720" s="86" t="inlineStr">
        <is>
          <t>전남</t>
        </is>
      </c>
      <c r="B720" s="86" t="n">
        <v>2025</v>
      </c>
      <c r="C720" s="86" t="n">
        <v>11</v>
      </c>
      <c r="D720" s="86" t="inlineStr">
        <is>
          <t>2025-11</t>
        </is>
      </c>
      <c r="E720" s="87" t="n">
        <v>201.1</v>
      </c>
      <c r="F720" s="87" t="n">
        <v>96.40560000000001</v>
      </c>
      <c r="G720" s="88">
        <f>DAY(EOMONTH(DATE(B720,C720,1),0))</f>
        <v/>
      </c>
      <c r="H720" s="89">
        <f>F720/G720</f>
        <v/>
      </c>
    </row>
    <row r="721">
      <c r="A721" s="86" t="inlineStr">
        <is>
          <t>전남</t>
        </is>
      </c>
      <c r="B721" s="86" t="n">
        <v>2025</v>
      </c>
      <c r="C721" s="86" t="n">
        <v>12</v>
      </c>
      <c r="D721" s="86" t="inlineStr">
        <is>
          <t>2025-12</t>
        </is>
      </c>
      <c r="E721" s="87" t="n">
        <v>178.9</v>
      </c>
      <c r="F721" s="87" t="n">
        <v>77.4222</v>
      </c>
      <c r="G721" s="88">
        <f>DAY(EOMONTH(DATE(B721,C721,1),0))</f>
        <v/>
      </c>
      <c r="H721" s="89">
        <f>F721/G721</f>
        <v/>
      </c>
    </row>
    <row r="722">
      <c r="A722" s="86" t="inlineStr">
        <is>
          <t>전북</t>
        </is>
      </c>
      <c r="B722" s="86" t="n">
        <v>2016</v>
      </c>
      <c r="C722" s="86" t="n">
        <v>1</v>
      </c>
      <c r="D722" s="86" t="inlineStr">
        <is>
          <t>2016-01</t>
        </is>
      </c>
      <c r="E722" s="87" t="n">
        <v>135.5</v>
      </c>
      <c r="F722" s="87" t="n">
        <v>66.5389</v>
      </c>
      <c r="G722" s="88">
        <f>DAY(EOMONTH(DATE(B722,C722,1),0))</f>
        <v/>
      </c>
      <c r="H722" s="89">
        <f>F722/G722</f>
        <v/>
      </c>
    </row>
    <row r="723">
      <c r="A723" s="86" t="inlineStr">
        <is>
          <t>전북</t>
        </is>
      </c>
      <c r="B723" s="86" t="n">
        <v>2016</v>
      </c>
      <c r="C723" s="86" t="n">
        <v>2</v>
      </c>
      <c r="D723" s="86" t="inlineStr">
        <is>
          <t>2016-02</t>
        </is>
      </c>
      <c r="E723" s="87" t="n">
        <v>182.3</v>
      </c>
      <c r="F723" s="87" t="n">
        <v>95.6583</v>
      </c>
      <c r="G723" s="88">
        <f>DAY(EOMONTH(DATE(B723,C723,1),0))</f>
        <v/>
      </c>
      <c r="H723" s="89">
        <f>F723/G723</f>
        <v/>
      </c>
    </row>
    <row r="724">
      <c r="A724" s="86" t="inlineStr">
        <is>
          <t>전북</t>
        </is>
      </c>
      <c r="B724" s="86" t="n">
        <v>2016</v>
      </c>
      <c r="C724" s="86" t="n">
        <v>3</v>
      </c>
      <c r="D724" s="86" t="inlineStr">
        <is>
          <t>2016-03</t>
        </is>
      </c>
      <c r="E724" s="87" t="n">
        <v>228.5</v>
      </c>
      <c r="F724" s="87" t="n">
        <v>144.1667</v>
      </c>
      <c r="G724" s="88">
        <f>DAY(EOMONTH(DATE(B724,C724,1),0))</f>
        <v/>
      </c>
      <c r="H724" s="89">
        <f>F724/G724</f>
        <v/>
      </c>
    </row>
    <row r="725">
      <c r="A725" s="86" t="inlineStr">
        <is>
          <t>전북</t>
        </is>
      </c>
      <c r="B725" s="86" t="n">
        <v>2016</v>
      </c>
      <c r="C725" s="86" t="n">
        <v>4</v>
      </c>
      <c r="D725" s="86" t="inlineStr">
        <is>
          <t>2016-04</t>
        </is>
      </c>
      <c r="E725" s="87" t="n">
        <v>196.3</v>
      </c>
      <c r="F725" s="87" t="n">
        <v>146.15</v>
      </c>
      <c r="G725" s="88">
        <f>DAY(EOMONTH(DATE(B725,C725,1),0))</f>
        <v/>
      </c>
      <c r="H725" s="89">
        <f>F725/G725</f>
        <v/>
      </c>
    </row>
    <row r="726">
      <c r="A726" s="86" t="inlineStr">
        <is>
          <t>전북</t>
        </is>
      </c>
      <c r="B726" s="86" t="n">
        <v>2016</v>
      </c>
      <c r="C726" s="86" t="n">
        <v>5</v>
      </c>
      <c r="D726" s="86" t="inlineStr">
        <is>
          <t>2016-05</t>
        </is>
      </c>
      <c r="E726" s="87" t="n">
        <v>275.1</v>
      </c>
      <c r="F726" s="87" t="n">
        <v>197.1361</v>
      </c>
      <c r="G726" s="88">
        <f>DAY(EOMONTH(DATE(B726,C726,1),0))</f>
        <v/>
      </c>
      <c r="H726" s="89">
        <f>F726/G726</f>
        <v/>
      </c>
    </row>
    <row r="727">
      <c r="A727" s="86" t="inlineStr">
        <is>
          <t>전북</t>
        </is>
      </c>
      <c r="B727" s="86" t="n">
        <v>2016</v>
      </c>
      <c r="C727" s="86" t="n">
        <v>6</v>
      </c>
      <c r="D727" s="86" t="inlineStr">
        <is>
          <t>2016-06</t>
        </is>
      </c>
      <c r="E727" s="87" t="n">
        <v>187.6</v>
      </c>
      <c r="F727" s="87" t="n">
        <v>154.9194</v>
      </c>
      <c r="G727" s="88">
        <f>DAY(EOMONTH(DATE(B727,C727,1),0))</f>
        <v/>
      </c>
      <c r="H727" s="89">
        <f>F727/G727</f>
        <v/>
      </c>
    </row>
    <row r="728">
      <c r="A728" s="86" t="inlineStr">
        <is>
          <t>전북</t>
        </is>
      </c>
      <c r="B728" s="86" t="n">
        <v>2016</v>
      </c>
      <c r="C728" s="86" t="n">
        <v>7</v>
      </c>
      <c r="D728" s="86" t="inlineStr">
        <is>
          <t>2016-07</t>
        </is>
      </c>
      <c r="E728" s="87" t="n">
        <v>193.7</v>
      </c>
      <c r="F728" s="87" t="n">
        <v>156.9333</v>
      </c>
      <c r="G728" s="88">
        <f>DAY(EOMONTH(DATE(B728,C728,1),0))</f>
        <v/>
      </c>
      <c r="H728" s="89">
        <f>F728/G728</f>
        <v/>
      </c>
    </row>
    <row r="729">
      <c r="A729" s="86" t="inlineStr">
        <is>
          <t>전북</t>
        </is>
      </c>
      <c r="B729" s="86" t="n">
        <v>2016</v>
      </c>
      <c r="C729" s="86" t="n">
        <v>8</v>
      </c>
      <c r="D729" s="86" t="inlineStr">
        <is>
          <t>2016-08</t>
        </is>
      </c>
      <c r="E729" s="87" t="n">
        <v>248.1</v>
      </c>
      <c r="F729" s="87" t="n">
        <v>167.1139</v>
      </c>
      <c r="G729" s="88">
        <f>DAY(EOMONTH(DATE(B729,C729,1),0))</f>
        <v/>
      </c>
      <c r="H729" s="89">
        <f>F729/G729</f>
        <v/>
      </c>
    </row>
    <row r="730">
      <c r="A730" s="86" t="inlineStr">
        <is>
          <t>전북</t>
        </is>
      </c>
      <c r="B730" s="86" t="n">
        <v>2016</v>
      </c>
      <c r="C730" s="86" t="n">
        <v>9</v>
      </c>
      <c r="D730" s="86" t="inlineStr">
        <is>
          <t>2016-09</t>
        </is>
      </c>
      <c r="E730" s="87" t="n">
        <v>154.6</v>
      </c>
      <c r="F730" s="87" t="n">
        <v>113.3972</v>
      </c>
      <c r="G730" s="88">
        <f>DAY(EOMONTH(DATE(B730,C730,1),0))</f>
        <v/>
      </c>
      <c r="H730" s="89">
        <f>F730/G730</f>
        <v/>
      </c>
    </row>
    <row r="731">
      <c r="A731" s="86" t="inlineStr">
        <is>
          <t>전북</t>
        </is>
      </c>
      <c r="B731" s="86" t="n">
        <v>2016</v>
      </c>
      <c r="C731" s="86" t="n">
        <v>10</v>
      </c>
      <c r="D731" s="86" t="inlineStr">
        <is>
          <t>2016-10</t>
        </is>
      </c>
      <c r="E731" s="87" t="n">
        <v>128.3</v>
      </c>
      <c r="F731" s="87" t="n">
        <v>86.7389</v>
      </c>
      <c r="G731" s="88">
        <f>DAY(EOMONTH(DATE(B731,C731,1),0))</f>
        <v/>
      </c>
      <c r="H731" s="89">
        <f>F731/G731</f>
        <v/>
      </c>
    </row>
    <row r="732">
      <c r="A732" s="86" t="inlineStr">
        <is>
          <t>전북</t>
        </is>
      </c>
      <c r="B732" s="86" t="n">
        <v>2016</v>
      </c>
      <c r="C732" s="86" t="n">
        <v>11</v>
      </c>
      <c r="D732" s="86" t="inlineStr">
        <is>
          <t>2016-11</t>
        </is>
      </c>
      <c r="E732" s="87" t="n">
        <v>169.6</v>
      </c>
      <c r="F732" s="87" t="n">
        <v>79.7056</v>
      </c>
      <c r="G732" s="88">
        <f>DAY(EOMONTH(DATE(B732,C732,1),0))</f>
        <v/>
      </c>
      <c r="H732" s="89">
        <f>F732/G732</f>
        <v/>
      </c>
    </row>
    <row r="733">
      <c r="A733" s="86" t="inlineStr">
        <is>
          <t>전북</t>
        </is>
      </c>
      <c r="B733" s="86" t="n">
        <v>2016</v>
      </c>
      <c r="C733" s="86" t="n">
        <v>12</v>
      </c>
      <c r="D733" s="86" t="inlineStr">
        <is>
          <t>2016-12</t>
        </is>
      </c>
      <c r="E733" s="87" t="n">
        <v>161.5</v>
      </c>
      <c r="F733" s="87" t="n">
        <v>68.9528</v>
      </c>
      <c r="G733" s="88">
        <f>DAY(EOMONTH(DATE(B733,C733,1),0))</f>
        <v/>
      </c>
      <c r="H733" s="89">
        <f>F733/G733</f>
        <v/>
      </c>
    </row>
    <row r="734">
      <c r="A734" s="86" t="inlineStr">
        <is>
          <t>전북</t>
        </is>
      </c>
      <c r="B734" s="86" t="n">
        <v>2017</v>
      </c>
      <c r="C734" s="86" t="n">
        <v>1</v>
      </c>
      <c r="D734" s="86" t="inlineStr">
        <is>
          <t>2017-01</t>
        </is>
      </c>
      <c r="E734" s="87" t="n">
        <v>182.7</v>
      </c>
      <c r="F734" s="87" t="n">
        <v>83.0806</v>
      </c>
      <c r="G734" s="88">
        <f>DAY(EOMONTH(DATE(B734,C734,1),0))</f>
        <v/>
      </c>
      <c r="H734" s="89">
        <f>F734/G734</f>
        <v/>
      </c>
    </row>
    <row r="735">
      <c r="A735" s="86" t="inlineStr">
        <is>
          <t>전북</t>
        </is>
      </c>
      <c r="B735" s="86" t="n">
        <v>2017</v>
      </c>
      <c r="C735" s="86" t="n">
        <v>2</v>
      </c>
      <c r="D735" s="86" t="inlineStr">
        <is>
          <t>2017-02</t>
        </is>
      </c>
      <c r="E735" s="87" t="n">
        <v>202.6</v>
      </c>
      <c r="F735" s="87" t="n">
        <v>103.5083</v>
      </c>
      <c r="G735" s="88">
        <f>DAY(EOMONTH(DATE(B735,C735,1),0))</f>
        <v/>
      </c>
      <c r="H735" s="89">
        <f>F735/G735</f>
        <v/>
      </c>
    </row>
    <row r="736">
      <c r="A736" s="86" t="inlineStr">
        <is>
          <t>전북</t>
        </is>
      </c>
      <c r="B736" s="86" t="n">
        <v>2017</v>
      </c>
      <c r="C736" s="86" t="n">
        <v>3</v>
      </c>
      <c r="D736" s="86" t="inlineStr">
        <is>
          <t>2017-03</t>
        </is>
      </c>
      <c r="E736" s="87" t="n">
        <v>239.4</v>
      </c>
      <c r="F736" s="87" t="n">
        <v>146.5417</v>
      </c>
      <c r="G736" s="88">
        <f>DAY(EOMONTH(DATE(B736,C736,1),0))</f>
        <v/>
      </c>
      <c r="H736" s="89">
        <f>F736/G736</f>
        <v/>
      </c>
    </row>
    <row r="737">
      <c r="A737" s="86" t="inlineStr">
        <is>
          <t>전북</t>
        </is>
      </c>
      <c r="B737" s="86" t="n">
        <v>2017</v>
      </c>
      <c r="C737" s="86" t="n">
        <v>4</v>
      </c>
      <c r="D737" s="86" t="inlineStr">
        <is>
          <t>2017-04</t>
        </is>
      </c>
      <c r="E737" s="87" t="n">
        <v>249.2</v>
      </c>
      <c r="F737" s="87" t="n">
        <v>168.7667</v>
      </c>
      <c r="G737" s="88">
        <f>DAY(EOMONTH(DATE(B737,C737,1),0))</f>
        <v/>
      </c>
      <c r="H737" s="89">
        <f>F737/G737</f>
        <v/>
      </c>
    </row>
    <row r="738">
      <c r="A738" s="86" t="inlineStr">
        <is>
          <t>전북</t>
        </is>
      </c>
      <c r="B738" s="86" t="n">
        <v>2017</v>
      </c>
      <c r="C738" s="86" t="n">
        <v>5</v>
      </c>
      <c r="D738" s="86" t="inlineStr">
        <is>
          <t>2017-05</t>
        </is>
      </c>
      <c r="E738" s="87" t="n">
        <v>280.1</v>
      </c>
      <c r="F738" s="87" t="n">
        <v>195.8528</v>
      </c>
      <c r="G738" s="88">
        <f>DAY(EOMONTH(DATE(B738,C738,1),0))</f>
        <v/>
      </c>
      <c r="H738" s="89">
        <f>F738/G738</f>
        <v/>
      </c>
    </row>
    <row r="739">
      <c r="A739" s="86" t="inlineStr">
        <is>
          <t>전북</t>
        </is>
      </c>
      <c r="B739" s="86" t="n">
        <v>2017</v>
      </c>
      <c r="C739" s="86" t="n">
        <v>6</v>
      </c>
      <c r="D739" s="86" t="inlineStr">
        <is>
          <t>2017-06</t>
        </is>
      </c>
      <c r="E739" s="87" t="n">
        <v>240.2</v>
      </c>
      <c r="F739" s="87" t="n">
        <v>185.2472</v>
      </c>
      <c r="G739" s="88">
        <f>DAY(EOMONTH(DATE(B739,C739,1),0))</f>
        <v/>
      </c>
      <c r="H739" s="89">
        <f>F739/G739</f>
        <v/>
      </c>
    </row>
    <row r="740">
      <c r="A740" s="86" t="inlineStr">
        <is>
          <t>전북</t>
        </is>
      </c>
      <c r="B740" s="86" t="n">
        <v>2017</v>
      </c>
      <c r="C740" s="86" t="n">
        <v>7</v>
      </c>
      <c r="D740" s="86" t="inlineStr">
        <is>
          <t>2017-07</t>
        </is>
      </c>
      <c r="E740" s="87" t="n">
        <v>120</v>
      </c>
      <c r="F740" s="87" t="n">
        <v>133.525</v>
      </c>
      <c r="G740" s="88">
        <f>DAY(EOMONTH(DATE(B740,C740,1),0))</f>
        <v/>
      </c>
      <c r="H740" s="89">
        <f>F740/G740</f>
        <v/>
      </c>
    </row>
    <row r="741">
      <c r="A741" s="86" t="inlineStr">
        <is>
          <t>전북</t>
        </is>
      </c>
      <c r="B741" s="86" t="n">
        <v>2017</v>
      </c>
      <c r="C741" s="86" t="n">
        <v>8</v>
      </c>
      <c r="D741" s="86" t="inlineStr">
        <is>
          <t>2017-08</t>
        </is>
      </c>
      <c r="E741" s="87" t="n">
        <v>199.5</v>
      </c>
      <c r="F741" s="87" t="n">
        <v>148.1528</v>
      </c>
      <c r="G741" s="88">
        <f>DAY(EOMONTH(DATE(B741,C741,1),0))</f>
        <v/>
      </c>
      <c r="H741" s="89">
        <f>F741/G741</f>
        <v/>
      </c>
    </row>
    <row r="742">
      <c r="A742" s="86" t="inlineStr">
        <is>
          <t>전북</t>
        </is>
      </c>
      <c r="B742" s="86" t="n">
        <v>2017</v>
      </c>
      <c r="C742" s="86" t="n">
        <v>9</v>
      </c>
      <c r="D742" s="86" t="inlineStr">
        <is>
          <t>2017-09</t>
        </is>
      </c>
      <c r="E742" s="87" t="n">
        <v>216.2</v>
      </c>
      <c r="F742" s="87" t="n">
        <v>137.15</v>
      </c>
      <c r="G742" s="88">
        <f>DAY(EOMONTH(DATE(B742,C742,1),0))</f>
        <v/>
      </c>
      <c r="H742" s="89">
        <f>F742/G742</f>
        <v/>
      </c>
    </row>
    <row r="743">
      <c r="A743" s="86" t="inlineStr">
        <is>
          <t>전북</t>
        </is>
      </c>
      <c r="B743" s="86" t="n">
        <v>2017</v>
      </c>
      <c r="C743" s="86" t="n">
        <v>10</v>
      </c>
      <c r="D743" s="86" t="inlineStr">
        <is>
          <t>2017-10</t>
        </is>
      </c>
      <c r="E743" s="87" t="n">
        <v>190.4</v>
      </c>
      <c r="F743" s="87" t="n">
        <v>106.6389</v>
      </c>
      <c r="G743" s="88">
        <f>DAY(EOMONTH(DATE(B743,C743,1),0))</f>
        <v/>
      </c>
      <c r="H743" s="89">
        <f>F743/G743</f>
        <v/>
      </c>
    </row>
    <row r="744">
      <c r="A744" s="86" t="inlineStr">
        <is>
          <t>전북</t>
        </is>
      </c>
      <c r="B744" s="86" t="n">
        <v>2017</v>
      </c>
      <c r="C744" s="86" t="n">
        <v>11</v>
      </c>
      <c r="D744" s="86" t="inlineStr">
        <is>
          <t>2017-11</t>
        </is>
      </c>
      <c r="E744" s="87" t="n">
        <v>198.8</v>
      </c>
      <c r="F744" s="87" t="n">
        <v>83.4389</v>
      </c>
      <c r="G744" s="88">
        <f>DAY(EOMONTH(DATE(B744,C744,1),0))</f>
        <v/>
      </c>
      <c r="H744" s="89">
        <f>F744/G744</f>
        <v/>
      </c>
    </row>
    <row r="745">
      <c r="A745" s="86" t="inlineStr">
        <is>
          <t>전북</t>
        </is>
      </c>
      <c r="B745" s="86" t="n">
        <v>2017</v>
      </c>
      <c r="C745" s="86" t="n">
        <v>12</v>
      </c>
      <c r="D745" s="86" t="inlineStr">
        <is>
          <t>2017-12</t>
        </is>
      </c>
      <c r="E745" s="87" t="n">
        <v>170.2</v>
      </c>
      <c r="F745" s="87" t="n">
        <v>72.03060000000001</v>
      </c>
      <c r="G745" s="88">
        <f>DAY(EOMONTH(DATE(B745,C745,1),0))</f>
        <v/>
      </c>
      <c r="H745" s="89">
        <f>F745/G745</f>
        <v/>
      </c>
    </row>
    <row r="746">
      <c r="A746" s="86" t="inlineStr">
        <is>
          <t>전북</t>
        </is>
      </c>
      <c r="B746" s="86" t="n">
        <v>2018</v>
      </c>
      <c r="C746" s="86" t="n">
        <v>1</v>
      </c>
      <c r="D746" s="86" t="inlineStr">
        <is>
          <t>2018-01</t>
        </is>
      </c>
      <c r="E746" s="87" t="n">
        <v>177.6</v>
      </c>
      <c r="F746" s="87" t="n">
        <v>80.0528</v>
      </c>
      <c r="G746" s="88">
        <f>DAY(EOMONTH(DATE(B746,C746,1),0))</f>
        <v/>
      </c>
      <c r="H746" s="89">
        <f>F746/G746</f>
        <v/>
      </c>
    </row>
    <row r="747">
      <c r="A747" s="86" t="inlineStr">
        <is>
          <t>전북</t>
        </is>
      </c>
      <c r="B747" s="86" t="n">
        <v>2018</v>
      </c>
      <c r="C747" s="86" t="n">
        <v>2</v>
      </c>
      <c r="D747" s="86" t="inlineStr">
        <is>
          <t>2018-02</t>
        </is>
      </c>
      <c r="E747" s="87" t="n">
        <v>195.7</v>
      </c>
      <c r="F747" s="87" t="n">
        <v>102.5333</v>
      </c>
      <c r="G747" s="88">
        <f>DAY(EOMONTH(DATE(B747,C747,1),0))</f>
        <v/>
      </c>
      <c r="H747" s="89">
        <f>F747/G747</f>
        <v/>
      </c>
    </row>
    <row r="748">
      <c r="A748" s="86" t="inlineStr">
        <is>
          <t>전북</t>
        </is>
      </c>
      <c r="B748" s="86" t="n">
        <v>2018</v>
      </c>
      <c r="C748" s="86" t="n">
        <v>3</v>
      </c>
      <c r="D748" s="86" t="inlineStr">
        <is>
          <t>2018-03</t>
        </is>
      </c>
      <c r="E748" s="87" t="n">
        <v>203.6</v>
      </c>
      <c r="F748" s="87" t="n">
        <v>135.4222</v>
      </c>
      <c r="G748" s="88">
        <f>DAY(EOMONTH(DATE(B748,C748,1),0))</f>
        <v/>
      </c>
      <c r="H748" s="89">
        <f>F748/G748</f>
        <v/>
      </c>
    </row>
    <row r="749">
      <c r="A749" s="86" t="inlineStr">
        <is>
          <t>전북</t>
        </is>
      </c>
      <c r="B749" s="86" t="n">
        <v>2018</v>
      </c>
      <c r="C749" s="86" t="n">
        <v>4</v>
      </c>
      <c r="D749" s="86" t="inlineStr">
        <is>
          <t>2018-04</t>
        </is>
      </c>
      <c r="E749" s="87" t="n">
        <v>222.5</v>
      </c>
      <c r="F749" s="87" t="n">
        <v>157.9639</v>
      </c>
      <c r="G749" s="88">
        <f>DAY(EOMONTH(DATE(B749,C749,1),0))</f>
        <v/>
      </c>
      <c r="H749" s="89">
        <f>F749/G749</f>
        <v/>
      </c>
    </row>
    <row r="750">
      <c r="A750" s="86" t="inlineStr">
        <is>
          <t>전북</t>
        </is>
      </c>
      <c r="B750" s="86" t="n">
        <v>2018</v>
      </c>
      <c r="C750" s="86" t="n">
        <v>5</v>
      </c>
      <c r="D750" s="86" t="inlineStr">
        <is>
          <t>2018-05</t>
        </is>
      </c>
      <c r="E750" s="87" t="n">
        <v>204.4</v>
      </c>
      <c r="F750" s="87" t="n">
        <v>168.3333</v>
      </c>
      <c r="G750" s="88">
        <f>DAY(EOMONTH(DATE(B750,C750,1),0))</f>
        <v/>
      </c>
      <c r="H750" s="89">
        <f>F750/G750</f>
        <v/>
      </c>
    </row>
    <row r="751">
      <c r="A751" s="86" t="inlineStr">
        <is>
          <t>전북</t>
        </is>
      </c>
      <c r="B751" s="86" t="n">
        <v>2018</v>
      </c>
      <c r="C751" s="86" t="n">
        <v>6</v>
      </c>
      <c r="D751" s="86" t="inlineStr">
        <is>
          <t>2018-06</t>
        </is>
      </c>
      <c r="E751" s="87" t="n">
        <v>217.8</v>
      </c>
      <c r="F751" s="87" t="n">
        <v>173.9139</v>
      </c>
      <c r="G751" s="88">
        <f>DAY(EOMONTH(DATE(B751,C751,1),0))</f>
        <v/>
      </c>
      <c r="H751" s="89">
        <f>F751/G751</f>
        <v/>
      </c>
    </row>
    <row r="752">
      <c r="A752" s="86" t="inlineStr">
        <is>
          <t>전북</t>
        </is>
      </c>
      <c r="B752" s="86" t="n">
        <v>2018</v>
      </c>
      <c r="C752" s="86" t="n">
        <v>7</v>
      </c>
      <c r="D752" s="86" t="inlineStr">
        <is>
          <t>2018-07</t>
        </is>
      </c>
      <c r="E752" s="87" t="n">
        <v>271.2</v>
      </c>
      <c r="F752" s="87" t="n">
        <v>189.6</v>
      </c>
      <c r="G752" s="88">
        <f>DAY(EOMONTH(DATE(B752,C752,1),0))</f>
        <v/>
      </c>
      <c r="H752" s="89">
        <f>F752/G752</f>
        <v/>
      </c>
    </row>
    <row r="753">
      <c r="A753" s="86" t="inlineStr">
        <is>
          <t>전북</t>
        </is>
      </c>
      <c r="B753" s="86" t="n">
        <v>2018</v>
      </c>
      <c r="C753" s="86" t="n">
        <v>8</v>
      </c>
      <c r="D753" s="86" t="inlineStr">
        <is>
          <t>2018-08</t>
        </is>
      </c>
      <c r="E753" s="87" t="n">
        <v>235.4</v>
      </c>
      <c r="F753" s="87" t="n">
        <v>162.2194</v>
      </c>
      <c r="G753" s="88">
        <f>DAY(EOMONTH(DATE(B753,C753,1),0))</f>
        <v/>
      </c>
      <c r="H753" s="89">
        <f>F753/G753</f>
        <v/>
      </c>
    </row>
    <row r="754">
      <c r="A754" s="86" t="inlineStr">
        <is>
          <t>전북</t>
        </is>
      </c>
      <c r="B754" s="86" t="n">
        <v>2018</v>
      </c>
      <c r="C754" s="86" t="n">
        <v>9</v>
      </c>
      <c r="D754" s="86" t="inlineStr">
        <is>
          <t>2018-09</t>
        </is>
      </c>
      <c r="E754" s="87" t="n">
        <v>191.2</v>
      </c>
      <c r="F754" s="87" t="n">
        <v>131.2222</v>
      </c>
      <c r="G754" s="88">
        <f>DAY(EOMONTH(DATE(B754,C754,1),0))</f>
        <v/>
      </c>
      <c r="H754" s="89">
        <f>F754/G754</f>
        <v/>
      </c>
    </row>
    <row r="755">
      <c r="A755" s="86" t="inlineStr">
        <is>
          <t>전북</t>
        </is>
      </c>
      <c r="B755" s="86" t="n">
        <v>2018</v>
      </c>
      <c r="C755" s="86" t="n">
        <v>10</v>
      </c>
      <c r="D755" s="86" t="inlineStr">
        <is>
          <t>2018-10</t>
        </is>
      </c>
      <c r="E755" s="87" t="n">
        <v>228.1</v>
      </c>
      <c r="F755" s="87" t="n">
        <v>120.0611</v>
      </c>
      <c r="G755" s="88">
        <f>DAY(EOMONTH(DATE(B755,C755,1),0))</f>
        <v/>
      </c>
      <c r="H755" s="89">
        <f>F755/G755</f>
        <v/>
      </c>
    </row>
    <row r="756">
      <c r="A756" s="86" t="inlineStr">
        <is>
          <t>전북</t>
        </is>
      </c>
      <c r="B756" s="86" t="n">
        <v>2018</v>
      </c>
      <c r="C756" s="86" t="n">
        <v>11</v>
      </c>
      <c r="D756" s="86" t="inlineStr">
        <is>
          <t>2018-11</t>
        </is>
      </c>
      <c r="E756" s="87" t="n">
        <v>186.9</v>
      </c>
      <c r="F756" s="87" t="n">
        <v>82.9639</v>
      </c>
      <c r="G756" s="88">
        <f>DAY(EOMONTH(DATE(B756,C756,1),0))</f>
        <v/>
      </c>
      <c r="H756" s="89">
        <f>F756/G756</f>
        <v/>
      </c>
    </row>
    <row r="757">
      <c r="A757" s="86" t="inlineStr">
        <is>
          <t>전북</t>
        </is>
      </c>
      <c r="B757" s="86" t="n">
        <v>2018</v>
      </c>
      <c r="C757" s="86" t="n">
        <v>12</v>
      </c>
      <c r="D757" s="86" t="inlineStr">
        <is>
          <t>2018-12</t>
        </is>
      </c>
      <c r="E757" s="87" t="n">
        <v>180.2</v>
      </c>
      <c r="F757" s="87" t="n">
        <v>73.2972</v>
      </c>
      <c r="G757" s="88">
        <f>DAY(EOMONTH(DATE(B757,C757,1),0))</f>
        <v/>
      </c>
      <c r="H757" s="89">
        <f>F757/G757</f>
        <v/>
      </c>
    </row>
    <row r="758">
      <c r="A758" s="86" t="inlineStr">
        <is>
          <t>전북</t>
        </is>
      </c>
      <c r="B758" s="86" t="n">
        <v>2019</v>
      </c>
      <c r="C758" s="86" t="n">
        <v>1</v>
      </c>
      <c r="D758" s="86" t="inlineStr">
        <is>
          <t>2019-01</t>
        </is>
      </c>
      <c r="E758" s="87" t="n">
        <v>199.2</v>
      </c>
      <c r="F758" s="87" t="n">
        <v>85.88890000000001</v>
      </c>
      <c r="G758" s="88">
        <f>DAY(EOMONTH(DATE(B758,C758,1),0))</f>
        <v/>
      </c>
      <c r="H758" s="89">
        <f>F758/G758</f>
        <v/>
      </c>
    </row>
    <row r="759">
      <c r="A759" s="86" t="inlineStr">
        <is>
          <t>전북</t>
        </is>
      </c>
      <c r="B759" s="86" t="n">
        <v>2019</v>
      </c>
      <c r="C759" s="86" t="n">
        <v>2</v>
      </c>
      <c r="D759" s="86" t="inlineStr">
        <is>
          <t>2019-02</t>
        </is>
      </c>
      <c r="E759" s="87" t="n">
        <v>171.5</v>
      </c>
      <c r="F759" s="87" t="n">
        <v>94.8167</v>
      </c>
      <c r="G759" s="88">
        <f>DAY(EOMONTH(DATE(B759,C759,1),0))</f>
        <v/>
      </c>
      <c r="H759" s="89">
        <f>F759/G759</f>
        <v/>
      </c>
    </row>
    <row r="760">
      <c r="A760" s="86" t="inlineStr">
        <is>
          <t>전북</t>
        </is>
      </c>
      <c r="B760" s="86" t="n">
        <v>2019</v>
      </c>
      <c r="C760" s="86" t="n">
        <v>3</v>
      </c>
      <c r="D760" s="86" t="inlineStr">
        <is>
          <t>2019-03</t>
        </is>
      </c>
      <c r="E760" s="87" t="n">
        <v>213.4</v>
      </c>
      <c r="F760" s="87" t="n">
        <v>135.425</v>
      </c>
      <c r="G760" s="88">
        <f>DAY(EOMONTH(DATE(B760,C760,1),0))</f>
        <v/>
      </c>
      <c r="H760" s="89">
        <f>F760/G760</f>
        <v/>
      </c>
    </row>
    <row r="761">
      <c r="A761" s="86" t="inlineStr">
        <is>
          <t>전북</t>
        </is>
      </c>
      <c r="B761" s="86" t="n">
        <v>2019</v>
      </c>
      <c r="C761" s="86" t="n">
        <v>4</v>
      </c>
      <c r="D761" s="86" t="inlineStr">
        <is>
          <t>2019-04</t>
        </is>
      </c>
      <c r="E761" s="87" t="n">
        <v>194.1</v>
      </c>
      <c r="F761" s="87" t="n">
        <v>142.1778</v>
      </c>
      <c r="G761" s="88">
        <f>DAY(EOMONTH(DATE(B761,C761,1),0))</f>
        <v/>
      </c>
      <c r="H761" s="89">
        <f>F761/G761</f>
        <v/>
      </c>
    </row>
    <row r="762">
      <c r="A762" s="86" t="inlineStr">
        <is>
          <t>전북</t>
        </is>
      </c>
      <c r="B762" s="86" t="n">
        <v>2019</v>
      </c>
      <c r="C762" s="86" t="n">
        <v>5</v>
      </c>
      <c r="D762" s="86" t="inlineStr">
        <is>
          <t>2019-05</t>
        </is>
      </c>
      <c r="E762" s="87" t="n">
        <v>293.8</v>
      </c>
      <c r="F762" s="87" t="n">
        <v>212.6333</v>
      </c>
      <c r="G762" s="88">
        <f>DAY(EOMONTH(DATE(B762,C762,1),0))</f>
        <v/>
      </c>
      <c r="H762" s="89">
        <f>F762/G762</f>
        <v/>
      </c>
    </row>
    <row r="763">
      <c r="A763" s="86" t="inlineStr">
        <is>
          <t>전북</t>
        </is>
      </c>
      <c r="B763" s="86" t="n">
        <v>2019</v>
      </c>
      <c r="C763" s="86" t="n">
        <v>6</v>
      </c>
      <c r="D763" s="86" t="inlineStr">
        <is>
          <t>2019-06</t>
        </is>
      </c>
      <c r="E763" s="87" t="n">
        <v>219.1</v>
      </c>
      <c r="F763" s="87" t="n">
        <v>172.0722</v>
      </c>
      <c r="G763" s="88">
        <f>DAY(EOMONTH(DATE(B763,C763,1),0))</f>
        <v/>
      </c>
      <c r="H763" s="89">
        <f>F763/G763</f>
        <v/>
      </c>
    </row>
    <row r="764">
      <c r="A764" s="86" t="inlineStr">
        <is>
          <t>전북</t>
        </is>
      </c>
      <c r="B764" s="86" t="n">
        <v>2019</v>
      </c>
      <c r="C764" s="86" t="n">
        <v>7</v>
      </c>
      <c r="D764" s="86" t="inlineStr">
        <is>
          <t>2019-07</t>
        </is>
      </c>
      <c r="E764" s="87" t="n">
        <v>164.8</v>
      </c>
      <c r="F764" s="87" t="n">
        <v>144.0194</v>
      </c>
      <c r="G764" s="88">
        <f>DAY(EOMONTH(DATE(B764,C764,1),0))</f>
        <v/>
      </c>
      <c r="H764" s="89">
        <f>F764/G764</f>
        <v/>
      </c>
    </row>
    <row r="765">
      <c r="A765" s="86" t="inlineStr">
        <is>
          <t>전북</t>
        </is>
      </c>
      <c r="B765" s="86" t="n">
        <v>2019</v>
      </c>
      <c r="C765" s="86" t="n">
        <v>8</v>
      </c>
      <c r="D765" s="86" t="inlineStr">
        <is>
          <t>2019-08</t>
        </is>
      </c>
      <c r="E765" s="87" t="n">
        <v>227.4</v>
      </c>
      <c r="F765" s="87" t="n">
        <v>157.2944</v>
      </c>
      <c r="G765" s="88">
        <f>DAY(EOMONTH(DATE(B765,C765,1),0))</f>
        <v/>
      </c>
      <c r="H765" s="89">
        <f>F765/G765</f>
        <v/>
      </c>
    </row>
    <row r="766">
      <c r="A766" s="86" t="inlineStr">
        <is>
          <t>전북</t>
        </is>
      </c>
      <c r="B766" s="86" t="n">
        <v>2019</v>
      </c>
      <c r="C766" s="86" t="n">
        <v>9</v>
      </c>
      <c r="D766" s="86" t="inlineStr">
        <is>
          <t>2019-09</t>
        </is>
      </c>
      <c r="E766" s="87" t="n">
        <v>147.9</v>
      </c>
      <c r="F766" s="87" t="n">
        <v>116.4528</v>
      </c>
      <c r="G766" s="88">
        <f>DAY(EOMONTH(DATE(B766,C766,1),0))</f>
        <v/>
      </c>
      <c r="H766" s="89">
        <f>F766/G766</f>
        <v/>
      </c>
    </row>
    <row r="767">
      <c r="A767" s="86" t="inlineStr">
        <is>
          <t>전북</t>
        </is>
      </c>
      <c r="B767" s="86" t="n">
        <v>2019</v>
      </c>
      <c r="C767" s="86" t="n">
        <v>10</v>
      </c>
      <c r="D767" s="86" t="inlineStr">
        <is>
          <t>2019-10</t>
        </is>
      </c>
      <c r="E767" s="87" t="n">
        <v>211</v>
      </c>
      <c r="F767" s="87" t="n">
        <v>115.55</v>
      </c>
      <c r="G767" s="88">
        <f>DAY(EOMONTH(DATE(B767,C767,1),0))</f>
        <v/>
      </c>
      <c r="H767" s="89">
        <f>F767/G767</f>
        <v/>
      </c>
    </row>
    <row r="768">
      <c r="A768" s="86" t="inlineStr">
        <is>
          <t>전북</t>
        </is>
      </c>
      <c r="B768" s="86" t="n">
        <v>2019</v>
      </c>
      <c r="C768" s="86" t="n">
        <v>11</v>
      </c>
      <c r="D768" s="86" t="inlineStr">
        <is>
          <t>2019-11</t>
        </is>
      </c>
      <c r="E768" s="87" t="n">
        <v>187.5</v>
      </c>
      <c r="F768" s="87" t="n">
        <v>87.74169999999999</v>
      </c>
      <c r="G768" s="88">
        <f>DAY(EOMONTH(DATE(B768,C768,1),0))</f>
        <v/>
      </c>
      <c r="H768" s="89">
        <f>F768/G768</f>
        <v/>
      </c>
    </row>
    <row r="769">
      <c r="A769" s="86" t="inlineStr">
        <is>
          <t>전북</t>
        </is>
      </c>
      <c r="B769" s="86" t="n">
        <v>2019</v>
      </c>
      <c r="C769" s="86" t="n">
        <v>12</v>
      </c>
      <c r="D769" s="86" t="inlineStr">
        <is>
          <t>2019-12</t>
        </is>
      </c>
      <c r="E769" s="87" t="n">
        <v>169.3</v>
      </c>
      <c r="F769" s="87" t="n">
        <v>71.9444</v>
      </c>
      <c r="G769" s="88">
        <f>DAY(EOMONTH(DATE(B769,C769,1),0))</f>
        <v/>
      </c>
      <c r="H769" s="89">
        <f>F769/G769</f>
        <v/>
      </c>
    </row>
    <row r="770">
      <c r="A770" s="86" t="inlineStr">
        <is>
          <t>전북</t>
        </is>
      </c>
      <c r="B770" s="86" t="n">
        <v>2020</v>
      </c>
      <c r="C770" s="86" t="n">
        <v>1</v>
      </c>
      <c r="D770" s="86" t="inlineStr">
        <is>
          <t>2020-01</t>
        </is>
      </c>
      <c r="E770" s="87" t="n">
        <v>135.5</v>
      </c>
      <c r="F770" s="87" t="n">
        <v>67.3222</v>
      </c>
      <c r="G770" s="88">
        <f>DAY(EOMONTH(DATE(B770,C770,1),0))</f>
        <v/>
      </c>
      <c r="H770" s="89">
        <f>F770/G770</f>
        <v/>
      </c>
    </row>
    <row r="771">
      <c r="A771" s="86" t="inlineStr">
        <is>
          <t>전북</t>
        </is>
      </c>
      <c r="B771" s="86" t="n">
        <v>2020</v>
      </c>
      <c r="C771" s="86" t="n">
        <v>2</v>
      </c>
      <c r="D771" s="86" t="inlineStr">
        <is>
          <t>2020-02</t>
        </is>
      </c>
      <c r="E771" s="87" t="n">
        <v>190.6</v>
      </c>
      <c r="F771" s="87" t="n">
        <v>97.2139</v>
      </c>
      <c r="G771" s="88">
        <f>DAY(EOMONTH(DATE(B771,C771,1),0))</f>
        <v/>
      </c>
      <c r="H771" s="89">
        <f>F771/G771</f>
        <v/>
      </c>
    </row>
    <row r="772">
      <c r="A772" s="86" t="inlineStr">
        <is>
          <t>전북</t>
        </is>
      </c>
      <c r="B772" s="86" t="n">
        <v>2020</v>
      </c>
      <c r="C772" s="86" t="n">
        <v>3</v>
      </c>
      <c r="D772" s="86" t="inlineStr">
        <is>
          <t>2020-03</t>
        </is>
      </c>
      <c r="E772" s="87" t="n">
        <v>249.3</v>
      </c>
      <c r="F772" s="87" t="n">
        <v>151.975</v>
      </c>
      <c r="G772" s="88">
        <f>DAY(EOMONTH(DATE(B772,C772,1),0))</f>
        <v/>
      </c>
      <c r="H772" s="89">
        <f>F772/G772</f>
        <v/>
      </c>
    </row>
    <row r="773">
      <c r="A773" s="86" t="inlineStr">
        <is>
          <t>전북</t>
        </is>
      </c>
      <c r="B773" s="86" t="n">
        <v>2020</v>
      </c>
      <c r="C773" s="86" t="n">
        <v>4</v>
      </c>
      <c r="D773" s="86" t="inlineStr">
        <is>
          <t>2020-04</t>
        </is>
      </c>
      <c r="E773" s="87" t="n">
        <v>282.4</v>
      </c>
      <c r="F773" s="87" t="n">
        <v>189.1</v>
      </c>
      <c r="G773" s="88">
        <f>DAY(EOMONTH(DATE(B773,C773,1),0))</f>
        <v/>
      </c>
      <c r="H773" s="89">
        <f>F773/G773</f>
        <v/>
      </c>
    </row>
    <row r="774">
      <c r="A774" s="86" t="inlineStr">
        <is>
          <t>전북</t>
        </is>
      </c>
      <c r="B774" s="86" t="n">
        <v>2020</v>
      </c>
      <c r="C774" s="86" t="n">
        <v>5</v>
      </c>
      <c r="D774" s="86" t="inlineStr">
        <is>
          <t>2020-05</t>
        </is>
      </c>
      <c r="E774" s="87" t="n">
        <v>212.8</v>
      </c>
      <c r="F774" s="87" t="n">
        <v>172.1417</v>
      </c>
      <c r="G774" s="88">
        <f>DAY(EOMONTH(DATE(B774,C774,1),0))</f>
        <v/>
      </c>
      <c r="H774" s="89">
        <f>F774/G774</f>
        <v/>
      </c>
    </row>
    <row r="775">
      <c r="A775" s="86" t="inlineStr">
        <is>
          <t>전북</t>
        </is>
      </c>
      <c r="B775" s="86" t="n">
        <v>2020</v>
      </c>
      <c r="C775" s="86" t="n">
        <v>6</v>
      </c>
      <c r="D775" s="86" t="inlineStr">
        <is>
          <t>2020-06</t>
        </is>
      </c>
      <c r="E775" s="87" t="n">
        <v>185.8</v>
      </c>
      <c r="F775" s="87" t="n">
        <v>148.15</v>
      </c>
      <c r="G775" s="88">
        <f>DAY(EOMONTH(DATE(B775,C775,1),0))</f>
        <v/>
      </c>
      <c r="H775" s="89">
        <f>F775/G775</f>
        <v/>
      </c>
    </row>
    <row r="776">
      <c r="A776" s="86" t="inlineStr">
        <is>
          <t>전북</t>
        </is>
      </c>
      <c r="B776" s="86" t="n">
        <v>2020</v>
      </c>
      <c r="C776" s="86" t="n">
        <v>7</v>
      </c>
      <c r="D776" s="86" t="inlineStr">
        <is>
          <t>2020-07</t>
        </is>
      </c>
      <c r="E776" s="87" t="n">
        <v>96.09999999999999</v>
      </c>
      <c r="F776" s="87" t="n">
        <v>104.3361</v>
      </c>
      <c r="G776" s="88">
        <f>DAY(EOMONTH(DATE(B776,C776,1),0))</f>
        <v/>
      </c>
      <c r="H776" s="89">
        <f>F776/G776</f>
        <v/>
      </c>
    </row>
    <row r="777">
      <c r="A777" s="86" t="inlineStr">
        <is>
          <t>전북</t>
        </is>
      </c>
      <c r="B777" s="86" t="n">
        <v>2020</v>
      </c>
      <c r="C777" s="86" t="n">
        <v>8</v>
      </c>
      <c r="D777" s="86" t="inlineStr">
        <is>
          <t>2020-08</t>
        </is>
      </c>
      <c r="E777" s="87" t="n">
        <v>173.4</v>
      </c>
      <c r="F777" s="87" t="n">
        <v>129.7</v>
      </c>
      <c r="G777" s="88">
        <f>DAY(EOMONTH(DATE(B777,C777,1),0))</f>
        <v/>
      </c>
      <c r="H777" s="89">
        <f>F777/G777</f>
        <v/>
      </c>
    </row>
    <row r="778">
      <c r="A778" s="86" t="inlineStr">
        <is>
          <t>전북</t>
        </is>
      </c>
      <c r="B778" s="86" t="n">
        <v>2020</v>
      </c>
      <c r="C778" s="86" t="n">
        <v>9</v>
      </c>
      <c r="D778" s="86" t="inlineStr">
        <is>
          <t>2020-09</t>
        </is>
      </c>
      <c r="E778" s="87" t="n">
        <v>178.1</v>
      </c>
      <c r="F778" s="87" t="n">
        <v>116.5083</v>
      </c>
      <c r="G778" s="88">
        <f>DAY(EOMONTH(DATE(B778,C778,1),0))</f>
        <v/>
      </c>
      <c r="H778" s="89">
        <f>F778/G778</f>
        <v/>
      </c>
    </row>
    <row r="779">
      <c r="A779" s="86" t="inlineStr">
        <is>
          <t>전북</t>
        </is>
      </c>
      <c r="B779" s="86" t="n">
        <v>2020</v>
      </c>
      <c r="C779" s="86" t="n">
        <v>10</v>
      </c>
      <c r="D779" s="86" t="inlineStr">
        <is>
          <t>2020-10</t>
        </is>
      </c>
      <c r="E779" s="87" t="n">
        <v>226.6</v>
      </c>
      <c r="F779" s="87" t="n">
        <v>117.2917</v>
      </c>
      <c r="G779" s="88">
        <f>DAY(EOMONTH(DATE(B779,C779,1),0))</f>
        <v/>
      </c>
      <c r="H779" s="89">
        <f>F779/G779</f>
        <v/>
      </c>
    </row>
    <row r="780">
      <c r="A780" s="86" t="inlineStr">
        <is>
          <t>전북</t>
        </is>
      </c>
      <c r="B780" s="86" t="n">
        <v>2020</v>
      </c>
      <c r="C780" s="86" t="n">
        <v>11</v>
      </c>
      <c r="D780" s="86" t="inlineStr">
        <is>
          <t>2020-11</t>
        </is>
      </c>
      <c r="E780" s="87" t="n">
        <v>179.8</v>
      </c>
      <c r="F780" s="87" t="n">
        <v>77.0611</v>
      </c>
      <c r="G780" s="88">
        <f>DAY(EOMONTH(DATE(B780,C780,1),0))</f>
        <v/>
      </c>
      <c r="H780" s="89">
        <f>F780/G780</f>
        <v/>
      </c>
    </row>
    <row r="781">
      <c r="A781" s="86" t="inlineStr">
        <is>
          <t>전북</t>
        </is>
      </c>
      <c r="B781" s="86" t="n">
        <v>2020</v>
      </c>
      <c r="C781" s="86" t="n">
        <v>12</v>
      </c>
      <c r="D781" s="86" t="inlineStr">
        <is>
          <t>2020-12</t>
        </is>
      </c>
      <c r="E781" s="87" t="n">
        <v>172.1</v>
      </c>
      <c r="F781" s="87" t="n">
        <v>71.7972</v>
      </c>
      <c r="G781" s="88">
        <f>DAY(EOMONTH(DATE(B781,C781,1),0))</f>
        <v/>
      </c>
      <c r="H781" s="89">
        <f>F781/G781</f>
        <v/>
      </c>
    </row>
    <row r="782">
      <c r="A782" s="86" t="inlineStr">
        <is>
          <t>전북</t>
        </is>
      </c>
      <c r="B782" s="86" t="n">
        <v>2021</v>
      </c>
      <c r="C782" s="86" t="n">
        <v>1</v>
      </c>
      <c r="D782" s="86" t="inlineStr">
        <is>
          <t>2021-01</t>
        </is>
      </c>
      <c r="E782" s="87" t="n">
        <v>174.7</v>
      </c>
      <c r="F782" s="87" t="n">
        <v>75.1917</v>
      </c>
      <c r="G782" s="88">
        <f>DAY(EOMONTH(DATE(B782,C782,1),0))</f>
        <v/>
      </c>
      <c r="H782" s="89">
        <f>F782/G782</f>
        <v/>
      </c>
    </row>
    <row r="783">
      <c r="A783" s="86" t="inlineStr">
        <is>
          <t>전북</t>
        </is>
      </c>
      <c r="B783" s="86" t="n">
        <v>2021</v>
      </c>
      <c r="C783" s="86" t="n">
        <v>2</v>
      </c>
      <c r="D783" s="86" t="inlineStr">
        <is>
          <t>2021-02</t>
        </is>
      </c>
      <c r="E783" s="87" t="n">
        <v>190.2</v>
      </c>
      <c r="F783" s="87" t="n">
        <v>93.62220000000001</v>
      </c>
      <c r="G783" s="88">
        <f>DAY(EOMONTH(DATE(B783,C783,1),0))</f>
        <v/>
      </c>
      <c r="H783" s="89">
        <f>F783/G783</f>
        <v/>
      </c>
    </row>
    <row r="784">
      <c r="A784" s="86" t="inlineStr">
        <is>
          <t>전북</t>
        </is>
      </c>
      <c r="B784" s="86" t="n">
        <v>2021</v>
      </c>
      <c r="C784" s="86" t="n">
        <v>3</v>
      </c>
      <c r="D784" s="86" t="inlineStr">
        <is>
          <t>2021-03</t>
        </is>
      </c>
      <c r="E784" s="87" t="n">
        <v>201.2</v>
      </c>
      <c r="F784" s="87" t="n">
        <v>125.2361</v>
      </c>
      <c r="G784" s="88">
        <f>DAY(EOMONTH(DATE(B784,C784,1),0))</f>
        <v/>
      </c>
      <c r="H784" s="89">
        <f>F784/G784</f>
        <v/>
      </c>
    </row>
    <row r="785">
      <c r="A785" s="86" t="inlineStr">
        <is>
          <t>전북</t>
        </is>
      </c>
      <c r="B785" s="86" t="n">
        <v>2021</v>
      </c>
      <c r="C785" s="86" t="n">
        <v>4</v>
      </c>
      <c r="D785" s="86" t="inlineStr">
        <is>
          <t>2021-04</t>
        </is>
      </c>
      <c r="E785" s="87" t="n">
        <v>227.5</v>
      </c>
      <c r="F785" s="87" t="n">
        <v>160.1389</v>
      </c>
      <c r="G785" s="88">
        <f>DAY(EOMONTH(DATE(B785,C785,1),0))</f>
        <v/>
      </c>
      <c r="H785" s="89">
        <f>F785/G785</f>
        <v/>
      </c>
    </row>
    <row r="786">
      <c r="A786" s="86" t="inlineStr">
        <is>
          <t>전북</t>
        </is>
      </c>
      <c r="B786" s="86" t="n">
        <v>2021</v>
      </c>
      <c r="C786" s="86" t="n">
        <v>5</v>
      </c>
      <c r="D786" s="86" t="inlineStr">
        <is>
          <t>2021-05</t>
        </is>
      </c>
      <c r="E786" s="87" t="n">
        <v>200.3</v>
      </c>
      <c r="F786" s="87" t="n">
        <v>149.7111</v>
      </c>
      <c r="G786" s="88">
        <f>DAY(EOMONTH(DATE(B786,C786,1),0))</f>
        <v/>
      </c>
      <c r="H786" s="89">
        <f>F786/G786</f>
        <v/>
      </c>
    </row>
    <row r="787">
      <c r="A787" s="86" t="inlineStr">
        <is>
          <t>전북</t>
        </is>
      </c>
      <c r="B787" s="86" t="n">
        <v>2021</v>
      </c>
      <c r="C787" s="86" t="n">
        <v>6</v>
      </c>
      <c r="D787" s="86" t="inlineStr">
        <is>
          <t>2021-06</t>
        </is>
      </c>
      <c r="E787" s="87" t="n">
        <v>214.8</v>
      </c>
      <c r="F787" s="87" t="n">
        <v>158.7556</v>
      </c>
      <c r="G787" s="88">
        <f>DAY(EOMONTH(DATE(B787,C787,1),0))</f>
        <v/>
      </c>
      <c r="H787" s="89">
        <f>F787/G787</f>
        <v/>
      </c>
    </row>
    <row r="788">
      <c r="A788" s="86" t="inlineStr">
        <is>
          <t>전북</t>
        </is>
      </c>
      <c r="B788" s="86" t="n">
        <v>2021</v>
      </c>
      <c r="C788" s="86" t="n">
        <v>7</v>
      </c>
      <c r="D788" s="86" t="inlineStr">
        <is>
          <t>2021-07</t>
        </is>
      </c>
      <c r="E788" s="87" t="n">
        <v>206.2</v>
      </c>
      <c r="F788" s="87" t="n">
        <v>154.1</v>
      </c>
      <c r="G788" s="88">
        <f>DAY(EOMONTH(DATE(B788,C788,1),0))</f>
        <v/>
      </c>
      <c r="H788" s="89">
        <f>F788/G788</f>
        <v/>
      </c>
    </row>
    <row r="789">
      <c r="A789" s="86" t="inlineStr">
        <is>
          <t>전북</t>
        </is>
      </c>
      <c r="B789" s="86" t="n">
        <v>2021</v>
      </c>
      <c r="C789" s="86" t="n">
        <v>8</v>
      </c>
      <c r="D789" s="86" t="inlineStr">
        <is>
          <t>2021-08</t>
        </is>
      </c>
      <c r="E789" s="87" t="n">
        <v>176.8</v>
      </c>
      <c r="F789" s="87" t="n">
        <v>130.5333</v>
      </c>
      <c r="G789" s="88">
        <f>DAY(EOMONTH(DATE(B789,C789,1),0))</f>
        <v/>
      </c>
      <c r="H789" s="89">
        <f>F789/G789</f>
        <v/>
      </c>
    </row>
    <row r="790">
      <c r="A790" s="86" t="inlineStr">
        <is>
          <t>전북</t>
        </is>
      </c>
      <c r="B790" s="86" t="n">
        <v>2021</v>
      </c>
      <c r="C790" s="86" t="n">
        <v>9</v>
      </c>
      <c r="D790" s="86" t="inlineStr">
        <is>
          <t>2021-09</t>
        </is>
      </c>
      <c r="E790" s="87" t="n">
        <v>167.3</v>
      </c>
      <c r="F790" s="87" t="n">
        <v>113.3111</v>
      </c>
      <c r="G790" s="88">
        <f>DAY(EOMONTH(DATE(B790,C790,1),0))</f>
        <v/>
      </c>
      <c r="H790" s="89">
        <f>F790/G790</f>
        <v/>
      </c>
    </row>
    <row r="791">
      <c r="A791" s="86" t="inlineStr">
        <is>
          <t>전북</t>
        </is>
      </c>
      <c r="B791" s="86" t="n">
        <v>2021</v>
      </c>
      <c r="C791" s="86" t="n">
        <v>10</v>
      </c>
      <c r="D791" s="86" t="inlineStr">
        <is>
          <t>2021-10</t>
        </is>
      </c>
      <c r="E791" s="87" t="n">
        <v>221.4</v>
      </c>
      <c r="F791" s="87" t="n">
        <v>113.625</v>
      </c>
      <c r="G791" s="88">
        <f>DAY(EOMONTH(DATE(B791,C791,1),0))</f>
        <v/>
      </c>
      <c r="H791" s="89">
        <f>F791/G791</f>
        <v/>
      </c>
    </row>
    <row r="792">
      <c r="A792" s="86" t="inlineStr">
        <is>
          <t>전북</t>
        </is>
      </c>
      <c r="B792" s="86" t="n">
        <v>2021</v>
      </c>
      <c r="C792" s="86" t="n">
        <v>11</v>
      </c>
      <c r="D792" s="86" t="inlineStr">
        <is>
          <t>2021-11</t>
        </is>
      </c>
      <c r="E792" s="87" t="n">
        <v>176.9</v>
      </c>
      <c r="F792" s="87" t="n">
        <v>75.6056</v>
      </c>
      <c r="G792" s="88">
        <f>DAY(EOMONTH(DATE(B792,C792,1),0))</f>
        <v/>
      </c>
      <c r="H792" s="89">
        <f>F792/G792</f>
        <v/>
      </c>
    </row>
    <row r="793">
      <c r="A793" s="86" t="inlineStr">
        <is>
          <t>전북</t>
        </is>
      </c>
      <c r="B793" s="86" t="n">
        <v>2021</v>
      </c>
      <c r="C793" s="86" t="n">
        <v>12</v>
      </c>
      <c r="D793" s="86" t="inlineStr">
        <is>
          <t>2021-12</t>
        </is>
      </c>
      <c r="E793" s="87" t="n">
        <v>172.3</v>
      </c>
      <c r="F793" s="87" t="n">
        <v>66.4611</v>
      </c>
      <c r="G793" s="88">
        <f>DAY(EOMONTH(DATE(B793,C793,1),0))</f>
        <v/>
      </c>
      <c r="H793" s="89">
        <f>F793/G793</f>
        <v/>
      </c>
    </row>
    <row r="794">
      <c r="A794" s="86" t="inlineStr">
        <is>
          <t>전북</t>
        </is>
      </c>
      <c r="B794" s="86" t="n">
        <v>2022</v>
      </c>
      <c r="C794" s="86" t="n">
        <v>1</v>
      </c>
      <c r="D794" s="86" t="inlineStr">
        <is>
          <t>2022-01</t>
        </is>
      </c>
      <c r="E794" s="87" t="n">
        <v>202.5</v>
      </c>
      <c r="F794" s="87" t="n">
        <v>82.8056</v>
      </c>
      <c r="G794" s="88">
        <f>DAY(EOMONTH(DATE(B794,C794,1),0))</f>
        <v/>
      </c>
      <c r="H794" s="89">
        <f>F794/G794</f>
        <v/>
      </c>
    </row>
    <row r="795">
      <c r="A795" s="86" t="inlineStr">
        <is>
          <t>전북</t>
        </is>
      </c>
      <c r="B795" s="86" t="n">
        <v>2022</v>
      </c>
      <c r="C795" s="86" t="n">
        <v>2</v>
      </c>
      <c r="D795" s="86" t="inlineStr">
        <is>
          <t>2022-02</t>
        </is>
      </c>
      <c r="E795" s="87" t="n">
        <v>216.2</v>
      </c>
      <c r="F795" s="87" t="n">
        <v>103.2194</v>
      </c>
      <c r="G795" s="88">
        <f>DAY(EOMONTH(DATE(B795,C795,1),0))</f>
        <v/>
      </c>
      <c r="H795" s="89">
        <f>F795/G795</f>
        <v/>
      </c>
    </row>
    <row r="796">
      <c r="A796" s="86" t="inlineStr">
        <is>
          <t>전북</t>
        </is>
      </c>
      <c r="B796" s="86" t="n">
        <v>2022</v>
      </c>
      <c r="C796" s="86" t="n">
        <v>3</v>
      </c>
      <c r="D796" s="86" t="inlineStr">
        <is>
          <t>2022-03</t>
        </is>
      </c>
      <c r="E796" s="87" t="n">
        <v>160.3</v>
      </c>
      <c r="F796" s="87" t="n">
        <v>112.7917</v>
      </c>
      <c r="G796" s="88">
        <f>DAY(EOMONTH(DATE(B796,C796,1),0))</f>
        <v/>
      </c>
      <c r="H796" s="89">
        <f>F796/G796</f>
        <v/>
      </c>
    </row>
    <row r="797">
      <c r="A797" s="86" t="inlineStr">
        <is>
          <t>전북</t>
        </is>
      </c>
      <c r="B797" s="86" t="n">
        <v>2022</v>
      </c>
      <c r="C797" s="86" t="n">
        <v>4</v>
      </c>
      <c r="D797" s="86" t="inlineStr">
        <is>
          <t>2022-04</t>
        </is>
      </c>
      <c r="E797" s="87" t="n">
        <v>253.5</v>
      </c>
      <c r="F797" s="87" t="n">
        <v>167.9028</v>
      </c>
      <c r="G797" s="88">
        <f>DAY(EOMONTH(DATE(B797,C797,1),0))</f>
        <v/>
      </c>
      <c r="H797" s="89">
        <f>F797/G797</f>
        <v/>
      </c>
    </row>
    <row r="798">
      <c r="A798" s="86" t="inlineStr">
        <is>
          <t>전북</t>
        </is>
      </c>
      <c r="B798" s="86" t="n">
        <v>2022</v>
      </c>
      <c r="C798" s="86" t="n">
        <v>5</v>
      </c>
      <c r="D798" s="86" t="inlineStr">
        <is>
          <t>2022-05</t>
        </is>
      </c>
      <c r="E798" s="87" t="n">
        <v>298.7</v>
      </c>
      <c r="F798" s="87" t="n">
        <v>201.9556</v>
      </c>
      <c r="G798" s="88">
        <f>DAY(EOMONTH(DATE(B798,C798,1),0))</f>
        <v/>
      </c>
      <c r="H798" s="89">
        <f>F798/G798</f>
        <v/>
      </c>
    </row>
    <row r="799">
      <c r="A799" s="86" t="inlineStr">
        <is>
          <t>전북</t>
        </is>
      </c>
      <c r="B799" s="86" t="n">
        <v>2022</v>
      </c>
      <c r="C799" s="86" t="n">
        <v>6</v>
      </c>
      <c r="D799" s="86" t="inlineStr">
        <is>
          <t>2022-06</t>
        </is>
      </c>
      <c r="E799" s="87" t="n">
        <v>178.9</v>
      </c>
      <c r="F799" s="87" t="n">
        <v>147.3028</v>
      </c>
      <c r="G799" s="88">
        <f>DAY(EOMONTH(DATE(B799,C799,1),0))</f>
        <v/>
      </c>
      <c r="H799" s="89">
        <f>F799/G799</f>
        <v/>
      </c>
    </row>
    <row r="800">
      <c r="A800" s="86" t="inlineStr">
        <is>
          <t>전북</t>
        </is>
      </c>
      <c r="B800" s="86" t="n">
        <v>2022</v>
      </c>
      <c r="C800" s="86" t="n">
        <v>7</v>
      </c>
      <c r="D800" s="86" t="inlineStr">
        <is>
          <t>2022-07</t>
        </is>
      </c>
      <c r="E800" s="87" t="n">
        <v>176.6</v>
      </c>
      <c r="F800" s="87" t="n">
        <v>141.7056</v>
      </c>
      <c r="G800" s="88">
        <f>DAY(EOMONTH(DATE(B800,C800,1),0))</f>
        <v/>
      </c>
      <c r="H800" s="89">
        <f>F800/G800</f>
        <v/>
      </c>
    </row>
    <row r="801">
      <c r="A801" s="86" t="inlineStr">
        <is>
          <t>전북</t>
        </is>
      </c>
      <c r="B801" s="86" t="n">
        <v>2022</v>
      </c>
      <c r="C801" s="86" t="n">
        <v>8</v>
      </c>
      <c r="D801" s="86" t="inlineStr">
        <is>
          <t>2022-08</t>
        </is>
      </c>
      <c r="E801" s="87" t="n">
        <v>129.6</v>
      </c>
      <c r="F801" s="87" t="n">
        <v>116.7333</v>
      </c>
      <c r="G801" s="88">
        <f>DAY(EOMONTH(DATE(B801,C801,1),0))</f>
        <v/>
      </c>
      <c r="H801" s="89">
        <f>F801/G801</f>
        <v/>
      </c>
    </row>
    <row r="802">
      <c r="A802" s="86" t="inlineStr">
        <is>
          <t>전북</t>
        </is>
      </c>
      <c r="B802" s="86" t="n">
        <v>2022</v>
      </c>
      <c r="C802" s="86" t="n">
        <v>9</v>
      </c>
      <c r="D802" s="86" t="inlineStr">
        <is>
          <t>2022-09</t>
        </is>
      </c>
      <c r="E802" s="87" t="n">
        <v>186.9</v>
      </c>
      <c r="F802" s="87" t="n">
        <v>129.95</v>
      </c>
      <c r="G802" s="88">
        <f>DAY(EOMONTH(DATE(B802,C802,1),0))</f>
        <v/>
      </c>
      <c r="H802" s="89">
        <f>F802/G802</f>
        <v/>
      </c>
    </row>
    <row r="803">
      <c r="A803" s="86" t="inlineStr">
        <is>
          <t>전북</t>
        </is>
      </c>
      <c r="B803" s="86" t="n">
        <v>2022</v>
      </c>
      <c r="C803" s="86" t="n">
        <v>10</v>
      </c>
      <c r="D803" s="86" t="inlineStr">
        <is>
          <t>2022-10</t>
        </is>
      </c>
      <c r="E803" s="87" t="n">
        <v>225.5</v>
      </c>
      <c r="F803" s="87" t="n">
        <v>124.0306</v>
      </c>
      <c r="G803" s="88">
        <f>DAY(EOMONTH(DATE(B803,C803,1),0))</f>
        <v/>
      </c>
      <c r="H803" s="89">
        <f>F803/G803</f>
        <v/>
      </c>
    </row>
    <row r="804">
      <c r="A804" s="86" t="inlineStr">
        <is>
          <t>전북</t>
        </is>
      </c>
      <c r="B804" s="86" t="n">
        <v>2022</v>
      </c>
      <c r="C804" s="86" t="n">
        <v>11</v>
      </c>
      <c r="D804" s="86" t="inlineStr">
        <is>
          <t>2022-11</t>
        </is>
      </c>
      <c r="E804" s="87" t="n">
        <v>194.2</v>
      </c>
      <c r="F804" s="87" t="n">
        <v>83.6972</v>
      </c>
      <c r="G804" s="88">
        <f>DAY(EOMONTH(DATE(B804,C804,1),0))</f>
        <v/>
      </c>
      <c r="H804" s="89">
        <f>F804/G804</f>
        <v/>
      </c>
    </row>
    <row r="805">
      <c r="A805" s="86" t="inlineStr">
        <is>
          <t>전북</t>
        </is>
      </c>
      <c r="B805" s="86" t="n">
        <v>2022</v>
      </c>
      <c r="C805" s="86" t="n">
        <v>12</v>
      </c>
      <c r="D805" s="86" t="inlineStr">
        <is>
          <t>2022-12</t>
        </is>
      </c>
      <c r="E805" s="87" t="n">
        <v>161.4</v>
      </c>
      <c r="F805" s="87" t="n">
        <v>67.9556</v>
      </c>
      <c r="G805" s="88">
        <f>DAY(EOMONTH(DATE(B805,C805,1),0))</f>
        <v/>
      </c>
      <c r="H805" s="89">
        <f>F805/G805</f>
        <v/>
      </c>
    </row>
    <row r="806">
      <c r="A806" s="86" t="inlineStr">
        <is>
          <t>전북</t>
        </is>
      </c>
      <c r="B806" s="86" t="n">
        <v>2023</v>
      </c>
      <c r="C806" s="86" t="n">
        <v>1</v>
      </c>
      <c r="D806" s="86" t="inlineStr">
        <is>
          <t>2023-01</t>
        </is>
      </c>
      <c r="E806" s="87" t="n">
        <v>200.3</v>
      </c>
      <c r="F806" s="87" t="n">
        <v>81.15000000000001</v>
      </c>
      <c r="G806" s="88">
        <f>DAY(EOMONTH(DATE(B806,C806,1),0))</f>
        <v/>
      </c>
      <c r="H806" s="89">
        <f>F806/G806</f>
        <v/>
      </c>
    </row>
    <row r="807">
      <c r="A807" s="86" t="inlineStr">
        <is>
          <t>전북</t>
        </is>
      </c>
      <c r="B807" s="86" t="n">
        <v>2023</v>
      </c>
      <c r="C807" s="86" t="n">
        <v>2</v>
      </c>
      <c r="D807" s="86" t="inlineStr">
        <is>
          <t>2023-02</t>
        </is>
      </c>
      <c r="E807" s="87" t="n">
        <v>182.7</v>
      </c>
      <c r="F807" s="87" t="n">
        <v>92.71939999999999</v>
      </c>
      <c r="G807" s="88">
        <f>DAY(EOMONTH(DATE(B807,C807,1),0))</f>
        <v/>
      </c>
      <c r="H807" s="89">
        <f>F807/G807</f>
        <v/>
      </c>
    </row>
    <row r="808">
      <c r="A808" s="86" t="inlineStr">
        <is>
          <t>전북</t>
        </is>
      </c>
      <c r="B808" s="86" t="n">
        <v>2023</v>
      </c>
      <c r="C808" s="86" t="n">
        <v>3</v>
      </c>
      <c r="D808" s="86" t="inlineStr">
        <is>
          <t>2023-03</t>
        </is>
      </c>
      <c r="E808" s="87" t="n">
        <v>245.7</v>
      </c>
      <c r="F808" s="87" t="n">
        <v>141.2167</v>
      </c>
      <c r="G808" s="88">
        <f>DAY(EOMONTH(DATE(B808,C808,1),0))</f>
        <v/>
      </c>
      <c r="H808" s="89">
        <f>F808/G808</f>
        <v/>
      </c>
    </row>
    <row r="809">
      <c r="A809" s="86" t="inlineStr">
        <is>
          <t>전북</t>
        </is>
      </c>
      <c r="B809" s="86" t="n">
        <v>2023</v>
      </c>
      <c r="C809" s="86" t="n">
        <v>4</v>
      </c>
      <c r="D809" s="86" t="inlineStr">
        <is>
          <t>2023-04</t>
        </is>
      </c>
      <c r="E809" s="87" t="n">
        <v>197.3</v>
      </c>
      <c r="F809" s="87" t="n">
        <v>138.9111</v>
      </c>
      <c r="G809" s="88">
        <f>DAY(EOMONTH(DATE(B809,C809,1),0))</f>
        <v/>
      </c>
      <c r="H809" s="89">
        <f>F809/G809</f>
        <v/>
      </c>
    </row>
    <row r="810">
      <c r="A810" s="86" t="inlineStr">
        <is>
          <t>전북</t>
        </is>
      </c>
      <c r="B810" s="86" t="n">
        <v>2023</v>
      </c>
      <c r="C810" s="86" t="n">
        <v>5</v>
      </c>
      <c r="D810" s="86" t="inlineStr">
        <is>
          <t>2023-05</t>
        </is>
      </c>
      <c r="E810" s="87" t="n">
        <v>216.6</v>
      </c>
      <c r="F810" s="87" t="n">
        <v>158.7639</v>
      </c>
      <c r="G810" s="88">
        <f>DAY(EOMONTH(DATE(B810,C810,1),0))</f>
        <v/>
      </c>
      <c r="H810" s="89">
        <f>F810/G810</f>
        <v/>
      </c>
    </row>
    <row r="811">
      <c r="A811" s="86" t="inlineStr">
        <is>
          <t>전북</t>
        </is>
      </c>
      <c r="B811" s="86" t="n">
        <v>2023</v>
      </c>
      <c r="C811" s="86" t="n">
        <v>6</v>
      </c>
      <c r="D811" s="86" t="inlineStr">
        <is>
          <t>2023-06</t>
        </is>
      </c>
      <c r="E811" s="87" t="n">
        <v>224.9</v>
      </c>
      <c r="F811" s="87" t="n">
        <v>166.2167</v>
      </c>
      <c r="G811" s="88">
        <f>DAY(EOMONTH(DATE(B811,C811,1),0))</f>
        <v/>
      </c>
      <c r="H811" s="89">
        <f>F811/G811</f>
        <v/>
      </c>
    </row>
    <row r="812">
      <c r="A812" s="86" t="inlineStr">
        <is>
          <t>전북</t>
        </is>
      </c>
      <c r="B812" s="86" t="n">
        <v>2023</v>
      </c>
      <c r="C812" s="86" t="n">
        <v>7</v>
      </c>
      <c r="D812" s="86" t="inlineStr">
        <is>
          <t>2023-07</t>
        </is>
      </c>
      <c r="E812" s="87" t="n">
        <v>152.8</v>
      </c>
      <c r="F812" s="87" t="n">
        <v>125.6389</v>
      </c>
      <c r="G812" s="88">
        <f>DAY(EOMONTH(DATE(B812,C812,1),0))</f>
        <v/>
      </c>
      <c r="H812" s="89">
        <f>F812/G812</f>
        <v/>
      </c>
    </row>
    <row r="813">
      <c r="A813" s="86" t="inlineStr">
        <is>
          <t>전북</t>
        </is>
      </c>
      <c r="B813" s="86" t="n">
        <v>2023</v>
      </c>
      <c r="C813" s="86" t="n">
        <v>8</v>
      </c>
      <c r="D813" s="86" t="inlineStr">
        <is>
          <t>2023-08</t>
        </is>
      </c>
      <c r="E813" s="87" t="n">
        <v>212.8</v>
      </c>
      <c r="F813" s="87" t="n">
        <v>142.6083</v>
      </c>
      <c r="G813" s="88">
        <f>DAY(EOMONTH(DATE(B813,C813,1),0))</f>
        <v/>
      </c>
      <c r="H813" s="89">
        <f>F813/G813</f>
        <v/>
      </c>
    </row>
    <row r="814">
      <c r="A814" s="86" t="inlineStr">
        <is>
          <t>전북</t>
        </is>
      </c>
      <c r="B814" s="86" t="n">
        <v>2023</v>
      </c>
      <c r="C814" s="86" t="n">
        <v>9</v>
      </c>
      <c r="D814" s="86" t="inlineStr">
        <is>
          <t>2023-09</t>
        </is>
      </c>
      <c r="E814" s="87" t="n">
        <v>170</v>
      </c>
      <c r="F814" s="87" t="n">
        <v>120.3778</v>
      </c>
      <c r="G814" s="88">
        <f>DAY(EOMONTH(DATE(B814,C814,1),0))</f>
        <v/>
      </c>
      <c r="H814" s="89">
        <f>F814/G814</f>
        <v/>
      </c>
    </row>
    <row r="815">
      <c r="A815" s="86" t="inlineStr">
        <is>
          <t>전북</t>
        </is>
      </c>
      <c r="B815" s="86" t="n">
        <v>2023</v>
      </c>
      <c r="C815" s="86" t="n">
        <v>10</v>
      </c>
      <c r="D815" s="86" t="inlineStr">
        <is>
          <t>2023-10</t>
        </is>
      </c>
      <c r="E815" s="87" t="n">
        <v>235</v>
      </c>
      <c r="F815" s="87" t="n">
        <v>121.125</v>
      </c>
      <c r="G815" s="88">
        <f>DAY(EOMONTH(DATE(B815,C815,1),0))</f>
        <v/>
      </c>
      <c r="H815" s="89">
        <f>F815/G815</f>
        <v/>
      </c>
    </row>
    <row r="816">
      <c r="A816" s="86" t="inlineStr">
        <is>
          <t>전북</t>
        </is>
      </c>
      <c r="B816" s="86" t="n">
        <v>2023</v>
      </c>
      <c r="C816" s="86" t="n">
        <v>11</v>
      </c>
      <c r="D816" s="86" t="inlineStr">
        <is>
          <t>2023-11</t>
        </is>
      </c>
      <c r="E816" s="87" t="n">
        <v>167.4</v>
      </c>
      <c r="F816" s="87" t="n">
        <v>74.87779999999999</v>
      </c>
      <c r="G816" s="88">
        <f>DAY(EOMONTH(DATE(B816,C816,1),0))</f>
        <v/>
      </c>
      <c r="H816" s="89">
        <f>F816/G816</f>
        <v/>
      </c>
    </row>
    <row r="817">
      <c r="A817" s="86" t="inlineStr">
        <is>
          <t>전북</t>
        </is>
      </c>
      <c r="B817" s="86" t="n">
        <v>2023</v>
      </c>
      <c r="C817" s="86" t="n">
        <v>12</v>
      </c>
      <c r="D817" s="86" t="inlineStr">
        <is>
          <t>2023-12</t>
        </is>
      </c>
      <c r="E817" s="87" t="n">
        <v>121.5</v>
      </c>
      <c r="F817" s="87" t="n">
        <v>59.3528</v>
      </c>
      <c r="G817" s="88">
        <f>DAY(EOMONTH(DATE(B817,C817,1),0))</f>
        <v/>
      </c>
      <c r="H817" s="89">
        <f>F817/G817</f>
        <v/>
      </c>
    </row>
    <row r="818">
      <c r="A818" s="86" t="inlineStr">
        <is>
          <t>전북</t>
        </is>
      </c>
      <c r="B818" s="86" t="n">
        <v>2024</v>
      </c>
      <c r="C818" s="86" t="n">
        <v>1</v>
      </c>
      <c r="D818" s="86" t="inlineStr">
        <is>
          <t>2024-01</t>
        </is>
      </c>
      <c r="E818" s="87" t="n">
        <v>156.7</v>
      </c>
      <c r="F818" s="87" t="n">
        <v>72.2611</v>
      </c>
      <c r="G818" s="88">
        <f>DAY(EOMONTH(DATE(B818,C818,1),0))</f>
        <v/>
      </c>
      <c r="H818" s="89">
        <f>F818/G818</f>
        <v/>
      </c>
    </row>
    <row r="819">
      <c r="A819" s="86" t="inlineStr">
        <is>
          <t>전북</t>
        </is>
      </c>
      <c r="B819" s="86" t="n">
        <v>2024</v>
      </c>
      <c r="C819" s="86" t="n">
        <v>2</v>
      </c>
      <c r="D819" s="86" t="inlineStr">
        <is>
          <t>2024-02</t>
        </is>
      </c>
      <c r="E819" s="87" t="n">
        <v>115.1</v>
      </c>
      <c r="F819" s="87" t="n">
        <v>69.03060000000001</v>
      </c>
      <c r="G819" s="88">
        <f>DAY(EOMONTH(DATE(B819,C819,1),0))</f>
        <v/>
      </c>
      <c r="H819" s="89">
        <f>F819/G819</f>
        <v/>
      </c>
    </row>
    <row r="820">
      <c r="A820" s="86" t="inlineStr">
        <is>
          <t>전북</t>
        </is>
      </c>
      <c r="B820" s="86" t="n">
        <v>2024</v>
      </c>
      <c r="C820" s="86" t="n">
        <v>3</v>
      </c>
      <c r="D820" s="86" t="inlineStr">
        <is>
          <t>2024-03</t>
        </is>
      </c>
      <c r="E820" s="87" t="n">
        <v>206.6</v>
      </c>
      <c r="F820" s="87" t="n">
        <v>124.875</v>
      </c>
      <c r="G820" s="88">
        <f>DAY(EOMONTH(DATE(B820,C820,1),0))</f>
        <v/>
      </c>
      <c r="H820" s="89">
        <f>F820/G820</f>
        <v/>
      </c>
    </row>
    <row r="821">
      <c r="A821" s="86" t="inlineStr">
        <is>
          <t>전북</t>
        </is>
      </c>
      <c r="B821" s="86" t="n">
        <v>2024</v>
      </c>
      <c r="C821" s="86" t="n">
        <v>4</v>
      </c>
      <c r="D821" s="86" t="inlineStr">
        <is>
          <t>2024-04</t>
        </is>
      </c>
      <c r="E821" s="87" t="n">
        <v>195</v>
      </c>
      <c r="F821" s="87" t="n">
        <v>137.8167</v>
      </c>
      <c r="G821" s="88">
        <f>DAY(EOMONTH(DATE(B821,C821,1),0))</f>
        <v/>
      </c>
      <c r="H821" s="89">
        <f>F821/G821</f>
        <v/>
      </c>
    </row>
    <row r="822">
      <c r="A822" s="86" t="inlineStr">
        <is>
          <t>전북</t>
        </is>
      </c>
      <c r="B822" s="86" t="n">
        <v>2024</v>
      </c>
      <c r="C822" s="86" t="n">
        <v>5</v>
      </c>
      <c r="D822" s="86" t="inlineStr">
        <is>
          <t>2024-05</t>
        </is>
      </c>
      <c r="E822" s="87" t="n">
        <v>274.2</v>
      </c>
      <c r="F822" s="87" t="n">
        <v>190.775</v>
      </c>
      <c r="G822" s="88">
        <f>DAY(EOMONTH(DATE(B822,C822,1),0))</f>
        <v/>
      </c>
      <c r="H822" s="89">
        <f>F822/G822</f>
        <v/>
      </c>
    </row>
    <row r="823">
      <c r="A823" s="86" t="inlineStr">
        <is>
          <t>전북</t>
        </is>
      </c>
      <c r="B823" s="86" t="n">
        <v>2024</v>
      </c>
      <c r="C823" s="86" t="n">
        <v>6</v>
      </c>
      <c r="D823" s="86" t="inlineStr">
        <is>
          <t>2024-06</t>
        </is>
      </c>
      <c r="E823" s="87" t="n">
        <v>244.1</v>
      </c>
      <c r="F823" s="87" t="n">
        <v>173.3694</v>
      </c>
      <c r="G823" s="88">
        <f>DAY(EOMONTH(DATE(B823,C823,1),0))</f>
        <v/>
      </c>
      <c r="H823" s="89">
        <f>F823/G823</f>
        <v/>
      </c>
    </row>
    <row r="824">
      <c r="A824" s="86" t="inlineStr">
        <is>
          <t>전북</t>
        </is>
      </c>
      <c r="B824" s="86" t="n">
        <v>2024</v>
      </c>
      <c r="C824" s="86" t="n">
        <v>7</v>
      </c>
      <c r="D824" s="86" t="inlineStr">
        <is>
          <t>2024-07</t>
        </is>
      </c>
      <c r="E824" s="87" t="n">
        <v>140.1</v>
      </c>
      <c r="F824" s="87" t="n">
        <v>131.7833</v>
      </c>
      <c r="G824" s="88">
        <f>DAY(EOMONTH(DATE(B824,C824,1),0))</f>
        <v/>
      </c>
      <c r="H824" s="89">
        <f>F824/G824</f>
        <v/>
      </c>
    </row>
    <row r="825">
      <c r="A825" s="86" t="inlineStr">
        <is>
          <t>전북</t>
        </is>
      </c>
      <c r="B825" s="86" t="n">
        <v>2024</v>
      </c>
      <c r="C825" s="86" t="n">
        <v>8</v>
      </c>
      <c r="D825" s="86" t="inlineStr">
        <is>
          <t>2024-08</t>
        </is>
      </c>
      <c r="E825" s="87" t="n">
        <v>247</v>
      </c>
      <c r="F825" s="87" t="n">
        <v>162.1917</v>
      </c>
      <c r="G825" s="88">
        <f>DAY(EOMONTH(DATE(B825,C825,1),0))</f>
        <v/>
      </c>
      <c r="H825" s="89">
        <f>F825/G825</f>
        <v/>
      </c>
    </row>
    <row r="826">
      <c r="A826" s="86" t="inlineStr">
        <is>
          <t>전북</t>
        </is>
      </c>
      <c r="B826" s="86" t="n">
        <v>2024</v>
      </c>
      <c r="C826" s="86" t="n">
        <v>9</v>
      </c>
      <c r="D826" s="86" t="inlineStr">
        <is>
          <t>2024-09</t>
        </is>
      </c>
      <c r="E826" s="87" t="n">
        <v>202.7</v>
      </c>
      <c r="F826" s="87" t="n">
        <v>125.6833</v>
      </c>
      <c r="G826" s="88">
        <f>DAY(EOMONTH(DATE(B826,C826,1),0))</f>
        <v/>
      </c>
      <c r="H826" s="89">
        <f>F826/G826</f>
        <v/>
      </c>
    </row>
    <row r="827">
      <c r="A827" s="86" t="inlineStr">
        <is>
          <t>전북</t>
        </is>
      </c>
      <c r="B827" s="86" t="n">
        <v>2024</v>
      </c>
      <c r="C827" s="86" t="n">
        <v>10</v>
      </c>
      <c r="D827" s="86" t="inlineStr">
        <is>
          <t>2024-10</t>
        </is>
      </c>
      <c r="E827" s="87" t="n">
        <v>160.9</v>
      </c>
      <c r="F827" s="87" t="n">
        <v>95.325</v>
      </c>
      <c r="G827" s="88">
        <f>DAY(EOMONTH(DATE(B827,C827,1),0))</f>
        <v/>
      </c>
      <c r="H827" s="89">
        <f>F827/G827</f>
        <v/>
      </c>
    </row>
    <row r="828">
      <c r="A828" s="86" t="inlineStr">
        <is>
          <t>전북</t>
        </is>
      </c>
      <c r="B828" s="86" t="n">
        <v>2024</v>
      </c>
      <c r="C828" s="86" t="n">
        <v>11</v>
      </c>
      <c r="D828" s="86" t="inlineStr">
        <is>
          <t>2024-11</t>
        </is>
      </c>
      <c r="E828" s="87" t="n">
        <v>174.8</v>
      </c>
      <c r="F828" s="87" t="n">
        <v>77.3111</v>
      </c>
      <c r="G828" s="88">
        <f>DAY(EOMONTH(DATE(B828,C828,1),0))</f>
        <v/>
      </c>
      <c r="H828" s="89">
        <f>F828/G828</f>
        <v/>
      </c>
    </row>
    <row r="829">
      <c r="A829" s="86" t="inlineStr">
        <is>
          <t>전북</t>
        </is>
      </c>
      <c r="B829" s="86" t="n">
        <v>2024</v>
      </c>
      <c r="C829" s="86" t="n">
        <v>12</v>
      </c>
      <c r="D829" s="86" t="inlineStr">
        <is>
          <t>2024-12</t>
        </is>
      </c>
      <c r="E829" s="87" t="n">
        <v>149.9</v>
      </c>
      <c r="F829" s="87" t="n">
        <v>65.3111</v>
      </c>
      <c r="G829" s="88">
        <f>DAY(EOMONTH(DATE(B829,C829,1),0))</f>
        <v/>
      </c>
      <c r="H829" s="89">
        <f>F829/G829</f>
        <v/>
      </c>
    </row>
    <row r="830">
      <c r="A830" s="86" t="inlineStr">
        <is>
          <t>전북</t>
        </is>
      </c>
      <c r="B830" s="86" t="n">
        <v>2025</v>
      </c>
      <c r="C830" s="86" t="n">
        <v>1</v>
      </c>
      <c r="D830" s="86" t="inlineStr">
        <is>
          <t>2025-01</t>
        </is>
      </c>
      <c r="E830" s="87" t="n">
        <v>175.3</v>
      </c>
      <c r="F830" s="87" t="n">
        <v>76.375</v>
      </c>
      <c r="G830" s="88">
        <f>DAY(EOMONTH(DATE(B830,C830,1),0))</f>
        <v/>
      </c>
      <c r="H830" s="89">
        <f>F830/G830</f>
        <v/>
      </c>
    </row>
    <row r="831">
      <c r="A831" s="86" t="inlineStr">
        <is>
          <t>전북</t>
        </is>
      </c>
      <c r="B831" s="86" t="n">
        <v>2025</v>
      </c>
      <c r="C831" s="86" t="n">
        <v>2</v>
      </c>
      <c r="D831" s="86" t="inlineStr">
        <is>
          <t>2025-02</t>
        </is>
      </c>
      <c r="E831" s="87" t="n">
        <v>200.7</v>
      </c>
      <c r="F831" s="87" t="n">
        <v>102.4167</v>
      </c>
      <c r="G831" s="88">
        <f>DAY(EOMONTH(DATE(B831,C831,1),0))</f>
        <v/>
      </c>
      <c r="H831" s="89">
        <f>F831/G831</f>
        <v/>
      </c>
    </row>
    <row r="832">
      <c r="A832" s="86" t="inlineStr">
        <is>
          <t>전북</t>
        </is>
      </c>
      <c r="B832" s="86" t="n">
        <v>2025</v>
      </c>
      <c r="C832" s="86" t="n">
        <v>3</v>
      </c>
      <c r="D832" s="86" t="inlineStr">
        <is>
          <t>2025-03</t>
        </is>
      </c>
      <c r="E832" s="87" t="n">
        <v>218</v>
      </c>
      <c r="F832" s="87" t="n">
        <v>127.9556</v>
      </c>
      <c r="G832" s="88">
        <f>DAY(EOMONTH(DATE(B832,C832,1),0))</f>
        <v/>
      </c>
      <c r="H832" s="89">
        <f>F832/G832</f>
        <v/>
      </c>
    </row>
    <row r="833">
      <c r="A833" s="86" t="inlineStr">
        <is>
          <t>전북</t>
        </is>
      </c>
      <c r="B833" s="86" t="n">
        <v>2025</v>
      </c>
      <c r="C833" s="86" t="n">
        <v>4</v>
      </c>
      <c r="D833" s="86" t="inlineStr">
        <is>
          <t>2025-04</t>
        </is>
      </c>
      <c r="E833" s="87" t="n">
        <v>251.2</v>
      </c>
      <c r="F833" s="87" t="n">
        <v>162.5889</v>
      </c>
      <c r="G833" s="88">
        <f>DAY(EOMONTH(DATE(B833,C833,1),0))</f>
        <v/>
      </c>
      <c r="H833" s="89">
        <f>F833/G833</f>
        <v/>
      </c>
    </row>
    <row r="834">
      <c r="A834" s="86" t="inlineStr">
        <is>
          <t>전북</t>
        </is>
      </c>
      <c r="B834" s="86" t="n">
        <v>2025</v>
      </c>
      <c r="C834" s="86" t="n">
        <v>5</v>
      </c>
      <c r="D834" s="86" t="inlineStr">
        <is>
          <t>2025-05</t>
        </is>
      </c>
      <c r="E834" s="87" t="n">
        <v>207.8</v>
      </c>
      <c r="F834" s="87" t="n">
        <v>155.7278</v>
      </c>
      <c r="G834" s="88">
        <f>DAY(EOMONTH(DATE(B834,C834,1),0))</f>
        <v/>
      </c>
      <c r="H834" s="89">
        <f>F834/G834</f>
        <v/>
      </c>
    </row>
    <row r="835">
      <c r="A835" s="86" t="inlineStr">
        <is>
          <t>전북</t>
        </is>
      </c>
      <c r="B835" s="86" t="n">
        <v>2025</v>
      </c>
      <c r="C835" s="86" t="n">
        <v>6</v>
      </c>
      <c r="D835" s="86" t="inlineStr">
        <is>
          <t>2025-06</t>
        </is>
      </c>
      <c r="E835" s="87" t="n">
        <v>222.1</v>
      </c>
      <c r="F835" s="87" t="n">
        <v>173.3583</v>
      </c>
      <c r="G835" s="88">
        <f>DAY(EOMONTH(DATE(B835,C835,1),0))</f>
        <v/>
      </c>
      <c r="H835" s="89">
        <f>F835/G835</f>
        <v/>
      </c>
    </row>
    <row r="836">
      <c r="A836" s="86" t="inlineStr">
        <is>
          <t>전북</t>
        </is>
      </c>
      <c r="B836" s="86" t="n">
        <v>2025</v>
      </c>
      <c r="C836" s="86" t="n">
        <v>7</v>
      </c>
      <c r="D836" s="86" t="inlineStr">
        <is>
          <t>2025-07</t>
        </is>
      </c>
      <c r="E836" s="87" t="n">
        <v>247.3</v>
      </c>
      <c r="F836" s="87" t="n">
        <v>173.9917</v>
      </c>
      <c r="G836" s="88">
        <f>DAY(EOMONTH(DATE(B836,C836,1),0))</f>
        <v/>
      </c>
      <c r="H836" s="89">
        <f>F836/G836</f>
        <v/>
      </c>
    </row>
    <row r="837">
      <c r="A837" s="86" t="inlineStr">
        <is>
          <t>전북</t>
        </is>
      </c>
      <c r="B837" s="86" t="n">
        <v>2025</v>
      </c>
      <c r="C837" s="86" t="n">
        <v>8</v>
      </c>
      <c r="D837" s="86" t="inlineStr">
        <is>
          <t>2025-08</t>
        </is>
      </c>
      <c r="E837" s="87" t="n">
        <v>225.6</v>
      </c>
      <c r="F837" s="87" t="n">
        <v>161.9472</v>
      </c>
      <c r="G837" s="88">
        <f>DAY(EOMONTH(DATE(B837,C837,1),0))</f>
        <v/>
      </c>
      <c r="H837" s="89">
        <f>F837/G837</f>
        <v/>
      </c>
    </row>
    <row r="838">
      <c r="A838" s="86" t="inlineStr">
        <is>
          <t>전북</t>
        </is>
      </c>
      <c r="B838" s="86" t="n">
        <v>2025</v>
      </c>
      <c r="C838" s="86" t="n">
        <v>9</v>
      </c>
      <c r="D838" s="86" t="inlineStr">
        <is>
          <t>2025-09</t>
        </is>
      </c>
      <c r="E838" s="87" t="n">
        <v>126.9</v>
      </c>
      <c r="F838" s="87" t="n">
        <v>109.9111</v>
      </c>
      <c r="G838" s="88">
        <f>DAY(EOMONTH(DATE(B838,C838,1),0))</f>
        <v/>
      </c>
      <c r="H838" s="89">
        <f>F838/G838</f>
        <v/>
      </c>
    </row>
    <row r="839">
      <c r="A839" s="86" t="inlineStr">
        <is>
          <t>전북</t>
        </is>
      </c>
      <c r="B839" s="86" t="n">
        <v>2025</v>
      </c>
      <c r="C839" s="86" t="n">
        <v>10</v>
      </c>
      <c r="D839" s="86" t="inlineStr">
        <is>
          <t>2025-10</t>
        </is>
      </c>
      <c r="E839" s="87" t="n">
        <v>143.8</v>
      </c>
      <c r="F839" s="87" t="n">
        <v>93.0639</v>
      </c>
      <c r="G839" s="88">
        <f>DAY(EOMONTH(DATE(B839,C839,1),0))</f>
        <v/>
      </c>
      <c r="H839" s="89">
        <f>F839/G839</f>
        <v/>
      </c>
    </row>
    <row r="840">
      <c r="A840" s="86" t="inlineStr">
        <is>
          <t>전북</t>
        </is>
      </c>
      <c r="B840" s="86" t="n">
        <v>2025</v>
      </c>
      <c r="C840" s="86" t="n">
        <v>11</v>
      </c>
      <c r="D840" s="86" t="inlineStr">
        <is>
          <t>2025-11</t>
        </is>
      </c>
      <c r="E840" s="87" t="n">
        <v>206.9</v>
      </c>
      <c r="F840" s="87" t="n">
        <v>92.4667</v>
      </c>
      <c r="G840" s="88">
        <f>DAY(EOMONTH(DATE(B840,C840,1),0))</f>
        <v/>
      </c>
      <c r="H840" s="89">
        <f>F840/G840</f>
        <v/>
      </c>
    </row>
    <row r="841">
      <c r="A841" s="86" t="inlineStr">
        <is>
          <t>전북</t>
        </is>
      </c>
      <c r="B841" s="86" t="n">
        <v>2025</v>
      </c>
      <c r="C841" s="86" t="n">
        <v>12</v>
      </c>
      <c r="D841" s="86" t="inlineStr">
        <is>
          <t>2025-12</t>
        </is>
      </c>
      <c r="E841" s="87" t="n">
        <v>166.5</v>
      </c>
      <c r="F841" s="87" t="n">
        <v>70.1139</v>
      </c>
      <c r="G841" s="88">
        <f>DAY(EOMONTH(DATE(B841,C841,1),0))</f>
        <v/>
      </c>
      <c r="H841" s="89">
        <f>F841/G841</f>
        <v/>
      </c>
    </row>
    <row r="842">
      <c r="A842" s="86" t="inlineStr">
        <is>
          <t>제주</t>
        </is>
      </c>
      <c r="B842" s="86" t="n">
        <v>2016</v>
      </c>
      <c r="C842" s="86" t="n">
        <v>1</v>
      </c>
      <c r="D842" s="86" t="inlineStr">
        <is>
          <t>2016-01</t>
        </is>
      </c>
      <c r="E842" s="87" t="n">
        <v>73.3</v>
      </c>
      <c r="F842" s="87" t="n">
        <v>36.875</v>
      </c>
      <c r="G842" s="88">
        <f>DAY(EOMONTH(DATE(B842,C842,1),0))</f>
        <v/>
      </c>
      <c r="H842" s="89">
        <f>F842/G842</f>
        <v/>
      </c>
    </row>
    <row r="843">
      <c r="A843" s="86" t="inlineStr">
        <is>
          <t>제주</t>
        </is>
      </c>
      <c r="B843" s="86" t="n">
        <v>2016</v>
      </c>
      <c r="C843" s="86" t="n">
        <v>2</v>
      </c>
      <c r="D843" s="86" t="inlineStr">
        <is>
          <t>2016-02</t>
        </is>
      </c>
      <c r="E843" s="87" t="n">
        <v>142.1</v>
      </c>
      <c r="F843" s="87" t="n">
        <v>74.7139</v>
      </c>
      <c r="G843" s="88">
        <f>DAY(EOMONTH(DATE(B843,C843,1),0))</f>
        <v/>
      </c>
      <c r="H843" s="89">
        <f>F843/G843</f>
        <v/>
      </c>
    </row>
    <row r="844">
      <c r="A844" s="86" t="inlineStr">
        <is>
          <t>제주</t>
        </is>
      </c>
      <c r="B844" s="86" t="n">
        <v>2016</v>
      </c>
      <c r="C844" s="86" t="n">
        <v>3</v>
      </c>
      <c r="D844" s="86" t="inlineStr">
        <is>
          <t>2016-03</t>
        </is>
      </c>
      <c r="E844" s="87" t="n">
        <v>198</v>
      </c>
      <c r="F844" s="87" t="n">
        <v>133.1889</v>
      </c>
      <c r="G844" s="88">
        <f>DAY(EOMONTH(DATE(B844,C844,1),0))</f>
        <v/>
      </c>
      <c r="H844" s="89">
        <f>F844/G844</f>
        <v/>
      </c>
    </row>
    <row r="845">
      <c r="A845" s="86" t="inlineStr">
        <is>
          <t>제주</t>
        </is>
      </c>
      <c r="B845" s="86" t="n">
        <v>2016</v>
      </c>
      <c r="C845" s="86" t="n">
        <v>4</v>
      </c>
      <c r="D845" s="86" t="inlineStr">
        <is>
          <t>2016-04</t>
        </is>
      </c>
      <c r="E845" s="87" t="n">
        <v>175.7</v>
      </c>
      <c r="F845" s="87" t="n">
        <v>134.1917</v>
      </c>
      <c r="G845" s="88">
        <f>DAY(EOMONTH(DATE(B845,C845,1),0))</f>
        <v/>
      </c>
      <c r="H845" s="89">
        <f>F845/G845</f>
        <v/>
      </c>
    </row>
    <row r="846">
      <c r="A846" s="86" t="inlineStr">
        <is>
          <t>제주</t>
        </is>
      </c>
      <c r="B846" s="86" t="n">
        <v>2016</v>
      </c>
      <c r="C846" s="86" t="n">
        <v>5</v>
      </c>
      <c r="D846" s="86" t="inlineStr">
        <is>
          <t>2016-05</t>
        </is>
      </c>
      <c r="E846" s="87" t="n">
        <v>198.5</v>
      </c>
      <c r="F846" s="87" t="n">
        <v>164.4167</v>
      </c>
      <c r="G846" s="88">
        <f>DAY(EOMONTH(DATE(B846,C846,1),0))</f>
        <v/>
      </c>
      <c r="H846" s="89">
        <f>F846/G846</f>
        <v/>
      </c>
    </row>
    <row r="847">
      <c r="A847" s="86" t="inlineStr">
        <is>
          <t>제주</t>
        </is>
      </c>
      <c r="B847" s="86" t="n">
        <v>2016</v>
      </c>
      <c r="C847" s="86" t="n">
        <v>6</v>
      </c>
      <c r="D847" s="86" t="inlineStr">
        <is>
          <t>2016-06</t>
        </is>
      </c>
      <c r="E847" s="87" t="n">
        <v>110.5</v>
      </c>
      <c r="F847" s="87" t="n">
        <v>125.3833</v>
      </c>
      <c r="G847" s="88">
        <f>DAY(EOMONTH(DATE(B847,C847,1),0))</f>
        <v/>
      </c>
      <c r="H847" s="89">
        <f>F847/G847</f>
        <v/>
      </c>
    </row>
    <row r="848">
      <c r="A848" s="86" t="inlineStr">
        <is>
          <t>제주</t>
        </is>
      </c>
      <c r="B848" s="86" t="n">
        <v>2016</v>
      </c>
      <c r="C848" s="86" t="n">
        <v>7</v>
      </c>
      <c r="D848" s="86" t="inlineStr">
        <is>
          <t>2016-07</t>
        </is>
      </c>
      <c r="E848" s="87" t="n">
        <v>201</v>
      </c>
      <c r="F848" s="87" t="n">
        <v>169.5972</v>
      </c>
      <c r="G848" s="88">
        <f>DAY(EOMONTH(DATE(B848,C848,1),0))</f>
        <v/>
      </c>
      <c r="H848" s="89">
        <f>F848/G848</f>
        <v/>
      </c>
    </row>
    <row r="849">
      <c r="A849" s="86" t="inlineStr">
        <is>
          <t>제주</t>
        </is>
      </c>
      <c r="B849" s="86" t="n">
        <v>2016</v>
      </c>
      <c r="C849" s="86" t="n">
        <v>8</v>
      </c>
      <c r="D849" s="86" t="inlineStr">
        <is>
          <t>2016-08</t>
        </is>
      </c>
      <c r="E849" s="87" t="n">
        <v>270.4</v>
      </c>
      <c r="F849" s="87" t="n">
        <v>175.3722</v>
      </c>
      <c r="G849" s="88">
        <f>DAY(EOMONTH(DATE(B849,C849,1),0))</f>
        <v/>
      </c>
      <c r="H849" s="89">
        <f>F849/G849</f>
        <v/>
      </c>
    </row>
    <row r="850">
      <c r="A850" s="86" t="inlineStr">
        <is>
          <t>제주</t>
        </is>
      </c>
      <c r="B850" s="86" t="n">
        <v>2016</v>
      </c>
      <c r="C850" s="86" t="n">
        <v>9</v>
      </c>
      <c r="D850" s="86" t="inlineStr">
        <is>
          <t>2016-09</t>
        </is>
      </c>
      <c r="E850" s="87" t="n">
        <v>120.5</v>
      </c>
      <c r="F850" s="87" t="n">
        <v>101.9667</v>
      </c>
      <c r="G850" s="88">
        <f>DAY(EOMONTH(DATE(B850,C850,1),0))</f>
        <v/>
      </c>
      <c r="H850" s="89">
        <f>F850/G850</f>
        <v/>
      </c>
    </row>
    <row r="851">
      <c r="A851" s="86" t="inlineStr">
        <is>
          <t>제주</t>
        </is>
      </c>
      <c r="B851" s="86" t="n">
        <v>2016</v>
      </c>
      <c r="C851" s="86" t="n">
        <v>10</v>
      </c>
      <c r="D851" s="86" t="inlineStr">
        <is>
          <t>2016-10</t>
        </is>
      </c>
      <c r="E851" s="87" t="n">
        <v>89</v>
      </c>
      <c r="F851" s="87" t="n">
        <v>76.75279999999999</v>
      </c>
      <c r="G851" s="88">
        <f>DAY(EOMONTH(DATE(B851,C851,1),0))</f>
        <v/>
      </c>
      <c r="H851" s="89">
        <f>F851/G851</f>
        <v/>
      </c>
    </row>
    <row r="852">
      <c r="A852" s="86" t="inlineStr">
        <is>
          <t>제주</t>
        </is>
      </c>
      <c r="B852" s="86" t="n">
        <v>2016</v>
      </c>
      <c r="C852" s="86" t="n">
        <v>11</v>
      </c>
      <c r="D852" s="86" t="inlineStr">
        <is>
          <t>2016-11</t>
        </is>
      </c>
      <c r="E852" s="87" t="n">
        <v>134.7</v>
      </c>
      <c r="F852" s="87" t="n">
        <v>68.7222</v>
      </c>
      <c r="G852" s="88">
        <f>DAY(EOMONTH(DATE(B852,C852,1),0))</f>
        <v/>
      </c>
      <c r="H852" s="89">
        <f>F852/G852</f>
        <v/>
      </c>
    </row>
    <row r="853">
      <c r="A853" s="86" t="inlineStr">
        <is>
          <t>제주</t>
        </is>
      </c>
      <c r="B853" s="86" t="n">
        <v>2016</v>
      </c>
      <c r="C853" s="86" t="n">
        <v>12</v>
      </c>
      <c r="D853" s="86" t="inlineStr">
        <is>
          <t>2016-12</t>
        </is>
      </c>
      <c r="E853" s="87" t="n">
        <v>133.6</v>
      </c>
      <c r="F853" s="87" t="n">
        <v>56.4333</v>
      </c>
      <c r="G853" s="88">
        <f>DAY(EOMONTH(DATE(B853,C853,1),0))</f>
        <v/>
      </c>
      <c r="H853" s="89">
        <f>F853/G853</f>
        <v/>
      </c>
    </row>
    <row r="854">
      <c r="A854" s="86" t="inlineStr">
        <is>
          <t>제주</t>
        </is>
      </c>
      <c r="B854" s="86" t="n">
        <v>2017</v>
      </c>
      <c r="C854" s="86" t="n">
        <v>1</v>
      </c>
      <c r="D854" s="86" t="inlineStr">
        <is>
          <t>2017-01</t>
        </is>
      </c>
      <c r="E854" s="87" t="n">
        <v>133</v>
      </c>
      <c r="F854" s="87" t="n">
        <v>55.9528</v>
      </c>
      <c r="G854" s="88">
        <f>DAY(EOMONTH(DATE(B854,C854,1),0))</f>
        <v/>
      </c>
      <c r="H854" s="89">
        <f>F854/G854</f>
        <v/>
      </c>
    </row>
    <row r="855">
      <c r="A855" s="86" t="inlineStr">
        <is>
          <t>제주</t>
        </is>
      </c>
      <c r="B855" s="86" t="n">
        <v>2017</v>
      </c>
      <c r="C855" s="86" t="n">
        <v>2</v>
      </c>
      <c r="D855" s="86" t="inlineStr">
        <is>
          <t>2017-02</t>
        </is>
      </c>
      <c r="E855" s="87" t="n">
        <v>170.3</v>
      </c>
      <c r="F855" s="87" t="n">
        <v>85.51390000000001</v>
      </c>
      <c r="G855" s="88">
        <f>DAY(EOMONTH(DATE(B855,C855,1),0))</f>
        <v/>
      </c>
      <c r="H855" s="89">
        <f>F855/G855</f>
        <v/>
      </c>
    </row>
    <row r="856">
      <c r="A856" s="86" t="inlineStr">
        <is>
          <t>제주</t>
        </is>
      </c>
      <c r="B856" s="86" t="n">
        <v>2017</v>
      </c>
      <c r="C856" s="86" t="n">
        <v>3</v>
      </c>
      <c r="D856" s="86" t="inlineStr">
        <is>
          <t>2017-03</t>
        </is>
      </c>
      <c r="E856" s="87" t="n">
        <v>191</v>
      </c>
      <c r="F856" s="87" t="n">
        <v>120.4972</v>
      </c>
      <c r="G856" s="88">
        <f>DAY(EOMONTH(DATE(B856,C856,1),0))</f>
        <v/>
      </c>
      <c r="H856" s="89">
        <f>F856/G856</f>
        <v/>
      </c>
    </row>
    <row r="857">
      <c r="A857" s="86" t="inlineStr">
        <is>
          <t>제주</t>
        </is>
      </c>
      <c r="B857" s="86" t="n">
        <v>2017</v>
      </c>
      <c r="C857" s="86" t="n">
        <v>4</v>
      </c>
      <c r="D857" s="86" t="inlineStr">
        <is>
          <t>2017-04</t>
        </is>
      </c>
      <c r="E857" s="87" t="n">
        <v>194.9</v>
      </c>
      <c r="F857" s="87" t="n">
        <v>151.6</v>
      </c>
      <c r="G857" s="88">
        <f>DAY(EOMONTH(DATE(B857,C857,1),0))</f>
        <v/>
      </c>
      <c r="H857" s="89">
        <f>F857/G857</f>
        <v/>
      </c>
    </row>
    <row r="858">
      <c r="A858" s="86" t="inlineStr">
        <is>
          <t>제주</t>
        </is>
      </c>
      <c r="B858" s="86" t="n">
        <v>2017</v>
      </c>
      <c r="C858" s="86" t="n">
        <v>5</v>
      </c>
      <c r="D858" s="86" t="inlineStr">
        <is>
          <t>2017-05</t>
        </is>
      </c>
      <c r="E858" s="87" t="n">
        <v>250.6</v>
      </c>
      <c r="F858" s="87" t="n">
        <v>189.475</v>
      </c>
      <c r="G858" s="88">
        <f>DAY(EOMONTH(DATE(B858,C858,1),0))</f>
        <v/>
      </c>
      <c r="H858" s="89">
        <f>F858/G858</f>
        <v/>
      </c>
    </row>
    <row r="859">
      <c r="A859" s="86" t="inlineStr">
        <is>
          <t>제주</t>
        </is>
      </c>
      <c r="B859" s="86" t="n">
        <v>2017</v>
      </c>
      <c r="C859" s="86" t="n">
        <v>6</v>
      </c>
      <c r="D859" s="86" t="inlineStr">
        <is>
          <t>2017-06</t>
        </is>
      </c>
      <c r="E859" s="87" t="n">
        <v>177.3</v>
      </c>
      <c r="F859" s="87" t="n">
        <v>162.475</v>
      </c>
      <c r="G859" s="88">
        <f>DAY(EOMONTH(DATE(B859,C859,1),0))</f>
        <v/>
      </c>
      <c r="H859" s="89">
        <f>F859/G859</f>
        <v/>
      </c>
    </row>
    <row r="860">
      <c r="A860" s="86" t="inlineStr">
        <is>
          <t>제주</t>
        </is>
      </c>
      <c r="B860" s="86" t="n">
        <v>2017</v>
      </c>
      <c r="C860" s="86" t="n">
        <v>7</v>
      </c>
      <c r="D860" s="86" t="inlineStr">
        <is>
          <t>2017-07</t>
        </is>
      </c>
      <c r="E860" s="87" t="n">
        <v>196.1</v>
      </c>
      <c r="F860" s="87" t="n">
        <v>171.4444</v>
      </c>
      <c r="G860" s="88">
        <f>DAY(EOMONTH(DATE(B860,C860,1),0))</f>
        <v/>
      </c>
      <c r="H860" s="89">
        <f>F860/G860</f>
        <v/>
      </c>
    </row>
    <row r="861">
      <c r="A861" s="86" t="inlineStr">
        <is>
          <t>제주</t>
        </is>
      </c>
      <c r="B861" s="86" t="n">
        <v>2017</v>
      </c>
      <c r="C861" s="86" t="n">
        <v>8</v>
      </c>
      <c r="D861" s="86" t="inlineStr">
        <is>
          <t>2017-08</t>
        </is>
      </c>
      <c r="E861" s="87" t="n">
        <v>241</v>
      </c>
      <c r="F861" s="87" t="n">
        <v>172.0056</v>
      </c>
      <c r="G861" s="88">
        <f>DAY(EOMONTH(DATE(B861,C861,1),0))</f>
        <v/>
      </c>
      <c r="H861" s="89">
        <f>F861/G861</f>
        <v/>
      </c>
    </row>
    <row r="862">
      <c r="A862" s="86" t="inlineStr">
        <is>
          <t>제주</t>
        </is>
      </c>
      <c r="B862" s="86" t="n">
        <v>2017</v>
      </c>
      <c r="C862" s="86" t="n">
        <v>9</v>
      </c>
      <c r="D862" s="86" t="inlineStr">
        <is>
          <t>2017-09</t>
        </is>
      </c>
      <c r="E862" s="87" t="n">
        <v>148.1</v>
      </c>
      <c r="F862" s="87" t="n">
        <v>115.0028</v>
      </c>
      <c r="G862" s="88">
        <f>DAY(EOMONTH(DATE(B862,C862,1),0))</f>
        <v/>
      </c>
      <c r="H862" s="89">
        <f>F862/G862</f>
        <v/>
      </c>
    </row>
    <row r="863">
      <c r="A863" s="86" t="inlineStr">
        <is>
          <t>제주</t>
        </is>
      </c>
      <c r="B863" s="86" t="n">
        <v>2017</v>
      </c>
      <c r="C863" s="86" t="n">
        <v>10</v>
      </c>
      <c r="D863" s="86" t="inlineStr">
        <is>
          <t>2017-10</t>
        </is>
      </c>
      <c r="E863" s="87" t="n">
        <v>153.3</v>
      </c>
      <c r="F863" s="87" t="n">
        <v>87.7833</v>
      </c>
      <c r="G863" s="88">
        <f>DAY(EOMONTH(DATE(B863,C863,1),0))</f>
        <v/>
      </c>
      <c r="H863" s="89">
        <f>F863/G863</f>
        <v/>
      </c>
    </row>
    <row r="864">
      <c r="A864" s="86" t="inlineStr">
        <is>
          <t>제주</t>
        </is>
      </c>
      <c r="B864" s="86" t="n">
        <v>2017</v>
      </c>
      <c r="C864" s="86" t="n">
        <v>11</v>
      </c>
      <c r="D864" s="86" t="inlineStr">
        <is>
          <t>2017-11</t>
        </is>
      </c>
      <c r="E864" s="87" t="n">
        <v>166.7</v>
      </c>
      <c r="F864" s="87" t="n">
        <v>80.08329999999999</v>
      </c>
      <c r="G864" s="88">
        <f>DAY(EOMONTH(DATE(B864,C864,1),0))</f>
        <v/>
      </c>
      <c r="H864" s="89">
        <f>F864/G864</f>
        <v/>
      </c>
    </row>
    <row r="865">
      <c r="A865" s="86" t="inlineStr">
        <is>
          <t>제주</t>
        </is>
      </c>
      <c r="B865" s="86" t="n">
        <v>2017</v>
      </c>
      <c r="C865" s="86" t="n">
        <v>12</v>
      </c>
      <c r="D865" s="86" t="inlineStr">
        <is>
          <t>2017-12</t>
        </is>
      </c>
      <c r="E865" s="87" t="n">
        <v>130.6</v>
      </c>
      <c r="F865" s="87" t="n">
        <v>50.9222</v>
      </c>
      <c r="G865" s="88">
        <f>DAY(EOMONTH(DATE(B865,C865,1),0))</f>
        <v/>
      </c>
      <c r="H865" s="89">
        <f>F865/G865</f>
        <v/>
      </c>
    </row>
    <row r="866">
      <c r="A866" s="86" t="inlineStr">
        <is>
          <t>제주</t>
        </is>
      </c>
      <c r="B866" s="86" t="n">
        <v>2018</v>
      </c>
      <c r="C866" s="86" t="n">
        <v>1</v>
      </c>
      <c r="D866" s="86" t="inlineStr">
        <is>
          <t>2018-01</t>
        </is>
      </c>
      <c r="E866" s="87" t="n">
        <v>118.6</v>
      </c>
      <c r="F866" s="87" t="n">
        <v>51.225</v>
      </c>
      <c r="G866" s="88">
        <f>DAY(EOMONTH(DATE(B866,C866,1),0))</f>
        <v/>
      </c>
      <c r="H866" s="89">
        <f>F866/G866</f>
        <v/>
      </c>
    </row>
    <row r="867">
      <c r="A867" s="86" t="inlineStr">
        <is>
          <t>제주</t>
        </is>
      </c>
      <c r="B867" s="86" t="n">
        <v>2018</v>
      </c>
      <c r="C867" s="86" t="n">
        <v>2</v>
      </c>
      <c r="D867" s="86" t="inlineStr">
        <is>
          <t>2018-02</t>
        </is>
      </c>
      <c r="E867" s="87" t="n">
        <v>135.2</v>
      </c>
      <c r="F867" s="87" t="n">
        <v>79.575</v>
      </c>
      <c r="G867" s="88">
        <f>DAY(EOMONTH(DATE(B867,C867,1),0))</f>
        <v/>
      </c>
      <c r="H867" s="89">
        <f>F867/G867</f>
        <v/>
      </c>
    </row>
    <row r="868">
      <c r="A868" s="86" t="inlineStr">
        <is>
          <t>제주</t>
        </is>
      </c>
      <c r="B868" s="86" t="n">
        <v>2018</v>
      </c>
      <c r="C868" s="86" t="n">
        <v>3</v>
      </c>
      <c r="D868" s="86" t="inlineStr">
        <is>
          <t>2018-03</t>
        </is>
      </c>
      <c r="E868" s="87" t="n">
        <v>191.8</v>
      </c>
      <c r="F868" s="87" t="n">
        <v>125.1611</v>
      </c>
      <c r="G868" s="88">
        <f>DAY(EOMONTH(DATE(B868,C868,1),0))</f>
        <v/>
      </c>
      <c r="H868" s="89">
        <f>F868/G868</f>
        <v/>
      </c>
    </row>
    <row r="869">
      <c r="A869" s="86" t="inlineStr">
        <is>
          <t>제주</t>
        </is>
      </c>
      <c r="B869" s="86" t="n">
        <v>2018</v>
      </c>
      <c r="C869" s="86" t="n">
        <v>4</v>
      </c>
      <c r="D869" s="86" t="inlineStr">
        <is>
          <t>2018-04</t>
        </is>
      </c>
      <c r="E869" s="87" t="n">
        <v>197.5</v>
      </c>
      <c r="F869" s="87" t="n">
        <v>152.8222</v>
      </c>
      <c r="G869" s="88">
        <f>DAY(EOMONTH(DATE(B869,C869,1),0))</f>
        <v/>
      </c>
      <c r="H869" s="89">
        <f>F869/G869</f>
        <v/>
      </c>
    </row>
    <row r="870">
      <c r="A870" s="86" t="inlineStr">
        <is>
          <t>제주</t>
        </is>
      </c>
      <c r="B870" s="86" t="n">
        <v>2018</v>
      </c>
      <c r="C870" s="86" t="n">
        <v>5</v>
      </c>
      <c r="D870" s="86" t="inlineStr">
        <is>
          <t>2018-05</t>
        </is>
      </c>
      <c r="E870" s="87" t="n">
        <v>153.1</v>
      </c>
      <c r="F870" s="87" t="n">
        <v>150.8583</v>
      </c>
      <c r="G870" s="88">
        <f>DAY(EOMONTH(DATE(B870,C870,1),0))</f>
        <v/>
      </c>
      <c r="H870" s="89">
        <f>F870/G870</f>
        <v/>
      </c>
    </row>
    <row r="871">
      <c r="A871" s="86" t="inlineStr">
        <is>
          <t>제주</t>
        </is>
      </c>
      <c r="B871" s="86" t="n">
        <v>2018</v>
      </c>
      <c r="C871" s="86" t="n">
        <v>6</v>
      </c>
      <c r="D871" s="86" t="inlineStr">
        <is>
          <t>2018-06</t>
        </is>
      </c>
      <c r="E871" s="87" t="n">
        <v>130.7</v>
      </c>
      <c r="F871" s="87" t="n">
        <v>160.0278</v>
      </c>
      <c r="G871" s="88">
        <f>DAY(EOMONTH(DATE(B871,C871,1),0))</f>
        <v/>
      </c>
      <c r="H871" s="89">
        <f>F871/G871</f>
        <v/>
      </c>
    </row>
    <row r="872">
      <c r="A872" s="86" t="inlineStr">
        <is>
          <t>제주</t>
        </is>
      </c>
      <c r="B872" s="86" t="n">
        <v>2018</v>
      </c>
      <c r="C872" s="86" t="n">
        <v>7</v>
      </c>
      <c r="D872" s="86" t="inlineStr">
        <is>
          <t>2018-07</t>
        </is>
      </c>
      <c r="E872" s="87" t="n">
        <v>229.8</v>
      </c>
      <c r="F872" s="87" t="n">
        <v>175.5806</v>
      </c>
      <c r="G872" s="88">
        <f>DAY(EOMONTH(DATE(B872,C872,1),0))</f>
        <v/>
      </c>
      <c r="H872" s="89">
        <f>F872/G872</f>
        <v/>
      </c>
    </row>
    <row r="873">
      <c r="A873" s="86" t="inlineStr">
        <is>
          <t>제주</t>
        </is>
      </c>
      <c r="B873" s="86" t="n">
        <v>2018</v>
      </c>
      <c r="C873" s="86" t="n">
        <v>8</v>
      </c>
      <c r="D873" s="86" t="inlineStr">
        <is>
          <t>2018-08</t>
        </is>
      </c>
      <c r="E873" s="87" t="n">
        <v>237.1</v>
      </c>
      <c r="F873" s="87" t="n">
        <v>170.4722</v>
      </c>
      <c r="G873" s="88">
        <f>DAY(EOMONTH(DATE(B873,C873,1),0))</f>
        <v/>
      </c>
      <c r="H873" s="89">
        <f>F873/G873</f>
        <v/>
      </c>
    </row>
    <row r="874">
      <c r="A874" s="86" t="inlineStr">
        <is>
          <t>제주</t>
        </is>
      </c>
      <c r="B874" s="86" t="n">
        <v>2018</v>
      </c>
      <c r="C874" s="86" t="n">
        <v>9</v>
      </c>
      <c r="D874" s="86" t="inlineStr">
        <is>
          <t>2018-09</t>
        </is>
      </c>
      <c r="E874" s="87" t="n">
        <v>136.7</v>
      </c>
      <c r="F874" s="87" t="n">
        <v>107.275</v>
      </c>
      <c r="G874" s="88">
        <f>DAY(EOMONTH(DATE(B874,C874,1),0))</f>
        <v/>
      </c>
      <c r="H874" s="89">
        <f>F874/G874</f>
        <v/>
      </c>
    </row>
    <row r="875">
      <c r="A875" s="86" t="inlineStr">
        <is>
          <t>제주</t>
        </is>
      </c>
      <c r="B875" s="86" t="n">
        <v>2018</v>
      </c>
      <c r="C875" s="86" t="n">
        <v>10</v>
      </c>
      <c r="D875" s="86" t="inlineStr">
        <is>
          <t>2018-10</t>
        </is>
      </c>
      <c r="E875" s="87" t="n">
        <v>199.6</v>
      </c>
      <c r="F875" s="87" t="n">
        <v>103.2917</v>
      </c>
      <c r="G875" s="88">
        <f>DAY(EOMONTH(DATE(B875,C875,1),0))</f>
        <v/>
      </c>
      <c r="H875" s="89">
        <f>F875/G875</f>
        <v/>
      </c>
    </row>
    <row r="876">
      <c r="A876" s="86" t="inlineStr">
        <is>
          <t>제주</t>
        </is>
      </c>
      <c r="B876" s="86" t="n">
        <v>2018</v>
      </c>
      <c r="C876" s="86" t="n">
        <v>11</v>
      </c>
      <c r="D876" s="86" t="inlineStr">
        <is>
          <t>2018-11</t>
        </is>
      </c>
      <c r="E876" s="87" t="n">
        <v>163.4</v>
      </c>
      <c r="F876" s="87" t="n">
        <v>81.9083</v>
      </c>
      <c r="G876" s="88">
        <f>DAY(EOMONTH(DATE(B876,C876,1),0))</f>
        <v/>
      </c>
      <c r="H876" s="89">
        <f>F876/G876</f>
        <v/>
      </c>
    </row>
    <row r="877">
      <c r="A877" s="86" t="inlineStr">
        <is>
          <t>제주</t>
        </is>
      </c>
      <c r="B877" s="86" t="n">
        <v>2018</v>
      </c>
      <c r="C877" s="86" t="n">
        <v>12</v>
      </c>
      <c r="D877" s="86" t="inlineStr">
        <is>
          <t>2018-12</t>
        </is>
      </c>
      <c r="E877" s="87" t="n">
        <v>88.2</v>
      </c>
      <c r="F877" s="87" t="n">
        <v>43.2778</v>
      </c>
      <c r="G877" s="88">
        <f>DAY(EOMONTH(DATE(B877,C877,1),0))</f>
        <v/>
      </c>
      <c r="H877" s="89">
        <f>F877/G877</f>
        <v/>
      </c>
    </row>
    <row r="878">
      <c r="A878" s="86" t="inlineStr">
        <is>
          <t>제주</t>
        </is>
      </c>
      <c r="B878" s="86" t="n">
        <v>2019</v>
      </c>
      <c r="C878" s="86" t="n">
        <v>1</v>
      </c>
      <c r="D878" s="86" t="inlineStr">
        <is>
          <t>2019-01</t>
        </is>
      </c>
      <c r="E878" s="87" t="n">
        <v>136.6</v>
      </c>
      <c r="F878" s="87" t="n">
        <v>61.7361</v>
      </c>
      <c r="G878" s="88">
        <f>DAY(EOMONTH(DATE(B878,C878,1),0))</f>
        <v/>
      </c>
      <c r="H878" s="89">
        <f>F878/G878</f>
        <v/>
      </c>
    </row>
    <row r="879">
      <c r="A879" s="86" t="inlineStr">
        <is>
          <t>제주</t>
        </is>
      </c>
      <c r="B879" s="86" t="n">
        <v>2019</v>
      </c>
      <c r="C879" s="86" t="n">
        <v>2</v>
      </c>
      <c r="D879" s="86" t="inlineStr">
        <is>
          <t>2019-02</t>
        </is>
      </c>
      <c r="E879" s="87" t="n">
        <v>127.8</v>
      </c>
      <c r="F879" s="87" t="n">
        <v>72.7944</v>
      </c>
      <c r="G879" s="88">
        <f>DAY(EOMONTH(DATE(B879,C879,1),0))</f>
        <v/>
      </c>
      <c r="H879" s="89">
        <f>F879/G879</f>
        <v/>
      </c>
    </row>
    <row r="880">
      <c r="A880" s="86" t="inlineStr">
        <is>
          <t>제주</t>
        </is>
      </c>
      <c r="B880" s="86" t="n">
        <v>2019</v>
      </c>
      <c r="C880" s="86" t="n">
        <v>3</v>
      </c>
      <c r="D880" s="86" t="inlineStr">
        <is>
          <t>2019-03</t>
        </is>
      </c>
      <c r="E880" s="87" t="n">
        <v>200.3</v>
      </c>
      <c r="F880" s="87" t="n">
        <v>128.9278</v>
      </c>
      <c r="G880" s="88">
        <f>DAY(EOMONTH(DATE(B880,C880,1),0))</f>
        <v/>
      </c>
      <c r="H880" s="89">
        <f>F880/G880</f>
        <v/>
      </c>
    </row>
    <row r="881">
      <c r="A881" s="86" t="inlineStr">
        <is>
          <t>제주</t>
        </is>
      </c>
      <c r="B881" s="86" t="n">
        <v>2019</v>
      </c>
      <c r="C881" s="86" t="n">
        <v>4</v>
      </c>
      <c r="D881" s="86" t="inlineStr">
        <is>
          <t>2019-04</t>
        </is>
      </c>
      <c r="E881" s="87" t="n">
        <v>198.4</v>
      </c>
      <c r="F881" s="87" t="n">
        <v>145.2861</v>
      </c>
      <c r="G881" s="88">
        <f>DAY(EOMONTH(DATE(B881,C881,1),0))</f>
        <v/>
      </c>
      <c r="H881" s="89">
        <f>F881/G881</f>
        <v/>
      </c>
    </row>
    <row r="882">
      <c r="A882" s="86" t="inlineStr">
        <is>
          <t>제주</t>
        </is>
      </c>
      <c r="B882" s="86" t="n">
        <v>2019</v>
      </c>
      <c r="C882" s="86" t="n">
        <v>5</v>
      </c>
      <c r="D882" s="86" t="inlineStr">
        <is>
          <t>2019-05</t>
        </is>
      </c>
      <c r="E882" s="87" t="n">
        <v>259.8</v>
      </c>
      <c r="F882" s="87" t="n">
        <v>189.5667</v>
      </c>
      <c r="G882" s="88">
        <f>DAY(EOMONTH(DATE(B882,C882,1),0))</f>
        <v/>
      </c>
      <c r="H882" s="89">
        <f>F882/G882</f>
        <v/>
      </c>
    </row>
    <row r="883">
      <c r="A883" s="86" t="inlineStr">
        <is>
          <t>제주</t>
        </is>
      </c>
      <c r="B883" s="86" t="n">
        <v>2019</v>
      </c>
      <c r="C883" s="86" t="n">
        <v>6</v>
      </c>
      <c r="D883" s="86" t="inlineStr">
        <is>
          <t>2019-06</t>
        </is>
      </c>
      <c r="E883" s="87" t="n">
        <v>201.9</v>
      </c>
      <c r="F883" s="87" t="n">
        <v>165.1417</v>
      </c>
      <c r="G883" s="88">
        <f>DAY(EOMONTH(DATE(B883,C883,1),0))</f>
        <v/>
      </c>
      <c r="H883" s="89">
        <f>F883/G883</f>
        <v/>
      </c>
    </row>
    <row r="884">
      <c r="A884" s="86" t="inlineStr">
        <is>
          <t>제주</t>
        </is>
      </c>
      <c r="B884" s="86" t="n">
        <v>2019</v>
      </c>
      <c r="C884" s="86" t="n">
        <v>7</v>
      </c>
      <c r="D884" s="86" t="inlineStr">
        <is>
          <t>2019-07</t>
        </is>
      </c>
      <c r="E884" s="87" t="n">
        <v>145.2</v>
      </c>
      <c r="F884" s="87" t="n">
        <v>148.9972</v>
      </c>
      <c r="G884" s="88">
        <f>DAY(EOMONTH(DATE(B884,C884,1),0))</f>
        <v/>
      </c>
      <c r="H884" s="89">
        <f>F884/G884</f>
        <v/>
      </c>
    </row>
    <row r="885">
      <c r="A885" s="86" t="inlineStr">
        <is>
          <t>제주</t>
        </is>
      </c>
      <c r="B885" s="86" t="n">
        <v>2019</v>
      </c>
      <c r="C885" s="86" t="n">
        <v>8</v>
      </c>
      <c r="D885" s="86" t="inlineStr">
        <is>
          <t>2019-08</t>
        </is>
      </c>
      <c r="E885" s="87" t="n">
        <v>187.7</v>
      </c>
      <c r="F885" s="87" t="n">
        <v>144.4278</v>
      </c>
      <c r="G885" s="88">
        <f>DAY(EOMONTH(DATE(B885,C885,1),0))</f>
        <v/>
      </c>
      <c r="H885" s="89">
        <f>F885/G885</f>
        <v/>
      </c>
    </row>
    <row r="886">
      <c r="A886" s="86" t="inlineStr">
        <is>
          <t>제주</t>
        </is>
      </c>
      <c r="B886" s="86" t="n">
        <v>2019</v>
      </c>
      <c r="C886" s="86" t="n">
        <v>9</v>
      </c>
      <c r="D886" s="86" t="inlineStr">
        <is>
          <t>2019-09</t>
        </is>
      </c>
      <c r="E886" s="87" t="n">
        <v>136.3</v>
      </c>
      <c r="F886" s="87" t="n">
        <v>102.7194</v>
      </c>
      <c r="G886" s="88">
        <f>DAY(EOMONTH(DATE(B886,C886,1),0))</f>
        <v/>
      </c>
      <c r="H886" s="89">
        <f>F886/G886</f>
        <v/>
      </c>
    </row>
    <row r="887">
      <c r="A887" s="86" t="inlineStr">
        <is>
          <t>제주</t>
        </is>
      </c>
      <c r="B887" s="86" t="n">
        <v>2019</v>
      </c>
      <c r="C887" s="86" t="n">
        <v>10</v>
      </c>
      <c r="D887" s="86" t="inlineStr">
        <is>
          <t>2019-10</t>
        </is>
      </c>
      <c r="E887" s="87" t="n">
        <v>199.5</v>
      </c>
      <c r="F887" s="87" t="n">
        <v>102.2611</v>
      </c>
      <c r="G887" s="88">
        <f>DAY(EOMONTH(DATE(B887,C887,1),0))</f>
        <v/>
      </c>
      <c r="H887" s="89">
        <f>F887/G887</f>
        <v/>
      </c>
    </row>
    <row r="888">
      <c r="A888" s="86" t="inlineStr">
        <is>
          <t>제주</t>
        </is>
      </c>
      <c r="B888" s="86" t="n">
        <v>2019</v>
      </c>
      <c r="C888" s="86" t="n">
        <v>11</v>
      </c>
      <c r="D888" s="86" t="inlineStr">
        <is>
          <t>2019-11</t>
        </is>
      </c>
      <c r="E888" s="87" t="n">
        <v>168.1</v>
      </c>
      <c r="F888" s="87" t="n">
        <v>80.5333</v>
      </c>
      <c r="G888" s="88">
        <f>DAY(EOMONTH(DATE(B888,C888,1),0))</f>
        <v/>
      </c>
      <c r="H888" s="89">
        <f>F888/G888</f>
        <v/>
      </c>
    </row>
    <row r="889">
      <c r="A889" s="86" t="inlineStr">
        <is>
          <t>제주</t>
        </is>
      </c>
      <c r="B889" s="86" t="n">
        <v>2019</v>
      </c>
      <c r="C889" s="86" t="n">
        <v>12</v>
      </c>
      <c r="D889" s="86" t="inlineStr">
        <is>
          <t>2019-12</t>
        </is>
      </c>
      <c r="E889" s="87" t="n">
        <v>113.5</v>
      </c>
      <c r="F889" s="87" t="n">
        <v>48.4417</v>
      </c>
      <c r="G889" s="88">
        <f>DAY(EOMONTH(DATE(B889,C889,1),0))</f>
        <v/>
      </c>
      <c r="H889" s="89">
        <f>F889/G889</f>
        <v/>
      </c>
    </row>
    <row r="890">
      <c r="A890" s="86" t="inlineStr">
        <is>
          <t>제주</t>
        </is>
      </c>
      <c r="B890" s="86" t="n">
        <v>2020</v>
      </c>
      <c r="C890" s="86" t="n">
        <v>1</v>
      </c>
      <c r="D890" s="86" t="inlineStr">
        <is>
          <t>2020-01</t>
        </is>
      </c>
      <c r="E890" s="87" t="n">
        <v>87.59999999999999</v>
      </c>
      <c r="F890" s="87" t="n">
        <v>45.3056</v>
      </c>
      <c r="G890" s="88">
        <f>DAY(EOMONTH(DATE(B890,C890,1),0))</f>
        <v/>
      </c>
      <c r="H890" s="89">
        <f>F890/G890</f>
        <v/>
      </c>
    </row>
    <row r="891">
      <c r="A891" s="86" t="inlineStr">
        <is>
          <t>제주</t>
        </is>
      </c>
      <c r="B891" s="86" t="n">
        <v>2020</v>
      </c>
      <c r="C891" s="86" t="n">
        <v>2</v>
      </c>
      <c r="D891" s="86" t="inlineStr">
        <is>
          <t>2020-02</t>
        </is>
      </c>
      <c r="E891" s="87" t="n">
        <v>146.1</v>
      </c>
      <c r="F891" s="87" t="n">
        <v>78.86109999999999</v>
      </c>
      <c r="G891" s="88">
        <f>DAY(EOMONTH(DATE(B891,C891,1),0))</f>
        <v/>
      </c>
      <c r="H891" s="89">
        <f>F891/G891</f>
        <v/>
      </c>
    </row>
    <row r="892">
      <c r="A892" s="86" t="inlineStr">
        <is>
          <t>제주</t>
        </is>
      </c>
      <c r="B892" s="86" t="n">
        <v>2020</v>
      </c>
      <c r="C892" s="86" t="n">
        <v>3</v>
      </c>
      <c r="D892" s="86" t="inlineStr">
        <is>
          <t>2020-03</t>
        </is>
      </c>
      <c r="E892" s="87" t="n">
        <v>205</v>
      </c>
      <c r="F892" s="87" t="n">
        <v>128.8056</v>
      </c>
      <c r="G892" s="88">
        <f>DAY(EOMONTH(DATE(B892,C892,1),0))</f>
        <v/>
      </c>
      <c r="H892" s="89">
        <f>F892/G892</f>
        <v/>
      </c>
    </row>
    <row r="893">
      <c r="A893" s="86" t="inlineStr">
        <is>
          <t>제주</t>
        </is>
      </c>
      <c r="B893" s="86" t="n">
        <v>2020</v>
      </c>
      <c r="C893" s="86" t="n">
        <v>4</v>
      </c>
      <c r="D893" s="86" t="inlineStr">
        <is>
          <t>2020-04</t>
        </is>
      </c>
      <c r="E893" s="87" t="n">
        <v>263.5</v>
      </c>
      <c r="F893" s="87" t="n">
        <v>175.4472</v>
      </c>
      <c r="G893" s="88">
        <f>DAY(EOMONTH(DATE(B893,C893,1),0))</f>
        <v/>
      </c>
      <c r="H893" s="89">
        <f>F893/G893</f>
        <v/>
      </c>
    </row>
    <row r="894">
      <c r="A894" s="86" t="inlineStr">
        <is>
          <t>제주</t>
        </is>
      </c>
      <c r="B894" s="86" t="n">
        <v>2020</v>
      </c>
      <c r="C894" s="86" t="n">
        <v>5</v>
      </c>
      <c r="D894" s="86" t="inlineStr">
        <is>
          <t>2020-05</t>
        </is>
      </c>
      <c r="E894" s="87" t="n">
        <v>203.4</v>
      </c>
      <c r="F894" s="87" t="n">
        <v>170.8278</v>
      </c>
      <c r="G894" s="88">
        <f>DAY(EOMONTH(DATE(B894,C894,1),0))</f>
        <v/>
      </c>
      <c r="H894" s="89">
        <f>F894/G894</f>
        <v/>
      </c>
    </row>
    <row r="895">
      <c r="A895" s="86" t="inlineStr">
        <is>
          <t>제주</t>
        </is>
      </c>
      <c r="B895" s="86" t="n">
        <v>2020</v>
      </c>
      <c r="C895" s="86" t="n">
        <v>6</v>
      </c>
      <c r="D895" s="86" t="inlineStr">
        <is>
          <t>2020-06</t>
        </is>
      </c>
      <c r="E895" s="87" t="n">
        <v>158</v>
      </c>
      <c r="F895" s="87" t="n">
        <v>142.9472</v>
      </c>
      <c r="G895" s="88">
        <f>DAY(EOMONTH(DATE(B895,C895,1),0))</f>
        <v/>
      </c>
      <c r="H895" s="89">
        <f>F895/G895</f>
        <v/>
      </c>
    </row>
    <row r="896">
      <c r="A896" s="86" t="inlineStr">
        <is>
          <t>제주</t>
        </is>
      </c>
      <c r="B896" s="86" t="n">
        <v>2020</v>
      </c>
      <c r="C896" s="86" t="n">
        <v>7</v>
      </c>
      <c r="D896" s="86" t="inlineStr">
        <is>
          <t>2020-07</t>
        </is>
      </c>
      <c r="E896" s="87" t="n">
        <v>113.7</v>
      </c>
      <c r="F896" s="87" t="n">
        <v>129.6278</v>
      </c>
      <c r="G896" s="88">
        <f>DAY(EOMONTH(DATE(B896,C896,1),0))</f>
        <v/>
      </c>
      <c r="H896" s="89">
        <f>F896/G896</f>
        <v/>
      </c>
    </row>
    <row r="897">
      <c r="A897" s="86" t="inlineStr">
        <is>
          <t>제주</t>
        </is>
      </c>
      <c r="B897" s="86" t="n">
        <v>2020</v>
      </c>
      <c r="C897" s="86" t="n">
        <v>8</v>
      </c>
      <c r="D897" s="86" t="inlineStr">
        <is>
          <t>2020-08</t>
        </is>
      </c>
      <c r="E897" s="87" t="n">
        <v>211.3</v>
      </c>
      <c r="F897" s="87" t="n">
        <v>169.375</v>
      </c>
      <c r="G897" s="88">
        <f>DAY(EOMONTH(DATE(B897,C897,1),0))</f>
        <v/>
      </c>
      <c r="H897" s="89">
        <f>F897/G897</f>
        <v/>
      </c>
    </row>
    <row r="898">
      <c r="A898" s="86" t="inlineStr">
        <is>
          <t>제주</t>
        </is>
      </c>
      <c r="B898" s="86" t="n">
        <v>2020</v>
      </c>
      <c r="C898" s="86" t="n">
        <v>9</v>
      </c>
      <c r="D898" s="86" t="inlineStr">
        <is>
          <t>2020-09</t>
        </is>
      </c>
      <c r="E898" s="87" t="n">
        <v>149.5</v>
      </c>
      <c r="F898" s="87" t="n">
        <v>104.5917</v>
      </c>
      <c r="G898" s="88">
        <f>DAY(EOMONTH(DATE(B898,C898,1),0))</f>
        <v/>
      </c>
      <c r="H898" s="89">
        <f>F898/G898</f>
        <v/>
      </c>
    </row>
    <row r="899">
      <c r="A899" s="86" t="inlineStr">
        <is>
          <t>제주</t>
        </is>
      </c>
      <c r="B899" s="86" t="n">
        <v>2020</v>
      </c>
      <c r="C899" s="86" t="n">
        <v>10</v>
      </c>
      <c r="D899" s="86" t="inlineStr">
        <is>
          <t>2020-10</t>
        </is>
      </c>
      <c r="E899" s="87" t="n">
        <v>198.7</v>
      </c>
      <c r="F899" s="87" t="n">
        <v>112.4917</v>
      </c>
      <c r="G899" s="88">
        <f>DAY(EOMONTH(DATE(B899,C899,1),0))</f>
        <v/>
      </c>
      <c r="H899" s="89">
        <f>F899/G899</f>
        <v/>
      </c>
    </row>
    <row r="900">
      <c r="A900" s="86" t="inlineStr">
        <is>
          <t>제주</t>
        </is>
      </c>
      <c r="B900" s="86" t="n">
        <v>2020</v>
      </c>
      <c r="C900" s="86" t="n">
        <v>11</v>
      </c>
      <c r="D900" s="86" t="inlineStr">
        <is>
          <t>2020-11</t>
        </is>
      </c>
      <c r="E900" s="87" t="n">
        <v>152.8</v>
      </c>
      <c r="F900" s="87" t="n">
        <v>74.7</v>
      </c>
      <c r="G900" s="88">
        <f>DAY(EOMONTH(DATE(B900,C900,1),0))</f>
        <v/>
      </c>
      <c r="H900" s="89">
        <f>F900/G900</f>
        <v/>
      </c>
    </row>
    <row r="901">
      <c r="A901" s="86" t="inlineStr">
        <is>
          <t>제주</t>
        </is>
      </c>
      <c r="B901" s="86" t="n">
        <v>2020</v>
      </c>
      <c r="C901" s="86" t="n">
        <v>12</v>
      </c>
      <c r="D901" s="86" t="inlineStr">
        <is>
          <t>2020-12</t>
        </is>
      </c>
      <c r="E901" s="87" t="n">
        <v>139.3</v>
      </c>
      <c r="F901" s="87" t="n">
        <v>57.1222</v>
      </c>
      <c r="G901" s="88">
        <f>DAY(EOMONTH(DATE(B901,C901,1),0))</f>
        <v/>
      </c>
      <c r="H901" s="89">
        <f>F901/G901</f>
        <v/>
      </c>
    </row>
    <row r="902">
      <c r="A902" s="86" t="inlineStr">
        <is>
          <t>제주</t>
        </is>
      </c>
      <c r="B902" s="86" t="n">
        <v>2021</v>
      </c>
      <c r="C902" s="86" t="n">
        <v>1</v>
      </c>
      <c r="D902" s="86" t="inlineStr">
        <is>
          <t>2021-01</t>
        </is>
      </c>
      <c r="E902" s="87" t="n">
        <v>129.5</v>
      </c>
      <c r="F902" s="87" t="n">
        <v>60.1194</v>
      </c>
      <c r="G902" s="88">
        <f>DAY(EOMONTH(DATE(B902,C902,1),0))</f>
        <v/>
      </c>
      <c r="H902" s="89">
        <f>F902/G902</f>
        <v/>
      </c>
    </row>
    <row r="903">
      <c r="A903" s="86" t="inlineStr">
        <is>
          <t>제주</t>
        </is>
      </c>
      <c r="B903" s="86" t="n">
        <v>2021</v>
      </c>
      <c r="C903" s="86" t="n">
        <v>2</v>
      </c>
      <c r="D903" s="86" t="inlineStr">
        <is>
          <t>2021-02</t>
        </is>
      </c>
      <c r="E903" s="87" t="n">
        <v>158.3</v>
      </c>
      <c r="F903" s="87" t="n">
        <v>86.4278</v>
      </c>
      <c r="G903" s="88">
        <f>DAY(EOMONTH(DATE(B903,C903,1),0))</f>
        <v/>
      </c>
      <c r="H903" s="89">
        <f>F903/G903</f>
        <v/>
      </c>
    </row>
    <row r="904">
      <c r="A904" s="86" t="inlineStr">
        <is>
          <t>제주</t>
        </is>
      </c>
      <c r="B904" s="86" t="n">
        <v>2021</v>
      </c>
      <c r="C904" s="86" t="n">
        <v>3</v>
      </c>
      <c r="D904" s="86" t="inlineStr">
        <is>
          <t>2021-03</t>
        </is>
      </c>
      <c r="E904" s="87" t="n">
        <v>188.8</v>
      </c>
      <c r="F904" s="87" t="n">
        <v>125.9861</v>
      </c>
      <c r="G904" s="88">
        <f>DAY(EOMONTH(DATE(B904,C904,1),0))</f>
        <v/>
      </c>
      <c r="H904" s="89">
        <f>F904/G904</f>
        <v/>
      </c>
    </row>
    <row r="905">
      <c r="A905" s="86" t="inlineStr">
        <is>
          <t>제주</t>
        </is>
      </c>
      <c r="B905" s="86" t="n">
        <v>2021</v>
      </c>
      <c r="C905" s="86" t="n">
        <v>4</v>
      </c>
      <c r="D905" s="86" t="inlineStr">
        <is>
          <t>2021-04</t>
        </is>
      </c>
      <c r="E905" s="87" t="n">
        <v>223.3</v>
      </c>
      <c r="F905" s="87" t="n">
        <v>163.6972</v>
      </c>
      <c r="G905" s="88">
        <f>DAY(EOMONTH(DATE(B905,C905,1),0))</f>
        <v/>
      </c>
      <c r="H905" s="89">
        <f>F905/G905</f>
        <v/>
      </c>
    </row>
    <row r="906">
      <c r="A906" s="86" t="inlineStr">
        <is>
          <t>제주</t>
        </is>
      </c>
      <c r="B906" s="86" t="n">
        <v>2021</v>
      </c>
      <c r="C906" s="86" t="n">
        <v>5</v>
      </c>
      <c r="D906" s="86" t="inlineStr">
        <is>
          <t>2021-05</t>
        </is>
      </c>
      <c r="E906" s="87" t="n">
        <v>233</v>
      </c>
      <c r="F906" s="87" t="n">
        <v>179.3139</v>
      </c>
      <c r="G906" s="88">
        <f>DAY(EOMONTH(DATE(B906,C906,1),0))</f>
        <v/>
      </c>
      <c r="H906" s="89">
        <f>F906/G906</f>
        <v/>
      </c>
    </row>
    <row r="907">
      <c r="A907" s="86" t="inlineStr">
        <is>
          <t>제주</t>
        </is>
      </c>
      <c r="B907" s="86" t="n">
        <v>2021</v>
      </c>
      <c r="C907" s="86" t="n">
        <v>6</v>
      </c>
      <c r="D907" s="86" t="inlineStr">
        <is>
          <t>2021-06</t>
        </is>
      </c>
      <c r="E907" s="87" t="n">
        <v>193.1</v>
      </c>
      <c r="F907" s="87" t="n">
        <v>168.05</v>
      </c>
      <c r="G907" s="88">
        <f>DAY(EOMONTH(DATE(B907,C907,1),0))</f>
        <v/>
      </c>
      <c r="H907" s="89">
        <f>F907/G907</f>
        <v/>
      </c>
    </row>
    <row r="908">
      <c r="A908" s="86" t="inlineStr">
        <is>
          <t>제주</t>
        </is>
      </c>
      <c r="B908" s="86" t="n">
        <v>2021</v>
      </c>
      <c r="C908" s="86" t="n">
        <v>7</v>
      </c>
      <c r="D908" s="86" t="inlineStr">
        <is>
          <t>2021-07</t>
        </is>
      </c>
      <c r="E908" s="87" t="n">
        <v>164.7</v>
      </c>
      <c r="F908" s="87" t="n">
        <v>153.0694</v>
      </c>
      <c r="G908" s="88">
        <f>DAY(EOMONTH(DATE(B908,C908,1),0))</f>
        <v/>
      </c>
      <c r="H908" s="89">
        <f>F908/G908</f>
        <v/>
      </c>
    </row>
    <row r="909">
      <c r="A909" s="86" t="inlineStr">
        <is>
          <t>제주</t>
        </is>
      </c>
      <c r="B909" s="86" t="n">
        <v>2021</v>
      </c>
      <c r="C909" s="86" t="n">
        <v>8</v>
      </c>
      <c r="D909" s="86" t="inlineStr">
        <is>
          <t>2021-08</t>
        </is>
      </c>
      <c r="E909" s="87" t="n">
        <v>175</v>
      </c>
      <c r="F909" s="87" t="n">
        <v>139.0361</v>
      </c>
      <c r="G909" s="88">
        <f>DAY(EOMONTH(DATE(B909,C909,1),0))</f>
        <v/>
      </c>
      <c r="H909" s="89">
        <f>F909/G909</f>
        <v/>
      </c>
    </row>
    <row r="910">
      <c r="A910" s="86" t="inlineStr">
        <is>
          <t>제주</t>
        </is>
      </c>
      <c r="B910" s="86" t="n">
        <v>2021</v>
      </c>
      <c r="C910" s="86" t="n">
        <v>9</v>
      </c>
      <c r="D910" s="86" t="inlineStr">
        <is>
          <t>2021-09</t>
        </is>
      </c>
      <c r="E910" s="87" t="n">
        <v>149.6</v>
      </c>
      <c r="F910" s="87" t="n">
        <v>102.3583</v>
      </c>
      <c r="G910" s="88">
        <f>DAY(EOMONTH(DATE(B910,C910,1),0))</f>
        <v/>
      </c>
      <c r="H910" s="89">
        <f>F910/G910</f>
        <v/>
      </c>
    </row>
    <row r="911">
      <c r="A911" s="86" t="inlineStr">
        <is>
          <t>제주</t>
        </is>
      </c>
      <c r="B911" s="86" t="n">
        <v>2021</v>
      </c>
      <c r="C911" s="86" t="n">
        <v>10</v>
      </c>
      <c r="D911" s="86" t="inlineStr">
        <is>
          <t>2021-10</t>
        </is>
      </c>
      <c r="E911" s="87" t="n">
        <v>211.2</v>
      </c>
      <c r="F911" s="87" t="n">
        <v>110.8278</v>
      </c>
      <c r="G911" s="88">
        <f>DAY(EOMONTH(DATE(B911,C911,1),0))</f>
        <v/>
      </c>
      <c r="H911" s="89">
        <f>F911/G911</f>
        <v/>
      </c>
    </row>
    <row r="912">
      <c r="A912" s="86" t="inlineStr">
        <is>
          <t>제주</t>
        </is>
      </c>
      <c r="B912" s="86" t="n">
        <v>2021</v>
      </c>
      <c r="C912" s="86" t="n">
        <v>11</v>
      </c>
      <c r="D912" s="86" t="inlineStr">
        <is>
          <t>2021-11</t>
        </is>
      </c>
      <c r="E912" s="87" t="n">
        <v>175.2</v>
      </c>
      <c r="F912" s="87" t="n">
        <v>75.87779999999999</v>
      </c>
      <c r="G912" s="88">
        <f>DAY(EOMONTH(DATE(B912,C912,1),0))</f>
        <v/>
      </c>
      <c r="H912" s="89">
        <f>F912/G912</f>
        <v/>
      </c>
    </row>
    <row r="913">
      <c r="A913" s="86" t="inlineStr">
        <is>
          <t>제주</t>
        </is>
      </c>
      <c r="B913" s="86" t="n">
        <v>2021</v>
      </c>
      <c r="C913" s="86" t="n">
        <v>12</v>
      </c>
      <c r="D913" s="86" t="inlineStr">
        <is>
          <t>2021-12</t>
        </is>
      </c>
      <c r="E913" s="87" t="n">
        <v>137.7</v>
      </c>
      <c r="F913" s="87" t="n">
        <v>46.3889</v>
      </c>
      <c r="G913" s="88">
        <f>DAY(EOMONTH(DATE(B913,C913,1),0))</f>
        <v/>
      </c>
      <c r="H913" s="89">
        <f>F913/G913</f>
        <v/>
      </c>
    </row>
    <row r="914">
      <c r="A914" s="86" t="inlineStr">
        <is>
          <t>제주</t>
        </is>
      </c>
      <c r="B914" s="86" t="n">
        <v>2022</v>
      </c>
      <c r="C914" s="86" t="n">
        <v>1</v>
      </c>
      <c r="D914" s="86" t="inlineStr">
        <is>
          <t>2022-01</t>
        </is>
      </c>
      <c r="E914" s="87" t="n">
        <v>129.3</v>
      </c>
      <c r="F914" s="87" t="n">
        <v>53.6167</v>
      </c>
      <c r="G914" s="88">
        <f>DAY(EOMONTH(DATE(B914,C914,1),0))</f>
        <v/>
      </c>
      <c r="H914" s="89">
        <f>F914/G914</f>
        <v/>
      </c>
    </row>
    <row r="915">
      <c r="A915" s="86" t="inlineStr">
        <is>
          <t>제주</t>
        </is>
      </c>
      <c r="B915" s="86" t="n">
        <v>2022</v>
      </c>
      <c r="C915" s="86" t="n">
        <v>2</v>
      </c>
      <c r="D915" s="86" t="inlineStr">
        <is>
          <t>2022-02</t>
        </is>
      </c>
      <c r="E915" s="87" t="n">
        <v>132.9</v>
      </c>
      <c r="F915" s="87" t="n">
        <v>70.2944</v>
      </c>
      <c r="G915" s="88">
        <f>DAY(EOMONTH(DATE(B915,C915,1),0))</f>
        <v/>
      </c>
      <c r="H915" s="89">
        <f>F915/G915</f>
        <v/>
      </c>
    </row>
    <row r="916">
      <c r="A916" s="86" t="inlineStr">
        <is>
          <t>제주</t>
        </is>
      </c>
      <c r="B916" s="86" t="n">
        <v>2022</v>
      </c>
      <c r="C916" s="86" t="n">
        <v>3</v>
      </c>
      <c r="D916" s="86" t="inlineStr">
        <is>
          <t>2022-03</t>
        </is>
      </c>
      <c r="E916" s="87" t="n">
        <v>171.9</v>
      </c>
      <c r="F916" s="87" t="n">
        <v>113.6639</v>
      </c>
      <c r="G916" s="88">
        <f>DAY(EOMONTH(DATE(B916,C916,1),0))</f>
        <v/>
      </c>
      <c r="H916" s="89">
        <f>F916/G916</f>
        <v/>
      </c>
    </row>
    <row r="917">
      <c r="A917" s="86" t="inlineStr">
        <is>
          <t>제주</t>
        </is>
      </c>
      <c r="B917" s="86" t="n">
        <v>2022</v>
      </c>
      <c r="C917" s="86" t="n">
        <v>4</v>
      </c>
      <c r="D917" s="86" t="inlineStr">
        <is>
          <t>2022-04</t>
        </is>
      </c>
      <c r="E917" s="87" t="n">
        <v>228.1</v>
      </c>
      <c r="F917" s="87" t="n">
        <v>166.4639</v>
      </c>
      <c r="G917" s="88">
        <f>DAY(EOMONTH(DATE(B917,C917,1),0))</f>
        <v/>
      </c>
      <c r="H917" s="89">
        <f>F917/G917</f>
        <v/>
      </c>
    </row>
    <row r="918">
      <c r="A918" s="86" t="inlineStr">
        <is>
          <t>제주</t>
        </is>
      </c>
      <c r="B918" s="86" t="n">
        <v>2022</v>
      </c>
      <c r="C918" s="86" t="n">
        <v>5</v>
      </c>
      <c r="D918" s="86" t="inlineStr">
        <is>
          <t>2022-05</t>
        </is>
      </c>
      <c r="E918" s="87" t="n">
        <v>247.1</v>
      </c>
      <c r="F918" s="87" t="n">
        <v>181.525</v>
      </c>
      <c r="G918" s="88">
        <f>DAY(EOMONTH(DATE(B918,C918,1),0))</f>
        <v/>
      </c>
      <c r="H918" s="89">
        <f>F918/G918</f>
        <v/>
      </c>
    </row>
    <row r="919">
      <c r="A919" s="86" t="inlineStr">
        <is>
          <t>제주</t>
        </is>
      </c>
      <c r="B919" s="86" t="n">
        <v>2022</v>
      </c>
      <c r="C919" s="86" t="n">
        <v>6</v>
      </c>
      <c r="D919" s="86" t="inlineStr">
        <is>
          <t>2022-06</t>
        </is>
      </c>
      <c r="E919" s="87" t="n">
        <v>174.7</v>
      </c>
      <c r="F919" s="87" t="n">
        <v>169.8333</v>
      </c>
      <c r="G919" s="88">
        <f>DAY(EOMONTH(DATE(B919,C919,1),0))</f>
        <v/>
      </c>
      <c r="H919" s="89">
        <f>F919/G919</f>
        <v/>
      </c>
    </row>
    <row r="920">
      <c r="A920" s="86" t="inlineStr">
        <is>
          <t>제주</t>
        </is>
      </c>
      <c r="B920" s="86" t="n">
        <v>2022</v>
      </c>
      <c r="C920" s="86" t="n">
        <v>7</v>
      </c>
      <c r="D920" s="86" t="inlineStr">
        <is>
          <t>2022-07</t>
        </is>
      </c>
      <c r="E920" s="87" t="n">
        <v>216.7</v>
      </c>
      <c r="F920" s="87" t="n">
        <v>172.9306</v>
      </c>
      <c r="G920" s="88">
        <f>DAY(EOMONTH(DATE(B920,C920,1),0))</f>
        <v/>
      </c>
      <c r="H920" s="89">
        <f>F920/G920</f>
        <v/>
      </c>
    </row>
    <row r="921">
      <c r="A921" s="86" t="inlineStr">
        <is>
          <t>제주</t>
        </is>
      </c>
      <c r="B921" s="86" t="n">
        <v>2022</v>
      </c>
      <c r="C921" s="86" t="n">
        <v>8</v>
      </c>
      <c r="D921" s="86" t="inlineStr">
        <is>
          <t>2022-08</t>
        </is>
      </c>
      <c r="E921" s="87" t="n">
        <v>225.7</v>
      </c>
      <c r="F921" s="87" t="n">
        <v>166.125</v>
      </c>
      <c r="G921" s="88">
        <f>DAY(EOMONTH(DATE(B921,C921,1),0))</f>
        <v/>
      </c>
      <c r="H921" s="89">
        <f>F921/G921</f>
        <v/>
      </c>
    </row>
    <row r="922">
      <c r="A922" s="86" t="inlineStr">
        <is>
          <t>제주</t>
        </is>
      </c>
      <c r="B922" s="86" t="n">
        <v>2022</v>
      </c>
      <c r="C922" s="86" t="n">
        <v>9</v>
      </c>
      <c r="D922" s="86" t="inlineStr">
        <is>
          <t>2022-09</t>
        </is>
      </c>
      <c r="E922" s="87" t="n">
        <v>140.1</v>
      </c>
      <c r="F922" s="87" t="n">
        <v>100.65</v>
      </c>
      <c r="G922" s="88">
        <f>DAY(EOMONTH(DATE(B922,C922,1),0))</f>
        <v/>
      </c>
      <c r="H922" s="89">
        <f>F922/G922</f>
        <v/>
      </c>
    </row>
    <row r="923">
      <c r="A923" s="86" t="inlineStr">
        <is>
          <t>제주</t>
        </is>
      </c>
      <c r="B923" s="86" t="n">
        <v>2022</v>
      </c>
      <c r="C923" s="86" t="n">
        <v>10</v>
      </c>
      <c r="D923" s="86" t="inlineStr">
        <is>
          <t>2022-10</t>
        </is>
      </c>
      <c r="E923" s="87" t="n">
        <v>200.9</v>
      </c>
      <c r="F923" s="87" t="n">
        <v>114.0278</v>
      </c>
      <c r="G923" s="88">
        <f>DAY(EOMONTH(DATE(B923,C923,1),0))</f>
        <v/>
      </c>
      <c r="H923" s="89">
        <f>F923/G923</f>
        <v/>
      </c>
    </row>
    <row r="924">
      <c r="A924" s="86" t="inlineStr">
        <is>
          <t>제주</t>
        </is>
      </c>
      <c r="B924" s="86" t="n">
        <v>2022</v>
      </c>
      <c r="C924" s="86" t="n">
        <v>11</v>
      </c>
      <c r="D924" s="86" t="inlineStr">
        <is>
          <t>2022-11</t>
        </is>
      </c>
      <c r="E924" s="87" t="n">
        <v>174</v>
      </c>
      <c r="F924" s="87" t="n">
        <v>75.34999999999999</v>
      </c>
      <c r="G924" s="88">
        <f>DAY(EOMONTH(DATE(B924,C924,1),0))</f>
        <v/>
      </c>
      <c r="H924" s="89">
        <f>F924/G924</f>
        <v/>
      </c>
    </row>
    <row r="925">
      <c r="A925" s="86" t="inlineStr">
        <is>
          <t>제주</t>
        </is>
      </c>
      <c r="B925" s="86" t="n">
        <v>2022</v>
      </c>
      <c r="C925" s="86" t="n">
        <v>12</v>
      </c>
      <c r="D925" s="86" t="inlineStr">
        <is>
          <t>2022-12</t>
        </is>
      </c>
      <c r="E925" s="87" t="n">
        <v>98.40000000000001</v>
      </c>
      <c r="F925" s="87" t="n">
        <v>38.0611</v>
      </c>
      <c r="G925" s="88">
        <f>DAY(EOMONTH(DATE(B925,C925,1),0))</f>
        <v/>
      </c>
      <c r="H925" s="89">
        <f>F925/G925</f>
        <v/>
      </c>
    </row>
    <row r="926">
      <c r="A926" s="86" t="inlineStr">
        <is>
          <t>제주</t>
        </is>
      </c>
      <c r="B926" s="86" t="n">
        <v>2023</v>
      </c>
      <c r="C926" s="86" t="n">
        <v>1</v>
      </c>
      <c r="D926" s="86" t="inlineStr">
        <is>
          <t>2023-01</t>
        </is>
      </c>
      <c r="E926" s="87" t="n">
        <v>126.3</v>
      </c>
      <c r="F926" s="87" t="n">
        <v>50.675</v>
      </c>
      <c r="G926" s="88">
        <f>DAY(EOMONTH(DATE(B926,C926,1),0))</f>
        <v/>
      </c>
      <c r="H926" s="89">
        <f>F926/G926</f>
        <v/>
      </c>
    </row>
    <row r="927">
      <c r="A927" s="86" t="inlineStr">
        <is>
          <t>제주</t>
        </is>
      </c>
      <c r="B927" s="86" t="n">
        <v>2023</v>
      </c>
      <c r="C927" s="86" t="n">
        <v>2</v>
      </c>
      <c r="D927" s="86" t="inlineStr">
        <is>
          <t>2023-02</t>
        </is>
      </c>
      <c r="E927" s="87" t="n">
        <v>139.1</v>
      </c>
      <c r="F927" s="87" t="n">
        <v>74.075</v>
      </c>
      <c r="G927" s="88">
        <f>DAY(EOMONTH(DATE(B927,C927,1),0))</f>
        <v/>
      </c>
      <c r="H927" s="89">
        <f>F927/G927</f>
        <v/>
      </c>
    </row>
    <row r="928">
      <c r="A928" s="86" t="inlineStr">
        <is>
          <t>제주</t>
        </is>
      </c>
      <c r="B928" s="86" t="n">
        <v>2023</v>
      </c>
      <c r="C928" s="86" t="n">
        <v>3</v>
      </c>
      <c r="D928" s="86" t="inlineStr">
        <is>
          <t>2023-03</t>
        </is>
      </c>
      <c r="E928" s="87" t="n">
        <v>206.8</v>
      </c>
      <c r="F928" s="87" t="n">
        <v>131.25</v>
      </c>
      <c r="G928" s="88">
        <f>DAY(EOMONTH(DATE(B928,C928,1),0))</f>
        <v/>
      </c>
      <c r="H928" s="89">
        <f>F928/G928</f>
        <v/>
      </c>
    </row>
    <row r="929">
      <c r="A929" s="86" t="inlineStr">
        <is>
          <t>제주</t>
        </is>
      </c>
      <c r="B929" s="86" t="n">
        <v>2023</v>
      </c>
      <c r="C929" s="86" t="n">
        <v>4</v>
      </c>
      <c r="D929" s="86" t="inlineStr">
        <is>
          <t>2023-04</t>
        </is>
      </c>
      <c r="E929" s="87" t="n">
        <v>202.5</v>
      </c>
      <c r="F929" s="87" t="n">
        <v>143.0306</v>
      </c>
      <c r="G929" s="88">
        <f>DAY(EOMONTH(DATE(B929,C929,1),0))</f>
        <v/>
      </c>
      <c r="H929" s="89">
        <f>F929/G929</f>
        <v/>
      </c>
    </row>
    <row r="930">
      <c r="A930" s="86" t="inlineStr">
        <is>
          <t>제주</t>
        </is>
      </c>
      <c r="B930" s="86" t="n">
        <v>2023</v>
      </c>
      <c r="C930" s="86" t="n">
        <v>5</v>
      </c>
      <c r="D930" s="86" t="inlineStr">
        <is>
          <t>2023-05</t>
        </is>
      </c>
      <c r="E930" s="87" t="n">
        <v>174.2</v>
      </c>
      <c r="F930" s="87" t="n">
        <v>145.3278</v>
      </c>
      <c r="G930" s="88">
        <f>DAY(EOMONTH(DATE(B930,C930,1),0))</f>
        <v/>
      </c>
      <c r="H930" s="89">
        <f>F930/G930</f>
        <v/>
      </c>
    </row>
    <row r="931">
      <c r="A931" s="86" t="inlineStr">
        <is>
          <t>제주</t>
        </is>
      </c>
      <c r="B931" s="86" t="n">
        <v>2023</v>
      </c>
      <c r="C931" s="86" t="n">
        <v>6</v>
      </c>
      <c r="D931" s="86" t="inlineStr">
        <is>
          <t>2023-06</t>
        </is>
      </c>
      <c r="E931" s="87" t="n">
        <v>162</v>
      </c>
      <c r="F931" s="87" t="n">
        <v>144.3111</v>
      </c>
      <c r="G931" s="88">
        <f>DAY(EOMONTH(DATE(B931,C931,1),0))</f>
        <v/>
      </c>
      <c r="H931" s="89">
        <f>F931/G931</f>
        <v/>
      </c>
    </row>
    <row r="932">
      <c r="A932" s="86" t="inlineStr">
        <is>
          <t>제주</t>
        </is>
      </c>
      <c r="B932" s="86" t="n">
        <v>2023</v>
      </c>
      <c r="C932" s="86" t="n">
        <v>7</v>
      </c>
      <c r="D932" s="86" t="inlineStr">
        <is>
          <t>2023-07</t>
        </is>
      </c>
      <c r="E932" s="87" t="n">
        <v>101.6</v>
      </c>
      <c r="F932" s="87" t="n">
        <v>135.4139</v>
      </c>
      <c r="G932" s="88">
        <f>DAY(EOMONTH(DATE(B932,C932,1),0))</f>
        <v/>
      </c>
      <c r="H932" s="89">
        <f>F932/G932</f>
        <v/>
      </c>
    </row>
    <row r="933">
      <c r="A933" s="86" t="inlineStr">
        <is>
          <t>제주</t>
        </is>
      </c>
      <c r="B933" s="86" t="n">
        <v>2023</v>
      </c>
      <c r="C933" s="86" t="n">
        <v>8</v>
      </c>
      <c r="D933" s="86" t="inlineStr">
        <is>
          <t>2023-08</t>
        </is>
      </c>
      <c r="E933" s="87" t="n">
        <v>246.9</v>
      </c>
      <c r="F933" s="87" t="n">
        <v>169.3944</v>
      </c>
      <c r="G933" s="88">
        <f>DAY(EOMONTH(DATE(B933,C933,1),0))</f>
        <v/>
      </c>
      <c r="H933" s="89">
        <f>F933/G933</f>
        <v/>
      </c>
    </row>
    <row r="934">
      <c r="A934" s="86" t="inlineStr">
        <is>
          <t>제주</t>
        </is>
      </c>
      <c r="B934" s="86" t="n">
        <v>2023</v>
      </c>
      <c r="C934" s="86" t="n">
        <v>9</v>
      </c>
      <c r="D934" s="86" t="inlineStr">
        <is>
          <t>2023-09</t>
        </is>
      </c>
      <c r="E934" s="87" t="n">
        <v>200.2</v>
      </c>
      <c r="F934" s="87" t="n">
        <v>134.4194</v>
      </c>
      <c r="G934" s="88">
        <f>DAY(EOMONTH(DATE(B934,C934,1),0))</f>
        <v/>
      </c>
      <c r="H934" s="89">
        <f>F934/G934</f>
        <v/>
      </c>
    </row>
    <row r="935">
      <c r="A935" s="86" t="inlineStr">
        <is>
          <t>제주</t>
        </is>
      </c>
      <c r="B935" s="86" t="n">
        <v>2023</v>
      </c>
      <c r="C935" s="86" t="n">
        <v>10</v>
      </c>
      <c r="D935" s="86" t="inlineStr">
        <is>
          <t>2023-10</t>
        </is>
      </c>
      <c r="E935" s="87" t="n">
        <v>240.4</v>
      </c>
      <c r="F935" s="87" t="n">
        <v>129.1194</v>
      </c>
      <c r="G935" s="88">
        <f>DAY(EOMONTH(DATE(B935,C935,1),0))</f>
        <v/>
      </c>
      <c r="H935" s="89">
        <f>F935/G935</f>
        <v/>
      </c>
    </row>
    <row r="936">
      <c r="A936" s="86" t="inlineStr">
        <is>
          <t>제주</t>
        </is>
      </c>
      <c r="B936" s="86" t="n">
        <v>2023</v>
      </c>
      <c r="C936" s="86" t="n">
        <v>11</v>
      </c>
      <c r="D936" s="86" t="inlineStr">
        <is>
          <t>2023-11</t>
        </is>
      </c>
      <c r="E936" s="87" t="n">
        <v>157.8</v>
      </c>
      <c r="F936" s="87" t="n">
        <v>66.16670000000001</v>
      </c>
      <c r="G936" s="88">
        <f>DAY(EOMONTH(DATE(B936,C936,1),0))</f>
        <v/>
      </c>
      <c r="H936" s="89">
        <f>F936/G936</f>
        <v/>
      </c>
    </row>
    <row r="937">
      <c r="A937" s="86" t="inlineStr">
        <is>
          <t>제주</t>
        </is>
      </c>
      <c r="B937" s="86" t="n">
        <v>2023</v>
      </c>
      <c r="C937" s="86" t="n">
        <v>12</v>
      </c>
      <c r="D937" s="86" t="inlineStr">
        <is>
          <t>2023-12</t>
        </is>
      </c>
      <c r="E937" s="87" t="n">
        <v>102.3</v>
      </c>
      <c r="F937" s="87" t="n">
        <v>41.35</v>
      </c>
      <c r="G937" s="88">
        <f>DAY(EOMONTH(DATE(B937,C937,1),0))</f>
        <v/>
      </c>
      <c r="H937" s="89">
        <f>F937/G937</f>
        <v/>
      </c>
    </row>
    <row r="938">
      <c r="A938" s="86" t="inlineStr">
        <is>
          <t>제주</t>
        </is>
      </c>
      <c r="B938" s="86" t="n">
        <v>2024</v>
      </c>
      <c r="C938" s="86" t="n">
        <v>1</v>
      </c>
      <c r="D938" s="86" t="inlineStr">
        <is>
          <t>2024-01</t>
        </is>
      </c>
      <c r="E938" s="87" t="n">
        <v>120.2</v>
      </c>
      <c r="F938" s="87" t="n">
        <v>49.1278</v>
      </c>
      <c r="G938" s="88">
        <f>DAY(EOMONTH(DATE(B938,C938,1),0))</f>
        <v/>
      </c>
      <c r="H938" s="89">
        <f>F938/G938</f>
        <v/>
      </c>
    </row>
    <row r="939">
      <c r="A939" s="86" t="inlineStr">
        <is>
          <t>제주</t>
        </is>
      </c>
      <c r="B939" s="86" t="n">
        <v>2024</v>
      </c>
      <c r="C939" s="86" t="n">
        <v>2</v>
      </c>
      <c r="D939" s="86" t="inlineStr">
        <is>
          <t>2024-02</t>
        </is>
      </c>
      <c r="E939" s="87" t="n">
        <v>84.3</v>
      </c>
      <c r="F939" s="87" t="n">
        <v>42.3111</v>
      </c>
      <c r="G939" s="88">
        <f>DAY(EOMONTH(DATE(B939,C939,1),0))</f>
        <v/>
      </c>
      <c r="H939" s="89">
        <f>F939/G939</f>
        <v/>
      </c>
    </row>
    <row r="940">
      <c r="A940" s="86" t="inlineStr">
        <is>
          <t>제주</t>
        </is>
      </c>
      <c r="B940" s="86" t="n">
        <v>2024</v>
      </c>
      <c r="C940" s="86" t="n">
        <v>3</v>
      </c>
      <c r="D940" s="86" t="inlineStr">
        <is>
          <t>2024-03</t>
        </is>
      </c>
      <c r="E940" s="87" t="n">
        <v>176.7</v>
      </c>
      <c r="F940" s="87" t="n">
        <v>113.7278</v>
      </c>
      <c r="G940" s="88">
        <f>DAY(EOMONTH(DATE(B940,C940,1),0))</f>
        <v/>
      </c>
      <c r="H940" s="89">
        <f>F940/G940</f>
        <v/>
      </c>
    </row>
    <row r="941">
      <c r="A941" s="86" t="inlineStr">
        <is>
          <t>제주</t>
        </is>
      </c>
      <c r="B941" s="86" t="n">
        <v>2024</v>
      </c>
      <c r="C941" s="86" t="n">
        <v>4</v>
      </c>
      <c r="D941" s="86" t="inlineStr">
        <is>
          <t>2024-04</t>
        </is>
      </c>
      <c r="E941" s="87" t="n">
        <v>147.6</v>
      </c>
      <c r="F941" s="87" t="n">
        <v>115.9056</v>
      </c>
      <c r="G941" s="88">
        <f>DAY(EOMONTH(DATE(B941,C941,1),0))</f>
        <v/>
      </c>
      <c r="H941" s="89">
        <f>F941/G941</f>
        <v/>
      </c>
    </row>
    <row r="942">
      <c r="A942" s="86" t="inlineStr">
        <is>
          <t>제주</t>
        </is>
      </c>
      <c r="B942" s="86" t="n">
        <v>2024</v>
      </c>
      <c r="C942" s="86" t="n">
        <v>5</v>
      </c>
      <c r="D942" s="86" t="inlineStr">
        <is>
          <t>2024-05</t>
        </is>
      </c>
      <c r="E942" s="87" t="n">
        <v>255</v>
      </c>
      <c r="F942" s="87" t="n">
        <v>188.2861</v>
      </c>
      <c r="G942" s="88">
        <f>DAY(EOMONTH(DATE(B942,C942,1),0))</f>
        <v/>
      </c>
      <c r="H942" s="89">
        <f>F942/G942</f>
        <v/>
      </c>
    </row>
    <row r="943">
      <c r="A943" s="86" t="inlineStr">
        <is>
          <t>제주</t>
        </is>
      </c>
      <c r="B943" s="86" t="n">
        <v>2024</v>
      </c>
      <c r="C943" s="86" t="n">
        <v>6</v>
      </c>
      <c r="D943" s="86" t="inlineStr">
        <is>
          <t>2024-06</t>
        </is>
      </c>
      <c r="E943" s="87" t="n">
        <v>144.1</v>
      </c>
      <c r="F943" s="87" t="n">
        <v>132.6194</v>
      </c>
      <c r="G943" s="88">
        <f>DAY(EOMONTH(DATE(B943,C943,1),0))</f>
        <v/>
      </c>
      <c r="H943" s="89">
        <f>F943/G943</f>
        <v/>
      </c>
    </row>
    <row r="944">
      <c r="A944" s="86" t="inlineStr">
        <is>
          <t>제주</t>
        </is>
      </c>
      <c r="B944" s="86" t="n">
        <v>2024</v>
      </c>
      <c r="C944" s="86" t="n">
        <v>7</v>
      </c>
      <c r="D944" s="86" t="inlineStr">
        <is>
          <t>2024-07</t>
        </is>
      </c>
      <c r="E944" s="87" t="n">
        <v>153.7</v>
      </c>
      <c r="F944" s="87" t="n">
        <v>154.1083</v>
      </c>
      <c r="G944" s="88">
        <f>DAY(EOMONTH(DATE(B944,C944,1),0))</f>
        <v/>
      </c>
      <c r="H944" s="89">
        <f>F944/G944</f>
        <v/>
      </c>
    </row>
    <row r="945">
      <c r="A945" s="86" t="inlineStr">
        <is>
          <t>제주</t>
        </is>
      </c>
      <c r="B945" s="86" t="n">
        <v>2024</v>
      </c>
      <c r="C945" s="86" t="n">
        <v>8</v>
      </c>
      <c r="D945" s="86" t="inlineStr">
        <is>
          <t>2024-08</t>
        </is>
      </c>
      <c r="E945" s="87" t="n">
        <v>262.3</v>
      </c>
      <c r="F945" s="87" t="n">
        <v>175.6667</v>
      </c>
      <c r="G945" s="88">
        <f>DAY(EOMONTH(DATE(B945,C945,1),0))</f>
        <v/>
      </c>
      <c r="H945" s="89">
        <f>F945/G945</f>
        <v/>
      </c>
    </row>
    <row r="946">
      <c r="A946" s="86" t="inlineStr">
        <is>
          <t>제주</t>
        </is>
      </c>
      <c r="B946" s="86" t="n">
        <v>2024</v>
      </c>
      <c r="C946" s="86" t="n">
        <v>9</v>
      </c>
      <c r="D946" s="86" t="inlineStr">
        <is>
          <t>2024-09</t>
        </is>
      </c>
      <c r="E946" s="87" t="n">
        <v>171</v>
      </c>
      <c r="F946" s="87" t="n">
        <v>122.8167</v>
      </c>
      <c r="G946" s="88">
        <f>DAY(EOMONTH(DATE(B946,C946,1),0))</f>
        <v/>
      </c>
      <c r="H946" s="89">
        <f>F946/G946</f>
        <v/>
      </c>
    </row>
    <row r="947">
      <c r="A947" s="86" t="inlineStr">
        <is>
          <t>제주</t>
        </is>
      </c>
      <c r="B947" s="86" t="n">
        <v>2024</v>
      </c>
      <c r="C947" s="86" t="n">
        <v>10</v>
      </c>
      <c r="D947" s="86" t="inlineStr">
        <is>
          <t>2024-10</t>
        </is>
      </c>
      <c r="E947" s="87" t="n">
        <v>117.1</v>
      </c>
      <c r="F947" s="87" t="n">
        <v>72.9389</v>
      </c>
      <c r="G947" s="88">
        <f>DAY(EOMONTH(DATE(B947,C947,1),0))</f>
        <v/>
      </c>
      <c r="H947" s="89">
        <f>F947/G947</f>
        <v/>
      </c>
    </row>
    <row r="948">
      <c r="A948" s="86" t="inlineStr">
        <is>
          <t>제주</t>
        </is>
      </c>
      <c r="B948" s="86" t="n">
        <v>2024</v>
      </c>
      <c r="C948" s="86" t="n">
        <v>11</v>
      </c>
      <c r="D948" s="86" t="inlineStr">
        <is>
          <t>2024-11</t>
        </is>
      </c>
      <c r="E948" s="87" t="n">
        <v>138.1</v>
      </c>
      <c r="F948" s="87" t="n">
        <v>66.0917</v>
      </c>
      <c r="G948" s="88">
        <f>DAY(EOMONTH(DATE(B948,C948,1),0))</f>
        <v/>
      </c>
      <c r="H948" s="89">
        <f>F948/G948</f>
        <v/>
      </c>
    </row>
    <row r="949">
      <c r="A949" s="86" t="inlineStr">
        <is>
          <t>제주</t>
        </is>
      </c>
      <c r="B949" s="86" t="n">
        <v>2024</v>
      </c>
      <c r="C949" s="86" t="n">
        <v>12</v>
      </c>
      <c r="D949" s="86" t="inlineStr">
        <is>
          <t>2024-12</t>
        </is>
      </c>
      <c r="E949" s="87" t="n">
        <v>130.5</v>
      </c>
      <c r="F949" s="87" t="n">
        <v>47.1139</v>
      </c>
      <c r="G949" s="88">
        <f>DAY(EOMONTH(DATE(B949,C949,1),0))</f>
        <v/>
      </c>
      <c r="H949" s="89">
        <f>F949/G949</f>
        <v/>
      </c>
    </row>
    <row r="950">
      <c r="A950" s="86" t="inlineStr">
        <is>
          <t>제주</t>
        </is>
      </c>
      <c r="B950" s="86" t="n">
        <v>2025</v>
      </c>
      <c r="C950" s="86" t="n">
        <v>1</v>
      </c>
      <c r="D950" s="86" t="inlineStr">
        <is>
          <t>2025-01</t>
        </is>
      </c>
      <c r="E950" s="87" t="n">
        <v>148.2</v>
      </c>
      <c r="F950" s="87" t="n">
        <v>60.9444</v>
      </c>
      <c r="G950" s="88">
        <f>DAY(EOMONTH(DATE(B950,C950,1),0))</f>
        <v/>
      </c>
      <c r="H950" s="89">
        <f>F950/G950</f>
        <v/>
      </c>
    </row>
    <row r="951">
      <c r="A951" s="86" t="inlineStr">
        <is>
          <t>제주</t>
        </is>
      </c>
      <c r="B951" s="86" t="n">
        <v>2025</v>
      </c>
      <c r="C951" s="86" t="n">
        <v>2</v>
      </c>
      <c r="D951" s="86" t="inlineStr">
        <is>
          <t>2025-02</t>
        </is>
      </c>
      <c r="E951" s="87" t="n">
        <v>133.8</v>
      </c>
      <c r="F951" s="87" t="n">
        <v>63.7361</v>
      </c>
      <c r="G951" s="88">
        <f>DAY(EOMONTH(DATE(B951,C951,1),0))</f>
        <v/>
      </c>
      <c r="H951" s="89">
        <f>F951/G951</f>
        <v/>
      </c>
    </row>
    <row r="952">
      <c r="A952" s="86" t="inlineStr">
        <is>
          <t>제주</t>
        </is>
      </c>
      <c r="B952" s="86" t="n">
        <v>2025</v>
      </c>
      <c r="C952" s="86" t="n">
        <v>3</v>
      </c>
      <c r="D952" s="86" t="inlineStr">
        <is>
          <t>2025-03</t>
        </is>
      </c>
      <c r="E952" s="87" t="n">
        <v>158.3</v>
      </c>
      <c r="F952" s="87" t="n">
        <v>109.4611</v>
      </c>
      <c r="G952" s="88">
        <f>DAY(EOMONTH(DATE(B952,C952,1),0))</f>
        <v/>
      </c>
      <c r="H952" s="89">
        <f>F952/G952</f>
        <v/>
      </c>
    </row>
    <row r="953">
      <c r="A953" s="86" t="inlineStr">
        <is>
          <t>제주</t>
        </is>
      </c>
      <c r="B953" s="86" t="n">
        <v>2025</v>
      </c>
      <c r="C953" s="86" t="n">
        <v>4</v>
      </c>
      <c r="D953" s="86" t="inlineStr">
        <is>
          <t>2025-04</t>
        </is>
      </c>
      <c r="E953" s="87" t="n">
        <v>231.3</v>
      </c>
      <c r="F953" s="87" t="n">
        <v>173.7861</v>
      </c>
      <c r="G953" s="88">
        <f>DAY(EOMONTH(DATE(B953,C953,1),0))</f>
        <v/>
      </c>
      <c r="H953" s="89">
        <f>F953/G953</f>
        <v/>
      </c>
    </row>
    <row r="954">
      <c r="A954" s="86" t="inlineStr">
        <is>
          <t>제주</t>
        </is>
      </c>
      <c r="B954" s="86" t="n">
        <v>2025</v>
      </c>
      <c r="C954" s="86" t="n">
        <v>5</v>
      </c>
      <c r="D954" s="86" t="inlineStr">
        <is>
          <t>2025-05</t>
        </is>
      </c>
      <c r="E954" s="87" t="n">
        <v>202.9</v>
      </c>
      <c r="F954" s="87" t="n">
        <v>158.825</v>
      </c>
      <c r="G954" s="88">
        <f>DAY(EOMONTH(DATE(B954,C954,1),0))</f>
        <v/>
      </c>
      <c r="H954" s="89">
        <f>F954/G954</f>
        <v/>
      </c>
    </row>
    <row r="955">
      <c r="A955" s="86" t="inlineStr">
        <is>
          <t>제주</t>
        </is>
      </c>
      <c r="B955" s="86" t="n">
        <v>2025</v>
      </c>
      <c r="C955" s="86" t="n">
        <v>6</v>
      </c>
      <c r="D955" s="86" t="inlineStr">
        <is>
          <t>2025-06</t>
        </is>
      </c>
      <c r="E955" s="87" t="n">
        <v>171.1</v>
      </c>
      <c r="F955" s="87" t="n">
        <v>168.5556</v>
      </c>
      <c r="G955" s="88">
        <f>DAY(EOMONTH(DATE(B955,C955,1),0))</f>
        <v/>
      </c>
      <c r="H955" s="89">
        <f>F955/G955</f>
        <v/>
      </c>
    </row>
    <row r="956">
      <c r="A956" s="86" t="inlineStr">
        <is>
          <t>제주</t>
        </is>
      </c>
      <c r="B956" s="86" t="n">
        <v>2025</v>
      </c>
      <c r="C956" s="86" t="n">
        <v>7</v>
      </c>
      <c r="D956" s="86" t="inlineStr">
        <is>
          <t>2025-07</t>
        </is>
      </c>
      <c r="E956" s="87" t="n">
        <v>249.3</v>
      </c>
      <c r="F956" s="87" t="n">
        <v>180.6944</v>
      </c>
      <c r="G956" s="88">
        <f>DAY(EOMONTH(DATE(B956,C956,1),0))</f>
        <v/>
      </c>
      <c r="H956" s="89">
        <f>F956/G956</f>
        <v/>
      </c>
    </row>
    <row r="957">
      <c r="A957" s="86" t="inlineStr">
        <is>
          <t>제주</t>
        </is>
      </c>
      <c r="B957" s="86" t="n">
        <v>2025</v>
      </c>
      <c r="C957" s="86" t="n">
        <v>8</v>
      </c>
      <c r="D957" s="86" t="inlineStr">
        <is>
          <t>2025-08</t>
        </is>
      </c>
      <c r="E957" s="87" t="n">
        <v>225.6</v>
      </c>
      <c r="F957" s="87" t="n">
        <v>166.3111</v>
      </c>
      <c r="G957" s="88">
        <f>DAY(EOMONTH(DATE(B957,C957,1),0))</f>
        <v/>
      </c>
      <c r="H957" s="89">
        <f>F957/G957</f>
        <v/>
      </c>
    </row>
    <row r="958">
      <c r="A958" s="86" t="inlineStr">
        <is>
          <t>제주</t>
        </is>
      </c>
      <c r="B958" s="86" t="n">
        <v>2025</v>
      </c>
      <c r="C958" s="86" t="n">
        <v>9</v>
      </c>
      <c r="D958" s="86" t="inlineStr">
        <is>
          <t>2025-09</t>
        </is>
      </c>
      <c r="E958" s="87" t="n">
        <v>173.6</v>
      </c>
      <c r="F958" s="87" t="n">
        <v>116.6556</v>
      </c>
      <c r="G958" s="88">
        <f>DAY(EOMONTH(DATE(B958,C958,1),0))</f>
        <v/>
      </c>
      <c r="H958" s="89">
        <f>F958/G958</f>
        <v/>
      </c>
    </row>
    <row r="959">
      <c r="A959" s="86" t="inlineStr">
        <is>
          <t>제주</t>
        </is>
      </c>
      <c r="B959" s="86" t="n">
        <v>2025</v>
      </c>
      <c r="C959" s="86" t="n">
        <v>10</v>
      </c>
      <c r="D959" s="86" t="inlineStr">
        <is>
          <t>2025-10</t>
        </is>
      </c>
      <c r="E959" s="87" t="n">
        <v>175.1</v>
      </c>
      <c r="F959" s="87" t="n">
        <v>95.6194</v>
      </c>
      <c r="G959" s="88">
        <f>DAY(EOMONTH(DATE(B959,C959,1),0))</f>
        <v/>
      </c>
      <c r="H959" s="89">
        <f>F959/G959</f>
        <v/>
      </c>
    </row>
    <row r="960">
      <c r="A960" s="86" t="inlineStr">
        <is>
          <t>제주</t>
        </is>
      </c>
      <c r="B960" s="86" t="n">
        <v>2025</v>
      </c>
      <c r="C960" s="86" t="n">
        <v>11</v>
      </c>
      <c r="D960" s="86" t="inlineStr">
        <is>
          <t>2025-11</t>
        </is>
      </c>
      <c r="E960" s="87" t="n">
        <v>178.4</v>
      </c>
      <c r="F960" s="87" t="n">
        <v>80.62220000000001</v>
      </c>
      <c r="G960" s="88">
        <f>DAY(EOMONTH(DATE(B960,C960,1),0))</f>
        <v/>
      </c>
      <c r="H960" s="89">
        <f>F960/G960</f>
        <v/>
      </c>
    </row>
    <row r="961">
      <c r="A961" s="86" t="inlineStr">
        <is>
          <t>제주</t>
        </is>
      </c>
      <c r="B961" s="86" t="n">
        <v>2025</v>
      </c>
      <c r="C961" s="86" t="n">
        <v>12</v>
      </c>
      <c r="D961" s="86" t="inlineStr">
        <is>
          <t>2025-12</t>
        </is>
      </c>
      <c r="E961" s="87" t="n">
        <v>155.2</v>
      </c>
      <c r="F961" s="87" t="n">
        <v>62.2528</v>
      </c>
      <c r="G961" s="88">
        <f>DAY(EOMONTH(DATE(B961,C961,1),0))</f>
        <v/>
      </c>
      <c r="H961" s="89">
        <f>F961/G961</f>
        <v/>
      </c>
    </row>
    <row r="962">
      <c r="A962" s="86" t="inlineStr">
        <is>
          <t>충남</t>
        </is>
      </c>
      <c r="B962" s="86" t="n">
        <v>2016</v>
      </c>
      <c r="C962" s="86" t="n">
        <v>1</v>
      </c>
      <c r="D962" s="86" t="inlineStr">
        <is>
          <t>2016-01</t>
        </is>
      </c>
      <c r="E962" s="87" t="n">
        <v>168.3</v>
      </c>
      <c r="F962" s="87" t="n">
        <v>65.6889</v>
      </c>
      <c r="G962" s="88">
        <f>DAY(EOMONTH(DATE(B962,C962,1),0))</f>
        <v/>
      </c>
      <c r="H962" s="89">
        <f>F962/G962</f>
        <v/>
      </c>
    </row>
    <row r="963">
      <c r="A963" s="86" t="inlineStr">
        <is>
          <t>충남</t>
        </is>
      </c>
      <c r="B963" s="86" t="n">
        <v>2016</v>
      </c>
      <c r="C963" s="86" t="n">
        <v>2</v>
      </c>
      <c r="D963" s="86" t="inlineStr">
        <is>
          <t>2016-02</t>
        </is>
      </c>
      <c r="E963" s="87" t="n">
        <v>192.4</v>
      </c>
      <c r="F963" s="87" t="n">
        <v>83.9806</v>
      </c>
      <c r="G963" s="88">
        <f>DAY(EOMONTH(DATE(B963,C963,1),0))</f>
        <v/>
      </c>
      <c r="H963" s="89">
        <f>F963/G963</f>
        <v/>
      </c>
    </row>
    <row r="964">
      <c r="A964" s="86" t="inlineStr">
        <is>
          <t>충남</t>
        </is>
      </c>
      <c r="B964" s="86" t="n">
        <v>2016</v>
      </c>
      <c r="C964" s="86" t="n">
        <v>3</v>
      </c>
      <c r="D964" s="86" t="inlineStr">
        <is>
          <t>2016-03</t>
        </is>
      </c>
      <c r="E964" s="87" t="n">
        <v>243.1</v>
      </c>
      <c r="F964" s="87" t="n">
        <v>128.9278</v>
      </c>
      <c r="G964" s="88">
        <f>DAY(EOMONTH(DATE(B964,C964,1),0))</f>
        <v/>
      </c>
      <c r="H964" s="89">
        <f>F964/G964</f>
        <v/>
      </c>
    </row>
    <row r="965">
      <c r="A965" s="86" t="inlineStr">
        <is>
          <t>충남</t>
        </is>
      </c>
      <c r="B965" s="86" t="n">
        <v>2016</v>
      </c>
      <c r="C965" s="86" t="n">
        <v>4</v>
      </c>
      <c r="D965" s="86" t="inlineStr">
        <is>
          <t>2016-04</t>
        </is>
      </c>
      <c r="E965" s="87" t="n">
        <v>215.3</v>
      </c>
      <c r="F965" s="87" t="n">
        <v>137.0778</v>
      </c>
      <c r="G965" s="88">
        <f>DAY(EOMONTH(DATE(B965,C965,1),0))</f>
        <v/>
      </c>
      <c r="H965" s="89">
        <f>F965/G965</f>
        <v/>
      </c>
    </row>
    <row r="966">
      <c r="A966" s="86" t="inlineStr">
        <is>
          <t>충남</t>
        </is>
      </c>
      <c r="B966" s="86" t="n">
        <v>2016</v>
      </c>
      <c r="C966" s="86" t="n">
        <v>5</v>
      </c>
      <c r="D966" s="86" t="inlineStr">
        <is>
          <t>2016-05</t>
        </is>
      </c>
      <c r="E966" s="87" t="n">
        <v>283.6</v>
      </c>
      <c r="F966" s="87" t="n">
        <v>176.5722</v>
      </c>
      <c r="G966" s="88">
        <f>DAY(EOMONTH(DATE(B966,C966,1),0))</f>
        <v/>
      </c>
      <c r="H966" s="89">
        <f>F966/G966</f>
        <v/>
      </c>
    </row>
    <row r="967">
      <c r="A967" s="86" t="inlineStr">
        <is>
          <t>충남</t>
        </is>
      </c>
      <c r="B967" s="86" t="n">
        <v>2016</v>
      </c>
      <c r="C967" s="86" t="n">
        <v>6</v>
      </c>
      <c r="D967" s="86" t="inlineStr">
        <is>
          <t>2016-06</t>
        </is>
      </c>
      <c r="E967" s="87" t="n">
        <v>220.6</v>
      </c>
      <c r="F967" s="87" t="n">
        <v>152.1639</v>
      </c>
      <c r="G967" s="88">
        <f>DAY(EOMONTH(DATE(B967,C967,1),0))</f>
        <v/>
      </c>
      <c r="H967" s="89">
        <f>F967/G967</f>
        <v/>
      </c>
    </row>
    <row r="968">
      <c r="A968" s="86" t="inlineStr">
        <is>
          <t>충남</t>
        </is>
      </c>
      <c r="B968" s="86" t="n">
        <v>2016</v>
      </c>
      <c r="C968" s="86" t="n">
        <v>7</v>
      </c>
      <c r="D968" s="86" t="inlineStr">
        <is>
          <t>2016-07</t>
        </is>
      </c>
      <c r="E968" s="87" t="n">
        <v>190.3</v>
      </c>
      <c r="F968" s="87" t="n">
        <v>133.3778</v>
      </c>
      <c r="G968" s="88">
        <f>DAY(EOMONTH(DATE(B968,C968,1),0))</f>
        <v/>
      </c>
      <c r="H968" s="89">
        <f>F968/G968</f>
        <v/>
      </c>
    </row>
    <row r="969">
      <c r="A969" s="86" t="inlineStr">
        <is>
          <t>충남</t>
        </is>
      </c>
      <c r="B969" s="86" t="n">
        <v>2016</v>
      </c>
      <c r="C969" s="86" t="n">
        <v>8</v>
      </c>
      <c r="D969" s="86" t="inlineStr">
        <is>
          <t>2016-08</t>
        </is>
      </c>
      <c r="E969" s="87" t="n">
        <v>248.1</v>
      </c>
      <c r="F969" s="87" t="n">
        <v>149.3722</v>
      </c>
      <c r="G969" s="88">
        <f>DAY(EOMONTH(DATE(B969,C969,1),0))</f>
        <v/>
      </c>
      <c r="H969" s="89">
        <f>F969/G969</f>
        <v/>
      </c>
    </row>
    <row r="970">
      <c r="A970" s="86" t="inlineStr">
        <is>
          <t>충남</t>
        </is>
      </c>
      <c r="B970" s="86" t="n">
        <v>2016</v>
      </c>
      <c r="C970" s="86" t="n">
        <v>9</v>
      </c>
      <c r="D970" s="86" t="inlineStr">
        <is>
          <t>2016-09</t>
        </is>
      </c>
      <c r="E970" s="87" t="n">
        <v>158.4</v>
      </c>
      <c r="F970" s="87" t="n">
        <v>102.3056</v>
      </c>
      <c r="G970" s="88">
        <f>DAY(EOMONTH(DATE(B970,C970,1),0))</f>
        <v/>
      </c>
      <c r="H970" s="89">
        <f>F970/G970</f>
        <v/>
      </c>
    </row>
    <row r="971">
      <c r="A971" s="86" t="inlineStr">
        <is>
          <t>충남</t>
        </is>
      </c>
      <c r="B971" s="86" t="n">
        <v>2016</v>
      </c>
      <c r="C971" s="86" t="n">
        <v>10</v>
      </c>
      <c r="D971" s="86" t="inlineStr">
        <is>
          <t>2016-10</t>
        </is>
      </c>
      <c r="E971" s="87" t="n">
        <v>155.7</v>
      </c>
      <c r="F971" s="87" t="n">
        <v>84.5444</v>
      </c>
      <c r="G971" s="88">
        <f>DAY(EOMONTH(DATE(B971,C971,1),0))</f>
        <v/>
      </c>
      <c r="H971" s="89">
        <f>F971/G971</f>
        <v/>
      </c>
    </row>
    <row r="972">
      <c r="A972" s="86" t="inlineStr">
        <is>
          <t>충남</t>
        </is>
      </c>
      <c r="B972" s="86" t="n">
        <v>2016</v>
      </c>
      <c r="C972" s="86" t="n">
        <v>11</v>
      </c>
      <c r="D972" s="86" t="inlineStr">
        <is>
          <t>2016-11</t>
        </is>
      </c>
      <c r="E972" s="87" t="n">
        <v>175.9</v>
      </c>
      <c r="F972" s="87" t="n">
        <v>69.54170000000001</v>
      </c>
      <c r="G972" s="88">
        <f>DAY(EOMONTH(DATE(B972,C972,1),0))</f>
        <v/>
      </c>
      <c r="H972" s="89">
        <f>F972/G972</f>
        <v/>
      </c>
    </row>
    <row r="973">
      <c r="A973" s="86" t="inlineStr">
        <is>
          <t>충남</t>
        </is>
      </c>
      <c r="B973" s="86" t="n">
        <v>2016</v>
      </c>
      <c r="C973" s="86" t="n">
        <v>12</v>
      </c>
      <c r="D973" s="86" t="inlineStr">
        <is>
          <t>2016-12</t>
        </is>
      </c>
      <c r="E973" s="87" t="n">
        <v>160.2</v>
      </c>
      <c r="F973" s="87" t="n">
        <v>59.925</v>
      </c>
      <c r="G973" s="88">
        <f>DAY(EOMONTH(DATE(B973,C973,1),0))</f>
        <v/>
      </c>
      <c r="H973" s="89">
        <f>F973/G973</f>
        <v/>
      </c>
    </row>
    <row r="974">
      <c r="A974" s="86" t="inlineStr">
        <is>
          <t>충남</t>
        </is>
      </c>
      <c r="B974" s="86" t="n">
        <v>2017</v>
      </c>
      <c r="C974" s="86" t="n">
        <v>1</v>
      </c>
      <c r="D974" s="86" t="inlineStr">
        <is>
          <t>2017-01</t>
        </is>
      </c>
      <c r="E974" s="87" t="n">
        <v>184.5</v>
      </c>
      <c r="F974" s="87" t="n">
        <v>73.40560000000001</v>
      </c>
      <c r="G974" s="88">
        <f>DAY(EOMONTH(DATE(B974,C974,1),0))</f>
        <v/>
      </c>
      <c r="H974" s="89">
        <f>F974/G974</f>
        <v/>
      </c>
    </row>
    <row r="975">
      <c r="A975" s="86" t="inlineStr">
        <is>
          <t>충남</t>
        </is>
      </c>
      <c r="B975" s="86" t="n">
        <v>2017</v>
      </c>
      <c r="C975" s="86" t="n">
        <v>2</v>
      </c>
      <c r="D975" s="86" t="inlineStr">
        <is>
          <t>2017-02</t>
        </is>
      </c>
      <c r="E975" s="87" t="n">
        <v>208.5</v>
      </c>
      <c r="F975" s="87" t="n">
        <v>92.87779999999999</v>
      </c>
      <c r="G975" s="88">
        <f>DAY(EOMONTH(DATE(B975,C975,1),0))</f>
        <v/>
      </c>
      <c r="H975" s="89">
        <f>F975/G975</f>
        <v/>
      </c>
    </row>
    <row r="976">
      <c r="A976" s="86" t="inlineStr">
        <is>
          <t>충남</t>
        </is>
      </c>
      <c r="B976" s="86" t="n">
        <v>2017</v>
      </c>
      <c r="C976" s="86" t="n">
        <v>3</v>
      </c>
      <c r="D976" s="86" t="inlineStr">
        <is>
          <t>2017-03</t>
        </is>
      </c>
      <c r="E976" s="87" t="n">
        <v>253.9</v>
      </c>
      <c r="F976" s="87" t="n">
        <v>133.3028</v>
      </c>
      <c r="G976" s="88">
        <f>DAY(EOMONTH(DATE(B976,C976,1),0))</f>
        <v/>
      </c>
      <c r="H976" s="89">
        <f>F976/G976</f>
        <v/>
      </c>
    </row>
    <row r="977">
      <c r="A977" s="86" t="inlineStr">
        <is>
          <t>충남</t>
        </is>
      </c>
      <c r="B977" s="86" t="n">
        <v>2017</v>
      </c>
      <c r="C977" s="86" t="n">
        <v>4</v>
      </c>
      <c r="D977" s="86" t="inlineStr">
        <is>
          <t>2017-04</t>
        </is>
      </c>
      <c r="E977" s="87" t="n">
        <v>264.6</v>
      </c>
      <c r="F977" s="87" t="n">
        <v>154.2944</v>
      </c>
      <c r="G977" s="88">
        <f>DAY(EOMONTH(DATE(B977,C977,1),0))</f>
        <v/>
      </c>
      <c r="H977" s="89">
        <f>F977/G977</f>
        <v/>
      </c>
    </row>
    <row r="978">
      <c r="A978" s="86" t="inlineStr">
        <is>
          <t>충남</t>
        </is>
      </c>
      <c r="B978" s="86" t="n">
        <v>2017</v>
      </c>
      <c r="C978" s="86" t="n">
        <v>5</v>
      </c>
      <c r="D978" s="86" t="inlineStr">
        <is>
          <t>2017-05</t>
        </is>
      </c>
      <c r="E978" s="87" t="n">
        <v>303.7</v>
      </c>
      <c r="F978" s="87" t="n">
        <v>181.4917</v>
      </c>
      <c r="G978" s="88">
        <f>DAY(EOMONTH(DATE(B978,C978,1),0))</f>
        <v/>
      </c>
      <c r="H978" s="89">
        <f>F978/G978</f>
        <v/>
      </c>
    </row>
    <row r="979">
      <c r="A979" s="86" t="inlineStr">
        <is>
          <t>충남</t>
        </is>
      </c>
      <c r="B979" s="86" t="n">
        <v>2017</v>
      </c>
      <c r="C979" s="86" t="n">
        <v>6</v>
      </c>
      <c r="D979" s="86" t="inlineStr">
        <is>
          <t>2017-06</t>
        </is>
      </c>
      <c r="E979" s="87" t="n">
        <v>270.3</v>
      </c>
      <c r="F979" s="87" t="n">
        <v>171.5306</v>
      </c>
      <c r="G979" s="88">
        <f>DAY(EOMONTH(DATE(B979,C979,1),0))</f>
        <v/>
      </c>
      <c r="H979" s="89">
        <f>F979/G979</f>
        <v/>
      </c>
    </row>
    <row r="980">
      <c r="A980" s="86" t="inlineStr">
        <is>
          <t>충남</t>
        </is>
      </c>
      <c r="B980" s="86" t="n">
        <v>2017</v>
      </c>
      <c r="C980" s="86" t="n">
        <v>7</v>
      </c>
      <c r="D980" s="86" t="inlineStr">
        <is>
          <t>2017-07</t>
        </is>
      </c>
      <c r="E980" s="87" t="n">
        <v>129.2</v>
      </c>
      <c r="F980" s="87" t="n">
        <v>109.0583</v>
      </c>
      <c r="G980" s="88">
        <f>DAY(EOMONTH(DATE(B980,C980,1),0))</f>
        <v/>
      </c>
      <c r="H980" s="89">
        <f>F980/G980</f>
        <v/>
      </c>
    </row>
    <row r="981">
      <c r="A981" s="86" t="inlineStr">
        <is>
          <t>충남</t>
        </is>
      </c>
      <c r="B981" s="86" t="n">
        <v>2017</v>
      </c>
      <c r="C981" s="86" t="n">
        <v>8</v>
      </c>
      <c r="D981" s="86" t="inlineStr">
        <is>
          <t>2017-08</t>
        </is>
      </c>
      <c r="E981" s="87" t="n">
        <v>188.8</v>
      </c>
      <c r="F981" s="87" t="n">
        <v>128.6583</v>
      </c>
      <c r="G981" s="88">
        <f>DAY(EOMONTH(DATE(B981,C981,1),0))</f>
        <v/>
      </c>
      <c r="H981" s="89">
        <f>F981/G981</f>
        <v/>
      </c>
    </row>
    <row r="982">
      <c r="A982" s="86" t="inlineStr">
        <is>
          <t>충남</t>
        </is>
      </c>
      <c r="B982" s="86" t="n">
        <v>2017</v>
      </c>
      <c r="C982" s="86" t="n">
        <v>9</v>
      </c>
      <c r="D982" s="86" t="inlineStr">
        <is>
          <t>2017-09</t>
        </is>
      </c>
      <c r="E982" s="87" t="n">
        <v>234.8</v>
      </c>
      <c r="F982" s="87" t="n">
        <v>128.5139</v>
      </c>
      <c r="G982" s="88">
        <f>DAY(EOMONTH(DATE(B982,C982,1),0))</f>
        <v/>
      </c>
      <c r="H982" s="89">
        <f>F982/G982</f>
        <v/>
      </c>
    </row>
    <row r="983">
      <c r="A983" s="86" t="inlineStr">
        <is>
          <t>충남</t>
        </is>
      </c>
      <c r="B983" s="86" t="n">
        <v>2017</v>
      </c>
      <c r="C983" s="86" t="n">
        <v>10</v>
      </c>
      <c r="D983" s="86" t="inlineStr">
        <is>
          <t>2017-10</t>
        </is>
      </c>
      <c r="E983" s="87" t="n">
        <v>202.6</v>
      </c>
      <c r="F983" s="87" t="n">
        <v>104.175</v>
      </c>
      <c r="G983" s="88">
        <f>DAY(EOMONTH(DATE(B983,C983,1),0))</f>
        <v/>
      </c>
      <c r="H983" s="89">
        <f>F983/G983</f>
        <v/>
      </c>
    </row>
    <row r="984">
      <c r="A984" s="86" t="inlineStr">
        <is>
          <t>충남</t>
        </is>
      </c>
      <c r="B984" s="86" t="n">
        <v>2017</v>
      </c>
      <c r="C984" s="86" t="n">
        <v>11</v>
      </c>
      <c r="D984" s="86" t="inlineStr">
        <is>
          <t>2017-11</t>
        </is>
      </c>
      <c r="E984" s="87" t="n">
        <v>203.6</v>
      </c>
      <c r="F984" s="87" t="n">
        <v>69.5611</v>
      </c>
      <c r="G984" s="88">
        <f>DAY(EOMONTH(DATE(B984,C984,1),0))</f>
        <v/>
      </c>
      <c r="H984" s="89">
        <f>F984/G984</f>
        <v/>
      </c>
    </row>
    <row r="985">
      <c r="A985" s="86" t="inlineStr">
        <is>
          <t>충남</t>
        </is>
      </c>
      <c r="B985" s="86" t="n">
        <v>2017</v>
      </c>
      <c r="C985" s="86" t="n">
        <v>12</v>
      </c>
      <c r="D985" s="86" t="inlineStr">
        <is>
          <t>2017-12</t>
        </is>
      </c>
      <c r="E985" s="87" t="n">
        <v>184.2</v>
      </c>
      <c r="F985" s="87" t="n">
        <v>52.3306</v>
      </c>
      <c r="G985" s="88">
        <f>DAY(EOMONTH(DATE(B985,C985,1),0))</f>
        <v/>
      </c>
      <c r="H985" s="89">
        <f>F985/G985</f>
        <v/>
      </c>
    </row>
    <row r="986">
      <c r="A986" s="86" t="inlineStr">
        <is>
          <t>충남</t>
        </is>
      </c>
      <c r="B986" s="86" t="n">
        <v>2018</v>
      </c>
      <c r="C986" s="86" t="n">
        <v>1</v>
      </c>
      <c r="D986" s="86" t="inlineStr">
        <is>
          <t>2018-01</t>
        </is>
      </c>
      <c r="E986" s="87" t="n">
        <v>179.5</v>
      </c>
      <c r="F986" s="87" t="n">
        <v>58.9667</v>
      </c>
      <c r="G986" s="88">
        <f>DAY(EOMONTH(DATE(B986,C986,1),0))</f>
        <v/>
      </c>
      <c r="H986" s="89">
        <f>F986/G986</f>
        <v/>
      </c>
    </row>
    <row r="987">
      <c r="A987" s="86" t="inlineStr">
        <is>
          <t>충남</t>
        </is>
      </c>
      <c r="B987" s="86" t="n">
        <v>2018</v>
      </c>
      <c r="C987" s="86" t="n">
        <v>2</v>
      </c>
      <c r="D987" s="86" t="inlineStr">
        <is>
          <t>2018-02</t>
        </is>
      </c>
      <c r="E987" s="87" t="n">
        <v>204.7</v>
      </c>
      <c r="F987" s="87" t="n">
        <v>83.11669999999999</v>
      </c>
      <c r="G987" s="88">
        <f>DAY(EOMONTH(DATE(B987,C987,1),0))</f>
        <v/>
      </c>
      <c r="H987" s="89">
        <f>F987/G987</f>
        <v/>
      </c>
    </row>
    <row r="988">
      <c r="A988" s="86" t="inlineStr">
        <is>
          <t>충남</t>
        </is>
      </c>
      <c r="B988" s="86" t="n">
        <v>2018</v>
      </c>
      <c r="C988" s="86" t="n">
        <v>3</v>
      </c>
      <c r="D988" s="86" t="inlineStr">
        <is>
          <t>2018-03</t>
        </is>
      </c>
      <c r="E988" s="87" t="n">
        <v>204.6</v>
      </c>
      <c r="F988" s="87" t="n">
        <v>133.0778</v>
      </c>
      <c r="G988" s="88">
        <f>DAY(EOMONTH(DATE(B988,C988,1),0))</f>
        <v/>
      </c>
      <c r="H988" s="89">
        <f>F988/G988</f>
        <v/>
      </c>
    </row>
    <row r="989">
      <c r="A989" s="86" t="inlineStr">
        <is>
          <t>충남</t>
        </is>
      </c>
      <c r="B989" s="86" t="n">
        <v>2018</v>
      </c>
      <c r="C989" s="86" t="n">
        <v>4</v>
      </c>
      <c r="D989" s="86" t="inlineStr">
        <is>
          <t>2018-04</t>
        </is>
      </c>
      <c r="E989" s="87" t="n">
        <v>234.7</v>
      </c>
      <c r="F989" s="87" t="n">
        <v>150.5111</v>
      </c>
      <c r="G989" s="88">
        <f>DAY(EOMONTH(DATE(B989,C989,1),0))</f>
        <v/>
      </c>
      <c r="H989" s="89">
        <f>F989/G989</f>
        <v/>
      </c>
    </row>
    <row r="990">
      <c r="A990" s="86" t="inlineStr">
        <is>
          <t>충남</t>
        </is>
      </c>
      <c r="B990" s="86" t="n">
        <v>2018</v>
      </c>
      <c r="C990" s="86" t="n">
        <v>5</v>
      </c>
      <c r="D990" s="86" t="inlineStr">
        <is>
          <t>2018-05</t>
        </is>
      </c>
      <c r="E990" s="87" t="n">
        <v>230.1</v>
      </c>
      <c r="F990" s="87" t="n">
        <v>175.95</v>
      </c>
      <c r="G990" s="88">
        <f>DAY(EOMONTH(DATE(B990,C990,1),0))</f>
        <v/>
      </c>
      <c r="H990" s="89">
        <f>F990/G990</f>
        <v/>
      </c>
    </row>
    <row r="991">
      <c r="A991" s="86" t="inlineStr">
        <is>
          <t>충남</t>
        </is>
      </c>
      <c r="B991" s="86" t="n">
        <v>2018</v>
      </c>
      <c r="C991" s="86" t="n">
        <v>6</v>
      </c>
      <c r="D991" s="86" t="inlineStr">
        <is>
          <t>2018-06</t>
        </is>
      </c>
      <c r="E991" s="87" t="n">
        <v>234.9</v>
      </c>
      <c r="F991" s="87" t="n">
        <v>180.6528</v>
      </c>
      <c r="G991" s="88">
        <f>DAY(EOMONTH(DATE(B991,C991,1),0))</f>
        <v/>
      </c>
      <c r="H991" s="89">
        <f>F991/G991</f>
        <v/>
      </c>
    </row>
    <row r="992">
      <c r="A992" s="86" t="inlineStr">
        <is>
          <t>충남</t>
        </is>
      </c>
      <c r="B992" s="86" t="n">
        <v>2018</v>
      </c>
      <c r="C992" s="86" t="n">
        <v>7</v>
      </c>
      <c r="D992" s="86" t="inlineStr">
        <is>
          <t>2018-07</t>
        </is>
      </c>
      <c r="E992" s="87" t="n">
        <v>267.1</v>
      </c>
      <c r="F992" s="87" t="n">
        <v>182.4222</v>
      </c>
      <c r="G992" s="88">
        <f>DAY(EOMONTH(DATE(B992,C992,1),0))</f>
        <v/>
      </c>
      <c r="H992" s="89">
        <f>F992/G992</f>
        <v/>
      </c>
    </row>
    <row r="993">
      <c r="A993" s="86" t="inlineStr">
        <is>
          <t>충남</t>
        </is>
      </c>
      <c r="B993" s="86" t="n">
        <v>2018</v>
      </c>
      <c r="C993" s="86" t="n">
        <v>8</v>
      </c>
      <c r="D993" s="86" t="inlineStr">
        <is>
          <t>2018-08</t>
        </is>
      </c>
      <c r="E993" s="87" t="n">
        <v>238</v>
      </c>
      <c r="F993" s="87" t="n">
        <v>164.5</v>
      </c>
      <c r="G993" s="88">
        <f>DAY(EOMONTH(DATE(B993,C993,1),0))</f>
        <v/>
      </c>
      <c r="H993" s="89">
        <f>F993/G993</f>
        <v/>
      </c>
    </row>
    <row r="994">
      <c r="A994" s="86" t="inlineStr">
        <is>
          <t>충남</t>
        </is>
      </c>
      <c r="B994" s="86" t="n">
        <v>2018</v>
      </c>
      <c r="C994" s="86" t="n">
        <v>9</v>
      </c>
      <c r="D994" s="86" t="inlineStr">
        <is>
          <t>2018-09</t>
        </is>
      </c>
      <c r="E994" s="87" t="n">
        <v>205.5</v>
      </c>
      <c r="F994" s="87" t="n">
        <v>138.2139</v>
      </c>
      <c r="G994" s="88">
        <f>DAY(EOMONTH(DATE(B994,C994,1),0))</f>
        <v/>
      </c>
      <c r="H994" s="89">
        <f>F994/G994</f>
        <v/>
      </c>
    </row>
    <row r="995">
      <c r="A995" s="86" t="inlineStr">
        <is>
          <t>충남</t>
        </is>
      </c>
      <c r="B995" s="86" t="n">
        <v>2018</v>
      </c>
      <c r="C995" s="86" t="n">
        <v>10</v>
      </c>
      <c r="D995" s="86" t="inlineStr">
        <is>
          <t>2018-10</t>
        </is>
      </c>
      <c r="E995" s="87" t="n">
        <v>235.4</v>
      </c>
      <c r="F995" s="87" t="n">
        <v>121.5028</v>
      </c>
      <c r="G995" s="88">
        <f>DAY(EOMONTH(DATE(B995,C995,1),0))</f>
        <v/>
      </c>
      <c r="H995" s="89">
        <f>F995/G995</f>
        <v/>
      </c>
    </row>
    <row r="996">
      <c r="A996" s="86" t="inlineStr">
        <is>
          <t>충남</t>
        </is>
      </c>
      <c r="B996" s="86" t="n">
        <v>2018</v>
      </c>
      <c r="C996" s="86" t="n">
        <v>11</v>
      </c>
      <c r="D996" s="86" t="inlineStr">
        <is>
          <t>2018-11</t>
        </is>
      </c>
      <c r="E996" s="87" t="n">
        <v>178.4</v>
      </c>
      <c r="F996" s="87" t="n">
        <v>80.3361</v>
      </c>
      <c r="G996" s="88">
        <f>DAY(EOMONTH(DATE(B996,C996,1),0))</f>
        <v/>
      </c>
      <c r="H996" s="89">
        <f>F996/G996</f>
        <v/>
      </c>
    </row>
    <row r="997">
      <c r="A997" s="86" t="inlineStr">
        <is>
          <t>충남</t>
        </is>
      </c>
      <c r="B997" s="86" t="n">
        <v>2018</v>
      </c>
      <c r="C997" s="86" t="n">
        <v>12</v>
      </c>
      <c r="D997" s="86" t="inlineStr">
        <is>
          <t>2018-12</t>
        </is>
      </c>
      <c r="E997" s="87" t="n">
        <v>188.5</v>
      </c>
      <c r="F997" s="87" t="n">
        <v>75.5111</v>
      </c>
      <c r="G997" s="88">
        <f>DAY(EOMONTH(DATE(B997,C997,1),0))</f>
        <v/>
      </c>
      <c r="H997" s="89">
        <f>F997/G997</f>
        <v/>
      </c>
    </row>
    <row r="998">
      <c r="A998" s="86" t="inlineStr">
        <is>
          <t>충남</t>
        </is>
      </c>
      <c r="B998" s="86" t="n">
        <v>2019</v>
      </c>
      <c r="C998" s="86" t="n">
        <v>1</v>
      </c>
      <c r="D998" s="86" t="inlineStr">
        <is>
          <t>2019-01</t>
        </is>
      </c>
      <c r="E998" s="87" t="n">
        <v>207.3</v>
      </c>
      <c r="F998" s="87" t="n">
        <v>86.3917</v>
      </c>
      <c r="G998" s="88">
        <f>DAY(EOMONTH(DATE(B998,C998,1),0))</f>
        <v/>
      </c>
      <c r="H998" s="89">
        <f>F998/G998</f>
        <v/>
      </c>
    </row>
    <row r="999">
      <c r="A999" s="86" t="inlineStr">
        <is>
          <t>충남</t>
        </is>
      </c>
      <c r="B999" s="86" t="n">
        <v>2019</v>
      </c>
      <c r="C999" s="86" t="n">
        <v>2</v>
      </c>
      <c r="D999" s="86" t="inlineStr">
        <is>
          <t>2019-02</t>
        </is>
      </c>
      <c r="E999" s="87" t="n">
        <v>183.3</v>
      </c>
      <c r="F999" s="87" t="n">
        <v>96.7611</v>
      </c>
      <c r="G999" s="88">
        <f>DAY(EOMONTH(DATE(B999,C999,1),0))</f>
        <v/>
      </c>
      <c r="H999" s="89">
        <f>F999/G999</f>
        <v/>
      </c>
    </row>
    <row r="1000">
      <c r="A1000" s="86" t="inlineStr">
        <is>
          <t>충남</t>
        </is>
      </c>
      <c r="B1000" s="86" t="n">
        <v>2019</v>
      </c>
      <c r="C1000" s="86" t="n">
        <v>3</v>
      </c>
      <c r="D1000" s="86" t="inlineStr">
        <is>
          <t>2019-03</t>
        </is>
      </c>
      <c r="E1000" s="87" t="n">
        <v>222.1</v>
      </c>
      <c r="F1000" s="87" t="n">
        <v>136.7</v>
      </c>
      <c r="G1000" s="88">
        <f>DAY(EOMONTH(DATE(B1000,C1000,1),0))</f>
        <v/>
      </c>
      <c r="H1000" s="89">
        <f>F1000/G1000</f>
        <v/>
      </c>
    </row>
    <row r="1001">
      <c r="A1001" s="86" t="inlineStr">
        <is>
          <t>충남</t>
        </is>
      </c>
      <c r="B1001" s="86" t="n">
        <v>2019</v>
      </c>
      <c r="C1001" s="86" t="n">
        <v>4</v>
      </c>
      <c r="D1001" s="86" t="inlineStr">
        <is>
          <t>2019-04</t>
        </is>
      </c>
      <c r="E1001" s="87" t="n">
        <v>205.1</v>
      </c>
      <c r="F1001" s="87" t="n">
        <v>152.1056</v>
      </c>
      <c r="G1001" s="88">
        <f>DAY(EOMONTH(DATE(B1001,C1001,1),0))</f>
        <v/>
      </c>
      <c r="H1001" s="89">
        <f>F1001/G1001</f>
        <v/>
      </c>
    </row>
    <row r="1002">
      <c r="A1002" s="86" t="inlineStr">
        <is>
          <t>충남</t>
        </is>
      </c>
      <c r="B1002" s="86" t="n">
        <v>2019</v>
      </c>
      <c r="C1002" s="86" t="n">
        <v>5</v>
      </c>
      <c r="D1002" s="86" t="inlineStr">
        <is>
          <t>2019-05</t>
        </is>
      </c>
      <c r="E1002" s="87" t="n">
        <v>305</v>
      </c>
      <c r="F1002" s="87" t="n">
        <v>211.6917</v>
      </c>
      <c r="G1002" s="88">
        <f>DAY(EOMONTH(DATE(B1002,C1002,1),0))</f>
        <v/>
      </c>
      <c r="H1002" s="89">
        <f>F1002/G1002</f>
        <v/>
      </c>
    </row>
    <row r="1003">
      <c r="A1003" s="86" t="inlineStr">
        <is>
          <t>충남</t>
        </is>
      </c>
      <c r="B1003" s="86" t="n">
        <v>2019</v>
      </c>
      <c r="C1003" s="86" t="n">
        <v>6</v>
      </c>
      <c r="D1003" s="86" t="inlineStr">
        <is>
          <t>2019-06</t>
        </is>
      </c>
      <c r="E1003" s="87" t="n">
        <v>223.7</v>
      </c>
      <c r="F1003" s="87" t="n">
        <v>174.8528</v>
      </c>
      <c r="G1003" s="88">
        <f>DAY(EOMONTH(DATE(B1003,C1003,1),0))</f>
        <v/>
      </c>
      <c r="H1003" s="89">
        <f>F1003/G1003</f>
        <v/>
      </c>
    </row>
    <row r="1004">
      <c r="A1004" s="86" t="inlineStr">
        <is>
          <t>충남</t>
        </is>
      </c>
      <c r="B1004" s="86" t="n">
        <v>2019</v>
      </c>
      <c r="C1004" s="86" t="n">
        <v>7</v>
      </c>
      <c r="D1004" s="86" t="inlineStr">
        <is>
          <t>2019-07</t>
        </is>
      </c>
      <c r="E1004" s="87" t="n">
        <v>181</v>
      </c>
      <c r="F1004" s="87" t="n">
        <v>149.9611</v>
      </c>
      <c r="G1004" s="88">
        <f>DAY(EOMONTH(DATE(B1004,C1004,1),0))</f>
        <v/>
      </c>
      <c r="H1004" s="89">
        <f>F1004/G1004</f>
        <v/>
      </c>
    </row>
    <row r="1005">
      <c r="A1005" s="86" t="inlineStr">
        <is>
          <t>충남</t>
        </is>
      </c>
      <c r="B1005" s="86" t="n">
        <v>2019</v>
      </c>
      <c r="C1005" s="86" t="n">
        <v>8</v>
      </c>
      <c r="D1005" s="86" t="inlineStr">
        <is>
          <t>2019-08</t>
        </is>
      </c>
      <c r="E1005" s="87" t="n">
        <v>235.7</v>
      </c>
      <c r="F1005" s="87" t="n">
        <v>160.6028</v>
      </c>
      <c r="G1005" s="88">
        <f>DAY(EOMONTH(DATE(B1005,C1005,1),0))</f>
        <v/>
      </c>
      <c r="H1005" s="89">
        <f>F1005/G1005</f>
        <v/>
      </c>
    </row>
    <row r="1006">
      <c r="A1006" s="86" t="inlineStr">
        <is>
          <t>충남</t>
        </is>
      </c>
      <c r="B1006" s="86" t="n">
        <v>2019</v>
      </c>
      <c r="C1006" s="86" t="n">
        <v>9</v>
      </c>
      <c r="D1006" s="86" t="inlineStr">
        <is>
          <t>2019-09</t>
        </is>
      </c>
      <c r="E1006" s="87" t="n">
        <v>150.9</v>
      </c>
      <c r="F1006" s="87" t="n">
        <v>113.0472</v>
      </c>
      <c r="G1006" s="88">
        <f>DAY(EOMONTH(DATE(B1006,C1006,1),0))</f>
        <v/>
      </c>
      <c r="H1006" s="89">
        <f>F1006/G1006</f>
        <v/>
      </c>
    </row>
    <row r="1007">
      <c r="A1007" s="86" t="inlineStr">
        <is>
          <t>충남</t>
        </is>
      </c>
      <c r="B1007" s="86" t="n">
        <v>2019</v>
      </c>
      <c r="C1007" s="86" t="n">
        <v>10</v>
      </c>
      <c r="D1007" s="86" t="inlineStr">
        <is>
          <t>2019-10</t>
        </is>
      </c>
      <c r="E1007" s="87" t="n">
        <v>213.7</v>
      </c>
      <c r="F1007" s="87" t="n">
        <v>113.4667</v>
      </c>
      <c r="G1007" s="88">
        <f>DAY(EOMONTH(DATE(B1007,C1007,1),0))</f>
        <v/>
      </c>
      <c r="H1007" s="89">
        <f>F1007/G1007</f>
        <v/>
      </c>
    </row>
    <row r="1008">
      <c r="A1008" s="86" t="inlineStr">
        <is>
          <t>충남</t>
        </is>
      </c>
      <c r="B1008" s="86" t="n">
        <v>2019</v>
      </c>
      <c r="C1008" s="86" t="n">
        <v>11</v>
      </c>
      <c r="D1008" s="86" t="inlineStr">
        <is>
          <t>2019-11</t>
        </is>
      </c>
      <c r="E1008" s="87" t="n">
        <v>190.6</v>
      </c>
      <c r="F1008" s="87" t="n">
        <v>83.95</v>
      </c>
      <c r="G1008" s="88">
        <f>DAY(EOMONTH(DATE(B1008,C1008,1),0))</f>
        <v/>
      </c>
      <c r="H1008" s="89">
        <f>F1008/G1008</f>
        <v/>
      </c>
    </row>
    <row r="1009">
      <c r="A1009" s="86" t="inlineStr">
        <is>
          <t>충남</t>
        </is>
      </c>
      <c r="B1009" s="86" t="n">
        <v>2019</v>
      </c>
      <c r="C1009" s="86" t="n">
        <v>12</v>
      </c>
      <c r="D1009" s="86" t="inlineStr">
        <is>
          <t>2019-12</t>
        </is>
      </c>
      <c r="E1009" s="87" t="n">
        <v>164.6</v>
      </c>
      <c r="F1009" s="87" t="n">
        <v>67.6056</v>
      </c>
      <c r="G1009" s="88">
        <f>DAY(EOMONTH(DATE(B1009,C1009,1),0))</f>
        <v/>
      </c>
      <c r="H1009" s="89">
        <f>F1009/G1009</f>
        <v/>
      </c>
    </row>
    <row r="1010">
      <c r="A1010" s="86" t="inlineStr">
        <is>
          <t>충남</t>
        </is>
      </c>
      <c r="B1010" s="86" t="n">
        <v>2020</v>
      </c>
      <c r="C1010" s="86" t="n">
        <v>1</v>
      </c>
      <c r="D1010" s="86" t="inlineStr">
        <is>
          <t>2020-01</t>
        </is>
      </c>
      <c r="E1010" s="87" t="n">
        <v>154.9</v>
      </c>
      <c r="F1010" s="87" t="n">
        <v>71.24720000000001</v>
      </c>
      <c r="G1010" s="88">
        <f>DAY(EOMONTH(DATE(B1010,C1010,1),0))</f>
        <v/>
      </c>
      <c r="H1010" s="89">
        <f>F1010/G1010</f>
        <v/>
      </c>
    </row>
    <row r="1011">
      <c r="A1011" s="86" t="inlineStr">
        <is>
          <t>충남</t>
        </is>
      </c>
      <c r="B1011" s="86" t="n">
        <v>2020</v>
      </c>
      <c r="C1011" s="86" t="n">
        <v>2</v>
      </c>
      <c r="D1011" s="86" t="inlineStr">
        <is>
          <t>2020-02</t>
        </is>
      </c>
      <c r="E1011" s="87" t="n">
        <v>190.5</v>
      </c>
      <c r="F1011" s="87" t="n">
        <v>97.3417</v>
      </c>
      <c r="G1011" s="88">
        <f>DAY(EOMONTH(DATE(B1011,C1011,1),0))</f>
        <v/>
      </c>
      <c r="H1011" s="89">
        <f>F1011/G1011</f>
        <v/>
      </c>
    </row>
    <row r="1012">
      <c r="A1012" s="86" t="inlineStr">
        <is>
          <t>충남</t>
        </is>
      </c>
      <c r="B1012" s="86" t="n">
        <v>2020</v>
      </c>
      <c r="C1012" s="86" t="n">
        <v>3</v>
      </c>
      <c r="D1012" s="86" t="inlineStr">
        <is>
          <t>2020-03</t>
        </is>
      </c>
      <c r="E1012" s="87" t="n">
        <v>256.3</v>
      </c>
      <c r="F1012" s="87" t="n">
        <v>153.9583</v>
      </c>
      <c r="G1012" s="88">
        <f>DAY(EOMONTH(DATE(B1012,C1012,1),0))</f>
        <v/>
      </c>
      <c r="H1012" s="89">
        <f>F1012/G1012</f>
        <v/>
      </c>
    </row>
    <row r="1013">
      <c r="A1013" s="86" t="inlineStr">
        <is>
          <t>충남</t>
        </is>
      </c>
      <c r="B1013" s="86" t="n">
        <v>2020</v>
      </c>
      <c r="C1013" s="86" t="n">
        <v>4</v>
      </c>
      <c r="D1013" s="86" t="inlineStr">
        <is>
          <t>2020-04</t>
        </is>
      </c>
      <c r="E1013" s="87" t="n">
        <v>301</v>
      </c>
      <c r="F1013" s="87" t="n">
        <v>190.1778</v>
      </c>
      <c r="G1013" s="88">
        <f>DAY(EOMONTH(DATE(B1013,C1013,1),0))</f>
        <v/>
      </c>
      <c r="H1013" s="89">
        <f>F1013/G1013</f>
        <v/>
      </c>
    </row>
    <row r="1014">
      <c r="A1014" s="86" t="inlineStr">
        <is>
          <t>충남</t>
        </is>
      </c>
      <c r="B1014" s="86" t="n">
        <v>2020</v>
      </c>
      <c r="C1014" s="86" t="n">
        <v>5</v>
      </c>
      <c r="D1014" s="86" t="inlineStr">
        <is>
          <t>2020-05</t>
        </is>
      </c>
      <c r="E1014" s="87" t="n">
        <v>227.7</v>
      </c>
      <c r="F1014" s="87" t="n">
        <v>175.8944</v>
      </c>
      <c r="G1014" s="88">
        <f>DAY(EOMONTH(DATE(B1014,C1014,1),0))</f>
        <v/>
      </c>
      <c r="H1014" s="89">
        <f>F1014/G1014</f>
        <v/>
      </c>
    </row>
    <row r="1015">
      <c r="A1015" s="86" t="inlineStr">
        <is>
          <t>충남</t>
        </is>
      </c>
      <c r="B1015" s="86" t="n">
        <v>2020</v>
      </c>
      <c r="C1015" s="86" t="n">
        <v>6</v>
      </c>
      <c r="D1015" s="86" t="inlineStr">
        <is>
          <t>2020-06</t>
        </is>
      </c>
      <c r="E1015" s="87" t="n">
        <v>213.3</v>
      </c>
      <c r="F1015" s="87" t="n">
        <v>166.1444</v>
      </c>
      <c r="G1015" s="88">
        <f>DAY(EOMONTH(DATE(B1015,C1015,1),0))</f>
        <v/>
      </c>
      <c r="H1015" s="89">
        <f>F1015/G1015</f>
        <v/>
      </c>
    </row>
    <row r="1016">
      <c r="A1016" s="86" t="inlineStr">
        <is>
          <t>충남</t>
        </is>
      </c>
      <c r="B1016" s="86" t="n">
        <v>2020</v>
      </c>
      <c r="C1016" s="86" t="n">
        <v>7</v>
      </c>
      <c r="D1016" s="86" t="inlineStr">
        <is>
          <t>2020-07</t>
        </is>
      </c>
      <c r="E1016" s="87" t="n">
        <v>112.8</v>
      </c>
      <c r="F1016" s="87" t="n">
        <v>122.2917</v>
      </c>
      <c r="G1016" s="88">
        <f>DAY(EOMONTH(DATE(B1016,C1016,1),0))</f>
        <v/>
      </c>
      <c r="H1016" s="89">
        <f>F1016/G1016</f>
        <v/>
      </c>
    </row>
    <row r="1017">
      <c r="A1017" s="86" t="inlineStr">
        <is>
          <t>충남</t>
        </is>
      </c>
      <c r="B1017" s="86" t="n">
        <v>2020</v>
      </c>
      <c r="C1017" s="86" t="n">
        <v>8</v>
      </c>
      <c r="D1017" s="86" t="inlineStr">
        <is>
          <t>2020-08</t>
        </is>
      </c>
      <c r="E1017" s="87" t="n">
        <v>153.2</v>
      </c>
      <c r="F1017" s="87" t="n">
        <v>124.7167</v>
      </c>
      <c r="G1017" s="88">
        <f>DAY(EOMONTH(DATE(B1017,C1017,1),0))</f>
        <v/>
      </c>
      <c r="H1017" s="89">
        <f>F1017/G1017</f>
        <v/>
      </c>
    </row>
    <row r="1018">
      <c r="A1018" s="86" t="inlineStr">
        <is>
          <t>충남</t>
        </is>
      </c>
      <c r="B1018" s="86" t="n">
        <v>2020</v>
      </c>
      <c r="C1018" s="86" t="n">
        <v>9</v>
      </c>
      <c r="D1018" s="86" t="inlineStr">
        <is>
          <t>2020-09</t>
        </is>
      </c>
      <c r="E1018" s="87" t="n">
        <v>199.3</v>
      </c>
      <c r="F1018" s="87" t="n">
        <v>128.85</v>
      </c>
      <c r="G1018" s="88">
        <f>DAY(EOMONTH(DATE(B1018,C1018,1),0))</f>
        <v/>
      </c>
      <c r="H1018" s="89">
        <f>F1018/G1018</f>
        <v/>
      </c>
    </row>
    <row r="1019">
      <c r="A1019" s="86" t="inlineStr">
        <is>
          <t>충남</t>
        </is>
      </c>
      <c r="B1019" s="86" t="n">
        <v>2020</v>
      </c>
      <c r="C1019" s="86" t="n">
        <v>10</v>
      </c>
      <c r="D1019" s="86" t="inlineStr">
        <is>
          <t>2020-10</t>
        </is>
      </c>
      <c r="E1019" s="87" t="n">
        <v>232.1</v>
      </c>
      <c r="F1019" s="87" t="n">
        <v>115.1917</v>
      </c>
      <c r="G1019" s="88">
        <f>DAY(EOMONTH(DATE(B1019,C1019,1),0))</f>
        <v/>
      </c>
      <c r="H1019" s="89">
        <f>F1019/G1019</f>
        <v/>
      </c>
    </row>
    <row r="1020">
      <c r="A1020" s="86" t="inlineStr">
        <is>
          <t>충남</t>
        </is>
      </c>
      <c r="B1020" s="86" t="n">
        <v>2020</v>
      </c>
      <c r="C1020" s="86" t="n">
        <v>11</v>
      </c>
      <c r="D1020" s="86" t="inlineStr">
        <is>
          <t>2020-11</t>
        </is>
      </c>
      <c r="E1020" s="87" t="n">
        <v>171.6</v>
      </c>
      <c r="F1020" s="87" t="n">
        <v>72.95</v>
      </c>
      <c r="G1020" s="88">
        <f>DAY(EOMONTH(DATE(B1020,C1020,1),0))</f>
        <v/>
      </c>
      <c r="H1020" s="89">
        <f>F1020/G1020</f>
        <v/>
      </c>
    </row>
    <row r="1021">
      <c r="A1021" s="86" t="inlineStr">
        <is>
          <t>충남</t>
        </is>
      </c>
      <c r="B1021" s="86" t="n">
        <v>2020</v>
      </c>
      <c r="C1021" s="86" t="n">
        <v>12</v>
      </c>
      <c r="D1021" s="86" t="inlineStr">
        <is>
          <t>2020-12</t>
        </is>
      </c>
      <c r="E1021" s="87" t="n">
        <v>177.5</v>
      </c>
      <c r="F1021" s="87" t="n">
        <v>68.72499999999999</v>
      </c>
      <c r="G1021" s="88">
        <f>DAY(EOMONTH(DATE(B1021,C1021,1),0))</f>
        <v/>
      </c>
      <c r="H1021" s="89">
        <f>F1021/G1021</f>
        <v/>
      </c>
    </row>
    <row r="1022">
      <c r="A1022" s="86" t="inlineStr">
        <is>
          <t>충남</t>
        </is>
      </c>
      <c r="B1022" s="86" t="n">
        <v>2021</v>
      </c>
      <c r="C1022" s="86" t="n">
        <v>1</v>
      </c>
      <c r="D1022" s="86" t="inlineStr">
        <is>
          <t>2021-01</t>
        </is>
      </c>
      <c r="E1022" s="87" t="n">
        <v>173.2</v>
      </c>
      <c r="F1022" s="87" t="n">
        <v>70.6722</v>
      </c>
      <c r="G1022" s="88">
        <f>DAY(EOMONTH(DATE(B1022,C1022,1),0))</f>
        <v/>
      </c>
      <c r="H1022" s="89">
        <f>F1022/G1022</f>
        <v/>
      </c>
    </row>
    <row r="1023">
      <c r="A1023" s="86" t="inlineStr">
        <is>
          <t>충남</t>
        </is>
      </c>
      <c r="B1023" s="86" t="n">
        <v>2021</v>
      </c>
      <c r="C1023" s="86" t="n">
        <v>2</v>
      </c>
      <c r="D1023" s="86" t="inlineStr">
        <is>
          <t>2021-02</t>
        </is>
      </c>
      <c r="E1023" s="87" t="n">
        <v>199.1</v>
      </c>
      <c r="F1023" s="87" t="n">
        <v>95.0222</v>
      </c>
      <c r="G1023" s="88">
        <f>DAY(EOMONTH(DATE(B1023,C1023,1),0))</f>
        <v/>
      </c>
      <c r="H1023" s="89">
        <f>F1023/G1023</f>
        <v/>
      </c>
    </row>
    <row r="1024">
      <c r="A1024" s="86" t="inlineStr">
        <is>
          <t>충남</t>
        </is>
      </c>
      <c r="B1024" s="86" t="n">
        <v>2021</v>
      </c>
      <c r="C1024" s="86" t="n">
        <v>3</v>
      </c>
      <c r="D1024" s="86" t="inlineStr">
        <is>
          <t>2021-03</t>
        </is>
      </c>
      <c r="E1024" s="87" t="n">
        <v>213.1</v>
      </c>
      <c r="F1024" s="87" t="n">
        <v>127.9472</v>
      </c>
      <c r="G1024" s="88">
        <f>DAY(EOMONTH(DATE(B1024,C1024,1),0))</f>
        <v/>
      </c>
      <c r="H1024" s="89">
        <f>F1024/G1024</f>
        <v/>
      </c>
    </row>
    <row r="1025">
      <c r="A1025" s="86" t="inlineStr">
        <is>
          <t>충남</t>
        </is>
      </c>
      <c r="B1025" s="86" t="n">
        <v>2021</v>
      </c>
      <c r="C1025" s="86" t="n">
        <v>4</v>
      </c>
      <c r="D1025" s="86" t="inlineStr">
        <is>
          <t>2021-04</t>
        </is>
      </c>
      <c r="E1025" s="87" t="n">
        <v>227.5</v>
      </c>
      <c r="F1025" s="87" t="n">
        <v>154.1167</v>
      </c>
      <c r="G1025" s="88">
        <f>DAY(EOMONTH(DATE(B1025,C1025,1),0))</f>
        <v/>
      </c>
      <c r="H1025" s="89">
        <f>F1025/G1025</f>
        <v/>
      </c>
    </row>
    <row r="1026">
      <c r="A1026" s="86" t="inlineStr">
        <is>
          <t>충남</t>
        </is>
      </c>
      <c r="B1026" s="86" t="n">
        <v>2021</v>
      </c>
      <c r="C1026" s="86" t="n">
        <v>5</v>
      </c>
      <c r="D1026" s="86" t="inlineStr">
        <is>
          <t>2021-05</t>
        </is>
      </c>
      <c r="E1026" s="87" t="n">
        <v>209.3</v>
      </c>
      <c r="F1026" s="87" t="n">
        <v>152.1972</v>
      </c>
      <c r="G1026" s="88">
        <f>DAY(EOMONTH(DATE(B1026,C1026,1),0))</f>
        <v/>
      </c>
      <c r="H1026" s="89">
        <f>F1026/G1026</f>
        <v/>
      </c>
    </row>
    <row r="1027">
      <c r="A1027" s="86" t="inlineStr">
        <is>
          <t>충남</t>
        </is>
      </c>
      <c r="B1027" s="86" t="n">
        <v>2021</v>
      </c>
      <c r="C1027" s="86" t="n">
        <v>6</v>
      </c>
      <c r="D1027" s="86" t="inlineStr">
        <is>
          <t>2021-06</t>
        </is>
      </c>
      <c r="E1027" s="87" t="n">
        <v>218.8</v>
      </c>
      <c r="F1027" s="87" t="n">
        <v>160.8889</v>
      </c>
      <c r="G1027" s="88">
        <f>DAY(EOMONTH(DATE(B1027,C1027,1),0))</f>
        <v/>
      </c>
      <c r="H1027" s="89">
        <f>F1027/G1027</f>
        <v/>
      </c>
    </row>
    <row r="1028">
      <c r="A1028" s="86" t="inlineStr">
        <is>
          <t>충남</t>
        </is>
      </c>
      <c r="B1028" s="86" t="n">
        <v>2021</v>
      </c>
      <c r="C1028" s="86" t="n">
        <v>7</v>
      </c>
      <c r="D1028" s="86" t="inlineStr">
        <is>
          <t>2021-07</t>
        </is>
      </c>
      <c r="E1028" s="87" t="n">
        <v>241.9</v>
      </c>
      <c r="F1028" s="87" t="n">
        <v>169.5222</v>
      </c>
      <c r="G1028" s="88">
        <f>DAY(EOMONTH(DATE(B1028,C1028,1),0))</f>
        <v/>
      </c>
      <c r="H1028" s="89">
        <f>F1028/G1028</f>
        <v/>
      </c>
    </row>
    <row r="1029">
      <c r="A1029" s="86" t="inlineStr">
        <is>
          <t>충남</t>
        </is>
      </c>
      <c r="B1029" s="86" t="n">
        <v>2021</v>
      </c>
      <c r="C1029" s="86" t="n">
        <v>8</v>
      </c>
      <c r="D1029" s="86" t="inlineStr">
        <is>
          <t>2021-08</t>
        </is>
      </c>
      <c r="E1029" s="87" t="n">
        <v>161.6</v>
      </c>
      <c r="F1029" s="87" t="n">
        <v>122.1417</v>
      </c>
      <c r="G1029" s="88">
        <f>DAY(EOMONTH(DATE(B1029,C1029,1),0))</f>
        <v/>
      </c>
      <c r="H1029" s="89">
        <f>F1029/G1029</f>
        <v/>
      </c>
    </row>
    <row r="1030">
      <c r="A1030" s="86" t="inlineStr">
        <is>
          <t>충남</t>
        </is>
      </c>
      <c r="B1030" s="86" t="n">
        <v>2021</v>
      </c>
      <c r="C1030" s="86" t="n">
        <v>9</v>
      </c>
      <c r="D1030" s="86" t="inlineStr">
        <is>
          <t>2021-09</t>
        </is>
      </c>
      <c r="E1030" s="87" t="n">
        <v>182.3</v>
      </c>
      <c r="F1030" s="87" t="n">
        <v>117.8</v>
      </c>
      <c r="G1030" s="88">
        <f>DAY(EOMONTH(DATE(B1030,C1030,1),0))</f>
        <v/>
      </c>
      <c r="H1030" s="89">
        <f>F1030/G1030</f>
        <v/>
      </c>
    </row>
    <row r="1031">
      <c r="A1031" s="86" t="inlineStr">
        <is>
          <t>충남</t>
        </is>
      </c>
      <c r="B1031" s="86" t="n">
        <v>2021</v>
      </c>
      <c r="C1031" s="86" t="n">
        <v>10</v>
      </c>
      <c r="D1031" s="86" t="inlineStr">
        <is>
          <t>2021-10</t>
        </is>
      </c>
      <c r="E1031" s="87" t="n">
        <v>212.2</v>
      </c>
      <c r="F1031" s="87" t="n">
        <v>107.7889</v>
      </c>
      <c r="G1031" s="88">
        <f>DAY(EOMONTH(DATE(B1031,C1031,1),0))</f>
        <v/>
      </c>
      <c r="H1031" s="89">
        <f>F1031/G1031</f>
        <v/>
      </c>
    </row>
    <row r="1032">
      <c r="A1032" s="86" t="inlineStr">
        <is>
          <t>충남</t>
        </is>
      </c>
      <c r="B1032" s="86" t="n">
        <v>2021</v>
      </c>
      <c r="C1032" s="86" t="n">
        <v>11</v>
      </c>
      <c r="D1032" s="86" t="inlineStr">
        <is>
          <t>2021-11</t>
        </is>
      </c>
      <c r="E1032" s="87" t="n">
        <v>181.7</v>
      </c>
      <c r="F1032" s="87" t="n">
        <v>73.9306</v>
      </c>
      <c r="G1032" s="88">
        <f>DAY(EOMONTH(DATE(B1032,C1032,1),0))</f>
        <v/>
      </c>
      <c r="H1032" s="89">
        <f>F1032/G1032</f>
        <v/>
      </c>
    </row>
    <row r="1033">
      <c r="A1033" s="86" t="inlineStr">
        <is>
          <t>충남</t>
        </is>
      </c>
      <c r="B1033" s="86" t="n">
        <v>2021</v>
      </c>
      <c r="C1033" s="86" t="n">
        <v>12</v>
      </c>
      <c r="D1033" s="86" t="inlineStr">
        <is>
          <t>2021-12</t>
        </is>
      </c>
      <c r="E1033" s="87" t="n">
        <v>165.9</v>
      </c>
      <c r="F1033" s="87" t="n">
        <v>65.6056</v>
      </c>
      <c r="G1033" s="88">
        <f>DAY(EOMONTH(DATE(B1033,C1033,1),0))</f>
        <v/>
      </c>
      <c r="H1033" s="89">
        <f>F1033/G1033</f>
        <v/>
      </c>
    </row>
    <row r="1034">
      <c r="A1034" s="86" t="inlineStr">
        <is>
          <t>충남</t>
        </is>
      </c>
      <c r="B1034" s="86" t="n">
        <v>2022</v>
      </c>
      <c r="C1034" s="86" t="n">
        <v>1</v>
      </c>
      <c r="D1034" s="86" t="inlineStr">
        <is>
          <t>2022-01</t>
        </is>
      </c>
      <c r="E1034" s="87" t="n">
        <v>203.5</v>
      </c>
      <c r="F1034" s="87" t="n">
        <v>87.0889</v>
      </c>
      <c r="G1034" s="88">
        <f>DAY(EOMONTH(DATE(B1034,C1034,1),0))</f>
        <v/>
      </c>
      <c r="H1034" s="89">
        <f>F1034/G1034</f>
        <v/>
      </c>
    </row>
    <row r="1035">
      <c r="A1035" s="86" t="inlineStr">
        <is>
          <t>충남</t>
        </is>
      </c>
      <c r="B1035" s="86" t="n">
        <v>2022</v>
      </c>
      <c r="C1035" s="86" t="n">
        <v>2</v>
      </c>
      <c r="D1035" s="86" t="inlineStr">
        <is>
          <t>2022-02</t>
        </is>
      </c>
      <c r="E1035" s="87" t="n">
        <v>200.1</v>
      </c>
      <c r="F1035" s="87" t="n">
        <v>103.5694</v>
      </c>
      <c r="G1035" s="88">
        <f>DAY(EOMONTH(DATE(B1035,C1035,1),0))</f>
        <v/>
      </c>
      <c r="H1035" s="89">
        <f>F1035/G1035</f>
        <v/>
      </c>
    </row>
    <row r="1036">
      <c r="A1036" s="86" t="inlineStr">
        <is>
          <t>충남</t>
        </is>
      </c>
      <c r="B1036" s="86" t="n">
        <v>2022</v>
      </c>
      <c r="C1036" s="86" t="n">
        <v>3</v>
      </c>
      <c r="D1036" s="86" t="inlineStr">
        <is>
          <t>2022-03</t>
        </is>
      </c>
      <c r="E1036" s="87" t="n">
        <v>168.5</v>
      </c>
      <c r="F1036" s="87" t="n">
        <v>117</v>
      </c>
      <c r="G1036" s="88">
        <f>DAY(EOMONTH(DATE(B1036,C1036,1),0))</f>
        <v/>
      </c>
      <c r="H1036" s="89">
        <f>F1036/G1036</f>
        <v/>
      </c>
    </row>
    <row r="1037">
      <c r="A1037" s="86" t="inlineStr">
        <is>
          <t>충남</t>
        </is>
      </c>
      <c r="B1037" s="86" t="n">
        <v>2022</v>
      </c>
      <c r="C1037" s="86" t="n">
        <v>4</v>
      </c>
      <c r="D1037" s="86" t="inlineStr">
        <is>
          <t>2022-04</t>
        </is>
      </c>
      <c r="E1037" s="87" t="n">
        <v>248.4</v>
      </c>
      <c r="F1037" s="87" t="n">
        <v>171.5778</v>
      </c>
      <c r="G1037" s="88">
        <f>DAY(EOMONTH(DATE(B1037,C1037,1),0))</f>
        <v/>
      </c>
      <c r="H1037" s="89">
        <f>F1037/G1037</f>
        <v/>
      </c>
    </row>
    <row r="1038">
      <c r="A1038" s="86" t="inlineStr">
        <is>
          <t>충남</t>
        </is>
      </c>
      <c r="B1038" s="86" t="n">
        <v>2022</v>
      </c>
      <c r="C1038" s="86" t="n">
        <v>5</v>
      </c>
      <c r="D1038" s="86" t="inlineStr">
        <is>
          <t>2022-05</t>
        </is>
      </c>
      <c r="E1038" s="87" t="n">
        <v>313.3</v>
      </c>
      <c r="F1038" s="87" t="n">
        <v>214.9694</v>
      </c>
      <c r="G1038" s="88">
        <f>DAY(EOMONTH(DATE(B1038,C1038,1),0))</f>
        <v/>
      </c>
      <c r="H1038" s="89">
        <f>F1038/G1038</f>
        <v/>
      </c>
    </row>
    <row r="1039">
      <c r="A1039" s="86" t="inlineStr">
        <is>
          <t>충남</t>
        </is>
      </c>
      <c r="B1039" s="86" t="n">
        <v>2022</v>
      </c>
      <c r="C1039" s="86" t="n">
        <v>6</v>
      </c>
      <c r="D1039" s="86" t="inlineStr">
        <is>
          <t>2022-06</t>
        </is>
      </c>
      <c r="E1039" s="87" t="n">
        <v>162.2</v>
      </c>
      <c r="F1039" s="87" t="n">
        <v>147.3639</v>
      </c>
      <c r="G1039" s="88">
        <f>DAY(EOMONTH(DATE(B1039,C1039,1),0))</f>
        <v/>
      </c>
      <c r="H1039" s="89">
        <f>F1039/G1039</f>
        <v/>
      </c>
    </row>
    <row r="1040">
      <c r="A1040" s="86" t="inlineStr">
        <is>
          <t>충남</t>
        </is>
      </c>
      <c r="B1040" s="86" t="n">
        <v>2022</v>
      </c>
      <c r="C1040" s="86" t="n">
        <v>7</v>
      </c>
      <c r="D1040" s="86" t="inlineStr">
        <is>
          <t>2022-07</t>
        </is>
      </c>
      <c r="E1040" s="87" t="n">
        <v>173</v>
      </c>
      <c r="F1040" s="87" t="n">
        <v>156.2917</v>
      </c>
      <c r="G1040" s="88">
        <f>DAY(EOMONTH(DATE(B1040,C1040,1),0))</f>
        <v/>
      </c>
      <c r="H1040" s="89">
        <f>F1040/G1040</f>
        <v/>
      </c>
    </row>
    <row r="1041">
      <c r="A1041" s="86" t="inlineStr">
        <is>
          <t>충남</t>
        </is>
      </c>
      <c r="B1041" s="86" t="n">
        <v>2022</v>
      </c>
      <c r="C1041" s="86" t="n">
        <v>8</v>
      </c>
      <c r="D1041" s="86" t="inlineStr">
        <is>
          <t>2022-08</t>
        </is>
      </c>
      <c r="E1041" s="87" t="n">
        <v>127.8</v>
      </c>
      <c r="F1041" s="87" t="n">
        <v>119.8278</v>
      </c>
      <c r="G1041" s="88">
        <f>DAY(EOMONTH(DATE(B1041,C1041,1),0))</f>
        <v/>
      </c>
      <c r="H1041" s="89">
        <f>F1041/G1041</f>
        <v/>
      </c>
    </row>
    <row r="1042">
      <c r="A1042" s="86" t="inlineStr">
        <is>
          <t>충남</t>
        </is>
      </c>
      <c r="B1042" s="86" t="n">
        <v>2022</v>
      </c>
      <c r="C1042" s="86" t="n">
        <v>9</v>
      </c>
      <c r="D1042" s="86" t="inlineStr">
        <is>
          <t>2022-09</t>
        </is>
      </c>
      <c r="E1042" s="87" t="n">
        <v>185.5</v>
      </c>
      <c r="F1042" s="87" t="n">
        <v>136.2167</v>
      </c>
      <c r="G1042" s="88">
        <f>DAY(EOMONTH(DATE(B1042,C1042,1),0))</f>
        <v/>
      </c>
      <c r="H1042" s="89">
        <f>F1042/G1042</f>
        <v/>
      </c>
    </row>
    <row r="1043">
      <c r="A1043" s="86" t="inlineStr">
        <is>
          <t>충남</t>
        </is>
      </c>
      <c r="B1043" s="86" t="n">
        <v>2022</v>
      </c>
      <c r="C1043" s="86" t="n">
        <v>10</v>
      </c>
      <c r="D1043" s="86" t="inlineStr">
        <is>
          <t>2022-10</t>
        </is>
      </c>
      <c r="E1043" s="87" t="n">
        <v>215.6</v>
      </c>
      <c r="F1043" s="87" t="n">
        <v>118.9944</v>
      </c>
      <c r="G1043" s="88">
        <f>DAY(EOMONTH(DATE(B1043,C1043,1),0))</f>
        <v/>
      </c>
      <c r="H1043" s="89">
        <f>F1043/G1043</f>
        <v/>
      </c>
    </row>
    <row r="1044">
      <c r="A1044" s="86" t="inlineStr">
        <is>
          <t>충남</t>
        </is>
      </c>
      <c r="B1044" s="86" t="n">
        <v>2022</v>
      </c>
      <c r="C1044" s="86" t="n">
        <v>11</v>
      </c>
      <c r="D1044" s="86" t="inlineStr">
        <is>
          <t>2022-11</t>
        </is>
      </c>
      <c r="E1044" s="87" t="n">
        <v>184.6</v>
      </c>
      <c r="F1044" s="87" t="n">
        <v>84.1139</v>
      </c>
      <c r="G1044" s="88">
        <f>DAY(EOMONTH(DATE(B1044,C1044,1),0))</f>
        <v/>
      </c>
      <c r="H1044" s="89">
        <f>F1044/G1044</f>
        <v/>
      </c>
    </row>
    <row r="1045">
      <c r="A1045" s="86" t="inlineStr">
        <is>
          <t>충남</t>
        </is>
      </c>
      <c r="B1045" s="86" t="n">
        <v>2022</v>
      </c>
      <c r="C1045" s="86" t="n">
        <v>12</v>
      </c>
      <c r="D1045" s="86" t="inlineStr">
        <is>
          <t>2022-12</t>
        </is>
      </c>
      <c r="E1045" s="87" t="n">
        <v>148.6</v>
      </c>
      <c r="F1045" s="87" t="n">
        <v>66.1972</v>
      </c>
      <c r="G1045" s="88">
        <f>DAY(EOMONTH(DATE(B1045,C1045,1),0))</f>
        <v/>
      </c>
      <c r="H1045" s="89">
        <f>F1045/G1045</f>
        <v/>
      </c>
    </row>
    <row r="1046">
      <c r="A1046" s="86" t="inlineStr">
        <is>
          <t>충남</t>
        </is>
      </c>
      <c r="B1046" s="86" t="n">
        <v>2023</v>
      </c>
      <c r="C1046" s="86" t="n">
        <v>1</v>
      </c>
      <c r="D1046" s="86" t="inlineStr">
        <is>
          <t>2023-01</t>
        </is>
      </c>
      <c r="E1046" s="87" t="n">
        <v>186.1</v>
      </c>
      <c r="F1046" s="87" t="n">
        <v>80.99169999999999</v>
      </c>
      <c r="G1046" s="88">
        <f>DAY(EOMONTH(DATE(B1046,C1046,1),0))</f>
        <v/>
      </c>
      <c r="H1046" s="89">
        <f>F1046/G1046</f>
        <v/>
      </c>
    </row>
    <row r="1047">
      <c r="A1047" s="86" t="inlineStr">
        <is>
          <t>충남</t>
        </is>
      </c>
      <c r="B1047" s="86" t="n">
        <v>2023</v>
      </c>
      <c r="C1047" s="86" t="n">
        <v>2</v>
      </c>
      <c r="D1047" s="86" t="inlineStr">
        <is>
          <t>2023-02</t>
        </is>
      </c>
      <c r="E1047" s="87" t="n">
        <v>187.1</v>
      </c>
      <c r="F1047" s="87" t="n">
        <v>98.5111</v>
      </c>
      <c r="G1047" s="88">
        <f>DAY(EOMONTH(DATE(B1047,C1047,1),0))</f>
        <v/>
      </c>
      <c r="H1047" s="89">
        <f>F1047/G1047</f>
        <v/>
      </c>
    </row>
    <row r="1048">
      <c r="A1048" s="86" t="inlineStr">
        <is>
          <t>충남</t>
        </is>
      </c>
      <c r="B1048" s="86" t="n">
        <v>2023</v>
      </c>
      <c r="C1048" s="86" t="n">
        <v>3</v>
      </c>
      <c r="D1048" s="86" t="inlineStr">
        <is>
          <t>2023-03</t>
        </is>
      </c>
      <c r="E1048" s="87" t="n">
        <v>247</v>
      </c>
      <c r="F1048" s="87" t="n">
        <v>146.3417</v>
      </c>
      <c r="G1048" s="88">
        <f>DAY(EOMONTH(DATE(B1048,C1048,1),0))</f>
        <v/>
      </c>
      <c r="H1048" s="89">
        <f>F1048/G1048</f>
        <v/>
      </c>
    </row>
    <row r="1049">
      <c r="A1049" s="86" t="inlineStr">
        <is>
          <t>충남</t>
        </is>
      </c>
      <c r="B1049" s="86" t="n">
        <v>2023</v>
      </c>
      <c r="C1049" s="86" t="n">
        <v>4</v>
      </c>
      <c r="D1049" s="86" t="inlineStr">
        <is>
          <t>2023-04</t>
        </is>
      </c>
      <c r="E1049" s="87" t="n">
        <v>200</v>
      </c>
      <c r="F1049" s="87" t="n">
        <v>146.1556</v>
      </c>
      <c r="G1049" s="88">
        <f>DAY(EOMONTH(DATE(B1049,C1049,1),0))</f>
        <v/>
      </c>
      <c r="H1049" s="89">
        <f>F1049/G1049</f>
        <v/>
      </c>
    </row>
    <row r="1050">
      <c r="A1050" s="86" t="inlineStr">
        <is>
          <t>충남</t>
        </is>
      </c>
      <c r="B1050" s="86" t="n">
        <v>2023</v>
      </c>
      <c r="C1050" s="86" t="n">
        <v>5</v>
      </c>
      <c r="D1050" s="86" t="inlineStr">
        <is>
          <t>2023-05</t>
        </is>
      </c>
      <c r="E1050" s="87" t="n">
        <v>226</v>
      </c>
      <c r="F1050" s="87" t="n">
        <v>170.8722</v>
      </c>
      <c r="G1050" s="88">
        <f>DAY(EOMONTH(DATE(B1050,C1050,1),0))</f>
        <v/>
      </c>
      <c r="H1050" s="89">
        <f>F1050/G1050</f>
        <v/>
      </c>
    </row>
    <row r="1051">
      <c r="A1051" s="86" t="inlineStr">
        <is>
          <t>충남</t>
        </is>
      </c>
      <c r="B1051" s="86" t="n">
        <v>2023</v>
      </c>
      <c r="C1051" s="86" t="n">
        <v>6</v>
      </c>
      <c r="D1051" s="86" t="inlineStr">
        <is>
          <t>2023-06</t>
        </is>
      </c>
      <c r="E1051" s="87" t="n">
        <v>222.2</v>
      </c>
      <c r="F1051" s="87" t="n">
        <v>175.1472</v>
      </c>
      <c r="G1051" s="88">
        <f>DAY(EOMONTH(DATE(B1051,C1051,1),0))</f>
        <v/>
      </c>
      <c r="H1051" s="89">
        <f>F1051/G1051</f>
        <v/>
      </c>
    </row>
    <row r="1052">
      <c r="A1052" s="86" t="inlineStr">
        <is>
          <t>충남</t>
        </is>
      </c>
      <c r="B1052" s="86" t="n">
        <v>2023</v>
      </c>
      <c r="C1052" s="86" t="n">
        <v>7</v>
      </c>
      <c r="D1052" s="86" t="inlineStr">
        <is>
          <t>2023-07</t>
        </is>
      </c>
      <c r="E1052" s="87" t="n">
        <v>153.6</v>
      </c>
      <c r="F1052" s="87" t="n">
        <v>134.1778</v>
      </c>
      <c r="G1052" s="88">
        <f>DAY(EOMONTH(DATE(B1052,C1052,1),0))</f>
        <v/>
      </c>
      <c r="H1052" s="89">
        <f>F1052/G1052</f>
        <v/>
      </c>
    </row>
    <row r="1053">
      <c r="A1053" s="86" t="inlineStr">
        <is>
          <t>충남</t>
        </is>
      </c>
      <c r="B1053" s="86" t="n">
        <v>2023</v>
      </c>
      <c r="C1053" s="86" t="n">
        <v>8</v>
      </c>
      <c r="D1053" s="86" t="inlineStr">
        <is>
          <t>2023-08</t>
        </is>
      </c>
      <c r="E1053" s="87" t="n">
        <v>200.3</v>
      </c>
      <c r="F1053" s="87" t="n">
        <v>153.2111</v>
      </c>
      <c r="G1053" s="88">
        <f>DAY(EOMONTH(DATE(B1053,C1053,1),0))</f>
        <v/>
      </c>
      <c r="H1053" s="89">
        <f>F1053/G1053</f>
        <v/>
      </c>
    </row>
    <row r="1054">
      <c r="A1054" s="86" t="inlineStr">
        <is>
          <t>충남</t>
        </is>
      </c>
      <c r="B1054" s="86" t="n">
        <v>2023</v>
      </c>
      <c r="C1054" s="86" t="n">
        <v>9</v>
      </c>
      <c r="D1054" s="86" t="inlineStr">
        <is>
          <t>2023-09</t>
        </is>
      </c>
      <c r="E1054" s="87" t="n">
        <v>155.4</v>
      </c>
      <c r="F1054" s="87" t="n">
        <v>120.4833</v>
      </c>
      <c r="G1054" s="88">
        <f>DAY(EOMONTH(DATE(B1054,C1054,1),0))</f>
        <v/>
      </c>
      <c r="H1054" s="89">
        <f>F1054/G1054</f>
        <v/>
      </c>
    </row>
    <row r="1055">
      <c r="A1055" s="86" t="inlineStr">
        <is>
          <t>충남</t>
        </is>
      </c>
      <c r="B1055" s="86" t="n">
        <v>2023</v>
      </c>
      <c r="C1055" s="86" t="n">
        <v>10</v>
      </c>
      <c r="D1055" s="86" t="inlineStr">
        <is>
          <t>2023-10</t>
        </is>
      </c>
      <c r="E1055" s="87" t="n">
        <v>221.2</v>
      </c>
      <c r="F1055" s="87" t="n">
        <v>120.6722</v>
      </c>
      <c r="G1055" s="88">
        <f>DAY(EOMONTH(DATE(B1055,C1055,1),0))</f>
        <v/>
      </c>
      <c r="H1055" s="89">
        <f>F1055/G1055</f>
        <v/>
      </c>
    </row>
    <row r="1056">
      <c r="A1056" s="86" t="inlineStr">
        <is>
          <t>충남</t>
        </is>
      </c>
      <c r="B1056" s="86" t="n">
        <v>2023</v>
      </c>
      <c r="C1056" s="86" t="n">
        <v>11</v>
      </c>
      <c r="D1056" s="86" t="inlineStr">
        <is>
          <t>2023-11</t>
        </is>
      </c>
      <c r="E1056" s="87" t="n">
        <v>150.4</v>
      </c>
      <c r="F1056" s="87" t="n">
        <v>76.0528</v>
      </c>
      <c r="G1056" s="88">
        <f>DAY(EOMONTH(DATE(B1056,C1056,1),0))</f>
        <v/>
      </c>
      <c r="H1056" s="89">
        <f>F1056/G1056</f>
        <v/>
      </c>
    </row>
    <row r="1057">
      <c r="A1057" s="86" t="inlineStr">
        <is>
          <t>충남</t>
        </is>
      </c>
      <c r="B1057" s="86" t="n">
        <v>2023</v>
      </c>
      <c r="C1057" s="86" t="n">
        <v>12</v>
      </c>
      <c r="D1057" s="86" t="inlineStr">
        <is>
          <t>2023-12</t>
        </is>
      </c>
      <c r="E1057" s="87" t="n">
        <v>116.5</v>
      </c>
      <c r="F1057" s="87" t="n">
        <v>59.1167</v>
      </c>
      <c r="G1057" s="88">
        <f>DAY(EOMONTH(DATE(B1057,C1057,1),0))</f>
        <v/>
      </c>
      <c r="H1057" s="89">
        <f>F1057/G1057</f>
        <v/>
      </c>
    </row>
    <row r="1058">
      <c r="A1058" s="86" t="inlineStr">
        <is>
          <t>충남</t>
        </is>
      </c>
      <c r="B1058" s="86" t="n">
        <v>2024</v>
      </c>
      <c r="C1058" s="86" t="n">
        <v>1</v>
      </c>
      <c r="D1058" s="86" t="inlineStr">
        <is>
          <t>2024-01</t>
        </is>
      </c>
      <c r="E1058" s="87" t="n">
        <v>144.7</v>
      </c>
      <c r="F1058" s="87" t="n">
        <v>71.3056</v>
      </c>
      <c r="G1058" s="88">
        <f>DAY(EOMONTH(DATE(B1058,C1058,1),0))</f>
        <v/>
      </c>
      <c r="H1058" s="89">
        <f>F1058/G1058</f>
        <v/>
      </c>
    </row>
    <row r="1059">
      <c r="A1059" s="86" t="inlineStr">
        <is>
          <t>충남</t>
        </is>
      </c>
      <c r="B1059" s="86" t="n">
        <v>2024</v>
      </c>
      <c r="C1059" s="86" t="n">
        <v>2</v>
      </c>
      <c r="D1059" s="86" t="inlineStr">
        <is>
          <t>2024-02</t>
        </is>
      </c>
      <c r="E1059" s="87" t="n">
        <v>102.5</v>
      </c>
      <c r="F1059" s="87" t="n">
        <v>71.2556</v>
      </c>
      <c r="G1059" s="88">
        <f>DAY(EOMONTH(DATE(B1059,C1059,1),0))</f>
        <v/>
      </c>
      <c r="H1059" s="89">
        <f>F1059/G1059</f>
        <v/>
      </c>
    </row>
    <row r="1060">
      <c r="A1060" s="86" t="inlineStr">
        <is>
          <t>충남</t>
        </is>
      </c>
      <c r="B1060" s="86" t="n">
        <v>2024</v>
      </c>
      <c r="C1060" s="86" t="n">
        <v>3</v>
      </c>
      <c r="D1060" s="86" t="inlineStr">
        <is>
          <t>2024-03</t>
        </is>
      </c>
      <c r="E1060" s="87" t="n">
        <v>213.4</v>
      </c>
      <c r="F1060" s="87" t="n">
        <v>132.9278</v>
      </c>
      <c r="G1060" s="88">
        <f>DAY(EOMONTH(DATE(B1060,C1060,1),0))</f>
        <v/>
      </c>
      <c r="H1060" s="89">
        <f>F1060/G1060</f>
        <v/>
      </c>
    </row>
    <row r="1061">
      <c r="A1061" s="86" t="inlineStr">
        <is>
          <t>충남</t>
        </is>
      </c>
      <c r="B1061" s="86" t="n">
        <v>2024</v>
      </c>
      <c r="C1061" s="86" t="n">
        <v>4</v>
      </c>
      <c r="D1061" s="86" t="inlineStr">
        <is>
          <t>2024-04</t>
        </is>
      </c>
      <c r="E1061" s="87" t="n">
        <v>206.8</v>
      </c>
      <c r="F1061" s="87" t="n">
        <v>150.2056</v>
      </c>
      <c r="G1061" s="88">
        <f>DAY(EOMONTH(DATE(B1061,C1061,1),0))</f>
        <v/>
      </c>
      <c r="H1061" s="89">
        <f>F1061/G1061</f>
        <v/>
      </c>
    </row>
    <row r="1062">
      <c r="A1062" s="86" t="inlineStr">
        <is>
          <t>충남</t>
        </is>
      </c>
      <c r="B1062" s="86" t="n">
        <v>2024</v>
      </c>
      <c r="C1062" s="86" t="n">
        <v>5</v>
      </c>
      <c r="D1062" s="86" t="inlineStr">
        <is>
          <t>2024-05</t>
        </is>
      </c>
      <c r="E1062" s="87" t="n">
        <v>277.8</v>
      </c>
      <c r="F1062" s="87" t="n">
        <v>195.4444</v>
      </c>
      <c r="G1062" s="88">
        <f>DAY(EOMONTH(DATE(B1062,C1062,1),0))</f>
        <v/>
      </c>
      <c r="H1062" s="89">
        <f>F1062/G1062</f>
        <v/>
      </c>
    </row>
    <row r="1063">
      <c r="A1063" s="86" t="inlineStr">
        <is>
          <t>충남</t>
        </is>
      </c>
      <c r="B1063" s="86" t="n">
        <v>2024</v>
      </c>
      <c r="C1063" s="86" t="n">
        <v>6</v>
      </c>
      <c r="D1063" s="86" t="inlineStr">
        <is>
          <t>2024-06</t>
        </is>
      </c>
      <c r="E1063" s="87" t="n">
        <v>276</v>
      </c>
      <c r="F1063" s="87" t="n">
        <v>196.0167</v>
      </c>
      <c r="G1063" s="88">
        <f>DAY(EOMONTH(DATE(B1063,C1063,1),0))</f>
        <v/>
      </c>
      <c r="H1063" s="89">
        <f>F1063/G1063</f>
        <v/>
      </c>
    </row>
    <row r="1064">
      <c r="A1064" s="86" t="inlineStr">
        <is>
          <t>충남</t>
        </is>
      </c>
      <c r="B1064" s="86" t="n">
        <v>2024</v>
      </c>
      <c r="C1064" s="86" t="n">
        <v>7</v>
      </c>
      <c r="D1064" s="86" t="inlineStr">
        <is>
          <t>2024-07</t>
        </is>
      </c>
      <c r="E1064" s="87" t="n">
        <v>120</v>
      </c>
      <c r="F1064" s="87" t="n">
        <v>126.8639</v>
      </c>
      <c r="G1064" s="88">
        <f>DAY(EOMONTH(DATE(B1064,C1064,1),0))</f>
        <v/>
      </c>
      <c r="H1064" s="89">
        <f>F1064/G1064</f>
        <v/>
      </c>
    </row>
    <row r="1065">
      <c r="A1065" s="86" t="inlineStr">
        <is>
          <t>충남</t>
        </is>
      </c>
      <c r="B1065" s="86" t="n">
        <v>2024</v>
      </c>
      <c r="C1065" s="86" t="n">
        <v>8</v>
      </c>
      <c r="D1065" s="86" t="inlineStr">
        <is>
          <t>2024-08</t>
        </is>
      </c>
      <c r="E1065" s="87" t="n">
        <v>230.7</v>
      </c>
      <c r="F1065" s="87" t="n">
        <v>162.9306</v>
      </c>
      <c r="G1065" s="88">
        <f>DAY(EOMONTH(DATE(B1065,C1065,1),0))</f>
        <v/>
      </c>
      <c r="H1065" s="89">
        <f>F1065/G1065</f>
        <v/>
      </c>
    </row>
    <row r="1066">
      <c r="A1066" s="86" t="inlineStr">
        <is>
          <t>충남</t>
        </is>
      </c>
      <c r="B1066" s="86" t="n">
        <v>2024</v>
      </c>
      <c r="C1066" s="86" t="n">
        <v>9</v>
      </c>
      <c r="D1066" s="86" t="inlineStr">
        <is>
          <t>2024-09</t>
        </is>
      </c>
      <c r="E1066" s="87" t="n">
        <v>185.3</v>
      </c>
      <c r="F1066" s="87" t="n">
        <v>130.3306</v>
      </c>
      <c r="G1066" s="88">
        <f>DAY(EOMONTH(DATE(B1066,C1066,1),0))</f>
        <v/>
      </c>
      <c r="H1066" s="89">
        <f>F1066/G1066</f>
        <v/>
      </c>
    </row>
    <row r="1067">
      <c r="A1067" s="86" t="inlineStr">
        <is>
          <t>충남</t>
        </is>
      </c>
      <c r="B1067" s="86" t="n">
        <v>2024</v>
      </c>
      <c r="C1067" s="86" t="n">
        <v>10</v>
      </c>
      <c r="D1067" s="86" t="inlineStr">
        <is>
          <t>2024-10</t>
        </is>
      </c>
      <c r="E1067" s="87" t="n">
        <v>159.6</v>
      </c>
      <c r="F1067" s="87" t="n">
        <v>97.4361</v>
      </c>
      <c r="G1067" s="88">
        <f>DAY(EOMONTH(DATE(B1067,C1067,1),0))</f>
        <v/>
      </c>
      <c r="H1067" s="89">
        <f>F1067/G1067</f>
        <v/>
      </c>
    </row>
    <row r="1068">
      <c r="A1068" s="86" t="inlineStr">
        <is>
          <t>충남</t>
        </is>
      </c>
      <c r="B1068" s="86" t="n">
        <v>2024</v>
      </c>
      <c r="C1068" s="86" t="n">
        <v>11</v>
      </c>
      <c r="D1068" s="86" t="inlineStr">
        <is>
          <t>2024-11</t>
        </is>
      </c>
      <c r="E1068" s="87" t="n">
        <v>181.3</v>
      </c>
      <c r="F1068" s="87" t="n">
        <v>84.63890000000001</v>
      </c>
      <c r="G1068" s="88">
        <f>DAY(EOMONTH(DATE(B1068,C1068,1),0))</f>
        <v/>
      </c>
      <c r="H1068" s="89">
        <f>F1068/G1068</f>
        <v/>
      </c>
    </row>
    <row r="1069">
      <c r="A1069" s="86" t="inlineStr">
        <is>
          <t>충남</t>
        </is>
      </c>
      <c r="B1069" s="86" t="n">
        <v>2024</v>
      </c>
      <c r="C1069" s="86" t="n">
        <v>12</v>
      </c>
      <c r="D1069" s="86" t="inlineStr">
        <is>
          <t>2024-12</t>
        </is>
      </c>
      <c r="E1069" s="87" t="n">
        <v>156.9</v>
      </c>
      <c r="F1069" s="87" t="n">
        <v>71.2778</v>
      </c>
      <c r="G1069" s="88">
        <f>DAY(EOMONTH(DATE(B1069,C1069,1),0))</f>
        <v/>
      </c>
      <c r="H1069" s="89">
        <f>F1069/G1069</f>
        <v/>
      </c>
    </row>
    <row r="1070">
      <c r="A1070" s="86" t="inlineStr">
        <is>
          <t>충남</t>
        </is>
      </c>
      <c r="B1070" s="86" t="n">
        <v>2025</v>
      </c>
      <c r="C1070" s="86" t="n">
        <v>1</v>
      </c>
      <c r="D1070" s="86" t="inlineStr">
        <is>
          <t>2025-01</t>
        </is>
      </c>
      <c r="E1070" s="87" t="n">
        <v>164.2</v>
      </c>
      <c r="F1070" s="87" t="n">
        <v>78.87779999999999</v>
      </c>
      <c r="G1070" s="88">
        <f>DAY(EOMONTH(DATE(B1070,C1070,1),0))</f>
        <v/>
      </c>
      <c r="H1070" s="89">
        <f>F1070/G1070</f>
        <v/>
      </c>
    </row>
    <row r="1071">
      <c r="A1071" s="86" t="inlineStr">
        <is>
          <t>충남</t>
        </is>
      </c>
      <c r="B1071" s="86" t="n">
        <v>2025</v>
      </c>
      <c r="C1071" s="86" t="n">
        <v>2</v>
      </c>
      <c r="D1071" s="86" t="inlineStr">
        <is>
          <t>2025-02</t>
        </is>
      </c>
      <c r="E1071" s="87" t="n">
        <v>204.7</v>
      </c>
      <c r="F1071" s="87" t="n">
        <v>109.9361</v>
      </c>
      <c r="G1071" s="88">
        <f>DAY(EOMONTH(DATE(B1071,C1071,1),0))</f>
        <v/>
      </c>
      <c r="H1071" s="89">
        <f>F1071/G1071</f>
        <v/>
      </c>
    </row>
    <row r="1072">
      <c r="A1072" s="86" t="inlineStr">
        <is>
          <t>충남</t>
        </is>
      </c>
      <c r="B1072" s="86" t="n">
        <v>2025</v>
      </c>
      <c r="C1072" s="86" t="n">
        <v>3</v>
      </c>
      <c r="D1072" s="86" t="inlineStr">
        <is>
          <t>2025-03</t>
        </is>
      </c>
      <c r="E1072" s="87" t="n">
        <v>211.9</v>
      </c>
      <c r="F1072" s="87" t="n">
        <v>136.3028</v>
      </c>
      <c r="G1072" s="88">
        <f>DAY(EOMONTH(DATE(B1072,C1072,1),0))</f>
        <v/>
      </c>
      <c r="H1072" s="89">
        <f>F1072/G1072</f>
        <v/>
      </c>
    </row>
    <row r="1073">
      <c r="A1073" s="86" t="inlineStr">
        <is>
          <t>충남</t>
        </is>
      </c>
      <c r="B1073" s="86" t="n">
        <v>2025</v>
      </c>
      <c r="C1073" s="86" t="n">
        <v>4</v>
      </c>
      <c r="D1073" s="86" t="inlineStr">
        <is>
          <t>2025-04</t>
        </is>
      </c>
      <c r="E1073" s="87" t="n">
        <v>246.7</v>
      </c>
      <c r="F1073" s="87" t="n">
        <v>167.8333</v>
      </c>
      <c r="G1073" s="88">
        <f>DAY(EOMONTH(DATE(B1073,C1073,1),0))</f>
        <v/>
      </c>
      <c r="H1073" s="89">
        <f>F1073/G1073</f>
        <v/>
      </c>
    </row>
    <row r="1074">
      <c r="A1074" s="86" t="inlineStr">
        <is>
          <t>충남</t>
        </is>
      </c>
      <c r="B1074" s="86" t="n">
        <v>2025</v>
      </c>
      <c r="C1074" s="86" t="n">
        <v>5</v>
      </c>
      <c r="D1074" s="86" t="inlineStr">
        <is>
          <t>2025-05</t>
        </is>
      </c>
      <c r="E1074" s="87" t="n">
        <v>200.1</v>
      </c>
      <c r="F1074" s="87" t="n">
        <v>154.2111</v>
      </c>
      <c r="G1074" s="88">
        <f>DAY(EOMONTH(DATE(B1074,C1074,1),0))</f>
        <v/>
      </c>
      <c r="H1074" s="89">
        <f>F1074/G1074</f>
        <v/>
      </c>
    </row>
    <row r="1075">
      <c r="A1075" s="86" t="inlineStr">
        <is>
          <t>충남</t>
        </is>
      </c>
      <c r="B1075" s="86" t="n">
        <v>2025</v>
      </c>
      <c r="C1075" s="86" t="n">
        <v>6</v>
      </c>
      <c r="D1075" s="86" t="inlineStr">
        <is>
          <t>2025-06</t>
        </is>
      </c>
      <c r="E1075" s="87" t="n">
        <v>199.2</v>
      </c>
      <c r="F1075" s="87" t="n">
        <v>164.0389</v>
      </c>
      <c r="G1075" s="88">
        <f>DAY(EOMONTH(DATE(B1075,C1075,1),0))</f>
        <v/>
      </c>
      <c r="H1075" s="89">
        <f>F1075/G1075</f>
        <v/>
      </c>
    </row>
    <row r="1076">
      <c r="A1076" s="86" t="inlineStr">
        <is>
          <t>충남</t>
        </is>
      </c>
      <c r="B1076" s="86" t="n">
        <v>2025</v>
      </c>
      <c r="C1076" s="86" t="n">
        <v>7</v>
      </c>
      <c r="D1076" s="86" t="inlineStr">
        <is>
          <t>2025-07</t>
        </is>
      </c>
      <c r="E1076" s="87" t="n">
        <v>222.6</v>
      </c>
      <c r="F1076" s="87" t="n">
        <v>174.3528</v>
      </c>
      <c r="G1076" s="88">
        <f>DAY(EOMONTH(DATE(B1076,C1076,1),0))</f>
        <v/>
      </c>
      <c r="H1076" s="89">
        <f>F1076/G1076</f>
        <v/>
      </c>
    </row>
    <row r="1077">
      <c r="A1077" s="86" t="inlineStr">
        <is>
          <t>충남</t>
        </is>
      </c>
      <c r="B1077" s="86" t="n">
        <v>2025</v>
      </c>
      <c r="C1077" s="86" t="n">
        <v>8</v>
      </c>
      <c r="D1077" s="86" t="inlineStr">
        <is>
          <t>2025-08</t>
        </is>
      </c>
      <c r="E1077" s="87" t="n">
        <v>208.3</v>
      </c>
      <c r="F1077" s="87" t="n">
        <v>158.0722</v>
      </c>
      <c r="G1077" s="88">
        <f>DAY(EOMONTH(DATE(B1077,C1077,1),0))</f>
        <v/>
      </c>
      <c r="H1077" s="89">
        <f>F1077/G1077</f>
        <v/>
      </c>
    </row>
    <row r="1078">
      <c r="A1078" s="86" t="inlineStr">
        <is>
          <t>충남</t>
        </is>
      </c>
      <c r="B1078" s="86" t="n">
        <v>2025</v>
      </c>
      <c r="C1078" s="86" t="n">
        <v>9</v>
      </c>
      <c r="D1078" s="86" t="inlineStr">
        <is>
          <t>2025-09</t>
        </is>
      </c>
      <c r="E1078" s="87" t="n">
        <v>117.3</v>
      </c>
      <c r="F1078" s="87" t="n">
        <v>104.3361</v>
      </c>
      <c r="G1078" s="88">
        <f>DAY(EOMONTH(DATE(B1078,C1078,1),0))</f>
        <v/>
      </c>
      <c r="H1078" s="89">
        <f>F1078/G1078</f>
        <v/>
      </c>
    </row>
    <row r="1079">
      <c r="A1079" s="86" t="inlineStr">
        <is>
          <t>충남</t>
        </is>
      </c>
      <c r="B1079" s="86" t="n">
        <v>2025</v>
      </c>
      <c r="C1079" s="86" t="n">
        <v>10</v>
      </c>
      <c r="D1079" s="86" t="inlineStr">
        <is>
          <t>2025-10</t>
        </is>
      </c>
      <c r="E1079" s="87" t="n">
        <v>129.7</v>
      </c>
      <c r="F1079" s="87" t="n">
        <v>88.70829999999999</v>
      </c>
      <c r="G1079" s="88">
        <f>DAY(EOMONTH(DATE(B1079,C1079,1),0))</f>
        <v/>
      </c>
      <c r="H1079" s="89">
        <f>F1079/G1079</f>
        <v/>
      </c>
    </row>
    <row r="1080">
      <c r="A1080" s="86" t="inlineStr">
        <is>
          <t>충남</t>
        </is>
      </c>
      <c r="B1080" s="86" t="n">
        <v>2025</v>
      </c>
      <c r="C1080" s="86" t="n">
        <v>11</v>
      </c>
      <c r="D1080" s="86" t="inlineStr">
        <is>
          <t>2025-11</t>
        </is>
      </c>
      <c r="E1080" s="87" t="n">
        <v>202</v>
      </c>
      <c r="F1080" s="87" t="n">
        <v>91.1528</v>
      </c>
      <c r="G1080" s="88">
        <f>DAY(EOMONTH(DATE(B1080,C1080,1),0))</f>
        <v/>
      </c>
      <c r="H1080" s="89">
        <f>F1080/G1080</f>
        <v/>
      </c>
    </row>
    <row r="1081">
      <c r="A1081" s="86" t="inlineStr">
        <is>
          <t>충남</t>
        </is>
      </c>
      <c r="B1081" s="86" t="n">
        <v>2025</v>
      </c>
      <c r="C1081" s="86" t="n">
        <v>12</v>
      </c>
      <c r="D1081" s="86" t="inlineStr">
        <is>
          <t>2025-12</t>
        </is>
      </c>
      <c r="E1081" s="87" t="n">
        <v>159.1</v>
      </c>
      <c r="F1081" s="87" t="n">
        <v>68.8083</v>
      </c>
      <c r="G1081" s="88">
        <f>DAY(EOMONTH(DATE(B1081,C1081,1),0))</f>
        <v/>
      </c>
      <c r="H1081" s="89">
        <f>F1081/G1081</f>
        <v/>
      </c>
    </row>
    <row r="1082">
      <c r="A1082" s="86" t="inlineStr">
        <is>
          <t>충북</t>
        </is>
      </c>
      <c r="B1082" s="86" t="n">
        <v>2016</v>
      </c>
      <c r="C1082" s="86" t="n">
        <v>1</v>
      </c>
      <c r="D1082" s="86" t="inlineStr">
        <is>
          <t>2016-01</t>
        </is>
      </c>
      <c r="E1082" s="87" t="n">
        <v>176</v>
      </c>
      <c r="F1082" s="87" t="n">
        <v>71.13330000000001</v>
      </c>
      <c r="G1082" s="88">
        <f>DAY(EOMONTH(DATE(B1082,C1082,1),0))</f>
        <v/>
      </c>
      <c r="H1082" s="89">
        <f>F1082/G1082</f>
        <v/>
      </c>
    </row>
    <row r="1083">
      <c r="A1083" s="86" t="inlineStr">
        <is>
          <t>충북</t>
        </is>
      </c>
      <c r="B1083" s="86" t="n">
        <v>2016</v>
      </c>
      <c r="C1083" s="86" t="n">
        <v>2</v>
      </c>
      <c r="D1083" s="86" t="inlineStr">
        <is>
          <t>2016-02</t>
        </is>
      </c>
      <c r="E1083" s="87" t="n">
        <v>187.1</v>
      </c>
      <c r="F1083" s="87" t="n">
        <v>88.38890000000001</v>
      </c>
      <c r="G1083" s="88">
        <f>DAY(EOMONTH(DATE(B1083,C1083,1),0))</f>
        <v/>
      </c>
      <c r="H1083" s="89">
        <f>F1083/G1083</f>
        <v/>
      </c>
    </row>
    <row r="1084">
      <c r="A1084" s="86" t="inlineStr">
        <is>
          <t>충북</t>
        </is>
      </c>
      <c r="B1084" s="86" t="n">
        <v>2016</v>
      </c>
      <c r="C1084" s="86" t="n">
        <v>3</v>
      </c>
      <c r="D1084" s="86" t="inlineStr">
        <is>
          <t>2016-03</t>
        </is>
      </c>
      <c r="E1084" s="87" t="n">
        <v>215.7</v>
      </c>
      <c r="F1084" s="87" t="n">
        <v>130.5083</v>
      </c>
      <c r="G1084" s="88">
        <f>DAY(EOMONTH(DATE(B1084,C1084,1),0))</f>
        <v/>
      </c>
      <c r="H1084" s="89">
        <f>F1084/G1084</f>
        <v/>
      </c>
    </row>
    <row r="1085">
      <c r="A1085" s="86" t="inlineStr">
        <is>
          <t>충북</t>
        </is>
      </c>
      <c r="B1085" s="86" t="n">
        <v>2016</v>
      </c>
      <c r="C1085" s="86" t="n">
        <v>4</v>
      </c>
      <c r="D1085" s="86" t="inlineStr">
        <is>
          <t>2016-04</t>
        </is>
      </c>
      <c r="E1085" s="87" t="n">
        <v>206.1</v>
      </c>
      <c r="F1085" s="87" t="n">
        <v>139.6417</v>
      </c>
      <c r="G1085" s="88">
        <f>DAY(EOMONTH(DATE(B1085,C1085,1),0))</f>
        <v/>
      </c>
      <c r="H1085" s="89">
        <f>F1085/G1085</f>
        <v/>
      </c>
    </row>
    <row r="1086">
      <c r="A1086" s="86" t="inlineStr">
        <is>
          <t>충북</t>
        </is>
      </c>
      <c r="B1086" s="86" t="n">
        <v>2016</v>
      </c>
      <c r="C1086" s="86" t="n">
        <v>5</v>
      </c>
      <c r="D1086" s="86" t="inlineStr">
        <is>
          <t>2016-05</t>
        </is>
      </c>
      <c r="E1086" s="87" t="n">
        <v>274.3</v>
      </c>
      <c r="F1086" s="87" t="n">
        <v>186.0167</v>
      </c>
      <c r="G1086" s="88">
        <f>DAY(EOMONTH(DATE(B1086,C1086,1),0))</f>
        <v/>
      </c>
      <c r="H1086" s="89">
        <f>F1086/G1086</f>
        <v/>
      </c>
    </row>
    <row r="1087">
      <c r="A1087" s="86" t="inlineStr">
        <is>
          <t>충북</t>
        </is>
      </c>
      <c r="B1087" s="86" t="n">
        <v>2016</v>
      </c>
      <c r="C1087" s="86" t="n">
        <v>6</v>
      </c>
      <c r="D1087" s="86" t="inlineStr">
        <is>
          <t>2016-06</t>
        </is>
      </c>
      <c r="E1087" s="87" t="n">
        <v>217.7</v>
      </c>
      <c r="F1087" s="87" t="n">
        <v>158.5194</v>
      </c>
      <c r="G1087" s="88">
        <f>DAY(EOMONTH(DATE(B1087,C1087,1),0))</f>
        <v/>
      </c>
      <c r="H1087" s="89">
        <f>F1087/G1087</f>
        <v/>
      </c>
    </row>
    <row r="1088">
      <c r="A1088" s="86" t="inlineStr">
        <is>
          <t>충북</t>
        </is>
      </c>
      <c r="B1088" s="86" t="n">
        <v>2016</v>
      </c>
      <c r="C1088" s="86" t="n">
        <v>7</v>
      </c>
      <c r="D1088" s="86" t="inlineStr">
        <is>
          <t>2016-07</t>
        </is>
      </c>
      <c r="E1088" s="87" t="n">
        <v>178.9</v>
      </c>
      <c r="F1088" s="87" t="n">
        <v>141.5806</v>
      </c>
      <c r="G1088" s="88">
        <f>DAY(EOMONTH(DATE(B1088,C1088,1),0))</f>
        <v/>
      </c>
      <c r="H1088" s="89">
        <f>F1088/G1088</f>
        <v/>
      </c>
    </row>
    <row r="1089">
      <c r="A1089" s="86" t="inlineStr">
        <is>
          <t>충북</t>
        </is>
      </c>
      <c r="B1089" s="86" t="n">
        <v>2016</v>
      </c>
      <c r="C1089" s="86" t="n">
        <v>8</v>
      </c>
      <c r="D1089" s="86" t="inlineStr">
        <is>
          <t>2016-08</t>
        </is>
      </c>
      <c r="E1089" s="87" t="n">
        <v>239.7</v>
      </c>
      <c r="F1089" s="87" t="n">
        <v>154.0472</v>
      </c>
      <c r="G1089" s="88">
        <f>DAY(EOMONTH(DATE(B1089,C1089,1),0))</f>
        <v/>
      </c>
      <c r="H1089" s="89">
        <f>F1089/G1089</f>
        <v/>
      </c>
    </row>
    <row r="1090">
      <c r="A1090" s="86" t="inlineStr">
        <is>
          <t>충북</t>
        </is>
      </c>
      <c r="B1090" s="86" t="n">
        <v>2016</v>
      </c>
      <c r="C1090" s="86" t="n">
        <v>9</v>
      </c>
      <c r="D1090" s="86" t="inlineStr">
        <is>
          <t>2016-09</t>
        </is>
      </c>
      <c r="E1090" s="87" t="n">
        <v>134.8</v>
      </c>
      <c r="F1090" s="87" t="n">
        <v>98.6889</v>
      </c>
      <c r="G1090" s="88">
        <f>DAY(EOMONTH(DATE(B1090,C1090,1),0))</f>
        <v/>
      </c>
      <c r="H1090" s="89">
        <f>F1090/G1090</f>
        <v/>
      </c>
    </row>
    <row r="1091">
      <c r="A1091" s="86" t="inlineStr">
        <is>
          <t>충북</t>
        </is>
      </c>
      <c r="B1091" s="86" t="n">
        <v>2016</v>
      </c>
      <c r="C1091" s="86" t="n">
        <v>10</v>
      </c>
      <c r="D1091" s="86" t="inlineStr">
        <is>
          <t>2016-10</t>
        </is>
      </c>
      <c r="E1091" s="87" t="n">
        <v>128.4</v>
      </c>
      <c r="F1091" s="87" t="n">
        <v>81.65000000000001</v>
      </c>
      <c r="G1091" s="88">
        <f>DAY(EOMONTH(DATE(B1091,C1091,1),0))</f>
        <v/>
      </c>
      <c r="H1091" s="89">
        <f>F1091/G1091</f>
        <v/>
      </c>
    </row>
    <row r="1092">
      <c r="A1092" s="86" t="inlineStr">
        <is>
          <t>충북</t>
        </is>
      </c>
      <c r="B1092" s="86" t="n">
        <v>2016</v>
      </c>
      <c r="C1092" s="86" t="n">
        <v>11</v>
      </c>
      <c r="D1092" s="86" t="inlineStr">
        <is>
          <t>2016-11</t>
        </is>
      </c>
      <c r="E1092" s="87" t="n">
        <v>161.1</v>
      </c>
      <c r="F1092" s="87" t="n">
        <v>72.8972</v>
      </c>
      <c r="G1092" s="88">
        <f>DAY(EOMONTH(DATE(B1092,C1092,1),0))</f>
        <v/>
      </c>
      <c r="H1092" s="89">
        <f>F1092/G1092</f>
        <v/>
      </c>
    </row>
    <row r="1093">
      <c r="A1093" s="86" t="inlineStr">
        <is>
          <t>충북</t>
        </is>
      </c>
      <c r="B1093" s="86" t="n">
        <v>2016</v>
      </c>
      <c r="C1093" s="86" t="n">
        <v>12</v>
      </c>
      <c r="D1093" s="86" t="inlineStr">
        <is>
          <t>2016-12</t>
        </is>
      </c>
      <c r="E1093" s="87" t="n">
        <v>151.2</v>
      </c>
      <c r="F1093" s="87" t="n">
        <v>62.7639</v>
      </c>
      <c r="G1093" s="88">
        <f>DAY(EOMONTH(DATE(B1093,C1093,1),0))</f>
        <v/>
      </c>
      <c r="H1093" s="89">
        <f>F1093/G1093</f>
        <v/>
      </c>
    </row>
    <row r="1094">
      <c r="A1094" s="86" t="inlineStr">
        <is>
          <t>충북</t>
        </is>
      </c>
      <c r="B1094" s="86" t="n">
        <v>2017</v>
      </c>
      <c r="C1094" s="86" t="n">
        <v>1</v>
      </c>
      <c r="D1094" s="86" t="inlineStr">
        <is>
          <t>2017-01</t>
        </is>
      </c>
      <c r="E1094" s="87" t="n">
        <v>186.5</v>
      </c>
      <c r="F1094" s="87" t="n">
        <v>76.6833</v>
      </c>
      <c r="G1094" s="88">
        <f>DAY(EOMONTH(DATE(B1094,C1094,1),0))</f>
        <v/>
      </c>
      <c r="H1094" s="89">
        <f>F1094/G1094</f>
        <v/>
      </c>
    </row>
    <row r="1095">
      <c r="A1095" s="86" t="inlineStr">
        <is>
          <t>충북</t>
        </is>
      </c>
      <c r="B1095" s="86" t="n">
        <v>2017</v>
      </c>
      <c r="C1095" s="86" t="n">
        <v>2</v>
      </c>
      <c r="D1095" s="86" t="inlineStr">
        <is>
          <t>2017-02</t>
        </is>
      </c>
      <c r="E1095" s="87" t="n">
        <v>214.9</v>
      </c>
      <c r="F1095" s="87" t="n">
        <v>100.4306</v>
      </c>
      <c r="G1095" s="88">
        <f>DAY(EOMONTH(DATE(B1095,C1095,1),0))</f>
        <v/>
      </c>
      <c r="H1095" s="89">
        <f>F1095/G1095</f>
        <v/>
      </c>
    </row>
    <row r="1096">
      <c r="A1096" s="86" t="inlineStr">
        <is>
          <t>충북</t>
        </is>
      </c>
      <c r="B1096" s="86" t="n">
        <v>2017</v>
      </c>
      <c r="C1096" s="86" t="n">
        <v>3</v>
      </c>
      <c r="D1096" s="86" t="inlineStr">
        <is>
          <t>2017-03</t>
        </is>
      </c>
      <c r="E1096" s="87" t="n">
        <v>237.7</v>
      </c>
      <c r="F1096" s="87" t="n">
        <v>132.8833</v>
      </c>
      <c r="G1096" s="88">
        <f>DAY(EOMONTH(DATE(B1096,C1096,1),0))</f>
        <v/>
      </c>
      <c r="H1096" s="89">
        <f>F1096/G1096</f>
        <v/>
      </c>
    </row>
    <row r="1097">
      <c r="A1097" s="86" t="inlineStr">
        <is>
          <t>충북</t>
        </is>
      </c>
      <c r="B1097" s="86" t="n">
        <v>2017</v>
      </c>
      <c r="C1097" s="86" t="n">
        <v>4</v>
      </c>
      <c r="D1097" s="86" t="inlineStr">
        <is>
          <t>2017-04</t>
        </is>
      </c>
      <c r="E1097" s="87" t="n">
        <v>254.4</v>
      </c>
      <c r="F1097" s="87" t="n">
        <v>155.2917</v>
      </c>
      <c r="G1097" s="88">
        <f>DAY(EOMONTH(DATE(B1097,C1097,1),0))</f>
        <v/>
      </c>
      <c r="H1097" s="89">
        <f>F1097/G1097</f>
        <v/>
      </c>
    </row>
    <row r="1098">
      <c r="A1098" s="86" t="inlineStr">
        <is>
          <t>충북</t>
        </is>
      </c>
      <c r="B1098" s="86" t="n">
        <v>2017</v>
      </c>
      <c r="C1098" s="86" t="n">
        <v>5</v>
      </c>
      <c r="D1098" s="86" t="inlineStr">
        <is>
          <t>2017-05</t>
        </is>
      </c>
      <c r="E1098" s="87" t="n">
        <v>299.1</v>
      </c>
      <c r="F1098" s="87" t="n">
        <v>186.2944</v>
      </c>
      <c r="G1098" s="88">
        <f>DAY(EOMONTH(DATE(B1098,C1098,1),0))</f>
        <v/>
      </c>
      <c r="H1098" s="89">
        <f>F1098/G1098</f>
        <v/>
      </c>
    </row>
    <row r="1099">
      <c r="A1099" s="86" t="inlineStr">
        <is>
          <t>충북</t>
        </is>
      </c>
      <c r="B1099" s="86" t="n">
        <v>2017</v>
      </c>
      <c r="C1099" s="86" t="n">
        <v>6</v>
      </c>
      <c r="D1099" s="86" t="inlineStr">
        <is>
          <t>2017-06</t>
        </is>
      </c>
      <c r="E1099" s="87" t="n">
        <v>262.2</v>
      </c>
      <c r="F1099" s="87" t="n">
        <v>176.8944</v>
      </c>
      <c r="G1099" s="88">
        <f>DAY(EOMONTH(DATE(B1099,C1099,1),0))</f>
        <v/>
      </c>
      <c r="H1099" s="89">
        <f>F1099/G1099</f>
        <v/>
      </c>
    </row>
    <row r="1100">
      <c r="A1100" s="86" t="inlineStr">
        <is>
          <t>충북</t>
        </is>
      </c>
      <c r="B1100" s="86" t="n">
        <v>2017</v>
      </c>
      <c r="C1100" s="86" t="n">
        <v>7</v>
      </c>
      <c r="D1100" s="86" t="inlineStr">
        <is>
          <t>2017-07</t>
        </is>
      </c>
      <c r="E1100" s="87" t="n">
        <v>130.7</v>
      </c>
      <c r="F1100" s="87" t="n">
        <v>118.9611</v>
      </c>
      <c r="G1100" s="88">
        <f>DAY(EOMONTH(DATE(B1100,C1100,1),0))</f>
        <v/>
      </c>
      <c r="H1100" s="89">
        <f>F1100/G1100</f>
        <v/>
      </c>
    </row>
    <row r="1101">
      <c r="A1101" s="86" t="inlineStr">
        <is>
          <t>충북</t>
        </is>
      </c>
      <c r="B1101" s="86" t="n">
        <v>2017</v>
      </c>
      <c r="C1101" s="86" t="n">
        <v>8</v>
      </c>
      <c r="D1101" s="86" t="inlineStr">
        <is>
          <t>2017-08</t>
        </is>
      </c>
      <c r="E1101" s="87" t="n">
        <v>183.6</v>
      </c>
      <c r="F1101" s="87" t="n">
        <v>133.6333</v>
      </c>
      <c r="G1101" s="88">
        <f>DAY(EOMONTH(DATE(B1101,C1101,1),0))</f>
        <v/>
      </c>
      <c r="H1101" s="89">
        <f>F1101/G1101</f>
        <v/>
      </c>
    </row>
    <row r="1102">
      <c r="A1102" s="86" t="inlineStr">
        <is>
          <t>충북</t>
        </is>
      </c>
      <c r="B1102" s="86" t="n">
        <v>2017</v>
      </c>
      <c r="C1102" s="86" t="n">
        <v>9</v>
      </c>
      <c r="D1102" s="86" t="inlineStr">
        <is>
          <t>2017-09</t>
        </is>
      </c>
      <c r="E1102" s="87" t="n">
        <v>219.7</v>
      </c>
      <c r="F1102" s="87" t="n">
        <v>130.6833</v>
      </c>
      <c r="G1102" s="88">
        <f>DAY(EOMONTH(DATE(B1102,C1102,1),0))</f>
        <v/>
      </c>
      <c r="H1102" s="89">
        <f>F1102/G1102</f>
        <v/>
      </c>
    </row>
    <row r="1103">
      <c r="A1103" s="86" t="inlineStr">
        <is>
          <t>충북</t>
        </is>
      </c>
      <c r="B1103" s="86" t="n">
        <v>2017</v>
      </c>
      <c r="C1103" s="86" t="n">
        <v>10</v>
      </c>
      <c r="D1103" s="86" t="inlineStr">
        <is>
          <t>2017-10</t>
        </is>
      </c>
      <c r="E1103" s="87" t="n">
        <v>183.9</v>
      </c>
      <c r="F1103" s="87" t="n">
        <v>98.675</v>
      </c>
      <c r="G1103" s="88">
        <f>DAY(EOMONTH(DATE(B1103,C1103,1),0))</f>
        <v/>
      </c>
      <c r="H1103" s="89">
        <f>F1103/G1103</f>
        <v/>
      </c>
    </row>
    <row r="1104">
      <c r="A1104" s="86" t="inlineStr">
        <is>
          <t>충북</t>
        </is>
      </c>
      <c r="B1104" s="86" t="n">
        <v>2017</v>
      </c>
      <c r="C1104" s="86" t="n">
        <v>11</v>
      </c>
      <c r="D1104" s="86" t="inlineStr">
        <is>
          <t>2017-11</t>
        </is>
      </c>
      <c r="E1104" s="87" t="n">
        <v>196.9</v>
      </c>
      <c r="F1104" s="87" t="n">
        <v>80.71939999999999</v>
      </c>
      <c r="G1104" s="88">
        <f>DAY(EOMONTH(DATE(B1104,C1104,1),0))</f>
        <v/>
      </c>
      <c r="H1104" s="89">
        <f>F1104/G1104</f>
        <v/>
      </c>
    </row>
    <row r="1105">
      <c r="A1105" s="86" t="inlineStr">
        <is>
          <t>충북</t>
        </is>
      </c>
      <c r="B1105" s="86" t="n">
        <v>2017</v>
      </c>
      <c r="C1105" s="86" t="n">
        <v>12</v>
      </c>
      <c r="D1105" s="86" t="inlineStr">
        <is>
          <t>2017-12</t>
        </is>
      </c>
      <c r="E1105" s="87" t="n">
        <v>182</v>
      </c>
      <c r="F1105" s="87" t="n">
        <v>69.1611</v>
      </c>
      <c r="G1105" s="88">
        <f>DAY(EOMONTH(DATE(B1105,C1105,1),0))</f>
        <v/>
      </c>
      <c r="H1105" s="89">
        <f>F1105/G1105</f>
        <v/>
      </c>
    </row>
    <row r="1106">
      <c r="A1106" s="86" t="inlineStr">
        <is>
          <t>충북</t>
        </is>
      </c>
      <c r="B1106" s="86" t="n">
        <v>2018</v>
      </c>
      <c r="C1106" s="86" t="n">
        <v>1</v>
      </c>
      <c r="D1106" s="86" t="inlineStr">
        <is>
          <t>2018-01</t>
        </is>
      </c>
      <c r="E1106" s="87" t="n">
        <v>182.7</v>
      </c>
      <c r="F1106" s="87" t="n">
        <v>78.1778</v>
      </c>
      <c r="G1106" s="88">
        <f>DAY(EOMONTH(DATE(B1106,C1106,1),0))</f>
        <v/>
      </c>
      <c r="H1106" s="89">
        <f>F1106/G1106</f>
        <v/>
      </c>
    </row>
    <row r="1107">
      <c r="A1107" s="86" t="inlineStr">
        <is>
          <t>충북</t>
        </is>
      </c>
      <c r="B1107" s="86" t="n">
        <v>2018</v>
      </c>
      <c r="C1107" s="86" t="n">
        <v>2</v>
      </c>
      <c r="D1107" s="86" t="inlineStr">
        <is>
          <t>2018-02</t>
        </is>
      </c>
      <c r="E1107" s="87" t="n">
        <v>208.4</v>
      </c>
      <c r="F1107" s="87" t="n">
        <v>95.13890000000001</v>
      </c>
      <c r="G1107" s="88">
        <f>DAY(EOMONTH(DATE(B1107,C1107,1),0))</f>
        <v/>
      </c>
      <c r="H1107" s="89">
        <f>F1107/G1107</f>
        <v/>
      </c>
    </row>
    <row r="1108">
      <c r="A1108" s="86" t="inlineStr">
        <is>
          <t>충북</t>
        </is>
      </c>
      <c r="B1108" s="86" t="n">
        <v>2018</v>
      </c>
      <c r="C1108" s="86" t="n">
        <v>3</v>
      </c>
      <c r="D1108" s="86" t="inlineStr">
        <is>
          <t>2018-03</t>
        </is>
      </c>
      <c r="E1108" s="87" t="n">
        <v>203.1</v>
      </c>
      <c r="F1108" s="87" t="n">
        <v>121.2861</v>
      </c>
      <c r="G1108" s="88">
        <f>DAY(EOMONTH(DATE(B1108,C1108,1),0))</f>
        <v/>
      </c>
      <c r="H1108" s="89">
        <f>F1108/G1108</f>
        <v/>
      </c>
    </row>
    <row r="1109">
      <c r="A1109" s="86" t="inlineStr">
        <is>
          <t>충북</t>
        </is>
      </c>
      <c r="B1109" s="86" t="n">
        <v>2018</v>
      </c>
      <c r="C1109" s="86" t="n">
        <v>4</v>
      </c>
      <c r="D1109" s="86" t="inlineStr">
        <is>
          <t>2018-04</t>
        </is>
      </c>
      <c r="E1109" s="87" t="n">
        <v>231.1</v>
      </c>
      <c r="F1109" s="87" t="n">
        <v>154.2333</v>
      </c>
      <c r="G1109" s="88">
        <f>DAY(EOMONTH(DATE(B1109,C1109,1),0))</f>
        <v/>
      </c>
      <c r="H1109" s="89">
        <f>F1109/G1109</f>
        <v/>
      </c>
    </row>
    <row r="1110">
      <c r="A1110" s="86" t="inlineStr">
        <is>
          <t>충북</t>
        </is>
      </c>
      <c r="B1110" s="86" t="n">
        <v>2018</v>
      </c>
      <c r="C1110" s="86" t="n">
        <v>5</v>
      </c>
      <c r="D1110" s="86" t="inlineStr">
        <is>
          <t>2018-05</t>
        </is>
      </c>
      <c r="E1110" s="87" t="n">
        <v>219.6</v>
      </c>
      <c r="F1110" s="87" t="n">
        <v>166.4333</v>
      </c>
      <c r="G1110" s="88">
        <f>DAY(EOMONTH(DATE(B1110,C1110,1),0))</f>
        <v/>
      </c>
      <c r="H1110" s="89">
        <f>F1110/G1110</f>
        <v/>
      </c>
    </row>
    <row r="1111">
      <c r="A1111" s="86" t="inlineStr">
        <is>
          <t>충북</t>
        </is>
      </c>
      <c r="B1111" s="86" t="n">
        <v>2018</v>
      </c>
      <c r="C1111" s="86" t="n">
        <v>6</v>
      </c>
      <c r="D1111" s="86" t="inlineStr">
        <is>
          <t>2018-06</t>
        </is>
      </c>
      <c r="E1111" s="87" t="n">
        <v>227.1</v>
      </c>
      <c r="F1111" s="87" t="n">
        <v>170.8611</v>
      </c>
      <c r="G1111" s="88">
        <f>DAY(EOMONTH(DATE(B1111,C1111,1),0))</f>
        <v/>
      </c>
      <c r="H1111" s="89">
        <f>F1111/G1111</f>
        <v/>
      </c>
    </row>
    <row r="1112">
      <c r="A1112" s="86" t="inlineStr">
        <is>
          <t>충북</t>
        </is>
      </c>
      <c r="B1112" s="86" t="n">
        <v>2018</v>
      </c>
      <c r="C1112" s="86" t="n">
        <v>7</v>
      </c>
      <c r="D1112" s="86" t="inlineStr">
        <is>
          <t>2018-07</t>
        </is>
      </c>
      <c r="E1112" s="87" t="n">
        <v>254.2</v>
      </c>
      <c r="F1112" s="87" t="n">
        <v>174.7611</v>
      </c>
      <c r="G1112" s="88">
        <f>DAY(EOMONTH(DATE(B1112,C1112,1),0))</f>
        <v/>
      </c>
      <c r="H1112" s="89">
        <f>F1112/G1112</f>
        <v/>
      </c>
    </row>
    <row r="1113">
      <c r="A1113" s="86" t="inlineStr">
        <is>
          <t>충북</t>
        </is>
      </c>
      <c r="B1113" s="86" t="n">
        <v>2018</v>
      </c>
      <c r="C1113" s="86" t="n">
        <v>8</v>
      </c>
      <c r="D1113" s="86" t="inlineStr">
        <is>
          <t>2018-08</t>
        </is>
      </c>
      <c r="E1113" s="87" t="n">
        <v>212</v>
      </c>
      <c r="F1113" s="87" t="n">
        <v>150.5222</v>
      </c>
      <c r="G1113" s="88">
        <f>DAY(EOMONTH(DATE(B1113,C1113,1),0))</f>
        <v/>
      </c>
      <c r="H1113" s="89">
        <f>F1113/G1113</f>
        <v/>
      </c>
    </row>
    <row r="1114">
      <c r="A1114" s="86" t="inlineStr">
        <is>
          <t>충북</t>
        </is>
      </c>
      <c r="B1114" s="86" t="n">
        <v>2018</v>
      </c>
      <c r="C1114" s="86" t="n">
        <v>9</v>
      </c>
      <c r="D1114" s="86" t="inlineStr">
        <is>
          <t>2018-09</t>
        </is>
      </c>
      <c r="E1114" s="87" t="n">
        <v>189.8</v>
      </c>
      <c r="F1114" s="87" t="n">
        <v>122.3556</v>
      </c>
      <c r="G1114" s="88">
        <f>DAY(EOMONTH(DATE(B1114,C1114,1),0))</f>
        <v/>
      </c>
      <c r="H1114" s="89">
        <f>F1114/G1114</f>
        <v/>
      </c>
    </row>
    <row r="1115">
      <c r="A1115" s="86" t="inlineStr">
        <is>
          <t>충북</t>
        </is>
      </c>
      <c r="B1115" s="86" t="n">
        <v>2018</v>
      </c>
      <c r="C1115" s="86" t="n">
        <v>10</v>
      </c>
      <c r="D1115" s="86" t="inlineStr">
        <is>
          <t>2018-10</t>
        </is>
      </c>
      <c r="E1115" s="87" t="n">
        <v>215.2</v>
      </c>
      <c r="F1115" s="87" t="n">
        <v>115.5472</v>
      </c>
      <c r="G1115" s="88">
        <f>DAY(EOMONTH(DATE(B1115,C1115,1),0))</f>
        <v/>
      </c>
      <c r="H1115" s="89">
        <f>F1115/G1115</f>
        <v/>
      </c>
    </row>
    <row r="1116">
      <c r="A1116" s="86" t="inlineStr">
        <is>
          <t>충북</t>
        </is>
      </c>
      <c r="B1116" s="86" t="n">
        <v>2018</v>
      </c>
      <c r="C1116" s="86" t="n">
        <v>11</v>
      </c>
      <c r="D1116" s="86" t="inlineStr">
        <is>
          <t>2018-11</t>
        </is>
      </c>
      <c r="E1116" s="87" t="n">
        <v>176.6</v>
      </c>
      <c r="F1116" s="87" t="n">
        <v>78.0722</v>
      </c>
      <c r="G1116" s="88">
        <f>DAY(EOMONTH(DATE(B1116,C1116,1),0))</f>
        <v/>
      </c>
      <c r="H1116" s="89">
        <f>F1116/G1116</f>
        <v/>
      </c>
    </row>
    <row r="1117">
      <c r="A1117" s="86" t="inlineStr">
        <is>
          <t>충북</t>
        </is>
      </c>
      <c r="B1117" s="86" t="n">
        <v>2018</v>
      </c>
      <c r="C1117" s="86" t="n">
        <v>12</v>
      </c>
      <c r="D1117" s="86" t="inlineStr">
        <is>
          <t>2018-12</t>
        </is>
      </c>
      <c r="E1117" s="87" t="n">
        <v>185.7</v>
      </c>
      <c r="F1117" s="87" t="n">
        <v>72.575</v>
      </c>
      <c r="G1117" s="88">
        <f>DAY(EOMONTH(DATE(B1117,C1117,1),0))</f>
        <v/>
      </c>
      <c r="H1117" s="89">
        <f>F1117/G1117</f>
        <v/>
      </c>
    </row>
    <row r="1118">
      <c r="A1118" s="86" t="inlineStr">
        <is>
          <t>충북</t>
        </is>
      </c>
      <c r="B1118" s="86" t="n">
        <v>2019</v>
      </c>
      <c r="C1118" s="86" t="n">
        <v>1</v>
      </c>
      <c r="D1118" s="86" t="inlineStr">
        <is>
          <t>2019-01</t>
        </is>
      </c>
      <c r="E1118" s="87" t="n">
        <v>212.2</v>
      </c>
      <c r="F1118" s="87" t="n">
        <v>83.62220000000001</v>
      </c>
      <c r="G1118" s="88">
        <f>DAY(EOMONTH(DATE(B1118,C1118,1),0))</f>
        <v/>
      </c>
      <c r="H1118" s="89">
        <f>F1118/G1118</f>
        <v/>
      </c>
    </row>
    <row r="1119">
      <c r="A1119" s="86" t="inlineStr">
        <is>
          <t>충북</t>
        </is>
      </c>
      <c r="B1119" s="86" t="n">
        <v>2019</v>
      </c>
      <c r="C1119" s="86" t="n">
        <v>2</v>
      </c>
      <c r="D1119" s="86" t="inlineStr">
        <is>
          <t>2019-02</t>
        </is>
      </c>
      <c r="E1119" s="87" t="n">
        <v>193.2</v>
      </c>
      <c r="F1119" s="87" t="n">
        <v>94.4889</v>
      </c>
      <c r="G1119" s="88">
        <f>DAY(EOMONTH(DATE(B1119,C1119,1),0))</f>
        <v/>
      </c>
      <c r="H1119" s="89">
        <f>F1119/G1119</f>
        <v/>
      </c>
    </row>
    <row r="1120">
      <c r="A1120" s="86" t="inlineStr">
        <is>
          <t>충북</t>
        </is>
      </c>
      <c r="B1120" s="86" t="n">
        <v>2019</v>
      </c>
      <c r="C1120" s="86" t="n">
        <v>3</v>
      </c>
      <c r="D1120" s="86" t="inlineStr">
        <is>
          <t>2019-03</t>
        </is>
      </c>
      <c r="E1120" s="87" t="n">
        <v>217.8</v>
      </c>
      <c r="F1120" s="87" t="n">
        <v>130.1972</v>
      </c>
      <c r="G1120" s="88">
        <f>DAY(EOMONTH(DATE(B1120,C1120,1),0))</f>
        <v/>
      </c>
      <c r="H1120" s="89">
        <f>F1120/G1120</f>
        <v/>
      </c>
    </row>
    <row r="1121">
      <c r="A1121" s="86" t="inlineStr">
        <is>
          <t>충북</t>
        </is>
      </c>
      <c r="B1121" s="86" t="n">
        <v>2019</v>
      </c>
      <c r="C1121" s="86" t="n">
        <v>4</v>
      </c>
      <c r="D1121" s="86" t="inlineStr">
        <is>
          <t>2019-04</t>
        </is>
      </c>
      <c r="E1121" s="87" t="n">
        <v>208.1</v>
      </c>
      <c r="F1121" s="87" t="n">
        <v>141.6111</v>
      </c>
      <c r="G1121" s="88">
        <f>DAY(EOMONTH(DATE(B1121,C1121,1),0))</f>
        <v/>
      </c>
      <c r="H1121" s="89">
        <f>F1121/G1121</f>
        <v/>
      </c>
    </row>
    <row r="1122">
      <c r="A1122" s="86" t="inlineStr">
        <is>
          <t>충북</t>
        </is>
      </c>
      <c r="B1122" s="86" t="n">
        <v>2019</v>
      </c>
      <c r="C1122" s="86" t="n">
        <v>5</v>
      </c>
      <c r="D1122" s="86" t="inlineStr">
        <is>
          <t>2019-05</t>
        </is>
      </c>
      <c r="E1122" s="87" t="n">
        <v>303.5</v>
      </c>
      <c r="F1122" s="87" t="n">
        <v>204.775</v>
      </c>
      <c r="G1122" s="88">
        <f>DAY(EOMONTH(DATE(B1122,C1122,1),0))</f>
        <v/>
      </c>
      <c r="H1122" s="89">
        <f>F1122/G1122</f>
        <v/>
      </c>
    </row>
    <row r="1123">
      <c r="A1123" s="86" t="inlineStr">
        <is>
          <t>충북</t>
        </is>
      </c>
      <c r="B1123" s="86" t="n">
        <v>2019</v>
      </c>
      <c r="C1123" s="86" t="n">
        <v>6</v>
      </c>
      <c r="D1123" s="86" t="inlineStr">
        <is>
          <t>2019-06</t>
        </is>
      </c>
      <c r="E1123" s="87" t="n">
        <v>230.6</v>
      </c>
      <c r="F1123" s="87" t="n">
        <v>179.4861</v>
      </c>
      <c r="G1123" s="88">
        <f>DAY(EOMONTH(DATE(B1123,C1123,1),0))</f>
        <v/>
      </c>
      <c r="H1123" s="89">
        <f>F1123/G1123</f>
        <v/>
      </c>
    </row>
    <row r="1124">
      <c r="A1124" s="86" t="inlineStr">
        <is>
          <t>충북</t>
        </is>
      </c>
      <c r="B1124" s="86" t="n">
        <v>2019</v>
      </c>
      <c r="C1124" s="86" t="n">
        <v>7</v>
      </c>
      <c r="D1124" s="86" t="inlineStr">
        <is>
          <t>2019-07</t>
        </is>
      </c>
      <c r="E1124" s="87" t="n">
        <v>162.3</v>
      </c>
      <c r="F1124" s="87" t="n">
        <v>146.3722</v>
      </c>
      <c r="G1124" s="88">
        <f>DAY(EOMONTH(DATE(B1124,C1124,1),0))</f>
        <v/>
      </c>
      <c r="H1124" s="89">
        <f>F1124/G1124</f>
        <v/>
      </c>
    </row>
    <row r="1125">
      <c r="A1125" s="86" t="inlineStr">
        <is>
          <t>충북</t>
        </is>
      </c>
      <c r="B1125" s="86" t="n">
        <v>2019</v>
      </c>
      <c r="C1125" s="86" t="n">
        <v>8</v>
      </c>
      <c r="D1125" s="86" t="inlineStr">
        <is>
          <t>2019-08</t>
        </is>
      </c>
      <c r="E1125" s="87" t="n">
        <v>220</v>
      </c>
      <c r="F1125" s="87" t="n">
        <v>161.2139</v>
      </c>
      <c r="G1125" s="88">
        <f>DAY(EOMONTH(DATE(B1125,C1125,1),0))</f>
        <v/>
      </c>
      <c r="H1125" s="89">
        <f>F1125/G1125</f>
        <v/>
      </c>
    </row>
    <row r="1126">
      <c r="A1126" s="86" t="inlineStr">
        <is>
          <t>충북</t>
        </is>
      </c>
      <c r="B1126" s="86" t="n">
        <v>2019</v>
      </c>
      <c r="C1126" s="86" t="n">
        <v>9</v>
      </c>
      <c r="D1126" s="86" t="inlineStr">
        <is>
          <t>2019-09</t>
        </is>
      </c>
      <c r="E1126" s="87" t="n">
        <v>149.5</v>
      </c>
      <c r="F1126" s="87" t="n">
        <v>111.9778</v>
      </c>
      <c r="G1126" s="88">
        <f>DAY(EOMONTH(DATE(B1126,C1126,1),0))</f>
        <v/>
      </c>
      <c r="H1126" s="89">
        <f>F1126/G1126</f>
        <v/>
      </c>
    </row>
    <row r="1127">
      <c r="A1127" s="86" t="inlineStr">
        <is>
          <t>충북</t>
        </is>
      </c>
      <c r="B1127" s="86" t="n">
        <v>2019</v>
      </c>
      <c r="C1127" s="86" t="n">
        <v>10</v>
      </c>
      <c r="D1127" s="86" t="inlineStr">
        <is>
          <t>2019-10</t>
        </is>
      </c>
      <c r="E1127" s="87" t="n">
        <v>200.5</v>
      </c>
      <c r="F1127" s="87" t="n">
        <v>111.7389</v>
      </c>
      <c r="G1127" s="88">
        <f>DAY(EOMONTH(DATE(B1127,C1127,1),0))</f>
        <v/>
      </c>
      <c r="H1127" s="89">
        <f>F1127/G1127</f>
        <v/>
      </c>
    </row>
    <row r="1128">
      <c r="A1128" s="86" t="inlineStr">
        <is>
          <t>충북</t>
        </is>
      </c>
      <c r="B1128" s="86" t="n">
        <v>2019</v>
      </c>
      <c r="C1128" s="86" t="n">
        <v>11</v>
      </c>
      <c r="D1128" s="86" t="inlineStr">
        <is>
          <t>2019-11</t>
        </is>
      </c>
      <c r="E1128" s="87" t="n">
        <v>159.9</v>
      </c>
      <c r="F1128" s="87" t="n">
        <v>76.4722</v>
      </c>
      <c r="G1128" s="88">
        <f>DAY(EOMONTH(DATE(B1128,C1128,1),0))</f>
        <v/>
      </c>
      <c r="H1128" s="89">
        <f>F1128/G1128</f>
        <v/>
      </c>
    </row>
    <row r="1129">
      <c r="A1129" s="86" t="inlineStr">
        <is>
          <t>충북</t>
        </is>
      </c>
      <c r="B1129" s="86" t="n">
        <v>2019</v>
      </c>
      <c r="C1129" s="86" t="n">
        <v>12</v>
      </c>
      <c r="D1129" s="86" t="inlineStr">
        <is>
          <t>2019-12</t>
        </is>
      </c>
      <c r="E1129" s="87" t="n">
        <v>156.8</v>
      </c>
      <c r="F1129" s="87" t="n">
        <v>67.4528</v>
      </c>
      <c r="G1129" s="88">
        <f>DAY(EOMONTH(DATE(B1129,C1129,1),0))</f>
        <v/>
      </c>
      <c r="H1129" s="89">
        <f>F1129/G1129</f>
        <v/>
      </c>
    </row>
    <row r="1130">
      <c r="A1130" s="86" t="inlineStr">
        <is>
          <t>충북</t>
        </is>
      </c>
      <c r="B1130" s="86" t="n">
        <v>2020</v>
      </c>
      <c r="C1130" s="86" t="n">
        <v>1</v>
      </c>
      <c r="D1130" s="86" t="inlineStr">
        <is>
          <t>2020-01</t>
        </is>
      </c>
      <c r="E1130" s="87" t="n">
        <v>138.7</v>
      </c>
      <c r="F1130" s="87" t="n">
        <v>66.5</v>
      </c>
      <c r="G1130" s="88">
        <f>DAY(EOMONTH(DATE(B1130,C1130,1),0))</f>
        <v/>
      </c>
      <c r="H1130" s="89">
        <f>F1130/G1130</f>
        <v/>
      </c>
    </row>
    <row r="1131">
      <c r="A1131" s="86" t="inlineStr">
        <is>
          <t>충북</t>
        </is>
      </c>
      <c r="B1131" s="86" t="n">
        <v>2020</v>
      </c>
      <c r="C1131" s="86" t="n">
        <v>2</v>
      </c>
      <c r="D1131" s="86" t="inlineStr">
        <is>
          <t>2020-02</t>
        </is>
      </c>
      <c r="E1131" s="87" t="n">
        <v>181.7</v>
      </c>
      <c r="F1131" s="87" t="n">
        <v>94.1472</v>
      </c>
      <c r="G1131" s="88">
        <f>DAY(EOMONTH(DATE(B1131,C1131,1),0))</f>
        <v/>
      </c>
      <c r="H1131" s="89">
        <f>F1131/G1131</f>
        <v/>
      </c>
    </row>
    <row r="1132">
      <c r="A1132" s="86" t="inlineStr">
        <is>
          <t>충북</t>
        </is>
      </c>
      <c r="B1132" s="86" t="n">
        <v>2020</v>
      </c>
      <c r="C1132" s="86" t="n">
        <v>3</v>
      </c>
      <c r="D1132" s="86" t="inlineStr">
        <is>
          <t>2020-03</t>
        </is>
      </c>
      <c r="E1132" s="87" t="n">
        <v>240.4</v>
      </c>
      <c r="F1132" s="87" t="n">
        <v>147.4444</v>
      </c>
      <c r="G1132" s="88">
        <f>DAY(EOMONTH(DATE(B1132,C1132,1),0))</f>
        <v/>
      </c>
      <c r="H1132" s="89">
        <f>F1132/G1132</f>
        <v/>
      </c>
    </row>
    <row r="1133">
      <c r="A1133" s="86" t="inlineStr">
        <is>
          <t>충북</t>
        </is>
      </c>
      <c r="B1133" s="86" t="n">
        <v>2020</v>
      </c>
      <c r="C1133" s="86" t="n">
        <v>4</v>
      </c>
      <c r="D1133" s="86" t="inlineStr">
        <is>
          <t>2020-04</t>
        </is>
      </c>
      <c r="E1133" s="87" t="n">
        <v>274.6</v>
      </c>
      <c r="F1133" s="87" t="n">
        <v>180.9111</v>
      </c>
      <c r="G1133" s="88">
        <f>DAY(EOMONTH(DATE(B1133,C1133,1),0))</f>
        <v/>
      </c>
      <c r="H1133" s="89">
        <f>F1133/G1133</f>
        <v/>
      </c>
    </row>
    <row r="1134">
      <c r="A1134" s="86" t="inlineStr">
        <is>
          <t>충북</t>
        </is>
      </c>
      <c r="B1134" s="86" t="n">
        <v>2020</v>
      </c>
      <c r="C1134" s="86" t="n">
        <v>5</v>
      </c>
      <c r="D1134" s="86" t="inlineStr">
        <is>
          <t>2020-05</t>
        </is>
      </c>
      <c r="E1134" s="87" t="n">
        <v>220.4</v>
      </c>
      <c r="F1134" s="87" t="n">
        <v>178.7917</v>
      </c>
      <c r="G1134" s="88">
        <f>DAY(EOMONTH(DATE(B1134,C1134,1),0))</f>
        <v/>
      </c>
      <c r="H1134" s="89">
        <f>F1134/G1134</f>
        <v/>
      </c>
    </row>
    <row r="1135">
      <c r="A1135" s="86" t="inlineStr">
        <is>
          <t>충북</t>
        </is>
      </c>
      <c r="B1135" s="86" t="n">
        <v>2020</v>
      </c>
      <c r="C1135" s="86" t="n">
        <v>6</v>
      </c>
      <c r="D1135" s="86" t="inlineStr">
        <is>
          <t>2020-06</t>
        </is>
      </c>
      <c r="E1135" s="87" t="n">
        <v>199.4</v>
      </c>
      <c r="F1135" s="87" t="n">
        <v>171.2722</v>
      </c>
      <c r="G1135" s="88">
        <f>DAY(EOMONTH(DATE(B1135,C1135,1),0))</f>
        <v/>
      </c>
      <c r="H1135" s="89">
        <f>F1135/G1135</f>
        <v/>
      </c>
    </row>
    <row r="1136">
      <c r="A1136" s="86" t="inlineStr">
        <is>
          <t>충북</t>
        </is>
      </c>
      <c r="B1136" s="86" t="n">
        <v>2020</v>
      </c>
      <c r="C1136" s="86" t="n">
        <v>7</v>
      </c>
      <c r="D1136" s="86" t="inlineStr">
        <is>
          <t>2020-07</t>
        </is>
      </c>
      <c r="E1136" s="87" t="n">
        <v>96.40000000000001</v>
      </c>
      <c r="F1136" s="87" t="n">
        <v>117.7083</v>
      </c>
      <c r="G1136" s="88">
        <f>DAY(EOMONTH(DATE(B1136,C1136,1),0))</f>
        <v/>
      </c>
      <c r="H1136" s="89">
        <f>F1136/G1136</f>
        <v/>
      </c>
    </row>
    <row r="1137">
      <c r="A1137" s="86" t="inlineStr">
        <is>
          <t>충북</t>
        </is>
      </c>
      <c r="B1137" s="86" t="n">
        <v>2020</v>
      </c>
      <c r="C1137" s="86" t="n">
        <v>8</v>
      </c>
      <c r="D1137" s="86" t="inlineStr">
        <is>
          <t>2020-08</t>
        </is>
      </c>
      <c r="E1137" s="87" t="n">
        <v>139.2</v>
      </c>
      <c r="F1137" s="87" t="n">
        <v>136.4194</v>
      </c>
      <c r="G1137" s="88">
        <f>DAY(EOMONTH(DATE(B1137,C1137,1),0))</f>
        <v/>
      </c>
      <c r="H1137" s="89">
        <f>F1137/G1137</f>
        <v/>
      </c>
    </row>
    <row r="1138">
      <c r="A1138" s="86" t="inlineStr">
        <is>
          <t>충북</t>
        </is>
      </c>
      <c r="B1138" s="86" t="n">
        <v>2020</v>
      </c>
      <c r="C1138" s="86" t="n">
        <v>9</v>
      </c>
      <c r="D1138" s="86" t="inlineStr">
        <is>
          <t>2020-09</t>
        </is>
      </c>
      <c r="E1138" s="87" t="n">
        <v>168</v>
      </c>
      <c r="F1138" s="87" t="n">
        <v>125.2278</v>
      </c>
      <c r="G1138" s="88">
        <f>DAY(EOMONTH(DATE(B1138,C1138,1),0))</f>
        <v/>
      </c>
      <c r="H1138" s="89">
        <f>F1138/G1138</f>
        <v/>
      </c>
    </row>
    <row r="1139">
      <c r="A1139" s="86" t="inlineStr">
        <is>
          <t>충북</t>
        </is>
      </c>
      <c r="B1139" s="86" t="n">
        <v>2020</v>
      </c>
      <c r="C1139" s="86" t="n">
        <v>10</v>
      </c>
      <c r="D1139" s="86" t="inlineStr">
        <is>
          <t>2020-10</t>
        </is>
      </c>
      <c r="E1139" s="87" t="n">
        <v>223.1</v>
      </c>
      <c r="F1139" s="87" t="n">
        <v>122.0917</v>
      </c>
      <c r="G1139" s="88">
        <f>DAY(EOMONTH(DATE(B1139,C1139,1),0))</f>
        <v/>
      </c>
      <c r="H1139" s="89">
        <f>F1139/G1139</f>
        <v/>
      </c>
    </row>
    <row r="1140">
      <c r="A1140" s="86" t="inlineStr">
        <is>
          <t>충북</t>
        </is>
      </c>
      <c r="B1140" s="86" t="n">
        <v>2020</v>
      </c>
      <c r="C1140" s="86" t="n">
        <v>11</v>
      </c>
      <c r="D1140" s="86" t="inlineStr">
        <is>
          <t>2020-11</t>
        </is>
      </c>
      <c r="E1140" s="87" t="n">
        <v>173.1</v>
      </c>
      <c r="F1140" s="87" t="n">
        <v>80.5806</v>
      </c>
      <c r="G1140" s="88">
        <f>DAY(EOMONTH(DATE(B1140,C1140,1),0))</f>
        <v/>
      </c>
      <c r="H1140" s="89">
        <f>F1140/G1140</f>
        <v/>
      </c>
    </row>
    <row r="1141">
      <c r="A1141" s="86" t="inlineStr">
        <is>
          <t>충북</t>
        </is>
      </c>
      <c r="B1141" s="86" t="n">
        <v>2020</v>
      </c>
      <c r="C1141" s="86" t="n">
        <v>12</v>
      </c>
      <c r="D1141" s="86" t="inlineStr">
        <is>
          <t>2020-12</t>
        </is>
      </c>
      <c r="E1141" s="87" t="n">
        <v>181.5</v>
      </c>
      <c r="F1141" s="87" t="n">
        <v>74.425</v>
      </c>
      <c r="G1141" s="88">
        <f>DAY(EOMONTH(DATE(B1141,C1141,1),0))</f>
        <v/>
      </c>
      <c r="H1141" s="89">
        <f>F1141/G1141</f>
        <v/>
      </c>
    </row>
    <row r="1142">
      <c r="A1142" s="86" t="inlineStr">
        <is>
          <t>충북</t>
        </is>
      </c>
      <c r="B1142" s="86" t="n">
        <v>2021</v>
      </c>
      <c r="C1142" s="86" t="n">
        <v>1</v>
      </c>
      <c r="D1142" s="86" t="inlineStr">
        <is>
          <t>2021-01</t>
        </is>
      </c>
      <c r="E1142" s="87" t="n">
        <v>181.9</v>
      </c>
      <c r="F1142" s="87" t="n">
        <v>79.3472</v>
      </c>
      <c r="G1142" s="88">
        <f>DAY(EOMONTH(DATE(B1142,C1142,1),0))</f>
        <v/>
      </c>
      <c r="H1142" s="89">
        <f>F1142/G1142</f>
        <v/>
      </c>
    </row>
    <row r="1143">
      <c r="A1143" s="86" t="inlineStr">
        <is>
          <t>충북</t>
        </is>
      </c>
      <c r="B1143" s="86" t="n">
        <v>2021</v>
      </c>
      <c r="C1143" s="86" t="n">
        <v>2</v>
      </c>
      <c r="D1143" s="86" t="inlineStr">
        <is>
          <t>2021-02</t>
        </is>
      </c>
      <c r="E1143" s="87" t="n">
        <v>198.6</v>
      </c>
      <c r="F1143" s="87" t="n">
        <v>99.87779999999999</v>
      </c>
      <c r="G1143" s="88">
        <f>DAY(EOMONTH(DATE(B1143,C1143,1),0))</f>
        <v/>
      </c>
      <c r="H1143" s="89">
        <f>F1143/G1143</f>
        <v/>
      </c>
    </row>
    <row r="1144">
      <c r="A1144" s="86" t="inlineStr">
        <is>
          <t>충북</t>
        </is>
      </c>
      <c r="B1144" s="86" t="n">
        <v>2021</v>
      </c>
      <c r="C1144" s="86" t="n">
        <v>3</v>
      </c>
      <c r="D1144" s="86" t="inlineStr">
        <is>
          <t>2021-03</t>
        </is>
      </c>
      <c r="E1144" s="87" t="n">
        <v>210</v>
      </c>
      <c r="F1144" s="87" t="n">
        <v>129.1778</v>
      </c>
      <c r="G1144" s="88">
        <f>DAY(EOMONTH(DATE(B1144,C1144,1),0))</f>
        <v/>
      </c>
      <c r="H1144" s="89">
        <f>F1144/G1144</f>
        <v/>
      </c>
    </row>
    <row r="1145">
      <c r="A1145" s="86" t="inlineStr">
        <is>
          <t>충북</t>
        </is>
      </c>
      <c r="B1145" s="86" t="n">
        <v>2021</v>
      </c>
      <c r="C1145" s="86" t="n">
        <v>4</v>
      </c>
      <c r="D1145" s="86" t="inlineStr">
        <is>
          <t>2021-04</t>
        </is>
      </c>
      <c r="E1145" s="87" t="n">
        <v>226.3</v>
      </c>
      <c r="F1145" s="87" t="n">
        <v>162.75</v>
      </c>
      <c r="G1145" s="88">
        <f>DAY(EOMONTH(DATE(B1145,C1145,1),0))</f>
        <v/>
      </c>
      <c r="H1145" s="89">
        <f>F1145/G1145</f>
        <v/>
      </c>
    </row>
    <row r="1146">
      <c r="A1146" s="86" t="inlineStr">
        <is>
          <t>충북</t>
        </is>
      </c>
      <c r="B1146" s="86" t="n">
        <v>2021</v>
      </c>
      <c r="C1146" s="86" t="n">
        <v>5</v>
      </c>
      <c r="D1146" s="86" t="inlineStr">
        <is>
          <t>2021-05</t>
        </is>
      </c>
      <c r="E1146" s="87" t="n">
        <v>183.5</v>
      </c>
      <c r="F1146" s="87" t="n">
        <v>155.8583</v>
      </c>
      <c r="G1146" s="88">
        <f>DAY(EOMONTH(DATE(B1146,C1146,1),0))</f>
        <v/>
      </c>
      <c r="H1146" s="89">
        <f>F1146/G1146</f>
        <v/>
      </c>
    </row>
    <row r="1147">
      <c r="A1147" s="86" t="inlineStr">
        <is>
          <t>충북</t>
        </is>
      </c>
      <c r="B1147" s="86" t="n">
        <v>2021</v>
      </c>
      <c r="C1147" s="86" t="n">
        <v>6</v>
      </c>
      <c r="D1147" s="86" t="inlineStr">
        <is>
          <t>2021-06</t>
        </is>
      </c>
      <c r="E1147" s="87" t="n">
        <v>194.2</v>
      </c>
      <c r="F1147" s="87" t="n">
        <v>168.0556</v>
      </c>
      <c r="G1147" s="88">
        <f>DAY(EOMONTH(DATE(B1147,C1147,1),0))</f>
        <v/>
      </c>
      <c r="H1147" s="89">
        <f>F1147/G1147</f>
        <v/>
      </c>
    </row>
    <row r="1148">
      <c r="A1148" s="86" t="inlineStr">
        <is>
          <t>충북</t>
        </is>
      </c>
      <c r="B1148" s="86" t="n">
        <v>2021</v>
      </c>
      <c r="C1148" s="86" t="n">
        <v>7</v>
      </c>
      <c r="D1148" s="86" t="inlineStr">
        <is>
          <t>2021-07</t>
        </is>
      </c>
      <c r="E1148" s="87" t="n">
        <v>216.7</v>
      </c>
      <c r="F1148" s="87" t="n">
        <v>177.6583</v>
      </c>
      <c r="G1148" s="88">
        <f>DAY(EOMONTH(DATE(B1148,C1148,1),0))</f>
        <v/>
      </c>
      <c r="H1148" s="89">
        <f>F1148/G1148</f>
        <v/>
      </c>
    </row>
    <row r="1149">
      <c r="A1149" s="86" t="inlineStr">
        <is>
          <t>충북</t>
        </is>
      </c>
      <c r="B1149" s="86" t="n">
        <v>2021</v>
      </c>
      <c r="C1149" s="86" t="n">
        <v>8</v>
      </c>
      <c r="D1149" s="86" t="inlineStr">
        <is>
          <t>2021-08</t>
        </is>
      </c>
      <c r="E1149" s="87" t="n">
        <v>136.8</v>
      </c>
      <c r="F1149" s="87" t="n">
        <v>123.6528</v>
      </c>
      <c r="G1149" s="88">
        <f>DAY(EOMONTH(DATE(B1149,C1149,1),0))</f>
        <v/>
      </c>
      <c r="H1149" s="89">
        <f>F1149/G1149</f>
        <v/>
      </c>
    </row>
    <row r="1150">
      <c r="A1150" s="86" t="inlineStr">
        <is>
          <t>충북</t>
        </is>
      </c>
      <c r="B1150" s="86" t="n">
        <v>2021</v>
      </c>
      <c r="C1150" s="86" t="n">
        <v>9</v>
      </c>
      <c r="D1150" s="86" t="inlineStr">
        <is>
          <t>2021-09</t>
        </is>
      </c>
      <c r="E1150" s="87" t="n">
        <v>163.5</v>
      </c>
      <c r="F1150" s="87" t="n">
        <v>118.4917</v>
      </c>
      <c r="G1150" s="88">
        <f>DAY(EOMONTH(DATE(B1150,C1150,1),0))</f>
        <v/>
      </c>
      <c r="H1150" s="89">
        <f>F1150/G1150</f>
        <v/>
      </c>
    </row>
    <row r="1151">
      <c r="A1151" s="86" t="inlineStr">
        <is>
          <t>충북</t>
        </is>
      </c>
      <c r="B1151" s="86" t="n">
        <v>2021</v>
      </c>
      <c r="C1151" s="86" t="n">
        <v>10</v>
      </c>
      <c r="D1151" s="86" t="inlineStr">
        <is>
          <t>2021-10</t>
        </is>
      </c>
      <c r="E1151" s="87" t="n">
        <v>192.9</v>
      </c>
      <c r="F1151" s="87" t="n">
        <v>113.1111</v>
      </c>
      <c r="G1151" s="88">
        <f>DAY(EOMONTH(DATE(B1151,C1151,1),0))</f>
        <v/>
      </c>
      <c r="H1151" s="89">
        <f>F1151/G1151</f>
        <v/>
      </c>
    </row>
    <row r="1152">
      <c r="A1152" s="86" t="inlineStr">
        <is>
          <t>충북</t>
        </is>
      </c>
      <c r="B1152" s="86" t="n">
        <v>2021</v>
      </c>
      <c r="C1152" s="86" t="n">
        <v>11</v>
      </c>
      <c r="D1152" s="86" t="inlineStr">
        <is>
          <t>2021-11</t>
        </is>
      </c>
      <c r="E1152" s="87" t="n">
        <v>172</v>
      </c>
      <c r="F1152" s="87" t="n">
        <v>79.7167</v>
      </c>
      <c r="G1152" s="88">
        <f>DAY(EOMONTH(DATE(B1152,C1152,1),0))</f>
        <v/>
      </c>
      <c r="H1152" s="89">
        <f>F1152/G1152</f>
        <v/>
      </c>
    </row>
    <row r="1153">
      <c r="A1153" s="86" t="inlineStr">
        <is>
          <t>충북</t>
        </is>
      </c>
      <c r="B1153" s="86" t="n">
        <v>2021</v>
      </c>
      <c r="C1153" s="86" t="n">
        <v>12</v>
      </c>
      <c r="D1153" s="86" t="inlineStr">
        <is>
          <t>2021-12</t>
        </is>
      </c>
      <c r="E1153" s="87" t="n">
        <v>175.2</v>
      </c>
      <c r="F1153" s="87" t="n">
        <v>73.27500000000001</v>
      </c>
      <c r="G1153" s="88">
        <f>DAY(EOMONTH(DATE(B1153,C1153,1),0))</f>
        <v/>
      </c>
      <c r="H1153" s="89">
        <f>F1153/G1153</f>
        <v/>
      </c>
    </row>
    <row r="1154">
      <c r="A1154" s="86" t="inlineStr">
        <is>
          <t>충북</t>
        </is>
      </c>
      <c r="B1154" s="86" t="n">
        <v>2022</v>
      </c>
      <c r="C1154" s="86" t="n">
        <v>1</v>
      </c>
      <c r="D1154" s="86" t="inlineStr">
        <is>
          <t>2022-01</t>
        </is>
      </c>
      <c r="E1154" s="87" t="n">
        <v>207.9</v>
      </c>
      <c r="F1154" s="87" t="n">
        <v>88.1528</v>
      </c>
      <c r="G1154" s="88">
        <f>DAY(EOMONTH(DATE(B1154,C1154,1),0))</f>
        <v/>
      </c>
      <c r="H1154" s="89">
        <f>F1154/G1154</f>
        <v/>
      </c>
    </row>
    <row r="1155">
      <c r="A1155" s="86" t="inlineStr">
        <is>
          <t>충북</t>
        </is>
      </c>
      <c r="B1155" s="86" t="n">
        <v>2022</v>
      </c>
      <c r="C1155" s="86" t="n">
        <v>2</v>
      </c>
      <c r="D1155" s="86" t="inlineStr">
        <is>
          <t>2022-02</t>
        </is>
      </c>
      <c r="E1155" s="87" t="n">
        <v>221.9</v>
      </c>
      <c r="F1155" s="87" t="n">
        <v>110.0889</v>
      </c>
      <c r="G1155" s="88">
        <f>DAY(EOMONTH(DATE(B1155,C1155,1),0))</f>
        <v/>
      </c>
      <c r="H1155" s="89">
        <f>F1155/G1155</f>
        <v/>
      </c>
    </row>
    <row r="1156">
      <c r="A1156" s="86" t="inlineStr">
        <is>
          <t>충북</t>
        </is>
      </c>
      <c r="B1156" s="86" t="n">
        <v>2022</v>
      </c>
      <c r="C1156" s="86" t="n">
        <v>3</v>
      </c>
      <c r="D1156" s="86" t="inlineStr">
        <is>
          <t>2022-03</t>
        </is>
      </c>
      <c r="E1156" s="87" t="n">
        <v>185</v>
      </c>
      <c r="F1156" s="87" t="n">
        <v>119.45</v>
      </c>
      <c r="G1156" s="88">
        <f>DAY(EOMONTH(DATE(B1156,C1156,1),0))</f>
        <v/>
      </c>
      <c r="H1156" s="89">
        <f>F1156/G1156</f>
        <v/>
      </c>
    </row>
    <row r="1157">
      <c r="A1157" s="86" t="inlineStr">
        <is>
          <t>충북</t>
        </is>
      </c>
      <c r="B1157" s="86" t="n">
        <v>2022</v>
      </c>
      <c r="C1157" s="86" t="n">
        <v>4</v>
      </c>
      <c r="D1157" s="86" t="inlineStr">
        <is>
          <t>2022-04</t>
        </is>
      </c>
      <c r="E1157" s="87" t="n">
        <v>261.7</v>
      </c>
      <c r="F1157" s="87" t="n">
        <v>174.0667</v>
      </c>
      <c r="G1157" s="88">
        <f>DAY(EOMONTH(DATE(B1157,C1157,1),0))</f>
        <v/>
      </c>
      <c r="H1157" s="89">
        <f>F1157/G1157</f>
        <v/>
      </c>
    </row>
    <row r="1158">
      <c r="A1158" s="86" t="inlineStr">
        <is>
          <t>충북</t>
        </is>
      </c>
      <c r="B1158" s="86" t="n">
        <v>2022</v>
      </c>
      <c r="C1158" s="86" t="n">
        <v>5</v>
      </c>
      <c r="D1158" s="86" t="inlineStr">
        <is>
          <t>2022-05</t>
        </is>
      </c>
      <c r="E1158" s="87" t="n">
        <v>312.1</v>
      </c>
      <c r="F1158" s="87" t="n">
        <v>218.8944</v>
      </c>
      <c r="G1158" s="88">
        <f>DAY(EOMONTH(DATE(B1158,C1158,1),0))</f>
        <v/>
      </c>
      <c r="H1158" s="89">
        <f>F1158/G1158</f>
        <v/>
      </c>
    </row>
    <row r="1159">
      <c r="A1159" s="86" t="inlineStr">
        <is>
          <t>충북</t>
        </is>
      </c>
      <c r="B1159" s="86" t="n">
        <v>2022</v>
      </c>
      <c r="C1159" s="86" t="n">
        <v>6</v>
      </c>
      <c r="D1159" s="86" t="inlineStr">
        <is>
          <t>2022-06</t>
        </is>
      </c>
      <c r="E1159" s="87" t="n">
        <v>182.8</v>
      </c>
      <c r="F1159" s="87" t="n">
        <v>160.5417</v>
      </c>
      <c r="G1159" s="88">
        <f>DAY(EOMONTH(DATE(B1159,C1159,1),0))</f>
        <v/>
      </c>
      <c r="H1159" s="89">
        <f>F1159/G1159</f>
        <v/>
      </c>
    </row>
    <row r="1160">
      <c r="A1160" s="86" t="inlineStr">
        <is>
          <t>충북</t>
        </is>
      </c>
      <c r="B1160" s="86" t="n">
        <v>2022</v>
      </c>
      <c r="C1160" s="86" t="n">
        <v>7</v>
      </c>
      <c r="D1160" s="86" t="inlineStr">
        <is>
          <t>2022-07</t>
        </is>
      </c>
      <c r="E1160" s="87" t="n">
        <v>166.9</v>
      </c>
      <c r="F1160" s="87" t="n">
        <v>155.4528</v>
      </c>
      <c r="G1160" s="88">
        <f>DAY(EOMONTH(DATE(B1160,C1160,1),0))</f>
        <v/>
      </c>
      <c r="H1160" s="89">
        <f>F1160/G1160</f>
        <v/>
      </c>
    </row>
    <row r="1161">
      <c r="A1161" s="86" t="inlineStr">
        <is>
          <t>충북</t>
        </is>
      </c>
      <c r="B1161" s="86" t="n">
        <v>2022</v>
      </c>
      <c r="C1161" s="86" t="n">
        <v>8</v>
      </c>
      <c r="D1161" s="86" t="inlineStr">
        <is>
          <t>2022-08</t>
        </is>
      </c>
      <c r="E1161" s="87" t="n">
        <v>126.7</v>
      </c>
      <c r="F1161" s="87" t="n">
        <v>122.6278</v>
      </c>
      <c r="G1161" s="88">
        <f>DAY(EOMONTH(DATE(B1161,C1161,1),0))</f>
        <v/>
      </c>
      <c r="H1161" s="89">
        <f>F1161/G1161</f>
        <v/>
      </c>
    </row>
    <row r="1162">
      <c r="A1162" s="86" t="inlineStr">
        <is>
          <t>충북</t>
        </is>
      </c>
      <c r="B1162" s="86" t="n">
        <v>2022</v>
      </c>
      <c r="C1162" s="86" t="n">
        <v>9</v>
      </c>
      <c r="D1162" s="86" t="inlineStr">
        <is>
          <t>2022-09</t>
        </is>
      </c>
      <c r="E1162" s="87" t="n">
        <v>195.7</v>
      </c>
      <c r="F1162" s="87" t="n">
        <v>136.0528</v>
      </c>
      <c r="G1162" s="88">
        <f>DAY(EOMONTH(DATE(B1162,C1162,1),0))</f>
        <v/>
      </c>
      <c r="H1162" s="89">
        <f>F1162/G1162</f>
        <v/>
      </c>
    </row>
    <row r="1163">
      <c r="A1163" s="86" t="inlineStr">
        <is>
          <t>충북</t>
        </is>
      </c>
      <c r="B1163" s="86" t="n">
        <v>2022</v>
      </c>
      <c r="C1163" s="86" t="n">
        <v>10</v>
      </c>
      <c r="D1163" s="86" t="inlineStr">
        <is>
          <t>2022-10</t>
        </is>
      </c>
      <c r="E1163" s="87" t="n">
        <v>206.1</v>
      </c>
      <c r="F1163" s="87" t="n">
        <v>118.3389</v>
      </c>
      <c r="G1163" s="88">
        <f>DAY(EOMONTH(DATE(B1163,C1163,1),0))</f>
        <v/>
      </c>
      <c r="H1163" s="89">
        <f>F1163/G1163</f>
        <v/>
      </c>
    </row>
    <row r="1164">
      <c r="A1164" s="86" t="inlineStr">
        <is>
          <t>충북</t>
        </is>
      </c>
      <c r="B1164" s="86" t="n">
        <v>2022</v>
      </c>
      <c r="C1164" s="86" t="n">
        <v>11</v>
      </c>
      <c r="D1164" s="86" t="inlineStr">
        <is>
          <t>2022-11</t>
        </is>
      </c>
      <c r="E1164" s="87" t="n">
        <v>195.2</v>
      </c>
      <c r="F1164" s="87" t="n">
        <v>85.3583</v>
      </c>
      <c r="G1164" s="88">
        <f>DAY(EOMONTH(DATE(B1164,C1164,1),0))</f>
        <v/>
      </c>
      <c r="H1164" s="89">
        <f>F1164/G1164</f>
        <v/>
      </c>
    </row>
    <row r="1165">
      <c r="A1165" s="86" t="inlineStr">
        <is>
          <t>충북</t>
        </is>
      </c>
      <c r="B1165" s="86" t="n">
        <v>2022</v>
      </c>
      <c r="C1165" s="86" t="n">
        <v>12</v>
      </c>
      <c r="D1165" s="86" t="inlineStr">
        <is>
          <t>2022-12</t>
        </is>
      </c>
      <c r="E1165" s="87" t="n">
        <v>163.5</v>
      </c>
      <c r="F1165" s="87" t="n">
        <v>67.8028</v>
      </c>
      <c r="G1165" s="88">
        <f>DAY(EOMONTH(DATE(B1165,C1165,1),0))</f>
        <v/>
      </c>
      <c r="H1165" s="89">
        <f>F1165/G1165</f>
        <v/>
      </c>
    </row>
    <row r="1166">
      <c r="A1166" s="86" t="inlineStr">
        <is>
          <t>충북</t>
        </is>
      </c>
      <c r="B1166" s="86" t="n">
        <v>2023</v>
      </c>
      <c r="C1166" s="86" t="n">
        <v>1</v>
      </c>
      <c r="D1166" s="86" t="inlineStr">
        <is>
          <t>2023-01</t>
        </is>
      </c>
      <c r="E1166" s="87" t="n">
        <v>188.2</v>
      </c>
      <c r="F1166" s="87" t="n">
        <v>83.6472</v>
      </c>
      <c r="G1166" s="88">
        <f>DAY(EOMONTH(DATE(B1166,C1166,1),0))</f>
        <v/>
      </c>
      <c r="H1166" s="89">
        <f>F1166/G1166</f>
        <v/>
      </c>
    </row>
    <row r="1167">
      <c r="A1167" s="86" t="inlineStr">
        <is>
          <t>충북</t>
        </is>
      </c>
      <c r="B1167" s="86" t="n">
        <v>2023</v>
      </c>
      <c r="C1167" s="86" t="n">
        <v>2</v>
      </c>
      <c r="D1167" s="86" t="inlineStr">
        <is>
          <t>2023-02</t>
        </is>
      </c>
      <c r="E1167" s="87" t="n">
        <v>179.5</v>
      </c>
      <c r="F1167" s="87" t="n">
        <v>96.0694</v>
      </c>
      <c r="G1167" s="88">
        <f>DAY(EOMONTH(DATE(B1167,C1167,1),0))</f>
        <v/>
      </c>
      <c r="H1167" s="89">
        <f>F1167/G1167</f>
        <v/>
      </c>
    </row>
    <row r="1168">
      <c r="A1168" s="86" t="inlineStr">
        <is>
          <t>충북</t>
        </is>
      </c>
      <c r="B1168" s="86" t="n">
        <v>2023</v>
      </c>
      <c r="C1168" s="86" t="n">
        <v>3</v>
      </c>
      <c r="D1168" s="86" t="inlineStr">
        <is>
          <t>2023-03</t>
        </is>
      </c>
      <c r="E1168" s="87" t="n">
        <v>244.4</v>
      </c>
      <c r="F1168" s="87" t="n">
        <v>146.9694</v>
      </c>
      <c r="G1168" s="88">
        <f>DAY(EOMONTH(DATE(B1168,C1168,1),0))</f>
        <v/>
      </c>
      <c r="H1168" s="89">
        <f>F1168/G1168</f>
        <v/>
      </c>
    </row>
    <row r="1169">
      <c r="A1169" s="86" t="inlineStr">
        <is>
          <t>충북</t>
        </is>
      </c>
      <c r="B1169" s="86" t="n">
        <v>2023</v>
      </c>
      <c r="C1169" s="86" t="n">
        <v>4</v>
      </c>
      <c r="D1169" s="86" t="inlineStr">
        <is>
          <t>2023-04</t>
        </is>
      </c>
      <c r="E1169" s="87" t="n">
        <v>196.6</v>
      </c>
      <c r="F1169" s="87" t="n">
        <v>146.8111</v>
      </c>
      <c r="G1169" s="88">
        <f>DAY(EOMONTH(DATE(B1169,C1169,1),0))</f>
        <v/>
      </c>
      <c r="H1169" s="89">
        <f>F1169/G1169</f>
        <v/>
      </c>
    </row>
    <row r="1170">
      <c r="A1170" s="86" t="inlineStr">
        <is>
          <t>충북</t>
        </is>
      </c>
      <c r="B1170" s="86" t="n">
        <v>2023</v>
      </c>
      <c r="C1170" s="86" t="n">
        <v>5</v>
      </c>
      <c r="D1170" s="86" t="inlineStr">
        <is>
          <t>2023-05</t>
        </is>
      </c>
      <c r="E1170" s="87" t="n">
        <v>226.9</v>
      </c>
      <c r="F1170" s="87" t="n">
        <v>173.8861</v>
      </c>
      <c r="G1170" s="88">
        <f>DAY(EOMONTH(DATE(B1170,C1170,1),0))</f>
        <v/>
      </c>
      <c r="H1170" s="89">
        <f>F1170/G1170</f>
        <v/>
      </c>
    </row>
    <row r="1171">
      <c r="A1171" s="86" t="inlineStr">
        <is>
          <t>충북</t>
        </is>
      </c>
      <c r="B1171" s="86" t="n">
        <v>2023</v>
      </c>
      <c r="C1171" s="86" t="n">
        <v>6</v>
      </c>
      <c r="D1171" s="86" t="inlineStr">
        <is>
          <t>2023-06</t>
        </is>
      </c>
      <c r="E1171" s="87" t="n">
        <v>204.7</v>
      </c>
      <c r="F1171" s="87" t="n">
        <v>182.2778</v>
      </c>
      <c r="G1171" s="88">
        <f>DAY(EOMONTH(DATE(B1171,C1171,1),0))</f>
        <v/>
      </c>
      <c r="H1171" s="89">
        <f>F1171/G1171</f>
        <v/>
      </c>
    </row>
    <row r="1172">
      <c r="A1172" s="86" t="inlineStr">
        <is>
          <t>충북</t>
        </is>
      </c>
      <c r="B1172" s="86" t="n">
        <v>2023</v>
      </c>
      <c r="C1172" s="86" t="n">
        <v>7</v>
      </c>
      <c r="D1172" s="86" t="inlineStr">
        <is>
          <t>2023-07</t>
        </is>
      </c>
      <c r="E1172" s="87" t="n">
        <v>137.7</v>
      </c>
      <c r="F1172" s="87" t="n">
        <v>136.2833</v>
      </c>
      <c r="G1172" s="88">
        <f>DAY(EOMONTH(DATE(B1172,C1172,1),0))</f>
        <v/>
      </c>
      <c r="H1172" s="89">
        <f>F1172/G1172</f>
        <v/>
      </c>
    </row>
    <row r="1173">
      <c r="A1173" s="86" t="inlineStr">
        <is>
          <t>충북</t>
        </is>
      </c>
      <c r="B1173" s="86" t="n">
        <v>2023</v>
      </c>
      <c r="C1173" s="86" t="n">
        <v>8</v>
      </c>
      <c r="D1173" s="86" t="inlineStr">
        <is>
          <t>2023-08</t>
        </is>
      </c>
      <c r="E1173" s="87" t="n">
        <v>167</v>
      </c>
      <c r="F1173" s="87" t="n">
        <v>149.225</v>
      </c>
      <c r="G1173" s="88">
        <f>DAY(EOMONTH(DATE(B1173,C1173,1),0))</f>
        <v/>
      </c>
      <c r="H1173" s="89">
        <f>F1173/G1173</f>
        <v/>
      </c>
    </row>
    <row r="1174">
      <c r="A1174" s="86" t="inlineStr">
        <is>
          <t>충북</t>
        </is>
      </c>
      <c r="B1174" s="86" t="n">
        <v>2023</v>
      </c>
      <c r="C1174" s="86" t="n">
        <v>9</v>
      </c>
      <c r="D1174" s="86" t="inlineStr">
        <is>
          <t>2023-09</t>
        </is>
      </c>
      <c r="E1174" s="87" t="n">
        <v>159.6</v>
      </c>
      <c r="F1174" s="87" t="n">
        <v>123.7972</v>
      </c>
      <c r="G1174" s="88">
        <f>DAY(EOMONTH(DATE(B1174,C1174,1),0))</f>
        <v/>
      </c>
      <c r="H1174" s="89">
        <f>F1174/G1174</f>
        <v/>
      </c>
    </row>
    <row r="1175">
      <c r="A1175" s="86" t="inlineStr">
        <is>
          <t>충북</t>
        </is>
      </c>
      <c r="B1175" s="86" t="n">
        <v>2023</v>
      </c>
      <c r="C1175" s="86" t="n">
        <v>10</v>
      </c>
      <c r="D1175" s="86" t="inlineStr">
        <is>
          <t>2023-10</t>
        </is>
      </c>
      <c r="E1175" s="87" t="n">
        <v>208.7</v>
      </c>
      <c r="F1175" s="87" t="n">
        <v>125.1417</v>
      </c>
      <c r="G1175" s="88">
        <f>DAY(EOMONTH(DATE(B1175,C1175,1),0))</f>
        <v/>
      </c>
      <c r="H1175" s="89">
        <f>F1175/G1175</f>
        <v/>
      </c>
    </row>
    <row r="1176">
      <c r="A1176" s="86" t="inlineStr">
        <is>
          <t>충북</t>
        </is>
      </c>
      <c r="B1176" s="86" t="n">
        <v>2023</v>
      </c>
      <c r="C1176" s="86" t="n">
        <v>11</v>
      </c>
      <c r="D1176" s="86" t="inlineStr">
        <is>
          <t>2023-11</t>
        </is>
      </c>
      <c r="E1176" s="87" t="n">
        <v>177.6</v>
      </c>
      <c r="F1176" s="87" t="n">
        <v>82.5667</v>
      </c>
      <c r="G1176" s="88">
        <f>DAY(EOMONTH(DATE(B1176,C1176,1),0))</f>
        <v/>
      </c>
      <c r="H1176" s="89">
        <f>F1176/G1176</f>
        <v/>
      </c>
    </row>
    <row r="1177">
      <c r="A1177" s="86" t="inlineStr">
        <is>
          <t>충북</t>
        </is>
      </c>
      <c r="B1177" s="86" t="n">
        <v>2023</v>
      </c>
      <c r="C1177" s="86" t="n">
        <v>12</v>
      </c>
      <c r="D1177" s="86" t="inlineStr">
        <is>
          <t>2023-12</t>
        </is>
      </c>
      <c r="E1177" s="87" t="n">
        <v>133.3</v>
      </c>
      <c r="F1177" s="87" t="n">
        <v>62.6028</v>
      </c>
      <c r="G1177" s="88">
        <f>DAY(EOMONTH(DATE(B1177,C1177,1),0))</f>
        <v/>
      </c>
      <c r="H1177" s="89">
        <f>F1177/G1177</f>
        <v/>
      </c>
    </row>
    <row r="1178">
      <c r="A1178" s="86" t="inlineStr">
        <is>
          <t>충북</t>
        </is>
      </c>
      <c r="B1178" s="86" t="n">
        <v>2024</v>
      </c>
      <c r="C1178" s="86" t="n">
        <v>1</v>
      </c>
      <c r="D1178" s="86" t="inlineStr">
        <is>
          <t>2024-01</t>
        </is>
      </c>
      <c r="E1178" s="87" t="n">
        <v>151.8</v>
      </c>
      <c r="F1178" s="87" t="n">
        <v>73.4278</v>
      </c>
      <c r="G1178" s="88">
        <f>DAY(EOMONTH(DATE(B1178,C1178,1),0))</f>
        <v/>
      </c>
      <c r="H1178" s="89">
        <f>F1178/G1178</f>
        <v/>
      </c>
    </row>
    <row r="1179">
      <c r="A1179" s="86" t="inlineStr">
        <is>
          <t>충북</t>
        </is>
      </c>
      <c r="B1179" s="86" t="n">
        <v>2024</v>
      </c>
      <c r="C1179" s="86" t="n">
        <v>2</v>
      </c>
      <c r="D1179" s="86" t="inlineStr">
        <is>
          <t>2024-02</t>
        </is>
      </c>
      <c r="E1179" s="87" t="n">
        <v>95.8</v>
      </c>
      <c r="F1179" s="87" t="n">
        <v>66.4472</v>
      </c>
      <c r="G1179" s="88">
        <f>DAY(EOMONTH(DATE(B1179,C1179,1),0))</f>
        <v/>
      </c>
      <c r="H1179" s="89">
        <f>F1179/G1179</f>
        <v/>
      </c>
    </row>
    <row r="1180">
      <c r="A1180" s="86" t="inlineStr">
        <is>
          <t>충북</t>
        </is>
      </c>
      <c r="B1180" s="86" t="n">
        <v>2024</v>
      </c>
      <c r="C1180" s="86" t="n">
        <v>3</v>
      </c>
      <c r="D1180" s="86" t="inlineStr">
        <is>
          <t>2024-03</t>
        </is>
      </c>
      <c r="E1180" s="87" t="n">
        <v>200</v>
      </c>
      <c r="F1180" s="87" t="n">
        <v>130.4611</v>
      </c>
      <c r="G1180" s="88">
        <f>DAY(EOMONTH(DATE(B1180,C1180,1),0))</f>
        <v/>
      </c>
      <c r="H1180" s="89">
        <f>F1180/G1180</f>
        <v/>
      </c>
    </row>
    <row r="1181">
      <c r="A1181" s="86" t="inlineStr">
        <is>
          <t>충북</t>
        </is>
      </c>
      <c r="B1181" s="86" t="n">
        <v>2024</v>
      </c>
      <c r="C1181" s="86" t="n">
        <v>4</v>
      </c>
      <c r="D1181" s="86" t="inlineStr">
        <is>
          <t>2024-04</t>
        </is>
      </c>
      <c r="E1181" s="87" t="n">
        <v>198.6</v>
      </c>
      <c r="F1181" s="87" t="n">
        <v>145.7361</v>
      </c>
      <c r="G1181" s="88">
        <f>DAY(EOMONTH(DATE(B1181,C1181,1),0))</f>
        <v/>
      </c>
      <c r="H1181" s="89">
        <f>F1181/G1181</f>
        <v/>
      </c>
    </row>
    <row r="1182">
      <c r="A1182" s="86" t="inlineStr">
        <is>
          <t>충북</t>
        </is>
      </c>
      <c r="B1182" s="86" t="n">
        <v>2024</v>
      </c>
      <c r="C1182" s="86" t="n">
        <v>5</v>
      </c>
      <c r="D1182" s="86" t="inlineStr">
        <is>
          <t>2024-05</t>
        </is>
      </c>
      <c r="E1182" s="87" t="n">
        <v>272.6</v>
      </c>
      <c r="F1182" s="87" t="n">
        <v>199.7333</v>
      </c>
      <c r="G1182" s="88">
        <f>DAY(EOMONTH(DATE(B1182,C1182,1),0))</f>
        <v/>
      </c>
      <c r="H1182" s="89">
        <f>F1182/G1182</f>
        <v/>
      </c>
    </row>
    <row r="1183">
      <c r="A1183" s="86" t="inlineStr">
        <is>
          <t>충북</t>
        </is>
      </c>
      <c r="B1183" s="86" t="n">
        <v>2024</v>
      </c>
      <c r="C1183" s="86" t="n">
        <v>6</v>
      </c>
      <c r="D1183" s="86" t="inlineStr">
        <is>
          <t>2024-06</t>
        </is>
      </c>
      <c r="E1183" s="87" t="n">
        <v>250.3</v>
      </c>
      <c r="F1183" s="87" t="n">
        <v>195.1944</v>
      </c>
      <c r="G1183" s="88">
        <f>DAY(EOMONTH(DATE(B1183,C1183,1),0))</f>
        <v/>
      </c>
      <c r="H1183" s="89">
        <f>F1183/G1183</f>
        <v/>
      </c>
    </row>
    <row r="1184">
      <c r="A1184" s="86" t="inlineStr">
        <is>
          <t>충북</t>
        </is>
      </c>
      <c r="B1184" s="86" t="n">
        <v>2024</v>
      </c>
      <c r="C1184" s="86" t="n">
        <v>7</v>
      </c>
      <c r="D1184" s="86" t="inlineStr">
        <is>
          <t>2024-07</t>
        </is>
      </c>
      <c r="E1184" s="87" t="n">
        <v>117</v>
      </c>
      <c r="F1184" s="87" t="n">
        <v>136.5722</v>
      </c>
      <c r="G1184" s="88">
        <f>DAY(EOMONTH(DATE(B1184,C1184,1),0))</f>
        <v/>
      </c>
      <c r="H1184" s="89">
        <f>F1184/G1184</f>
        <v/>
      </c>
    </row>
    <row r="1185">
      <c r="A1185" s="86" t="inlineStr">
        <is>
          <t>충북</t>
        </is>
      </c>
      <c r="B1185" s="86" t="n">
        <v>2024</v>
      </c>
      <c r="C1185" s="86" t="n">
        <v>8</v>
      </c>
      <c r="D1185" s="86" t="inlineStr">
        <is>
          <t>2024-08</t>
        </is>
      </c>
      <c r="E1185" s="87" t="n">
        <v>229.5</v>
      </c>
      <c r="F1185" s="87" t="n">
        <v>173.1222</v>
      </c>
      <c r="G1185" s="88">
        <f>DAY(EOMONTH(DATE(B1185,C1185,1),0))</f>
        <v/>
      </c>
      <c r="H1185" s="89">
        <f>F1185/G1185</f>
        <v/>
      </c>
    </row>
    <row r="1186">
      <c r="A1186" s="86" t="inlineStr">
        <is>
          <t>충북</t>
        </is>
      </c>
      <c r="B1186" s="86" t="n">
        <v>2024</v>
      </c>
      <c r="C1186" s="86" t="n">
        <v>9</v>
      </c>
      <c r="D1186" s="86" t="inlineStr">
        <is>
          <t>2024-09</t>
        </is>
      </c>
      <c r="E1186" s="87" t="n">
        <v>169.2</v>
      </c>
      <c r="F1186" s="87" t="n">
        <v>128.6917</v>
      </c>
      <c r="G1186" s="88">
        <f>DAY(EOMONTH(DATE(B1186,C1186,1),0))</f>
        <v/>
      </c>
      <c r="H1186" s="89">
        <f>F1186/G1186</f>
        <v/>
      </c>
    </row>
    <row r="1187">
      <c r="A1187" s="86" t="inlineStr">
        <is>
          <t>충북</t>
        </is>
      </c>
      <c r="B1187" s="86" t="n">
        <v>2024</v>
      </c>
      <c r="C1187" s="86" t="n">
        <v>10</v>
      </c>
      <c r="D1187" s="86" t="inlineStr">
        <is>
          <t>2024-10</t>
        </is>
      </c>
      <c r="E1187" s="87" t="n">
        <v>141.8</v>
      </c>
      <c r="F1187" s="87" t="n">
        <v>89.5389</v>
      </c>
      <c r="G1187" s="88">
        <f>DAY(EOMONTH(DATE(B1187,C1187,1),0))</f>
        <v/>
      </c>
      <c r="H1187" s="89">
        <f>F1187/G1187</f>
        <v/>
      </c>
    </row>
    <row r="1188">
      <c r="A1188" s="86" t="inlineStr">
        <is>
          <t>충북</t>
        </is>
      </c>
      <c r="B1188" s="86" t="n">
        <v>2024</v>
      </c>
      <c r="C1188" s="86" t="n">
        <v>11</v>
      </c>
      <c r="D1188" s="86" t="inlineStr">
        <is>
          <t>2024-11</t>
        </is>
      </c>
      <c r="E1188" s="87" t="n">
        <v>171</v>
      </c>
      <c r="F1188" s="87" t="n">
        <v>81.9528</v>
      </c>
      <c r="G1188" s="88">
        <f>DAY(EOMONTH(DATE(B1188,C1188,1),0))</f>
        <v/>
      </c>
      <c r="H1188" s="89">
        <f>F1188/G1188</f>
        <v/>
      </c>
    </row>
    <row r="1189">
      <c r="A1189" s="86" t="inlineStr">
        <is>
          <t>충북</t>
        </is>
      </c>
      <c r="B1189" s="86" t="n">
        <v>2024</v>
      </c>
      <c r="C1189" s="86" t="n">
        <v>12</v>
      </c>
      <c r="D1189" s="86" t="inlineStr">
        <is>
          <t>2024-12</t>
        </is>
      </c>
      <c r="E1189" s="87" t="n">
        <v>175.2</v>
      </c>
      <c r="F1189" s="87" t="n">
        <v>75.7167</v>
      </c>
      <c r="G1189" s="88">
        <f>DAY(EOMONTH(DATE(B1189,C1189,1),0))</f>
        <v/>
      </c>
      <c r="H1189" s="89">
        <f>F1189/G1189</f>
        <v/>
      </c>
    </row>
    <row r="1190">
      <c r="A1190" s="86" t="inlineStr">
        <is>
          <t>충북</t>
        </is>
      </c>
      <c r="B1190" s="86" t="n">
        <v>2025</v>
      </c>
      <c r="C1190" s="86" t="n">
        <v>1</v>
      </c>
      <c r="D1190" s="86" t="inlineStr">
        <is>
          <t>2025-01</t>
        </is>
      </c>
      <c r="E1190" s="87" t="n">
        <v>163.9</v>
      </c>
      <c r="F1190" s="87" t="n">
        <v>77.9278</v>
      </c>
      <c r="G1190" s="88">
        <f>DAY(EOMONTH(DATE(B1190,C1190,1),0))</f>
        <v/>
      </c>
      <c r="H1190" s="89">
        <f>F1190/G1190</f>
        <v/>
      </c>
    </row>
    <row r="1191">
      <c r="A1191" s="86" t="inlineStr">
        <is>
          <t>충북</t>
        </is>
      </c>
      <c r="B1191" s="86" t="n">
        <v>2025</v>
      </c>
      <c r="C1191" s="86" t="n">
        <v>2</v>
      </c>
      <c r="D1191" s="86" t="inlineStr">
        <is>
          <t>2025-02</t>
        </is>
      </c>
      <c r="E1191" s="87" t="n">
        <v>215.1</v>
      </c>
      <c r="F1191" s="87" t="n">
        <v>110.525</v>
      </c>
      <c r="G1191" s="88">
        <f>DAY(EOMONTH(DATE(B1191,C1191,1),0))</f>
        <v/>
      </c>
      <c r="H1191" s="89">
        <f>F1191/G1191</f>
        <v/>
      </c>
    </row>
    <row r="1192">
      <c r="A1192" s="86" t="inlineStr">
        <is>
          <t>충북</t>
        </is>
      </c>
      <c r="B1192" s="86" t="n">
        <v>2025</v>
      </c>
      <c r="C1192" s="86" t="n">
        <v>3</v>
      </c>
      <c r="D1192" s="86" t="inlineStr">
        <is>
          <t>2025-03</t>
        </is>
      </c>
      <c r="E1192" s="87" t="n">
        <v>203.3</v>
      </c>
      <c r="F1192" s="87" t="n">
        <v>133.0056</v>
      </c>
      <c r="G1192" s="88">
        <f>DAY(EOMONTH(DATE(B1192,C1192,1),0))</f>
        <v/>
      </c>
      <c r="H1192" s="89">
        <f>F1192/G1192</f>
        <v/>
      </c>
    </row>
    <row r="1193">
      <c r="A1193" s="86" t="inlineStr">
        <is>
          <t>충북</t>
        </is>
      </c>
      <c r="B1193" s="86" t="n">
        <v>2025</v>
      </c>
      <c r="C1193" s="86" t="n">
        <v>4</v>
      </c>
      <c r="D1193" s="86" t="inlineStr">
        <is>
          <t>2025-04</t>
        </is>
      </c>
      <c r="E1193" s="87" t="n">
        <v>245</v>
      </c>
      <c r="F1193" s="87" t="n">
        <v>171.1444</v>
      </c>
      <c r="G1193" s="88">
        <f>DAY(EOMONTH(DATE(B1193,C1193,1),0))</f>
        <v/>
      </c>
      <c r="H1193" s="89">
        <f>F1193/G1193</f>
        <v/>
      </c>
    </row>
    <row r="1194">
      <c r="A1194" s="86" t="inlineStr">
        <is>
          <t>충북</t>
        </is>
      </c>
      <c r="B1194" s="86" t="n">
        <v>2025</v>
      </c>
      <c r="C1194" s="86" t="n">
        <v>5</v>
      </c>
      <c r="D1194" s="86" t="inlineStr">
        <is>
          <t>2025-05</t>
        </is>
      </c>
      <c r="E1194" s="87" t="n">
        <v>194.8</v>
      </c>
      <c r="F1194" s="87" t="n">
        <v>157.8389</v>
      </c>
      <c r="G1194" s="88">
        <f>DAY(EOMONTH(DATE(B1194,C1194,1),0))</f>
        <v/>
      </c>
      <c r="H1194" s="89">
        <f>F1194/G1194</f>
        <v/>
      </c>
    </row>
    <row r="1195">
      <c r="A1195" s="86" t="inlineStr">
        <is>
          <t>충북</t>
        </is>
      </c>
      <c r="B1195" s="86" t="n">
        <v>2025</v>
      </c>
      <c r="C1195" s="86" t="n">
        <v>6</v>
      </c>
      <c r="D1195" s="86" t="inlineStr">
        <is>
          <t>2025-06</t>
        </is>
      </c>
      <c r="E1195" s="87" t="n">
        <v>200.3</v>
      </c>
      <c r="F1195" s="87" t="n">
        <v>176.275</v>
      </c>
      <c r="G1195" s="88">
        <f>DAY(EOMONTH(DATE(B1195,C1195,1),0))</f>
        <v/>
      </c>
      <c r="H1195" s="89">
        <f>F1195/G1195</f>
        <v/>
      </c>
    </row>
    <row r="1196">
      <c r="A1196" s="86" t="inlineStr">
        <is>
          <t>충북</t>
        </is>
      </c>
      <c r="B1196" s="86" t="n">
        <v>2025</v>
      </c>
      <c r="C1196" s="86" t="n">
        <v>7</v>
      </c>
      <c r="D1196" s="86" t="inlineStr">
        <is>
          <t>2025-07</t>
        </is>
      </c>
      <c r="E1196" s="87" t="n">
        <v>237.5</v>
      </c>
      <c r="F1196" s="87" t="n">
        <v>191.0806</v>
      </c>
      <c r="G1196" s="88">
        <f>DAY(EOMONTH(DATE(B1196,C1196,1),0))</f>
        <v/>
      </c>
      <c r="H1196" s="89">
        <f>F1196/G1196</f>
        <v/>
      </c>
    </row>
    <row r="1197">
      <c r="A1197" s="86" t="inlineStr">
        <is>
          <t>충북</t>
        </is>
      </c>
      <c r="B1197" s="86" t="n">
        <v>2025</v>
      </c>
      <c r="C1197" s="86" t="n">
        <v>8</v>
      </c>
      <c r="D1197" s="86" t="inlineStr">
        <is>
          <t>2025-08</t>
        </is>
      </c>
      <c r="E1197" s="87" t="n">
        <v>196.8</v>
      </c>
      <c r="F1197" s="87" t="n">
        <v>167.1083</v>
      </c>
      <c r="G1197" s="88">
        <f>DAY(EOMONTH(DATE(B1197,C1197,1),0))</f>
        <v/>
      </c>
      <c r="H1197" s="89">
        <f>F1197/G1197</f>
        <v/>
      </c>
    </row>
    <row r="1198">
      <c r="A1198" s="86" t="inlineStr">
        <is>
          <t>충북</t>
        </is>
      </c>
      <c r="B1198" s="86" t="n">
        <v>2025</v>
      </c>
      <c r="C1198" s="86" t="n">
        <v>9</v>
      </c>
      <c r="D1198" s="86" t="inlineStr">
        <is>
          <t>2025-09</t>
        </is>
      </c>
      <c r="E1198" s="87" t="n">
        <v>112.5</v>
      </c>
      <c r="F1198" s="87" t="n">
        <v>107.9222</v>
      </c>
      <c r="G1198" s="88">
        <f>DAY(EOMONTH(DATE(B1198,C1198,1),0))</f>
        <v/>
      </c>
      <c r="H1198" s="89">
        <f>F1198/G1198</f>
        <v/>
      </c>
    </row>
    <row r="1199">
      <c r="A1199" s="86" t="inlineStr">
        <is>
          <t>충북</t>
        </is>
      </c>
      <c r="B1199" s="86" t="n">
        <v>2025</v>
      </c>
      <c r="C1199" s="86" t="n">
        <v>10</v>
      </c>
      <c r="D1199" s="86" t="inlineStr">
        <is>
          <t>2025-10</t>
        </is>
      </c>
      <c r="E1199" s="87" t="n">
        <v>114.8</v>
      </c>
      <c r="F1199" s="87" t="n">
        <v>84.7333</v>
      </c>
      <c r="G1199" s="88">
        <f>DAY(EOMONTH(DATE(B1199,C1199,1),0))</f>
        <v/>
      </c>
      <c r="H1199" s="89">
        <f>F1199/G1199</f>
        <v/>
      </c>
    </row>
    <row r="1200">
      <c r="A1200" s="86" t="inlineStr">
        <is>
          <t>충북</t>
        </is>
      </c>
      <c r="B1200" s="86" t="n">
        <v>2025</v>
      </c>
      <c r="C1200" s="86" t="n">
        <v>11</v>
      </c>
      <c r="D1200" s="86" t="inlineStr">
        <is>
          <t>2025-11</t>
        </is>
      </c>
      <c r="E1200" s="87" t="n">
        <v>213.8</v>
      </c>
      <c r="F1200" s="87" t="n">
        <v>96.6722</v>
      </c>
      <c r="G1200" s="88">
        <f>DAY(EOMONTH(DATE(B1200,C1200,1),0))</f>
        <v/>
      </c>
      <c r="H1200" s="89">
        <f>F1200/G1200</f>
        <v/>
      </c>
    </row>
    <row r="1201">
      <c r="A1201" s="86" t="inlineStr">
        <is>
          <t>충북</t>
        </is>
      </c>
      <c r="B1201" s="86" t="n">
        <v>2025</v>
      </c>
      <c r="C1201" s="86" t="n">
        <v>12</v>
      </c>
      <c r="D1201" s="86" t="inlineStr">
        <is>
          <t>2025-12</t>
        </is>
      </c>
      <c r="E1201" s="87" t="n">
        <v>150.8</v>
      </c>
      <c r="F1201" s="87" t="n">
        <v>71.76390000000001</v>
      </c>
      <c r="G1201" s="88">
        <f>DAY(EOMONTH(DATE(B1201,C1201,1),0))</f>
        <v/>
      </c>
      <c r="H1201" s="89">
        <f>F1201/G1201</f>
        <v/>
      </c>
    </row>
  </sheetData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Y123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연월 × 지역 일사량 피벗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왼쪽 표: 월 합계 [kWh/m²]  ·  오른쪽 표(N열~): 일평균 [kWh/m²/일]  ·  모두 20_원자료 표(RawDataKWh)에서 집계</t>
        </is>
      </c>
    </row>
    <row r="3" ht="30" customHeight="1">
      <c r="A3" s="14" t="inlineStr">
        <is>
          <t>연월
(월 합계)</t>
        </is>
      </c>
      <c r="B3" s="14" t="inlineStr">
        <is>
          <t>서울경기</t>
        </is>
      </c>
      <c r="C3" s="14" t="inlineStr">
        <is>
          <t>강원영동</t>
        </is>
      </c>
      <c r="D3" s="14" t="inlineStr">
        <is>
          <t>강원영서</t>
        </is>
      </c>
      <c r="E3" s="14" t="inlineStr">
        <is>
          <t>충북</t>
        </is>
      </c>
      <c r="F3" s="14" t="inlineStr">
        <is>
          <t>충남</t>
        </is>
      </c>
      <c r="G3" s="14" t="inlineStr">
        <is>
          <t>경북</t>
        </is>
      </c>
      <c r="H3" s="14" t="inlineStr">
        <is>
          <t>경남</t>
        </is>
      </c>
      <c r="I3" s="14" t="inlineStr">
        <is>
          <t>전북</t>
        </is>
      </c>
      <c r="J3" s="14" t="inlineStr">
        <is>
          <t>전남</t>
        </is>
      </c>
      <c r="K3" s="14" t="inlineStr">
        <is>
          <t>제주</t>
        </is>
      </c>
      <c r="L3" s="14" t="inlineStr">
        <is>
          <t>전국평균</t>
        </is>
      </c>
      <c r="N3" s="14" t="inlineStr">
        <is>
          <t>연월
(일평균)</t>
        </is>
      </c>
      <c r="O3" s="14" t="inlineStr">
        <is>
          <t>서울경기</t>
        </is>
      </c>
      <c r="P3" s="14" t="inlineStr">
        <is>
          <t>강원영동</t>
        </is>
      </c>
      <c r="Q3" s="14" t="inlineStr">
        <is>
          <t>강원영서</t>
        </is>
      </c>
      <c r="R3" s="14" t="inlineStr">
        <is>
          <t>충북</t>
        </is>
      </c>
      <c r="S3" s="14" t="inlineStr">
        <is>
          <t>충남</t>
        </is>
      </c>
      <c r="T3" s="14" t="inlineStr">
        <is>
          <t>경북</t>
        </is>
      </c>
      <c r="U3" s="14" t="inlineStr">
        <is>
          <t>경남</t>
        </is>
      </c>
      <c r="V3" s="14" t="inlineStr">
        <is>
          <t>전북</t>
        </is>
      </c>
      <c r="W3" s="14" t="inlineStr">
        <is>
          <t>전남</t>
        </is>
      </c>
      <c r="X3" s="14" t="inlineStr">
        <is>
          <t>제주</t>
        </is>
      </c>
      <c r="Y3" s="14" t="inlineStr">
        <is>
          <t>전국평균</t>
        </is>
      </c>
    </row>
    <row r="4" ht="16" customHeight="1">
      <c r="A4" s="17" t="inlineStr">
        <is>
          <t>2016-01</t>
        </is>
      </c>
      <c r="B4" s="41">
        <f>SUMIFS(RawDataKWh[일사합_kWh_m2],RawDataKWh[연월],$A4,RawDataKWh[지역명],B$3)</f>
        <v/>
      </c>
      <c r="C4" s="41">
        <f>SUMIFS(RawDataKWh[일사합_kWh_m2],RawDataKWh[연월],$A4,RawDataKWh[지역명],C$3)</f>
        <v/>
      </c>
      <c r="D4" s="41">
        <f>SUMIFS(RawDataKWh[일사합_kWh_m2],RawDataKWh[연월],$A4,RawDataKWh[지역명],D$3)</f>
        <v/>
      </c>
      <c r="E4" s="41">
        <f>SUMIFS(RawDataKWh[일사합_kWh_m2],RawDataKWh[연월],$A4,RawDataKWh[지역명],E$3)</f>
        <v/>
      </c>
      <c r="F4" s="41">
        <f>SUMIFS(RawDataKWh[일사합_kWh_m2],RawDataKWh[연월],$A4,RawDataKWh[지역명],F$3)</f>
        <v/>
      </c>
      <c r="G4" s="41">
        <f>SUMIFS(RawDataKWh[일사합_kWh_m2],RawDataKWh[연월],$A4,RawDataKWh[지역명],G$3)</f>
        <v/>
      </c>
      <c r="H4" s="41">
        <f>SUMIFS(RawDataKWh[일사합_kWh_m2],RawDataKWh[연월],$A4,RawDataKWh[지역명],H$3)</f>
        <v/>
      </c>
      <c r="I4" s="41">
        <f>SUMIFS(RawDataKWh[일사합_kWh_m2],RawDataKWh[연월],$A4,RawDataKWh[지역명],I$3)</f>
        <v/>
      </c>
      <c r="J4" s="41">
        <f>SUMIFS(RawDataKWh[일사합_kWh_m2],RawDataKWh[연월],$A4,RawDataKWh[지역명],J$3)</f>
        <v/>
      </c>
      <c r="K4" s="41">
        <f>SUMIFS(RawDataKWh[일사합_kWh_m2],RawDataKWh[연월],$A4,RawDataKWh[지역명],K$3)</f>
        <v/>
      </c>
      <c r="L4" s="41">
        <f>AVERAGE(B4:K4)</f>
        <v/>
      </c>
      <c r="N4" s="17">
        <f>$A4</f>
        <v/>
      </c>
      <c r="O4" s="42">
        <f>AVERAGEIFS(RawDataKWh[일평균_일사합_kWh_m2],RawDataKWh[연월],$A4,RawDataKWh[지역명],O$3)</f>
        <v/>
      </c>
      <c r="P4" s="42">
        <f>AVERAGEIFS(RawDataKWh[일평균_일사합_kWh_m2],RawDataKWh[연월],$A4,RawDataKWh[지역명],P$3)</f>
        <v/>
      </c>
      <c r="Q4" s="42">
        <f>AVERAGEIFS(RawDataKWh[일평균_일사합_kWh_m2],RawDataKWh[연월],$A4,RawDataKWh[지역명],Q$3)</f>
        <v/>
      </c>
      <c r="R4" s="42">
        <f>AVERAGEIFS(RawDataKWh[일평균_일사합_kWh_m2],RawDataKWh[연월],$A4,RawDataKWh[지역명],R$3)</f>
        <v/>
      </c>
      <c r="S4" s="42">
        <f>AVERAGEIFS(RawDataKWh[일평균_일사합_kWh_m2],RawDataKWh[연월],$A4,RawDataKWh[지역명],S$3)</f>
        <v/>
      </c>
      <c r="T4" s="42">
        <f>AVERAGEIFS(RawDataKWh[일평균_일사합_kWh_m2],RawDataKWh[연월],$A4,RawDataKWh[지역명],T$3)</f>
        <v/>
      </c>
      <c r="U4" s="42">
        <f>AVERAGEIFS(RawDataKWh[일평균_일사합_kWh_m2],RawDataKWh[연월],$A4,RawDataKWh[지역명],U$3)</f>
        <v/>
      </c>
      <c r="V4" s="42">
        <f>AVERAGEIFS(RawDataKWh[일평균_일사합_kWh_m2],RawDataKWh[연월],$A4,RawDataKWh[지역명],V$3)</f>
        <v/>
      </c>
      <c r="W4" s="42">
        <f>AVERAGEIFS(RawDataKWh[일평균_일사합_kWh_m2],RawDataKWh[연월],$A4,RawDataKWh[지역명],W$3)</f>
        <v/>
      </c>
      <c r="X4" s="42">
        <f>AVERAGEIFS(RawDataKWh[일평균_일사합_kWh_m2],RawDataKWh[연월],$A4,RawDataKWh[지역명],X$3)</f>
        <v/>
      </c>
      <c r="Y4" s="42">
        <f>AVERAGE(O4:X4)</f>
        <v/>
      </c>
    </row>
    <row r="5" ht="16" customHeight="1">
      <c r="A5" s="19" t="inlineStr">
        <is>
          <t>2016-02</t>
        </is>
      </c>
      <c r="B5" s="45">
        <f>SUMIFS(RawDataKWh[일사합_kWh_m2],RawDataKWh[연월],$A5,RawDataKWh[지역명],B$3)</f>
        <v/>
      </c>
      <c r="C5" s="45">
        <f>SUMIFS(RawDataKWh[일사합_kWh_m2],RawDataKWh[연월],$A5,RawDataKWh[지역명],C$3)</f>
        <v/>
      </c>
      <c r="D5" s="45">
        <f>SUMIFS(RawDataKWh[일사합_kWh_m2],RawDataKWh[연월],$A5,RawDataKWh[지역명],D$3)</f>
        <v/>
      </c>
      <c r="E5" s="45">
        <f>SUMIFS(RawDataKWh[일사합_kWh_m2],RawDataKWh[연월],$A5,RawDataKWh[지역명],E$3)</f>
        <v/>
      </c>
      <c r="F5" s="45">
        <f>SUMIFS(RawDataKWh[일사합_kWh_m2],RawDataKWh[연월],$A5,RawDataKWh[지역명],F$3)</f>
        <v/>
      </c>
      <c r="G5" s="45">
        <f>SUMIFS(RawDataKWh[일사합_kWh_m2],RawDataKWh[연월],$A5,RawDataKWh[지역명],G$3)</f>
        <v/>
      </c>
      <c r="H5" s="45">
        <f>SUMIFS(RawDataKWh[일사합_kWh_m2],RawDataKWh[연월],$A5,RawDataKWh[지역명],H$3)</f>
        <v/>
      </c>
      <c r="I5" s="45">
        <f>SUMIFS(RawDataKWh[일사합_kWh_m2],RawDataKWh[연월],$A5,RawDataKWh[지역명],I$3)</f>
        <v/>
      </c>
      <c r="J5" s="45">
        <f>SUMIFS(RawDataKWh[일사합_kWh_m2],RawDataKWh[연월],$A5,RawDataKWh[지역명],J$3)</f>
        <v/>
      </c>
      <c r="K5" s="45">
        <f>SUMIFS(RawDataKWh[일사합_kWh_m2],RawDataKWh[연월],$A5,RawDataKWh[지역명],K$3)</f>
        <v/>
      </c>
      <c r="L5" s="45">
        <f>AVERAGE(B5:K5)</f>
        <v/>
      </c>
      <c r="N5" s="19">
        <f>$A5</f>
        <v/>
      </c>
      <c r="O5" s="46">
        <f>AVERAGEIFS(RawDataKWh[일평균_일사합_kWh_m2],RawDataKWh[연월],$A5,RawDataKWh[지역명],O$3)</f>
        <v/>
      </c>
      <c r="P5" s="46">
        <f>AVERAGEIFS(RawDataKWh[일평균_일사합_kWh_m2],RawDataKWh[연월],$A5,RawDataKWh[지역명],P$3)</f>
        <v/>
      </c>
      <c r="Q5" s="46">
        <f>AVERAGEIFS(RawDataKWh[일평균_일사합_kWh_m2],RawDataKWh[연월],$A5,RawDataKWh[지역명],Q$3)</f>
        <v/>
      </c>
      <c r="R5" s="46">
        <f>AVERAGEIFS(RawDataKWh[일평균_일사합_kWh_m2],RawDataKWh[연월],$A5,RawDataKWh[지역명],R$3)</f>
        <v/>
      </c>
      <c r="S5" s="46">
        <f>AVERAGEIFS(RawDataKWh[일평균_일사합_kWh_m2],RawDataKWh[연월],$A5,RawDataKWh[지역명],S$3)</f>
        <v/>
      </c>
      <c r="T5" s="46">
        <f>AVERAGEIFS(RawDataKWh[일평균_일사합_kWh_m2],RawDataKWh[연월],$A5,RawDataKWh[지역명],T$3)</f>
        <v/>
      </c>
      <c r="U5" s="46">
        <f>AVERAGEIFS(RawDataKWh[일평균_일사합_kWh_m2],RawDataKWh[연월],$A5,RawDataKWh[지역명],U$3)</f>
        <v/>
      </c>
      <c r="V5" s="46">
        <f>AVERAGEIFS(RawDataKWh[일평균_일사합_kWh_m2],RawDataKWh[연월],$A5,RawDataKWh[지역명],V$3)</f>
        <v/>
      </c>
      <c r="W5" s="46">
        <f>AVERAGEIFS(RawDataKWh[일평균_일사합_kWh_m2],RawDataKWh[연월],$A5,RawDataKWh[지역명],W$3)</f>
        <v/>
      </c>
      <c r="X5" s="46">
        <f>AVERAGEIFS(RawDataKWh[일평균_일사합_kWh_m2],RawDataKWh[연월],$A5,RawDataKWh[지역명],X$3)</f>
        <v/>
      </c>
      <c r="Y5" s="46">
        <f>AVERAGE(O5:X5)</f>
        <v/>
      </c>
    </row>
    <row r="6" ht="16" customHeight="1">
      <c r="A6" s="17" t="inlineStr">
        <is>
          <t>2016-03</t>
        </is>
      </c>
      <c r="B6" s="41">
        <f>SUMIFS(RawDataKWh[일사합_kWh_m2],RawDataKWh[연월],$A6,RawDataKWh[지역명],B$3)</f>
        <v/>
      </c>
      <c r="C6" s="41">
        <f>SUMIFS(RawDataKWh[일사합_kWh_m2],RawDataKWh[연월],$A6,RawDataKWh[지역명],C$3)</f>
        <v/>
      </c>
      <c r="D6" s="41">
        <f>SUMIFS(RawDataKWh[일사합_kWh_m2],RawDataKWh[연월],$A6,RawDataKWh[지역명],D$3)</f>
        <v/>
      </c>
      <c r="E6" s="41">
        <f>SUMIFS(RawDataKWh[일사합_kWh_m2],RawDataKWh[연월],$A6,RawDataKWh[지역명],E$3)</f>
        <v/>
      </c>
      <c r="F6" s="41">
        <f>SUMIFS(RawDataKWh[일사합_kWh_m2],RawDataKWh[연월],$A6,RawDataKWh[지역명],F$3)</f>
        <v/>
      </c>
      <c r="G6" s="41">
        <f>SUMIFS(RawDataKWh[일사합_kWh_m2],RawDataKWh[연월],$A6,RawDataKWh[지역명],G$3)</f>
        <v/>
      </c>
      <c r="H6" s="41">
        <f>SUMIFS(RawDataKWh[일사합_kWh_m2],RawDataKWh[연월],$A6,RawDataKWh[지역명],H$3)</f>
        <v/>
      </c>
      <c r="I6" s="41">
        <f>SUMIFS(RawDataKWh[일사합_kWh_m2],RawDataKWh[연월],$A6,RawDataKWh[지역명],I$3)</f>
        <v/>
      </c>
      <c r="J6" s="41">
        <f>SUMIFS(RawDataKWh[일사합_kWh_m2],RawDataKWh[연월],$A6,RawDataKWh[지역명],J$3)</f>
        <v/>
      </c>
      <c r="K6" s="41">
        <f>SUMIFS(RawDataKWh[일사합_kWh_m2],RawDataKWh[연월],$A6,RawDataKWh[지역명],K$3)</f>
        <v/>
      </c>
      <c r="L6" s="41">
        <f>AVERAGE(B6:K6)</f>
        <v/>
      </c>
      <c r="N6" s="17">
        <f>$A6</f>
        <v/>
      </c>
      <c r="O6" s="42">
        <f>AVERAGEIFS(RawDataKWh[일평균_일사합_kWh_m2],RawDataKWh[연월],$A6,RawDataKWh[지역명],O$3)</f>
        <v/>
      </c>
      <c r="P6" s="42">
        <f>AVERAGEIFS(RawDataKWh[일평균_일사합_kWh_m2],RawDataKWh[연월],$A6,RawDataKWh[지역명],P$3)</f>
        <v/>
      </c>
      <c r="Q6" s="42">
        <f>AVERAGEIFS(RawDataKWh[일평균_일사합_kWh_m2],RawDataKWh[연월],$A6,RawDataKWh[지역명],Q$3)</f>
        <v/>
      </c>
      <c r="R6" s="42">
        <f>AVERAGEIFS(RawDataKWh[일평균_일사합_kWh_m2],RawDataKWh[연월],$A6,RawDataKWh[지역명],R$3)</f>
        <v/>
      </c>
      <c r="S6" s="42">
        <f>AVERAGEIFS(RawDataKWh[일평균_일사합_kWh_m2],RawDataKWh[연월],$A6,RawDataKWh[지역명],S$3)</f>
        <v/>
      </c>
      <c r="T6" s="42">
        <f>AVERAGEIFS(RawDataKWh[일평균_일사합_kWh_m2],RawDataKWh[연월],$A6,RawDataKWh[지역명],T$3)</f>
        <v/>
      </c>
      <c r="U6" s="42">
        <f>AVERAGEIFS(RawDataKWh[일평균_일사합_kWh_m2],RawDataKWh[연월],$A6,RawDataKWh[지역명],U$3)</f>
        <v/>
      </c>
      <c r="V6" s="42">
        <f>AVERAGEIFS(RawDataKWh[일평균_일사합_kWh_m2],RawDataKWh[연월],$A6,RawDataKWh[지역명],V$3)</f>
        <v/>
      </c>
      <c r="W6" s="42">
        <f>AVERAGEIFS(RawDataKWh[일평균_일사합_kWh_m2],RawDataKWh[연월],$A6,RawDataKWh[지역명],W$3)</f>
        <v/>
      </c>
      <c r="X6" s="42">
        <f>AVERAGEIFS(RawDataKWh[일평균_일사합_kWh_m2],RawDataKWh[연월],$A6,RawDataKWh[지역명],X$3)</f>
        <v/>
      </c>
      <c r="Y6" s="42">
        <f>AVERAGE(O6:X6)</f>
        <v/>
      </c>
    </row>
    <row r="7" ht="16" customHeight="1">
      <c r="A7" s="19" t="inlineStr">
        <is>
          <t>2016-04</t>
        </is>
      </c>
      <c r="B7" s="45">
        <f>SUMIFS(RawDataKWh[일사합_kWh_m2],RawDataKWh[연월],$A7,RawDataKWh[지역명],B$3)</f>
        <v/>
      </c>
      <c r="C7" s="45">
        <f>SUMIFS(RawDataKWh[일사합_kWh_m2],RawDataKWh[연월],$A7,RawDataKWh[지역명],C$3)</f>
        <v/>
      </c>
      <c r="D7" s="45">
        <f>SUMIFS(RawDataKWh[일사합_kWh_m2],RawDataKWh[연월],$A7,RawDataKWh[지역명],D$3)</f>
        <v/>
      </c>
      <c r="E7" s="45">
        <f>SUMIFS(RawDataKWh[일사합_kWh_m2],RawDataKWh[연월],$A7,RawDataKWh[지역명],E$3)</f>
        <v/>
      </c>
      <c r="F7" s="45">
        <f>SUMIFS(RawDataKWh[일사합_kWh_m2],RawDataKWh[연월],$A7,RawDataKWh[지역명],F$3)</f>
        <v/>
      </c>
      <c r="G7" s="45">
        <f>SUMIFS(RawDataKWh[일사합_kWh_m2],RawDataKWh[연월],$A7,RawDataKWh[지역명],G$3)</f>
        <v/>
      </c>
      <c r="H7" s="45">
        <f>SUMIFS(RawDataKWh[일사합_kWh_m2],RawDataKWh[연월],$A7,RawDataKWh[지역명],H$3)</f>
        <v/>
      </c>
      <c r="I7" s="45">
        <f>SUMIFS(RawDataKWh[일사합_kWh_m2],RawDataKWh[연월],$A7,RawDataKWh[지역명],I$3)</f>
        <v/>
      </c>
      <c r="J7" s="45">
        <f>SUMIFS(RawDataKWh[일사합_kWh_m2],RawDataKWh[연월],$A7,RawDataKWh[지역명],J$3)</f>
        <v/>
      </c>
      <c r="K7" s="45">
        <f>SUMIFS(RawDataKWh[일사합_kWh_m2],RawDataKWh[연월],$A7,RawDataKWh[지역명],K$3)</f>
        <v/>
      </c>
      <c r="L7" s="45">
        <f>AVERAGE(B7:K7)</f>
        <v/>
      </c>
      <c r="N7" s="19">
        <f>$A7</f>
        <v/>
      </c>
      <c r="O7" s="46">
        <f>AVERAGEIFS(RawDataKWh[일평균_일사합_kWh_m2],RawDataKWh[연월],$A7,RawDataKWh[지역명],O$3)</f>
        <v/>
      </c>
      <c r="P7" s="46">
        <f>AVERAGEIFS(RawDataKWh[일평균_일사합_kWh_m2],RawDataKWh[연월],$A7,RawDataKWh[지역명],P$3)</f>
        <v/>
      </c>
      <c r="Q7" s="46">
        <f>AVERAGEIFS(RawDataKWh[일평균_일사합_kWh_m2],RawDataKWh[연월],$A7,RawDataKWh[지역명],Q$3)</f>
        <v/>
      </c>
      <c r="R7" s="46">
        <f>AVERAGEIFS(RawDataKWh[일평균_일사합_kWh_m2],RawDataKWh[연월],$A7,RawDataKWh[지역명],R$3)</f>
        <v/>
      </c>
      <c r="S7" s="46">
        <f>AVERAGEIFS(RawDataKWh[일평균_일사합_kWh_m2],RawDataKWh[연월],$A7,RawDataKWh[지역명],S$3)</f>
        <v/>
      </c>
      <c r="T7" s="46">
        <f>AVERAGEIFS(RawDataKWh[일평균_일사합_kWh_m2],RawDataKWh[연월],$A7,RawDataKWh[지역명],T$3)</f>
        <v/>
      </c>
      <c r="U7" s="46">
        <f>AVERAGEIFS(RawDataKWh[일평균_일사합_kWh_m2],RawDataKWh[연월],$A7,RawDataKWh[지역명],U$3)</f>
        <v/>
      </c>
      <c r="V7" s="46">
        <f>AVERAGEIFS(RawDataKWh[일평균_일사합_kWh_m2],RawDataKWh[연월],$A7,RawDataKWh[지역명],V$3)</f>
        <v/>
      </c>
      <c r="W7" s="46">
        <f>AVERAGEIFS(RawDataKWh[일평균_일사합_kWh_m2],RawDataKWh[연월],$A7,RawDataKWh[지역명],W$3)</f>
        <v/>
      </c>
      <c r="X7" s="46">
        <f>AVERAGEIFS(RawDataKWh[일평균_일사합_kWh_m2],RawDataKWh[연월],$A7,RawDataKWh[지역명],X$3)</f>
        <v/>
      </c>
      <c r="Y7" s="46">
        <f>AVERAGE(O7:X7)</f>
        <v/>
      </c>
    </row>
    <row r="8" ht="16" customHeight="1">
      <c r="A8" s="17" t="inlineStr">
        <is>
          <t>2016-05</t>
        </is>
      </c>
      <c r="B8" s="41">
        <f>SUMIFS(RawDataKWh[일사합_kWh_m2],RawDataKWh[연월],$A8,RawDataKWh[지역명],B$3)</f>
        <v/>
      </c>
      <c r="C8" s="41">
        <f>SUMIFS(RawDataKWh[일사합_kWh_m2],RawDataKWh[연월],$A8,RawDataKWh[지역명],C$3)</f>
        <v/>
      </c>
      <c r="D8" s="41">
        <f>SUMIFS(RawDataKWh[일사합_kWh_m2],RawDataKWh[연월],$A8,RawDataKWh[지역명],D$3)</f>
        <v/>
      </c>
      <c r="E8" s="41">
        <f>SUMIFS(RawDataKWh[일사합_kWh_m2],RawDataKWh[연월],$A8,RawDataKWh[지역명],E$3)</f>
        <v/>
      </c>
      <c r="F8" s="41">
        <f>SUMIFS(RawDataKWh[일사합_kWh_m2],RawDataKWh[연월],$A8,RawDataKWh[지역명],F$3)</f>
        <v/>
      </c>
      <c r="G8" s="41">
        <f>SUMIFS(RawDataKWh[일사합_kWh_m2],RawDataKWh[연월],$A8,RawDataKWh[지역명],G$3)</f>
        <v/>
      </c>
      <c r="H8" s="41">
        <f>SUMIFS(RawDataKWh[일사합_kWh_m2],RawDataKWh[연월],$A8,RawDataKWh[지역명],H$3)</f>
        <v/>
      </c>
      <c r="I8" s="41">
        <f>SUMIFS(RawDataKWh[일사합_kWh_m2],RawDataKWh[연월],$A8,RawDataKWh[지역명],I$3)</f>
        <v/>
      </c>
      <c r="J8" s="41">
        <f>SUMIFS(RawDataKWh[일사합_kWh_m2],RawDataKWh[연월],$A8,RawDataKWh[지역명],J$3)</f>
        <v/>
      </c>
      <c r="K8" s="41">
        <f>SUMIFS(RawDataKWh[일사합_kWh_m2],RawDataKWh[연월],$A8,RawDataKWh[지역명],K$3)</f>
        <v/>
      </c>
      <c r="L8" s="41">
        <f>AVERAGE(B8:K8)</f>
        <v/>
      </c>
      <c r="N8" s="17">
        <f>$A8</f>
        <v/>
      </c>
      <c r="O8" s="42">
        <f>AVERAGEIFS(RawDataKWh[일평균_일사합_kWh_m2],RawDataKWh[연월],$A8,RawDataKWh[지역명],O$3)</f>
        <v/>
      </c>
      <c r="P8" s="42">
        <f>AVERAGEIFS(RawDataKWh[일평균_일사합_kWh_m2],RawDataKWh[연월],$A8,RawDataKWh[지역명],P$3)</f>
        <v/>
      </c>
      <c r="Q8" s="42">
        <f>AVERAGEIFS(RawDataKWh[일평균_일사합_kWh_m2],RawDataKWh[연월],$A8,RawDataKWh[지역명],Q$3)</f>
        <v/>
      </c>
      <c r="R8" s="42">
        <f>AVERAGEIFS(RawDataKWh[일평균_일사합_kWh_m2],RawDataKWh[연월],$A8,RawDataKWh[지역명],R$3)</f>
        <v/>
      </c>
      <c r="S8" s="42">
        <f>AVERAGEIFS(RawDataKWh[일평균_일사합_kWh_m2],RawDataKWh[연월],$A8,RawDataKWh[지역명],S$3)</f>
        <v/>
      </c>
      <c r="T8" s="42">
        <f>AVERAGEIFS(RawDataKWh[일평균_일사합_kWh_m2],RawDataKWh[연월],$A8,RawDataKWh[지역명],T$3)</f>
        <v/>
      </c>
      <c r="U8" s="42">
        <f>AVERAGEIFS(RawDataKWh[일평균_일사합_kWh_m2],RawDataKWh[연월],$A8,RawDataKWh[지역명],U$3)</f>
        <v/>
      </c>
      <c r="V8" s="42">
        <f>AVERAGEIFS(RawDataKWh[일평균_일사합_kWh_m2],RawDataKWh[연월],$A8,RawDataKWh[지역명],V$3)</f>
        <v/>
      </c>
      <c r="W8" s="42">
        <f>AVERAGEIFS(RawDataKWh[일평균_일사합_kWh_m2],RawDataKWh[연월],$A8,RawDataKWh[지역명],W$3)</f>
        <v/>
      </c>
      <c r="X8" s="42">
        <f>AVERAGEIFS(RawDataKWh[일평균_일사합_kWh_m2],RawDataKWh[연월],$A8,RawDataKWh[지역명],X$3)</f>
        <v/>
      </c>
      <c r="Y8" s="42">
        <f>AVERAGE(O8:X8)</f>
        <v/>
      </c>
    </row>
    <row r="9" ht="16" customHeight="1">
      <c r="A9" s="19" t="inlineStr">
        <is>
          <t>2016-06</t>
        </is>
      </c>
      <c r="B9" s="45">
        <f>SUMIFS(RawDataKWh[일사합_kWh_m2],RawDataKWh[연월],$A9,RawDataKWh[지역명],B$3)</f>
        <v/>
      </c>
      <c r="C9" s="45">
        <f>SUMIFS(RawDataKWh[일사합_kWh_m2],RawDataKWh[연월],$A9,RawDataKWh[지역명],C$3)</f>
        <v/>
      </c>
      <c r="D9" s="45">
        <f>SUMIFS(RawDataKWh[일사합_kWh_m2],RawDataKWh[연월],$A9,RawDataKWh[지역명],D$3)</f>
        <v/>
      </c>
      <c r="E9" s="45">
        <f>SUMIFS(RawDataKWh[일사합_kWh_m2],RawDataKWh[연월],$A9,RawDataKWh[지역명],E$3)</f>
        <v/>
      </c>
      <c r="F9" s="45">
        <f>SUMIFS(RawDataKWh[일사합_kWh_m2],RawDataKWh[연월],$A9,RawDataKWh[지역명],F$3)</f>
        <v/>
      </c>
      <c r="G9" s="45">
        <f>SUMIFS(RawDataKWh[일사합_kWh_m2],RawDataKWh[연월],$A9,RawDataKWh[지역명],G$3)</f>
        <v/>
      </c>
      <c r="H9" s="45">
        <f>SUMIFS(RawDataKWh[일사합_kWh_m2],RawDataKWh[연월],$A9,RawDataKWh[지역명],H$3)</f>
        <v/>
      </c>
      <c r="I9" s="45">
        <f>SUMIFS(RawDataKWh[일사합_kWh_m2],RawDataKWh[연월],$A9,RawDataKWh[지역명],I$3)</f>
        <v/>
      </c>
      <c r="J9" s="45">
        <f>SUMIFS(RawDataKWh[일사합_kWh_m2],RawDataKWh[연월],$A9,RawDataKWh[지역명],J$3)</f>
        <v/>
      </c>
      <c r="K9" s="45">
        <f>SUMIFS(RawDataKWh[일사합_kWh_m2],RawDataKWh[연월],$A9,RawDataKWh[지역명],K$3)</f>
        <v/>
      </c>
      <c r="L9" s="45">
        <f>AVERAGE(B9:K9)</f>
        <v/>
      </c>
      <c r="N9" s="19">
        <f>$A9</f>
        <v/>
      </c>
      <c r="O9" s="46">
        <f>AVERAGEIFS(RawDataKWh[일평균_일사합_kWh_m2],RawDataKWh[연월],$A9,RawDataKWh[지역명],O$3)</f>
        <v/>
      </c>
      <c r="P9" s="46">
        <f>AVERAGEIFS(RawDataKWh[일평균_일사합_kWh_m2],RawDataKWh[연월],$A9,RawDataKWh[지역명],P$3)</f>
        <v/>
      </c>
      <c r="Q9" s="46">
        <f>AVERAGEIFS(RawDataKWh[일평균_일사합_kWh_m2],RawDataKWh[연월],$A9,RawDataKWh[지역명],Q$3)</f>
        <v/>
      </c>
      <c r="R9" s="46">
        <f>AVERAGEIFS(RawDataKWh[일평균_일사합_kWh_m2],RawDataKWh[연월],$A9,RawDataKWh[지역명],R$3)</f>
        <v/>
      </c>
      <c r="S9" s="46">
        <f>AVERAGEIFS(RawDataKWh[일평균_일사합_kWh_m2],RawDataKWh[연월],$A9,RawDataKWh[지역명],S$3)</f>
        <v/>
      </c>
      <c r="T9" s="46">
        <f>AVERAGEIFS(RawDataKWh[일평균_일사합_kWh_m2],RawDataKWh[연월],$A9,RawDataKWh[지역명],T$3)</f>
        <v/>
      </c>
      <c r="U9" s="46">
        <f>AVERAGEIFS(RawDataKWh[일평균_일사합_kWh_m2],RawDataKWh[연월],$A9,RawDataKWh[지역명],U$3)</f>
        <v/>
      </c>
      <c r="V9" s="46">
        <f>AVERAGEIFS(RawDataKWh[일평균_일사합_kWh_m2],RawDataKWh[연월],$A9,RawDataKWh[지역명],V$3)</f>
        <v/>
      </c>
      <c r="W9" s="46">
        <f>AVERAGEIFS(RawDataKWh[일평균_일사합_kWh_m2],RawDataKWh[연월],$A9,RawDataKWh[지역명],W$3)</f>
        <v/>
      </c>
      <c r="X9" s="46">
        <f>AVERAGEIFS(RawDataKWh[일평균_일사합_kWh_m2],RawDataKWh[연월],$A9,RawDataKWh[지역명],X$3)</f>
        <v/>
      </c>
      <c r="Y9" s="46">
        <f>AVERAGE(O9:X9)</f>
        <v/>
      </c>
    </row>
    <row r="10" ht="16" customHeight="1">
      <c r="A10" s="17" t="inlineStr">
        <is>
          <t>2016-07</t>
        </is>
      </c>
      <c r="B10" s="41">
        <f>SUMIFS(RawDataKWh[일사합_kWh_m2],RawDataKWh[연월],$A10,RawDataKWh[지역명],B$3)</f>
        <v/>
      </c>
      <c r="C10" s="41">
        <f>SUMIFS(RawDataKWh[일사합_kWh_m2],RawDataKWh[연월],$A10,RawDataKWh[지역명],C$3)</f>
        <v/>
      </c>
      <c r="D10" s="41">
        <f>SUMIFS(RawDataKWh[일사합_kWh_m2],RawDataKWh[연월],$A10,RawDataKWh[지역명],D$3)</f>
        <v/>
      </c>
      <c r="E10" s="41">
        <f>SUMIFS(RawDataKWh[일사합_kWh_m2],RawDataKWh[연월],$A10,RawDataKWh[지역명],E$3)</f>
        <v/>
      </c>
      <c r="F10" s="41">
        <f>SUMIFS(RawDataKWh[일사합_kWh_m2],RawDataKWh[연월],$A10,RawDataKWh[지역명],F$3)</f>
        <v/>
      </c>
      <c r="G10" s="41">
        <f>SUMIFS(RawDataKWh[일사합_kWh_m2],RawDataKWh[연월],$A10,RawDataKWh[지역명],G$3)</f>
        <v/>
      </c>
      <c r="H10" s="41">
        <f>SUMIFS(RawDataKWh[일사합_kWh_m2],RawDataKWh[연월],$A10,RawDataKWh[지역명],H$3)</f>
        <v/>
      </c>
      <c r="I10" s="41">
        <f>SUMIFS(RawDataKWh[일사합_kWh_m2],RawDataKWh[연월],$A10,RawDataKWh[지역명],I$3)</f>
        <v/>
      </c>
      <c r="J10" s="41">
        <f>SUMIFS(RawDataKWh[일사합_kWh_m2],RawDataKWh[연월],$A10,RawDataKWh[지역명],J$3)</f>
        <v/>
      </c>
      <c r="K10" s="41">
        <f>SUMIFS(RawDataKWh[일사합_kWh_m2],RawDataKWh[연월],$A10,RawDataKWh[지역명],K$3)</f>
        <v/>
      </c>
      <c r="L10" s="41">
        <f>AVERAGE(B10:K10)</f>
        <v/>
      </c>
      <c r="N10" s="17">
        <f>$A10</f>
        <v/>
      </c>
      <c r="O10" s="42">
        <f>AVERAGEIFS(RawDataKWh[일평균_일사합_kWh_m2],RawDataKWh[연월],$A10,RawDataKWh[지역명],O$3)</f>
        <v/>
      </c>
      <c r="P10" s="42">
        <f>AVERAGEIFS(RawDataKWh[일평균_일사합_kWh_m2],RawDataKWh[연월],$A10,RawDataKWh[지역명],P$3)</f>
        <v/>
      </c>
      <c r="Q10" s="42">
        <f>AVERAGEIFS(RawDataKWh[일평균_일사합_kWh_m2],RawDataKWh[연월],$A10,RawDataKWh[지역명],Q$3)</f>
        <v/>
      </c>
      <c r="R10" s="42">
        <f>AVERAGEIFS(RawDataKWh[일평균_일사합_kWh_m2],RawDataKWh[연월],$A10,RawDataKWh[지역명],R$3)</f>
        <v/>
      </c>
      <c r="S10" s="42">
        <f>AVERAGEIFS(RawDataKWh[일평균_일사합_kWh_m2],RawDataKWh[연월],$A10,RawDataKWh[지역명],S$3)</f>
        <v/>
      </c>
      <c r="T10" s="42">
        <f>AVERAGEIFS(RawDataKWh[일평균_일사합_kWh_m2],RawDataKWh[연월],$A10,RawDataKWh[지역명],T$3)</f>
        <v/>
      </c>
      <c r="U10" s="42">
        <f>AVERAGEIFS(RawDataKWh[일평균_일사합_kWh_m2],RawDataKWh[연월],$A10,RawDataKWh[지역명],U$3)</f>
        <v/>
      </c>
      <c r="V10" s="42">
        <f>AVERAGEIFS(RawDataKWh[일평균_일사합_kWh_m2],RawDataKWh[연월],$A10,RawDataKWh[지역명],V$3)</f>
        <v/>
      </c>
      <c r="W10" s="42">
        <f>AVERAGEIFS(RawDataKWh[일평균_일사합_kWh_m2],RawDataKWh[연월],$A10,RawDataKWh[지역명],W$3)</f>
        <v/>
      </c>
      <c r="X10" s="42">
        <f>AVERAGEIFS(RawDataKWh[일평균_일사합_kWh_m2],RawDataKWh[연월],$A10,RawDataKWh[지역명],X$3)</f>
        <v/>
      </c>
      <c r="Y10" s="42">
        <f>AVERAGE(O10:X10)</f>
        <v/>
      </c>
    </row>
    <row r="11" ht="16" customHeight="1">
      <c r="A11" s="19" t="inlineStr">
        <is>
          <t>2016-08</t>
        </is>
      </c>
      <c r="B11" s="45">
        <f>SUMIFS(RawDataKWh[일사합_kWh_m2],RawDataKWh[연월],$A11,RawDataKWh[지역명],B$3)</f>
        <v/>
      </c>
      <c r="C11" s="45">
        <f>SUMIFS(RawDataKWh[일사합_kWh_m2],RawDataKWh[연월],$A11,RawDataKWh[지역명],C$3)</f>
        <v/>
      </c>
      <c r="D11" s="45">
        <f>SUMIFS(RawDataKWh[일사합_kWh_m2],RawDataKWh[연월],$A11,RawDataKWh[지역명],D$3)</f>
        <v/>
      </c>
      <c r="E11" s="45">
        <f>SUMIFS(RawDataKWh[일사합_kWh_m2],RawDataKWh[연월],$A11,RawDataKWh[지역명],E$3)</f>
        <v/>
      </c>
      <c r="F11" s="45">
        <f>SUMIFS(RawDataKWh[일사합_kWh_m2],RawDataKWh[연월],$A11,RawDataKWh[지역명],F$3)</f>
        <v/>
      </c>
      <c r="G11" s="45">
        <f>SUMIFS(RawDataKWh[일사합_kWh_m2],RawDataKWh[연월],$A11,RawDataKWh[지역명],G$3)</f>
        <v/>
      </c>
      <c r="H11" s="45">
        <f>SUMIFS(RawDataKWh[일사합_kWh_m2],RawDataKWh[연월],$A11,RawDataKWh[지역명],H$3)</f>
        <v/>
      </c>
      <c r="I11" s="45">
        <f>SUMIFS(RawDataKWh[일사합_kWh_m2],RawDataKWh[연월],$A11,RawDataKWh[지역명],I$3)</f>
        <v/>
      </c>
      <c r="J11" s="45">
        <f>SUMIFS(RawDataKWh[일사합_kWh_m2],RawDataKWh[연월],$A11,RawDataKWh[지역명],J$3)</f>
        <v/>
      </c>
      <c r="K11" s="45">
        <f>SUMIFS(RawDataKWh[일사합_kWh_m2],RawDataKWh[연월],$A11,RawDataKWh[지역명],K$3)</f>
        <v/>
      </c>
      <c r="L11" s="45">
        <f>AVERAGE(B11:K11)</f>
        <v/>
      </c>
      <c r="N11" s="19">
        <f>$A11</f>
        <v/>
      </c>
      <c r="O11" s="46">
        <f>AVERAGEIFS(RawDataKWh[일평균_일사합_kWh_m2],RawDataKWh[연월],$A11,RawDataKWh[지역명],O$3)</f>
        <v/>
      </c>
      <c r="P11" s="46">
        <f>AVERAGEIFS(RawDataKWh[일평균_일사합_kWh_m2],RawDataKWh[연월],$A11,RawDataKWh[지역명],P$3)</f>
        <v/>
      </c>
      <c r="Q11" s="46">
        <f>AVERAGEIFS(RawDataKWh[일평균_일사합_kWh_m2],RawDataKWh[연월],$A11,RawDataKWh[지역명],Q$3)</f>
        <v/>
      </c>
      <c r="R11" s="46">
        <f>AVERAGEIFS(RawDataKWh[일평균_일사합_kWh_m2],RawDataKWh[연월],$A11,RawDataKWh[지역명],R$3)</f>
        <v/>
      </c>
      <c r="S11" s="46">
        <f>AVERAGEIFS(RawDataKWh[일평균_일사합_kWh_m2],RawDataKWh[연월],$A11,RawDataKWh[지역명],S$3)</f>
        <v/>
      </c>
      <c r="T11" s="46">
        <f>AVERAGEIFS(RawDataKWh[일평균_일사합_kWh_m2],RawDataKWh[연월],$A11,RawDataKWh[지역명],T$3)</f>
        <v/>
      </c>
      <c r="U11" s="46">
        <f>AVERAGEIFS(RawDataKWh[일평균_일사합_kWh_m2],RawDataKWh[연월],$A11,RawDataKWh[지역명],U$3)</f>
        <v/>
      </c>
      <c r="V11" s="46">
        <f>AVERAGEIFS(RawDataKWh[일평균_일사합_kWh_m2],RawDataKWh[연월],$A11,RawDataKWh[지역명],V$3)</f>
        <v/>
      </c>
      <c r="W11" s="46">
        <f>AVERAGEIFS(RawDataKWh[일평균_일사합_kWh_m2],RawDataKWh[연월],$A11,RawDataKWh[지역명],W$3)</f>
        <v/>
      </c>
      <c r="X11" s="46">
        <f>AVERAGEIFS(RawDataKWh[일평균_일사합_kWh_m2],RawDataKWh[연월],$A11,RawDataKWh[지역명],X$3)</f>
        <v/>
      </c>
      <c r="Y11" s="46">
        <f>AVERAGE(O11:X11)</f>
        <v/>
      </c>
    </row>
    <row r="12" ht="16" customHeight="1">
      <c r="A12" s="17" t="inlineStr">
        <is>
          <t>2016-09</t>
        </is>
      </c>
      <c r="B12" s="41">
        <f>SUMIFS(RawDataKWh[일사합_kWh_m2],RawDataKWh[연월],$A12,RawDataKWh[지역명],B$3)</f>
        <v/>
      </c>
      <c r="C12" s="41">
        <f>SUMIFS(RawDataKWh[일사합_kWh_m2],RawDataKWh[연월],$A12,RawDataKWh[지역명],C$3)</f>
        <v/>
      </c>
      <c r="D12" s="41">
        <f>SUMIFS(RawDataKWh[일사합_kWh_m2],RawDataKWh[연월],$A12,RawDataKWh[지역명],D$3)</f>
        <v/>
      </c>
      <c r="E12" s="41">
        <f>SUMIFS(RawDataKWh[일사합_kWh_m2],RawDataKWh[연월],$A12,RawDataKWh[지역명],E$3)</f>
        <v/>
      </c>
      <c r="F12" s="41">
        <f>SUMIFS(RawDataKWh[일사합_kWh_m2],RawDataKWh[연월],$A12,RawDataKWh[지역명],F$3)</f>
        <v/>
      </c>
      <c r="G12" s="41">
        <f>SUMIFS(RawDataKWh[일사합_kWh_m2],RawDataKWh[연월],$A12,RawDataKWh[지역명],G$3)</f>
        <v/>
      </c>
      <c r="H12" s="41">
        <f>SUMIFS(RawDataKWh[일사합_kWh_m2],RawDataKWh[연월],$A12,RawDataKWh[지역명],H$3)</f>
        <v/>
      </c>
      <c r="I12" s="41">
        <f>SUMIFS(RawDataKWh[일사합_kWh_m2],RawDataKWh[연월],$A12,RawDataKWh[지역명],I$3)</f>
        <v/>
      </c>
      <c r="J12" s="41">
        <f>SUMIFS(RawDataKWh[일사합_kWh_m2],RawDataKWh[연월],$A12,RawDataKWh[지역명],J$3)</f>
        <v/>
      </c>
      <c r="K12" s="41">
        <f>SUMIFS(RawDataKWh[일사합_kWh_m2],RawDataKWh[연월],$A12,RawDataKWh[지역명],K$3)</f>
        <v/>
      </c>
      <c r="L12" s="41">
        <f>AVERAGE(B12:K12)</f>
        <v/>
      </c>
      <c r="N12" s="17">
        <f>$A12</f>
        <v/>
      </c>
      <c r="O12" s="42">
        <f>AVERAGEIFS(RawDataKWh[일평균_일사합_kWh_m2],RawDataKWh[연월],$A12,RawDataKWh[지역명],O$3)</f>
        <v/>
      </c>
      <c r="P12" s="42">
        <f>AVERAGEIFS(RawDataKWh[일평균_일사합_kWh_m2],RawDataKWh[연월],$A12,RawDataKWh[지역명],P$3)</f>
        <v/>
      </c>
      <c r="Q12" s="42">
        <f>AVERAGEIFS(RawDataKWh[일평균_일사합_kWh_m2],RawDataKWh[연월],$A12,RawDataKWh[지역명],Q$3)</f>
        <v/>
      </c>
      <c r="R12" s="42">
        <f>AVERAGEIFS(RawDataKWh[일평균_일사합_kWh_m2],RawDataKWh[연월],$A12,RawDataKWh[지역명],R$3)</f>
        <v/>
      </c>
      <c r="S12" s="42">
        <f>AVERAGEIFS(RawDataKWh[일평균_일사합_kWh_m2],RawDataKWh[연월],$A12,RawDataKWh[지역명],S$3)</f>
        <v/>
      </c>
      <c r="T12" s="42">
        <f>AVERAGEIFS(RawDataKWh[일평균_일사합_kWh_m2],RawDataKWh[연월],$A12,RawDataKWh[지역명],T$3)</f>
        <v/>
      </c>
      <c r="U12" s="42">
        <f>AVERAGEIFS(RawDataKWh[일평균_일사합_kWh_m2],RawDataKWh[연월],$A12,RawDataKWh[지역명],U$3)</f>
        <v/>
      </c>
      <c r="V12" s="42">
        <f>AVERAGEIFS(RawDataKWh[일평균_일사합_kWh_m2],RawDataKWh[연월],$A12,RawDataKWh[지역명],V$3)</f>
        <v/>
      </c>
      <c r="W12" s="42">
        <f>AVERAGEIFS(RawDataKWh[일평균_일사합_kWh_m2],RawDataKWh[연월],$A12,RawDataKWh[지역명],W$3)</f>
        <v/>
      </c>
      <c r="X12" s="42">
        <f>AVERAGEIFS(RawDataKWh[일평균_일사합_kWh_m2],RawDataKWh[연월],$A12,RawDataKWh[지역명],X$3)</f>
        <v/>
      </c>
      <c r="Y12" s="42">
        <f>AVERAGE(O12:X12)</f>
        <v/>
      </c>
    </row>
    <row r="13" ht="16" customHeight="1">
      <c r="A13" s="19" t="inlineStr">
        <is>
          <t>2016-10</t>
        </is>
      </c>
      <c r="B13" s="45">
        <f>SUMIFS(RawDataKWh[일사합_kWh_m2],RawDataKWh[연월],$A13,RawDataKWh[지역명],B$3)</f>
        <v/>
      </c>
      <c r="C13" s="45">
        <f>SUMIFS(RawDataKWh[일사합_kWh_m2],RawDataKWh[연월],$A13,RawDataKWh[지역명],C$3)</f>
        <v/>
      </c>
      <c r="D13" s="45">
        <f>SUMIFS(RawDataKWh[일사합_kWh_m2],RawDataKWh[연월],$A13,RawDataKWh[지역명],D$3)</f>
        <v/>
      </c>
      <c r="E13" s="45">
        <f>SUMIFS(RawDataKWh[일사합_kWh_m2],RawDataKWh[연월],$A13,RawDataKWh[지역명],E$3)</f>
        <v/>
      </c>
      <c r="F13" s="45">
        <f>SUMIFS(RawDataKWh[일사합_kWh_m2],RawDataKWh[연월],$A13,RawDataKWh[지역명],F$3)</f>
        <v/>
      </c>
      <c r="G13" s="45">
        <f>SUMIFS(RawDataKWh[일사합_kWh_m2],RawDataKWh[연월],$A13,RawDataKWh[지역명],G$3)</f>
        <v/>
      </c>
      <c r="H13" s="45">
        <f>SUMIFS(RawDataKWh[일사합_kWh_m2],RawDataKWh[연월],$A13,RawDataKWh[지역명],H$3)</f>
        <v/>
      </c>
      <c r="I13" s="45">
        <f>SUMIFS(RawDataKWh[일사합_kWh_m2],RawDataKWh[연월],$A13,RawDataKWh[지역명],I$3)</f>
        <v/>
      </c>
      <c r="J13" s="45">
        <f>SUMIFS(RawDataKWh[일사합_kWh_m2],RawDataKWh[연월],$A13,RawDataKWh[지역명],J$3)</f>
        <v/>
      </c>
      <c r="K13" s="45">
        <f>SUMIFS(RawDataKWh[일사합_kWh_m2],RawDataKWh[연월],$A13,RawDataKWh[지역명],K$3)</f>
        <v/>
      </c>
      <c r="L13" s="45">
        <f>AVERAGE(B13:K13)</f>
        <v/>
      </c>
      <c r="N13" s="19">
        <f>$A13</f>
        <v/>
      </c>
      <c r="O13" s="46">
        <f>AVERAGEIFS(RawDataKWh[일평균_일사합_kWh_m2],RawDataKWh[연월],$A13,RawDataKWh[지역명],O$3)</f>
        <v/>
      </c>
      <c r="P13" s="46">
        <f>AVERAGEIFS(RawDataKWh[일평균_일사합_kWh_m2],RawDataKWh[연월],$A13,RawDataKWh[지역명],P$3)</f>
        <v/>
      </c>
      <c r="Q13" s="46">
        <f>AVERAGEIFS(RawDataKWh[일평균_일사합_kWh_m2],RawDataKWh[연월],$A13,RawDataKWh[지역명],Q$3)</f>
        <v/>
      </c>
      <c r="R13" s="46">
        <f>AVERAGEIFS(RawDataKWh[일평균_일사합_kWh_m2],RawDataKWh[연월],$A13,RawDataKWh[지역명],R$3)</f>
        <v/>
      </c>
      <c r="S13" s="46">
        <f>AVERAGEIFS(RawDataKWh[일평균_일사합_kWh_m2],RawDataKWh[연월],$A13,RawDataKWh[지역명],S$3)</f>
        <v/>
      </c>
      <c r="T13" s="46">
        <f>AVERAGEIFS(RawDataKWh[일평균_일사합_kWh_m2],RawDataKWh[연월],$A13,RawDataKWh[지역명],T$3)</f>
        <v/>
      </c>
      <c r="U13" s="46">
        <f>AVERAGEIFS(RawDataKWh[일평균_일사합_kWh_m2],RawDataKWh[연월],$A13,RawDataKWh[지역명],U$3)</f>
        <v/>
      </c>
      <c r="V13" s="46">
        <f>AVERAGEIFS(RawDataKWh[일평균_일사합_kWh_m2],RawDataKWh[연월],$A13,RawDataKWh[지역명],V$3)</f>
        <v/>
      </c>
      <c r="W13" s="46">
        <f>AVERAGEIFS(RawDataKWh[일평균_일사합_kWh_m2],RawDataKWh[연월],$A13,RawDataKWh[지역명],W$3)</f>
        <v/>
      </c>
      <c r="X13" s="46">
        <f>AVERAGEIFS(RawDataKWh[일평균_일사합_kWh_m2],RawDataKWh[연월],$A13,RawDataKWh[지역명],X$3)</f>
        <v/>
      </c>
      <c r="Y13" s="46">
        <f>AVERAGE(O13:X13)</f>
        <v/>
      </c>
    </row>
    <row r="14" ht="16" customHeight="1">
      <c r="A14" s="17" t="inlineStr">
        <is>
          <t>2016-11</t>
        </is>
      </c>
      <c r="B14" s="41">
        <f>SUMIFS(RawDataKWh[일사합_kWh_m2],RawDataKWh[연월],$A14,RawDataKWh[지역명],B$3)</f>
        <v/>
      </c>
      <c r="C14" s="41">
        <f>SUMIFS(RawDataKWh[일사합_kWh_m2],RawDataKWh[연월],$A14,RawDataKWh[지역명],C$3)</f>
        <v/>
      </c>
      <c r="D14" s="41">
        <f>SUMIFS(RawDataKWh[일사합_kWh_m2],RawDataKWh[연월],$A14,RawDataKWh[지역명],D$3)</f>
        <v/>
      </c>
      <c r="E14" s="41">
        <f>SUMIFS(RawDataKWh[일사합_kWh_m2],RawDataKWh[연월],$A14,RawDataKWh[지역명],E$3)</f>
        <v/>
      </c>
      <c r="F14" s="41">
        <f>SUMIFS(RawDataKWh[일사합_kWh_m2],RawDataKWh[연월],$A14,RawDataKWh[지역명],F$3)</f>
        <v/>
      </c>
      <c r="G14" s="41">
        <f>SUMIFS(RawDataKWh[일사합_kWh_m2],RawDataKWh[연월],$A14,RawDataKWh[지역명],G$3)</f>
        <v/>
      </c>
      <c r="H14" s="41">
        <f>SUMIFS(RawDataKWh[일사합_kWh_m2],RawDataKWh[연월],$A14,RawDataKWh[지역명],H$3)</f>
        <v/>
      </c>
      <c r="I14" s="41">
        <f>SUMIFS(RawDataKWh[일사합_kWh_m2],RawDataKWh[연월],$A14,RawDataKWh[지역명],I$3)</f>
        <v/>
      </c>
      <c r="J14" s="41">
        <f>SUMIFS(RawDataKWh[일사합_kWh_m2],RawDataKWh[연월],$A14,RawDataKWh[지역명],J$3)</f>
        <v/>
      </c>
      <c r="K14" s="41">
        <f>SUMIFS(RawDataKWh[일사합_kWh_m2],RawDataKWh[연월],$A14,RawDataKWh[지역명],K$3)</f>
        <v/>
      </c>
      <c r="L14" s="41">
        <f>AVERAGE(B14:K14)</f>
        <v/>
      </c>
      <c r="N14" s="17">
        <f>$A14</f>
        <v/>
      </c>
      <c r="O14" s="42">
        <f>AVERAGEIFS(RawDataKWh[일평균_일사합_kWh_m2],RawDataKWh[연월],$A14,RawDataKWh[지역명],O$3)</f>
        <v/>
      </c>
      <c r="P14" s="42">
        <f>AVERAGEIFS(RawDataKWh[일평균_일사합_kWh_m2],RawDataKWh[연월],$A14,RawDataKWh[지역명],P$3)</f>
        <v/>
      </c>
      <c r="Q14" s="42">
        <f>AVERAGEIFS(RawDataKWh[일평균_일사합_kWh_m2],RawDataKWh[연월],$A14,RawDataKWh[지역명],Q$3)</f>
        <v/>
      </c>
      <c r="R14" s="42">
        <f>AVERAGEIFS(RawDataKWh[일평균_일사합_kWh_m2],RawDataKWh[연월],$A14,RawDataKWh[지역명],R$3)</f>
        <v/>
      </c>
      <c r="S14" s="42">
        <f>AVERAGEIFS(RawDataKWh[일평균_일사합_kWh_m2],RawDataKWh[연월],$A14,RawDataKWh[지역명],S$3)</f>
        <v/>
      </c>
      <c r="T14" s="42">
        <f>AVERAGEIFS(RawDataKWh[일평균_일사합_kWh_m2],RawDataKWh[연월],$A14,RawDataKWh[지역명],T$3)</f>
        <v/>
      </c>
      <c r="U14" s="42">
        <f>AVERAGEIFS(RawDataKWh[일평균_일사합_kWh_m2],RawDataKWh[연월],$A14,RawDataKWh[지역명],U$3)</f>
        <v/>
      </c>
      <c r="V14" s="42">
        <f>AVERAGEIFS(RawDataKWh[일평균_일사합_kWh_m2],RawDataKWh[연월],$A14,RawDataKWh[지역명],V$3)</f>
        <v/>
      </c>
      <c r="W14" s="42">
        <f>AVERAGEIFS(RawDataKWh[일평균_일사합_kWh_m2],RawDataKWh[연월],$A14,RawDataKWh[지역명],W$3)</f>
        <v/>
      </c>
      <c r="X14" s="42">
        <f>AVERAGEIFS(RawDataKWh[일평균_일사합_kWh_m2],RawDataKWh[연월],$A14,RawDataKWh[지역명],X$3)</f>
        <v/>
      </c>
      <c r="Y14" s="42">
        <f>AVERAGE(O14:X14)</f>
        <v/>
      </c>
    </row>
    <row r="15" ht="16" customHeight="1">
      <c r="A15" s="19" t="inlineStr">
        <is>
          <t>2016-12</t>
        </is>
      </c>
      <c r="B15" s="45">
        <f>SUMIFS(RawDataKWh[일사합_kWh_m2],RawDataKWh[연월],$A15,RawDataKWh[지역명],B$3)</f>
        <v/>
      </c>
      <c r="C15" s="45">
        <f>SUMIFS(RawDataKWh[일사합_kWh_m2],RawDataKWh[연월],$A15,RawDataKWh[지역명],C$3)</f>
        <v/>
      </c>
      <c r="D15" s="45">
        <f>SUMIFS(RawDataKWh[일사합_kWh_m2],RawDataKWh[연월],$A15,RawDataKWh[지역명],D$3)</f>
        <v/>
      </c>
      <c r="E15" s="45">
        <f>SUMIFS(RawDataKWh[일사합_kWh_m2],RawDataKWh[연월],$A15,RawDataKWh[지역명],E$3)</f>
        <v/>
      </c>
      <c r="F15" s="45">
        <f>SUMIFS(RawDataKWh[일사합_kWh_m2],RawDataKWh[연월],$A15,RawDataKWh[지역명],F$3)</f>
        <v/>
      </c>
      <c r="G15" s="45">
        <f>SUMIFS(RawDataKWh[일사합_kWh_m2],RawDataKWh[연월],$A15,RawDataKWh[지역명],G$3)</f>
        <v/>
      </c>
      <c r="H15" s="45">
        <f>SUMIFS(RawDataKWh[일사합_kWh_m2],RawDataKWh[연월],$A15,RawDataKWh[지역명],H$3)</f>
        <v/>
      </c>
      <c r="I15" s="45">
        <f>SUMIFS(RawDataKWh[일사합_kWh_m2],RawDataKWh[연월],$A15,RawDataKWh[지역명],I$3)</f>
        <v/>
      </c>
      <c r="J15" s="45">
        <f>SUMIFS(RawDataKWh[일사합_kWh_m2],RawDataKWh[연월],$A15,RawDataKWh[지역명],J$3)</f>
        <v/>
      </c>
      <c r="K15" s="45">
        <f>SUMIFS(RawDataKWh[일사합_kWh_m2],RawDataKWh[연월],$A15,RawDataKWh[지역명],K$3)</f>
        <v/>
      </c>
      <c r="L15" s="45">
        <f>AVERAGE(B15:K15)</f>
        <v/>
      </c>
      <c r="N15" s="19">
        <f>$A15</f>
        <v/>
      </c>
      <c r="O15" s="46">
        <f>AVERAGEIFS(RawDataKWh[일평균_일사합_kWh_m2],RawDataKWh[연월],$A15,RawDataKWh[지역명],O$3)</f>
        <v/>
      </c>
      <c r="P15" s="46">
        <f>AVERAGEIFS(RawDataKWh[일평균_일사합_kWh_m2],RawDataKWh[연월],$A15,RawDataKWh[지역명],P$3)</f>
        <v/>
      </c>
      <c r="Q15" s="46">
        <f>AVERAGEIFS(RawDataKWh[일평균_일사합_kWh_m2],RawDataKWh[연월],$A15,RawDataKWh[지역명],Q$3)</f>
        <v/>
      </c>
      <c r="R15" s="46">
        <f>AVERAGEIFS(RawDataKWh[일평균_일사합_kWh_m2],RawDataKWh[연월],$A15,RawDataKWh[지역명],R$3)</f>
        <v/>
      </c>
      <c r="S15" s="46">
        <f>AVERAGEIFS(RawDataKWh[일평균_일사합_kWh_m2],RawDataKWh[연월],$A15,RawDataKWh[지역명],S$3)</f>
        <v/>
      </c>
      <c r="T15" s="46">
        <f>AVERAGEIFS(RawDataKWh[일평균_일사합_kWh_m2],RawDataKWh[연월],$A15,RawDataKWh[지역명],T$3)</f>
        <v/>
      </c>
      <c r="U15" s="46">
        <f>AVERAGEIFS(RawDataKWh[일평균_일사합_kWh_m2],RawDataKWh[연월],$A15,RawDataKWh[지역명],U$3)</f>
        <v/>
      </c>
      <c r="V15" s="46">
        <f>AVERAGEIFS(RawDataKWh[일평균_일사합_kWh_m2],RawDataKWh[연월],$A15,RawDataKWh[지역명],V$3)</f>
        <v/>
      </c>
      <c r="W15" s="46">
        <f>AVERAGEIFS(RawDataKWh[일평균_일사합_kWh_m2],RawDataKWh[연월],$A15,RawDataKWh[지역명],W$3)</f>
        <v/>
      </c>
      <c r="X15" s="46">
        <f>AVERAGEIFS(RawDataKWh[일평균_일사합_kWh_m2],RawDataKWh[연월],$A15,RawDataKWh[지역명],X$3)</f>
        <v/>
      </c>
      <c r="Y15" s="46">
        <f>AVERAGE(O15:X15)</f>
        <v/>
      </c>
    </row>
    <row r="16" ht="16" customHeight="1">
      <c r="A16" s="17" t="inlineStr">
        <is>
          <t>2017-01</t>
        </is>
      </c>
      <c r="B16" s="41">
        <f>SUMIFS(RawDataKWh[일사합_kWh_m2],RawDataKWh[연월],$A16,RawDataKWh[지역명],B$3)</f>
        <v/>
      </c>
      <c r="C16" s="41">
        <f>SUMIFS(RawDataKWh[일사합_kWh_m2],RawDataKWh[연월],$A16,RawDataKWh[지역명],C$3)</f>
        <v/>
      </c>
      <c r="D16" s="41">
        <f>SUMIFS(RawDataKWh[일사합_kWh_m2],RawDataKWh[연월],$A16,RawDataKWh[지역명],D$3)</f>
        <v/>
      </c>
      <c r="E16" s="41">
        <f>SUMIFS(RawDataKWh[일사합_kWh_m2],RawDataKWh[연월],$A16,RawDataKWh[지역명],E$3)</f>
        <v/>
      </c>
      <c r="F16" s="41">
        <f>SUMIFS(RawDataKWh[일사합_kWh_m2],RawDataKWh[연월],$A16,RawDataKWh[지역명],F$3)</f>
        <v/>
      </c>
      <c r="G16" s="41">
        <f>SUMIFS(RawDataKWh[일사합_kWh_m2],RawDataKWh[연월],$A16,RawDataKWh[지역명],G$3)</f>
        <v/>
      </c>
      <c r="H16" s="41">
        <f>SUMIFS(RawDataKWh[일사합_kWh_m2],RawDataKWh[연월],$A16,RawDataKWh[지역명],H$3)</f>
        <v/>
      </c>
      <c r="I16" s="41">
        <f>SUMIFS(RawDataKWh[일사합_kWh_m2],RawDataKWh[연월],$A16,RawDataKWh[지역명],I$3)</f>
        <v/>
      </c>
      <c r="J16" s="41">
        <f>SUMIFS(RawDataKWh[일사합_kWh_m2],RawDataKWh[연월],$A16,RawDataKWh[지역명],J$3)</f>
        <v/>
      </c>
      <c r="K16" s="41">
        <f>SUMIFS(RawDataKWh[일사합_kWh_m2],RawDataKWh[연월],$A16,RawDataKWh[지역명],K$3)</f>
        <v/>
      </c>
      <c r="L16" s="41">
        <f>AVERAGE(B16:K16)</f>
        <v/>
      </c>
      <c r="N16" s="17">
        <f>$A16</f>
        <v/>
      </c>
      <c r="O16" s="42">
        <f>AVERAGEIFS(RawDataKWh[일평균_일사합_kWh_m2],RawDataKWh[연월],$A16,RawDataKWh[지역명],O$3)</f>
        <v/>
      </c>
      <c r="P16" s="42">
        <f>AVERAGEIFS(RawDataKWh[일평균_일사합_kWh_m2],RawDataKWh[연월],$A16,RawDataKWh[지역명],P$3)</f>
        <v/>
      </c>
      <c r="Q16" s="42">
        <f>AVERAGEIFS(RawDataKWh[일평균_일사합_kWh_m2],RawDataKWh[연월],$A16,RawDataKWh[지역명],Q$3)</f>
        <v/>
      </c>
      <c r="R16" s="42">
        <f>AVERAGEIFS(RawDataKWh[일평균_일사합_kWh_m2],RawDataKWh[연월],$A16,RawDataKWh[지역명],R$3)</f>
        <v/>
      </c>
      <c r="S16" s="42">
        <f>AVERAGEIFS(RawDataKWh[일평균_일사합_kWh_m2],RawDataKWh[연월],$A16,RawDataKWh[지역명],S$3)</f>
        <v/>
      </c>
      <c r="T16" s="42">
        <f>AVERAGEIFS(RawDataKWh[일평균_일사합_kWh_m2],RawDataKWh[연월],$A16,RawDataKWh[지역명],T$3)</f>
        <v/>
      </c>
      <c r="U16" s="42">
        <f>AVERAGEIFS(RawDataKWh[일평균_일사합_kWh_m2],RawDataKWh[연월],$A16,RawDataKWh[지역명],U$3)</f>
        <v/>
      </c>
      <c r="V16" s="42">
        <f>AVERAGEIFS(RawDataKWh[일평균_일사합_kWh_m2],RawDataKWh[연월],$A16,RawDataKWh[지역명],V$3)</f>
        <v/>
      </c>
      <c r="W16" s="42">
        <f>AVERAGEIFS(RawDataKWh[일평균_일사합_kWh_m2],RawDataKWh[연월],$A16,RawDataKWh[지역명],W$3)</f>
        <v/>
      </c>
      <c r="X16" s="42">
        <f>AVERAGEIFS(RawDataKWh[일평균_일사합_kWh_m2],RawDataKWh[연월],$A16,RawDataKWh[지역명],X$3)</f>
        <v/>
      </c>
      <c r="Y16" s="42">
        <f>AVERAGE(O16:X16)</f>
        <v/>
      </c>
    </row>
    <row r="17" ht="16" customHeight="1">
      <c r="A17" s="19" t="inlineStr">
        <is>
          <t>2017-02</t>
        </is>
      </c>
      <c r="B17" s="45">
        <f>SUMIFS(RawDataKWh[일사합_kWh_m2],RawDataKWh[연월],$A17,RawDataKWh[지역명],B$3)</f>
        <v/>
      </c>
      <c r="C17" s="45">
        <f>SUMIFS(RawDataKWh[일사합_kWh_m2],RawDataKWh[연월],$A17,RawDataKWh[지역명],C$3)</f>
        <v/>
      </c>
      <c r="D17" s="45">
        <f>SUMIFS(RawDataKWh[일사합_kWh_m2],RawDataKWh[연월],$A17,RawDataKWh[지역명],D$3)</f>
        <v/>
      </c>
      <c r="E17" s="45">
        <f>SUMIFS(RawDataKWh[일사합_kWh_m2],RawDataKWh[연월],$A17,RawDataKWh[지역명],E$3)</f>
        <v/>
      </c>
      <c r="F17" s="45">
        <f>SUMIFS(RawDataKWh[일사합_kWh_m2],RawDataKWh[연월],$A17,RawDataKWh[지역명],F$3)</f>
        <v/>
      </c>
      <c r="G17" s="45">
        <f>SUMIFS(RawDataKWh[일사합_kWh_m2],RawDataKWh[연월],$A17,RawDataKWh[지역명],G$3)</f>
        <v/>
      </c>
      <c r="H17" s="45">
        <f>SUMIFS(RawDataKWh[일사합_kWh_m2],RawDataKWh[연월],$A17,RawDataKWh[지역명],H$3)</f>
        <v/>
      </c>
      <c r="I17" s="45">
        <f>SUMIFS(RawDataKWh[일사합_kWh_m2],RawDataKWh[연월],$A17,RawDataKWh[지역명],I$3)</f>
        <v/>
      </c>
      <c r="J17" s="45">
        <f>SUMIFS(RawDataKWh[일사합_kWh_m2],RawDataKWh[연월],$A17,RawDataKWh[지역명],J$3)</f>
        <v/>
      </c>
      <c r="K17" s="45">
        <f>SUMIFS(RawDataKWh[일사합_kWh_m2],RawDataKWh[연월],$A17,RawDataKWh[지역명],K$3)</f>
        <v/>
      </c>
      <c r="L17" s="45">
        <f>AVERAGE(B17:K17)</f>
        <v/>
      </c>
      <c r="N17" s="19">
        <f>$A17</f>
        <v/>
      </c>
      <c r="O17" s="46">
        <f>AVERAGEIFS(RawDataKWh[일평균_일사합_kWh_m2],RawDataKWh[연월],$A17,RawDataKWh[지역명],O$3)</f>
        <v/>
      </c>
      <c r="P17" s="46">
        <f>AVERAGEIFS(RawDataKWh[일평균_일사합_kWh_m2],RawDataKWh[연월],$A17,RawDataKWh[지역명],P$3)</f>
        <v/>
      </c>
      <c r="Q17" s="46">
        <f>AVERAGEIFS(RawDataKWh[일평균_일사합_kWh_m2],RawDataKWh[연월],$A17,RawDataKWh[지역명],Q$3)</f>
        <v/>
      </c>
      <c r="R17" s="46">
        <f>AVERAGEIFS(RawDataKWh[일평균_일사합_kWh_m2],RawDataKWh[연월],$A17,RawDataKWh[지역명],R$3)</f>
        <v/>
      </c>
      <c r="S17" s="46">
        <f>AVERAGEIFS(RawDataKWh[일평균_일사합_kWh_m2],RawDataKWh[연월],$A17,RawDataKWh[지역명],S$3)</f>
        <v/>
      </c>
      <c r="T17" s="46">
        <f>AVERAGEIFS(RawDataKWh[일평균_일사합_kWh_m2],RawDataKWh[연월],$A17,RawDataKWh[지역명],T$3)</f>
        <v/>
      </c>
      <c r="U17" s="46">
        <f>AVERAGEIFS(RawDataKWh[일평균_일사합_kWh_m2],RawDataKWh[연월],$A17,RawDataKWh[지역명],U$3)</f>
        <v/>
      </c>
      <c r="V17" s="46">
        <f>AVERAGEIFS(RawDataKWh[일평균_일사합_kWh_m2],RawDataKWh[연월],$A17,RawDataKWh[지역명],V$3)</f>
        <v/>
      </c>
      <c r="W17" s="46">
        <f>AVERAGEIFS(RawDataKWh[일평균_일사합_kWh_m2],RawDataKWh[연월],$A17,RawDataKWh[지역명],W$3)</f>
        <v/>
      </c>
      <c r="X17" s="46">
        <f>AVERAGEIFS(RawDataKWh[일평균_일사합_kWh_m2],RawDataKWh[연월],$A17,RawDataKWh[지역명],X$3)</f>
        <v/>
      </c>
      <c r="Y17" s="46">
        <f>AVERAGE(O17:X17)</f>
        <v/>
      </c>
    </row>
    <row r="18" ht="16" customHeight="1">
      <c r="A18" s="17" t="inlineStr">
        <is>
          <t>2017-03</t>
        </is>
      </c>
      <c r="B18" s="41">
        <f>SUMIFS(RawDataKWh[일사합_kWh_m2],RawDataKWh[연월],$A18,RawDataKWh[지역명],B$3)</f>
        <v/>
      </c>
      <c r="C18" s="41">
        <f>SUMIFS(RawDataKWh[일사합_kWh_m2],RawDataKWh[연월],$A18,RawDataKWh[지역명],C$3)</f>
        <v/>
      </c>
      <c r="D18" s="41">
        <f>SUMIFS(RawDataKWh[일사합_kWh_m2],RawDataKWh[연월],$A18,RawDataKWh[지역명],D$3)</f>
        <v/>
      </c>
      <c r="E18" s="41">
        <f>SUMIFS(RawDataKWh[일사합_kWh_m2],RawDataKWh[연월],$A18,RawDataKWh[지역명],E$3)</f>
        <v/>
      </c>
      <c r="F18" s="41">
        <f>SUMIFS(RawDataKWh[일사합_kWh_m2],RawDataKWh[연월],$A18,RawDataKWh[지역명],F$3)</f>
        <v/>
      </c>
      <c r="G18" s="41">
        <f>SUMIFS(RawDataKWh[일사합_kWh_m2],RawDataKWh[연월],$A18,RawDataKWh[지역명],G$3)</f>
        <v/>
      </c>
      <c r="H18" s="41">
        <f>SUMIFS(RawDataKWh[일사합_kWh_m2],RawDataKWh[연월],$A18,RawDataKWh[지역명],H$3)</f>
        <v/>
      </c>
      <c r="I18" s="41">
        <f>SUMIFS(RawDataKWh[일사합_kWh_m2],RawDataKWh[연월],$A18,RawDataKWh[지역명],I$3)</f>
        <v/>
      </c>
      <c r="J18" s="41">
        <f>SUMIFS(RawDataKWh[일사합_kWh_m2],RawDataKWh[연월],$A18,RawDataKWh[지역명],J$3)</f>
        <v/>
      </c>
      <c r="K18" s="41">
        <f>SUMIFS(RawDataKWh[일사합_kWh_m2],RawDataKWh[연월],$A18,RawDataKWh[지역명],K$3)</f>
        <v/>
      </c>
      <c r="L18" s="41">
        <f>AVERAGE(B18:K18)</f>
        <v/>
      </c>
      <c r="N18" s="17">
        <f>$A18</f>
        <v/>
      </c>
      <c r="O18" s="42">
        <f>AVERAGEIFS(RawDataKWh[일평균_일사합_kWh_m2],RawDataKWh[연월],$A18,RawDataKWh[지역명],O$3)</f>
        <v/>
      </c>
      <c r="P18" s="42">
        <f>AVERAGEIFS(RawDataKWh[일평균_일사합_kWh_m2],RawDataKWh[연월],$A18,RawDataKWh[지역명],P$3)</f>
        <v/>
      </c>
      <c r="Q18" s="42">
        <f>AVERAGEIFS(RawDataKWh[일평균_일사합_kWh_m2],RawDataKWh[연월],$A18,RawDataKWh[지역명],Q$3)</f>
        <v/>
      </c>
      <c r="R18" s="42">
        <f>AVERAGEIFS(RawDataKWh[일평균_일사합_kWh_m2],RawDataKWh[연월],$A18,RawDataKWh[지역명],R$3)</f>
        <v/>
      </c>
      <c r="S18" s="42">
        <f>AVERAGEIFS(RawDataKWh[일평균_일사합_kWh_m2],RawDataKWh[연월],$A18,RawDataKWh[지역명],S$3)</f>
        <v/>
      </c>
      <c r="T18" s="42">
        <f>AVERAGEIFS(RawDataKWh[일평균_일사합_kWh_m2],RawDataKWh[연월],$A18,RawDataKWh[지역명],T$3)</f>
        <v/>
      </c>
      <c r="U18" s="42">
        <f>AVERAGEIFS(RawDataKWh[일평균_일사합_kWh_m2],RawDataKWh[연월],$A18,RawDataKWh[지역명],U$3)</f>
        <v/>
      </c>
      <c r="V18" s="42">
        <f>AVERAGEIFS(RawDataKWh[일평균_일사합_kWh_m2],RawDataKWh[연월],$A18,RawDataKWh[지역명],V$3)</f>
        <v/>
      </c>
      <c r="W18" s="42">
        <f>AVERAGEIFS(RawDataKWh[일평균_일사합_kWh_m2],RawDataKWh[연월],$A18,RawDataKWh[지역명],W$3)</f>
        <v/>
      </c>
      <c r="X18" s="42">
        <f>AVERAGEIFS(RawDataKWh[일평균_일사합_kWh_m2],RawDataKWh[연월],$A18,RawDataKWh[지역명],X$3)</f>
        <v/>
      </c>
      <c r="Y18" s="42">
        <f>AVERAGE(O18:X18)</f>
        <v/>
      </c>
    </row>
    <row r="19" ht="16" customHeight="1">
      <c r="A19" s="19" t="inlineStr">
        <is>
          <t>2017-04</t>
        </is>
      </c>
      <c r="B19" s="45">
        <f>SUMIFS(RawDataKWh[일사합_kWh_m2],RawDataKWh[연월],$A19,RawDataKWh[지역명],B$3)</f>
        <v/>
      </c>
      <c r="C19" s="45">
        <f>SUMIFS(RawDataKWh[일사합_kWh_m2],RawDataKWh[연월],$A19,RawDataKWh[지역명],C$3)</f>
        <v/>
      </c>
      <c r="D19" s="45">
        <f>SUMIFS(RawDataKWh[일사합_kWh_m2],RawDataKWh[연월],$A19,RawDataKWh[지역명],D$3)</f>
        <v/>
      </c>
      <c r="E19" s="45">
        <f>SUMIFS(RawDataKWh[일사합_kWh_m2],RawDataKWh[연월],$A19,RawDataKWh[지역명],E$3)</f>
        <v/>
      </c>
      <c r="F19" s="45">
        <f>SUMIFS(RawDataKWh[일사합_kWh_m2],RawDataKWh[연월],$A19,RawDataKWh[지역명],F$3)</f>
        <v/>
      </c>
      <c r="G19" s="45">
        <f>SUMIFS(RawDataKWh[일사합_kWh_m2],RawDataKWh[연월],$A19,RawDataKWh[지역명],G$3)</f>
        <v/>
      </c>
      <c r="H19" s="45">
        <f>SUMIFS(RawDataKWh[일사합_kWh_m2],RawDataKWh[연월],$A19,RawDataKWh[지역명],H$3)</f>
        <v/>
      </c>
      <c r="I19" s="45">
        <f>SUMIFS(RawDataKWh[일사합_kWh_m2],RawDataKWh[연월],$A19,RawDataKWh[지역명],I$3)</f>
        <v/>
      </c>
      <c r="J19" s="45">
        <f>SUMIFS(RawDataKWh[일사합_kWh_m2],RawDataKWh[연월],$A19,RawDataKWh[지역명],J$3)</f>
        <v/>
      </c>
      <c r="K19" s="45">
        <f>SUMIFS(RawDataKWh[일사합_kWh_m2],RawDataKWh[연월],$A19,RawDataKWh[지역명],K$3)</f>
        <v/>
      </c>
      <c r="L19" s="45">
        <f>AVERAGE(B19:K19)</f>
        <v/>
      </c>
      <c r="N19" s="19">
        <f>$A19</f>
        <v/>
      </c>
      <c r="O19" s="46">
        <f>AVERAGEIFS(RawDataKWh[일평균_일사합_kWh_m2],RawDataKWh[연월],$A19,RawDataKWh[지역명],O$3)</f>
        <v/>
      </c>
      <c r="P19" s="46">
        <f>AVERAGEIFS(RawDataKWh[일평균_일사합_kWh_m2],RawDataKWh[연월],$A19,RawDataKWh[지역명],P$3)</f>
        <v/>
      </c>
      <c r="Q19" s="46">
        <f>AVERAGEIFS(RawDataKWh[일평균_일사합_kWh_m2],RawDataKWh[연월],$A19,RawDataKWh[지역명],Q$3)</f>
        <v/>
      </c>
      <c r="R19" s="46">
        <f>AVERAGEIFS(RawDataKWh[일평균_일사합_kWh_m2],RawDataKWh[연월],$A19,RawDataKWh[지역명],R$3)</f>
        <v/>
      </c>
      <c r="S19" s="46">
        <f>AVERAGEIFS(RawDataKWh[일평균_일사합_kWh_m2],RawDataKWh[연월],$A19,RawDataKWh[지역명],S$3)</f>
        <v/>
      </c>
      <c r="T19" s="46">
        <f>AVERAGEIFS(RawDataKWh[일평균_일사합_kWh_m2],RawDataKWh[연월],$A19,RawDataKWh[지역명],T$3)</f>
        <v/>
      </c>
      <c r="U19" s="46">
        <f>AVERAGEIFS(RawDataKWh[일평균_일사합_kWh_m2],RawDataKWh[연월],$A19,RawDataKWh[지역명],U$3)</f>
        <v/>
      </c>
      <c r="V19" s="46">
        <f>AVERAGEIFS(RawDataKWh[일평균_일사합_kWh_m2],RawDataKWh[연월],$A19,RawDataKWh[지역명],V$3)</f>
        <v/>
      </c>
      <c r="W19" s="46">
        <f>AVERAGEIFS(RawDataKWh[일평균_일사합_kWh_m2],RawDataKWh[연월],$A19,RawDataKWh[지역명],W$3)</f>
        <v/>
      </c>
      <c r="X19" s="46">
        <f>AVERAGEIFS(RawDataKWh[일평균_일사합_kWh_m2],RawDataKWh[연월],$A19,RawDataKWh[지역명],X$3)</f>
        <v/>
      </c>
      <c r="Y19" s="46">
        <f>AVERAGE(O19:X19)</f>
        <v/>
      </c>
    </row>
    <row r="20" ht="16" customHeight="1">
      <c r="A20" s="17" t="inlineStr">
        <is>
          <t>2017-05</t>
        </is>
      </c>
      <c r="B20" s="41">
        <f>SUMIFS(RawDataKWh[일사합_kWh_m2],RawDataKWh[연월],$A20,RawDataKWh[지역명],B$3)</f>
        <v/>
      </c>
      <c r="C20" s="41">
        <f>SUMIFS(RawDataKWh[일사합_kWh_m2],RawDataKWh[연월],$A20,RawDataKWh[지역명],C$3)</f>
        <v/>
      </c>
      <c r="D20" s="41">
        <f>SUMIFS(RawDataKWh[일사합_kWh_m2],RawDataKWh[연월],$A20,RawDataKWh[지역명],D$3)</f>
        <v/>
      </c>
      <c r="E20" s="41">
        <f>SUMIFS(RawDataKWh[일사합_kWh_m2],RawDataKWh[연월],$A20,RawDataKWh[지역명],E$3)</f>
        <v/>
      </c>
      <c r="F20" s="41">
        <f>SUMIFS(RawDataKWh[일사합_kWh_m2],RawDataKWh[연월],$A20,RawDataKWh[지역명],F$3)</f>
        <v/>
      </c>
      <c r="G20" s="41">
        <f>SUMIFS(RawDataKWh[일사합_kWh_m2],RawDataKWh[연월],$A20,RawDataKWh[지역명],G$3)</f>
        <v/>
      </c>
      <c r="H20" s="41">
        <f>SUMIFS(RawDataKWh[일사합_kWh_m2],RawDataKWh[연월],$A20,RawDataKWh[지역명],H$3)</f>
        <v/>
      </c>
      <c r="I20" s="41">
        <f>SUMIFS(RawDataKWh[일사합_kWh_m2],RawDataKWh[연월],$A20,RawDataKWh[지역명],I$3)</f>
        <v/>
      </c>
      <c r="J20" s="41">
        <f>SUMIFS(RawDataKWh[일사합_kWh_m2],RawDataKWh[연월],$A20,RawDataKWh[지역명],J$3)</f>
        <v/>
      </c>
      <c r="K20" s="41">
        <f>SUMIFS(RawDataKWh[일사합_kWh_m2],RawDataKWh[연월],$A20,RawDataKWh[지역명],K$3)</f>
        <v/>
      </c>
      <c r="L20" s="41">
        <f>AVERAGE(B20:K20)</f>
        <v/>
      </c>
      <c r="N20" s="17">
        <f>$A20</f>
        <v/>
      </c>
      <c r="O20" s="42">
        <f>AVERAGEIFS(RawDataKWh[일평균_일사합_kWh_m2],RawDataKWh[연월],$A20,RawDataKWh[지역명],O$3)</f>
        <v/>
      </c>
      <c r="P20" s="42">
        <f>AVERAGEIFS(RawDataKWh[일평균_일사합_kWh_m2],RawDataKWh[연월],$A20,RawDataKWh[지역명],P$3)</f>
        <v/>
      </c>
      <c r="Q20" s="42">
        <f>AVERAGEIFS(RawDataKWh[일평균_일사합_kWh_m2],RawDataKWh[연월],$A20,RawDataKWh[지역명],Q$3)</f>
        <v/>
      </c>
      <c r="R20" s="42">
        <f>AVERAGEIFS(RawDataKWh[일평균_일사합_kWh_m2],RawDataKWh[연월],$A20,RawDataKWh[지역명],R$3)</f>
        <v/>
      </c>
      <c r="S20" s="42">
        <f>AVERAGEIFS(RawDataKWh[일평균_일사합_kWh_m2],RawDataKWh[연월],$A20,RawDataKWh[지역명],S$3)</f>
        <v/>
      </c>
      <c r="T20" s="42">
        <f>AVERAGEIFS(RawDataKWh[일평균_일사합_kWh_m2],RawDataKWh[연월],$A20,RawDataKWh[지역명],T$3)</f>
        <v/>
      </c>
      <c r="U20" s="42">
        <f>AVERAGEIFS(RawDataKWh[일평균_일사합_kWh_m2],RawDataKWh[연월],$A20,RawDataKWh[지역명],U$3)</f>
        <v/>
      </c>
      <c r="V20" s="42">
        <f>AVERAGEIFS(RawDataKWh[일평균_일사합_kWh_m2],RawDataKWh[연월],$A20,RawDataKWh[지역명],V$3)</f>
        <v/>
      </c>
      <c r="W20" s="42">
        <f>AVERAGEIFS(RawDataKWh[일평균_일사합_kWh_m2],RawDataKWh[연월],$A20,RawDataKWh[지역명],W$3)</f>
        <v/>
      </c>
      <c r="X20" s="42">
        <f>AVERAGEIFS(RawDataKWh[일평균_일사합_kWh_m2],RawDataKWh[연월],$A20,RawDataKWh[지역명],X$3)</f>
        <v/>
      </c>
      <c r="Y20" s="42">
        <f>AVERAGE(O20:X20)</f>
        <v/>
      </c>
    </row>
    <row r="21" ht="16" customHeight="1">
      <c r="A21" s="19" t="inlineStr">
        <is>
          <t>2017-06</t>
        </is>
      </c>
      <c r="B21" s="45">
        <f>SUMIFS(RawDataKWh[일사합_kWh_m2],RawDataKWh[연월],$A21,RawDataKWh[지역명],B$3)</f>
        <v/>
      </c>
      <c r="C21" s="45">
        <f>SUMIFS(RawDataKWh[일사합_kWh_m2],RawDataKWh[연월],$A21,RawDataKWh[지역명],C$3)</f>
        <v/>
      </c>
      <c r="D21" s="45">
        <f>SUMIFS(RawDataKWh[일사합_kWh_m2],RawDataKWh[연월],$A21,RawDataKWh[지역명],D$3)</f>
        <v/>
      </c>
      <c r="E21" s="45">
        <f>SUMIFS(RawDataKWh[일사합_kWh_m2],RawDataKWh[연월],$A21,RawDataKWh[지역명],E$3)</f>
        <v/>
      </c>
      <c r="F21" s="45">
        <f>SUMIFS(RawDataKWh[일사합_kWh_m2],RawDataKWh[연월],$A21,RawDataKWh[지역명],F$3)</f>
        <v/>
      </c>
      <c r="G21" s="45">
        <f>SUMIFS(RawDataKWh[일사합_kWh_m2],RawDataKWh[연월],$A21,RawDataKWh[지역명],G$3)</f>
        <v/>
      </c>
      <c r="H21" s="45">
        <f>SUMIFS(RawDataKWh[일사합_kWh_m2],RawDataKWh[연월],$A21,RawDataKWh[지역명],H$3)</f>
        <v/>
      </c>
      <c r="I21" s="45">
        <f>SUMIFS(RawDataKWh[일사합_kWh_m2],RawDataKWh[연월],$A21,RawDataKWh[지역명],I$3)</f>
        <v/>
      </c>
      <c r="J21" s="45">
        <f>SUMIFS(RawDataKWh[일사합_kWh_m2],RawDataKWh[연월],$A21,RawDataKWh[지역명],J$3)</f>
        <v/>
      </c>
      <c r="K21" s="45">
        <f>SUMIFS(RawDataKWh[일사합_kWh_m2],RawDataKWh[연월],$A21,RawDataKWh[지역명],K$3)</f>
        <v/>
      </c>
      <c r="L21" s="45">
        <f>AVERAGE(B21:K21)</f>
        <v/>
      </c>
      <c r="N21" s="19">
        <f>$A21</f>
        <v/>
      </c>
      <c r="O21" s="46">
        <f>AVERAGEIFS(RawDataKWh[일평균_일사합_kWh_m2],RawDataKWh[연월],$A21,RawDataKWh[지역명],O$3)</f>
        <v/>
      </c>
      <c r="P21" s="46">
        <f>AVERAGEIFS(RawDataKWh[일평균_일사합_kWh_m2],RawDataKWh[연월],$A21,RawDataKWh[지역명],P$3)</f>
        <v/>
      </c>
      <c r="Q21" s="46">
        <f>AVERAGEIFS(RawDataKWh[일평균_일사합_kWh_m2],RawDataKWh[연월],$A21,RawDataKWh[지역명],Q$3)</f>
        <v/>
      </c>
      <c r="R21" s="46">
        <f>AVERAGEIFS(RawDataKWh[일평균_일사합_kWh_m2],RawDataKWh[연월],$A21,RawDataKWh[지역명],R$3)</f>
        <v/>
      </c>
      <c r="S21" s="46">
        <f>AVERAGEIFS(RawDataKWh[일평균_일사합_kWh_m2],RawDataKWh[연월],$A21,RawDataKWh[지역명],S$3)</f>
        <v/>
      </c>
      <c r="T21" s="46">
        <f>AVERAGEIFS(RawDataKWh[일평균_일사합_kWh_m2],RawDataKWh[연월],$A21,RawDataKWh[지역명],T$3)</f>
        <v/>
      </c>
      <c r="U21" s="46">
        <f>AVERAGEIFS(RawDataKWh[일평균_일사합_kWh_m2],RawDataKWh[연월],$A21,RawDataKWh[지역명],U$3)</f>
        <v/>
      </c>
      <c r="V21" s="46">
        <f>AVERAGEIFS(RawDataKWh[일평균_일사합_kWh_m2],RawDataKWh[연월],$A21,RawDataKWh[지역명],V$3)</f>
        <v/>
      </c>
      <c r="W21" s="46">
        <f>AVERAGEIFS(RawDataKWh[일평균_일사합_kWh_m2],RawDataKWh[연월],$A21,RawDataKWh[지역명],W$3)</f>
        <v/>
      </c>
      <c r="X21" s="46">
        <f>AVERAGEIFS(RawDataKWh[일평균_일사합_kWh_m2],RawDataKWh[연월],$A21,RawDataKWh[지역명],X$3)</f>
        <v/>
      </c>
      <c r="Y21" s="46">
        <f>AVERAGE(O21:X21)</f>
        <v/>
      </c>
    </row>
    <row r="22" ht="16" customHeight="1">
      <c r="A22" s="17" t="inlineStr">
        <is>
          <t>2017-07</t>
        </is>
      </c>
      <c r="B22" s="41">
        <f>SUMIFS(RawDataKWh[일사합_kWh_m2],RawDataKWh[연월],$A22,RawDataKWh[지역명],B$3)</f>
        <v/>
      </c>
      <c r="C22" s="41">
        <f>SUMIFS(RawDataKWh[일사합_kWh_m2],RawDataKWh[연월],$A22,RawDataKWh[지역명],C$3)</f>
        <v/>
      </c>
      <c r="D22" s="41">
        <f>SUMIFS(RawDataKWh[일사합_kWh_m2],RawDataKWh[연월],$A22,RawDataKWh[지역명],D$3)</f>
        <v/>
      </c>
      <c r="E22" s="41">
        <f>SUMIFS(RawDataKWh[일사합_kWh_m2],RawDataKWh[연월],$A22,RawDataKWh[지역명],E$3)</f>
        <v/>
      </c>
      <c r="F22" s="41">
        <f>SUMIFS(RawDataKWh[일사합_kWh_m2],RawDataKWh[연월],$A22,RawDataKWh[지역명],F$3)</f>
        <v/>
      </c>
      <c r="G22" s="41">
        <f>SUMIFS(RawDataKWh[일사합_kWh_m2],RawDataKWh[연월],$A22,RawDataKWh[지역명],G$3)</f>
        <v/>
      </c>
      <c r="H22" s="41">
        <f>SUMIFS(RawDataKWh[일사합_kWh_m2],RawDataKWh[연월],$A22,RawDataKWh[지역명],H$3)</f>
        <v/>
      </c>
      <c r="I22" s="41">
        <f>SUMIFS(RawDataKWh[일사합_kWh_m2],RawDataKWh[연월],$A22,RawDataKWh[지역명],I$3)</f>
        <v/>
      </c>
      <c r="J22" s="41">
        <f>SUMIFS(RawDataKWh[일사합_kWh_m2],RawDataKWh[연월],$A22,RawDataKWh[지역명],J$3)</f>
        <v/>
      </c>
      <c r="K22" s="41">
        <f>SUMIFS(RawDataKWh[일사합_kWh_m2],RawDataKWh[연월],$A22,RawDataKWh[지역명],K$3)</f>
        <v/>
      </c>
      <c r="L22" s="41">
        <f>AVERAGE(B22:K22)</f>
        <v/>
      </c>
      <c r="N22" s="17">
        <f>$A22</f>
        <v/>
      </c>
      <c r="O22" s="42">
        <f>AVERAGEIFS(RawDataKWh[일평균_일사합_kWh_m2],RawDataKWh[연월],$A22,RawDataKWh[지역명],O$3)</f>
        <v/>
      </c>
      <c r="P22" s="42">
        <f>AVERAGEIFS(RawDataKWh[일평균_일사합_kWh_m2],RawDataKWh[연월],$A22,RawDataKWh[지역명],P$3)</f>
        <v/>
      </c>
      <c r="Q22" s="42">
        <f>AVERAGEIFS(RawDataKWh[일평균_일사합_kWh_m2],RawDataKWh[연월],$A22,RawDataKWh[지역명],Q$3)</f>
        <v/>
      </c>
      <c r="R22" s="42">
        <f>AVERAGEIFS(RawDataKWh[일평균_일사합_kWh_m2],RawDataKWh[연월],$A22,RawDataKWh[지역명],R$3)</f>
        <v/>
      </c>
      <c r="S22" s="42">
        <f>AVERAGEIFS(RawDataKWh[일평균_일사합_kWh_m2],RawDataKWh[연월],$A22,RawDataKWh[지역명],S$3)</f>
        <v/>
      </c>
      <c r="T22" s="42">
        <f>AVERAGEIFS(RawDataKWh[일평균_일사합_kWh_m2],RawDataKWh[연월],$A22,RawDataKWh[지역명],T$3)</f>
        <v/>
      </c>
      <c r="U22" s="42">
        <f>AVERAGEIFS(RawDataKWh[일평균_일사합_kWh_m2],RawDataKWh[연월],$A22,RawDataKWh[지역명],U$3)</f>
        <v/>
      </c>
      <c r="V22" s="42">
        <f>AVERAGEIFS(RawDataKWh[일평균_일사합_kWh_m2],RawDataKWh[연월],$A22,RawDataKWh[지역명],V$3)</f>
        <v/>
      </c>
      <c r="W22" s="42">
        <f>AVERAGEIFS(RawDataKWh[일평균_일사합_kWh_m2],RawDataKWh[연월],$A22,RawDataKWh[지역명],W$3)</f>
        <v/>
      </c>
      <c r="X22" s="42">
        <f>AVERAGEIFS(RawDataKWh[일평균_일사합_kWh_m2],RawDataKWh[연월],$A22,RawDataKWh[지역명],X$3)</f>
        <v/>
      </c>
      <c r="Y22" s="42">
        <f>AVERAGE(O22:X22)</f>
        <v/>
      </c>
    </row>
    <row r="23" ht="16" customHeight="1">
      <c r="A23" s="19" t="inlineStr">
        <is>
          <t>2017-08</t>
        </is>
      </c>
      <c r="B23" s="45">
        <f>SUMIFS(RawDataKWh[일사합_kWh_m2],RawDataKWh[연월],$A23,RawDataKWh[지역명],B$3)</f>
        <v/>
      </c>
      <c r="C23" s="45">
        <f>SUMIFS(RawDataKWh[일사합_kWh_m2],RawDataKWh[연월],$A23,RawDataKWh[지역명],C$3)</f>
        <v/>
      </c>
      <c r="D23" s="45">
        <f>SUMIFS(RawDataKWh[일사합_kWh_m2],RawDataKWh[연월],$A23,RawDataKWh[지역명],D$3)</f>
        <v/>
      </c>
      <c r="E23" s="45">
        <f>SUMIFS(RawDataKWh[일사합_kWh_m2],RawDataKWh[연월],$A23,RawDataKWh[지역명],E$3)</f>
        <v/>
      </c>
      <c r="F23" s="45">
        <f>SUMIFS(RawDataKWh[일사합_kWh_m2],RawDataKWh[연월],$A23,RawDataKWh[지역명],F$3)</f>
        <v/>
      </c>
      <c r="G23" s="45">
        <f>SUMIFS(RawDataKWh[일사합_kWh_m2],RawDataKWh[연월],$A23,RawDataKWh[지역명],G$3)</f>
        <v/>
      </c>
      <c r="H23" s="45">
        <f>SUMIFS(RawDataKWh[일사합_kWh_m2],RawDataKWh[연월],$A23,RawDataKWh[지역명],H$3)</f>
        <v/>
      </c>
      <c r="I23" s="45">
        <f>SUMIFS(RawDataKWh[일사합_kWh_m2],RawDataKWh[연월],$A23,RawDataKWh[지역명],I$3)</f>
        <v/>
      </c>
      <c r="J23" s="45">
        <f>SUMIFS(RawDataKWh[일사합_kWh_m2],RawDataKWh[연월],$A23,RawDataKWh[지역명],J$3)</f>
        <v/>
      </c>
      <c r="K23" s="45">
        <f>SUMIFS(RawDataKWh[일사합_kWh_m2],RawDataKWh[연월],$A23,RawDataKWh[지역명],K$3)</f>
        <v/>
      </c>
      <c r="L23" s="45">
        <f>AVERAGE(B23:K23)</f>
        <v/>
      </c>
      <c r="N23" s="19">
        <f>$A23</f>
        <v/>
      </c>
      <c r="O23" s="46">
        <f>AVERAGEIFS(RawDataKWh[일평균_일사합_kWh_m2],RawDataKWh[연월],$A23,RawDataKWh[지역명],O$3)</f>
        <v/>
      </c>
      <c r="P23" s="46">
        <f>AVERAGEIFS(RawDataKWh[일평균_일사합_kWh_m2],RawDataKWh[연월],$A23,RawDataKWh[지역명],P$3)</f>
        <v/>
      </c>
      <c r="Q23" s="46">
        <f>AVERAGEIFS(RawDataKWh[일평균_일사합_kWh_m2],RawDataKWh[연월],$A23,RawDataKWh[지역명],Q$3)</f>
        <v/>
      </c>
      <c r="R23" s="46">
        <f>AVERAGEIFS(RawDataKWh[일평균_일사합_kWh_m2],RawDataKWh[연월],$A23,RawDataKWh[지역명],R$3)</f>
        <v/>
      </c>
      <c r="S23" s="46">
        <f>AVERAGEIFS(RawDataKWh[일평균_일사합_kWh_m2],RawDataKWh[연월],$A23,RawDataKWh[지역명],S$3)</f>
        <v/>
      </c>
      <c r="T23" s="46">
        <f>AVERAGEIFS(RawDataKWh[일평균_일사합_kWh_m2],RawDataKWh[연월],$A23,RawDataKWh[지역명],T$3)</f>
        <v/>
      </c>
      <c r="U23" s="46">
        <f>AVERAGEIFS(RawDataKWh[일평균_일사합_kWh_m2],RawDataKWh[연월],$A23,RawDataKWh[지역명],U$3)</f>
        <v/>
      </c>
      <c r="V23" s="46">
        <f>AVERAGEIFS(RawDataKWh[일평균_일사합_kWh_m2],RawDataKWh[연월],$A23,RawDataKWh[지역명],V$3)</f>
        <v/>
      </c>
      <c r="W23" s="46">
        <f>AVERAGEIFS(RawDataKWh[일평균_일사합_kWh_m2],RawDataKWh[연월],$A23,RawDataKWh[지역명],W$3)</f>
        <v/>
      </c>
      <c r="X23" s="46">
        <f>AVERAGEIFS(RawDataKWh[일평균_일사합_kWh_m2],RawDataKWh[연월],$A23,RawDataKWh[지역명],X$3)</f>
        <v/>
      </c>
      <c r="Y23" s="46">
        <f>AVERAGE(O23:X23)</f>
        <v/>
      </c>
    </row>
    <row r="24" ht="16" customHeight="1">
      <c r="A24" s="17" t="inlineStr">
        <is>
          <t>2017-09</t>
        </is>
      </c>
      <c r="B24" s="41">
        <f>SUMIFS(RawDataKWh[일사합_kWh_m2],RawDataKWh[연월],$A24,RawDataKWh[지역명],B$3)</f>
        <v/>
      </c>
      <c r="C24" s="41">
        <f>SUMIFS(RawDataKWh[일사합_kWh_m2],RawDataKWh[연월],$A24,RawDataKWh[지역명],C$3)</f>
        <v/>
      </c>
      <c r="D24" s="41">
        <f>SUMIFS(RawDataKWh[일사합_kWh_m2],RawDataKWh[연월],$A24,RawDataKWh[지역명],D$3)</f>
        <v/>
      </c>
      <c r="E24" s="41">
        <f>SUMIFS(RawDataKWh[일사합_kWh_m2],RawDataKWh[연월],$A24,RawDataKWh[지역명],E$3)</f>
        <v/>
      </c>
      <c r="F24" s="41">
        <f>SUMIFS(RawDataKWh[일사합_kWh_m2],RawDataKWh[연월],$A24,RawDataKWh[지역명],F$3)</f>
        <v/>
      </c>
      <c r="G24" s="41">
        <f>SUMIFS(RawDataKWh[일사합_kWh_m2],RawDataKWh[연월],$A24,RawDataKWh[지역명],G$3)</f>
        <v/>
      </c>
      <c r="H24" s="41">
        <f>SUMIFS(RawDataKWh[일사합_kWh_m2],RawDataKWh[연월],$A24,RawDataKWh[지역명],H$3)</f>
        <v/>
      </c>
      <c r="I24" s="41">
        <f>SUMIFS(RawDataKWh[일사합_kWh_m2],RawDataKWh[연월],$A24,RawDataKWh[지역명],I$3)</f>
        <v/>
      </c>
      <c r="J24" s="41">
        <f>SUMIFS(RawDataKWh[일사합_kWh_m2],RawDataKWh[연월],$A24,RawDataKWh[지역명],J$3)</f>
        <v/>
      </c>
      <c r="K24" s="41">
        <f>SUMIFS(RawDataKWh[일사합_kWh_m2],RawDataKWh[연월],$A24,RawDataKWh[지역명],K$3)</f>
        <v/>
      </c>
      <c r="L24" s="41">
        <f>AVERAGE(B24:K24)</f>
        <v/>
      </c>
      <c r="N24" s="17">
        <f>$A24</f>
        <v/>
      </c>
      <c r="O24" s="42">
        <f>AVERAGEIFS(RawDataKWh[일평균_일사합_kWh_m2],RawDataKWh[연월],$A24,RawDataKWh[지역명],O$3)</f>
        <v/>
      </c>
      <c r="P24" s="42">
        <f>AVERAGEIFS(RawDataKWh[일평균_일사합_kWh_m2],RawDataKWh[연월],$A24,RawDataKWh[지역명],P$3)</f>
        <v/>
      </c>
      <c r="Q24" s="42">
        <f>AVERAGEIFS(RawDataKWh[일평균_일사합_kWh_m2],RawDataKWh[연월],$A24,RawDataKWh[지역명],Q$3)</f>
        <v/>
      </c>
      <c r="R24" s="42">
        <f>AVERAGEIFS(RawDataKWh[일평균_일사합_kWh_m2],RawDataKWh[연월],$A24,RawDataKWh[지역명],R$3)</f>
        <v/>
      </c>
      <c r="S24" s="42">
        <f>AVERAGEIFS(RawDataKWh[일평균_일사합_kWh_m2],RawDataKWh[연월],$A24,RawDataKWh[지역명],S$3)</f>
        <v/>
      </c>
      <c r="T24" s="42">
        <f>AVERAGEIFS(RawDataKWh[일평균_일사합_kWh_m2],RawDataKWh[연월],$A24,RawDataKWh[지역명],T$3)</f>
        <v/>
      </c>
      <c r="U24" s="42">
        <f>AVERAGEIFS(RawDataKWh[일평균_일사합_kWh_m2],RawDataKWh[연월],$A24,RawDataKWh[지역명],U$3)</f>
        <v/>
      </c>
      <c r="V24" s="42">
        <f>AVERAGEIFS(RawDataKWh[일평균_일사합_kWh_m2],RawDataKWh[연월],$A24,RawDataKWh[지역명],V$3)</f>
        <v/>
      </c>
      <c r="W24" s="42">
        <f>AVERAGEIFS(RawDataKWh[일평균_일사합_kWh_m2],RawDataKWh[연월],$A24,RawDataKWh[지역명],W$3)</f>
        <v/>
      </c>
      <c r="X24" s="42">
        <f>AVERAGEIFS(RawDataKWh[일평균_일사합_kWh_m2],RawDataKWh[연월],$A24,RawDataKWh[지역명],X$3)</f>
        <v/>
      </c>
      <c r="Y24" s="42">
        <f>AVERAGE(O24:X24)</f>
        <v/>
      </c>
    </row>
    <row r="25" ht="16" customHeight="1">
      <c r="A25" s="19" t="inlineStr">
        <is>
          <t>2017-10</t>
        </is>
      </c>
      <c r="B25" s="45">
        <f>SUMIFS(RawDataKWh[일사합_kWh_m2],RawDataKWh[연월],$A25,RawDataKWh[지역명],B$3)</f>
        <v/>
      </c>
      <c r="C25" s="45">
        <f>SUMIFS(RawDataKWh[일사합_kWh_m2],RawDataKWh[연월],$A25,RawDataKWh[지역명],C$3)</f>
        <v/>
      </c>
      <c r="D25" s="45">
        <f>SUMIFS(RawDataKWh[일사합_kWh_m2],RawDataKWh[연월],$A25,RawDataKWh[지역명],D$3)</f>
        <v/>
      </c>
      <c r="E25" s="45">
        <f>SUMIFS(RawDataKWh[일사합_kWh_m2],RawDataKWh[연월],$A25,RawDataKWh[지역명],E$3)</f>
        <v/>
      </c>
      <c r="F25" s="45">
        <f>SUMIFS(RawDataKWh[일사합_kWh_m2],RawDataKWh[연월],$A25,RawDataKWh[지역명],F$3)</f>
        <v/>
      </c>
      <c r="G25" s="45">
        <f>SUMIFS(RawDataKWh[일사합_kWh_m2],RawDataKWh[연월],$A25,RawDataKWh[지역명],G$3)</f>
        <v/>
      </c>
      <c r="H25" s="45">
        <f>SUMIFS(RawDataKWh[일사합_kWh_m2],RawDataKWh[연월],$A25,RawDataKWh[지역명],H$3)</f>
        <v/>
      </c>
      <c r="I25" s="45">
        <f>SUMIFS(RawDataKWh[일사합_kWh_m2],RawDataKWh[연월],$A25,RawDataKWh[지역명],I$3)</f>
        <v/>
      </c>
      <c r="J25" s="45">
        <f>SUMIFS(RawDataKWh[일사합_kWh_m2],RawDataKWh[연월],$A25,RawDataKWh[지역명],J$3)</f>
        <v/>
      </c>
      <c r="K25" s="45">
        <f>SUMIFS(RawDataKWh[일사합_kWh_m2],RawDataKWh[연월],$A25,RawDataKWh[지역명],K$3)</f>
        <v/>
      </c>
      <c r="L25" s="45">
        <f>AVERAGE(B25:K25)</f>
        <v/>
      </c>
      <c r="N25" s="19">
        <f>$A25</f>
        <v/>
      </c>
      <c r="O25" s="46">
        <f>AVERAGEIFS(RawDataKWh[일평균_일사합_kWh_m2],RawDataKWh[연월],$A25,RawDataKWh[지역명],O$3)</f>
        <v/>
      </c>
      <c r="P25" s="46">
        <f>AVERAGEIFS(RawDataKWh[일평균_일사합_kWh_m2],RawDataKWh[연월],$A25,RawDataKWh[지역명],P$3)</f>
        <v/>
      </c>
      <c r="Q25" s="46">
        <f>AVERAGEIFS(RawDataKWh[일평균_일사합_kWh_m2],RawDataKWh[연월],$A25,RawDataKWh[지역명],Q$3)</f>
        <v/>
      </c>
      <c r="R25" s="46">
        <f>AVERAGEIFS(RawDataKWh[일평균_일사합_kWh_m2],RawDataKWh[연월],$A25,RawDataKWh[지역명],R$3)</f>
        <v/>
      </c>
      <c r="S25" s="46">
        <f>AVERAGEIFS(RawDataKWh[일평균_일사합_kWh_m2],RawDataKWh[연월],$A25,RawDataKWh[지역명],S$3)</f>
        <v/>
      </c>
      <c r="T25" s="46">
        <f>AVERAGEIFS(RawDataKWh[일평균_일사합_kWh_m2],RawDataKWh[연월],$A25,RawDataKWh[지역명],T$3)</f>
        <v/>
      </c>
      <c r="U25" s="46">
        <f>AVERAGEIFS(RawDataKWh[일평균_일사합_kWh_m2],RawDataKWh[연월],$A25,RawDataKWh[지역명],U$3)</f>
        <v/>
      </c>
      <c r="V25" s="46">
        <f>AVERAGEIFS(RawDataKWh[일평균_일사합_kWh_m2],RawDataKWh[연월],$A25,RawDataKWh[지역명],V$3)</f>
        <v/>
      </c>
      <c r="W25" s="46">
        <f>AVERAGEIFS(RawDataKWh[일평균_일사합_kWh_m2],RawDataKWh[연월],$A25,RawDataKWh[지역명],W$3)</f>
        <v/>
      </c>
      <c r="X25" s="46">
        <f>AVERAGEIFS(RawDataKWh[일평균_일사합_kWh_m2],RawDataKWh[연월],$A25,RawDataKWh[지역명],X$3)</f>
        <v/>
      </c>
      <c r="Y25" s="46">
        <f>AVERAGE(O25:X25)</f>
        <v/>
      </c>
    </row>
    <row r="26" ht="16" customHeight="1">
      <c r="A26" s="17" t="inlineStr">
        <is>
          <t>2017-11</t>
        </is>
      </c>
      <c r="B26" s="41">
        <f>SUMIFS(RawDataKWh[일사합_kWh_m2],RawDataKWh[연월],$A26,RawDataKWh[지역명],B$3)</f>
        <v/>
      </c>
      <c r="C26" s="41">
        <f>SUMIFS(RawDataKWh[일사합_kWh_m2],RawDataKWh[연월],$A26,RawDataKWh[지역명],C$3)</f>
        <v/>
      </c>
      <c r="D26" s="41">
        <f>SUMIFS(RawDataKWh[일사합_kWh_m2],RawDataKWh[연월],$A26,RawDataKWh[지역명],D$3)</f>
        <v/>
      </c>
      <c r="E26" s="41">
        <f>SUMIFS(RawDataKWh[일사합_kWh_m2],RawDataKWh[연월],$A26,RawDataKWh[지역명],E$3)</f>
        <v/>
      </c>
      <c r="F26" s="41">
        <f>SUMIFS(RawDataKWh[일사합_kWh_m2],RawDataKWh[연월],$A26,RawDataKWh[지역명],F$3)</f>
        <v/>
      </c>
      <c r="G26" s="41">
        <f>SUMIFS(RawDataKWh[일사합_kWh_m2],RawDataKWh[연월],$A26,RawDataKWh[지역명],G$3)</f>
        <v/>
      </c>
      <c r="H26" s="41">
        <f>SUMIFS(RawDataKWh[일사합_kWh_m2],RawDataKWh[연월],$A26,RawDataKWh[지역명],H$3)</f>
        <v/>
      </c>
      <c r="I26" s="41">
        <f>SUMIFS(RawDataKWh[일사합_kWh_m2],RawDataKWh[연월],$A26,RawDataKWh[지역명],I$3)</f>
        <v/>
      </c>
      <c r="J26" s="41">
        <f>SUMIFS(RawDataKWh[일사합_kWh_m2],RawDataKWh[연월],$A26,RawDataKWh[지역명],J$3)</f>
        <v/>
      </c>
      <c r="K26" s="41">
        <f>SUMIFS(RawDataKWh[일사합_kWh_m2],RawDataKWh[연월],$A26,RawDataKWh[지역명],K$3)</f>
        <v/>
      </c>
      <c r="L26" s="41">
        <f>AVERAGE(B26:K26)</f>
        <v/>
      </c>
      <c r="N26" s="17">
        <f>$A26</f>
        <v/>
      </c>
      <c r="O26" s="42">
        <f>AVERAGEIFS(RawDataKWh[일평균_일사합_kWh_m2],RawDataKWh[연월],$A26,RawDataKWh[지역명],O$3)</f>
        <v/>
      </c>
      <c r="P26" s="42">
        <f>AVERAGEIFS(RawDataKWh[일평균_일사합_kWh_m2],RawDataKWh[연월],$A26,RawDataKWh[지역명],P$3)</f>
        <v/>
      </c>
      <c r="Q26" s="42">
        <f>AVERAGEIFS(RawDataKWh[일평균_일사합_kWh_m2],RawDataKWh[연월],$A26,RawDataKWh[지역명],Q$3)</f>
        <v/>
      </c>
      <c r="R26" s="42">
        <f>AVERAGEIFS(RawDataKWh[일평균_일사합_kWh_m2],RawDataKWh[연월],$A26,RawDataKWh[지역명],R$3)</f>
        <v/>
      </c>
      <c r="S26" s="42">
        <f>AVERAGEIFS(RawDataKWh[일평균_일사합_kWh_m2],RawDataKWh[연월],$A26,RawDataKWh[지역명],S$3)</f>
        <v/>
      </c>
      <c r="T26" s="42">
        <f>AVERAGEIFS(RawDataKWh[일평균_일사합_kWh_m2],RawDataKWh[연월],$A26,RawDataKWh[지역명],T$3)</f>
        <v/>
      </c>
      <c r="U26" s="42">
        <f>AVERAGEIFS(RawDataKWh[일평균_일사합_kWh_m2],RawDataKWh[연월],$A26,RawDataKWh[지역명],U$3)</f>
        <v/>
      </c>
      <c r="V26" s="42">
        <f>AVERAGEIFS(RawDataKWh[일평균_일사합_kWh_m2],RawDataKWh[연월],$A26,RawDataKWh[지역명],V$3)</f>
        <v/>
      </c>
      <c r="W26" s="42">
        <f>AVERAGEIFS(RawDataKWh[일평균_일사합_kWh_m2],RawDataKWh[연월],$A26,RawDataKWh[지역명],W$3)</f>
        <v/>
      </c>
      <c r="X26" s="42">
        <f>AVERAGEIFS(RawDataKWh[일평균_일사합_kWh_m2],RawDataKWh[연월],$A26,RawDataKWh[지역명],X$3)</f>
        <v/>
      </c>
      <c r="Y26" s="42">
        <f>AVERAGE(O26:X26)</f>
        <v/>
      </c>
    </row>
    <row r="27" ht="16" customHeight="1">
      <c r="A27" s="19" t="inlineStr">
        <is>
          <t>2017-12</t>
        </is>
      </c>
      <c r="B27" s="45">
        <f>SUMIFS(RawDataKWh[일사합_kWh_m2],RawDataKWh[연월],$A27,RawDataKWh[지역명],B$3)</f>
        <v/>
      </c>
      <c r="C27" s="45">
        <f>SUMIFS(RawDataKWh[일사합_kWh_m2],RawDataKWh[연월],$A27,RawDataKWh[지역명],C$3)</f>
        <v/>
      </c>
      <c r="D27" s="45">
        <f>SUMIFS(RawDataKWh[일사합_kWh_m2],RawDataKWh[연월],$A27,RawDataKWh[지역명],D$3)</f>
        <v/>
      </c>
      <c r="E27" s="45">
        <f>SUMIFS(RawDataKWh[일사합_kWh_m2],RawDataKWh[연월],$A27,RawDataKWh[지역명],E$3)</f>
        <v/>
      </c>
      <c r="F27" s="45">
        <f>SUMIFS(RawDataKWh[일사합_kWh_m2],RawDataKWh[연월],$A27,RawDataKWh[지역명],F$3)</f>
        <v/>
      </c>
      <c r="G27" s="45">
        <f>SUMIFS(RawDataKWh[일사합_kWh_m2],RawDataKWh[연월],$A27,RawDataKWh[지역명],G$3)</f>
        <v/>
      </c>
      <c r="H27" s="45">
        <f>SUMIFS(RawDataKWh[일사합_kWh_m2],RawDataKWh[연월],$A27,RawDataKWh[지역명],H$3)</f>
        <v/>
      </c>
      <c r="I27" s="45">
        <f>SUMIFS(RawDataKWh[일사합_kWh_m2],RawDataKWh[연월],$A27,RawDataKWh[지역명],I$3)</f>
        <v/>
      </c>
      <c r="J27" s="45">
        <f>SUMIFS(RawDataKWh[일사합_kWh_m2],RawDataKWh[연월],$A27,RawDataKWh[지역명],J$3)</f>
        <v/>
      </c>
      <c r="K27" s="45">
        <f>SUMIFS(RawDataKWh[일사합_kWh_m2],RawDataKWh[연월],$A27,RawDataKWh[지역명],K$3)</f>
        <v/>
      </c>
      <c r="L27" s="45">
        <f>AVERAGE(B27:K27)</f>
        <v/>
      </c>
      <c r="N27" s="19">
        <f>$A27</f>
        <v/>
      </c>
      <c r="O27" s="46">
        <f>AVERAGEIFS(RawDataKWh[일평균_일사합_kWh_m2],RawDataKWh[연월],$A27,RawDataKWh[지역명],O$3)</f>
        <v/>
      </c>
      <c r="P27" s="46">
        <f>AVERAGEIFS(RawDataKWh[일평균_일사합_kWh_m2],RawDataKWh[연월],$A27,RawDataKWh[지역명],P$3)</f>
        <v/>
      </c>
      <c r="Q27" s="46">
        <f>AVERAGEIFS(RawDataKWh[일평균_일사합_kWh_m2],RawDataKWh[연월],$A27,RawDataKWh[지역명],Q$3)</f>
        <v/>
      </c>
      <c r="R27" s="46">
        <f>AVERAGEIFS(RawDataKWh[일평균_일사합_kWh_m2],RawDataKWh[연월],$A27,RawDataKWh[지역명],R$3)</f>
        <v/>
      </c>
      <c r="S27" s="46">
        <f>AVERAGEIFS(RawDataKWh[일평균_일사합_kWh_m2],RawDataKWh[연월],$A27,RawDataKWh[지역명],S$3)</f>
        <v/>
      </c>
      <c r="T27" s="46">
        <f>AVERAGEIFS(RawDataKWh[일평균_일사합_kWh_m2],RawDataKWh[연월],$A27,RawDataKWh[지역명],T$3)</f>
        <v/>
      </c>
      <c r="U27" s="46">
        <f>AVERAGEIFS(RawDataKWh[일평균_일사합_kWh_m2],RawDataKWh[연월],$A27,RawDataKWh[지역명],U$3)</f>
        <v/>
      </c>
      <c r="V27" s="46">
        <f>AVERAGEIFS(RawDataKWh[일평균_일사합_kWh_m2],RawDataKWh[연월],$A27,RawDataKWh[지역명],V$3)</f>
        <v/>
      </c>
      <c r="W27" s="46">
        <f>AVERAGEIFS(RawDataKWh[일평균_일사합_kWh_m2],RawDataKWh[연월],$A27,RawDataKWh[지역명],W$3)</f>
        <v/>
      </c>
      <c r="X27" s="46">
        <f>AVERAGEIFS(RawDataKWh[일평균_일사합_kWh_m2],RawDataKWh[연월],$A27,RawDataKWh[지역명],X$3)</f>
        <v/>
      </c>
      <c r="Y27" s="46">
        <f>AVERAGE(O27:X27)</f>
        <v/>
      </c>
    </row>
    <row r="28" ht="16" customHeight="1">
      <c r="A28" s="17" t="inlineStr">
        <is>
          <t>2018-01</t>
        </is>
      </c>
      <c r="B28" s="41">
        <f>SUMIFS(RawDataKWh[일사합_kWh_m2],RawDataKWh[연월],$A28,RawDataKWh[지역명],B$3)</f>
        <v/>
      </c>
      <c r="C28" s="41">
        <f>SUMIFS(RawDataKWh[일사합_kWh_m2],RawDataKWh[연월],$A28,RawDataKWh[지역명],C$3)</f>
        <v/>
      </c>
      <c r="D28" s="41">
        <f>SUMIFS(RawDataKWh[일사합_kWh_m2],RawDataKWh[연월],$A28,RawDataKWh[지역명],D$3)</f>
        <v/>
      </c>
      <c r="E28" s="41">
        <f>SUMIFS(RawDataKWh[일사합_kWh_m2],RawDataKWh[연월],$A28,RawDataKWh[지역명],E$3)</f>
        <v/>
      </c>
      <c r="F28" s="41">
        <f>SUMIFS(RawDataKWh[일사합_kWh_m2],RawDataKWh[연월],$A28,RawDataKWh[지역명],F$3)</f>
        <v/>
      </c>
      <c r="G28" s="41">
        <f>SUMIFS(RawDataKWh[일사합_kWh_m2],RawDataKWh[연월],$A28,RawDataKWh[지역명],G$3)</f>
        <v/>
      </c>
      <c r="H28" s="41">
        <f>SUMIFS(RawDataKWh[일사합_kWh_m2],RawDataKWh[연월],$A28,RawDataKWh[지역명],H$3)</f>
        <v/>
      </c>
      <c r="I28" s="41">
        <f>SUMIFS(RawDataKWh[일사합_kWh_m2],RawDataKWh[연월],$A28,RawDataKWh[지역명],I$3)</f>
        <v/>
      </c>
      <c r="J28" s="41">
        <f>SUMIFS(RawDataKWh[일사합_kWh_m2],RawDataKWh[연월],$A28,RawDataKWh[지역명],J$3)</f>
        <v/>
      </c>
      <c r="K28" s="41">
        <f>SUMIFS(RawDataKWh[일사합_kWh_m2],RawDataKWh[연월],$A28,RawDataKWh[지역명],K$3)</f>
        <v/>
      </c>
      <c r="L28" s="41">
        <f>AVERAGE(B28:K28)</f>
        <v/>
      </c>
      <c r="N28" s="17">
        <f>$A28</f>
        <v/>
      </c>
      <c r="O28" s="42">
        <f>AVERAGEIFS(RawDataKWh[일평균_일사합_kWh_m2],RawDataKWh[연월],$A28,RawDataKWh[지역명],O$3)</f>
        <v/>
      </c>
      <c r="P28" s="42">
        <f>AVERAGEIFS(RawDataKWh[일평균_일사합_kWh_m2],RawDataKWh[연월],$A28,RawDataKWh[지역명],P$3)</f>
        <v/>
      </c>
      <c r="Q28" s="42">
        <f>AVERAGEIFS(RawDataKWh[일평균_일사합_kWh_m2],RawDataKWh[연월],$A28,RawDataKWh[지역명],Q$3)</f>
        <v/>
      </c>
      <c r="R28" s="42">
        <f>AVERAGEIFS(RawDataKWh[일평균_일사합_kWh_m2],RawDataKWh[연월],$A28,RawDataKWh[지역명],R$3)</f>
        <v/>
      </c>
      <c r="S28" s="42">
        <f>AVERAGEIFS(RawDataKWh[일평균_일사합_kWh_m2],RawDataKWh[연월],$A28,RawDataKWh[지역명],S$3)</f>
        <v/>
      </c>
      <c r="T28" s="42">
        <f>AVERAGEIFS(RawDataKWh[일평균_일사합_kWh_m2],RawDataKWh[연월],$A28,RawDataKWh[지역명],T$3)</f>
        <v/>
      </c>
      <c r="U28" s="42">
        <f>AVERAGEIFS(RawDataKWh[일평균_일사합_kWh_m2],RawDataKWh[연월],$A28,RawDataKWh[지역명],U$3)</f>
        <v/>
      </c>
      <c r="V28" s="42">
        <f>AVERAGEIFS(RawDataKWh[일평균_일사합_kWh_m2],RawDataKWh[연월],$A28,RawDataKWh[지역명],V$3)</f>
        <v/>
      </c>
      <c r="W28" s="42">
        <f>AVERAGEIFS(RawDataKWh[일평균_일사합_kWh_m2],RawDataKWh[연월],$A28,RawDataKWh[지역명],W$3)</f>
        <v/>
      </c>
      <c r="X28" s="42">
        <f>AVERAGEIFS(RawDataKWh[일평균_일사합_kWh_m2],RawDataKWh[연월],$A28,RawDataKWh[지역명],X$3)</f>
        <v/>
      </c>
      <c r="Y28" s="42">
        <f>AVERAGE(O28:X28)</f>
        <v/>
      </c>
    </row>
    <row r="29" ht="16" customHeight="1">
      <c r="A29" s="19" t="inlineStr">
        <is>
          <t>2018-02</t>
        </is>
      </c>
      <c r="B29" s="45">
        <f>SUMIFS(RawDataKWh[일사합_kWh_m2],RawDataKWh[연월],$A29,RawDataKWh[지역명],B$3)</f>
        <v/>
      </c>
      <c r="C29" s="45">
        <f>SUMIFS(RawDataKWh[일사합_kWh_m2],RawDataKWh[연월],$A29,RawDataKWh[지역명],C$3)</f>
        <v/>
      </c>
      <c r="D29" s="45">
        <f>SUMIFS(RawDataKWh[일사합_kWh_m2],RawDataKWh[연월],$A29,RawDataKWh[지역명],D$3)</f>
        <v/>
      </c>
      <c r="E29" s="45">
        <f>SUMIFS(RawDataKWh[일사합_kWh_m2],RawDataKWh[연월],$A29,RawDataKWh[지역명],E$3)</f>
        <v/>
      </c>
      <c r="F29" s="45">
        <f>SUMIFS(RawDataKWh[일사합_kWh_m2],RawDataKWh[연월],$A29,RawDataKWh[지역명],F$3)</f>
        <v/>
      </c>
      <c r="G29" s="45">
        <f>SUMIFS(RawDataKWh[일사합_kWh_m2],RawDataKWh[연월],$A29,RawDataKWh[지역명],G$3)</f>
        <v/>
      </c>
      <c r="H29" s="45">
        <f>SUMIFS(RawDataKWh[일사합_kWh_m2],RawDataKWh[연월],$A29,RawDataKWh[지역명],H$3)</f>
        <v/>
      </c>
      <c r="I29" s="45">
        <f>SUMIFS(RawDataKWh[일사합_kWh_m2],RawDataKWh[연월],$A29,RawDataKWh[지역명],I$3)</f>
        <v/>
      </c>
      <c r="J29" s="45">
        <f>SUMIFS(RawDataKWh[일사합_kWh_m2],RawDataKWh[연월],$A29,RawDataKWh[지역명],J$3)</f>
        <v/>
      </c>
      <c r="K29" s="45">
        <f>SUMIFS(RawDataKWh[일사합_kWh_m2],RawDataKWh[연월],$A29,RawDataKWh[지역명],K$3)</f>
        <v/>
      </c>
      <c r="L29" s="45">
        <f>AVERAGE(B29:K29)</f>
        <v/>
      </c>
      <c r="N29" s="19">
        <f>$A29</f>
        <v/>
      </c>
      <c r="O29" s="46">
        <f>AVERAGEIFS(RawDataKWh[일평균_일사합_kWh_m2],RawDataKWh[연월],$A29,RawDataKWh[지역명],O$3)</f>
        <v/>
      </c>
      <c r="P29" s="46">
        <f>AVERAGEIFS(RawDataKWh[일평균_일사합_kWh_m2],RawDataKWh[연월],$A29,RawDataKWh[지역명],P$3)</f>
        <v/>
      </c>
      <c r="Q29" s="46">
        <f>AVERAGEIFS(RawDataKWh[일평균_일사합_kWh_m2],RawDataKWh[연월],$A29,RawDataKWh[지역명],Q$3)</f>
        <v/>
      </c>
      <c r="R29" s="46">
        <f>AVERAGEIFS(RawDataKWh[일평균_일사합_kWh_m2],RawDataKWh[연월],$A29,RawDataKWh[지역명],R$3)</f>
        <v/>
      </c>
      <c r="S29" s="46">
        <f>AVERAGEIFS(RawDataKWh[일평균_일사합_kWh_m2],RawDataKWh[연월],$A29,RawDataKWh[지역명],S$3)</f>
        <v/>
      </c>
      <c r="T29" s="46">
        <f>AVERAGEIFS(RawDataKWh[일평균_일사합_kWh_m2],RawDataKWh[연월],$A29,RawDataKWh[지역명],T$3)</f>
        <v/>
      </c>
      <c r="U29" s="46">
        <f>AVERAGEIFS(RawDataKWh[일평균_일사합_kWh_m2],RawDataKWh[연월],$A29,RawDataKWh[지역명],U$3)</f>
        <v/>
      </c>
      <c r="V29" s="46">
        <f>AVERAGEIFS(RawDataKWh[일평균_일사합_kWh_m2],RawDataKWh[연월],$A29,RawDataKWh[지역명],V$3)</f>
        <v/>
      </c>
      <c r="W29" s="46">
        <f>AVERAGEIFS(RawDataKWh[일평균_일사합_kWh_m2],RawDataKWh[연월],$A29,RawDataKWh[지역명],W$3)</f>
        <v/>
      </c>
      <c r="X29" s="46">
        <f>AVERAGEIFS(RawDataKWh[일평균_일사합_kWh_m2],RawDataKWh[연월],$A29,RawDataKWh[지역명],X$3)</f>
        <v/>
      </c>
      <c r="Y29" s="46">
        <f>AVERAGE(O29:X29)</f>
        <v/>
      </c>
    </row>
    <row r="30" ht="16" customHeight="1">
      <c r="A30" s="17" t="inlineStr">
        <is>
          <t>2018-03</t>
        </is>
      </c>
      <c r="B30" s="41">
        <f>SUMIFS(RawDataKWh[일사합_kWh_m2],RawDataKWh[연월],$A30,RawDataKWh[지역명],B$3)</f>
        <v/>
      </c>
      <c r="C30" s="41">
        <f>SUMIFS(RawDataKWh[일사합_kWh_m2],RawDataKWh[연월],$A30,RawDataKWh[지역명],C$3)</f>
        <v/>
      </c>
      <c r="D30" s="41">
        <f>SUMIFS(RawDataKWh[일사합_kWh_m2],RawDataKWh[연월],$A30,RawDataKWh[지역명],D$3)</f>
        <v/>
      </c>
      <c r="E30" s="41">
        <f>SUMIFS(RawDataKWh[일사합_kWh_m2],RawDataKWh[연월],$A30,RawDataKWh[지역명],E$3)</f>
        <v/>
      </c>
      <c r="F30" s="41">
        <f>SUMIFS(RawDataKWh[일사합_kWh_m2],RawDataKWh[연월],$A30,RawDataKWh[지역명],F$3)</f>
        <v/>
      </c>
      <c r="G30" s="41">
        <f>SUMIFS(RawDataKWh[일사합_kWh_m2],RawDataKWh[연월],$A30,RawDataKWh[지역명],G$3)</f>
        <v/>
      </c>
      <c r="H30" s="41">
        <f>SUMIFS(RawDataKWh[일사합_kWh_m2],RawDataKWh[연월],$A30,RawDataKWh[지역명],H$3)</f>
        <v/>
      </c>
      <c r="I30" s="41">
        <f>SUMIFS(RawDataKWh[일사합_kWh_m2],RawDataKWh[연월],$A30,RawDataKWh[지역명],I$3)</f>
        <v/>
      </c>
      <c r="J30" s="41">
        <f>SUMIFS(RawDataKWh[일사합_kWh_m2],RawDataKWh[연월],$A30,RawDataKWh[지역명],J$3)</f>
        <v/>
      </c>
      <c r="K30" s="41">
        <f>SUMIFS(RawDataKWh[일사합_kWh_m2],RawDataKWh[연월],$A30,RawDataKWh[지역명],K$3)</f>
        <v/>
      </c>
      <c r="L30" s="41">
        <f>AVERAGE(B30:K30)</f>
        <v/>
      </c>
      <c r="N30" s="17">
        <f>$A30</f>
        <v/>
      </c>
      <c r="O30" s="42">
        <f>AVERAGEIFS(RawDataKWh[일평균_일사합_kWh_m2],RawDataKWh[연월],$A30,RawDataKWh[지역명],O$3)</f>
        <v/>
      </c>
      <c r="P30" s="42">
        <f>AVERAGEIFS(RawDataKWh[일평균_일사합_kWh_m2],RawDataKWh[연월],$A30,RawDataKWh[지역명],P$3)</f>
        <v/>
      </c>
      <c r="Q30" s="42">
        <f>AVERAGEIFS(RawDataKWh[일평균_일사합_kWh_m2],RawDataKWh[연월],$A30,RawDataKWh[지역명],Q$3)</f>
        <v/>
      </c>
      <c r="R30" s="42">
        <f>AVERAGEIFS(RawDataKWh[일평균_일사합_kWh_m2],RawDataKWh[연월],$A30,RawDataKWh[지역명],R$3)</f>
        <v/>
      </c>
      <c r="S30" s="42">
        <f>AVERAGEIFS(RawDataKWh[일평균_일사합_kWh_m2],RawDataKWh[연월],$A30,RawDataKWh[지역명],S$3)</f>
        <v/>
      </c>
      <c r="T30" s="42">
        <f>AVERAGEIFS(RawDataKWh[일평균_일사합_kWh_m2],RawDataKWh[연월],$A30,RawDataKWh[지역명],T$3)</f>
        <v/>
      </c>
      <c r="U30" s="42">
        <f>AVERAGEIFS(RawDataKWh[일평균_일사합_kWh_m2],RawDataKWh[연월],$A30,RawDataKWh[지역명],U$3)</f>
        <v/>
      </c>
      <c r="V30" s="42">
        <f>AVERAGEIFS(RawDataKWh[일평균_일사합_kWh_m2],RawDataKWh[연월],$A30,RawDataKWh[지역명],V$3)</f>
        <v/>
      </c>
      <c r="W30" s="42">
        <f>AVERAGEIFS(RawDataKWh[일평균_일사합_kWh_m2],RawDataKWh[연월],$A30,RawDataKWh[지역명],W$3)</f>
        <v/>
      </c>
      <c r="X30" s="42">
        <f>AVERAGEIFS(RawDataKWh[일평균_일사합_kWh_m2],RawDataKWh[연월],$A30,RawDataKWh[지역명],X$3)</f>
        <v/>
      </c>
      <c r="Y30" s="42">
        <f>AVERAGE(O30:X30)</f>
        <v/>
      </c>
    </row>
    <row r="31" ht="16" customHeight="1">
      <c r="A31" s="19" t="inlineStr">
        <is>
          <t>2018-04</t>
        </is>
      </c>
      <c r="B31" s="45">
        <f>SUMIFS(RawDataKWh[일사합_kWh_m2],RawDataKWh[연월],$A31,RawDataKWh[지역명],B$3)</f>
        <v/>
      </c>
      <c r="C31" s="45">
        <f>SUMIFS(RawDataKWh[일사합_kWh_m2],RawDataKWh[연월],$A31,RawDataKWh[지역명],C$3)</f>
        <v/>
      </c>
      <c r="D31" s="45">
        <f>SUMIFS(RawDataKWh[일사합_kWh_m2],RawDataKWh[연월],$A31,RawDataKWh[지역명],D$3)</f>
        <v/>
      </c>
      <c r="E31" s="45">
        <f>SUMIFS(RawDataKWh[일사합_kWh_m2],RawDataKWh[연월],$A31,RawDataKWh[지역명],E$3)</f>
        <v/>
      </c>
      <c r="F31" s="45">
        <f>SUMIFS(RawDataKWh[일사합_kWh_m2],RawDataKWh[연월],$A31,RawDataKWh[지역명],F$3)</f>
        <v/>
      </c>
      <c r="G31" s="45">
        <f>SUMIFS(RawDataKWh[일사합_kWh_m2],RawDataKWh[연월],$A31,RawDataKWh[지역명],G$3)</f>
        <v/>
      </c>
      <c r="H31" s="45">
        <f>SUMIFS(RawDataKWh[일사합_kWh_m2],RawDataKWh[연월],$A31,RawDataKWh[지역명],H$3)</f>
        <v/>
      </c>
      <c r="I31" s="45">
        <f>SUMIFS(RawDataKWh[일사합_kWh_m2],RawDataKWh[연월],$A31,RawDataKWh[지역명],I$3)</f>
        <v/>
      </c>
      <c r="J31" s="45">
        <f>SUMIFS(RawDataKWh[일사합_kWh_m2],RawDataKWh[연월],$A31,RawDataKWh[지역명],J$3)</f>
        <v/>
      </c>
      <c r="K31" s="45">
        <f>SUMIFS(RawDataKWh[일사합_kWh_m2],RawDataKWh[연월],$A31,RawDataKWh[지역명],K$3)</f>
        <v/>
      </c>
      <c r="L31" s="45">
        <f>AVERAGE(B31:K31)</f>
        <v/>
      </c>
      <c r="N31" s="19">
        <f>$A31</f>
        <v/>
      </c>
      <c r="O31" s="46">
        <f>AVERAGEIFS(RawDataKWh[일평균_일사합_kWh_m2],RawDataKWh[연월],$A31,RawDataKWh[지역명],O$3)</f>
        <v/>
      </c>
      <c r="P31" s="46">
        <f>AVERAGEIFS(RawDataKWh[일평균_일사합_kWh_m2],RawDataKWh[연월],$A31,RawDataKWh[지역명],P$3)</f>
        <v/>
      </c>
      <c r="Q31" s="46">
        <f>AVERAGEIFS(RawDataKWh[일평균_일사합_kWh_m2],RawDataKWh[연월],$A31,RawDataKWh[지역명],Q$3)</f>
        <v/>
      </c>
      <c r="R31" s="46">
        <f>AVERAGEIFS(RawDataKWh[일평균_일사합_kWh_m2],RawDataKWh[연월],$A31,RawDataKWh[지역명],R$3)</f>
        <v/>
      </c>
      <c r="S31" s="46">
        <f>AVERAGEIFS(RawDataKWh[일평균_일사합_kWh_m2],RawDataKWh[연월],$A31,RawDataKWh[지역명],S$3)</f>
        <v/>
      </c>
      <c r="T31" s="46">
        <f>AVERAGEIFS(RawDataKWh[일평균_일사합_kWh_m2],RawDataKWh[연월],$A31,RawDataKWh[지역명],T$3)</f>
        <v/>
      </c>
      <c r="U31" s="46">
        <f>AVERAGEIFS(RawDataKWh[일평균_일사합_kWh_m2],RawDataKWh[연월],$A31,RawDataKWh[지역명],U$3)</f>
        <v/>
      </c>
      <c r="V31" s="46">
        <f>AVERAGEIFS(RawDataKWh[일평균_일사합_kWh_m2],RawDataKWh[연월],$A31,RawDataKWh[지역명],V$3)</f>
        <v/>
      </c>
      <c r="W31" s="46">
        <f>AVERAGEIFS(RawDataKWh[일평균_일사합_kWh_m2],RawDataKWh[연월],$A31,RawDataKWh[지역명],W$3)</f>
        <v/>
      </c>
      <c r="X31" s="46">
        <f>AVERAGEIFS(RawDataKWh[일평균_일사합_kWh_m2],RawDataKWh[연월],$A31,RawDataKWh[지역명],X$3)</f>
        <v/>
      </c>
      <c r="Y31" s="46">
        <f>AVERAGE(O31:X31)</f>
        <v/>
      </c>
    </row>
    <row r="32" ht="16" customHeight="1">
      <c r="A32" s="17" t="inlineStr">
        <is>
          <t>2018-05</t>
        </is>
      </c>
      <c r="B32" s="41">
        <f>SUMIFS(RawDataKWh[일사합_kWh_m2],RawDataKWh[연월],$A32,RawDataKWh[지역명],B$3)</f>
        <v/>
      </c>
      <c r="C32" s="41">
        <f>SUMIFS(RawDataKWh[일사합_kWh_m2],RawDataKWh[연월],$A32,RawDataKWh[지역명],C$3)</f>
        <v/>
      </c>
      <c r="D32" s="41">
        <f>SUMIFS(RawDataKWh[일사합_kWh_m2],RawDataKWh[연월],$A32,RawDataKWh[지역명],D$3)</f>
        <v/>
      </c>
      <c r="E32" s="41">
        <f>SUMIFS(RawDataKWh[일사합_kWh_m2],RawDataKWh[연월],$A32,RawDataKWh[지역명],E$3)</f>
        <v/>
      </c>
      <c r="F32" s="41">
        <f>SUMIFS(RawDataKWh[일사합_kWh_m2],RawDataKWh[연월],$A32,RawDataKWh[지역명],F$3)</f>
        <v/>
      </c>
      <c r="G32" s="41">
        <f>SUMIFS(RawDataKWh[일사합_kWh_m2],RawDataKWh[연월],$A32,RawDataKWh[지역명],G$3)</f>
        <v/>
      </c>
      <c r="H32" s="41">
        <f>SUMIFS(RawDataKWh[일사합_kWh_m2],RawDataKWh[연월],$A32,RawDataKWh[지역명],H$3)</f>
        <v/>
      </c>
      <c r="I32" s="41">
        <f>SUMIFS(RawDataKWh[일사합_kWh_m2],RawDataKWh[연월],$A32,RawDataKWh[지역명],I$3)</f>
        <v/>
      </c>
      <c r="J32" s="41">
        <f>SUMIFS(RawDataKWh[일사합_kWh_m2],RawDataKWh[연월],$A32,RawDataKWh[지역명],J$3)</f>
        <v/>
      </c>
      <c r="K32" s="41">
        <f>SUMIFS(RawDataKWh[일사합_kWh_m2],RawDataKWh[연월],$A32,RawDataKWh[지역명],K$3)</f>
        <v/>
      </c>
      <c r="L32" s="41">
        <f>AVERAGE(B32:K32)</f>
        <v/>
      </c>
      <c r="N32" s="17">
        <f>$A32</f>
        <v/>
      </c>
      <c r="O32" s="42">
        <f>AVERAGEIFS(RawDataKWh[일평균_일사합_kWh_m2],RawDataKWh[연월],$A32,RawDataKWh[지역명],O$3)</f>
        <v/>
      </c>
      <c r="P32" s="42">
        <f>AVERAGEIFS(RawDataKWh[일평균_일사합_kWh_m2],RawDataKWh[연월],$A32,RawDataKWh[지역명],P$3)</f>
        <v/>
      </c>
      <c r="Q32" s="42">
        <f>AVERAGEIFS(RawDataKWh[일평균_일사합_kWh_m2],RawDataKWh[연월],$A32,RawDataKWh[지역명],Q$3)</f>
        <v/>
      </c>
      <c r="R32" s="42">
        <f>AVERAGEIFS(RawDataKWh[일평균_일사합_kWh_m2],RawDataKWh[연월],$A32,RawDataKWh[지역명],R$3)</f>
        <v/>
      </c>
      <c r="S32" s="42">
        <f>AVERAGEIFS(RawDataKWh[일평균_일사합_kWh_m2],RawDataKWh[연월],$A32,RawDataKWh[지역명],S$3)</f>
        <v/>
      </c>
      <c r="T32" s="42">
        <f>AVERAGEIFS(RawDataKWh[일평균_일사합_kWh_m2],RawDataKWh[연월],$A32,RawDataKWh[지역명],T$3)</f>
        <v/>
      </c>
      <c r="U32" s="42">
        <f>AVERAGEIFS(RawDataKWh[일평균_일사합_kWh_m2],RawDataKWh[연월],$A32,RawDataKWh[지역명],U$3)</f>
        <v/>
      </c>
      <c r="V32" s="42">
        <f>AVERAGEIFS(RawDataKWh[일평균_일사합_kWh_m2],RawDataKWh[연월],$A32,RawDataKWh[지역명],V$3)</f>
        <v/>
      </c>
      <c r="W32" s="42">
        <f>AVERAGEIFS(RawDataKWh[일평균_일사합_kWh_m2],RawDataKWh[연월],$A32,RawDataKWh[지역명],W$3)</f>
        <v/>
      </c>
      <c r="X32" s="42">
        <f>AVERAGEIFS(RawDataKWh[일평균_일사합_kWh_m2],RawDataKWh[연월],$A32,RawDataKWh[지역명],X$3)</f>
        <v/>
      </c>
      <c r="Y32" s="42">
        <f>AVERAGE(O32:X32)</f>
        <v/>
      </c>
    </row>
    <row r="33" ht="16" customHeight="1">
      <c r="A33" s="19" t="inlineStr">
        <is>
          <t>2018-06</t>
        </is>
      </c>
      <c r="B33" s="45">
        <f>SUMIFS(RawDataKWh[일사합_kWh_m2],RawDataKWh[연월],$A33,RawDataKWh[지역명],B$3)</f>
        <v/>
      </c>
      <c r="C33" s="45">
        <f>SUMIFS(RawDataKWh[일사합_kWh_m2],RawDataKWh[연월],$A33,RawDataKWh[지역명],C$3)</f>
        <v/>
      </c>
      <c r="D33" s="45">
        <f>SUMIFS(RawDataKWh[일사합_kWh_m2],RawDataKWh[연월],$A33,RawDataKWh[지역명],D$3)</f>
        <v/>
      </c>
      <c r="E33" s="45">
        <f>SUMIFS(RawDataKWh[일사합_kWh_m2],RawDataKWh[연월],$A33,RawDataKWh[지역명],E$3)</f>
        <v/>
      </c>
      <c r="F33" s="45">
        <f>SUMIFS(RawDataKWh[일사합_kWh_m2],RawDataKWh[연월],$A33,RawDataKWh[지역명],F$3)</f>
        <v/>
      </c>
      <c r="G33" s="45">
        <f>SUMIFS(RawDataKWh[일사합_kWh_m2],RawDataKWh[연월],$A33,RawDataKWh[지역명],G$3)</f>
        <v/>
      </c>
      <c r="H33" s="45">
        <f>SUMIFS(RawDataKWh[일사합_kWh_m2],RawDataKWh[연월],$A33,RawDataKWh[지역명],H$3)</f>
        <v/>
      </c>
      <c r="I33" s="45">
        <f>SUMIFS(RawDataKWh[일사합_kWh_m2],RawDataKWh[연월],$A33,RawDataKWh[지역명],I$3)</f>
        <v/>
      </c>
      <c r="J33" s="45">
        <f>SUMIFS(RawDataKWh[일사합_kWh_m2],RawDataKWh[연월],$A33,RawDataKWh[지역명],J$3)</f>
        <v/>
      </c>
      <c r="K33" s="45">
        <f>SUMIFS(RawDataKWh[일사합_kWh_m2],RawDataKWh[연월],$A33,RawDataKWh[지역명],K$3)</f>
        <v/>
      </c>
      <c r="L33" s="45">
        <f>AVERAGE(B33:K33)</f>
        <v/>
      </c>
      <c r="N33" s="19">
        <f>$A33</f>
        <v/>
      </c>
      <c r="O33" s="46">
        <f>AVERAGEIFS(RawDataKWh[일평균_일사합_kWh_m2],RawDataKWh[연월],$A33,RawDataKWh[지역명],O$3)</f>
        <v/>
      </c>
      <c r="P33" s="46">
        <f>AVERAGEIFS(RawDataKWh[일평균_일사합_kWh_m2],RawDataKWh[연월],$A33,RawDataKWh[지역명],P$3)</f>
        <v/>
      </c>
      <c r="Q33" s="46">
        <f>AVERAGEIFS(RawDataKWh[일평균_일사합_kWh_m2],RawDataKWh[연월],$A33,RawDataKWh[지역명],Q$3)</f>
        <v/>
      </c>
      <c r="R33" s="46">
        <f>AVERAGEIFS(RawDataKWh[일평균_일사합_kWh_m2],RawDataKWh[연월],$A33,RawDataKWh[지역명],R$3)</f>
        <v/>
      </c>
      <c r="S33" s="46">
        <f>AVERAGEIFS(RawDataKWh[일평균_일사합_kWh_m2],RawDataKWh[연월],$A33,RawDataKWh[지역명],S$3)</f>
        <v/>
      </c>
      <c r="T33" s="46">
        <f>AVERAGEIFS(RawDataKWh[일평균_일사합_kWh_m2],RawDataKWh[연월],$A33,RawDataKWh[지역명],T$3)</f>
        <v/>
      </c>
      <c r="U33" s="46">
        <f>AVERAGEIFS(RawDataKWh[일평균_일사합_kWh_m2],RawDataKWh[연월],$A33,RawDataKWh[지역명],U$3)</f>
        <v/>
      </c>
      <c r="V33" s="46">
        <f>AVERAGEIFS(RawDataKWh[일평균_일사합_kWh_m2],RawDataKWh[연월],$A33,RawDataKWh[지역명],V$3)</f>
        <v/>
      </c>
      <c r="W33" s="46">
        <f>AVERAGEIFS(RawDataKWh[일평균_일사합_kWh_m2],RawDataKWh[연월],$A33,RawDataKWh[지역명],W$3)</f>
        <v/>
      </c>
      <c r="X33" s="46">
        <f>AVERAGEIFS(RawDataKWh[일평균_일사합_kWh_m2],RawDataKWh[연월],$A33,RawDataKWh[지역명],X$3)</f>
        <v/>
      </c>
      <c r="Y33" s="46">
        <f>AVERAGE(O33:X33)</f>
        <v/>
      </c>
    </row>
    <row r="34" ht="16" customHeight="1">
      <c r="A34" s="17" t="inlineStr">
        <is>
          <t>2018-07</t>
        </is>
      </c>
      <c r="B34" s="41">
        <f>SUMIFS(RawDataKWh[일사합_kWh_m2],RawDataKWh[연월],$A34,RawDataKWh[지역명],B$3)</f>
        <v/>
      </c>
      <c r="C34" s="41">
        <f>SUMIFS(RawDataKWh[일사합_kWh_m2],RawDataKWh[연월],$A34,RawDataKWh[지역명],C$3)</f>
        <v/>
      </c>
      <c r="D34" s="41">
        <f>SUMIFS(RawDataKWh[일사합_kWh_m2],RawDataKWh[연월],$A34,RawDataKWh[지역명],D$3)</f>
        <v/>
      </c>
      <c r="E34" s="41">
        <f>SUMIFS(RawDataKWh[일사합_kWh_m2],RawDataKWh[연월],$A34,RawDataKWh[지역명],E$3)</f>
        <v/>
      </c>
      <c r="F34" s="41">
        <f>SUMIFS(RawDataKWh[일사합_kWh_m2],RawDataKWh[연월],$A34,RawDataKWh[지역명],F$3)</f>
        <v/>
      </c>
      <c r="G34" s="41">
        <f>SUMIFS(RawDataKWh[일사합_kWh_m2],RawDataKWh[연월],$A34,RawDataKWh[지역명],G$3)</f>
        <v/>
      </c>
      <c r="H34" s="41">
        <f>SUMIFS(RawDataKWh[일사합_kWh_m2],RawDataKWh[연월],$A34,RawDataKWh[지역명],H$3)</f>
        <v/>
      </c>
      <c r="I34" s="41">
        <f>SUMIFS(RawDataKWh[일사합_kWh_m2],RawDataKWh[연월],$A34,RawDataKWh[지역명],I$3)</f>
        <v/>
      </c>
      <c r="J34" s="41">
        <f>SUMIFS(RawDataKWh[일사합_kWh_m2],RawDataKWh[연월],$A34,RawDataKWh[지역명],J$3)</f>
        <v/>
      </c>
      <c r="K34" s="41">
        <f>SUMIFS(RawDataKWh[일사합_kWh_m2],RawDataKWh[연월],$A34,RawDataKWh[지역명],K$3)</f>
        <v/>
      </c>
      <c r="L34" s="41">
        <f>AVERAGE(B34:K34)</f>
        <v/>
      </c>
      <c r="N34" s="17">
        <f>$A34</f>
        <v/>
      </c>
      <c r="O34" s="42">
        <f>AVERAGEIFS(RawDataKWh[일평균_일사합_kWh_m2],RawDataKWh[연월],$A34,RawDataKWh[지역명],O$3)</f>
        <v/>
      </c>
      <c r="P34" s="42">
        <f>AVERAGEIFS(RawDataKWh[일평균_일사합_kWh_m2],RawDataKWh[연월],$A34,RawDataKWh[지역명],P$3)</f>
        <v/>
      </c>
      <c r="Q34" s="42">
        <f>AVERAGEIFS(RawDataKWh[일평균_일사합_kWh_m2],RawDataKWh[연월],$A34,RawDataKWh[지역명],Q$3)</f>
        <v/>
      </c>
      <c r="R34" s="42">
        <f>AVERAGEIFS(RawDataKWh[일평균_일사합_kWh_m2],RawDataKWh[연월],$A34,RawDataKWh[지역명],R$3)</f>
        <v/>
      </c>
      <c r="S34" s="42">
        <f>AVERAGEIFS(RawDataKWh[일평균_일사합_kWh_m2],RawDataKWh[연월],$A34,RawDataKWh[지역명],S$3)</f>
        <v/>
      </c>
      <c r="T34" s="42">
        <f>AVERAGEIFS(RawDataKWh[일평균_일사합_kWh_m2],RawDataKWh[연월],$A34,RawDataKWh[지역명],T$3)</f>
        <v/>
      </c>
      <c r="U34" s="42">
        <f>AVERAGEIFS(RawDataKWh[일평균_일사합_kWh_m2],RawDataKWh[연월],$A34,RawDataKWh[지역명],U$3)</f>
        <v/>
      </c>
      <c r="V34" s="42">
        <f>AVERAGEIFS(RawDataKWh[일평균_일사합_kWh_m2],RawDataKWh[연월],$A34,RawDataKWh[지역명],V$3)</f>
        <v/>
      </c>
      <c r="W34" s="42">
        <f>AVERAGEIFS(RawDataKWh[일평균_일사합_kWh_m2],RawDataKWh[연월],$A34,RawDataKWh[지역명],W$3)</f>
        <v/>
      </c>
      <c r="X34" s="42">
        <f>AVERAGEIFS(RawDataKWh[일평균_일사합_kWh_m2],RawDataKWh[연월],$A34,RawDataKWh[지역명],X$3)</f>
        <v/>
      </c>
      <c r="Y34" s="42">
        <f>AVERAGE(O34:X34)</f>
        <v/>
      </c>
    </row>
    <row r="35" ht="16" customHeight="1">
      <c r="A35" s="19" t="inlineStr">
        <is>
          <t>2018-08</t>
        </is>
      </c>
      <c r="B35" s="45">
        <f>SUMIFS(RawDataKWh[일사합_kWh_m2],RawDataKWh[연월],$A35,RawDataKWh[지역명],B$3)</f>
        <v/>
      </c>
      <c r="C35" s="45">
        <f>SUMIFS(RawDataKWh[일사합_kWh_m2],RawDataKWh[연월],$A35,RawDataKWh[지역명],C$3)</f>
        <v/>
      </c>
      <c r="D35" s="45">
        <f>SUMIFS(RawDataKWh[일사합_kWh_m2],RawDataKWh[연월],$A35,RawDataKWh[지역명],D$3)</f>
        <v/>
      </c>
      <c r="E35" s="45">
        <f>SUMIFS(RawDataKWh[일사합_kWh_m2],RawDataKWh[연월],$A35,RawDataKWh[지역명],E$3)</f>
        <v/>
      </c>
      <c r="F35" s="45">
        <f>SUMIFS(RawDataKWh[일사합_kWh_m2],RawDataKWh[연월],$A35,RawDataKWh[지역명],F$3)</f>
        <v/>
      </c>
      <c r="G35" s="45">
        <f>SUMIFS(RawDataKWh[일사합_kWh_m2],RawDataKWh[연월],$A35,RawDataKWh[지역명],G$3)</f>
        <v/>
      </c>
      <c r="H35" s="45">
        <f>SUMIFS(RawDataKWh[일사합_kWh_m2],RawDataKWh[연월],$A35,RawDataKWh[지역명],H$3)</f>
        <v/>
      </c>
      <c r="I35" s="45">
        <f>SUMIFS(RawDataKWh[일사합_kWh_m2],RawDataKWh[연월],$A35,RawDataKWh[지역명],I$3)</f>
        <v/>
      </c>
      <c r="J35" s="45">
        <f>SUMIFS(RawDataKWh[일사합_kWh_m2],RawDataKWh[연월],$A35,RawDataKWh[지역명],J$3)</f>
        <v/>
      </c>
      <c r="K35" s="45">
        <f>SUMIFS(RawDataKWh[일사합_kWh_m2],RawDataKWh[연월],$A35,RawDataKWh[지역명],K$3)</f>
        <v/>
      </c>
      <c r="L35" s="45">
        <f>AVERAGE(B35:K35)</f>
        <v/>
      </c>
      <c r="N35" s="19">
        <f>$A35</f>
        <v/>
      </c>
      <c r="O35" s="46">
        <f>AVERAGEIFS(RawDataKWh[일평균_일사합_kWh_m2],RawDataKWh[연월],$A35,RawDataKWh[지역명],O$3)</f>
        <v/>
      </c>
      <c r="P35" s="46">
        <f>AVERAGEIFS(RawDataKWh[일평균_일사합_kWh_m2],RawDataKWh[연월],$A35,RawDataKWh[지역명],P$3)</f>
        <v/>
      </c>
      <c r="Q35" s="46">
        <f>AVERAGEIFS(RawDataKWh[일평균_일사합_kWh_m2],RawDataKWh[연월],$A35,RawDataKWh[지역명],Q$3)</f>
        <v/>
      </c>
      <c r="R35" s="46">
        <f>AVERAGEIFS(RawDataKWh[일평균_일사합_kWh_m2],RawDataKWh[연월],$A35,RawDataKWh[지역명],R$3)</f>
        <v/>
      </c>
      <c r="S35" s="46">
        <f>AVERAGEIFS(RawDataKWh[일평균_일사합_kWh_m2],RawDataKWh[연월],$A35,RawDataKWh[지역명],S$3)</f>
        <v/>
      </c>
      <c r="T35" s="46">
        <f>AVERAGEIFS(RawDataKWh[일평균_일사합_kWh_m2],RawDataKWh[연월],$A35,RawDataKWh[지역명],T$3)</f>
        <v/>
      </c>
      <c r="U35" s="46">
        <f>AVERAGEIFS(RawDataKWh[일평균_일사합_kWh_m2],RawDataKWh[연월],$A35,RawDataKWh[지역명],U$3)</f>
        <v/>
      </c>
      <c r="V35" s="46">
        <f>AVERAGEIFS(RawDataKWh[일평균_일사합_kWh_m2],RawDataKWh[연월],$A35,RawDataKWh[지역명],V$3)</f>
        <v/>
      </c>
      <c r="W35" s="46">
        <f>AVERAGEIFS(RawDataKWh[일평균_일사합_kWh_m2],RawDataKWh[연월],$A35,RawDataKWh[지역명],W$3)</f>
        <v/>
      </c>
      <c r="X35" s="46">
        <f>AVERAGEIFS(RawDataKWh[일평균_일사합_kWh_m2],RawDataKWh[연월],$A35,RawDataKWh[지역명],X$3)</f>
        <v/>
      </c>
      <c r="Y35" s="46">
        <f>AVERAGE(O35:X35)</f>
        <v/>
      </c>
    </row>
    <row r="36" ht="16" customHeight="1">
      <c r="A36" s="17" t="inlineStr">
        <is>
          <t>2018-09</t>
        </is>
      </c>
      <c r="B36" s="41">
        <f>SUMIFS(RawDataKWh[일사합_kWh_m2],RawDataKWh[연월],$A36,RawDataKWh[지역명],B$3)</f>
        <v/>
      </c>
      <c r="C36" s="41">
        <f>SUMIFS(RawDataKWh[일사합_kWh_m2],RawDataKWh[연월],$A36,RawDataKWh[지역명],C$3)</f>
        <v/>
      </c>
      <c r="D36" s="41">
        <f>SUMIFS(RawDataKWh[일사합_kWh_m2],RawDataKWh[연월],$A36,RawDataKWh[지역명],D$3)</f>
        <v/>
      </c>
      <c r="E36" s="41">
        <f>SUMIFS(RawDataKWh[일사합_kWh_m2],RawDataKWh[연월],$A36,RawDataKWh[지역명],E$3)</f>
        <v/>
      </c>
      <c r="F36" s="41">
        <f>SUMIFS(RawDataKWh[일사합_kWh_m2],RawDataKWh[연월],$A36,RawDataKWh[지역명],F$3)</f>
        <v/>
      </c>
      <c r="G36" s="41">
        <f>SUMIFS(RawDataKWh[일사합_kWh_m2],RawDataKWh[연월],$A36,RawDataKWh[지역명],G$3)</f>
        <v/>
      </c>
      <c r="H36" s="41">
        <f>SUMIFS(RawDataKWh[일사합_kWh_m2],RawDataKWh[연월],$A36,RawDataKWh[지역명],H$3)</f>
        <v/>
      </c>
      <c r="I36" s="41">
        <f>SUMIFS(RawDataKWh[일사합_kWh_m2],RawDataKWh[연월],$A36,RawDataKWh[지역명],I$3)</f>
        <v/>
      </c>
      <c r="J36" s="41">
        <f>SUMIFS(RawDataKWh[일사합_kWh_m2],RawDataKWh[연월],$A36,RawDataKWh[지역명],J$3)</f>
        <v/>
      </c>
      <c r="K36" s="41">
        <f>SUMIFS(RawDataKWh[일사합_kWh_m2],RawDataKWh[연월],$A36,RawDataKWh[지역명],K$3)</f>
        <v/>
      </c>
      <c r="L36" s="41">
        <f>AVERAGE(B36:K36)</f>
        <v/>
      </c>
      <c r="N36" s="17">
        <f>$A36</f>
        <v/>
      </c>
      <c r="O36" s="42">
        <f>AVERAGEIFS(RawDataKWh[일평균_일사합_kWh_m2],RawDataKWh[연월],$A36,RawDataKWh[지역명],O$3)</f>
        <v/>
      </c>
      <c r="P36" s="42">
        <f>AVERAGEIFS(RawDataKWh[일평균_일사합_kWh_m2],RawDataKWh[연월],$A36,RawDataKWh[지역명],P$3)</f>
        <v/>
      </c>
      <c r="Q36" s="42">
        <f>AVERAGEIFS(RawDataKWh[일평균_일사합_kWh_m2],RawDataKWh[연월],$A36,RawDataKWh[지역명],Q$3)</f>
        <v/>
      </c>
      <c r="R36" s="42">
        <f>AVERAGEIFS(RawDataKWh[일평균_일사합_kWh_m2],RawDataKWh[연월],$A36,RawDataKWh[지역명],R$3)</f>
        <v/>
      </c>
      <c r="S36" s="42">
        <f>AVERAGEIFS(RawDataKWh[일평균_일사합_kWh_m2],RawDataKWh[연월],$A36,RawDataKWh[지역명],S$3)</f>
        <v/>
      </c>
      <c r="T36" s="42">
        <f>AVERAGEIFS(RawDataKWh[일평균_일사합_kWh_m2],RawDataKWh[연월],$A36,RawDataKWh[지역명],T$3)</f>
        <v/>
      </c>
      <c r="U36" s="42">
        <f>AVERAGEIFS(RawDataKWh[일평균_일사합_kWh_m2],RawDataKWh[연월],$A36,RawDataKWh[지역명],U$3)</f>
        <v/>
      </c>
      <c r="V36" s="42">
        <f>AVERAGEIFS(RawDataKWh[일평균_일사합_kWh_m2],RawDataKWh[연월],$A36,RawDataKWh[지역명],V$3)</f>
        <v/>
      </c>
      <c r="W36" s="42">
        <f>AVERAGEIFS(RawDataKWh[일평균_일사합_kWh_m2],RawDataKWh[연월],$A36,RawDataKWh[지역명],W$3)</f>
        <v/>
      </c>
      <c r="X36" s="42">
        <f>AVERAGEIFS(RawDataKWh[일평균_일사합_kWh_m2],RawDataKWh[연월],$A36,RawDataKWh[지역명],X$3)</f>
        <v/>
      </c>
      <c r="Y36" s="42">
        <f>AVERAGE(O36:X36)</f>
        <v/>
      </c>
    </row>
    <row r="37" ht="16" customHeight="1">
      <c r="A37" s="19" t="inlineStr">
        <is>
          <t>2018-10</t>
        </is>
      </c>
      <c r="B37" s="45">
        <f>SUMIFS(RawDataKWh[일사합_kWh_m2],RawDataKWh[연월],$A37,RawDataKWh[지역명],B$3)</f>
        <v/>
      </c>
      <c r="C37" s="45">
        <f>SUMIFS(RawDataKWh[일사합_kWh_m2],RawDataKWh[연월],$A37,RawDataKWh[지역명],C$3)</f>
        <v/>
      </c>
      <c r="D37" s="45">
        <f>SUMIFS(RawDataKWh[일사합_kWh_m2],RawDataKWh[연월],$A37,RawDataKWh[지역명],D$3)</f>
        <v/>
      </c>
      <c r="E37" s="45">
        <f>SUMIFS(RawDataKWh[일사합_kWh_m2],RawDataKWh[연월],$A37,RawDataKWh[지역명],E$3)</f>
        <v/>
      </c>
      <c r="F37" s="45">
        <f>SUMIFS(RawDataKWh[일사합_kWh_m2],RawDataKWh[연월],$A37,RawDataKWh[지역명],F$3)</f>
        <v/>
      </c>
      <c r="G37" s="45">
        <f>SUMIFS(RawDataKWh[일사합_kWh_m2],RawDataKWh[연월],$A37,RawDataKWh[지역명],G$3)</f>
        <v/>
      </c>
      <c r="H37" s="45">
        <f>SUMIFS(RawDataKWh[일사합_kWh_m2],RawDataKWh[연월],$A37,RawDataKWh[지역명],H$3)</f>
        <v/>
      </c>
      <c r="I37" s="45">
        <f>SUMIFS(RawDataKWh[일사합_kWh_m2],RawDataKWh[연월],$A37,RawDataKWh[지역명],I$3)</f>
        <v/>
      </c>
      <c r="J37" s="45">
        <f>SUMIFS(RawDataKWh[일사합_kWh_m2],RawDataKWh[연월],$A37,RawDataKWh[지역명],J$3)</f>
        <v/>
      </c>
      <c r="K37" s="45">
        <f>SUMIFS(RawDataKWh[일사합_kWh_m2],RawDataKWh[연월],$A37,RawDataKWh[지역명],K$3)</f>
        <v/>
      </c>
      <c r="L37" s="45">
        <f>AVERAGE(B37:K37)</f>
        <v/>
      </c>
      <c r="N37" s="19">
        <f>$A37</f>
        <v/>
      </c>
      <c r="O37" s="46">
        <f>AVERAGEIFS(RawDataKWh[일평균_일사합_kWh_m2],RawDataKWh[연월],$A37,RawDataKWh[지역명],O$3)</f>
        <v/>
      </c>
      <c r="P37" s="46">
        <f>AVERAGEIFS(RawDataKWh[일평균_일사합_kWh_m2],RawDataKWh[연월],$A37,RawDataKWh[지역명],P$3)</f>
        <v/>
      </c>
      <c r="Q37" s="46">
        <f>AVERAGEIFS(RawDataKWh[일평균_일사합_kWh_m2],RawDataKWh[연월],$A37,RawDataKWh[지역명],Q$3)</f>
        <v/>
      </c>
      <c r="R37" s="46">
        <f>AVERAGEIFS(RawDataKWh[일평균_일사합_kWh_m2],RawDataKWh[연월],$A37,RawDataKWh[지역명],R$3)</f>
        <v/>
      </c>
      <c r="S37" s="46">
        <f>AVERAGEIFS(RawDataKWh[일평균_일사합_kWh_m2],RawDataKWh[연월],$A37,RawDataKWh[지역명],S$3)</f>
        <v/>
      </c>
      <c r="T37" s="46">
        <f>AVERAGEIFS(RawDataKWh[일평균_일사합_kWh_m2],RawDataKWh[연월],$A37,RawDataKWh[지역명],T$3)</f>
        <v/>
      </c>
      <c r="U37" s="46">
        <f>AVERAGEIFS(RawDataKWh[일평균_일사합_kWh_m2],RawDataKWh[연월],$A37,RawDataKWh[지역명],U$3)</f>
        <v/>
      </c>
      <c r="V37" s="46">
        <f>AVERAGEIFS(RawDataKWh[일평균_일사합_kWh_m2],RawDataKWh[연월],$A37,RawDataKWh[지역명],V$3)</f>
        <v/>
      </c>
      <c r="W37" s="46">
        <f>AVERAGEIFS(RawDataKWh[일평균_일사합_kWh_m2],RawDataKWh[연월],$A37,RawDataKWh[지역명],W$3)</f>
        <v/>
      </c>
      <c r="X37" s="46">
        <f>AVERAGEIFS(RawDataKWh[일평균_일사합_kWh_m2],RawDataKWh[연월],$A37,RawDataKWh[지역명],X$3)</f>
        <v/>
      </c>
      <c r="Y37" s="46">
        <f>AVERAGE(O37:X37)</f>
        <v/>
      </c>
    </row>
    <row r="38" ht="16" customHeight="1">
      <c r="A38" s="17" t="inlineStr">
        <is>
          <t>2018-11</t>
        </is>
      </c>
      <c r="B38" s="41">
        <f>SUMIFS(RawDataKWh[일사합_kWh_m2],RawDataKWh[연월],$A38,RawDataKWh[지역명],B$3)</f>
        <v/>
      </c>
      <c r="C38" s="41">
        <f>SUMIFS(RawDataKWh[일사합_kWh_m2],RawDataKWh[연월],$A38,RawDataKWh[지역명],C$3)</f>
        <v/>
      </c>
      <c r="D38" s="41">
        <f>SUMIFS(RawDataKWh[일사합_kWh_m2],RawDataKWh[연월],$A38,RawDataKWh[지역명],D$3)</f>
        <v/>
      </c>
      <c r="E38" s="41">
        <f>SUMIFS(RawDataKWh[일사합_kWh_m2],RawDataKWh[연월],$A38,RawDataKWh[지역명],E$3)</f>
        <v/>
      </c>
      <c r="F38" s="41">
        <f>SUMIFS(RawDataKWh[일사합_kWh_m2],RawDataKWh[연월],$A38,RawDataKWh[지역명],F$3)</f>
        <v/>
      </c>
      <c r="G38" s="41">
        <f>SUMIFS(RawDataKWh[일사합_kWh_m2],RawDataKWh[연월],$A38,RawDataKWh[지역명],G$3)</f>
        <v/>
      </c>
      <c r="H38" s="41">
        <f>SUMIFS(RawDataKWh[일사합_kWh_m2],RawDataKWh[연월],$A38,RawDataKWh[지역명],H$3)</f>
        <v/>
      </c>
      <c r="I38" s="41">
        <f>SUMIFS(RawDataKWh[일사합_kWh_m2],RawDataKWh[연월],$A38,RawDataKWh[지역명],I$3)</f>
        <v/>
      </c>
      <c r="J38" s="41">
        <f>SUMIFS(RawDataKWh[일사합_kWh_m2],RawDataKWh[연월],$A38,RawDataKWh[지역명],J$3)</f>
        <v/>
      </c>
      <c r="K38" s="41">
        <f>SUMIFS(RawDataKWh[일사합_kWh_m2],RawDataKWh[연월],$A38,RawDataKWh[지역명],K$3)</f>
        <v/>
      </c>
      <c r="L38" s="41">
        <f>AVERAGE(B38:K38)</f>
        <v/>
      </c>
      <c r="N38" s="17">
        <f>$A38</f>
        <v/>
      </c>
      <c r="O38" s="42">
        <f>AVERAGEIFS(RawDataKWh[일평균_일사합_kWh_m2],RawDataKWh[연월],$A38,RawDataKWh[지역명],O$3)</f>
        <v/>
      </c>
      <c r="P38" s="42">
        <f>AVERAGEIFS(RawDataKWh[일평균_일사합_kWh_m2],RawDataKWh[연월],$A38,RawDataKWh[지역명],P$3)</f>
        <v/>
      </c>
      <c r="Q38" s="42">
        <f>AVERAGEIFS(RawDataKWh[일평균_일사합_kWh_m2],RawDataKWh[연월],$A38,RawDataKWh[지역명],Q$3)</f>
        <v/>
      </c>
      <c r="R38" s="42">
        <f>AVERAGEIFS(RawDataKWh[일평균_일사합_kWh_m2],RawDataKWh[연월],$A38,RawDataKWh[지역명],R$3)</f>
        <v/>
      </c>
      <c r="S38" s="42">
        <f>AVERAGEIFS(RawDataKWh[일평균_일사합_kWh_m2],RawDataKWh[연월],$A38,RawDataKWh[지역명],S$3)</f>
        <v/>
      </c>
      <c r="T38" s="42">
        <f>AVERAGEIFS(RawDataKWh[일평균_일사합_kWh_m2],RawDataKWh[연월],$A38,RawDataKWh[지역명],T$3)</f>
        <v/>
      </c>
      <c r="U38" s="42">
        <f>AVERAGEIFS(RawDataKWh[일평균_일사합_kWh_m2],RawDataKWh[연월],$A38,RawDataKWh[지역명],U$3)</f>
        <v/>
      </c>
      <c r="V38" s="42">
        <f>AVERAGEIFS(RawDataKWh[일평균_일사합_kWh_m2],RawDataKWh[연월],$A38,RawDataKWh[지역명],V$3)</f>
        <v/>
      </c>
      <c r="W38" s="42">
        <f>AVERAGEIFS(RawDataKWh[일평균_일사합_kWh_m2],RawDataKWh[연월],$A38,RawDataKWh[지역명],W$3)</f>
        <v/>
      </c>
      <c r="X38" s="42">
        <f>AVERAGEIFS(RawDataKWh[일평균_일사합_kWh_m2],RawDataKWh[연월],$A38,RawDataKWh[지역명],X$3)</f>
        <v/>
      </c>
      <c r="Y38" s="42">
        <f>AVERAGE(O38:X38)</f>
        <v/>
      </c>
    </row>
    <row r="39" ht="16" customHeight="1">
      <c r="A39" s="19" t="inlineStr">
        <is>
          <t>2018-12</t>
        </is>
      </c>
      <c r="B39" s="45">
        <f>SUMIFS(RawDataKWh[일사합_kWh_m2],RawDataKWh[연월],$A39,RawDataKWh[지역명],B$3)</f>
        <v/>
      </c>
      <c r="C39" s="45">
        <f>SUMIFS(RawDataKWh[일사합_kWh_m2],RawDataKWh[연월],$A39,RawDataKWh[지역명],C$3)</f>
        <v/>
      </c>
      <c r="D39" s="45">
        <f>SUMIFS(RawDataKWh[일사합_kWh_m2],RawDataKWh[연월],$A39,RawDataKWh[지역명],D$3)</f>
        <v/>
      </c>
      <c r="E39" s="45">
        <f>SUMIFS(RawDataKWh[일사합_kWh_m2],RawDataKWh[연월],$A39,RawDataKWh[지역명],E$3)</f>
        <v/>
      </c>
      <c r="F39" s="45">
        <f>SUMIFS(RawDataKWh[일사합_kWh_m2],RawDataKWh[연월],$A39,RawDataKWh[지역명],F$3)</f>
        <v/>
      </c>
      <c r="G39" s="45">
        <f>SUMIFS(RawDataKWh[일사합_kWh_m2],RawDataKWh[연월],$A39,RawDataKWh[지역명],G$3)</f>
        <v/>
      </c>
      <c r="H39" s="45">
        <f>SUMIFS(RawDataKWh[일사합_kWh_m2],RawDataKWh[연월],$A39,RawDataKWh[지역명],H$3)</f>
        <v/>
      </c>
      <c r="I39" s="45">
        <f>SUMIFS(RawDataKWh[일사합_kWh_m2],RawDataKWh[연월],$A39,RawDataKWh[지역명],I$3)</f>
        <v/>
      </c>
      <c r="J39" s="45">
        <f>SUMIFS(RawDataKWh[일사합_kWh_m2],RawDataKWh[연월],$A39,RawDataKWh[지역명],J$3)</f>
        <v/>
      </c>
      <c r="K39" s="45">
        <f>SUMIFS(RawDataKWh[일사합_kWh_m2],RawDataKWh[연월],$A39,RawDataKWh[지역명],K$3)</f>
        <v/>
      </c>
      <c r="L39" s="45">
        <f>AVERAGE(B39:K39)</f>
        <v/>
      </c>
      <c r="N39" s="19">
        <f>$A39</f>
        <v/>
      </c>
      <c r="O39" s="46">
        <f>AVERAGEIFS(RawDataKWh[일평균_일사합_kWh_m2],RawDataKWh[연월],$A39,RawDataKWh[지역명],O$3)</f>
        <v/>
      </c>
      <c r="P39" s="46">
        <f>AVERAGEIFS(RawDataKWh[일평균_일사합_kWh_m2],RawDataKWh[연월],$A39,RawDataKWh[지역명],P$3)</f>
        <v/>
      </c>
      <c r="Q39" s="46">
        <f>AVERAGEIFS(RawDataKWh[일평균_일사합_kWh_m2],RawDataKWh[연월],$A39,RawDataKWh[지역명],Q$3)</f>
        <v/>
      </c>
      <c r="R39" s="46">
        <f>AVERAGEIFS(RawDataKWh[일평균_일사합_kWh_m2],RawDataKWh[연월],$A39,RawDataKWh[지역명],R$3)</f>
        <v/>
      </c>
      <c r="S39" s="46">
        <f>AVERAGEIFS(RawDataKWh[일평균_일사합_kWh_m2],RawDataKWh[연월],$A39,RawDataKWh[지역명],S$3)</f>
        <v/>
      </c>
      <c r="T39" s="46">
        <f>AVERAGEIFS(RawDataKWh[일평균_일사합_kWh_m2],RawDataKWh[연월],$A39,RawDataKWh[지역명],T$3)</f>
        <v/>
      </c>
      <c r="U39" s="46">
        <f>AVERAGEIFS(RawDataKWh[일평균_일사합_kWh_m2],RawDataKWh[연월],$A39,RawDataKWh[지역명],U$3)</f>
        <v/>
      </c>
      <c r="V39" s="46">
        <f>AVERAGEIFS(RawDataKWh[일평균_일사합_kWh_m2],RawDataKWh[연월],$A39,RawDataKWh[지역명],V$3)</f>
        <v/>
      </c>
      <c r="W39" s="46">
        <f>AVERAGEIFS(RawDataKWh[일평균_일사합_kWh_m2],RawDataKWh[연월],$A39,RawDataKWh[지역명],W$3)</f>
        <v/>
      </c>
      <c r="X39" s="46">
        <f>AVERAGEIFS(RawDataKWh[일평균_일사합_kWh_m2],RawDataKWh[연월],$A39,RawDataKWh[지역명],X$3)</f>
        <v/>
      </c>
      <c r="Y39" s="46">
        <f>AVERAGE(O39:X39)</f>
        <v/>
      </c>
    </row>
    <row r="40" ht="16" customHeight="1">
      <c r="A40" s="17" t="inlineStr">
        <is>
          <t>2019-01</t>
        </is>
      </c>
      <c r="B40" s="41">
        <f>SUMIFS(RawDataKWh[일사합_kWh_m2],RawDataKWh[연월],$A40,RawDataKWh[지역명],B$3)</f>
        <v/>
      </c>
      <c r="C40" s="41">
        <f>SUMIFS(RawDataKWh[일사합_kWh_m2],RawDataKWh[연월],$A40,RawDataKWh[지역명],C$3)</f>
        <v/>
      </c>
      <c r="D40" s="41">
        <f>SUMIFS(RawDataKWh[일사합_kWh_m2],RawDataKWh[연월],$A40,RawDataKWh[지역명],D$3)</f>
        <v/>
      </c>
      <c r="E40" s="41">
        <f>SUMIFS(RawDataKWh[일사합_kWh_m2],RawDataKWh[연월],$A40,RawDataKWh[지역명],E$3)</f>
        <v/>
      </c>
      <c r="F40" s="41">
        <f>SUMIFS(RawDataKWh[일사합_kWh_m2],RawDataKWh[연월],$A40,RawDataKWh[지역명],F$3)</f>
        <v/>
      </c>
      <c r="G40" s="41">
        <f>SUMIFS(RawDataKWh[일사합_kWh_m2],RawDataKWh[연월],$A40,RawDataKWh[지역명],G$3)</f>
        <v/>
      </c>
      <c r="H40" s="41">
        <f>SUMIFS(RawDataKWh[일사합_kWh_m2],RawDataKWh[연월],$A40,RawDataKWh[지역명],H$3)</f>
        <v/>
      </c>
      <c r="I40" s="41">
        <f>SUMIFS(RawDataKWh[일사합_kWh_m2],RawDataKWh[연월],$A40,RawDataKWh[지역명],I$3)</f>
        <v/>
      </c>
      <c r="J40" s="41">
        <f>SUMIFS(RawDataKWh[일사합_kWh_m2],RawDataKWh[연월],$A40,RawDataKWh[지역명],J$3)</f>
        <v/>
      </c>
      <c r="K40" s="41">
        <f>SUMIFS(RawDataKWh[일사합_kWh_m2],RawDataKWh[연월],$A40,RawDataKWh[지역명],K$3)</f>
        <v/>
      </c>
      <c r="L40" s="41">
        <f>AVERAGE(B40:K40)</f>
        <v/>
      </c>
      <c r="N40" s="17">
        <f>$A40</f>
        <v/>
      </c>
      <c r="O40" s="42">
        <f>AVERAGEIFS(RawDataKWh[일평균_일사합_kWh_m2],RawDataKWh[연월],$A40,RawDataKWh[지역명],O$3)</f>
        <v/>
      </c>
      <c r="P40" s="42">
        <f>AVERAGEIFS(RawDataKWh[일평균_일사합_kWh_m2],RawDataKWh[연월],$A40,RawDataKWh[지역명],P$3)</f>
        <v/>
      </c>
      <c r="Q40" s="42">
        <f>AVERAGEIFS(RawDataKWh[일평균_일사합_kWh_m2],RawDataKWh[연월],$A40,RawDataKWh[지역명],Q$3)</f>
        <v/>
      </c>
      <c r="R40" s="42">
        <f>AVERAGEIFS(RawDataKWh[일평균_일사합_kWh_m2],RawDataKWh[연월],$A40,RawDataKWh[지역명],R$3)</f>
        <v/>
      </c>
      <c r="S40" s="42">
        <f>AVERAGEIFS(RawDataKWh[일평균_일사합_kWh_m2],RawDataKWh[연월],$A40,RawDataKWh[지역명],S$3)</f>
        <v/>
      </c>
      <c r="T40" s="42">
        <f>AVERAGEIFS(RawDataKWh[일평균_일사합_kWh_m2],RawDataKWh[연월],$A40,RawDataKWh[지역명],T$3)</f>
        <v/>
      </c>
      <c r="U40" s="42">
        <f>AVERAGEIFS(RawDataKWh[일평균_일사합_kWh_m2],RawDataKWh[연월],$A40,RawDataKWh[지역명],U$3)</f>
        <v/>
      </c>
      <c r="V40" s="42">
        <f>AVERAGEIFS(RawDataKWh[일평균_일사합_kWh_m2],RawDataKWh[연월],$A40,RawDataKWh[지역명],V$3)</f>
        <v/>
      </c>
      <c r="W40" s="42">
        <f>AVERAGEIFS(RawDataKWh[일평균_일사합_kWh_m2],RawDataKWh[연월],$A40,RawDataKWh[지역명],W$3)</f>
        <v/>
      </c>
      <c r="X40" s="42">
        <f>AVERAGEIFS(RawDataKWh[일평균_일사합_kWh_m2],RawDataKWh[연월],$A40,RawDataKWh[지역명],X$3)</f>
        <v/>
      </c>
      <c r="Y40" s="42">
        <f>AVERAGE(O40:X40)</f>
        <v/>
      </c>
    </row>
    <row r="41" ht="16" customHeight="1">
      <c r="A41" s="19" t="inlineStr">
        <is>
          <t>2019-02</t>
        </is>
      </c>
      <c r="B41" s="45">
        <f>SUMIFS(RawDataKWh[일사합_kWh_m2],RawDataKWh[연월],$A41,RawDataKWh[지역명],B$3)</f>
        <v/>
      </c>
      <c r="C41" s="45">
        <f>SUMIFS(RawDataKWh[일사합_kWh_m2],RawDataKWh[연월],$A41,RawDataKWh[지역명],C$3)</f>
        <v/>
      </c>
      <c r="D41" s="45">
        <f>SUMIFS(RawDataKWh[일사합_kWh_m2],RawDataKWh[연월],$A41,RawDataKWh[지역명],D$3)</f>
        <v/>
      </c>
      <c r="E41" s="45">
        <f>SUMIFS(RawDataKWh[일사합_kWh_m2],RawDataKWh[연월],$A41,RawDataKWh[지역명],E$3)</f>
        <v/>
      </c>
      <c r="F41" s="45">
        <f>SUMIFS(RawDataKWh[일사합_kWh_m2],RawDataKWh[연월],$A41,RawDataKWh[지역명],F$3)</f>
        <v/>
      </c>
      <c r="G41" s="45">
        <f>SUMIFS(RawDataKWh[일사합_kWh_m2],RawDataKWh[연월],$A41,RawDataKWh[지역명],G$3)</f>
        <v/>
      </c>
      <c r="H41" s="45">
        <f>SUMIFS(RawDataKWh[일사합_kWh_m2],RawDataKWh[연월],$A41,RawDataKWh[지역명],H$3)</f>
        <v/>
      </c>
      <c r="I41" s="45">
        <f>SUMIFS(RawDataKWh[일사합_kWh_m2],RawDataKWh[연월],$A41,RawDataKWh[지역명],I$3)</f>
        <v/>
      </c>
      <c r="J41" s="45">
        <f>SUMIFS(RawDataKWh[일사합_kWh_m2],RawDataKWh[연월],$A41,RawDataKWh[지역명],J$3)</f>
        <v/>
      </c>
      <c r="K41" s="45">
        <f>SUMIFS(RawDataKWh[일사합_kWh_m2],RawDataKWh[연월],$A41,RawDataKWh[지역명],K$3)</f>
        <v/>
      </c>
      <c r="L41" s="45">
        <f>AVERAGE(B41:K41)</f>
        <v/>
      </c>
      <c r="N41" s="19">
        <f>$A41</f>
        <v/>
      </c>
      <c r="O41" s="46">
        <f>AVERAGEIFS(RawDataKWh[일평균_일사합_kWh_m2],RawDataKWh[연월],$A41,RawDataKWh[지역명],O$3)</f>
        <v/>
      </c>
      <c r="P41" s="46">
        <f>AVERAGEIFS(RawDataKWh[일평균_일사합_kWh_m2],RawDataKWh[연월],$A41,RawDataKWh[지역명],P$3)</f>
        <v/>
      </c>
      <c r="Q41" s="46">
        <f>AVERAGEIFS(RawDataKWh[일평균_일사합_kWh_m2],RawDataKWh[연월],$A41,RawDataKWh[지역명],Q$3)</f>
        <v/>
      </c>
      <c r="R41" s="46">
        <f>AVERAGEIFS(RawDataKWh[일평균_일사합_kWh_m2],RawDataKWh[연월],$A41,RawDataKWh[지역명],R$3)</f>
        <v/>
      </c>
      <c r="S41" s="46">
        <f>AVERAGEIFS(RawDataKWh[일평균_일사합_kWh_m2],RawDataKWh[연월],$A41,RawDataKWh[지역명],S$3)</f>
        <v/>
      </c>
      <c r="T41" s="46">
        <f>AVERAGEIFS(RawDataKWh[일평균_일사합_kWh_m2],RawDataKWh[연월],$A41,RawDataKWh[지역명],T$3)</f>
        <v/>
      </c>
      <c r="U41" s="46">
        <f>AVERAGEIFS(RawDataKWh[일평균_일사합_kWh_m2],RawDataKWh[연월],$A41,RawDataKWh[지역명],U$3)</f>
        <v/>
      </c>
      <c r="V41" s="46">
        <f>AVERAGEIFS(RawDataKWh[일평균_일사합_kWh_m2],RawDataKWh[연월],$A41,RawDataKWh[지역명],V$3)</f>
        <v/>
      </c>
      <c r="W41" s="46">
        <f>AVERAGEIFS(RawDataKWh[일평균_일사합_kWh_m2],RawDataKWh[연월],$A41,RawDataKWh[지역명],W$3)</f>
        <v/>
      </c>
      <c r="X41" s="46">
        <f>AVERAGEIFS(RawDataKWh[일평균_일사합_kWh_m2],RawDataKWh[연월],$A41,RawDataKWh[지역명],X$3)</f>
        <v/>
      </c>
      <c r="Y41" s="46">
        <f>AVERAGE(O41:X41)</f>
        <v/>
      </c>
    </row>
    <row r="42" ht="16" customHeight="1">
      <c r="A42" s="17" t="inlineStr">
        <is>
          <t>2019-03</t>
        </is>
      </c>
      <c r="B42" s="41">
        <f>SUMIFS(RawDataKWh[일사합_kWh_m2],RawDataKWh[연월],$A42,RawDataKWh[지역명],B$3)</f>
        <v/>
      </c>
      <c r="C42" s="41">
        <f>SUMIFS(RawDataKWh[일사합_kWh_m2],RawDataKWh[연월],$A42,RawDataKWh[지역명],C$3)</f>
        <v/>
      </c>
      <c r="D42" s="41">
        <f>SUMIFS(RawDataKWh[일사합_kWh_m2],RawDataKWh[연월],$A42,RawDataKWh[지역명],D$3)</f>
        <v/>
      </c>
      <c r="E42" s="41">
        <f>SUMIFS(RawDataKWh[일사합_kWh_m2],RawDataKWh[연월],$A42,RawDataKWh[지역명],E$3)</f>
        <v/>
      </c>
      <c r="F42" s="41">
        <f>SUMIFS(RawDataKWh[일사합_kWh_m2],RawDataKWh[연월],$A42,RawDataKWh[지역명],F$3)</f>
        <v/>
      </c>
      <c r="G42" s="41">
        <f>SUMIFS(RawDataKWh[일사합_kWh_m2],RawDataKWh[연월],$A42,RawDataKWh[지역명],G$3)</f>
        <v/>
      </c>
      <c r="H42" s="41">
        <f>SUMIFS(RawDataKWh[일사합_kWh_m2],RawDataKWh[연월],$A42,RawDataKWh[지역명],H$3)</f>
        <v/>
      </c>
      <c r="I42" s="41">
        <f>SUMIFS(RawDataKWh[일사합_kWh_m2],RawDataKWh[연월],$A42,RawDataKWh[지역명],I$3)</f>
        <v/>
      </c>
      <c r="J42" s="41">
        <f>SUMIFS(RawDataKWh[일사합_kWh_m2],RawDataKWh[연월],$A42,RawDataKWh[지역명],J$3)</f>
        <v/>
      </c>
      <c r="K42" s="41">
        <f>SUMIFS(RawDataKWh[일사합_kWh_m2],RawDataKWh[연월],$A42,RawDataKWh[지역명],K$3)</f>
        <v/>
      </c>
      <c r="L42" s="41">
        <f>AVERAGE(B42:K42)</f>
        <v/>
      </c>
      <c r="N42" s="17">
        <f>$A42</f>
        <v/>
      </c>
      <c r="O42" s="42">
        <f>AVERAGEIFS(RawDataKWh[일평균_일사합_kWh_m2],RawDataKWh[연월],$A42,RawDataKWh[지역명],O$3)</f>
        <v/>
      </c>
      <c r="P42" s="42">
        <f>AVERAGEIFS(RawDataKWh[일평균_일사합_kWh_m2],RawDataKWh[연월],$A42,RawDataKWh[지역명],P$3)</f>
        <v/>
      </c>
      <c r="Q42" s="42">
        <f>AVERAGEIFS(RawDataKWh[일평균_일사합_kWh_m2],RawDataKWh[연월],$A42,RawDataKWh[지역명],Q$3)</f>
        <v/>
      </c>
      <c r="R42" s="42">
        <f>AVERAGEIFS(RawDataKWh[일평균_일사합_kWh_m2],RawDataKWh[연월],$A42,RawDataKWh[지역명],R$3)</f>
        <v/>
      </c>
      <c r="S42" s="42">
        <f>AVERAGEIFS(RawDataKWh[일평균_일사합_kWh_m2],RawDataKWh[연월],$A42,RawDataKWh[지역명],S$3)</f>
        <v/>
      </c>
      <c r="T42" s="42">
        <f>AVERAGEIFS(RawDataKWh[일평균_일사합_kWh_m2],RawDataKWh[연월],$A42,RawDataKWh[지역명],T$3)</f>
        <v/>
      </c>
      <c r="U42" s="42">
        <f>AVERAGEIFS(RawDataKWh[일평균_일사합_kWh_m2],RawDataKWh[연월],$A42,RawDataKWh[지역명],U$3)</f>
        <v/>
      </c>
      <c r="V42" s="42">
        <f>AVERAGEIFS(RawDataKWh[일평균_일사합_kWh_m2],RawDataKWh[연월],$A42,RawDataKWh[지역명],V$3)</f>
        <v/>
      </c>
      <c r="W42" s="42">
        <f>AVERAGEIFS(RawDataKWh[일평균_일사합_kWh_m2],RawDataKWh[연월],$A42,RawDataKWh[지역명],W$3)</f>
        <v/>
      </c>
      <c r="X42" s="42">
        <f>AVERAGEIFS(RawDataKWh[일평균_일사합_kWh_m2],RawDataKWh[연월],$A42,RawDataKWh[지역명],X$3)</f>
        <v/>
      </c>
      <c r="Y42" s="42">
        <f>AVERAGE(O42:X42)</f>
        <v/>
      </c>
    </row>
    <row r="43" ht="16" customHeight="1">
      <c r="A43" s="19" t="inlineStr">
        <is>
          <t>2019-04</t>
        </is>
      </c>
      <c r="B43" s="45">
        <f>SUMIFS(RawDataKWh[일사합_kWh_m2],RawDataKWh[연월],$A43,RawDataKWh[지역명],B$3)</f>
        <v/>
      </c>
      <c r="C43" s="45">
        <f>SUMIFS(RawDataKWh[일사합_kWh_m2],RawDataKWh[연월],$A43,RawDataKWh[지역명],C$3)</f>
        <v/>
      </c>
      <c r="D43" s="45">
        <f>SUMIFS(RawDataKWh[일사합_kWh_m2],RawDataKWh[연월],$A43,RawDataKWh[지역명],D$3)</f>
        <v/>
      </c>
      <c r="E43" s="45">
        <f>SUMIFS(RawDataKWh[일사합_kWh_m2],RawDataKWh[연월],$A43,RawDataKWh[지역명],E$3)</f>
        <v/>
      </c>
      <c r="F43" s="45">
        <f>SUMIFS(RawDataKWh[일사합_kWh_m2],RawDataKWh[연월],$A43,RawDataKWh[지역명],F$3)</f>
        <v/>
      </c>
      <c r="G43" s="45">
        <f>SUMIFS(RawDataKWh[일사합_kWh_m2],RawDataKWh[연월],$A43,RawDataKWh[지역명],G$3)</f>
        <v/>
      </c>
      <c r="H43" s="45">
        <f>SUMIFS(RawDataKWh[일사합_kWh_m2],RawDataKWh[연월],$A43,RawDataKWh[지역명],H$3)</f>
        <v/>
      </c>
      <c r="I43" s="45">
        <f>SUMIFS(RawDataKWh[일사합_kWh_m2],RawDataKWh[연월],$A43,RawDataKWh[지역명],I$3)</f>
        <v/>
      </c>
      <c r="J43" s="45">
        <f>SUMIFS(RawDataKWh[일사합_kWh_m2],RawDataKWh[연월],$A43,RawDataKWh[지역명],J$3)</f>
        <v/>
      </c>
      <c r="K43" s="45">
        <f>SUMIFS(RawDataKWh[일사합_kWh_m2],RawDataKWh[연월],$A43,RawDataKWh[지역명],K$3)</f>
        <v/>
      </c>
      <c r="L43" s="45">
        <f>AVERAGE(B43:K43)</f>
        <v/>
      </c>
      <c r="N43" s="19">
        <f>$A43</f>
        <v/>
      </c>
      <c r="O43" s="46">
        <f>AVERAGEIFS(RawDataKWh[일평균_일사합_kWh_m2],RawDataKWh[연월],$A43,RawDataKWh[지역명],O$3)</f>
        <v/>
      </c>
      <c r="P43" s="46">
        <f>AVERAGEIFS(RawDataKWh[일평균_일사합_kWh_m2],RawDataKWh[연월],$A43,RawDataKWh[지역명],P$3)</f>
        <v/>
      </c>
      <c r="Q43" s="46">
        <f>AVERAGEIFS(RawDataKWh[일평균_일사합_kWh_m2],RawDataKWh[연월],$A43,RawDataKWh[지역명],Q$3)</f>
        <v/>
      </c>
      <c r="R43" s="46">
        <f>AVERAGEIFS(RawDataKWh[일평균_일사합_kWh_m2],RawDataKWh[연월],$A43,RawDataKWh[지역명],R$3)</f>
        <v/>
      </c>
      <c r="S43" s="46">
        <f>AVERAGEIFS(RawDataKWh[일평균_일사합_kWh_m2],RawDataKWh[연월],$A43,RawDataKWh[지역명],S$3)</f>
        <v/>
      </c>
      <c r="T43" s="46">
        <f>AVERAGEIFS(RawDataKWh[일평균_일사합_kWh_m2],RawDataKWh[연월],$A43,RawDataKWh[지역명],T$3)</f>
        <v/>
      </c>
      <c r="U43" s="46">
        <f>AVERAGEIFS(RawDataKWh[일평균_일사합_kWh_m2],RawDataKWh[연월],$A43,RawDataKWh[지역명],U$3)</f>
        <v/>
      </c>
      <c r="V43" s="46">
        <f>AVERAGEIFS(RawDataKWh[일평균_일사합_kWh_m2],RawDataKWh[연월],$A43,RawDataKWh[지역명],V$3)</f>
        <v/>
      </c>
      <c r="W43" s="46">
        <f>AVERAGEIFS(RawDataKWh[일평균_일사합_kWh_m2],RawDataKWh[연월],$A43,RawDataKWh[지역명],W$3)</f>
        <v/>
      </c>
      <c r="X43" s="46">
        <f>AVERAGEIFS(RawDataKWh[일평균_일사합_kWh_m2],RawDataKWh[연월],$A43,RawDataKWh[지역명],X$3)</f>
        <v/>
      </c>
      <c r="Y43" s="46">
        <f>AVERAGE(O43:X43)</f>
        <v/>
      </c>
    </row>
    <row r="44" ht="16" customHeight="1">
      <c r="A44" s="17" t="inlineStr">
        <is>
          <t>2019-05</t>
        </is>
      </c>
      <c r="B44" s="41">
        <f>SUMIFS(RawDataKWh[일사합_kWh_m2],RawDataKWh[연월],$A44,RawDataKWh[지역명],B$3)</f>
        <v/>
      </c>
      <c r="C44" s="41">
        <f>SUMIFS(RawDataKWh[일사합_kWh_m2],RawDataKWh[연월],$A44,RawDataKWh[지역명],C$3)</f>
        <v/>
      </c>
      <c r="D44" s="41">
        <f>SUMIFS(RawDataKWh[일사합_kWh_m2],RawDataKWh[연월],$A44,RawDataKWh[지역명],D$3)</f>
        <v/>
      </c>
      <c r="E44" s="41">
        <f>SUMIFS(RawDataKWh[일사합_kWh_m2],RawDataKWh[연월],$A44,RawDataKWh[지역명],E$3)</f>
        <v/>
      </c>
      <c r="F44" s="41">
        <f>SUMIFS(RawDataKWh[일사합_kWh_m2],RawDataKWh[연월],$A44,RawDataKWh[지역명],F$3)</f>
        <v/>
      </c>
      <c r="G44" s="41">
        <f>SUMIFS(RawDataKWh[일사합_kWh_m2],RawDataKWh[연월],$A44,RawDataKWh[지역명],G$3)</f>
        <v/>
      </c>
      <c r="H44" s="41">
        <f>SUMIFS(RawDataKWh[일사합_kWh_m2],RawDataKWh[연월],$A44,RawDataKWh[지역명],H$3)</f>
        <v/>
      </c>
      <c r="I44" s="41">
        <f>SUMIFS(RawDataKWh[일사합_kWh_m2],RawDataKWh[연월],$A44,RawDataKWh[지역명],I$3)</f>
        <v/>
      </c>
      <c r="J44" s="41">
        <f>SUMIFS(RawDataKWh[일사합_kWh_m2],RawDataKWh[연월],$A44,RawDataKWh[지역명],J$3)</f>
        <v/>
      </c>
      <c r="K44" s="41">
        <f>SUMIFS(RawDataKWh[일사합_kWh_m2],RawDataKWh[연월],$A44,RawDataKWh[지역명],K$3)</f>
        <v/>
      </c>
      <c r="L44" s="41">
        <f>AVERAGE(B44:K44)</f>
        <v/>
      </c>
      <c r="N44" s="17">
        <f>$A44</f>
        <v/>
      </c>
      <c r="O44" s="42">
        <f>AVERAGEIFS(RawDataKWh[일평균_일사합_kWh_m2],RawDataKWh[연월],$A44,RawDataKWh[지역명],O$3)</f>
        <v/>
      </c>
      <c r="P44" s="42">
        <f>AVERAGEIFS(RawDataKWh[일평균_일사합_kWh_m2],RawDataKWh[연월],$A44,RawDataKWh[지역명],P$3)</f>
        <v/>
      </c>
      <c r="Q44" s="42">
        <f>AVERAGEIFS(RawDataKWh[일평균_일사합_kWh_m2],RawDataKWh[연월],$A44,RawDataKWh[지역명],Q$3)</f>
        <v/>
      </c>
      <c r="R44" s="42">
        <f>AVERAGEIFS(RawDataKWh[일평균_일사합_kWh_m2],RawDataKWh[연월],$A44,RawDataKWh[지역명],R$3)</f>
        <v/>
      </c>
      <c r="S44" s="42">
        <f>AVERAGEIFS(RawDataKWh[일평균_일사합_kWh_m2],RawDataKWh[연월],$A44,RawDataKWh[지역명],S$3)</f>
        <v/>
      </c>
      <c r="T44" s="42">
        <f>AVERAGEIFS(RawDataKWh[일평균_일사합_kWh_m2],RawDataKWh[연월],$A44,RawDataKWh[지역명],T$3)</f>
        <v/>
      </c>
      <c r="U44" s="42">
        <f>AVERAGEIFS(RawDataKWh[일평균_일사합_kWh_m2],RawDataKWh[연월],$A44,RawDataKWh[지역명],U$3)</f>
        <v/>
      </c>
      <c r="V44" s="42">
        <f>AVERAGEIFS(RawDataKWh[일평균_일사합_kWh_m2],RawDataKWh[연월],$A44,RawDataKWh[지역명],V$3)</f>
        <v/>
      </c>
      <c r="W44" s="42">
        <f>AVERAGEIFS(RawDataKWh[일평균_일사합_kWh_m2],RawDataKWh[연월],$A44,RawDataKWh[지역명],W$3)</f>
        <v/>
      </c>
      <c r="X44" s="42">
        <f>AVERAGEIFS(RawDataKWh[일평균_일사합_kWh_m2],RawDataKWh[연월],$A44,RawDataKWh[지역명],X$3)</f>
        <v/>
      </c>
      <c r="Y44" s="42">
        <f>AVERAGE(O44:X44)</f>
        <v/>
      </c>
    </row>
    <row r="45" ht="16" customHeight="1">
      <c r="A45" s="19" t="inlineStr">
        <is>
          <t>2019-06</t>
        </is>
      </c>
      <c r="B45" s="45">
        <f>SUMIFS(RawDataKWh[일사합_kWh_m2],RawDataKWh[연월],$A45,RawDataKWh[지역명],B$3)</f>
        <v/>
      </c>
      <c r="C45" s="45">
        <f>SUMIFS(RawDataKWh[일사합_kWh_m2],RawDataKWh[연월],$A45,RawDataKWh[지역명],C$3)</f>
        <v/>
      </c>
      <c r="D45" s="45">
        <f>SUMIFS(RawDataKWh[일사합_kWh_m2],RawDataKWh[연월],$A45,RawDataKWh[지역명],D$3)</f>
        <v/>
      </c>
      <c r="E45" s="45">
        <f>SUMIFS(RawDataKWh[일사합_kWh_m2],RawDataKWh[연월],$A45,RawDataKWh[지역명],E$3)</f>
        <v/>
      </c>
      <c r="F45" s="45">
        <f>SUMIFS(RawDataKWh[일사합_kWh_m2],RawDataKWh[연월],$A45,RawDataKWh[지역명],F$3)</f>
        <v/>
      </c>
      <c r="G45" s="45">
        <f>SUMIFS(RawDataKWh[일사합_kWh_m2],RawDataKWh[연월],$A45,RawDataKWh[지역명],G$3)</f>
        <v/>
      </c>
      <c r="H45" s="45">
        <f>SUMIFS(RawDataKWh[일사합_kWh_m2],RawDataKWh[연월],$A45,RawDataKWh[지역명],H$3)</f>
        <v/>
      </c>
      <c r="I45" s="45">
        <f>SUMIFS(RawDataKWh[일사합_kWh_m2],RawDataKWh[연월],$A45,RawDataKWh[지역명],I$3)</f>
        <v/>
      </c>
      <c r="J45" s="45">
        <f>SUMIFS(RawDataKWh[일사합_kWh_m2],RawDataKWh[연월],$A45,RawDataKWh[지역명],J$3)</f>
        <v/>
      </c>
      <c r="K45" s="45">
        <f>SUMIFS(RawDataKWh[일사합_kWh_m2],RawDataKWh[연월],$A45,RawDataKWh[지역명],K$3)</f>
        <v/>
      </c>
      <c r="L45" s="45">
        <f>AVERAGE(B45:K45)</f>
        <v/>
      </c>
      <c r="N45" s="19">
        <f>$A45</f>
        <v/>
      </c>
      <c r="O45" s="46">
        <f>AVERAGEIFS(RawDataKWh[일평균_일사합_kWh_m2],RawDataKWh[연월],$A45,RawDataKWh[지역명],O$3)</f>
        <v/>
      </c>
      <c r="P45" s="46">
        <f>AVERAGEIFS(RawDataKWh[일평균_일사합_kWh_m2],RawDataKWh[연월],$A45,RawDataKWh[지역명],P$3)</f>
        <v/>
      </c>
      <c r="Q45" s="46">
        <f>AVERAGEIFS(RawDataKWh[일평균_일사합_kWh_m2],RawDataKWh[연월],$A45,RawDataKWh[지역명],Q$3)</f>
        <v/>
      </c>
      <c r="R45" s="46">
        <f>AVERAGEIFS(RawDataKWh[일평균_일사합_kWh_m2],RawDataKWh[연월],$A45,RawDataKWh[지역명],R$3)</f>
        <v/>
      </c>
      <c r="S45" s="46">
        <f>AVERAGEIFS(RawDataKWh[일평균_일사합_kWh_m2],RawDataKWh[연월],$A45,RawDataKWh[지역명],S$3)</f>
        <v/>
      </c>
      <c r="T45" s="46">
        <f>AVERAGEIFS(RawDataKWh[일평균_일사합_kWh_m2],RawDataKWh[연월],$A45,RawDataKWh[지역명],T$3)</f>
        <v/>
      </c>
      <c r="U45" s="46">
        <f>AVERAGEIFS(RawDataKWh[일평균_일사합_kWh_m2],RawDataKWh[연월],$A45,RawDataKWh[지역명],U$3)</f>
        <v/>
      </c>
      <c r="V45" s="46">
        <f>AVERAGEIFS(RawDataKWh[일평균_일사합_kWh_m2],RawDataKWh[연월],$A45,RawDataKWh[지역명],V$3)</f>
        <v/>
      </c>
      <c r="W45" s="46">
        <f>AVERAGEIFS(RawDataKWh[일평균_일사합_kWh_m2],RawDataKWh[연월],$A45,RawDataKWh[지역명],W$3)</f>
        <v/>
      </c>
      <c r="X45" s="46">
        <f>AVERAGEIFS(RawDataKWh[일평균_일사합_kWh_m2],RawDataKWh[연월],$A45,RawDataKWh[지역명],X$3)</f>
        <v/>
      </c>
      <c r="Y45" s="46">
        <f>AVERAGE(O45:X45)</f>
        <v/>
      </c>
    </row>
    <row r="46" ht="16" customHeight="1">
      <c r="A46" s="17" t="inlineStr">
        <is>
          <t>2019-07</t>
        </is>
      </c>
      <c r="B46" s="41">
        <f>SUMIFS(RawDataKWh[일사합_kWh_m2],RawDataKWh[연월],$A46,RawDataKWh[지역명],B$3)</f>
        <v/>
      </c>
      <c r="C46" s="41">
        <f>SUMIFS(RawDataKWh[일사합_kWh_m2],RawDataKWh[연월],$A46,RawDataKWh[지역명],C$3)</f>
        <v/>
      </c>
      <c r="D46" s="41">
        <f>SUMIFS(RawDataKWh[일사합_kWh_m2],RawDataKWh[연월],$A46,RawDataKWh[지역명],D$3)</f>
        <v/>
      </c>
      <c r="E46" s="41">
        <f>SUMIFS(RawDataKWh[일사합_kWh_m2],RawDataKWh[연월],$A46,RawDataKWh[지역명],E$3)</f>
        <v/>
      </c>
      <c r="F46" s="41">
        <f>SUMIFS(RawDataKWh[일사합_kWh_m2],RawDataKWh[연월],$A46,RawDataKWh[지역명],F$3)</f>
        <v/>
      </c>
      <c r="G46" s="41">
        <f>SUMIFS(RawDataKWh[일사합_kWh_m2],RawDataKWh[연월],$A46,RawDataKWh[지역명],G$3)</f>
        <v/>
      </c>
      <c r="H46" s="41">
        <f>SUMIFS(RawDataKWh[일사합_kWh_m2],RawDataKWh[연월],$A46,RawDataKWh[지역명],H$3)</f>
        <v/>
      </c>
      <c r="I46" s="41">
        <f>SUMIFS(RawDataKWh[일사합_kWh_m2],RawDataKWh[연월],$A46,RawDataKWh[지역명],I$3)</f>
        <v/>
      </c>
      <c r="J46" s="41">
        <f>SUMIFS(RawDataKWh[일사합_kWh_m2],RawDataKWh[연월],$A46,RawDataKWh[지역명],J$3)</f>
        <v/>
      </c>
      <c r="K46" s="41">
        <f>SUMIFS(RawDataKWh[일사합_kWh_m2],RawDataKWh[연월],$A46,RawDataKWh[지역명],K$3)</f>
        <v/>
      </c>
      <c r="L46" s="41">
        <f>AVERAGE(B46:K46)</f>
        <v/>
      </c>
      <c r="N46" s="17">
        <f>$A46</f>
        <v/>
      </c>
      <c r="O46" s="42">
        <f>AVERAGEIFS(RawDataKWh[일평균_일사합_kWh_m2],RawDataKWh[연월],$A46,RawDataKWh[지역명],O$3)</f>
        <v/>
      </c>
      <c r="P46" s="42">
        <f>AVERAGEIFS(RawDataKWh[일평균_일사합_kWh_m2],RawDataKWh[연월],$A46,RawDataKWh[지역명],P$3)</f>
        <v/>
      </c>
      <c r="Q46" s="42">
        <f>AVERAGEIFS(RawDataKWh[일평균_일사합_kWh_m2],RawDataKWh[연월],$A46,RawDataKWh[지역명],Q$3)</f>
        <v/>
      </c>
      <c r="R46" s="42">
        <f>AVERAGEIFS(RawDataKWh[일평균_일사합_kWh_m2],RawDataKWh[연월],$A46,RawDataKWh[지역명],R$3)</f>
        <v/>
      </c>
      <c r="S46" s="42">
        <f>AVERAGEIFS(RawDataKWh[일평균_일사합_kWh_m2],RawDataKWh[연월],$A46,RawDataKWh[지역명],S$3)</f>
        <v/>
      </c>
      <c r="T46" s="42">
        <f>AVERAGEIFS(RawDataKWh[일평균_일사합_kWh_m2],RawDataKWh[연월],$A46,RawDataKWh[지역명],T$3)</f>
        <v/>
      </c>
      <c r="U46" s="42">
        <f>AVERAGEIFS(RawDataKWh[일평균_일사합_kWh_m2],RawDataKWh[연월],$A46,RawDataKWh[지역명],U$3)</f>
        <v/>
      </c>
      <c r="V46" s="42">
        <f>AVERAGEIFS(RawDataKWh[일평균_일사합_kWh_m2],RawDataKWh[연월],$A46,RawDataKWh[지역명],V$3)</f>
        <v/>
      </c>
      <c r="W46" s="42">
        <f>AVERAGEIFS(RawDataKWh[일평균_일사합_kWh_m2],RawDataKWh[연월],$A46,RawDataKWh[지역명],W$3)</f>
        <v/>
      </c>
      <c r="X46" s="42">
        <f>AVERAGEIFS(RawDataKWh[일평균_일사합_kWh_m2],RawDataKWh[연월],$A46,RawDataKWh[지역명],X$3)</f>
        <v/>
      </c>
      <c r="Y46" s="42">
        <f>AVERAGE(O46:X46)</f>
        <v/>
      </c>
    </row>
    <row r="47" ht="16" customHeight="1">
      <c r="A47" s="19" t="inlineStr">
        <is>
          <t>2019-08</t>
        </is>
      </c>
      <c r="B47" s="45">
        <f>SUMIFS(RawDataKWh[일사합_kWh_m2],RawDataKWh[연월],$A47,RawDataKWh[지역명],B$3)</f>
        <v/>
      </c>
      <c r="C47" s="45">
        <f>SUMIFS(RawDataKWh[일사합_kWh_m2],RawDataKWh[연월],$A47,RawDataKWh[지역명],C$3)</f>
        <v/>
      </c>
      <c r="D47" s="45">
        <f>SUMIFS(RawDataKWh[일사합_kWh_m2],RawDataKWh[연월],$A47,RawDataKWh[지역명],D$3)</f>
        <v/>
      </c>
      <c r="E47" s="45">
        <f>SUMIFS(RawDataKWh[일사합_kWh_m2],RawDataKWh[연월],$A47,RawDataKWh[지역명],E$3)</f>
        <v/>
      </c>
      <c r="F47" s="45">
        <f>SUMIFS(RawDataKWh[일사합_kWh_m2],RawDataKWh[연월],$A47,RawDataKWh[지역명],F$3)</f>
        <v/>
      </c>
      <c r="G47" s="45">
        <f>SUMIFS(RawDataKWh[일사합_kWh_m2],RawDataKWh[연월],$A47,RawDataKWh[지역명],G$3)</f>
        <v/>
      </c>
      <c r="H47" s="45">
        <f>SUMIFS(RawDataKWh[일사합_kWh_m2],RawDataKWh[연월],$A47,RawDataKWh[지역명],H$3)</f>
        <v/>
      </c>
      <c r="I47" s="45">
        <f>SUMIFS(RawDataKWh[일사합_kWh_m2],RawDataKWh[연월],$A47,RawDataKWh[지역명],I$3)</f>
        <v/>
      </c>
      <c r="J47" s="45">
        <f>SUMIFS(RawDataKWh[일사합_kWh_m2],RawDataKWh[연월],$A47,RawDataKWh[지역명],J$3)</f>
        <v/>
      </c>
      <c r="K47" s="45">
        <f>SUMIFS(RawDataKWh[일사합_kWh_m2],RawDataKWh[연월],$A47,RawDataKWh[지역명],K$3)</f>
        <v/>
      </c>
      <c r="L47" s="45">
        <f>AVERAGE(B47:K47)</f>
        <v/>
      </c>
      <c r="N47" s="19">
        <f>$A47</f>
        <v/>
      </c>
      <c r="O47" s="46">
        <f>AVERAGEIFS(RawDataKWh[일평균_일사합_kWh_m2],RawDataKWh[연월],$A47,RawDataKWh[지역명],O$3)</f>
        <v/>
      </c>
      <c r="P47" s="46">
        <f>AVERAGEIFS(RawDataKWh[일평균_일사합_kWh_m2],RawDataKWh[연월],$A47,RawDataKWh[지역명],P$3)</f>
        <v/>
      </c>
      <c r="Q47" s="46">
        <f>AVERAGEIFS(RawDataKWh[일평균_일사합_kWh_m2],RawDataKWh[연월],$A47,RawDataKWh[지역명],Q$3)</f>
        <v/>
      </c>
      <c r="R47" s="46">
        <f>AVERAGEIFS(RawDataKWh[일평균_일사합_kWh_m2],RawDataKWh[연월],$A47,RawDataKWh[지역명],R$3)</f>
        <v/>
      </c>
      <c r="S47" s="46">
        <f>AVERAGEIFS(RawDataKWh[일평균_일사합_kWh_m2],RawDataKWh[연월],$A47,RawDataKWh[지역명],S$3)</f>
        <v/>
      </c>
      <c r="T47" s="46">
        <f>AVERAGEIFS(RawDataKWh[일평균_일사합_kWh_m2],RawDataKWh[연월],$A47,RawDataKWh[지역명],T$3)</f>
        <v/>
      </c>
      <c r="U47" s="46">
        <f>AVERAGEIFS(RawDataKWh[일평균_일사합_kWh_m2],RawDataKWh[연월],$A47,RawDataKWh[지역명],U$3)</f>
        <v/>
      </c>
      <c r="V47" s="46">
        <f>AVERAGEIFS(RawDataKWh[일평균_일사합_kWh_m2],RawDataKWh[연월],$A47,RawDataKWh[지역명],V$3)</f>
        <v/>
      </c>
      <c r="W47" s="46">
        <f>AVERAGEIFS(RawDataKWh[일평균_일사합_kWh_m2],RawDataKWh[연월],$A47,RawDataKWh[지역명],W$3)</f>
        <v/>
      </c>
      <c r="X47" s="46">
        <f>AVERAGEIFS(RawDataKWh[일평균_일사합_kWh_m2],RawDataKWh[연월],$A47,RawDataKWh[지역명],X$3)</f>
        <v/>
      </c>
      <c r="Y47" s="46">
        <f>AVERAGE(O47:X47)</f>
        <v/>
      </c>
    </row>
    <row r="48" ht="16" customHeight="1">
      <c r="A48" s="17" t="inlineStr">
        <is>
          <t>2019-09</t>
        </is>
      </c>
      <c r="B48" s="41">
        <f>SUMIFS(RawDataKWh[일사합_kWh_m2],RawDataKWh[연월],$A48,RawDataKWh[지역명],B$3)</f>
        <v/>
      </c>
      <c r="C48" s="41">
        <f>SUMIFS(RawDataKWh[일사합_kWh_m2],RawDataKWh[연월],$A48,RawDataKWh[지역명],C$3)</f>
        <v/>
      </c>
      <c r="D48" s="41">
        <f>SUMIFS(RawDataKWh[일사합_kWh_m2],RawDataKWh[연월],$A48,RawDataKWh[지역명],D$3)</f>
        <v/>
      </c>
      <c r="E48" s="41">
        <f>SUMIFS(RawDataKWh[일사합_kWh_m2],RawDataKWh[연월],$A48,RawDataKWh[지역명],E$3)</f>
        <v/>
      </c>
      <c r="F48" s="41">
        <f>SUMIFS(RawDataKWh[일사합_kWh_m2],RawDataKWh[연월],$A48,RawDataKWh[지역명],F$3)</f>
        <v/>
      </c>
      <c r="G48" s="41">
        <f>SUMIFS(RawDataKWh[일사합_kWh_m2],RawDataKWh[연월],$A48,RawDataKWh[지역명],G$3)</f>
        <v/>
      </c>
      <c r="H48" s="41">
        <f>SUMIFS(RawDataKWh[일사합_kWh_m2],RawDataKWh[연월],$A48,RawDataKWh[지역명],H$3)</f>
        <v/>
      </c>
      <c r="I48" s="41">
        <f>SUMIFS(RawDataKWh[일사합_kWh_m2],RawDataKWh[연월],$A48,RawDataKWh[지역명],I$3)</f>
        <v/>
      </c>
      <c r="J48" s="41">
        <f>SUMIFS(RawDataKWh[일사합_kWh_m2],RawDataKWh[연월],$A48,RawDataKWh[지역명],J$3)</f>
        <v/>
      </c>
      <c r="K48" s="41">
        <f>SUMIFS(RawDataKWh[일사합_kWh_m2],RawDataKWh[연월],$A48,RawDataKWh[지역명],K$3)</f>
        <v/>
      </c>
      <c r="L48" s="41">
        <f>AVERAGE(B48:K48)</f>
        <v/>
      </c>
      <c r="N48" s="17">
        <f>$A48</f>
        <v/>
      </c>
      <c r="O48" s="42">
        <f>AVERAGEIFS(RawDataKWh[일평균_일사합_kWh_m2],RawDataKWh[연월],$A48,RawDataKWh[지역명],O$3)</f>
        <v/>
      </c>
      <c r="P48" s="42">
        <f>AVERAGEIFS(RawDataKWh[일평균_일사합_kWh_m2],RawDataKWh[연월],$A48,RawDataKWh[지역명],P$3)</f>
        <v/>
      </c>
      <c r="Q48" s="42">
        <f>AVERAGEIFS(RawDataKWh[일평균_일사합_kWh_m2],RawDataKWh[연월],$A48,RawDataKWh[지역명],Q$3)</f>
        <v/>
      </c>
      <c r="R48" s="42">
        <f>AVERAGEIFS(RawDataKWh[일평균_일사합_kWh_m2],RawDataKWh[연월],$A48,RawDataKWh[지역명],R$3)</f>
        <v/>
      </c>
      <c r="S48" s="42">
        <f>AVERAGEIFS(RawDataKWh[일평균_일사합_kWh_m2],RawDataKWh[연월],$A48,RawDataKWh[지역명],S$3)</f>
        <v/>
      </c>
      <c r="T48" s="42">
        <f>AVERAGEIFS(RawDataKWh[일평균_일사합_kWh_m2],RawDataKWh[연월],$A48,RawDataKWh[지역명],T$3)</f>
        <v/>
      </c>
      <c r="U48" s="42">
        <f>AVERAGEIFS(RawDataKWh[일평균_일사합_kWh_m2],RawDataKWh[연월],$A48,RawDataKWh[지역명],U$3)</f>
        <v/>
      </c>
      <c r="V48" s="42">
        <f>AVERAGEIFS(RawDataKWh[일평균_일사합_kWh_m2],RawDataKWh[연월],$A48,RawDataKWh[지역명],V$3)</f>
        <v/>
      </c>
      <c r="W48" s="42">
        <f>AVERAGEIFS(RawDataKWh[일평균_일사합_kWh_m2],RawDataKWh[연월],$A48,RawDataKWh[지역명],W$3)</f>
        <v/>
      </c>
      <c r="X48" s="42">
        <f>AVERAGEIFS(RawDataKWh[일평균_일사합_kWh_m2],RawDataKWh[연월],$A48,RawDataKWh[지역명],X$3)</f>
        <v/>
      </c>
      <c r="Y48" s="42">
        <f>AVERAGE(O48:X48)</f>
        <v/>
      </c>
    </row>
    <row r="49" ht="16" customHeight="1">
      <c r="A49" s="19" t="inlineStr">
        <is>
          <t>2019-10</t>
        </is>
      </c>
      <c r="B49" s="45">
        <f>SUMIFS(RawDataKWh[일사합_kWh_m2],RawDataKWh[연월],$A49,RawDataKWh[지역명],B$3)</f>
        <v/>
      </c>
      <c r="C49" s="45">
        <f>SUMIFS(RawDataKWh[일사합_kWh_m2],RawDataKWh[연월],$A49,RawDataKWh[지역명],C$3)</f>
        <v/>
      </c>
      <c r="D49" s="45">
        <f>SUMIFS(RawDataKWh[일사합_kWh_m2],RawDataKWh[연월],$A49,RawDataKWh[지역명],D$3)</f>
        <v/>
      </c>
      <c r="E49" s="45">
        <f>SUMIFS(RawDataKWh[일사합_kWh_m2],RawDataKWh[연월],$A49,RawDataKWh[지역명],E$3)</f>
        <v/>
      </c>
      <c r="F49" s="45">
        <f>SUMIFS(RawDataKWh[일사합_kWh_m2],RawDataKWh[연월],$A49,RawDataKWh[지역명],F$3)</f>
        <v/>
      </c>
      <c r="G49" s="45">
        <f>SUMIFS(RawDataKWh[일사합_kWh_m2],RawDataKWh[연월],$A49,RawDataKWh[지역명],G$3)</f>
        <v/>
      </c>
      <c r="H49" s="45">
        <f>SUMIFS(RawDataKWh[일사합_kWh_m2],RawDataKWh[연월],$A49,RawDataKWh[지역명],H$3)</f>
        <v/>
      </c>
      <c r="I49" s="45">
        <f>SUMIFS(RawDataKWh[일사합_kWh_m2],RawDataKWh[연월],$A49,RawDataKWh[지역명],I$3)</f>
        <v/>
      </c>
      <c r="J49" s="45">
        <f>SUMIFS(RawDataKWh[일사합_kWh_m2],RawDataKWh[연월],$A49,RawDataKWh[지역명],J$3)</f>
        <v/>
      </c>
      <c r="K49" s="45">
        <f>SUMIFS(RawDataKWh[일사합_kWh_m2],RawDataKWh[연월],$A49,RawDataKWh[지역명],K$3)</f>
        <v/>
      </c>
      <c r="L49" s="45">
        <f>AVERAGE(B49:K49)</f>
        <v/>
      </c>
      <c r="N49" s="19">
        <f>$A49</f>
        <v/>
      </c>
      <c r="O49" s="46">
        <f>AVERAGEIFS(RawDataKWh[일평균_일사합_kWh_m2],RawDataKWh[연월],$A49,RawDataKWh[지역명],O$3)</f>
        <v/>
      </c>
      <c r="P49" s="46">
        <f>AVERAGEIFS(RawDataKWh[일평균_일사합_kWh_m2],RawDataKWh[연월],$A49,RawDataKWh[지역명],P$3)</f>
        <v/>
      </c>
      <c r="Q49" s="46">
        <f>AVERAGEIFS(RawDataKWh[일평균_일사합_kWh_m2],RawDataKWh[연월],$A49,RawDataKWh[지역명],Q$3)</f>
        <v/>
      </c>
      <c r="R49" s="46">
        <f>AVERAGEIFS(RawDataKWh[일평균_일사합_kWh_m2],RawDataKWh[연월],$A49,RawDataKWh[지역명],R$3)</f>
        <v/>
      </c>
      <c r="S49" s="46">
        <f>AVERAGEIFS(RawDataKWh[일평균_일사합_kWh_m2],RawDataKWh[연월],$A49,RawDataKWh[지역명],S$3)</f>
        <v/>
      </c>
      <c r="T49" s="46">
        <f>AVERAGEIFS(RawDataKWh[일평균_일사합_kWh_m2],RawDataKWh[연월],$A49,RawDataKWh[지역명],T$3)</f>
        <v/>
      </c>
      <c r="U49" s="46">
        <f>AVERAGEIFS(RawDataKWh[일평균_일사합_kWh_m2],RawDataKWh[연월],$A49,RawDataKWh[지역명],U$3)</f>
        <v/>
      </c>
      <c r="V49" s="46">
        <f>AVERAGEIFS(RawDataKWh[일평균_일사합_kWh_m2],RawDataKWh[연월],$A49,RawDataKWh[지역명],V$3)</f>
        <v/>
      </c>
      <c r="W49" s="46">
        <f>AVERAGEIFS(RawDataKWh[일평균_일사합_kWh_m2],RawDataKWh[연월],$A49,RawDataKWh[지역명],W$3)</f>
        <v/>
      </c>
      <c r="X49" s="46">
        <f>AVERAGEIFS(RawDataKWh[일평균_일사합_kWh_m2],RawDataKWh[연월],$A49,RawDataKWh[지역명],X$3)</f>
        <v/>
      </c>
      <c r="Y49" s="46">
        <f>AVERAGE(O49:X49)</f>
        <v/>
      </c>
    </row>
    <row r="50" ht="16" customHeight="1">
      <c r="A50" s="17" t="inlineStr">
        <is>
          <t>2019-11</t>
        </is>
      </c>
      <c r="B50" s="41">
        <f>SUMIFS(RawDataKWh[일사합_kWh_m2],RawDataKWh[연월],$A50,RawDataKWh[지역명],B$3)</f>
        <v/>
      </c>
      <c r="C50" s="41">
        <f>SUMIFS(RawDataKWh[일사합_kWh_m2],RawDataKWh[연월],$A50,RawDataKWh[지역명],C$3)</f>
        <v/>
      </c>
      <c r="D50" s="41">
        <f>SUMIFS(RawDataKWh[일사합_kWh_m2],RawDataKWh[연월],$A50,RawDataKWh[지역명],D$3)</f>
        <v/>
      </c>
      <c r="E50" s="41">
        <f>SUMIFS(RawDataKWh[일사합_kWh_m2],RawDataKWh[연월],$A50,RawDataKWh[지역명],E$3)</f>
        <v/>
      </c>
      <c r="F50" s="41">
        <f>SUMIFS(RawDataKWh[일사합_kWh_m2],RawDataKWh[연월],$A50,RawDataKWh[지역명],F$3)</f>
        <v/>
      </c>
      <c r="G50" s="41">
        <f>SUMIFS(RawDataKWh[일사합_kWh_m2],RawDataKWh[연월],$A50,RawDataKWh[지역명],G$3)</f>
        <v/>
      </c>
      <c r="H50" s="41">
        <f>SUMIFS(RawDataKWh[일사합_kWh_m2],RawDataKWh[연월],$A50,RawDataKWh[지역명],H$3)</f>
        <v/>
      </c>
      <c r="I50" s="41">
        <f>SUMIFS(RawDataKWh[일사합_kWh_m2],RawDataKWh[연월],$A50,RawDataKWh[지역명],I$3)</f>
        <v/>
      </c>
      <c r="J50" s="41">
        <f>SUMIFS(RawDataKWh[일사합_kWh_m2],RawDataKWh[연월],$A50,RawDataKWh[지역명],J$3)</f>
        <v/>
      </c>
      <c r="K50" s="41">
        <f>SUMIFS(RawDataKWh[일사합_kWh_m2],RawDataKWh[연월],$A50,RawDataKWh[지역명],K$3)</f>
        <v/>
      </c>
      <c r="L50" s="41">
        <f>AVERAGE(B50:K50)</f>
        <v/>
      </c>
      <c r="N50" s="17">
        <f>$A50</f>
        <v/>
      </c>
      <c r="O50" s="42">
        <f>AVERAGEIFS(RawDataKWh[일평균_일사합_kWh_m2],RawDataKWh[연월],$A50,RawDataKWh[지역명],O$3)</f>
        <v/>
      </c>
      <c r="P50" s="42">
        <f>AVERAGEIFS(RawDataKWh[일평균_일사합_kWh_m2],RawDataKWh[연월],$A50,RawDataKWh[지역명],P$3)</f>
        <v/>
      </c>
      <c r="Q50" s="42">
        <f>AVERAGEIFS(RawDataKWh[일평균_일사합_kWh_m2],RawDataKWh[연월],$A50,RawDataKWh[지역명],Q$3)</f>
        <v/>
      </c>
      <c r="R50" s="42">
        <f>AVERAGEIFS(RawDataKWh[일평균_일사합_kWh_m2],RawDataKWh[연월],$A50,RawDataKWh[지역명],R$3)</f>
        <v/>
      </c>
      <c r="S50" s="42">
        <f>AVERAGEIFS(RawDataKWh[일평균_일사합_kWh_m2],RawDataKWh[연월],$A50,RawDataKWh[지역명],S$3)</f>
        <v/>
      </c>
      <c r="T50" s="42">
        <f>AVERAGEIFS(RawDataKWh[일평균_일사합_kWh_m2],RawDataKWh[연월],$A50,RawDataKWh[지역명],T$3)</f>
        <v/>
      </c>
      <c r="U50" s="42">
        <f>AVERAGEIFS(RawDataKWh[일평균_일사합_kWh_m2],RawDataKWh[연월],$A50,RawDataKWh[지역명],U$3)</f>
        <v/>
      </c>
      <c r="V50" s="42">
        <f>AVERAGEIFS(RawDataKWh[일평균_일사합_kWh_m2],RawDataKWh[연월],$A50,RawDataKWh[지역명],V$3)</f>
        <v/>
      </c>
      <c r="W50" s="42">
        <f>AVERAGEIFS(RawDataKWh[일평균_일사합_kWh_m2],RawDataKWh[연월],$A50,RawDataKWh[지역명],W$3)</f>
        <v/>
      </c>
      <c r="X50" s="42">
        <f>AVERAGEIFS(RawDataKWh[일평균_일사합_kWh_m2],RawDataKWh[연월],$A50,RawDataKWh[지역명],X$3)</f>
        <v/>
      </c>
      <c r="Y50" s="42">
        <f>AVERAGE(O50:X50)</f>
        <v/>
      </c>
    </row>
    <row r="51" ht="16" customHeight="1">
      <c r="A51" s="19" t="inlineStr">
        <is>
          <t>2019-12</t>
        </is>
      </c>
      <c r="B51" s="45">
        <f>SUMIFS(RawDataKWh[일사합_kWh_m2],RawDataKWh[연월],$A51,RawDataKWh[지역명],B$3)</f>
        <v/>
      </c>
      <c r="C51" s="45">
        <f>SUMIFS(RawDataKWh[일사합_kWh_m2],RawDataKWh[연월],$A51,RawDataKWh[지역명],C$3)</f>
        <v/>
      </c>
      <c r="D51" s="45">
        <f>SUMIFS(RawDataKWh[일사합_kWh_m2],RawDataKWh[연월],$A51,RawDataKWh[지역명],D$3)</f>
        <v/>
      </c>
      <c r="E51" s="45">
        <f>SUMIFS(RawDataKWh[일사합_kWh_m2],RawDataKWh[연월],$A51,RawDataKWh[지역명],E$3)</f>
        <v/>
      </c>
      <c r="F51" s="45">
        <f>SUMIFS(RawDataKWh[일사합_kWh_m2],RawDataKWh[연월],$A51,RawDataKWh[지역명],F$3)</f>
        <v/>
      </c>
      <c r="G51" s="45">
        <f>SUMIFS(RawDataKWh[일사합_kWh_m2],RawDataKWh[연월],$A51,RawDataKWh[지역명],G$3)</f>
        <v/>
      </c>
      <c r="H51" s="45">
        <f>SUMIFS(RawDataKWh[일사합_kWh_m2],RawDataKWh[연월],$A51,RawDataKWh[지역명],H$3)</f>
        <v/>
      </c>
      <c r="I51" s="45">
        <f>SUMIFS(RawDataKWh[일사합_kWh_m2],RawDataKWh[연월],$A51,RawDataKWh[지역명],I$3)</f>
        <v/>
      </c>
      <c r="J51" s="45">
        <f>SUMIFS(RawDataKWh[일사합_kWh_m2],RawDataKWh[연월],$A51,RawDataKWh[지역명],J$3)</f>
        <v/>
      </c>
      <c r="K51" s="45">
        <f>SUMIFS(RawDataKWh[일사합_kWh_m2],RawDataKWh[연월],$A51,RawDataKWh[지역명],K$3)</f>
        <v/>
      </c>
      <c r="L51" s="45">
        <f>AVERAGE(B51:K51)</f>
        <v/>
      </c>
      <c r="N51" s="19">
        <f>$A51</f>
        <v/>
      </c>
      <c r="O51" s="46">
        <f>AVERAGEIFS(RawDataKWh[일평균_일사합_kWh_m2],RawDataKWh[연월],$A51,RawDataKWh[지역명],O$3)</f>
        <v/>
      </c>
      <c r="P51" s="46">
        <f>AVERAGEIFS(RawDataKWh[일평균_일사합_kWh_m2],RawDataKWh[연월],$A51,RawDataKWh[지역명],P$3)</f>
        <v/>
      </c>
      <c r="Q51" s="46">
        <f>AVERAGEIFS(RawDataKWh[일평균_일사합_kWh_m2],RawDataKWh[연월],$A51,RawDataKWh[지역명],Q$3)</f>
        <v/>
      </c>
      <c r="R51" s="46">
        <f>AVERAGEIFS(RawDataKWh[일평균_일사합_kWh_m2],RawDataKWh[연월],$A51,RawDataKWh[지역명],R$3)</f>
        <v/>
      </c>
      <c r="S51" s="46">
        <f>AVERAGEIFS(RawDataKWh[일평균_일사합_kWh_m2],RawDataKWh[연월],$A51,RawDataKWh[지역명],S$3)</f>
        <v/>
      </c>
      <c r="T51" s="46">
        <f>AVERAGEIFS(RawDataKWh[일평균_일사합_kWh_m2],RawDataKWh[연월],$A51,RawDataKWh[지역명],T$3)</f>
        <v/>
      </c>
      <c r="U51" s="46">
        <f>AVERAGEIFS(RawDataKWh[일평균_일사합_kWh_m2],RawDataKWh[연월],$A51,RawDataKWh[지역명],U$3)</f>
        <v/>
      </c>
      <c r="V51" s="46">
        <f>AVERAGEIFS(RawDataKWh[일평균_일사합_kWh_m2],RawDataKWh[연월],$A51,RawDataKWh[지역명],V$3)</f>
        <v/>
      </c>
      <c r="W51" s="46">
        <f>AVERAGEIFS(RawDataKWh[일평균_일사합_kWh_m2],RawDataKWh[연월],$A51,RawDataKWh[지역명],W$3)</f>
        <v/>
      </c>
      <c r="X51" s="46">
        <f>AVERAGEIFS(RawDataKWh[일평균_일사합_kWh_m2],RawDataKWh[연월],$A51,RawDataKWh[지역명],X$3)</f>
        <v/>
      </c>
      <c r="Y51" s="46">
        <f>AVERAGE(O51:X51)</f>
        <v/>
      </c>
    </row>
    <row r="52" ht="16" customHeight="1">
      <c r="A52" s="17" t="inlineStr">
        <is>
          <t>2020-01</t>
        </is>
      </c>
      <c r="B52" s="41">
        <f>SUMIFS(RawDataKWh[일사합_kWh_m2],RawDataKWh[연월],$A52,RawDataKWh[지역명],B$3)</f>
        <v/>
      </c>
      <c r="C52" s="41">
        <f>SUMIFS(RawDataKWh[일사합_kWh_m2],RawDataKWh[연월],$A52,RawDataKWh[지역명],C$3)</f>
        <v/>
      </c>
      <c r="D52" s="41">
        <f>SUMIFS(RawDataKWh[일사합_kWh_m2],RawDataKWh[연월],$A52,RawDataKWh[지역명],D$3)</f>
        <v/>
      </c>
      <c r="E52" s="41">
        <f>SUMIFS(RawDataKWh[일사합_kWh_m2],RawDataKWh[연월],$A52,RawDataKWh[지역명],E$3)</f>
        <v/>
      </c>
      <c r="F52" s="41">
        <f>SUMIFS(RawDataKWh[일사합_kWh_m2],RawDataKWh[연월],$A52,RawDataKWh[지역명],F$3)</f>
        <v/>
      </c>
      <c r="G52" s="41">
        <f>SUMIFS(RawDataKWh[일사합_kWh_m2],RawDataKWh[연월],$A52,RawDataKWh[지역명],G$3)</f>
        <v/>
      </c>
      <c r="H52" s="41">
        <f>SUMIFS(RawDataKWh[일사합_kWh_m2],RawDataKWh[연월],$A52,RawDataKWh[지역명],H$3)</f>
        <v/>
      </c>
      <c r="I52" s="41">
        <f>SUMIFS(RawDataKWh[일사합_kWh_m2],RawDataKWh[연월],$A52,RawDataKWh[지역명],I$3)</f>
        <v/>
      </c>
      <c r="J52" s="41">
        <f>SUMIFS(RawDataKWh[일사합_kWh_m2],RawDataKWh[연월],$A52,RawDataKWh[지역명],J$3)</f>
        <v/>
      </c>
      <c r="K52" s="41">
        <f>SUMIFS(RawDataKWh[일사합_kWh_m2],RawDataKWh[연월],$A52,RawDataKWh[지역명],K$3)</f>
        <v/>
      </c>
      <c r="L52" s="41">
        <f>AVERAGE(B52:K52)</f>
        <v/>
      </c>
      <c r="N52" s="17">
        <f>$A52</f>
        <v/>
      </c>
      <c r="O52" s="42">
        <f>AVERAGEIFS(RawDataKWh[일평균_일사합_kWh_m2],RawDataKWh[연월],$A52,RawDataKWh[지역명],O$3)</f>
        <v/>
      </c>
      <c r="P52" s="42">
        <f>AVERAGEIFS(RawDataKWh[일평균_일사합_kWh_m2],RawDataKWh[연월],$A52,RawDataKWh[지역명],P$3)</f>
        <v/>
      </c>
      <c r="Q52" s="42">
        <f>AVERAGEIFS(RawDataKWh[일평균_일사합_kWh_m2],RawDataKWh[연월],$A52,RawDataKWh[지역명],Q$3)</f>
        <v/>
      </c>
      <c r="R52" s="42">
        <f>AVERAGEIFS(RawDataKWh[일평균_일사합_kWh_m2],RawDataKWh[연월],$A52,RawDataKWh[지역명],R$3)</f>
        <v/>
      </c>
      <c r="S52" s="42">
        <f>AVERAGEIFS(RawDataKWh[일평균_일사합_kWh_m2],RawDataKWh[연월],$A52,RawDataKWh[지역명],S$3)</f>
        <v/>
      </c>
      <c r="T52" s="42">
        <f>AVERAGEIFS(RawDataKWh[일평균_일사합_kWh_m2],RawDataKWh[연월],$A52,RawDataKWh[지역명],T$3)</f>
        <v/>
      </c>
      <c r="U52" s="42">
        <f>AVERAGEIFS(RawDataKWh[일평균_일사합_kWh_m2],RawDataKWh[연월],$A52,RawDataKWh[지역명],U$3)</f>
        <v/>
      </c>
      <c r="V52" s="42">
        <f>AVERAGEIFS(RawDataKWh[일평균_일사합_kWh_m2],RawDataKWh[연월],$A52,RawDataKWh[지역명],V$3)</f>
        <v/>
      </c>
      <c r="W52" s="42">
        <f>AVERAGEIFS(RawDataKWh[일평균_일사합_kWh_m2],RawDataKWh[연월],$A52,RawDataKWh[지역명],W$3)</f>
        <v/>
      </c>
      <c r="X52" s="42">
        <f>AVERAGEIFS(RawDataKWh[일평균_일사합_kWh_m2],RawDataKWh[연월],$A52,RawDataKWh[지역명],X$3)</f>
        <v/>
      </c>
      <c r="Y52" s="42">
        <f>AVERAGE(O52:X52)</f>
        <v/>
      </c>
    </row>
    <row r="53" ht="16" customHeight="1">
      <c r="A53" s="19" t="inlineStr">
        <is>
          <t>2020-02</t>
        </is>
      </c>
      <c r="B53" s="45">
        <f>SUMIFS(RawDataKWh[일사합_kWh_m2],RawDataKWh[연월],$A53,RawDataKWh[지역명],B$3)</f>
        <v/>
      </c>
      <c r="C53" s="45">
        <f>SUMIFS(RawDataKWh[일사합_kWh_m2],RawDataKWh[연월],$A53,RawDataKWh[지역명],C$3)</f>
        <v/>
      </c>
      <c r="D53" s="45">
        <f>SUMIFS(RawDataKWh[일사합_kWh_m2],RawDataKWh[연월],$A53,RawDataKWh[지역명],D$3)</f>
        <v/>
      </c>
      <c r="E53" s="45">
        <f>SUMIFS(RawDataKWh[일사합_kWh_m2],RawDataKWh[연월],$A53,RawDataKWh[지역명],E$3)</f>
        <v/>
      </c>
      <c r="F53" s="45">
        <f>SUMIFS(RawDataKWh[일사합_kWh_m2],RawDataKWh[연월],$A53,RawDataKWh[지역명],F$3)</f>
        <v/>
      </c>
      <c r="G53" s="45">
        <f>SUMIFS(RawDataKWh[일사합_kWh_m2],RawDataKWh[연월],$A53,RawDataKWh[지역명],G$3)</f>
        <v/>
      </c>
      <c r="H53" s="45">
        <f>SUMIFS(RawDataKWh[일사합_kWh_m2],RawDataKWh[연월],$A53,RawDataKWh[지역명],H$3)</f>
        <v/>
      </c>
      <c r="I53" s="45">
        <f>SUMIFS(RawDataKWh[일사합_kWh_m2],RawDataKWh[연월],$A53,RawDataKWh[지역명],I$3)</f>
        <v/>
      </c>
      <c r="J53" s="45">
        <f>SUMIFS(RawDataKWh[일사합_kWh_m2],RawDataKWh[연월],$A53,RawDataKWh[지역명],J$3)</f>
        <v/>
      </c>
      <c r="K53" s="45">
        <f>SUMIFS(RawDataKWh[일사합_kWh_m2],RawDataKWh[연월],$A53,RawDataKWh[지역명],K$3)</f>
        <v/>
      </c>
      <c r="L53" s="45">
        <f>AVERAGE(B53:K53)</f>
        <v/>
      </c>
      <c r="N53" s="19">
        <f>$A53</f>
        <v/>
      </c>
      <c r="O53" s="46">
        <f>AVERAGEIFS(RawDataKWh[일평균_일사합_kWh_m2],RawDataKWh[연월],$A53,RawDataKWh[지역명],O$3)</f>
        <v/>
      </c>
      <c r="P53" s="46">
        <f>AVERAGEIFS(RawDataKWh[일평균_일사합_kWh_m2],RawDataKWh[연월],$A53,RawDataKWh[지역명],P$3)</f>
        <v/>
      </c>
      <c r="Q53" s="46">
        <f>AVERAGEIFS(RawDataKWh[일평균_일사합_kWh_m2],RawDataKWh[연월],$A53,RawDataKWh[지역명],Q$3)</f>
        <v/>
      </c>
      <c r="R53" s="46">
        <f>AVERAGEIFS(RawDataKWh[일평균_일사합_kWh_m2],RawDataKWh[연월],$A53,RawDataKWh[지역명],R$3)</f>
        <v/>
      </c>
      <c r="S53" s="46">
        <f>AVERAGEIFS(RawDataKWh[일평균_일사합_kWh_m2],RawDataKWh[연월],$A53,RawDataKWh[지역명],S$3)</f>
        <v/>
      </c>
      <c r="T53" s="46">
        <f>AVERAGEIFS(RawDataKWh[일평균_일사합_kWh_m2],RawDataKWh[연월],$A53,RawDataKWh[지역명],T$3)</f>
        <v/>
      </c>
      <c r="U53" s="46">
        <f>AVERAGEIFS(RawDataKWh[일평균_일사합_kWh_m2],RawDataKWh[연월],$A53,RawDataKWh[지역명],U$3)</f>
        <v/>
      </c>
      <c r="V53" s="46">
        <f>AVERAGEIFS(RawDataKWh[일평균_일사합_kWh_m2],RawDataKWh[연월],$A53,RawDataKWh[지역명],V$3)</f>
        <v/>
      </c>
      <c r="W53" s="46">
        <f>AVERAGEIFS(RawDataKWh[일평균_일사합_kWh_m2],RawDataKWh[연월],$A53,RawDataKWh[지역명],W$3)</f>
        <v/>
      </c>
      <c r="X53" s="46">
        <f>AVERAGEIFS(RawDataKWh[일평균_일사합_kWh_m2],RawDataKWh[연월],$A53,RawDataKWh[지역명],X$3)</f>
        <v/>
      </c>
      <c r="Y53" s="46">
        <f>AVERAGE(O53:X53)</f>
        <v/>
      </c>
    </row>
    <row r="54" ht="16" customHeight="1">
      <c r="A54" s="17" t="inlineStr">
        <is>
          <t>2020-03</t>
        </is>
      </c>
      <c r="B54" s="41">
        <f>SUMIFS(RawDataKWh[일사합_kWh_m2],RawDataKWh[연월],$A54,RawDataKWh[지역명],B$3)</f>
        <v/>
      </c>
      <c r="C54" s="41">
        <f>SUMIFS(RawDataKWh[일사합_kWh_m2],RawDataKWh[연월],$A54,RawDataKWh[지역명],C$3)</f>
        <v/>
      </c>
      <c r="D54" s="41">
        <f>SUMIFS(RawDataKWh[일사합_kWh_m2],RawDataKWh[연월],$A54,RawDataKWh[지역명],D$3)</f>
        <v/>
      </c>
      <c r="E54" s="41">
        <f>SUMIFS(RawDataKWh[일사합_kWh_m2],RawDataKWh[연월],$A54,RawDataKWh[지역명],E$3)</f>
        <v/>
      </c>
      <c r="F54" s="41">
        <f>SUMIFS(RawDataKWh[일사합_kWh_m2],RawDataKWh[연월],$A54,RawDataKWh[지역명],F$3)</f>
        <v/>
      </c>
      <c r="G54" s="41">
        <f>SUMIFS(RawDataKWh[일사합_kWh_m2],RawDataKWh[연월],$A54,RawDataKWh[지역명],G$3)</f>
        <v/>
      </c>
      <c r="H54" s="41">
        <f>SUMIFS(RawDataKWh[일사합_kWh_m2],RawDataKWh[연월],$A54,RawDataKWh[지역명],H$3)</f>
        <v/>
      </c>
      <c r="I54" s="41">
        <f>SUMIFS(RawDataKWh[일사합_kWh_m2],RawDataKWh[연월],$A54,RawDataKWh[지역명],I$3)</f>
        <v/>
      </c>
      <c r="J54" s="41">
        <f>SUMIFS(RawDataKWh[일사합_kWh_m2],RawDataKWh[연월],$A54,RawDataKWh[지역명],J$3)</f>
        <v/>
      </c>
      <c r="K54" s="41">
        <f>SUMIFS(RawDataKWh[일사합_kWh_m2],RawDataKWh[연월],$A54,RawDataKWh[지역명],K$3)</f>
        <v/>
      </c>
      <c r="L54" s="41">
        <f>AVERAGE(B54:K54)</f>
        <v/>
      </c>
      <c r="N54" s="17">
        <f>$A54</f>
        <v/>
      </c>
      <c r="O54" s="42">
        <f>AVERAGEIFS(RawDataKWh[일평균_일사합_kWh_m2],RawDataKWh[연월],$A54,RawDataKWh[지역명],O$3)</f>
        <v/>
      </c>
      <c r="P54" s="42">
        <f>AVERAGEIFS(RawDataKWh[일평균_일사합_kWh_m2],RawDataKWh[연월],$A54,RawDataKWh[지역명],P$3)</f>
        <v/>
      </c>
      <c r="Q54" s="42">
        <f>AVERAGEIFS(RawDataKWh[일평균_일사합_kWh_m2],RawDataKWh[연월],$A54,RawDataKWh[지역명],Q$3)</f>
        <v/>
      </c>
      <c r="R54" s="42">
        <f>AVERAGEIFS(RawDataKWh[일평균_일사합_kWh_m2],RawDataKWh[연월],$A54,RawDataKWh[지역명],R$3)</f>
        <v/>
      </c>
      <c r="S54" s="42">
        <f>AVERAGEIFS(RawDataKWh[일평균_일사합_kWh_m2],RawDataKWh[연월],$A54,RawDataKWh[지역명],S$3)</f>
        <v/>
      </c>
      <c r="T54" s="42">
        <f>AVERAGEIFS(RawDataKWh[일평균_일사합_kWh_m2],RawDataKWh[연월],$A54,RawDataKWh[지역명],T$3)</f>
        <v/>
      </c>
      <c r="U54" s="42">
        <f>AVERAGEIFS(RawDataKWh[일평균_일사합_kWh_m2],RawDataKWh[연월],$A54,RawDataKWh[지역명],U$3)</f>
        <v/>
      </c>
      <c r="V54" s="42">
        <f>AVERAGEIFS(RawDataKWh[일평균_일사합_kWh_m2],RawDataKWh[연월],$A54,RawDataKWh[지역명],V$3)</f>
        <v/>
      </c>
      <c r="W54" s="42">
        <f>AVERAGEIFS(RawDataKWh[일평균_일사합_kWh_m2],RawDataKWh[연월],$A54,RawDataKWh[지역명],W$3)</f>
        <v/>
      </c>
      <c r="X54" s="42">
        <f>AVERAGEIFS(RawDataKWh[일평균_일사합_kWh_m2],RawDataKWh[연월],$A54,RawDataKWh[지역명],X$3)</f>
        <v/>
      </c>
      <c r="Y54" s="42">
        <f>AVERAGE(O54:X54)</f>
        <v/>
      </c>
    </row>
    <row r="55" ht="16" customHeight="1">
      <c r="A55" s="19" t="inlineStr">
        <is>
          <t>2020-04</t>
        </is>
      </c>
      <c r="B55" s="45">
        <f>SUMIFS(RawDataKWh[일사합_kWh_m2],RawDataKWh[연월],$A55,RawDataKWh[지역명],B$3)</f>
        <v/>
      </c>
      <c r="C55" s="45">
        <f>SUMIFS(RawDataKWh[일사합_kWh_m2],RawDataKWh[연월],$A55,RawDataKWh[지역명],C$3)</f>
        <v/>
      </c>
      <c r="D55" s="45">
        <f>SUMIFS(RawDataKWh[일사합_kWh_m2],RawDataKWh[연월],$A55,RawDataKWh[지역명],D$3)</f>
        <v/>
      </c>
      <c r="E55" s="45">
        <f>SUMIFS(RawDataKWh[일사합_kWh_m2],RawDataKWh[연월],$A55,RawDataKWh[지역명],E$3)</f>
        <v/>
      </c>
      <c r="F55" s="45">
        <f>SUMIFS(RawDataKWh[일사합_kWh_m2],RawDataKWh[연월],$A55,RawDataKWh[지역명],F$3)</f>
        <v/>
      </c>
      <c r="G55" s="45">
        <f>SUMIFS(RawDataKWh[일사합_kWh_m2],RawDataKWh[연월],$A55,RawDataKWh[지역명],G$3)</f>
        <v/>
      </c>
      <c r="H55" s="45">
        <f>SUMIFS(RawDataKWh[일사합_kWh_m2],RawDataKWh[연월],$A55,RawDataKWh[지역명],H$3)</f>
        <v/>
      </c>
      <c r="I55" s="45">
        <f>SUMIFS(RawDataKWh[일사합_kWh_m2],RawDataKWh[연월],$A55,RawDataKWh[지역명],I$3)</f>
        <v/>
      </c>
      <c r="J55" s="45">
        <f>SUMIFS(RawDataKWh[일사합_kWh_m2],RawDataKWh[연월],$A55,RawDataKWh[지역명],J$3)</f>
        <v/>
      </c>
      <c r="K55" s="45">
        <f>SUMIFS(RawDataKWh[일사합_kWh_m2],RawDataKWh[연월],$A55,RawDataKWh[지역명],K$3)</f>
        <v/>
      </c>
      <c r="L55" s="45">
        <f>AVERAGE(B55:K55)</f>
        <v/>
      </c>
      <c r="N55" s="19">
        <f>$A55</f>
        <v/>
      </c>
      <c r="O55" s="46">
        <f>AVERAGEIFS(RawDataKWh[일평균_일사합_kWh_m2],RawDataKWh[연월],$A55,RawDataKWh[지역명],O$3)</f>
        <v/>
      </c>
      <c r="P55" s="46">
        <f>AVERAGEIFS(RawDataKWh[일평균_일사합_kWh_m2],RawDataKWh[연월],$A55,RawDataKWh[지역명],P$3)</f>
        <v/>
      </c>
      <c r="Q55" s="46">
        <f>AVERAGEIFS(RawDataKWh[일평균_일사합_kWh_m2],RawDataKWh[연월],$A55,RawDataKWh[지역명],Q$3)</f>
        <v/>
      </c>
      <c r="R55" s="46">
        <f>AVERAGEIFS(RawDataKWh[일평균_일사합_kWh_m2],RawDataKWh[연월],$A55,RawDataKWh[지역명],R$3)</f>
        <v/>
      </c>
      <c r="S55" s="46">
        <f>AVERAGEIFS(RawDataKWh[일평균_일사합_kWh_m2],RawDataKWh[연월],$A55,RawDataKWh[지역명],S$3)</f>
        <v/>
      </c>
      <c r="T55" s="46">
        <f>AVERAGEIFS(RawDataKWh[일평균_일사합_kWh_m2],RawDataKWh[연월],$A55,RawDataKWh[지역명],T$3)</f>
        <v/>
      </c>
      <c r="U55" s="46">
        <f>AVERAGEIFS(RawDataKWh[일평균_일사합_kWh_m2],RawDataKWh[연월],$A55,RawDataKWh[지역명],U$3)</f>
        <v/>
      </c>
      <c r="V55" s="46">
        <f>AVERAGEIFS(RawDataKWh[일평균_일사합_kWh_m2],RawDataKWh[연월],$A55,RawDataKWh[지역명],V$3)</f>
        <v/>
      </c>
      <c r="W55" s="46">
        <f>AVERAGEIFS(RawDataKWh[일평균_일사합_kWh_m2],RawDataKWh[연월],$A55,RawDataKWh[지역명],W$3)</f>
        <v/>
      </c>
      <c r="X55" s="46">
        <f>AVERAGEIFS(RawDataKWh[일평균_일사합_kWh_m2],RawDataKWh[연월],$A55,RawDataKWh[지역명],X$3)</f>
        <v/>
      </c>
      <c r="Y55" s="46">
        <f>AVERAGE(O55:X55)</f>
        <v/>
      </c>
    </row>
    <row r="56" ht="16" customHeight="1">
      <c r="A56" s="17" t="inlineStr">
        <is>
          <t>2020-05</t>
        </is>
      </c>
      <c r="B56" s="41">
        <f>SUMIFS(RawDataKWh[일사합_kWh_m2],RawDataKWh[연월],$A56,RawDataKWh[지역명],B$3)</f>
        <v/>
      </c>
      <c r="C56" s="41">
        <f>SUMIFS(RawDataKWh[일사합_kWh_m2],RawDataKWh[연월],$A56,RawDataKWh[지역명],C$3)</f>
        <v/>
      </c>
      <c r="D56" s="41">
        <f>SUMIFS(RawDataKWh[일사합_kWh_m2],RawDataKWh[연월],$A56,RawDataKWh[지역명],D$3)</f>
        <v/>
      </c>
      <c r="E56" s="41">
        <f>SUMIFS(RawDataKWh[일사합_kWh_m2],RawDataKWh[연월],$A56,RawDataKWh[지역명],E$3)</f>
        <v/>
      </c>
      <c r="F56" s="41">
        <f>SUMIFS(RawDataKWh[일사합_kWh_m2],RawDataKWh[연월],$A56,RawDataKWh[지역명],F$3)</f>
        <v/>
      </c>
      <c r="G56" s="41">
        <f>SUMIFS(RawDataKWh[일사합_kWh_m2],RawDataKWh[연월],$A56,RawDataKWh[지역명],G$3)</f>
        <v/>
      </c>
      <c r="H56" s="41">
        <f>SUMIFS(RawDataKWh[일사합_kWh_m2],RawDataKWh[연월],$A56,RawDataKWh[지역명],H$3)</f>
        <v/>
      </c>
      <c r="I56" s="41">
        <f>SUMIFS(RawDataKWh[일사합_kWh_m2],RawDataKWh[연월],$A56,RawDataKWh[지역명],I$3)</f>
        <v/>
      </c>
      <c r="J56" s="41">
        <f>SUMIFS(RawDataKWh[일사합_kWh_m2],RawDataKWh[연월],$A56,RawDataKWh[지역명],J$3)</f>
        <v/>
      </c>
      <c r="K56" s="41">
        <f>SUMIFS(RawDataKWh[일사합_kWh_m2],RawDataKWh[연월],$A56,RawDataKWh[지역명],K$3)</f>
        <v/>
      </c>
      <c r="L56" s="41">
        <f>AVERAGE(B56:K56)</f>
        <v/>
      </c>
      <c r="N56" s="17">
        <f>$A56</f>
        <v/>
      </c>
      <c r="O56" s="42">
        <f>AVERAGEIFS(RawDataKWh[일평균_일사합_kWh_m2],RawDataKWh[연월],$A56,RawDataKWh[지역명],O$3)</f>
        <v/>
      </c>
      <c r="P56" s="42">
        <f>AVERAGEIFS(RawDataKWh[일평균_일사합_kWh_m2],RawDataKWh[연월],$A56,RawDataKWh[지역명],P$3)</f>
        <v/>
      </c>
      <c r="Q56" s="42">
        <f>AVERAGEIFS(RawDataKWh[일평균_일사합_kWh_m2],RawDataKWh[연월],$A56,RawDataKWh[지역명],Q$3)</f>
        <v/>
      </c>
      <c r="R56" s="42">
        <f>AVERAGEIFS(RawDataKWh[일평균_일사합_kWh_m2],RawDataKWh[연월],$A56,RawDataKWh[지역명],R$3)</f>
        <v/>
      </c>
      <c r="S56" s="42">
        <f>AVERAGEIFS(RawDataKWh[일평균_일사합_kWh_m2],RawDataKWh[연월],$A56,RawDataKWh[지역명],S$3)</f>
        <v/>
      </c>
      <c r="T56" s="42">
        <f>AVERAGEIFS(RawDataKWh[일평균_일사합_kWh_m2],RawDataKWh[연월],$A56,RawDataKWh[지역명],T$3)</f>
        <v/>
      </c>
      <c r="U56" s="42">
        <f>AVERAGEIFS(RawDataKWh[일평균_일사합_kWh_m2],RawDataKWh[연월],$A56,RawDataKWh[지역명],U$3)</f>
        <v/>
      </c>
      <c r="V56" s="42">
        <f>AVERAGEIFS(RawDataKWh[일평균_일사합_kWh_m2],RawDataKWh[연월],$A56,RawDataKWh[지역명],V$3)</f>
        <v/>
      </c>
      <c r="W56" s="42">
        <f>AVERAGEIFS(RawDataKWh[일평균_일사합_kWh_m2],RawDataKWh[연월],$A56,RawDataKWh[지역명],W$3)</f>
        <v/>
      </c>
      <c r="X56" s="42">
        <f>AVERAGEIFS(RawDataKWh[일평균_일사합_kWh_m2],RawDataKWh[연월],$A56,RawDataKWh[지역명],X$3)</f>
        <v/>
      </c>
      <c r="Y56" s="42">
        <f>AVERAGE(O56:X56)</f>
        <v/>
      </c>
    </row>
    <row r="57" ht="16" customHeight="1">
      <c r="A57" s="19" t="inlineStr">
        <is>
          <t>2020-06</t>
        </is>
      </c>
      <c r="B57" s="45">
        <f>SUMIFS(RawDataKWh[일사합_kWh_m2],RawDataKWh[연월],$A57,RawDataKWh[지역명],B$3)</f>
        <v/>
      </c>
      <c r="C57" s="45">
        <f>SUMIFS(RawDataKWh[일사합_kWh_m2],RawDataKWh[연월],$A57,RawDataKWh[지역명],C$3)</f>
        <v/>
      </c>
      <c r="D57" s="45">
        <f>SUMIFS(RawDataKWh[일사합_kWh_m2],RawDataKWh[연월],$A57,RawDataKWh[지역명],D$3)</f>
        <v/>
      </c>
      <c r="E57" s="45">
        <f>SUMIFS(RawDataKWh[일사합_kWh_m2],RawDataKWh[연월],$A57,RawDataKWh[지역명],E$3)</f>
        <v/>
      </c>
      <c r="F57" s="45">
        <f>SUMIFS(RawDataKWh[일사합_kWh_m2],RawDataKWh[연월],$A57,RawDataKWh[지역명],F$3)</f>
        <v/>
      </c>
      <c r="G57" s="45">
        <f>SUMIFS(RawDataKWh[일사합_kWh_m2],RawDataKWh[연월],$A57,RawDataKWh[지역명],G$3)</f>
        <v/>
      </c>
      <c r="H57" s="45">
        <f>SUMIFS(RawDataKWh[일사합_kWh_m2],RawDataKWh[연월],$A57,RawDataKWh[지역명],H$3)</f>
        <v/>
      </c>
      <c r="I57" s="45">
        <f>SUMIFS(RawDataKWh[일사합_kWh_m2],RawDataKWh[연월],$A57,RawDataKWh[지역명],I$3)</f>
        <v/>
      </c>
      <c r="J57" s="45">
        <f>SUMIFS(RawDataKWh[일사합_kWh_m2],RawDataKWh[연월],$A57,RawDataKWh[지역명],J$3)</f>
        <v/>
      </c>
      <c r="K57" s="45">
        <f>SUMIFS(RawDataKWh[일사합_kWh_m2],RawDataKWh[연월],$A57,RawDataKWh[지역명],K$3)</f>
        <v/>
      </c>
      <c r="L57" s="45">
        <f>AVERAGE(B57:K57)</f>
        <v/>
      </c>
      <c r="N57" s="19">
        <f>$A57</f>
        <v/>
      </c>
      <c r="O57" s="46">
        <f>AVERAGEIFS(RawDataKWh[일평균_일사합_kWh_m2],RawDataKWh[연월],$A57,RawDataKWh[지역명],O$3)</f>
        <v/>
      </c>
      <c r="P57" s="46">
        <f>AVERAGEIFS(RawDataKWh[일평균_일사합_kWh_m2],RawDataKWh[연월],$A57,RawDataKWh[지역명],P$3)</f>
        <v/>
      </c>
      <c r="Q57" s="46">
        <f>AVERAGEIFS(RawDataKWh[일평균_일사합_kWh_m2],RawDataKWh[연월],$A57,RawDataKWh[지역명],Q$3)</f>
        <v/>
      </c>
      <c r="R57" s="46">
        <f>AVERAGEIFS(RawDataKWh[일평균_일사합_kWh_m2],RawDataKWh[연월],$A57,RawDataKWh[지역명],R$3)</f>
        <v/>
      </c>
      <c r="S57" s="46">
        <f>AVERAGEIFS(RawDataKWh[일평균_일사합_kWh_m2],RawDataKWh[연월],$A57,RawDataKWh[지역명],S$3)</f>
        <v/>
      </c>
      <c r="T57" s="46">
        <f>AVERAGEIFS(RawDataKWh[일평균_일사합_kWh_m2],RawDataKWh[연월],$A57,RawDataKWh[지역명],T$3)</f>
        <v/>
      </c>
      <c r="U57" s="46">
        <f>AVERAGEIFS(RawDataKWh[일평균_일사합_kWh_m2],RawDataKWh[연월],$A57,RawDataKWh[지역명],U$3)</f>
        <v/>
      </c>
      <c r="V57" s="46">
        <f>AVERAGEIFS(RawDataKWh[일평균_일사합_kWh_m2],RawDataKWh[연월],$A57,RawDataKWh[지역명],V$3)</f>
        <v/>
      </c>
      <c r="W57" s="46">
        <f>AVERAGEIFS(RawDataKWh[일평균_일사합_kWh_m2],RawDataKWh[연월],$A57,RawDataKWh[지역명],W$3)</f>
        <v/>
      </c>
      <c r="X57" s="46">
        <f>AVERAGEIFS(RawDataKWh[일평균_일사합_kWh_m2],RawDataKWh[연월],$A57,RawDataKWh[지역명],X$3)</f>
        <v/>
      </c>
      <c r="Y57" s="46">
        <f>AVERAGE(O57:X57)</f>
        <v/>
      </c>
    </row>
    <row r="58" ht="16" customHeight="1">
      <c r="A58" s="17" t="inlineStr">
        <is>
          <t>2020-07</t>
        </is>
      </c>
      <c r="B58" s="41">
        <f>SUMIFS(RawDataKWh[일사합_kWh_m2],RawDataKWh[연월],$A58,RawDataKWh[지역명],B$3)</f>
        <v/>
      </c>
      <c r="C58" s="41">
        <f>SUMIFS(RawDataKWh[일사합_kWh_m2],RawDataKWh[연월],$A58,RawDataKWh[지역명],C$3)</f>
        <v/>
      </c>
      <c r="D58" s="41">
        <f>SUMIFS(RawDataKWh[일사합_kWh_m2],RawDataKWh[연월],$A58,RawDataKWh[지역명],D$3)</f>
        <v/>
      </c>
      <c r="E58" s="41">
        <f>SUMIFS(RawDataKWh[일사합_kWh_m2],RawDataKWh[연월],$A58,RawDataKWh[지역명],E$3)</f>
        <v/>
      </c>
      <c r="F58" s="41">
        <f>SUMIFS(RawDataKWh[일사합_kWh_m2],RawDataKWh[연월],$A58,RawDataKWh[지역명],F$3)</f>
        <v/>
      </c>
      <c r="G58" s="41">
        <f>SUMIFS(RawDataKWh[일사합_kWh_m2],RawDataKWh[연월],$A58,RawDataKWh[지역명],G$3)</f>
        <v/>
      </c>
      <c r="H58" s="41">
        <f>SUMIFS(RawDataKWh[일사합_kWh_m2],RawDataKWh[연월],$A58,RawDataKWh[지역명],H$3)</f>
        <v/>
      </c>
      <c r="I58" s="41">
        <f>SUMIFS(RawDataKWh[일사합_kWh_m2],RawDataKWh[연월],$A58,RawDataKWh[지역명],I$3)</f>
        <v/>
      </c>
      <c r="J58" s="41">
        <f>SUMIFS(RawDataKWh[일사합_kWh_m2],RawDataKWh[연월],$A58,RawDataKWh[지역명],J$3)</f>
        <v/>
      </c>
      <c r="K58" s="41">
        <f>SUMIFS(RawDataKWh[일사합_kWh_m2],RawDataKWh[연월],$A58,RawDataKWh[지역명],K$3)</f>
        <v/>
      </c>
      <c r="L58" s="41">
        <f>AVERAGE(B58:K58)</f>
        <v/>
      </c>
      <c r="N58" s="17">
        <f>$A58</f>
        <v/>
      </c>
      <c r="O58" s="42">
        <f>AVERAGEIFS(RawDataKWh[일평균_일사합_kWh_m2],RawDataKWh[연월],$A58,RawDataKWh[지역명],O$3)</f>
        <v/>
      </c>
      <c r="P58" s="42">
        <f>AVERAGEIFS(RawDataKWh[일평균_일사합_kWh_m2],RawDataKWh[연월],$A58,RawDataKWh[지역명],P$3)</f>
        <v/>
      </c>
      <c r="Q58" s="42">
        <f>AVERAGEIFS(RawDataKWh[일평균_일사합_kWh_m2],RawDataKWh[연월],$A58,RawDataKWh[지역명],Q$3)</f>
        <v/>
      </c>
      <c r="R58" s="42">
        <f>AVERAGEIFS(RawDataKWh[일평균_일사합_kWh_m2],RawDataKWh[연월],$A58,RawDataKWh[지역명],R$3)</f>
        <v/>
      </c>
      <c r="S58" s="42">
        <f>AVERAGEIFS(RawDataKWh[일평균_일사합_kWh_m2],RawDataKWh[연월],$A58,RawDataKWh[지역명],S$3)</f>
        <v/>
      </c>
      <c r="T58" s="42">
        <f>AVERAGEIFS(RawDataKWh[일평균_일사합_kWh_m2],RawDataKWh[연월],$A58,RawDataKWh[지역명],T$3)</f>
        <v/>
      </c>
      <c r="U58" s="42">
        <f>AVERAGEIFS(RawDataKWh[일평균_일사합_kWh_m2],RawDataKWh[연월],$A58,RawDataKWh[지역명],U$3)</f>
        <v/>
      </c>
      <c r="V58" s="42">
        <f>AVERAGEIFS(RawDataKWh[일평균_일사합_kWh_m2],RawDataKWh[연월],$A58,RawDataKWh[지역명],V$3)</f>
        <v/>
      </c>
      <c r="W58" s="42">
        <f>AVERAGEIFS(RawDataKWh[일평균_일사합_kWh_m2],RawDataKWh[연월],$A58,RawDataKWh[지역명],W$3)</f>
        <v/>
      </c>
      <c r="X58" s="42">
        <f>AVERAGEIFS(RawDataKWh[일평균_일사합_kWh_m2],RawDataKWh[연월],$A58,RawDataKWh[지역명],X$3)</f>
        <v/>
      </c>
      <c r="Y58" s="42">
        <f>AVERAGE(O58:X58)</f>
        <v/>
      </c>
    </row>
    <row r="59" ht="16" customHeight="1">
      <c r="A59" s="19" t="inlineStr">
        <is>
          <t>2020-08</t>
        </is>
      </c>
      <c r="B59" s="45">
        <f>SUMIFS(RawDataKWh[일사합_kWh_m2],RawDataKWh[연월],$A59,RawDataKWh[지역명],B$3)</f>
        <v/>
      </c>
      <c r="C59" s="45">
        <f>SUMIFS(RawDataKWh[일사합_kWh_m2],RawDataKWh[연월],$A59,RawDataKWh[지역명],C$3)</f>
        <v/>
      </c>
      <c r="D59" s="45">
        <f>SUMIFS(RawDataKWh[일사합_kWh_m2],RawDataKWh[연월],$A59,RawDataKWh[지역명],D$3)</f>
        <v/>
      </c>
      <c r="E59" s="45">
        <f>SUMIFS(RawDataKWh[일사합_kWh_m2],RawDataKWh[연월],$A59,RawDataKWh[지역명],E$3)</f>
        <v/>
      </c>
      <c r="F59" s="45">
        <f>SUMIFS(RawDataKWh[일사합_kWh_m2],RawDataKWh[연월],$A59,RawDataKWh[지역명],F$3)</f>
        <v/>
      </c>
      <c r="G59" s="45">
        <f>SUMIFS(RawDataKWh[일사합_kWh_m2],RawDataKWh[연월],$A59,RawDataKWh[지역명],G$3)</f>
        <v/>
      </c>
      <c r="H59" s="45">
        <f>SUMIFS(RawDataKWh[일사합_kWh_m2],RawDataKWh[연월],$A59,RawDataKWh[지역명],H$3)</f>
        <v/>
      </c>
      <c r="I59" s="45">
        <f>SUMIFS(RawDataKWh[일사합_kWh_m2],RawDataKWh[연월],$A59,RawDataKWh[지역명],I$3)</f>
        <v/>
      </c>
      <c r="J59" s="45">
        <f>SUMIFS(RawDataKWh[일사합_kWh_m2],RawDataKWh[연월],$A59,RawDataKWh[지역명],J$3)</f>
        <v/>
      </c>
      <c r="K59" s="45">
        <f>SUMIFS(RawDataKWh[일사합_kWh_m2],RawDataKWh[연월],$A59,RawDataKWh[지역명],K$3)</f>
        <v/>
      </c>
      <c r="L59" s="45">
        <f>AVERAGE(B59:K59)</f>
        <v/>
      </c>
      <c r="N59" s="19">
        <f>$A59</f>
        <v/>
      </c>
      <c r="O59" s="46">
        <f>AVERAGEIFS(RawDataKWh[일평균_일사합_kWh_m2],RawDataKWh[연월],$A59,RawDataKWh[지역명],O$3)</f>
        <v/>
      </c>
      <c r="P59" s="46">
        <f>AVERAGEIFS(RawDataKWh[일평균_일사합_kWh_m2],RawDataKWh[연월],$A59,RawDataKWh[지역명],P$3)</f>
        <v/>
      </c>
      <c r="Q59" s="46">
        <f>AVERAGEIFS(RawDataKWh[일평균_일사합_kWh_m2],RawDataKWh[연월],$A59,RawDataKWh[지역명],Q$3)</f>
        <v/>
      </c>
      <c r="R59" s="46">
        <f>AVERAGEIFS(RawDataKWh[일평균_일사합_kWh_m2],RawDataKWh[연월],$A59,RawDataKWh[지역명],R$3)</f>
        <v/>
      </c>
      <c r="S59" s="46">
        <f>AVERAGEIFS(RawDataKWh[일평균_일사합_kWh_m2],RawDataKWh[연월],$A59,RawDataKWh[지역명],S$3)</f>
        <v/>
      </c>
      <c r="T59" s="46">
        <f>AVERAGEIFS(RawDataKWh[일평균_일사합_kWh_m2],RawDataKWh[연월],$A59,RawDataKWh[지역명],T$3)</f>
        <v/>
      </c>
      <c r="U59" s="46">
        <f>AVERAGEIFS(RawDataKWh[일평균_일사합_kWh_m2],RawDataKWh[연월],$A59,RawDataKWh[지역명],U$3)</f>
        <v/>
      </c>
      <c r="V59" s="46">
        <f>AVERAGEIFS(RawDataKWh[일평균_일사합_kWh_m2],RawDataKWh[연월],$A59,RawDataKWh[지역명],V$3)</f>
        <v/>
      </c>
      <c r="W59" s="46">
        <f>AVERAGEIFS(RawDataKWh[일평균_일사합_kWh_m2],RawDataKWh[연월],$A59,RawDataKWh[지역명],W$3)</f>
        <v/>
      </c>
      <c r="X59" s="46">
        <f>AVERAGEIFS(RawDataKWh[일평균_일사합_kWh_m2],RawDataKWh[연월],$A59,RawDataKWh[지역명],X$3)</f>
        <v/>
      </c>
      <c r="Y59" s="46">
        <f>AVERAGE(O59:X59)</f>
        <v/>
      </c>
    </row>
    <row r="60" ht="16" customHeight="1">
      <c r="A60" s="17" t="inlineStr">
        <is>
          <t>2020-09</t>
        </is>
      </c>
      <c r="B60" s="41">
        <f>SUMIFS(RawDataKWh[일사합_kWh_m2],RawDataKWh[연월],$A60,RawDataKWh[지역명],B$3)</f>
        <v/>
      </c>
      <c r="C60" s="41">
        <f>SUMIFS(RawDataKWh[일사합_kWh_m2],RawDataKWh[연월],$A60,RawDataKWh[지역명],C$3)</f>
        <v/>
      </c>
      <c r="D60" s="41">
        <f>SUMIFS(RawDataKWh[일사합_kWh_m2],RawDataKWh[연월],$A60,RawDataKWh[지역명],D$3)</f>
        <v/>
      </c>
      <c r="E60" s="41">
        <f>SUMIFS(RawDataKWh[일사합_kWh_m2],RawDataKWh[연월],$A60,RawDataKWh[지역명],E$3)</f>
        <v/>
      </c>
      <c r="F60" s="41">
        <f>SUMIFS(RawDataKWh[일사합_kWh_m2],RawDataKWh[연월],$A60,RawDataKWh[지역명],F$3)</f>
        <v/>
      </c>
      <c r="G60" s="41">
        <f>SUMIFS(RawDataKWh[일사합_kWh_m2],RawDataKWh[연월],$A60,RawDataKWh[지역명],G$3)</f>
        <v/>
      </c>
      <c r="H60" s="41">
        <f>SUMIFS(RawDataKWh[일사합_kWh_m2],RawDataKWh[연월],$A60,RawDataKWh[지역명],H$3)</f>
        <v/>
      </c>
      <c r="I60" s="41">
        <f>SUMIFS(RawDataKWh[일사합_kWh_m2],RawDataKWh[연월],$A60,RawDataKWh[지역명],I$3)</f>
        <v/>
      </c>
      <c r="J60" s="41">
        <f>SUMIFS(RawDataKWh[일사합_kWh_m2],RawDataKWh[연월],$A60,RawDataKWh[지역명],J$3)</f>
        <v/>
      </c>
      <c r="K60" s="41">
        <f>SUMIFS(RawDataKWh[일사합_kWh_m2],RawDataKWh[연월],$A60,RawDataKWh[지역명],K$3)</f>
        <v/>
      </c>
      <c r="L60" s="41">
        <f>AVERAGE(B60:K60)</f>
        <v/>
      </c>
      <c r="N60" s="17">
        <f>$A60</f>
        <v/>
      </c>
      <c r="O60" s="42">
        <f>AVERAGEIFS(RawDataKWh[일평균_일사합_kWh_m2],RawDataKWh[연월],$A60,RawDataKWh[지역명],O$3)</f>
        <v/>
      </c>
      <c r="P60" s="42">
        <f>AVERAGEIFS(RawDataKWh[일평균_일사합_kWh_m2],RawDataKWh[연월],$A60,RawDataKWh[지역명],P$3)</f>
        <v/>
      </c>
      <c r="Q60" s="42">
        <f>AVERAGEIFS(RawDataKWh[일평균_일사합_kWh_m2],RawDataKWh[연월],$A60,RawDataKWh[지역명],Q$3)</f>
        <v/>
      </c>
      <c r="R60" s="42">
        <f>AVERAGEIFS(RawDataKWh[일평균_일사합_kWh_m2],RawDataKWh[연월],$A60,RawDataKWh[지역명],R$3)</f>
        <v/>
      </c>
      <c r="S60" s="42">
        <f>AVERAGEIFS(RawDataKWh[일평균_일사합_kWh_m2],RawDataKWh[연월],$A60,RawDataKWh[지역명],S$3)</f>
        <v/>
      </c>
      <c r="T60" s="42">
        <f>AVERAGEIFS(RawDataKWh[일평균_일사합_kWh_m2],RawDataKWh[연월],$A60,RawDataKWh[지역명],T$3)</f>
        <v/>
      </c>
      <c r="U60" s="42">
        <f>AVERAGEIFS(RawDataKWh[일평균_일사합_kWh_m2],RawDataKWh[연월],$A60,RawDataKWh[지역명],U$3)</f>
        <v/>
      </c>
      <c r="V60" s="42">
        <f>AVERAGEIFS(RawDataKWh[일평균_일사합_kWh_m2],RawDataKWh[연월],$A60,RawDataKWh[지역명],V$3)</f>
        <v/>
      </c>
      <c r="W60" s="42">
        <f>AVERAGEIFS(RawDataKWh[일평균_일사합_kWh_m2],RawDataKWh[연월],$A60,RawDataKWh[지역명],W$3)</f>
        <v/>
      </c>
      <c r="X60" s="42">
        <f>AVERAGEIFS(RawDataKWh[일평균_일사합_kWh_m2],RawDataKWh[연월],$A60,RawDataKWh[지역명],X$3)</f>
        <v/>
      </c>
      <c r="Y60" s="42">
        <f>AVERAGE(O60:X60)</f>
        <v/>
      </c>
    </row>
    <row r="61" ht="16" customHeight="1">
      <c r="A61" s="19" t="inlineStr">
        <is>
          <t>2020-10</t>
        </is>
      </c>
      <c r="B61" s="45">
        <f>SUMIFS(RawDataKWh[일사합_kWh_m2],RawDataKWh[연월],$A61,RawDataKWh[지역명],B$3)</f>
        <v/>
      </c>
      <c r="C61" s="45">
        <f>SUMIFS(RawDataKWh[일사합_kWh_m2],RawDataKWh[연월],$A61,RawDataKWh[지역명],C$3)</f>
        <v/>
      </c>
      <c r="D61" s="45">
        <f>SUMIFS(RawDataKWh[일사합_kWh_m2],RawDataKWh[연월],$A61,RawDataKWh[지역명],D$3)</f>
        <v/>
      </c>
      <c r="E61" s="45">
        <f>SUMIFS(RawDataKWh[일사합_kWh_m2],RawDataKWh[연월],$A61,RawDataKWh[지역명],E$3)</f>
        <v/>
      </c>
      <c r="F61" s="45">
        <f>SUMIFS(RawDataKWh[일사합_kWh_m2],RawDataKWh[연월],$A61,RawDataKWh[지역명],F$3)</f>
        <v/>
      </c>
      <c r="G61" s="45">
        <f>SUMIFS(RawDataKWh[일사합_kWh_m2],RawDataKWh[연월],$A61,RawDataKWh[지역명],G$3)</f>
        <v/>
      </c>
      <c r="H61" s="45">
        <f>SUMIFS(RawDataKWh[일사합_kWh_m2],RawDataKWh[연월],$A61,RawDataKWh[지역명],H$3)</f>
        <v/>
      </c>
      <c r="I61" s="45">
        <f>SUMIFS(RawDataKWh[일사합_kWh_m2],RawDataKWh[연월],$A61,RawDataKWh[지역명],I$3)</f>
        <v/>
      </c>
      <c r="J61" s="45">
        <f>SUMIFS(RawDataKWh[일사합_kWh_m2],RawDataKWh[연월],$A61,RawDataKWh[지역명],J$3)</f>
        <v/>
      </c>
      <c r="K61" s="45">
        <f>SUMIFS(RawDataKWh[일사합_kWh_m2],RawDataKWh[연월],$A61,RawDataKWh[지역명],K$3)</f>
        <v/>
      </c>
      <c r="L61" s="45">
        <f>AVERAGE(B61:K61)</f>
        <v/>
      </c>
      <c r="N61" s="19">
        <f>$A61</f>
        <v/>
      </c>
      <c r="O61" s="46">
        <f>AVERAGEIFS(RawDataKWh[일평균_일사합_kWh_m2],RawDataKWh[연월],$A61,RawDataKWh[지역명],O$3)</f>
        <v/>
      </c>
      <c r="P61" s="46">
        <f>AVERAGEIFS(RawDataKWh[일평균_일사합_kWh_m2],RawDataKWh[연월],$A61,RawDataKWh[지역명],P$3)</f>
        <v/>
      </c>
      <c r="Q61" s="46">
        <f>AVERAGEIFS(RawDataKWh[일평균_일사합_kWh_m2],RawDataKWh[연월],$A61,RawDataKWh[지역명],Q$3)</f>
        <v/>
      </c>
      <c r="R61" s="46">
        <f>AVERAGEIFS(RawDataKWh[일평균_일사합_kWh_m2],RawDataKWh[연월],$A61,RawDataKWh[지역명],R$3)</f>
        <v/>
      </c>
      <c r="S61" s="46">
        <f>AVERAGEIFS(RawDataKWh[일평균_일사합_kWh_m2],RawDataKWh[연월],$A61,RawDataKWh[지역명],S$3)</f>
        <v/>
      </c>
      <c r="T61" s="46">
        <f>AVERAGEIFS(RawDataKWh[일평균_일사합_kWh_m2],RawDataKWh[연월],$A61,RawDataKWh[지역명],T$3)</f>
        <v/>
      </c>
      <c r="U61" s="46">
        <f>AVERAGEIFS(RawDataKWh[일평균_일사합_kWh_m2],RawDataKWh[연월],$A61,RawDataKWh[지역명],U$3)</f>
        <v/>
      </c>
      <c r="V61" s="46">
        <f>AVERAGEIFS(RawDataKWh[일평균_일사합_kWh_m2],RawDataKWh[연월],$A61,RawDataKWh[지역명],V$3)</f>
        <v/>
      </c>
      <c r="W61" s="46">
        <f>AVERAGEIFS(RawDataKWh[일평균_일사합_kWh_m2],RawDataKWh[연월],$A61,RawDataKWh[지역명],W$3)</f>
        <v/>
      </c>
      <c r="X61" s="46">
        <f>AVERAGEIFS(RawDataKWh[일평균_일사합_kWh_m2],RawDataKWh[연월],$A61,RawDataKWh[지역명],X$3)</f>
        <v/>
      </c>
      <c r="Y61" s="46">
        <f>AVERAGE(O61:X61)</f>
        <v/>
      </c>
    </row>
    <row r="62" ht="16" customHeight="1">
      <c r="A62" s="17" t="inlineStr">
        <is>
          <t>2020-11</t>
        </is>
      </c>
      <c r="B62" s="41">
        <f>SUMIFS(RawDataKWh[일사합_kWh_m2],RawDataKWh[연월],$A62,RawDataKWh[지역명],B$3)</f>
        <v/>
      </c>
      <c r="C62" s="41">
        <f>SUMIFS(RawDataKWh[일사합_kWh_m2],RawDataKWh[연월],$A62,RawDataKWh[지역명],C$3)</f>
        <v/>
      </c>
      <c r="D62" s="41">
        <f>SUMIFS(RawDataKWh[일사합_kWh_m2],RawDataKWh[연월],$A62,RawDataKWh[지역명],D$3)</f>
        <v/>
      </c>
      <c r="E62" s="41">
        <f>SUMIFS(RawDataKWh[일사합_kWh_m2],RawDataKWh[연월],$A62,RawDataKWh[지역명],E$3)</f>
        <v/>
      </c>
      <c r="F62" s="41">
        <f>SUMIFS(RawDataKWh[일사합_kWh_m2],RawDataKWh[연월],$A62,RawDataKWh[지역명],F$3)</f>
        <v/>
      </c>
      <c r="G62" s="41">
        <f>SUMIFS(RawDataKWh[일사합_kWh_m2],RawDataKWh[연월],$A62,RawDataKWh[지역명],G$3)</f>
        <v/>
      </c>
      <c r="H62" s="41">
        <f>SUMIFS(RawDataKWh[일사합_kWh_m2],RawDataKWh[연월],$A62,RawDataKWh[지역명],H$3)</f>
        <v/>
      </c>
      <c r="I62" s="41">
        <f>SUMIFS(RawDataKWh[일사합_kWh_m2],RawDataKWh[연월],$A62,RawDataKWh[지역명],I$3)</f>
        <v/>
      </c>
      <c r="J62" s="41">
        <f>SUMIFS(RawDataKWh[일사합_kWh_m2],RawDataKWh[연월],$A62,RawDataKWh[지역명],J$3)</f>
        <v/>
      </c>
      <c r="K62" s="41">
        <f>SUMIFS(RawDataKWh[일사합_kWh_m2],RawDataKWh[연월],$A62,RawDataKWh[지역명],K$3)</f>
        <v/>
      </c>
      <c r="L62" s="41">
        <f>AVERAGE(B62:K62)</f>
        <v/>
      </c>
      <c r="N62" s="17">
        <f>$A62</f>
        <v/>
      </c>
      <c r="O62" s="42">
        <f>AVERAGEIFS(RawDataKWh[일평균_일사합_kWh_m2],RawDataKWh[연월],$A62,RawDataKWh[지역명],O$3)</f>
        <v/>
      </c>
      <c r="P62" s="42">
        <f>AVERAGEIFS(RawDataKWh[일평균_일사합_kWh_m2],RawDataKWh[연월],$A62,RawDataKWh[지역명],P$3)</f>
        <v/>
      </c>
      <c r="Q62" s="42">
        <f>AVERAGEIFS(RawDataKWh[일평균_일사합_kWh_m2],RawDataKWh[연월],$A62,RawDataKWh[지역명],Q$3)</f>
        <v/>
      </c>
      <c r="R62" s="42">
        <f>AVERAGEIFS(RawDataKWh[일평균_일사합_kWh_m2],RawDataKWh[연월],$A62,RawDataKWh[지역명],R$3)</f>
        <v/>
      </c>
      <c r="S62" s="42">
        <f>AVERAGEIFS(RawDataKWh[일평균_일사합_kWh_m2],RawDataKWh[연월],$A62,RawDataKWh[지역명],S$3)</f>
        <v/>
      </c>
      <c r="T62" s="42">
        <f>AVERAGEIFS(RawDataKWh[일평균_일사합_kWh_m2],RawDataKWh[연월],$A62,RawDataKWh[지역명],T$3)</f>
        <v/>
      </c>
      <c r="U62" s="42">
        <f>AVERAGEIFS(RawDataKWh[일평균_일사합_kWh_m2],RawDataKWh[연월],$A62,RawDataKWh[지역명],U$3)</f>
        <v/>
      </c>
      <c r="V62" s="42">
        <f>AVERAGEIFS(RawDataKWh[일평균_일사합_kWh_m2],RawDataKWh[연월],$A62,RawDataKWh[지역명],V$3)</f>
        <v/>
      </c>
      <c r="W62" s="42">
        <f>AVERAGEIFS(RawDataKWh[일평균_일사합_kWh_m2],RawDataKWh[연월],$A62,RawDataKWh[지역명],W$3)</f>
        <v/>
      </c>
      <c r="X62" s="42">
        <f>AVERAGEIFS(RawDataKWh[일평균_일사합_kWh_m2],RawDataKWh[연월],$A62,RawDataKWh[지역명],X$3)</f>
        <v/>
      </c>
      <c r="Y62" s="42">
        <f>AVERAGE(O62:X62)</f>
        <v/>
      </c>
    </row>
    <row r="63" ht="16" customHeight="1">
      <c r="A63" s="19" t="inlineStr">
        <is>
          <t>2020-12</t>
        </is>
      </c>
      <c r="B63" s="45">
        <f>SUMIFS(RawDataKWh[일사합_kWh_m2],RawDataKWh[연월],$A63,RawDataKWh[지역명],B$3)</f>
        <v/>
      </c>
      <c r="C63" s="45">
        <f>SUMIFS(RawDataKWh[일사합_kWh_m2],RawDataKWh[연월],$A63,RawDataKWh[지역명],C$3)</f>
        <v/>
      </c>
      <c r="D63" s="45">
        <f>SUMIFS(RawDataKWh[일사합_kWh_m2],RawDataKWh[연월],$A63,RawDataKWh[지역명],D$3)</f>
        <v/>
      </c>
      <c r="E63" s="45">
        <f>SUMIFS(RawDataKWh[일사합_kWh_m2],RawDataKWh[연월],$A63,RawDataKWh[지역명],E$3)</f>
        <v/>
      </c>
      <c r="F63" s="45">
        <f>SUMIFS(RawDataKWh[일사합_kWh_m2],RawDataKWh[연월],$A63,RawDataKWh[지역명],F$3)</f>
        <v/>
      </c>
      <c r="G63" s="45">
        <f>SUMIFS(RawDataKWh[일사합_kWh_m2],RawDataKWh[연월],$A63,RawDataKWh[지역명],G$3)</f>
        <v/>
      </c>
      <c r="H63" s="45">
        <f>SUMIFS(RawDataKWh[일사합_kWh_m2],RawDataKWh[연월],$A63,RawDataKWh[지역명],H$3)</f>
        <v/>
      </c>
      <c r="I63" s="45">
        <f>SUMIFS(RawDataKWh[일사합_kWh_m2],RawDataKWh[연월],$A63,RawDataKWh[지역명],I$3)</f>
        <v/>
      </c>
      <c r="J63" s="45">
        <f>SUMIFS(RawDataKWh[일사합_kWh_m2],RawDataKWh[연월],$A63,RawDataKWh[지역명],J$3)</f>
        <v/>
      </c>
      <c r="K63" s="45">
        <f>SUMIFS(RawDataKWh[일사합_kWh_m2],RawDataKWh[연월],$A63,RawDataKWh[지역명],K$3)</f>
        <v/>
      </c>
      <c r="L63" s="45">
        <f>AVERAGE(B63:K63)</f>
        <v/>
      </c>
      <c r="N63" s="19">
        <f>$A63</f>
        <v/>
      </c>
      <c r="O63" s="46">
        <f>AVERAGEIFS(RawDataKWh[일평균_일사합_kWh_m2],RawDataKWh[연월],$A63,RawDataKWh[지역명],O$3)</f>
        <v/>
      </c>
      <c r="P63" s="46">
        <f>AVERAGEIFS(RawDataKWh[일평균_일사합_kWh_m2],RawDataKWh[연월],$A63,RawDataKWh[지역명],P$3)</f>
        <v/>
      </c>
      <c r="Q63" s="46">
        <f>AVERAGEIFS(RawDataKWh[일평균_일사합_kWh_m2],RawDataKWh[연월],$A63,RawDataKWh[지역명],Q$3)</f>
        <v/>
      </c>
      <c r="R63" s="46">
        <f>AVERAGEIFS(RawDataKWh[일평균_일사합_kWh_m2],RawDataKWh[연월],$A63,RawDataKWh[지역명],R$3)</f>
        <v/>
      </c>
      <c r="S63" s="46">
        <f>AVERAGEIFS(RawDataKWh[일평균_일사합_kWh_m2],RawDataKWh[연월],$A63,RawDataKWh[지역명],S$3)</f>
        <v/>
      </c>
      <c r="T63" s="46">
        <f>AVERAGEIFS(RawDataKWh[일평균_일사합_kWh_m2],RawDataKWh[연월],$A63,RawDataKWh[지역명],T$3)</f>
        <v/>
      </c>
      <c r="U63" s="46">
        <f>AVERAGEIFS(RawDataKWh[일평균_일사합_kWh_m2],RawDataKWh[연월],$A63,RawDataKWh[지역명],U$3)</f>
        <v/>
      </c>
      <c r="V63" s="46">
        <f>AVERAGEIFS(RawDataKWh[일평균_일사합_kWh_m2],RawDataKWh[연월],$A63,RawDataKWh[지역명],V$3)</f>
        <v/>
      </c>
      <c r="W63" s="46">
        <f>AVERAGEIFS(RawDataKWh[일평균_일사합_kWh_m2],RawDataKWh[연월],$A63,RawDataKWh[지역명],W$3)</f>
        <v/>
      </c>
      <c r="X63" s="46">
        <f>AVERAGEIFS(RawDataKWh[일평균_일사합_kWh_m2],RawDataKWh[연월],$A63,RawDataKWh[지역명],X$3)</f>
        <v/>
      </c>
      <c r="Y63" s="46">
        <f>AVERAGE(O63:X63)</f>
        <v/>
      </c>
    </row>
    <row r="64" ht="16" customHeight="1">
      <c r="A64" s="17" t="inlineStr">
        <is>
          <t>2021-01</t>
        </is>
      </c>
      <c r="B64" s="41">
        <f>SUMIFS(RawDataKWh[일사합_kWh_m2],RawDataKWh[연월],$A64,RawDataKWh[지역명],B$3)</f>
        <v/>
      </c>
      <c r="C64" s="41">
        <f>SUMIFS(RawDataKWh[일사합_kWh_m2],RawDataKWh[연월],$A64,RawDataKWh[지역명],C$3)</f>
        <v/>
      </c>
      <c r="D64" s="41">
        <f>SUMIFS(RawDataKWh[일사합_kWh_m2],RawDataKWh[연월],$A64,RawDataKWh[지역명],D$3)</f>
        <v/>
      </c>
      <c r="E64" s="41">
        <f>SUMIFS(RawDataKWh[일사합_kWh_m2],RawDataKWh[연월],$A64,RawDataKWh[지역명],E$3)</f>
        <v/>
      </c>
      <c r="F64" s="41">
        <f>SUMIFS(RawDataKWh[일사합_kWh_m2],RawDataKWh[연월],$A64,RawDataKWh[지역명],F$3)</f>
        <v/>
      </c>
      <c r="G64" s="41">
        <f>SUMIFS(RawDataKWh[일사합_kWh_m2],RawDataKWh[연월],$A64,RawDataKWh[지역명],G$3)</f>
        <v/>
      </c>
      <c r="H64" s="41">
        <f>SUMIFS(RawDataKWh[일사합_kWh_m2],RawDataKWh[연월],$A64,RawDataKWh[지역명],H$3)</f>
        <v/>
      </c>
      <c r="I64" s="41">
        <f>SUMIFS(RawDataKWh[일사합_kWh_m2],RawDataKWh[연월],$A64,RawDataKWh[지역명],I$3)</f>
        <v/>
      </c>
      <c r="J64" s="41">
        <f>SUMIFS(RawDataKWh[일사합_kWh_m2],RawDataKWh[연월],$A64,RawDataKWh[지역명],J$3)</f>
        <v/>
      </c>
      <c r="K64" s="41">
        <f>SUMIFS(RawDataKWh[일사합_kWh_m2],RawDataKWh[연월],$A64,RawDataKWh[지역명],K$3)</f>
        <v/>
      </c>
      <c r="L64" s="41">
        <f>AVERAGE(B64:K64)</f>
        <v/>
      </c>
      <c r="N64" s="17">
        <f>$A64</f>
        <v/>
      </c>
      <c r="O64" s="42">
        <f>AVERAGEIFS(RawDataKWh[일평균_일사합_kWh_m2],RawDataKWh[연월],$A64,RawDataKWh[지역명],O$3)</f>
        <v/>
      </c>
      <c r="P64" s="42">
        <f>AVERAGEIFS(RawDataKWh[일평균_일사합_kWh_m2],RawDataKWh[연월],$A64,RawDataKWh[지역명],P$3)</f>
        <v/>
      </c>
      <c r="Q64" s="42">
        <f>AVERAGEIFS(RawDataKWh[일평균_일사합_kWh_m2],RawDataKWh[연월],$A64,RawDataKWh[지역명],Q$3)</f>
        <v/>
      </c>
      <c r="R64" s="42">
        <f>AVERAGEIFS(RawDataKWh[일평균_일사합_kWh_m2],RawDataKWh[연월],$A64,RawDataKWh[지역명],R$3)</f>
        <v/>
      </c>
      <c r="S64" s="42">
        <f>AVERAGEIFS(RawDataKWh[일평균_일사합_kWh_m2],RawDataKWh[연월],$A64,RawDataKWh[지역명],S$3)</f>
        <v/>
      </c>
      <c r="T64" s="42">
        <f>AVERAGEIFS(RawDataKWh[일평균_일사합_kWh_m2],RawDataKWh[연월],$A64,RawDataKWh[지역명],T$3)</f>
        <v/>
      </c>
      <c r="U64" s="42">
        <f>AVERAGEIFS(RawDataKWh[일평균_일사합_kWh_m2],RawDataKWh[연월],$A64,RawDataKWh[지역명],U$3)</f>
        <v/>
      </c>
      <c r="V64" s="42">
        <f>AVERAGEIFS(RawDataKWh[일평균_일사합_kWh_m2],RawDataKWh[연월],$A64,RawDataKWh[지역명],V$3)</f>
        <v/>
      </c>
      <c r="W64" s="42">
        <f>AVERAGEIFS(RawDataKWh[일평균_일사합_kWh_m2],RawDataKWh[연월],$A64,RawDataKWh[지역명],W$3)</f>
        <v/>
      </c>
      <c r="X64" s="42">
        <f>AVERAGEIFS(RawDataKWh[일평균_일사합_kWh_m2],RawDataKWh[연월],$A64,RawDataKWh[지역명],X$3)</f>
        <v/>
      </c>
      <c r="Y64" s="42">
        <f>AVERAGE(O64:X64)</f>
        <v/>
      </c>
    </row>
    <row r="65" ht="16" customHeight="1">
      <c r="A65" s="19" t="inlineStr">
        <is>
          <t>2021-02</t>
        </is>
      </c>
      <c r="B65" s="45">
        <f>SUMIFS(RawDataKWh[일사합_kWh_m2],RawDataKWh[연월],$A65,RawDataKWh[지역명],B$3)</f>
        <v/>
      </c>
      <c r="C65" s="45">
        <f>SUMIFS(RawDataKWh[일사합_kWh_m2],RawDataKWh[연월],$A65,RawDataKWh[지역명],C$3)</f>
        <v/>
      </c>
      <c r="D65" s="45">
        <f>SUMIFS(RawDataKWh[일사합_kWh_m2],RawDataKWh[연월],$A65,RawDataKWh[지역명],D$3)</f>
        <v/>
      </c>
      <c r="E65" s="45">
        <f>SUMIFS(RawDataKWh[일사합_kWh_m2],RawDataKWh[연월],$A65,RawDataKWh[지역명],E$3)</f>
        <v/>
      </c>
      <c r="F65" s="45">
        <f>SUMIFS(RawDataKWh[일사합_kWh_m2],RawDataKWh[연월],$A65,RawDataKWh[지역명],F$3)</f>
        <v/>
      </c>
      <c r="G65" s="45">
        <f>SUMIFS(RawDataKWh[일사합_kWh_m2],RawDataKWh[연월],$A65,RawDataKWh[지역명],G$3)</f>
        <v/>
      </c>
      <c r="H65" s="45">
        <f>SUMIFS(RawDataKWh[일사합_kWh_m2],RawDataKWh[연월],$A65,RawDataKWh[지역명],H$3)</f>
        <v/>
      </c>
      <c r="I65" s="45">
        <f>SUMIFS(RawDataKWh[일사합_kWh_m2],RawDataKWh[연월],$A65,RawDataKWh[지역명],I$3)</f>
        <v/>
      </c>
      <c r="J65" s="45">
        <f>SUMIFS(RawDataKWh[일사합_kWh_m2],RawDataKWh[연월],$A65,RawDataKWh[지역명],J$3)</f>
        <v/>
      </c>
      <c r="K65" s="45">
        <f>SUMIFS(RawDataKWh[일사합_kWh_m2],RawDataKWh[연월],$A65,RawDataKWh[지역명],K$3)</f>
        <v/>
      </c>
      <c r="L65" s="45">
        <f>AVERAGE(B65:K65)</f>
        <v/>
      </c>
      <c r="N65" s="19">
        <f>$A65</f>
        <v/>
      </c>
      <c r="O65" s="46">
        <f>AVERAGEIFS(RawDataKWh[일평균_일사합_kWh_m2],RawDataKWh[연월],$A65,RawDataKWh[지역명],O$3)</f>
        <v/>
      </c>
      <c r="P65" s="46">
        <f>AVERAGEIFS(RawDataKWh[일평균_일사합_kWh_m2],RawDataKWh[연월],$A65,RawDataKWh[지역명],P$3)</f>
        <v/>
      </c>
      <c r="Q65" s="46">
        <f>AVERAGEIFS(RawDataKWh[일평균_일사합_kWh_m2],RawDataKWh[연월],$A65,RawDataKWh[지역명],Q$3)</f>
        <v/>
      </c>
      <c r="R65" s="46">
        <f>AVERAGEIFS(RawDataKWh[일평균_일사합_kWh_m2],RawDataKWh[연월],$A65,RawDataKWh[지역명],R$3)</f>
        <v/>
      </c>
      <c r="S65" s="46">
        <f>AVERAGEIFS(RawDataKWh[일평균_일사합_kWh_m2],RawDataKWh[연월],$A65,RawDataKWh[지역명],S$3)</f>
        <v/>
      </c>
      <c r="T65" s="46">
        <f>AVERAGEIFS(RawDataKWh[일평균_일사합_kWh_m2],RawDataKWh[연월],$A65,RawDataKWh[지역명],T$3)</f>
        <v/>
      </c>
      <c r="U65" s="46">
        <f>AVERAGEIFS(RawDataKWh[일평균_일사합_kWh_m2],RawDataKWh[연월],$A65,RawDataKWh[지역명],U$3)</f>
        <v/>
      </c>
      <c r="V65" s="46">
        <f>AVERAGEIFS(RawDataKWh[일평균_일사합_kWh_m2],RawDataKWh[연월],$A65,RawDataKWh[지역명],V$3)</f>
        <v/>
      </c>
      <c r="W65" s="46">
        <f>AVERAGEIFS(RawDataKWh[일평균_일사합_kWh_m2],RawDataKWh[연월],$A65,RawDataKWh[지역명],W$3)</f>
        <v/>
      </c>
      <c r="X65" s="46">
        <f>AVERAGEIFS(RawDataKWh[일평균_일사합_kWh_m2],RawDataKWh[연월],$A65,RawDataKWh[지역명],X$3)</f>
        <v/>
      </c>
      <c r="Y65" s="46">
        <f>AVERAGE(O65:X65)</f>
        <v/>
      </c>
    </row>
    <row r="66" ht="16" customHeight="1">
      <c r="A66" s="17" t="inlineStr">
        <is>
          <t>2021-03</t>
        </is>
      </c>
      <c r="B66" s="41">
        <f>SUMIFS(RawDataKWh[일사합_kWh_m2],RawDataKWh[연월],$A66,RawDataKWh[지역명],B$3)</f>
        <v/>
      </c>
      <c r="C66" s="41">
        <f>SUMIFS(RawDataKWh[일사합_kWh_m2],RawDataKWh[연월],$A66,RawDataKWh[지역명],C$3)</f>
        <v/>
      </c>
      <c r="D66" s="41">
        <f>SUMIFS(RawDataKWh[일사합_kWh_m2],RawDataKWh[연월],$A66,RawDataKWh[지역명],D$3)</f>
        <v/>
      </c>
      <c r="E66" s="41">
        <f>SUMIFS(RawDataKWh[일사합_kWh_m2],RawDataKWh[연월],$A66,RawDataKWh[지역명],E$3)</f>
        <v/>
      </c>
      <c r="F66" s="41">
        <f>SUMIFS(RawDataKWh[일사합_kWh_m2],RawDataKWh[연월],$A66,RawDataKWh[지역명],F$3)</f>
        <v/>
      </c>
      <c r="G66" s="41">
        <f>SUMIFS(RawDataKWh[일사합_kWh_m2],RawDataKWh[연월],$A66,RawDataKWh[지역명],G$3)</f>
        <v/>
      </c>
      <c r="H66" s="41">
        <f>SUMIFS(RawDataKWh[일사합_kWh_m2],RawDataKWh[연월],$A66,RawDataKWh[지역명],H$3)</f>
        <v/>
      </c>
      <c r="I66" s="41">
        <f>SUMIFS(RawDataKWh[일사합_kWh_m2],RawDataKWh[연월],$A66,RawDataKWh[지역명],I$3)</f>
        <v/>
      </c>
      <c r="J66" s="41">
        <f>SUMIFS(RawDataKWh[일사합_kWh_m2],RawDataKWh[연월],$A66,RawDataKWh[지역명],J$3)</f>
        <v/>
      </c>
      <c r="K66" s="41">
        <f>SUMIFS(RawDataKWh[일사합_kWh_m2],RawDataKWh[연월],$A66,RawDataKWh[지역명],K$3)</f>
        <v/>
      </c>
      <c r="L66" s="41">
        <f>AVERAGE(B66:K66)</f>
        <v/>
      </c>
      <c r="N66" s="17">
        <f>$A66</f>
        <v/>
      </c>
      <c r="O66" s="42">
        <f>AVERAGEIFS(RawDataKWh[일평균_일사합_kWh_m2],RawDataKWh[연월],$A66,RawDataKWh[지역명],O$3)</f>
        <v/>
      </c>
      <c r="P66" s="42">
        <f>AVERAGEIFS(RawDataKWh[일평균_일사합_kWh_m2],RawDataKWh[연월],$A66,RawDataKWh[지역명],P$3)</f>
        <v/>
      </c>
      <c r="Q66" s="42">
        <f>AVERAGEIFS(RawDataKWh[일평균_일사합_kWh_m2],RawDataKWh[연월],$A66,RawDataKWh[지역명],Q$3)</f>
        <v/>
      </c>
      <c r="R66" s="42">
        <f>AVERAGEIFS(RawDataKWh[일평균_일사합_kWh_m2],RawDataKWh[연월],$A66,RawDataKWh[지역명],R$3)</f>
        <v/>
      </c>
      <c r="S66" s="42">
        <f>AVERAGEIFS(RawDataKWh[일평균_일사합_kWh_m2],RawDataKWh[연월],$A66,RawDataKWh[지역명],S$3)</f>
        <v/>
      </c>
      <c r="T66" s="42">
        <f>AVERAGEIFS(RawDataKWh[일평균_일사합_kWh_m2],RawDataKWh[연월],$A66,RawDataKWh[지역명],T$3)</f>
        <v/>
      </c>
      <c r="U66" s="42">
        <f>AVERAGEIFS(RawDataKWh[일평균_일사합_kWh_m2],RawDataKWh[연월],$A66,RawDataKWh[지역명],U$3)</f>
        <v/>
      </c>
      <c r="V66" s="42">
        <f>AVERAGEIFS(RawDataKWh[일평균_일사합_kWh_m2],RawDataKWh[연월],$A66,RawDataKWh[지역명],V$3)</f>
        <v/>
      </c>
      <c r="W66" s="42">
        <f>AVERAGEIFS(RawDataKWh[일평균_일사합_kWh_m2],RawDataKWh[연월],$A66,RawDataKWh[지역명],W$3)</f>
        <v/>
      </c>
      <c r="X66" s="42">
        <f>AVERAGEIFS(RawDataKWh[일평균_일사합_kWh_m2],RawDataKWh[연월],$A66,RawDataKWh[지역명],X$3)</f>
        <v/>
      </c>
      <c r="Y66" s="42">
        <f>AVERAGE(O66:X66)</f>
        <v/>
      </c>
    </row>
    <row r="67" ht="16" customHeight="1">
      <c r="A67" s="19" t="inlineStr">
        <is>
          <t>2021-04</t>
        </is>
      </c>
      <c r="B67" s="45">
        <f>SUMIFS(RawDataKWh[일사합_kWh_m2],RawDataKWh[연월],$A67,RawDataKWh[지역명],B$3)</f>
        <v/>
      </c>
      <c r="C67" s="45">
        <f>SUMIFS(RawDataKWh[일사합_kWh_m2],RawDataKWh[연월],$A67,RawDataKWh[지역명],C$3)</f>
        <v/>
      </c>
      <c r="D67" s="45">
        <f>SUMIFS(RawDataKWh[일사합_kWh_m2],RawDataKWh[연월],$A67,RawDataKWh[지역명],D$3)</f>
        <v/>
      </c>
      <c r="E67" s="45">
        <f>SUMIFS(RawDataKWh[일사합_kWh_m2],RawDataKWh[연월],$A67,RawDataKWh[지역명],E$3)</f>
        <v/>
      </c>
      <c r="F67" s="45">
        <f>SUMIFS(RawDataKWh[일사합_kWh_m2],RawDataKWh[연월],$A67,RawDataKWh[지역명],F$3)</f>
        <v/>
      </c>
      <c r="G67" s="45">
        <f>SUMIFS(RawDataKWh[일사합_kWh_m2],RawDataKWh[연월],$A67,RawDataKWh[지역명],G$3)</f>
        <v/>
      </c>
      <c r="H67" s="45">
        <f>SUMIFS(RawDataKWh[일사합_kWh_m2],RawDataKWh[연월],$A67,RawDataKWh[지역명],H$3)</f>
        <v/>
      </c>
      <c r="I67" s="45">
        <f>SUMIFS(RawDataKWh[일사합_kWh_m2],RawDataKWh[연월],$A67,RawDataKWh[지역명],I$3)</f>
        <v/>
      </c>
      <c r="J67" s="45">
        <f>SUMIFS(RawDataKWh[일사합_kWh_m2],RawDataKWh[연월],$A67,RawDataKWh[지역명],J$3)</f>
        <v/>
      </c>
      <c r="K67" s="45">
        <f>SUMIFS(RawDataKWh[일사합_kWh_m2],RawDataKWh[연월],$A67,RawDataKWh[지역명],K$3)</f>
        <v/>
      </c>
      <c r="L67" s="45">
        <f>AVERAGE(B67:K67)</f>
        <v/>
      </c>
      <c r="N67" s="19">
        <f>$A67</f>
        <v/>
      </c>
      <c r="O67" s="46">
        <f>AVERAGEIFS(RawDataKWh[일평균_일사합_kWh_m2],RawDataKWh[연월],$A67,RawDataKWh[지역명],O$3)</f>
        <v/>
      </c>
      <c r="P67" s="46">
        <f>AVERAGEIFS(RawDataKWh[일평균_일사합_kWh_m2],RawDataKWh[연월],$A67,RawDataKWh[지역명],P$3)</f>
        <v/>
      </c>
      <c r="Q67" s="46">
        <f>AVERAGEIFS(RawDataKWh[일평균_일사합_kWh_m2],RawDataKWh[연월],$A67,RawDataKWh[지역명],Q$3)</f>
        <v/>
      </c>
      <c r="R67" s="46">
        <f>AVERAGEIFS(RawDataKWh[일평균_일사합_kWh_m2],RawDataKWh[연월],$A67,RawDataKWh[지역명],R$3)</f>
        <v/>
      </c>
      <c r="S67" s="46">
        <f>AVERAGEIFS(RawDataKWh[일평균_일사합_kWh_m2],RawDataKWh[연월],$A67,RawDataKWh[지역명],S$3)</f>
        <v/>
      </c>
      <c r="T67" s="46">
        <f>AVERAGEIFS(RawDataKWh[일평균_일사합_kWh_m2],RawDataKWh[연월],$A67,RawDataKWh[지역명],T$3)</f>
        <v/>
      </c>
      <c r="U67" s="46">
        <f>AVERAGEIFS(RawDataKWh[일평균_일사합_kWh_m2],RawDataKWh[연월],$A67,RawDataKWh[지역명],U$3)</f>
        <v/>
      </c>
      <c r="V67" s="46">
        <f>AVERAGEIFS(RawDataKWh[일평균_일사합_kWh_m2],RawDataKWh[연월],$A67,RawDataKWh[지역명],V$3)</f>
        <v/>
      </c>
      <c r="W67" s="46">
        <f>AVERAGEIFS(RawDataKWh[일평균_일사합_kWh_m2],RawDataKWh[연월],$A67,RawDataKWh[지역명],W$3)</f>
        <v/>
      </c>
      <c r="X67" s="46">
        <f>AVERAGEIFS(RawDataKWh[일평균_일사합_kWh_m2],RawDataKWh[연월],$A67,RawDataKWh[지역명],X$3)</f>
        <v/>
      </c>
      <c r="Y67" s="46">
        <f>AVERAGE(O67:X67)</f>
        <v/>
      </c>
    </row>
    <row r="68" ht="16" customHeight="1">
      <c r="A68" s="17" t="inlineStr">
        <is>
          <t>2021-05</t>
        </is>
      </c>
      <c r="B68" s="41">
        <f>SUMIFS(RawDataKWh[일사합_kWh_m2],RawDataKWh[연월],$A68,RawDataKWh[지역명],B$3)</f>
        <v/>
      </c>
      <c r="C68" s="41">
        <f>SUMIFS(RawDataKWh[일사합_kWh_m2],RawDataKWh[연월],$A68,RawDataKWh[지역명],C$3)</f>
        <v/>
      </c>
      <c r="D68" s="41">
        <f>SUMIFS(RawDataKWh[일사합_kWh_m2],RawDataKWh[연월],$A68,RawDataKWh[지역명],D$3)</f>
        <v/>
      </c>
      <c r="E68" s="41">
        <f>SUMIFS(RawDataKWh[일사합_kWh_m2],RawDataKWh[연월],$A68,RawDataKWh[지역명],E$3)</f>
        <v/>
      </c>
      <c r="F68" s="41">
        <f>SUMIFS(RawDataKWh[일사합_kWh_m2],RawDataKWh[연월],$A68,RawDataKWh[지역명],F$3)</f>
        <v/>
      </c>
      <c r="G68" s="41">
        <f>SUMIFS(RawDataKWh[일사합_kWh_m2],RawDataKWh[연월],$A68,RawDataKWh[지역명],G$3)</f>
        <v/>
      </c>
      <c r="H68" s="41">
        <f>SUMIFS(RawDataKWh[일사합_kWh_m2],RawDataKWh[연월],$A68,RawDataKWh[지역명],H$3)</f>
        <v/>
      </c>
      <c r="I68" s="41">
        <f>SUMIFS(RawDataKWh[일사합_kWh_m2],RawDataKWh[연월],$A68,RawDataKWh[지역명],I$3)</f>
        <v/>
      </c>
      <c r="J68" s="41">
        <f>SUMIFS(RawDataKWh[일사합_kWh_m2],RawDataKWh[연월],$A68,RawDataKWh[지역명],J$3)</f>
        <v/>
      </c>
      <c r="K68" s="41">
        <f>SUMIFS(RawDataKWh[일사합_kWh_m2],RawDataKWh[연월],$A68,RawDataKWh[지역명],K$3)</f>
        <v/>
      </c>
      <c r="L68" s="41">
        <f>AVERAGE(B68:K68)</f>
        <v/>
      </c>
      <c r="N68" s="17">
        <f>$A68</f>
        <v/>
      </c>
      <c r="O68" s="42">
        <f>AVERAGEIFS(RawDataKWh[일평균_일사합_kWh_m2],RawDataKWh[연월],$A68,RawDataKWh[지역명],O$3)</f>
        <v/>
      </c>
      <c r="P68" s="42">
        <f>AVERAGEIFS(RawDataKWh[일평균_일사합_kWh_m2],RawDataKWh[연월],$A68,RawDataKWh[지역명],P$3)</f>
        <v/>
      </c>
      <c r="Q68" s="42">
        <f>AVERAGEIFS(RawDataKWh[일평균_일사합_kWh_m2],RawDataKWh[연월],$A68,RawDataKWh[지역명],Q$3)</f>
        <v/>
      </c>
      <c r="R68" s="42">
        <f>AVERAGEIFS(RawDataKWh[일평균_일사합_kWh_m2],RawDataKWh[연월],$A68,RawDataKWh[지역명],R$3)</f>
        <v/>
      </c>
      <c r="S68" s="42">
        <f>AVERAGEIFS(RawDataKWh[일평균_일사합_kWh_m2],RawDataKWh[연월],$A68,RawDataKWh[지역명],S$3)</f>
        <v/>
      </c>
      <c r="T68" s="42">
        <f>AVERAGEIFS(RawDataKWh[일평균_일사합_kWh_m2],RawDataKWh[연월],$A68,RawDataKWh[지역명],T$3)</f>
        <v/>
      </c>
      <c r="U68" s="42">
        <f>AVERAGEIFS(RawDataKWh[일평균_일사합_kWh_m2],RawDataKWh[연월],$A68,RawDataKWh[지역명],U$3)</f>
        <v/>
      </c>
      <c r="V68" s="42">
        <f>AVERAGEIFS(RawDataKWh[일평균_일사합_kWh_m2],RawDataKWh[연월],$A68,RawDataKWh[지역명],V$3)</f>
        <v/>
      </c>
      <c r="W68" s="42">
        <f>AVERAGEIFS(RawDataKWh[일평균_일사합_kWh_m2],RawDataKWh[연월],$A68,RawDataKWh[지역명],W$3)</f>
        <v/>
      </c>
      <c r="X68" s="42">
        <f>AVERAGEIFS(RawDataKWh[일평균_일사합_kWh_m2],RawDataKWh[연월],$A68,RawDataKWh[지역명],X$3)</f>
        <v/>
      </c>
      <c r="Y68" s="42">
        <f>AVERAGE(O68:X68)</f>
        <v/>
      </c>
    </row>
    <row r="69" ht="16" customHeight="1">
      <c r="A69" s="19" t="inlineStr">
        <is>
          <t>2021-06</t>
        </is>
      </c>
      <c r="B69" s="45">
        <f>SUMIFS(RawDataKWh[일사합_kWh_m2],RawDataKWh[연월],$A69,RawDataKWh[지역명],B$3)</f>
        <v/>
      </c>
      <c r="C69" s="45">
        <f>SUMIFS(RawDataKWh[일사합_kWh_m2],RawDataKWh[연월],$A69,RawDataKWh[지역명],C$3)</f>
        <v/>
      </c>
      <c r="D69" s="45">
        <f>SUMIFS(RawDataKWh[일사합_kWh_m2],RawDataKWh[연월],$A69,RawDataKWh[지역명],D$3)</f>
        <v/>
      </c>
      <c r="E69" s="45">
        <f>SUMIFS(RawDataKWh[일사합_kWh_m2],RawDataKWh[연월],$A69,RawDataKWh[지역명],E$3)</f>
        <v/>
      </c>
      <c r="F69" s="45">
        <f>SUMIFS(RawDataKWh[일사합_kWh_m2],RawDataKWh[연월],$A69,RawDataKWh[지역명],F$3)</f>
        <v/>
      </c>
      <c r="G69" s="45">
        <f>SUMIFS(RawDataKWh[일사합_kWh_m2],RawDataKWh[연월],$A69,RawDataKWh[지역명],G$3)</f>
        <v/>
      </c>
      <c r="H69" s="45">
        <f>SUMIFS(RawDataKWh[일사합_kWh_m2],RawDataKWh[연월],$A69,RawDataKWh[지역명],H$3)</f>
        <v/>
      </c>
      <c r="I69" s="45">
        <f>SUMIFS(RawDataKWh[일사합_kWh_m2],RawDataKWh[연월],$A69,RawDataKWh[지역명],I$3)</f>
        <v/>
      </c>
      <c r="J69" s="45">
        <f>SUMIFS(RawDataKWh[일사합_kWh_m2],RawDataKWh[연월],$A69,RawDataKWh[지역명],J$3)</f>
        <v/>
      </c>
      <c r="K69" s="45">
        <f>SUMIFS(RawDataKWh[일사합_kWh_m2],RawDataKWh[연월],$A69,RawDataKWh[지역명],K$3)</f>
        <v/>
      </c>
      <c r="L69" s="45">
        <f>AVERAGE(B69:K69)</f>
        <v/>
      </c>
      <c r="N69" s="19">
        <f>$A69</f>
        <v/>
      </c>
      <c r="O69" s="46">
        <f>AVERAGEIFS(RawDataKWh[일평균_일사합_kWh_m2],RawDataKWh[연월],$A69,RawDataKWh[지역명],O$3)</f>
        <v/>
      </c>
      <c r="P69" s="46">
        <f>AVERAGEIFS(RawDataKWh[일평균_일사합_kWh_m2],RawDataKWh[연월],$A69,RawDataKWh[지역명],P$3)</f>
        <v/>
      </c>
      <c r="Q69" s="46">
        <f>AVERAGEIFS(RawDataKWh[일평균_일사합_kWh_m2],RawDataKWh[연월],$A69,RawDataKWh[지역명],Q$3)</f>
        <v/>
      </c>
      <c r="R69" s="46">
        <f>AVERAGEIFS(RawDataKWh[일평균_일사합_kWh_m2],RawDataKWh[연월],$A69,RawDataKWh[지역명],R$3)</f>
        <v/>
      </c>
      <c r="S69" s="46">
        <f>AVERAGEIFS(RawDataKWh[일평균_일사합_kWh_m2],RawDataKWh[연월],$A69,RawDataKWh[지역명],S$3)</f>
        <v/>
      </c>
      <c r="T69" s="46">
        <f>AVERAGEIFS(RawDataKWh[일평균_일사합_kWh_m2],RawDataKWh[연월],$A69,RawDataKWh[지역명],T$3)</f>
        <v/>
      </c>
      <c r="U69" s="46">
        <f>AVERAGEIFS(RawDataKWh[일평균_일사합_kWh_m2],RawDataKWh[연월],$A69,RawDataKWh[지역명],U$3)</f>
        <v/>
      </c>
      <c r="V69" s="46">
        <f>AVERAGEIFS(RawDataKWh[일평균_일사합_kWh_m2],RawDataKWh[연월],$A69,RawDataKWh[지역명],V$3)</f>
        <v/>
      </c>
      <c r="W69" s="46">
        <f>AVERAGEIFS(RawDataKWh[일평균_일사합_kWh_m2],RawDataKWh[연월],$A69,RawDataKWh[지역명],W$3)</f>
        <v/>
      </c>
      <c r="X69" s="46">
        <f>AVERAGEIFS(RawDataKWh[일평균_일사합_kWh_m2],RawDataKWh[연월],$A69,RawDataKWh[지역명],X$3)</f>
        <v/>
      </c>
      <c r="Y69" s="46">
        <f>AVERAGE(O69:X69)</f>
        <v/>
      </c>
    </row>
    <row r="70" ht="16" customHeight="1">
      <c r="A70" s="17" t="inlineStr">
        <is>
          <t>2021-07</t>
        </is>
      </c>
      <c r="B70" s="41">
        <f>SUMIFS(RawDataKWh[일사합_kWh_m2],RawDataKWh[연월],$A70,RawDataKWh[지역명],B$3)</f>
        <v/>
      </c>
      <c r="C70" s="41">
        <f>SUMIFS(RawDataKWh[일사합_kWh_m2],RawDataKWh[연월],$A70,RawDataKWh[지역명],C$3)</f>
        <v/>
      </c>
      <c r="D70" s="41">
        <f>SUMIFS(RawDataKWh[일사합_kWh_m2],RawDataKWh[연월],$A70,RawDataKWh[지역명],D$3)</f>
        <v/>
      </c>
      <c r="E70" s="41">
        <f>SUMIFS(RawDataKWh[일사합_kWh_m2],RawDataKWh[연월],$A70,RawDataKWh[지역명],E$3)</f>
        <v/>
      </c>
      <c r="F70" s="41">
        <f>SUMIFS(RawDataKWh[일사합_kWh_m2],RawDataKWh[연월],$A70,RawDataKWh[지역명],F$3)</f>
        <v/>
      </c>
      <c r="G70" s="41">
        <f>SUMIFS(RawDataKWh[일사합_kWh_m2],RawDataKWh[연월],$A70,RawDataKWh[지역명],G$3)</f>
        <v/>
      </c>
      <c r="H70" s="41">
        <f>SUMIFS(RawDataKWh[일사합_kWh_m2],RawDataKWh[연월],$A70,RawDataKWh[지역명],H$3)</f>
        <v/>
      </c>
      <c r="I70" s="41">
        <f>SUMIFS(RawDataKWh[일사합_kWh_m2],RawDataKWh[연월],$A70,RawDataKWh[지역명],I$3)</f>
        <v/>
      </c>
      <c r="J70" s="41">
        <f>SUMIFS(RawDataKWh[일사합_kWh_m2],RawDataKWh[연월],$A70,RawDataKWh[지역명],J$3)</f>
        <v/>
      </c>
      <c r="K70" s="41">
        <f>SUMIFS(RawDataKWh[일사합_kWh_m2],RawDataKWh[연월],$A70,RawDataKWh[지역명],K$3)</f>
        <v/>
      </c>
      <c r="L70" s="41">
        <f>AVERAGE(B70:K70)</f>
        <v/>
      </c>
      <c r="N70" s="17">
        <f>$A70</f>
        <v/>
      </c>
      <c r="O70" s="42">
        <f>AVERAGEIFS(RawDataKWh[일평균_일사합_kWh_m2],RawDataKWh[연월],$A70,RawDataKWh[지역명],O$3)</f>
        <v/>
      </c>
      <c r="P70" s="42">
        <f>AVERAGEIFS(RawDataKWh[일평균_일사합_kWh_m2],RawDataKWh[연월],$A70,RawDataKWh[지역명],P$3)</f>
        <v/>
      </c>
      <c r="Q70" s="42">
        <f>AVERAGEIFS(RawDataKWh[일평균_일사합_kWh_m2],RawDataKWh[연월],$A70,RawDataKWh[지역명],Q$3)</f>
        <v/>
      </c>
      <c r="R70" s="42">
        <f>AVERAGEIFS(RawDataKWh[일평균_일사합_kWh_m2],RawDataKWh[연월],$A70,RawDataKWh[지역명],R$3)</f>
        <v/>
      </c>
      <c r="S70" s="42">
        <f>AVERAGEIFS(RawDataKWh[일평균_일사합_kWh_m2],RawDataKWh[연월],$A70,RawDataKWh[지역명],S$3)</f>
        <v/>
      </c>
      <c r="T70" s="42">
        <f>AVERAGEIFS(RawDataKWh[일평균_일사합_kWh_m2],RawDataKWh[연월],$A70,RawDataKWh[지역명],T$3)</f>
        <v/>
      </c>
      <c r="U70" s="42">
        <f>AVERAGEIFS(RawDataKWh[일평균_일사합_kWh_m2],RawDataKWh[연월],$A70,RawDataKWh[지역명],U$3)</f>
        <v/>
      </c>
      <c r="V70" s="42">
        <f>AVERAGEIFS(RawDataKWh[일평균_일사합_kWh_m2],RawDataKWh[연월],$A70,RawDataKWh[지역명],V$3)</f>
        <v/>
      </c>
      <c r="W70" s="42">
        <f>AVERAGEIFS(RawDataKWh[일평균_일사합_kWh_m2],RawDataKWh[연월],$A70,RawDataKWh[지역명],W$3)</f>
        <v/>
      </c>
      <c r="X70" s="42">
        <f>AVERAGEIFS(RawDataKWh[일평균_일사합_kWh_m2],RawDataKWh[연월],$A70,RawDataKWh[지역명],X$3)</f>
        <v/>
      </c>
      <c r="Y70" s="42">
        <f>AVERAGE(O70:X70)</f>
        <v/>
      </c>
    </row>
    <row r="71" ht="16" customHeight="1">
      <c r="A71" s="19" t="inlineStr">
        <is>
          <t>2021-08</t>
        </is>
      </c>
      <c r="B71" s="45">
        <f>SUMIFS(RawDataKWh[일사합_kWh_m2],RawDataKWh[연월],$A71,RawDataKWh[지역명],B$3)</f>
        <v/>
      </c>
      <c r="C71" s="45">
        <f>SUMIFS(RawDataKWh[일사합_kWh_m2],RawDataKWh[연월],$A71,RawDataKWh[지역명],C$3)</f>
        <v/>
      </c>
      <c r="D71" s="45">
        <f>SUMIFS(RawDataKWh[일사합_kWh_m2],RawDataKWh[연월],$A71,RawDataKWh[지역명],D$3)</f>
        <v/>
      </c>
      <c r="E71" s="45">
        <f>SUMIFS(RawDataKWh[일사합_kWh_m2],RawDataKWh[연월],$A71,RawDataKWh[지역명],E$3)</f>
        <v/>
      </c>
      <c r="F71" s="45">
        <f>SUMIFS(RawDataKWh[일사합_kWh_m2],RawDataKWh[연월],$A71,RawDataKWh[지역명],F$3)</f>
        <v/>
      </c>
      <c r="G71" s="45">
        <f>SUMIFS(RawDataKWh[일사합_kWh_m2],RawDataKWh[연월],$A71,RawDataKWh[지역명],G$3)</f>
        <v/>
      </c>
      <c r="H71" s="45">
        <f>SUMIFS(RawDataKWh[일사합_kWh_m2],RawDataKWh[연월],$A71,RawDataKWh[지역명],H$3)</f>
        <v/>
      </c>
      <c r="I71" s="45">
        <f>SUMIFS(RawDataKWh[일사합_kWh_m2],RawDataKWh[연월],$A71,RawDataKWh[지역명],I$3)</f>
        <v/>
      </c>
      <c r="J71" s="45">
        <f>SUMIFS(RawDataKWh[일사합_kWh_m2],RawDataKWh[연월],$A71,RawDataKWh[지역명],J$3)</f>
        <v/>
      </c>
      <c r="K71" s="45">
        <f>SUMIFS(RawDataKWh[일사합_kWh_m2],RawDataKWh[연월],$A71,RawDataKWh[지역명],K$3)</f>
        <v/>
      </c>
      <c r="L71" s="45">
        <f>AVERAGE(B71:K71)</f>
        <v/>
      </c>
      <c r="N71" s="19">
        <f>$A71</f>
        <v/>
      </c>
      <c r="O71" s="46">
        <f>AVERAGEIFS(RawDataKWh[일평균_일사합_kWh_m2],RawDataKWh[연월],$A71,RawDataKWh[지역명],O$3)</f>
        <v/>
      </c>
      <c r="P71" s="46">
        <f>AVERAGEIFS(RawDataKWh[일평균_일사합_kWh_m2],RawDataKWh[연월],$A71,RawDataKWh[지역명],P$3)</f>
        <v/>
      </c>
      <c r="Q71" s="46">
        <f>AVERAGEIFS(RawDataKWh[일평균_일사합_kWh_m2],RawDataKWh[연월],$A71,RawDataKWh[지역명],Q$3)</f>
        <v/>
      </c>
      <c r="R71" s="46">
        <f>AVERAGEIFS(RawDataKWh[일평균_일사합_kWh_m2],RawDataKWh[연월],$A71,RawDataKWh[지역명],R$3)</f>
        <v/>
      </c>
      <c r="S71" s="46">
        <f>AVERAGEIFS(RawDataKWh[일평균_일사합_kWh_m2],RawDataKWh[연월],$A71,RawDataKWh[지역명],S$3)</f>
        <v/>
      </c>
      <c r="T71" s="46">
        <f>AVERAGEIFS(RawDataKWh[일평균_일사합_kWh_m2],RawDataKWh[연월],$A71,RawDataKWh[지역명],T$3)</f>
        <v/>
      </c>
      <c r="U71" s="46">
        <f>AVERAGEIFS(RawDataKWh[일평균_일사합_kWh_m2],RawDataKWh[연월],$A71,RawDataKWh[지역명],U$3)</f>
        <v/>
      </c>
      <c r="V71" s="46">
        <f>AVERAGEIFS(RawDataKWh[일평균_일사합_kWh_m2],RawDataKWh[연월],$A71,RawDataKWh[지역명],V$3)</f>
        <v/>
      </c>
      <c r="W71" s="46">
        <f>AVERAGEIFS(RawDataKWh[일평균_일사합_kWh_m2],RawDataKWh[연월],$A71,RawDataKWh[지역명],W$3)</f>
        <v/>
      </c>
      <c r="X71" s="46">
        <f>AVERAGEIFS(RawDataKWh[일평균_일사합_kWh_m2],RawDataKWh[연월],$A71,RawDataKWh[지역명],X$3)</f>
        <v/>
      </c>
      <c r="Y71" s="46">
        <f>AVERAGE(O71:X71)</f>
        <v/>
      </c>
    </row>
    <row r="72" ht="16" customHeight="1">
      <c r="A72" s="17" t="inlineStr">
        <is>
          <t>2021-09</t>
        </is>
      </c>
      <c r="B72" s="41">
        <f>SUMIFS(RawDataKWh[일사합_kWh_m2],RawDataKWh[연월],$A72,RawDataKWh[지역명],B$3)</f>
        <v/>
      </c>
      <c r="C72" s="41">
        <f>SUMIFS(RawDataKWh[일사합_kWh_m2],RawDataKWh[연월],$A72,RawDataKWh[지역명],C$3)</f>
        <v/>
      </c>
      <c r="D72" s="41">
        <f>SUMIFS(RawDataKWh[일사합_kWh_m2],RawDataKWh[연월],$A72,RawDataKWh[지역명],D$3)</f>
        <v/>
      </c>
      <c r="E72" s="41">
        <f>SUMIFS(RawDataKWh[일사합_kWh_m2],RawDataKWh[연월],$A72,RawDataKWh[지역명],E$3)</f>
        <v/>
      </c>
      <c r="F72" s="41">
        <f>SUMIFS(RawDataKWh[일사합_kWh_m2],RawDataKWh[연월],$A72,RawDataKWh[지역명],F$3)</f>
        <v/>
      </c>
      <c r="G72" s="41">
        <f>SUMIFS(RawDataKWh[일사합_kWh_m2],RawDataKWh[연월],$A72,RawDataKWh[지역명],G$3)</f>
        <v/>
      </c>
      <c r="H72" s="41">
        <f>SUMIFS(RawDataKWh[일사합_kWh_m2],RawDataKWh[연월],$A72,RawDataKWh[지역명],H$3)</f>
        <v/>
      </c>
      <c r="I72" s="41">
        <f>SUMIFS(RawDataKWh[일사합_kWh_m2],RawDataKWh[연월],$A72,RawDataKWh[지역명],I$3)</f>
        <v/>
      </c>
      <c r="J72" s="41">
        <f>SUMIFS(RawDataKWh[일사합_kWh_m2],RawDataKWh[연월],$A72,RawDataKWh[지역명],J$3)</f>
        <v/>
      </c>
      <c r="K72" s="41">
        <f>SUMIFS(RawDataKWh[일사합_kWh_m2],RawDataKWh[연월],$A72,RawDataKWh[지역명],K$3)</f>
        <v/>
      </c>
      <c r="L72" s="41">
        <f>AVERAGE(B72:K72)</f>
        <v/>
      </c>
      <c r="N72" s="17">
        <f>$A72</f>
        <v/>
      </c>
      <c r="O72" s="42">
        <f>AVERAGEIFS(RawDataKWh[일평균_일사합_kWh_m2],RawDataKWh[연월],$A72,RawDataKWh[지역명],O$3)</f>
        <v/>
      </c>
      <c r="P72" s="42">
        <f>AVERAGEIFS(RawDataKWh[일평균_일사합_kWh_m2],RawDataKWh[연월],$A72,RawDataKWh[지역명],P$3)</f>
        <v/>
      </c>
      <c r="Q72" s="42">
        <f>AVERAGEIFS(RawDataKWh[일평균_일사합_kWh_m2],RawDataKWh[연월],$A72,RawDataKWh[지역명],Q$3)</f>
        <v/>
      </c>
      <c r="R72" s="42">
        <f>AVERAGEIFS(RawDataKWh[일평균_일사합_kWh_m2],RawDataKWh[연월],$A72,RawDataKWh[지역명],R$3)</f>
        <v/>
      </c>
      <c r="S72" s="42">
        <f>AVERAGEIFS(RawDataKWh[일평균_일사합_kWh_m2],RawDataKWh[연월],$A72,RawDataKWh[지역명],S$3)</f>
        <v/>
      </c>
      <c r="T72" s="42">
        <f>AVERAGEIFS(RawDataKWh[일평균_일사합_kWh_m2],RawDataKWh[연월],$A72,RawDataKWh[지역명],T$3)</f>
        <v/>
      </c>
      <c r="U72" s="42">
        <f>AVERAGEIFS(RawDataKWh[일평균_일사합_kWh_m2],RawDataKWh[연월],$A72,RawDataKWh[지역명],U$3)</f>
        <v/>
      </c>
      <c r="V72" s="42">
        <f>AVERAGEIFS(RawDataKWh[일평균_일사합_kWh_m2],RawDataKWh[연월],$A72,RawDataKWh[지역명],V$3)</f>
        <v/>
      </c>
      <c r="W72" s="42">
        <f>AVERAGEIFS(RawDataKWh[일평균_일사합_kWh_m2],RawDataKWh[연월],$A72,RawDataKWh[지역명],W$3)</f>
        <v/>
      </c>
      <c r="X72" s="42">
        <f>AVERAGEIFS(RawDataKWh[일평균_일사합_kWh_m2],RawDataKWh[연월],$A72,RawDataKWh[지역명],X$3)</f>
        <v/>
      </c>
      <c r="Y72" s="42">
        <f>AVERAGE(O72:X72)</f>
        <v/>
      </c>
    </row>
    <row r="73" ht="16" customHeight="1">
      <c r="A73" s="19" t="inlineStr">
        <is>
          <t>2021-10</t>
        </is>
      </c>
      <c r="B73" s="45">
        <f>SUMIFS(RawDataKWh[일사합_kWh_m2],RawDataKWh[연월],$A73,RawDataKWh[지역명],B$3)</f>
        <v/>
      </c>
      <c r="C73" s="45">
        <f>SUMIFS(RawDataKWh[일사합_kWh_m2],RawDataKWh[연월],$A73,RawDataKWh[지역명],C$3)</f>
        <v/>
      </c>
      <c r="D73" s="45">
        <f>SUMIFS(RawDataKWh[일사합_kWh_m2],RawDataKWh[연월],$A73,RawDataKWh[지역명],D$3)</f>
        <v/>
      </c>
      <c r="E73" s="45">
        <f>SUMIFS(RawDataKWh[일사합_kWh_m2],RawDataKWh[연월],$A73,RawDataKWh[지역명],E$3)</f>
        <v/>
      </c>
      <c r="F73" s="45">
        <f>SUMIFS(RawDataKWh[일사합_kWh_m2],RawDataKWh[연월],$A73,RawDataKWh[지역명],F$3)</f>
        <v/>
      </c>
      <c r="G73" s="45">
        <f>SUMIFS(RawDataKWh[일사합_kWh_m2],RawDataKWh[연월],$A73,RawDataKWh[지역명],G$3)</f>
        <v/>
      </c>
      <c r="H73" s="45">
        <f>SUMIFS(RawDataKWh[일사합_kWh_m2],RawDataKWh[연월],$A73,RawDataKWh[지역명],H$3)</f>
        <v/>
      </c>
      <c r="I73" s="45">
        <f>SUMIFS(RawDataKWh[일사합_kWh_m2],RawDataKWh[연월],$A73,RawDataKWh[지역명],I$3)</f>
        <v/>
      </c>
      <c r="J73" s="45">
        <f>SUMIFS(RawDataKWh[일사합_kWh_m2],RawDataKWh[연월],$A73,RawDataKWh[지역명],J$3)</f>
        <v/>
      </c>
      <c r="K73" s="45">
        <f>SUMIFS(RawDataKWh[일사합_kWh_m2],RawDataKWh[연월],$A73,RawDataKWh[지역명],K$3)</f>
        <v/>
      </c>
      <c r="L73" s="45">
        <f>AVERAGE(B73:K73)</f>
        <v/>
      </c>
      <c r="N73" s="19">
        <f>$A73</f>
        <v/>
      </c>
      <c r="O73" s="46">
        <f>AVERAGEIFS(RawDataKWh[일평균_일사합_kWh_m2],RawDataKWh[연월],$A73,RawDataKWh[지역명],O$3)</f>
        <v/>
      </c>
      <c r="P73" s="46">
        <f>AVERAGEIFS(RawDataKWh[일평균_일사합_kWh_m2],RawDataKWh[연월],$A73,RawDataKWh[지역명],P$3)</f>
        <v/>
      </c>
      <c r="Q73" s="46">
        <f>AVERAGEIFS(RawDataKWh[일평균_일사합_kWh_m2],RawDataKWh[연월],$A73,RawDataKWh[지역명],Q$3)</f>
        <v/>
      </c>
      <c r="R73" s="46">
        <f>AVERAGEIFS(RawDataKWh[일평균_일사합_kWh_m2],RawDataKWh[연월],$A73,RawDataKWh[지역명],R$3)</f>
        <v/>
      </c>
      <c r="S73" s="46">
        <f>AVERAGEIFS(RawDataKWh[일평균_일사합_kWh_m2],RawDataKWh[연월],$A73,RawDataKWh[지역명],S$3)</f>
        <v/>
      </c>
      <c r="T73" s="46">
        <f>AVERAGEIFS(RawDataKWh[일평균_일사합_kWh_m2],RawDataKWh[연월],$A73,RawDataKWh[지역명],T$3)</f>
        <v/>
      </c>
      <c r="U73" s="46">
        <f>AVERAGEIFS(RawDataKWh[일평균_일사합_kWh_m2],RawDataKWh[연월],$A73,RawDataKWh[지역명],U$3)</f>
        <v/>
      </c>
      <c r="V73" s="46">
        <f>AVERAGEIFS(RawDataKWh[일평균_일사합_kWh_m2],RawDataKWh[연월],$A73,RawDataKWh[지역명],V$3)</f>
        <v/>
      </c>
      <c r="W73" s="46">
        <f>AVERAGEIFS(RawDataKWh[일평균_일사합_kWh_m2],RawDataKWh[연월],$A73,RawDataKWh[지역명],W$3)</f>
        <v/>
      </c>
      <c r="X73" s="46">
        <f>AVERAGEIFS(RawDataKWh[일평균_일사합_kWh_m2],RawDataKWh[연월],$A73,RawDataKWh[지역명],X$3)</f>
        <v/>
      </c>
      <c r="Y73" s="46">
        <f>AVERAGE(O73:X73)</f>
        <v/>
      </c>
    </row>
    <row r="74" ht="16" customHeight="1">
      <c r="A74" s="17" t="inlineStr">
        <is>
          <t>2021-11</t>
        </is>
      </c>
      <c r="B74" s="41">
        <f>SUMIFS(RawDataKWh[일사합_kWh_m2],RawDataKWh[연월],$A74,RawDataKWh[지역명],B$3)</f>
        <v/>
      </c>
      <c r="C74" s="41">
        <f>SUMIFS(RawDataKWh[일사합_kWh_m2],RawDataKWh[연월],$A74,RawDataKWh[지역명],C$3)</f>
        <v/>
      </c>
      <c r="D74" s="41">
        <f>SUMIFS(RawDataKWh[일사합_kWh_m2],RawDataKWh[연월],$A74,RawDataKWh[지역명],D$3)</f>
        <v/>
      </c>
      <c r="E74" s="41">
        <f>SUMIFS(RawDataKWh[일사합_kWh_m2],RawDataKWh[연월],$A74,RawDataKWh[지역명],E$3)</f>
        <v/>
      </c>
      <c r="F74" s="41">
        <f>SUMIFS(RawDataKWh[일사합_kWh_m2],RawDataKWh[연월],$A74,RawDataKWh[지역명],F$3)</f>
        <v/>
      </c>
      <c r="G74" s="41">
        <f>SUMIFS(RawDataKWh[일사합_kWh_m2],RawDataKWh[연월],$A74,RawDataKWh[지역명],G$3)</f>
        <v/>
      </c>
      <c r="H74" s="41">
        <f>SUMIFS(RawDataKWh[일사합_kWh_m2],RawDataKWh[연월],$A74,RawDataKWh[지역명],H$3)</f>
        <v/>
      </c>
      <c r="I74" s="41">
        <f>SUMIFS(RawDataKWh[일사합_kWh_m2],RawDataKWh[연월],$A74,RawDataKWh[지역명],I$3)</f>
        <v/>
      </c>
      <c r="J74" s="41">
        <f>SUMIFS(RawDataKWh[일사합_kWh_m2],RawDataKWh[연월],$A74,RawDataKWh[지역명],J$3)</f>
        <v/>
      </c>
      <c r="K74" s="41">
        <f>SUMIFS(RawDataKWh[일사합_kWh_m2],RawDataKWh[연월],$A74,RawDataKWh[지역명],K$3)</f>
        <v/>
      </c>
      <c r="L74" s="41">
        <f>AVERAGE(B74:K74)</f>
        <v/>
      </c>
      <c r="N74" s="17">
        <f>$A74</f>
        <v/>
      </c>
      <c r="O74" s="42">
        <f>AVERAGEIFS(RawDataKWh[일평균_일사합_kWh_m2],RawDataKWh[연월],$A74,RawDataKWh[지역명],O$3)</f>
        <v/>
      </c>
      <c r="P74" s="42">
        <f>AVERAGEIFS(RawDataKWh[일평균_일사합_kWh_m2],RawDataKWh[연월],$A74,RawDataKWh[지역명],P$3)</f>
        <v/>
      </c>
      <c r="Q74" s="42">
        <f>AVERAGEIFS(RawDataKWh[일평균_일사합_kWh_m2],RawDataKWh[연월],$A74,RawDataKWh[지역명],Q$3)</f>
        <v/>
      </c>
      <c r="R74" s="42">
        <f>AVERAGEIFS(RawDataKWh[일평균_일사합_kWh_m2],RawDataKWh[연월],$A74,RawDataKWh[지역명],R$3)</f>
        <v/>
      </c>
      <c r="S74" s="42">
        <f>AVERAGEIFS(RawDataKWh[일평균_일사합_kWh_m2],RawDataKWh[연월],$A74,RawDataKWh[지역명],S$3)</f>
        <v/>
      </c>
      <c r="T74" s="42">
        <f>AVERAGEIFS(RawDataKWh[일평균_일사합_kWh_m2],RawDataKWh[연월],$A74,RawDataKWh[지역명],T$3)</f>
        <v/>
      </c>
      <c r="U74" s="42">
        <f>AVERAGEIFS(RawDataKWh[일평균_일사합_kWh_m2],RawDataKWh[연월],$A74,RawDataKWh[지역명],U$3)</f>
        <v/>
      </c>
      <c r="V74" s="42">
        <f>AVERAGEIFS(RawDataKWh[일평균_일사합_kWh_m2],RawDataKWh[연월],$A74,RawDataKWh[지역명],V$3)</f>
        <v/>
      </c>
      <c r="W74" s="42">
        <f>AVERAGEIFS(RawDataKWh[일평균_일사합_kWh_m2],RawDataKWh[연월],$A74,RawDataKWh[지역명],W$3)</f>
        <v/>
      </c>
      <c r="X74" s="42">
        <f>AVERAGEIFS(RawDataKWh[일평균_일사합_kWh_m2],RawDataKWh[연월],$A74,RawDataKWh[지역명],X$3)</f>
        <v/>
      </c>
      <c r="Y74" s="42">
        <f>AVERAGE(O74:X74)</f>
        <v/>
      </c>
    </row>
    <row r="75" ht="16" customHeight="1">
      <c r="A75" s="19" t="inlineStr">
        <is>
          <t>2021-12</t>
        </is>
      </c>
      <c r="B75" s="45">
        <f>SUMIFS(RawDataKWh[일사합_kWh_m2],RawDataKWh[연월],$A75,RawDataKWh[지역명],B$3)</f>
        <v/>
      </c>
      <c r="C75" s="45">
        <f>SUMIFS(RawDataKWh[일사합_kWh_m2],RawDataKWh[연월],$A75,RawDataKWh[지역명],C$3)</f>
        <v/>
      </c>
      <c r="D75" s="45">
        <f>SUMIFS(RawDataKWh[일사합_kWh_m2],RawDataKWh[연월],$A75,RawDataKWh[지역명],D$3)</f>
        <v/>
      </c>
      <c r="E75" s="45">
        <f>SUMIFS(RawDataKWh[일사합_kWh_m2],RawDataKWh[연월],$A75,RawDataKWh[지역명],E$3)</f>
        <v/>
      </c>
      <c r="F75" s="45">
        <f>SUMIFS(RawDataKWh[일사합_kWh_m2],RawDataKWh[연월],$A75,RawDataKWh[지역명],F$3)</f>
        <v/>
      </c>
      <c r="G75" s="45">
        <f>SUMIFS(RawDataKWh[일사합_kWh_m2],RawDataKWh[연월],$A75,RawDataKWh[지역명],G$3)</f>
        <v/>
      </c>
      <c r="H75" s="45">
        <f>SUMIFS(RawDataKWh[일사합_kWh_m2],RawDataKWh[연월],$A75,RawDataKWh[지역명],H$3)</f>
        <v/>
      </c>
      <c r="I75" s="45">
        <f>SUMIFS(RawDataKWh[일사합_kWh_m2],RawDataKWh[연월],$A75,RawDataKWh[지역명],I$3)</f>
        <v/>
      </c>
      <c r="J75" s="45">
        <f>SUMIFS(RawDataKWh[일사합_kWh_m2],RawDataKWh[연월],$A75,RawDataKWh[지역명],J$3)</f>
        <v/>
      </c>
      <c r="K75" s="45">
        <f>SUMIFS(RawDataKWh[일사합_kWh_m2],RawDataKWh[연월],$A75,RawDataKWh[지역명],K$3)</f>
        <v/>
      </c>
      <c r="L75" s="45">
        <f>AVERAGE(B75:K75)</f>
        <v/>
      </c>
      <c r="N75" s="19">
        <f>$A75</f>
        <v/>
      </c>
      <c r="O75" s="46">
        <f>AVERAGEIFS(RawDataKWh[일평균_일사합_kWh_m2],RawDataKWh[연월],$A75,RawDataKWh[지역명],O$3)</f>
        <v/>
      </c>
      <c r="P75" s="46">
        <f>AVERAGEIFS(RawDataKWh[일평균_일사합_kWh_m2],RawDataKWh[연월],$A75,RawDataKWh[지역명],P$3)</f>
        <v/>
      </c>
      <c r="Q75" s="46">
        <f>AVERAGEIFS(RawDataKWh[일평균_일사합_kWh_m2],RawDataKWh[연월],$A75,RawDataKWh[지역명],Q$3)</f>
        <v/>
      </c>
      <c r="R75" s="46">
        <f>AVERAGEIFS(RawDataKWh[일평균_일사합_kWh_m2],RawDataKWh[연월],$A75,RawDataKWh[지역명],R$3)</f>
        <v/>
      </c>
      <c r="S75" s="46">
        <f>AVERAGEIFS(RawDataKWh[일평균_일사합_kWh_m2],RawDataKWh[연월],$A75,RawDataKWh[지역명],S$3)</f>
        <v/>
      </c>
      <c r="T75" s="46">
        <f>AVERAGEIFS(RawDataKWh[일평균_일사합_kWh_m2],RawDataKWh[연월],$A75,RawDataKWh[지역명],T$3)</f>
        <v/>
      </c>
      <c r="U75" s="46">
        <f>AVERAGEIFS(RawDataKWh[일평균_일사합_kWh_m2],RawDataKWh[연월],$A75,RawDataKWh[지역명],U$3)</f>
        <v/>
      </c>
      <c r="V75" s="46">
        <f>AVERAGEIFS(RawDataKWh[일평균_일사합_kWh_m2],RawDataKWh[연월],$A75,RawDataKWh[지역명],V$3)</f>
        <v/>
      </c>
      <c r="W75" s="46">
        <f>AVERAGEIFS(RawDataKWh[일평균_일사합_kWh_m2],RawDataKWh[연월],$A75,RawDataKWh[지역명],W$3)</f>
        <v/>
      </c>
      <c r="X75" s="46">
        <f>AVERAGEIFS(RawDataKWh[일평균_일사합_kWh_m2],RawDataKWh[연월],$A75,RawDataKWh[지역명],X$3)</f>
        <v/>
      </c>
      <c r="Y75" s="46">
        <f>AVERAGE(O75:X75)</f>
        <v/>
      </c>
    </row>
    <row r="76" ht="16" customHeight="1">
      <c r="A76" s="17" t="inlineStr">
        <is>
          <t>2022-01</t>
        </is>
      </c>
      <c r="B76" s="41">
        <f>SUMIFS(RawDataKWh[일사합_kWh_m2],RawDataKWh[연월],$A76,RawDataKWh[지역명],B$3)</f>
        <v/>
      </c>
      <c r="C76" s="41">
        <f>SUMIFS(RawDataKWh[일사합_kWh_m2],RawDataKWh[연월],$A76,RawDataKWh[지역명],C$3)</f>
        <v/>
      </c>
      <c r="D76" s="41">
        <f>SUMIFS(RawDataKWh[일사합_kWh_m2],RawDataKWh[연월],$A76,RawDataKWh[지역명],D$3)</f>
        <v/>
      </c>
      <c r="E76" s="41">
        <f>SUMIFS(RawDataKWh[일사합_kWh_m2],RawDataKWh[연월],$A76,RawDataKWh[지역명],E$3)</f>
        <v/>
      </c>
      <c r="F76" s="41">
        <f>SUMIFS(RawDataKWh[일사합_kWh_m2],RawDataKWh[연월],$A76,RawDataKWh[지역명],F$3)</f>
        <v/>
      </c>
      <c r="G76" s="41">
        <f>SUMIFS(RawDataKWh[일사합_kWh_m2],RawDataKWh[연월],$A76,RawDataKWh[지역명],G$3)</f>
        <v/>
      </c>
      <c r="H76" s="41">
        <f>SUMIFS(RawDataKWh[일사합_kWh_m2],RawDataKWh[연월],$A76,RawDataKWh[지역명],H$3)</f>
        <v/>
      </c>
      <c r="I76" s="41">
        <f>SUMIFS(RawDataKWh[일사합_kWh_m2],RawDataKWh[연월],$A76,RawDataKWh[지역명],I$3)</f>
        <v/>
      </c>
      <c r="J76" s="41">
        <f>SUMIFS(RawDataKWh[일사합_kWh_m2],RawDataKWh[연월],$A76,RawDataKWh[지역명],J$3)</f>
        <v/>
      </c>
      <c r="K76" s="41">
        <f>SUMIFS(RawDataKWh[일사합_kWh_m2],RawDataKWh[연월],$A76,RawDataKWh[지역명],K$3)</f>
        <v/>
      </c>
      <c r="L76" s="41">
        <f>AVERAGE(B76:K76)</f>
        <v/>
      </c>
      <c r="N76" s="17">
        <f>$A76</f>
        <v/>
      </c>
      <c r="O76" s="42">
        <f>AVERAGEIFS(RawDataKWh[일평균_일사합_kWh_m2],RawDataKWh[연월],$A76,RawDataKWh[지역명],O$3)</f>
        <v/>
      </c>
      <c r="P76" s="42">
        <f>AVERAGEIFS(RawDataKWh[일평균_일사합_kWh_m2],RawDataKWh[연월],$A76,RawDataKWh[지역명],P$3)</f>
        <v/>
      </c>
      <c r="Q76" s="42">
        <f>AVERAGEIFS(RawDataKWh[일평균_일사합_kWh_m2],RawDataKWh[연월],$A76,RawDataKWh[지역명],Q$3)</f>
        <v/>
      </c>
      <c r="R76" s="42">
        <f>AVERAGEIFS(RawDataKWh[일평균_일사합_kWh_m2],RawDataKWh[연월],$A76,RawDataKWh[지역명],R$3)</f>
        <v/>
      </c>
      <c r="S76" s="42">
        <f>AVERAGEIFS(RawDataKWh[일평균_일사합_kWh_m2],RawDataKWh[연월],$A76,RawDataKWh[지역명],S$3)</f>
        <v/>
      </c>
      <c r="T76" s="42">
        <f>AVERAGEIFS(RawDataKWh[일평균_일사합_kWh_m2],RawDataKWh[연월],$A76,RawDataKWh[지역명],T$3)</f>
        <v/>
      </c>
      <c r="U76" s="42">
        <f>AVERAGEIFS(RawDataKWh[일평균_일사합_kWh_m2],RawDataKWh[연월],$A76,RawDataKWh[지역명],U$3)</f>
        <v/>
      </c>
      <c r="V76" s="42">
        <f>AVERAGEIFS(RawDataKWh[일평균_일사합_kWh_m2],RawDataKWh[연월],$A76,RawDataKWh[지역명],V$3)</f>
        <v/>
      </c>
      <c r="W76" s="42">
        <f>AVERAGEIFS(RawDataKWh[일평균_일사합_kWh_m2],RawDataKWh[연월],$A76,RawDataKWh[지역명],W$3)</f>
        <v/>
      </c>
      <c r="X76" s="42">
        <f>AVERAGEIFS(RawDataKWh[일평균_일사합_kWh_m2],RawDataKWh[연월],$A76,RawDataKWh[지역명],X$3)</f>
        <v/>
      </c>
      <c r="Y76" s="42">
        <f>AVERAGE(O76:X76)</f>
        <v/>
      </c>
    </row>
    <row r="77" ht="16" customHeight="1">
      <c r="A77" s="19" t="inlineStr">
        <is>
          <t>2022-02</t>
        </is>
      </c>
      <c r="B77" s="45">
        <f>SUMIFS(RawDataKWh[일사합_kWh_m2],RawDataKWh[연월],$A77,RawDataKWh[지역명],B$3)</f>
        <v/>
      </c>
      <c r="C77" s="45">
        <f>SUMIFS(RawDataKWh[일사합_kWh_m2],RawDataKWh[연월],$A77,RawDataKWh[지역명],C$3)</f>
        <v/>
      </c>
      <c r="D77" s="45">
        <f>SUMIFS(RawDataKWh[일사합_kWh_m2],RawDataKWh[연월],$A77,RawDataKWh[지역명],D$3)</f>
        <v/>
      </c>
      <c r="E77" s="45">
        <f>SUMIFS(RawDataKWh[일사합_kWh_m2],RawDataKWh[연월],$A77,RawDataKWh[지역명],E$3)</f>
        <v/>
      </c>
      <c r="F77" s="45">
        <f>SUMIFS(RawDataKWh[일사합_kWh_m2],RawDataKWh[연월],$A77,RawDataKWh[지역명],F$3)</f>
        <v/>
      </c>
      <c r="G77" s="45">
        <f>SUMIFS(RawDataKWh[일사합_kWh_m2],RawDataKWh[연월],$A77,RawDataKWh[지역명],G$3)</f>
        <v/>
      </c>
      <c r="H77" s="45">
        <f>SUMIFS(RawDataKWh[일사합_kWh_m2],RawDataKWh[연월],$A77,RawDataKWh[지역명],H$3)</f>
        <v/>
      </c>
      <c r="I77" s="45">
        <f>SUMIFS(RawDataKWh[일사합_kWh_m2],RawDataKWh[연월],$A77,RawDataKWh[지역명],I$3)</f>
        <v/>
      </c>
      <c r="J77" s="45">
        <f>SUMIFS(RawDataKWh[일사합_kWh_m2],RawDataKWh[연월],$A77,RawDataKWh[지역명],J$3)</f>
        <v/>
      </c>
      <c r="K77" s="45">
        <f>SUMIFS(RawDataKWh[일사합_kWh_m2],RawDataKWh[연월],$A77,RawDataKWh[지역명],K$3)</f>
        <v/>
      </c>
      <c r="L77" s="45">
        <f>AVERAGE(B77:K77)</f>
        <v/>
      </c>
      <c r="N77" s="19">
        <f>$A77</f>
        <v/>
      </c>
      <c r="O77" s="46">
        <f>AVERAGEIFS(RawDataKWh[일평균_일사합_kWh_m2],RawDataKWh[연월],$A77,RawDataKWh[지역명],O$3)</f>
        <v/>
      </c>
      <c r="P77" s="46">
        <f>AVERAGEIFS(RawDataKWh[일평균_일사합_kWh_m2],RawDataKWh[연월],$A77,RawDataKWh[지역명],P$3)</f>
        <v/>
      </c>
      <c r="Q77" s="46">
        <f>AVERAGEIFS(RawDataKWh[일평균_일사합_kWh_m2],RawDataKWh[연월],$A77,RawDataKWh[지역명],Q$3)</f>
        <v/>
      </c>
      <c r="R77" s="46">
        <f>AVERAGEIFS(RawDataKWh[일평균_일사합_kWh_m2],RawDataKWh[연월],$A77,RawDataKWh[지역명],R$3)</f>
        <v/>
      </c>
      <c r="S77" s="46">
        <f>AVERAGEIFS(RawDataKWh[일평균_일사합_kWh_m2],RawDataKWh[연월],$A77,RawDataKWh[지역명],S$3)</f>
        <v/>
      </c>
      <c r="T77" s="46">
        <f>AVERAGEIFS(RawDataKWh[일평균_일사합_kWh_m2],RawDataKWh[연월],$A77,RawDataKWh[지역명],T$3)</f>
        <v/>
      </c>
      <c r="U77" s="46">
        <f>AVERAGEIFS(RawDataKWh[일평균_일사합_kWh_m2],RawDataKWh[연월],$A77,RawDataKWh[지역명],U$3)</f>
        <v/>
      </c>
      <c r="V77" s="46">
        <f>AVERAGEIFS(RawDataKWh[일평균_일사합_kWh_m2],RawDataKWh[연월],$A77,RawDataKWh[지역명],V$3)</f>
        <v/>
      </c>
      <c r="W77" s="46">
        <f>AVERAGEIFS(RawDataKWh[일평균_일사합_kWh_m2],RawDataKWh[연월],$A77,RawDataKWh[지역명],W$3)</f>
        <v/>
      </c>
      <c r="X77" s="46">
        <f>AVERAGEIFS(RawDataKWh[일평균_일사합_kWh_m2],RawDataKWh[연월],$A77,RawDataKWh[지역명],X$3)</f>
        <v/>
      </c>
      <c r="Y77" s="46">
        <f>AVERAGE(O77:X77)</f>
        <v/>
      </c>
    </row>
    <row r="78" ht="16" customHeight="1">
      <c r="A78" s="17" t="inlineStr">
        <is>
          <t>2022-03</t>
        </is>
      </c>
      <c r="B78" s="41">
        <f>SUMIFS(RawDataKWh[일사합_kWh_m2],RawDataKWh[연월],$A78,RawDataKWh[지역명],B$3)</f>
        <v/>
      </c>
      <c r="C78" s="41">
        <f>SUMIFS(RawDataKWh[일사합_kWh_m2],RawDataKWh[연월],$A78,RawDataKWh[지역명],C$3)</f>
        <v/>
      </c>
      <c r="D78" s="41">
        <f>SUMIFS(RawDataKWh[일사합_kWh_m2],RawDataKWh[연월],$A78,RawDataKWh[지역명],D$3)</f>
        <v/>
      </c>
      <c r="E78" s="41">
        <f>SUMIFS(RawDataKWh[일사합_kWh_m2],RawDataKWh[연월],$A78,RawDataKWh[지역명],E$3)</f>
        <v/>
      </c>
      <c r="F78" s="41">
        <f>SUMIFS(RawDataKWh[일사합_kWh_m2],RawDataKWh[연월],$A78,RawDataKWh[지역명],F$3)</f>
        <v/>
      </c>
      <c r="G78" s="41">
        <f>SUMIFS(RawDataKWh[일사합_kWh_m2],RawDataKWh[연월],$A78,RawDataKWh[지역명],G$3)</f>
        <v/>
      </c>
      <c r="H78" s="41">
        <f>SUMIFS(RawDataKWh[일사합_kWh_m2],RawDataKWh[연월],$A78,RawDataKWh[지역명],H$3)</f>
        <v/>
      </c>
      <c r="I78" s="41">
        <f>SUMIFS(RawDataKWh[일사합_kWh_m2],RawDataKWh[연월],$A78,RawDataKWh[지역명],I$3)</f>
        <v/>
      </c>
      <c r="J78" s="41">
        <f>SUMIFS(RawDataKWh[일사합_kWh_m2],RawDataKWh[연월],$A78,RawDataKWh[지역명],J$3)</f>
        <v/>
      </c>
      <c r="K78" s="41">
        <f>SUMIFS(RawDataKWh[일사합_kWh_m2],RawDataKWh[연월],$A78,RawDataKWh[지역명],K$3)</f>
        <v/>
      </c>
      <c r="L78" s="41">
        <f>AVERAGE(B78:K78)</f>
        <v/>
      </c>
      <c r="N78" s="17">
        <f>$A78</f>
        <v/>
      </c>
      <c r="O78" s="42">
        <f>AVERAGEIFS(RawDataKWh[일평균_일사합_kWh_m2],RawDataKWh[연월],$A78,RawDataKWh[지역명],O$3)</f>
        <v/>
      </c>
      <c r="P78" s="42">
        <f>AVERAGEIFS(RawDataKWh[일평균_일사합_kWh_m2],RawDataKWh[연월],$A78,RawDataKWh[지역명],P$3)</f>
        <v/>
      </c>
      <c r="Q78" s="42">
        <f>AVERAGEIFS(RawDataKWh[일평균_일사합_kWh_m2],RawDataKWh[연월],$A78,RawDataKWh[지역명],Q$3)</f>
        <v/>
      </c>
      <c r="R78" s="42">
        <f>AVERAGEIFS(RawDataKWh[일평균_일사합_kWh_m2],RawDataKWh[연월],$A78,RawDataKWh[지역명],R$3)</f>
        <v/>
      </c>
      <c r="S78" s="42">
        <f>AVERAGEIFS(RawDataKWh[일평균_일사합_kWh_m2],RawDataKWh[연월],$A78,RawDataKWh[지역명],S$3)</f>
        <v/>
      </c>
      <c r="T78" s="42">
        <f>AVERAGEIFS(RawDataKWh[일평균_일사합_kWh_m2],RawDataKWh[연월],$A78,RawDataKWh[지역명],T$3)</f>
        <v/>
      </c>
      <c r="U78" s="42">
        <f>AVERAGEIFS(RawDataKWh[일평균_일사합_kWh_m2],RawDataKWh[연월],$A78,RawDataKWh[지역명],U$3)</f>
        <v/>
      </c>
      <c r="V78" s="42">
        <f>AVERAGEIFS(RawDataKWh[일평균_일사합_kWh_m2],RawDataKWh[연월],$A78,RawDataKWh[지역명],V$3)</f>
        <v/>
      </c>
      <c r="W78" s="42">
        <f>AVERAGEIFS(RawDataKWh[일평균_일사합_kWh_m2],RawDataKWh[연월],$A78,RawDataKWh[지역명],W$3)</f>
        <v/>
      </c>
      <c r="X78" s="42">
        <f>AVERAGEIFS(RawDataKWh[일평균_일사합_kWh_m2],RawDataKWh[연월],$A78,RawDataKWh[지역명],X$3)</f>
        <v/>
      </c>
      <c r="Y78" s="42">
        <f>AVERAGE(O78:X78)</f>
        <v/>
      </c>
    </row>
    <row r="79" ht="16" customHeight="1">
      <c r="A79" s="19" t="inlineStr">
        <is>
          <t>2022-04</t>
        </is>
      </c>
      <c r="B79" s="45">
        <f>SUMIFS(RawDataKWh[일사합_kWh_m2],RawDataKWh[연월],$A79,RawDataKWh[지역명],B$3)</f>
        <v/>
      </c>
      <c r="C79" s="45">
        <f>SUMIFS(RawDataKWh[일사합_kWh_m2],RawDataKWh[연월],$A79,RawDataKWh[지역명],C$3)</f>
        <v/>
      </c>
      <c r="D79" s="45">
        <f>SUMIFS(RawDataKWh[일사합_kWh_m2],RawDataKWh[연월],$A79,RawDataKWh[지역명],D$3)</f>
        <v/>
      </c>
      <c r="E79" s="45">
        <f>SUMIFS(RawDataKWh[일사합_kWh_m2],RawDataKWh[연월],$A79,RawDataKWh[지역명],E$3)</f>
        <v/>
      </c>
      <c r="F79" s="45">
        <f>SUMIFS(RawDataKWh[일사합_kWh_m2],RawDataKWh[연월],$A79,RawDataKWh[지역명],F$3)</f>
        <v/>
      </c>
      <c r="G79" s="45">
        <f>SUMIFS(RawDataKWh[일사합_kWh_m2],RawDataKWh[연월],$A79,RawDataKWh[지역명],G$3)</f>
        <v/>
      </c>
      <c r="H79" s="45">
        <f>SUMIFS(RawDataKWh[일사합_kWh_m2],RawDataKWh[연월],$A79,RawDataKWh[지역명],H$3)</f>
        <v/>
      </c>
      <c r="I79" s="45">
        <f>SUMIFS(RawDataKWh[일사합_kWh_m2],RawDataKWh[연월],$A79,RawDataKWh[지역명],I$3)</f>
        <v/>
      </c>
      <c r="J79" s="45">
        <f>SUMIFS(RawDataKWh[일사합_kWh_m2],RawDataKWh[연월],$A79,RawDataKWh[지역명],J$3)</f>
        <v/>
      </c>
      <c r="K79" s="45">
        <f>SUMIFS(RawDataKWh[일사합_kWh_m2],RawDataKWh[연월],$A79,RawDataKWh[지역명],K$3)</f>
        <v/>
      </c>
      <c r="L79" s="45">
        <f>AVERAGE(B79:K79)</f>
        <v/>
      </c>
      <c r="N79" s="19">
        <f>$A79</f>
        <v/>
      </c>
      <c r="O79" s="46">
        <f>AVERAGEIFS(RawDataKWh[일평균_일사합_kWh_m2],RawDataKWh[연월],$A79,RawDataKWh[지역명],O$3)</f>
        <v/>
      </c>
      <c r="P79" s="46">
        <f>AVERAGEIFS(RawDataKWh[일평균_일사합_kWh_m2],RawDataKWh[연월],$A79,RawDataKWh[지역명],P$3)</f>
        <v/>
      </c>
      <c r="Q79" s="46">
        <f>AVERAGEIFS(RawDataKWh[일평균_일사합_kWh_m2],RawDataKWh[연월],$A79,RawDataKWh[지역명],Q$3)</f>
        <v/>
      </c>
      <c r="R79" s="46">
        <f>AVERAGEIFS(RawDataKWh[일평균_일사합_kWh_m2],RawDataKWh[연월],$A79,RawDataKWh[지역명],R$3)</f>
        <v/>
      </c>
      <c r="S79" s="46">
        <f>AVERAGEIFS(RawDataKWh[일평균_일사합_kWh_m2],RawDataKWh[연월],$A79,RawDataKWh[지역명],S$3)</f>
        <v/>
      </c>
      <c r="T79" s="46">
        <f>AVERAGEIFS(RawDataKWh[일평균_일사합_kWh_m2],RawDataKWh[연월],$A79,RawDataKWh[지역명],T$3)</f>
        <v/>
      </c>
      <c r="U79" s="46">
        <f>AVERAGEIFS(RawDataKWh[일평균_일사합_kWh_m2],RawDataKWh[연월],$A79,RawDataKWh[지역명],U$3)</f>
        <v/>
      </c>
      <c r="V79" s="46">
        <f>AVERAGEIFS(RawDataKWh[일평균_일사합_kWh_m2],RawDataKWh[연월],$A79,RawDataKWh[지역명],V$3)</f>
        <v/>
      </c>
      <c r="W79" s="46">
        <f>AVERAGEIFS(RawDataKWh[일평균_일사합_kWh_m2],RawDataKWh[연월],$A79,RawDataKWh[지역명],W$3)</f>
        <v/>
      </c>
      <c r="X79" s="46">
        <f>AVERAGEIFS(RawDataKWh[일평균_일사합_kWh_m2],RawDataKWh[연월],$A79,RawDataKWh[지역명],X$3)</f>
        <v/>
      </c>
      <c r="Y79" s="46">
        <f>AVERAGE(O79:X79)</f>
        <v/>
      </c>
    </row>
    <row r="80" ht="16" customHeight="1">
      <c r="A80" s="17" t="inlineStr">
        <is>
          <t>2022-05</t>
        </is>
      </c>
      <c r="B80" s="41">
        <f>SUMIFS(RawDataKWh[일사합_kWh_m2],RawDataKWh[연월],$A80,RawDataKWh[지역명],B$3)</f>
        <v/>
      </c>
      <c r="C80" s="41">
        <f>SUMIFS(RawDataKWh[일사합_kWh_m2],RawDataKWh[연월],$A80,RawDataKWh[지역명],C$3)</f>
        <v/>
      </c>
      <c r="D80" s="41">
        <f>SUMIFS(RawDataKWh[일사합_kWh_m2],RawDataKWh[연월],$A80,RawDataKWh[지역명],D$3)</f>
        <v/>
      </c>
      <c r="E80" s="41">
        <f>SUMIFS(RawDataKWh[일사합_kWh_m2],RawDataKWh[연월],$A80,RawDataKWh[지역명],E$3)</f>
        <v/>
      </c>
      <c r="F80" s="41">
        <f>SUMIFS(RawDataKWh[일사합_kWh_m2],RawDataKWh[연월],$A80,RawDataKWh[지역명],F$3)</f>
        <v/>
      </c>
      <c r="G80" s="41">
        <f>SUMIFS(RawDataKWh[일사합_kWh_m2],RawDataKWh[연월],$A80,RawDataKWh[지역명],G$3)</f>
        <v/>
      </c>
      <c r="H80" s="41">
        <f>SUMIFS(RawDataKWh[일사합_kWh_m2],RawDataKWh[연월],$A80,RawDataKWh[지역명],H$3)</f>
        <v/>
      </c>
      <c r="I80" s="41">
        <f>SUMIFS(RawDataKWh[일사합_kWh_m2],RawDataKWh[연월],$A80,RawDataKWh[지역명],I$3)</f>
        <v/>
      </c>
      <c r="J80" s="41">
        <f>SUMIFS(RawDataKWh[일사합_kWh_m2],RawDataKWh[연월],$A80,RawDataKWh[지역명],J$3)</f>
        <v/>
      </c>
      <c r="K80" s="41">
        <f>SUMIFS(RawDataKWh[일사합_kWh_m2],RawDataKWh[연월],$A80,RawDataKWh[지역명],K$3)</f>
        <v/>
      </c>
      <c r="L80" s="41">
        <f>AVERAGE(B80:K80)</f>
        <v/>
      </c>
      <c r="N80" s="17">
        <f>$A80</f>
        <v/>
      </c>
      <c r="O80" s="42">
        <f>AVERAGEIFS(RawDataKWh[일평균_일사합_kWh_m2],RawDataKWh[연월],$A80,RawDataKWh[지역명],O$3)</f>
        <v/>
      </c>
      <c r="P80" s="42">
        <f>AVERAGEIFS(RawDataKWh[일평균_일사합_kWh_m2],RawDataKWh[연월],$A80,RawDataKWh[지역명],P$3)</f>
        <v/>
      </c>
      <c r="Q80" s="42">
        <f>AVERAGEIFS(RawDataKWh[일평균_일사합_kWh_m2],RawDataKWh[연월],$A80,RawDataKWh[지역명],Q$3)</f>
        <v/>
      </c>
      <c r="R80" s="42">
        <f>AVERAGEIFS(RawDataKWh[일평균_일사합_kWh_m2],RawDataKWh[연월],$A80,RawDataKWh[지역명],R$3)</f>
        <v/>
      </c>
      <c r="S80" s="42">
        <f>AVERAGEIFS(RawDataKWh[일평균_일사합_kWh_m2],RawDataKWh[연월],$A80,RawDataKWh[지역명],S$3)</f>
        <v/>
      </c>
      <c r="T80" s="42">
        <f>AVERAGEIFS(RawDataKWh[일평균_일사합_kWh_m2],RawDataKWh[연월],$A80,RawDataKWh[지역명],T$3)</f>
        <v/>
      </c>
      <c r="U80" s="42">
        <f>AVERAGEIFS(RawDataKWh[일평균_일사합_kWh_m2],RawDataKWh[연월],$A80,RawDataKWh[지역명],U$3)</f>
        <v/>
      </c>
      <c r="V80" s="42">
        <f>AVERAGEIFS(RawDataKWh[일평균_일사합_kWh_m2],RawDataKWh[연월],$A80,RawDataKWh[지역명],V$3)</f>
        <v/>
      </c>
      <c r="W80" s="42">
        <f>AVERAGEIFS(RawDataKWh[일평균_일사합_kWh_m2],RawDataKWh[연월],$A80,RawDataKWh[지역명],W$3)</f>
        <v/>
      </c>
      <c r="X80" s="42">
        <f>AVERAGEIFS(RawDataKWh[일평균_일사합_kWh_m2],RawDataKWh[연월],$A80,RawDataKWh[지역명],X$3)</f>
        <v/>
      </c>
      <c r="Y80" s="42">
        <f>AVERAGE(O80:X80)</f>
        <v/>
      </c>
    </row>
    <row r="81" ht="16" customHeight="1">
      <c r="A81" s="19" t="inlineStr">
        <is>
          <t>2022-06</t>
        </is>
      </c>
      <c r="B81" s="45">
        <f>SUMIFS(RawDataKWh[일사합_kWh_m2],RawDataKWh[연월],$A81,RawDataKWh[지역명],B$3)</f>
        <v/>
      </c>
      <c r="C81" s="45">
        <f>SUMIFS(RawDataKWh[일사합_kWh_m2],RawDataKWh[연월],$A81,RawDataKWh[지역명],C$3)</f>
        <v/>
      </c>
      <c r="D81" s="45">
        <f>SUMIFS(RawDataKWh[일사합_kWh_m2],RawDataKWh[연월],$A81,RawDataKWh[지역명],D$3)</f>
        <v/>
      </c>
      <c r="E81" s="45">
        <f>SUMIFS(RawDataKWh[일사합_kWh_m2],RawDataKWh[연월],$A81,RawDataKWh[지역명],E$3)</f>
        <v/>
      </c>
      <c r="F81" s="45">
        <f>SUMIFS(RawDataKWh[일사합_kWh_m2],RawDataKWh[연월],$A81,RawDataKWh[지역명],F$3)</f>
        <v/>
      </c>
      <c r="G81" s="45">
        <f>SUMIFS(RawDataKWh[일사합_kWh_m2],RawDataKWh[연월],$A81,RawDataKWh[지역명],G$3)</f>
        <v/>
      </c>
      <c r="H81" s="45">
        <f>SUMIFS(RawDataKWh[일사합_kWh_m2],RawDataKWh[연월],$A81,RawDataKWh[지역명],H$3)</f>
        <v/>
      </c>
      <c r="I81" s="45">
        <f>SUMIFS(RawDataKWh[일사합_kWh_m2],RawDataKWh[연월],$A81,RawDataKWh[지역명],I$3)</f>
        <v/>
      </c>
      <c r="J81" s="45">
        <f>SUMIFS(RawDataKWh[일사합_kWh_m2],RawDataKWh[연월],$A81,RawDataKWh[지역명],J$3)</f>
        <v/>
      </c>
      <c r="K81" s="45">
        <f>SUMIFS(RawDataKWh[일사합_kWh_m2],RawDataKWh[연월],$A81,RawDataKWh[지역명],K$3)</f>
        <v/>
      </c>
      <c r="L81" s="45">
        <f>AVERAGE(B81:K81)</f>
        <v/>
      </c>
      <c r="N81" s="19">
        <f>$A81</f>
        <v/>
      </c>
      <c r="O81" s="46">
        <f>AVERAGEIFS(RawDataKWh[일평균_일사합_kWh_m2],RawDataKWh[연월],$A81,RawDataKWh[지역명],O$3)</f>
        <v/>
      </c>
      <c r="P81" s="46">
        <f>AVERAGEIFS(RawDataKWh[일평균_일사합_kWh_m2],RawDataKWh[연월],$A81,RawDataKWh[지역명],P$3)</f>
        <v/>
      </c>
      <c r="Q81" s="46">
        <f>AVERAGEIFS(RawDataKWh[일평균_일사합_kWh_m2],RawDataKWh[연월],$A81,RawDataKWh[지역명],Q$3)</f>
        <v/>
      </c>
      <c r="R81" s="46">
        <f>AVERAGEIFS(RawDataKWh[일평균_일사합_kWh_m2],RawDataKWh[연월],$A81,RawDataKWh[지역명],R$3)</f>
        <v/>
      </c>
      <c r="S81" s="46">
        <f>AVERAGEIFS(RawDataKWh[일평균_일사합_kWh_m2],RawDataKWh[연월],$A81,RawDataKWh[지역명],S$3)</f>
        <v/>
      </c>
      <c r="T81" s="46">
        <f>AVERAGEIFS(RawDataKWh[일평균_일사합_kWh_m2],RawDataKWh[연월],$A81,RawDataKWh[지역명],T$3)</f>
        <v/>
      </c>
      <c r="U81" s="46">
        <f>AVERAGEIFS(RawDataKWh[일평균_일사합_kWh_m2],RawDataKWh[연월],$A81,RawDataKWh[지역명],U$3)</f>
        <v/>
      </c>
      <c r="V81" s="46">
        <f>AVERAGEIFS(RawDataKWh[일평균_일사합_kWh_m2],RawDataKWh[연월],$A81,RawDataKWh[지역명],V$3)</f>
        <v/>
      </c>
      <c r="W81" s="46">
        <f>AVERAGEIFS(RawDataKWh[일평균_일사합_kWh_m2],RawDataKWh[연월],$A81,RawDataKWh[지역명],W$3)</f>
        <v/>
      </c>
      <c r="X81" s="46">
        <f>AVERAGEIFS(RawDataKWh[일평균_일사합_kWh_m2],RawDataKWh[연월],$A81,RawDataKWh[지역명],X$3)</f>
        <v/>
      </c>
      <c r="Y81" s="46">
        <f>AVERAGE(O81:X81)</f>
        <v/>
      </c>
    </row>
    <row r="82" ht="16" customHeight="1">
      <c r="A82" s="17" t="inlineStr">
        <is>
          <t>2022-07</t>
        </is>
      </c>
      <c r="B82" s="41">
        <f>SUMIFS(RawDataKWh[일사합_kWh_m2],RawDataKWh[연월],$A82,RawDataKWh[지역명],B$3)</f>
        <v/>
      </c>
      <c r="C82" s="41">
        <f>SUMIFS(RawDataKWh[일사합_kWh_m2],RawDataKWh[연월],$A82,RawDataKWh[지역명],C$3)</f>
        <v/>
      </c>
      <c r="D82" s="41">
        <f>SUMIFS(RawDataKWh[일사합_kWh_m2],RawDataKWh[연월],$A82,RawDataKWh[지역명],D$3)</f>
        <v/>
      </c>
      <c r="E82" s="41">
        <f>SUMIFS(RawDataKWh[일사합_kWh_m2],RawDataKWh[연월],$A82,RawDataKWh[지역명],E$3)</f>
        <v/>
      </c>
      <c r="F82" s="41">
        <f>SUMIFS(RawDataKWh[일사합_kWh_m2],RawDataKWh[연월],$A82,RawDataKWh[지역명],F$3)</f>
        <v/>
      </c>
      <c r="G82" s="41">
        <f>SUMIFS(RawDataKWh[일사합_kWh_m2],RawDataKWh[연월],$A82,RawDataKWh[지역명],G$3)</f>
        <v/>
      </c>
      <c r="H82" s="41">
        <f>SUMIFS(RawDataKWh[일사합_kWh_m2],RawDataKWh[연월],$A82,RawDataKWh[지역명],H$3)</f>
        <v/>
      </c>
      <c r="I82" s="41">
        <f>SUMIFS(RawDataKWh[일사합_kWh_m2],RawDataKWh[연월],$A82,RawDataKWh[지역명],I$3)</f>
        <v/>
      </c>
      <c r="J82" s="41">
        <f>SUMIFS(RawDataKWh[일사합_kWh_m2],RawDataKWh[연월],$A82,RawDataKWh[지역명],J$3)</f>
        <v/>
      </c>
      <c r="K82" s="41">
        <f>SUMIFS(RawDataKWh[일사합_kWh_m2],RawDataKWh[연월],$A82,RawDataKWh[지역명],K$3)</f>
        <v/>
      </c>
      <c r="L82" s="41">
        <f>AVERAGE(B82:K82)</f>
        <v/>
      </c>
      <c r="N82" s="17">
        <f>$A82</f>
        <v/>
      </c>
      <c r="O82" s="42">
        <f>AVERAGEIFS(RawDataKWh[일평균_일사합_kWh_m2],RawDataKWh[연월],$A82,RawDataKWh[지역명],O$3)</f>
        <v/>
      </c>
      <c r="P82" s="42">
        <f>AVERAGEIFS(RawDataKWh[일평균_일사합_kWh_m2],RawDataKWh[연월],$A82,RawDataKWh[지역명],P$3)</f>
        <v/>
      </c>
      <c r="Q82" s="42">
        <f>AVERAGEIFS(RawDataKWh[일평균_일사합_kWh_m2],RawDataKWh[연월],$A82,RawDataKWh[지역명],Q$3)</f>
        <v/>
      </c>
      <c r="R82" s="42">
        <f>AVERAGEIFS(RawDataKWh[일평균_일사합_kWh_m2],RawDataKWh[연월],$A82,RawDataKWh[지역명],R$3)</f>
        <v/>
      </c>
      <c r="S82" s="42">
        <f>AVERAGEIFS(RawDataKWh[일평균_일사합_kWh_m2],RawDataKWh[연월],$A82,RawDataKWh[지역명],S$3)</f>
        <v/>
      </c>
      <c r="T82" s="42">
        <f>AVERAGEIFS(RawDataKWh[일평균_일사합_kWh_m2],RawDataKWh[연월],$A82,RawDataKWh[지역명],T$3)</f>
        <v/>
      </c>
      <c r="U82" s="42">
        <f>AVERAGEIFS(RawDataKWh[일평균_일사합_kWh_m2],RawDataKWh[연월],$A82,RawDataKWh[지역명],U$3)</f>
        <v/>
      </c>
      <c r="V82" s="42">
        <f>AVERAGEIFS(RawDataKWh[일평균_일사합_kWh_m2],RawDataKWh[연월],$A82,RawDataKWh[지역명],V$3)</f>
        <v/>
      </c>
      <c r="W82" s="42">
        <f>AVERAGEIFS(RawDataKWh[일평균_일사합_kWh_m2],RawDataKWh[연월],$A82,RawDataKWh[지역명],W$3)</f>
        <v/>
      </c>
      <c r="X82" s="42">
        <f>AVERAGEIFS(RawDataKWh[일평균_일사합_kWh_m2],RawDataKWh[연월],$A82,RawDataKWh[지역명],X$3)</f>
        <v/>
      </c>
      <c r="Y82" s="42">
        <f>AVERAGE(O82:X82)</f>
        <v/>
      </c>
    </row>
    <row r="83" ht="16" customHeight="1">
      <c r="A83" s="19" t="inlineStr">
        <is>
          <t>2022-08</t>
        </is>
      </c>
      <c r="B83" s="45">
        <f>SUMIFS(RawDataKWh[일사합_kWh_m2],RawDataKWh[연월],$A83,RawDataKWh[지역명],B$3)</f>
        <v/>
      </c>
      <c r="C83" s="45">
        <f>SUMIFS(RawDataKWh[일사합_kWh_m2],RawDataKWh[연월],$A83,RawDataKWh[지역명],C$3)</f>
        <v/>
      </c>
      <c r="D83" s="45">
        <f>SUMIFS(RawDataKWh[일사합_kWh_m2],RawDataKWh[연월],$A83,RawDataKWh[지역명],D$3)</f>
        <v/>
      </c>
      <c r="E83" s="45">
        <f>SUMIFS(RawDataKWh[일사합_kWh_m2],RawDataKWh[연월],$A83,RawDataKWh[지역명],E$3)</f>
        <v/>
      </c>
      <c r="F83" s="45">
        <f>SUMIFS(RawDataKWh[일사합_kWh_m2],RawDataKWh[연월],$A83,RawDataKWh[지역명],F$3)</f>
        <v/>
      </c>
      <c r="G83" s="45">
        <f>SUMIFS(RawDataKWh[일사합_kWh_m2],RawDataKWh[연월],$A83,RawDataKWh[지역명],G$3)</f>
        <v/>
      </c>
      <c r="H83" s="45">
        <f>SUMIFS(RawDataKWh[일사합_kWh_m2],RawDataKWh[연월],$A83,RawDataKWh[지역명],H$3)</f>
        <v/>
      </c>
      <c r="I83" s="45">
        <f>SUMIFS(RawDataKWh[일사합_kWh_m2],RawDataKWh[연월],$A83,RawDataKWh[지역명],I$3)</f>
        <v/>
      </c>
      <c r="J83" s="45">
        <f>SUMIFS(RawDataKWh[일사합_kWh_m2],RawDataKWh[연월],$A83,RawDataKWh[지역명],J$3)</f>
        <v/>
      </c>
      <c r="K83" s="45">
        <f>SUMIFS(RawDataKWh[일사합_kWh_m2],RawDataKWh[연월],$A83,RawDataKWh[지역명],K$3)</f>
        <v/>
      </c>
      <c r="L83" s="45">
        <f>AVERAGE(B83:K83)</f>
        <v/>
      </c>
      <c r="N83" s="19">
        <f>$A83</f>
        <v/>
      </c>
      <c r="O83" s="46">
        <f>AVERAGEIFS(RawDataKWh[일평균_일사합_kWh_m2],RawDataKWh[연월],$A83,RawDataKWh[지역명],O$3)</f>
        <v/>
      </c>
      <c r="P83" s="46">
        <f>AVERAGEIFS(RawDataKWh[일평균_일사합_kWh_m2],RawDataKWh[연월],$A83,RawDataKWh[지역명],P$3)</f>
        <v/>
      </c>
      <c r="Q83" s="46">
        <f>AVERAGEIFS(RawDataKWh[일평균_일사합_kWh_m2],RawDataKWh[연월],$A83,RawDataKWh[지역명],Q$3)</f>
        <v/>
      </c>
      <c r="R83" s="46">
        <f>AVERAGEIFS(RawDataKWh[일평균_일사합_kWh_m2],RawDataKWh[연월],$A83,RawDataKWh[지역명],R$3)</f>
        <v/>
      </c>
      <c r="S83" s="46">
        <f>AVERAGEIFS(RawDataKWh[일평균_일사합_kWh_m2],RawDataKWh[연월],$A83,RawDataKWh[지역명],S$3)</f>
        <v/>
      </c>
      <c r="T83" s="46">
        <f>AVERAGEIFS(RawDataKWh[일평균_일사합_kWh_m2],RawDataKWh[연월],$A83,RawDataKWh[지역명],T$3)</f>
        <v/>
      </c>
      <c r="U83" s="46">
        <f>AVERAGEIFS(RawDataKWh[일평균_일사합_kWh_m2],RawDataKWh[연월],$A83,RawDataKWh[지역명],U$3)</f>
        <v/>
      </c>
      <c r="V83" s="46">
        <f>AVERAGEIFS(RawDataKWh[일평균_일사합_kWh_m2],RawDataKWh[연월],$A83,RawDataKWh[지역명],V$3)</f>
        <v/>
      </c>
      <c r="W83" s="46">
        <f>AVERAGEIFS(RawDataKWh[일평균_일사합_kWh_m2],RawDataKWh[연월],$A83,RawDataKWh[지역명],W$3)</f>
        <v/>
      </c>
      <c r="X83" s="46">
        <f>AVERAGEIFS(RawDataKWh[일평균_일사합_kWh_m2],RawDataKWh[연월],$A83,RawDataKWh[지역명],X$3)</f>
        <v/>
      </c>
      <c r="Y83" s="46">
        <f>AVERAGE(O83:X83)</f>
        <v/>
      </c>
    </row>
    <row r="84" ht="16" customHeight="1">
      <c r="A84" s="17" t="inlineStr">
        <is>
          <t>2022-09</t>
        </is>
      </c>
      <c r="B84" s="41">
        <f>SUMIFS(RawDataKWh[일사합_kWh_m2],RawDataKWh[연월],$A84,RawDataKWh[지역명],B$3)</f>
        <v/>
      </c>
      <c r="C84" s="41">
        <f>SUMIFS(RawDataKWh[일사합_kWh_m2],RawDataKWh[연월],$A84,RawDataKWh[지역명],C$3)</f>
        <v/>
      </c>
      <c r="D84" s="41">
        <f>SUMIFS(RawDataKWh[일사합_kWh_m2],RawDataKWh[연월],$A84,RawDataKWh[지역명],D$3)</f>
        <v/>
      </c>
      <c r="E84" s="41">
        <f>SUMIFS(RawDataKWh[일사합_kWh_m2],RawDataKWh[연월],$A84,RawDataKWh[지역명],E$3)</f>
        <v/>
      </c>
      <c r="F84" s="41">
        <f>SUMIFS(RawDataKWh[일사합_kWh_m2],RawDataKWh[연월],$A84,RawDataKWh[지역명],F$3)</f>
        <v/>
      </c>
      <c r="G84" s="41">
        <f>SUMIFS(RawDataKWh[일사합_kWh_m2],RawDataKWh[연월],$A84,RawDataKWh[지역명],G$3)</f>
        <v/>
      </c>
      <c r="H84" s="41">
        <f>SUMIFS(RawDataKWh[일사합_kWh_m2],RawDataKWh[연월],$A84,RawDataKWh[지역명],H$3)</f>
        <v/>
      </c>
      <c r="I84" s="41">
        <f>SUMIFS(RawDataKWh[일사합_kWh_m2],RawDataKWh[연월],$A84,RawDataKWh[지역명],I$3)</f>
        <v/>
      </c>
      <c r="J84" s="41">
        <f>SUMIFS(RawDataKWh[일사합_kWh_m2],RawDataKWh[연월],$A84,RawDataKWh[지역명],J$3)</f>
        <v/>
      </c>
      <c r="K84" s="41">
        <f>SUMIFS(RawDataKWh[일사합_kWh_m2],RawDataKWh[연월],$A84,RawDataKWh[지역명],K$3)</f>
        <v/>
      </c>
      <c r="L84" s="41">
        <f>AVERAGE(B84:K84)</f>
        <v/>
      </c>
      <c r="N84" s="17">
        <f>$A84</f>
        <v/>
      </c>
      <c r="O84" s="42">
        <f>AVERAGEIFS(RawDataKWh[일평균_일사합_kWh_m2],RawDataKWh[연월],$A84,RawDataKWh[지역명],O$3)</f>
        <v/>
      </c>
      <c r="P84" s="42">
        <f>AVERAGEIFS(RawDataKWh[일평균_일사합_kWh_m2],RawDataKWh[연월],$A84,RawDataKWh[지역명],P$3)</f>
        <v/>
      </c>
      <c r="Q84" s="42">
        <f>AVERAGEIFS(RawDataKWh[일평균_일사합_kWh_m2],RawDataKWh[연월],$A84,RawDataKWh[지역명],Q$3)</f>
        <v/>
      </c>
      <c r="R84" s="42">
        <f>AVERAGEIFS(RawDataKWh[일평균_일사합_kWh_m2],RawDataKWh[연월],$A84,RawDataKWh[지역명],R$3)</f>
        <v/>
      </c>
      <c r="S84" s="42">
        <f>AVERAGEIFS(RawDataKWh[일평균_일사합_kWh_m2],RawDataKWh[연월],$A84,RawDataKWh[지역명],S$3)</f>
        <v/>
      </c>
      <c r="T84" s="42">
        <f>AVERAGEIFS(RawDataKWh[일평균_일사합_kWh_m2],RawDataKWh[연월],$A84,RawDataKWh[지역명],T$3)</f>
        <v/>
      </c>
      <c r="U84" s="42">
        <f>AVERAGEIFS(RawDataKWh[일평균_일사합_kWh_m2],RawDataKWh[연월],$A84,RawDataKWh[지역명],U$3)</f>
        <v/>
      </c>
      <c r="V84" s="42">
        <f>AVERAGEIFS(RawDataKWh[일평균_일사합_kWh_m2],RawDataKWh[연월],$A84,RawDataKWh[지역명],V$3)</f>
        <v/>
      </c>
      <c r="W84" s="42">
        <f>AVERAGEIFS(RawDataKWh[일평균_일사합_kWh_m2],RawDataKWh[연월],$A84,RawDataKWh[지역명],W$3)</f>
        <v/>
      </c>
      <c r="X84" s="42">
        <f>AVERAGEIFS(RawDataKWh[일평균_일사합_kWh_m2],RawDataKWh[연월],$A84,RawDataKWh[지역명],X$3)</f>
        <v/>
      </c>
      <c r="Y84" s="42">
        <f>AVERAGE(O84:X84)</f>
        <v/>
      </c>
    </row>
    <row r="85" ht="16" customHeight="1">
      <c r="A85" s="19" t="inlineStr">
        <is>
          <t>2022-10</t>
        </is>
      </c>
      <c r="B85" s="45">
        <f>SUMIFS(RawDataKWh[일사합_kWh_m2],RawDataKWh[연월],$A85,RawDataKWh[지역명],B$3)</f>
        <v/>
      </c>
      <c r="C85" s="45">
        <f>SUMIFS(RawDataKWh[일사합_kWh_m2],RawDataKWh[연월],$A85,RawDataKWh[지역명],C$3)</f>
        <v/>
      </c>
      <c r="D85" s="45">
        <f>SUMIFS(RawDataKWh[일사합_kWh_m2],RawDataKWh[연월],$A85,RawDataKWh[지역명],D$3)</f>
        <v/>
      </c>
      <c r="E85" s="45">
        <f>SUMIFS(RawDataKWh[일사합_kWh_m2],RawDataKWh[연월],$A85,RawDataKWh[지역명],E$3)</f>
        <v/>
      </c>
      <c r="F85" s="45">
        <f>SUMIFS(RawDataKWh[일사합_kWh_m2],RawDataKWh[연월],$A85,RawDataKWh[지역명],F$3)</f>
        <v/>
      </c>
      <c r="G85" s="45">
        <f>SUMIFS(RawDataKWh[일사합_kWh_m2],RawDataKWh[연월],$A85,RawDataKWh[지역명],G$3)</f>
        <v/>
      </c>
      <c r="H85" s="45">
        <f>SUMIFS(RawDataKWh[일사합_kWh_m2],RawDataKWh[연월],$A85,RawDataKWh[지역명],H$3)</f>
        <v/>
      </c>
      <c r="I85" s="45">
        <f>SUMIFS(RawDataKWh[일사합_kWh_m2],RawDataKWh[연월],$A85,RawDataKWh[지역명],I$3)</f>
        <v/>
      </c>
      <c r="J85" s="45">
        <f>SUMIFS(RawDataKWh[일사합_kWh_m2],RawDataKWh[연월],$A85,RawDataKWh[지역명],J$3)</f>
        <v/>
      </c>
      <c r="K85" s="45">
        <f>SUMIFS(RawDataKWh[일사합_kWh_m2],RawDataKWh[연월],$A85,RawDataKWh[지역명],K$3)</f>
        <v/>
      </c>
      <c r="L85" s="45">
        <f>AVERAGE(B85:K85)</f>
        <v/>
      </c>
      <c r="N85" s="19">
        <f>$A85</f>
        <v/>
      </c>
      <c r="O85" s="46">
        <f>AVERAGEIFS(RawDataKWh[일평균_일사합_kWh_m2],RawDataKWh[연월],$A85,RawDataKWh[지역명],O$3)</f>
        <v/>
      </c>
      <c r="P85" s="46">
        <f>AVERAGEIFS(RawDataKWh[일평균_일사합_kWh_m2],RawDataKWh[연월],$A85,RawDataKWh[지역명],P$3)</f>
        <v/>
      </c>
      <c r="Q85" s="46">
        <f>AVERAGEIFS(RawDataKWh[일평균_일사합_kWh_m2],RawDataKWh[연월],$A85,RawDataKWh[지역명],Q$3)</f>
        <v/>
      </c>
      <c r="R85" s="46">
        <f>AVERAGEIFS(RawDataKWh[일평균_일사합_kWh_m2],RawDataKWh[연월],$A85,RawDataKWh[지역명],R$3)</f>
        <v/>
      </c>
      <c r="S85" s="46">
        <f>AVERAGEIFS(RawDataKWh[일평균_일사합_kWh_m2],RawDataKWh[연월],$A85,RawDataKWh[지역명],S$3)</f>
        <v/>
      </c>
      <c r="T85" s="46">
        <f>AVERAGEIFS(RawDataKWh[일평균_일사합_kWh_m2],RawDataKWh[연월],$A85,RawDataKWh[지역명],T$3)</f>
        <v/>
      </c>
      <c r="U85" s="46">
        <f>AVERAGEIFS(RawDataKWh[일평균_일사합_kWh_m2],RawDataKWh[연월],$A85,RawDataKWh[지역명],U$3)</f>
        <v/>
      </c>
      <c r="V85" s="46">
        <f>AVERAGEIFS(RawDataKWh[일평균_일사합_kWh_m2],RawDataKWh[연월],$A85,RawDataKWh[지역명],V$3)</f>
        <v/>
      </c>
      <c r="W85" s="46">
        <f>AVERAGEIFS(RawDataKWh[일평균_일사합_kWh_m2],RawDataKWh[연월],$A85,RawDataKWh[지역명],W$3)</f>
        <v/>
      </c>
      <c r="X85" s="46">
        <f>AVERAGEIFS(RawDataKWh[일평균_일사합_kWh_m2],RawDataKWh[연월],$A85,RawDataKWh[지역명],X$3)</f>
        <v/>
      </c>
      <c r="Y85" s="46">
        <f>AVERAGE(O85:X85)</f>
        <v/>
      </c>
    </row>
    <row r="86" ht="16" customHeight="1">
      <c r="A86" s="17" t="inlineStr">
        <is>
          <t>2022-11</t>
        </is>
      </c>
      <c r="B86" s="41">
        <f>SUMIFS(RawDataKWh[일사합_kWh_m2],RawDataKWh[연월],$A86,RawDataKWh[지역명],B$3)</f>
        <v/>
      </c>
      <c r="C86" s="41">
        <f>SUMIFS(RawDataKWh[일사합_kWh_m2],RawDataKWh[연월],$A86,RawDataKWh[지역명],C$3)</f>
        <v/>
      </c>
      <c r="D86" s="41">
        <f>SUMIFS(RawDataKWh[일사합_kWh_m2],RawDataKWh[연월],$A86,RawDataKWh[지역명],D$3)</f>
        <v/>
      </c>
      <c r="E86" s="41">
        <f>SUMIFS(RawDataKWh[일사합_kWh_m2],RawDataKWh[연월],$A86,RawDataKWh[지역명],E$3)</f>
        <v/>
      </c>
      <c r="F86" s="41">
        <f>SUMIFS(RawDataKWh[일사합_kWh_m2],RawDataKWh[연월],$A86,RawDataKWh[지역명],F$3)</f>
        <v/>
      </c>
      <c r="G86" s="41">
        <f>SUMIFS(RawDataKWh[일사합_kWh_m2],RawDataKWh[연월],$A86,RawDataKWh[지역명],G$3)</f>
        <v/>
      </c>
      <c r="H86" s="41">
        <f>SUMIFS(RawDataKWh[일사합_kWh_m2],RawDataKWh[연월],$A86,RawDataKWh[지역명],H$3)</f>
        <v/>
      </c>
      <c r="I86" s="41">
        <f>SUMIFS(RawDataKWh[일사합_kWh_m2],RawDataKWh[연월],$A86,RawDataKWh[지역명],I$3)</f>
        <v/>
      </c>
      <c r="J86" s="41">
        <f>SUMIFS(RawDataKWh[일사합_kWh_m2],RawDataKWh[연월],$A86,RawDataKWh[지역명],J$3)</f>
        <v/>
      </c>
      <c r="K86" s="41">
        <f>SUMIFS(RawDataKWh[일사합_kWh_m2],RawDataKWh[연월],$A86,RawDataKWh[지역명],K$3)</f>
        <v/>
      </c>
      <c r="L86" s="41">
        <f>AVERAGE(B86:K86)</f>
        <v/>
      </c>
      <c r="N86" s="17">
        <f>$A86</f>
        <v/>
      </c>
      <c r="O86" s="42">
        <f>AVERAGEIFS(RawDataKWh[일평균_일사합_kWh_m2],RawDataKWh[연월],$A86,RawDataKWh[지역명],O$3)</f>
        <v/>
      </c>
      <c r="P86" s="42">
        <f>AVERAGEIFS(RawDataKWh[일평균_일사합_kWh_m2],RawDataKWh[연월],$A86,RawDataKWh[지역명],P$3)</f>
        <v/>
      </c>
      <c r="Q86" s="42">
        <f>AVERAGEIFS(RawDataKWh[일평균_일사합_kWh_m2],RawDataKWh[연월],$A86,RawDataKWh[지역명],Q$3)</f>
        <v/>
      </c>
      <c r="R86" s="42">
        <f>AVERAGEIFS(RawDataKWh[일평균_일사합_kWh_m2],RawDataKWh[연월],$A86,RawDataKWh[지역명],R$3)</f>
        <v/>
      </c>
      <c r="S86" s="42">
        <f>AVERAGEIFS(RawDataKWh[일평균_일사합_kWh_m2],RawDataKWh[연월],$A86,RawDataKWh[지역명],S$3)</f>
        <v/>
      </c>
      <c r="T86" s="42">
        <f>AVERAGEIFS(RawDataKWh[일평균_일사합_kWh_m2],RawDataKWh[연월],$A86,RawDataKWh[지역명],T$3)</f>
        <v/>
      </c>
      <c r="U86" s="42">
        <f>AVERAGEIFS(RawDataKWh[일평균_일사합_kWh_m2],RawDataKWh[연월],$A86,RawDataKWh[지역명],U$3)</f>
        <v/>
      </c>
      <c r="V86" s="42">
        <f>AVERAGEIFS(RawDataKWh[일평균_일사합_kWh_m2],RawDataKWh[연월],$A86,RawDataKWh[지역명],V$3)</f>
        <v/>
      </c>
      <c r="W86" s="42">
        <f>AVERAGEIFS(RawDataKWh[일평균_일사합_kWh_m2],RawDataKWh[연월],$A86,RawDataKWh[지역명],W$3)</f>
        <v/>
      </c>
      <c r="X86" s="42">
        <f>AVERAGEIFS(RawDataKWh[일평균_일사합_kWh_m2],RawDataKWh[연월],$A86,RawDataKWh[지역명],X$3)</f>
        <v/>
      </c>
      <c r="Y86" s="42">
        <f>AVERAGE(O86:X86)</f>
        <v/>
      </c>
    </row>
    <row r="87" ht="16" customHeight="1">
      <c r="A87" s="19" t="inlineStr">
        <is>
          <t>2022-12</t>
        </is>
      </c>
      <c r="B87" s="45">
        <f>SUMIFS(RawDataKWh[일사합_kWh_m2],RawDataKWh[연월],$A87,RawDataKWh[지역명],B$3)</f>
        <v/>
      </c>
      <c r="C87" s="45">
        <f>SUMIFS(RawDataKWh[일사합_kWh_m2],RawDataKWh[연월],$A87,RawDataKWh[지역명],C$3)</f>
        <v/>
      </c>
      <c r="D87" s="45">
        <f>SUMIFS(RawDataKWh[일사합_kWh_m2],RawDataKWh[연월],$A87,RawDataKWh[지역명],D$3)</f>
        <v/>
      </c>
      <c r="E87" s="45">
        <f>SUMIFS(RawDataKWh[일사합_kWh_m2],RawDataKWh[연월],$A87,RawDataKWh[지역명],E$3)</f>
        <v/>
      </c>
      <c r="F87" s="45">
        <f>SUMIFS(RawDataKWh[일사합_kWh_m2],RawDataKWh[연월],$A87,RawDataKWh[지역명],F$3)</f>
        <v/>
      </c>
      <c r="G87" s="45">
        <f>SUMIFS(RawDataKWh[일사합_kWh_m2],RawDataKWh[연월],$A87,RawDataKWh[지역명],G$3)</f>
        <v/>
      </c>
      <c r="H87" s="45">
        <f>SUMIFS(RawDataKWh[일사합_kWh_m2],RawDataKWh[연월],$A87,RawDataKWh[지역명],H$3)</f>
        <v/>
      </c>
      <c r="I87" s="45">
        <f>SUMIFS(RawDataKWh[일사합_kWh_m2],RawDataKWh[연월],$A87,RawDataKWh[지역명],I$3)</f>
        <v/>
      </c>
      <c r="J87" s="45">
        <f>SUMIFS(RawDataKWh[일사합_kWh_m2],RawDataKWh[연월],$A87,RawDataKWh[지역명],J$3)</f>
        <v/>
      </c>
      <c r="K87" s="45">
        <f>SUMIFS(RawDataKWh[일사합_kWh_m2],RawDataKWh[연월],$A87,RawDataKWh[지역명],K$3)</f>
        <v/>
      </c>
      <c r="L87" s="45">
        <f>AVERAGE(B87:K87)</f>
        <v/>
      </c>
      <c r="N87" s="19">
        <f>$A87</f>
        <v/>
      </c>
      <c r="O87" s="46">
        <f>AVERAGEIFS(RawDataKWh[일평균_일사합_kWh_m2],RawDataKWh[연월],$A87,RawDataKWh[지역명],O$3)</f>
        <v/>
      </c>
      <c r="P87" s="46">
        <f>AVERAGEIFS(RawDataKWh[일평균_일사합_kWh_m2],RawDataKWh[연월],$A87,RawDataKWh[지역명],P$3)</f>
        <v/>
      </c>
      <c r="Q87" s="46">
        <f>AVERAGEIFS(RawDataKWh[일평균_일사합_kWh_m2],RawDataKWh[연월],$A87,RawDataKWh[지역명],Q$3)</f>
        <v/>
      </c>
      <c r="R87" s="46">
        <f>AVERAGEIFS(RawDataKWh[일평균_일사합_kWh_m2],RawDataKWh[연월],$A87,RawDataKWh[지역명],R$3)</f>
        <v/>
      </c>
      <c r="S87" s="46">
        <f>AVERAGEIFS(RawDataKWh[일평균_일사합_kWh_m2],RawDataKWh[연월],$A87,RawDataKWh[지역명],S$3)</f>
        <v/>
      </c>
      <c r="T87" s="46">
        <f>AVERAGEIFS(RawDataKWh[일평균_일사합_kWh_m2],RawDataKWh[연월],$A87,RawDataKWh[지역명],T$3)</f>
        <v/>
      </c>
      <c r="U87" s="46">
        <f>AVERAGEIFS(RawDataKWh[일평균_일사합_kWh_m2],RawDataKWh[연월],$A87,RawDataKWh[지역명],U$3)</f>
        <v/>
      </c>
      <c r="V87" s="46">
        <f>AVERAGEIFS(RawDataKWh[일평균_일사합_kWh_m2],RawDataKWh[연월],$A87,RawDataKWh[지역명],V$3)</f>
        <v/>
      </c>
      <c r="W87" s="46">
        <f>AVERAGEIFS(RawDataKWh[일평균_일사합_kWh_m2],RawDataKWh[연월],$A87,RawDataKWh[지역명],W$3)</f>
        <v/>
      </c>
      <c r="X87" s="46">
        <f>AVERAGEIFS(RawDataKWh[일평균_일사합_kWh_m2],RawDataKWh[연월],$A87,RawDataKWh[지역명],X$3)</f>
        <v/>
      </c>
      <c r="Y87" s="46">
        <f>AVERAGE(O87:X87)</f>
        <v/>
      </c>
    </row>
    <row r="88" ht="16" customHeight="1">
      <c r="A88" s="17" t="inlineStr">
        <is>
          <t>2023-01</t>
        </is>
      </c>
      <c r="B88" s="41">
        <f>SUMIFS(RawDataKWh[일사합_kWh_m2],RawDataKWh[연월],$A88,RawDataKWh[지역명],B$3)</f>
        <v/>
      </c>
      <c r="C88" s="41">
        <f>SUMIFS(RawDataKWh[일사합_kWh_m2],RawDataKWh[연월],$A88,RawDataKWh[지역명],C$3)</f>
        <v/>
      </c>
      <c r="D88" s="41">
        <f>SUMIFS(RawDataKWh[일사합_kWh_m2],RawDataKWh[연월],$A88,RawDataKWh[지역명],D$3)</f>
        <v/>
      </c>
      <c r="E88" s="41">
        <f>SUMIFS(RawDataKWh[일사합_kWh_m2],RawDataKWh[연월],$A88,RawDataKWh[지역명],E$3)</f>
        <v/>
      </c>
      <c r="F88" s="41">
        <f>SUMIFS(RawDataKWh[일사합_kWh_m2],RawDataKWh[연월],$A88,RawDataKWh[지역명],F$3)</f>
        <v/>
      </c>
      <c r="G88" s="41">
        <f>SUMIFS(RawDataKWh[일사합_kWh_m2],RawDataKWh[연월],$A88,RawDataKWh[지역명],G$3)</f>
        <v/>
      </c>
      <c r="H88" s="41">
        <f>SUMIFS(RawDataKWh[일사합_kWh_m2],RawDataKWh[연월],$A88,RawDataKWh[지역명],H$3)</f>
        <v/>
      </c>
      <c r="I88" s="41">
        <f>SUMIFS(RawDataKWh[일사합_kWh_m2],RawDataKWh[연월],$A88,RawDataKWh[지역명],I$3)</f>
        <v/>
      </c>
      <c r="J88" s="41">
        <f>SUMIFS(RawDataKWh[일사합_kWh_m2],RawDataKWh[연월],$A88,RawDataKWh[지역명],J$3)</f>
        <v/>
      </c>
      <c r="K88" s="41">
        <f>SUMIFS(RawDataKWh[일사합_kWh_m2],RawDataKWh[연월],$A88,RawDataKWh[지역명],K$3)</f>
        <v/>
      </c>
      <c r="L88" s="41">
        <f>AVERAGE(B88:K88)</f>
        <v/>
      </c>
      <c r="N88" s="17">
        <f>$A88</f>
        <v/>
      </c>
      <c r="O88" s="42">
        <f>AVERAGEIFS(RawDataKWh[일평균_일사합_kWh_m2],RawDataKWh[연월],$A88,RawDataKWh[지역명],O$3)</f>
        <v/>
      </c>
      <c r="P88" s="42">
        <f>AVERAGEIFS(RawDataKWh[일평균_일사합_kWh_m2],RawDataKWh[연월],$A88,RawDataKWh[지역명],P$3)</f>
        <v/>
      </c>
      <c r="Q88" s="42">
        <f>AVERAGEIFS(RawDataKWh[일평균_일사합_kWh_m2],RawDataKWh[연월],$A88,RawDataKWh[지역명],Q$3)</f>
        <v/>
      </c>
      <c r="R88" s="42">
        <f>AVERAGEIFS(RawDataKWh[일평균_일사합_kWh_m2],RawDataKWh[연월],$A88,RawDataKWh[지역명],R$3)</f>
        <v/>
      </c>
      <c r="S88" s="42">
        <f>AVERAGEIFS(RawDataKWh[일평균_일사합_kWh_m2],RawDataKWh[연월],$A88,RawDataKWh[지역명],S$3)</f>
        <v/>
      </c>
      <c r="T88" s="42">
        <f>AVERAGEIFS(RawDataKWh[일평균_일사합_kWh_m2],RawDataKWh[연월],$A88,RawDataKWh[지역명],T$3)</f>
        <v/>
      </c>
      <c r="U88" s="42">
        <f>AVERAGEIFS(RawDataKWh[일평균_일사합_kWh_m2],RawDataKWh[연월],$A88,RawDataKWh[지역명],U$3)</f>
        <v/>
      </c>
      <c r="V88" s="42">
        <f>AVERAGEIFS(RawDataKWh[일평균_일사합_kWh_m2],RawDataKWh[연월],$A88,RawDataKWh[지역명],V$3)</f>
        <v/>
      </c>
      <c r="W88" s="42">
        <f>AVERAGEIFS(RawDataKWh[일평균_일사합_kWh_m2],RawDataKWh[연월],$A88,RawDataKWh[지역명],W$3)</f>
        <v/>
      </c>
      <c r="X88" s="42">
        <f>AVERAGEIFS(RawDataKWh[일평균_일사합_kWh_m2],RawDataKWh[연월],$A88,RawDataKWh[지역명],X$3)</f>
        <v/>
      </c>
      <c r="Y88" s="42">
        <f>AVERAGE(O88:X88)</f>
        <v/>
      </c>
    </row>
    <row r="89" ht="16" customHeight="1">
      <c r="A89" s="19" t="inlineStr">
        <is>
          <t>2023-02</t>
        </is>
      </c>
      <c r="B89" s="45">
        <f>SUMIFS(RawDataKWh[일사합_kWh_m2],RawDataKWh[연월],$A89,RawDataKWh[지역명],B$3)</f>
        <v/>
      </c>
      <c r="C89" s="45">
        <f>SUMIFS(RawDataKWh[일사합_kWh_m2],RawDataKWh[연월],$A89,RawDataKWh[지역명],C$3)</f>
        <v/>
      </c>
      <c r="D89" s="45">
        <f>SUMIFS(RawDataKWh[일사합_kWh_m2],RawDataKWh[연월],$A89,RawDataKWh[지역명],D$3)</f>
        <v/>
      </c>
      <c r="E89" s="45">
        <f>SUMIFS(RawDataKWh[일사합_kWh_m2],RawDataKWh[연월],$A89,RawDataKWh[지역명],E$3)</f>
        <v/>
      </c>
      <c r="F89" s="45">
        <f>SUMIFS(RawDataKWh[일사합_kWh_m2],RawDataKWh[연월],$A89,RawDataKWh[지역명],F$3)</f>
        <v/>
      </c>
      <c r="G89" s="45">
        <f>SUMIFS(RawDataKWh[일사합_kWh_m2],RawDataKWh[연월],$A89,RawDataKWh[지역명],G$3)</f>
        <v/>
      </c>
      <c r="H89" s="45">
        <f>SUMIFS(RawDataKWh[일사합_kWh_m2],RawDataKWh[연월],$A89,RawDataKWh[지역명],H$3)</f>
        <v/>
      </c>
      <c r="I89" s="45">
        <f>SUMIFS(RawDataKWh[일사합_kWh_m2],RawDataKWh[연월],$A89,RawDataKWh[지역명],I$3)</f>
        <v/>
      </c>
      <c r="J89" s="45">
        <f>SUMIFS(RawDataKWh[일사합_kWh_m2],RawDataKWh[연월],$A89,RawDataKWh[지역명],J$3)</f>
        <v/>
      </c>
      <c r="K89" s="45">
        <f>SUMIFS(RawDataKWh[일사합_kWh_m2],RawDataKWh[연월],$A89,RawDataKWh[지역명],K$3)</f>
        <v/>
      </c>
      <c r="L89" s="45">
        <f>AVERAGE(B89:K89)</f>
        <v/>
      </c>
      <c r="N89" s="19">
        <f>$A89</f>
        <v/>
      </c>
      <c r="O89" s="46">
        <f>AVERAGEIFS(RawDataKWh[일평균_일사합_kWh_m2],RawDataKWh[연월],$A89,RawDataKWh[지역명],O$3)</f>
        <v/>
      </c>
      <c r="P89" s="46">
        <f>AVERAGEIFS(RawDataKWh[일평균_일사합_kWh_m2],RawDataKWh[연월],$A89,RawDataKWh[지역명],P$3)</f>
        <v/>
      </c>
      <c r="Q89" s="46">
        <f>AVERAGEIFS(RawDataKWh[일평균_일사합_kWh_m2],RawDataKWh[연월],$A89,RawDataKWh[지역명],Q$3)</f>
        <v/>
      </c>
      <c r="R89" s="46">
        <f>AVERAGEIFS(RawDataKWh[일평균_일사합_kWh_m2],RawDataKWh[연월],$A89,RawDataKWh[지역명],R$3)</f>
        <v/>
      </c>
      <c r="S89" s="46">
        <f>AVERAGEIFS(RawDataKWh[일평균_일사합_kWh_m2],RawDataKWh[연월],$A89,RawDataKWh[지역명],S$3)</f>
        <v/>
      </c>
      <c r="T89" s="46">
        <f>AVERAGEIFS(RawDataKWh[일평균_일사합_kWh_m2],RawDataKWh[연월],$A89,RawDataKWh[지역명],T$3)</f>
        <v/>
      </c>
      <c r="U89" s="46">
        <f>AVERAGEIFS(RawDataKWh[일평균_일사합_kWh_m2],RawDataKWh[연월],$A89,RawDataKWh[지역명],U$3)</f>
        <v/>
      </c>
      <c r="V89" s="46">
        <f>AVERAGEIFS(RawDataKWh[일평균_일사합_kWh_m2],RawDataKWh[연월],$A89,RawDataKWh[지역명],V$3)</f>
        <v/>
      </c>
      <c r="W89" s="46">
        <f>AVERAGEIFS(RawDataKWh[일평균_일사합_kWh_m2],RawDataKWh[연월],$A89,RawDataKWh[지역명],W$3)</f>
        <v/>
      </c>
      <c r="X89" s="46">
        <f>AVERAGEIFS(RawDataKWh[일평균_일사합_kWh_m2],RawDataKWh[연월],$A89,RawDataKWh[지역명],X$3)</f>
        <v/>
      </c>
      <c r="Y89" s="46">
        <f>AVERAGE(O89:X89)</f>
        <v/>
      </c>
    </row>
    <row r="90" ht="16" customHeight="1">
      <c r="A90" s="17" t="inlineStr">
        <is>
          <t>2023-03</t>
        </is>
      </c>
      <c r="B90" s="41">
        <f>SUMIFS(RawDataKWh[일사합_kWh_m2],RawDataKWh[연월],$A90,RawDataKWh[지역명],B$3)</f>
        <v/>
      </c>
      <c r="C90" s="41">
        <f>SUMIFS(RawDataKWh[일사합_kWh_m2],RawDataKWh[연월],$A90,RawDataKWh[지역명],C$3)</f>
        <v/>
      </c>
      <c r="D90" s="41">
        <f>SUMIFS(RawDataKWh[일사합_kWh_m2],RawDataKWh[연월],$A90,RawDataKWh[지역명],D$3)</f>
        <v/>
      </c>
      <c r="E90" s="41">
        <f>SUMIFS(RawDataKWh[일사합_kWh_m2],RawDataKWh[연월],$A90,RawDataKWh[지역명],E$3)</f>
        <v/>
      </c>
      <c r="F90" s="41">
        <f>SUMIFS(RawDataKWh[일사합_kWh_m2],RawDataKWh[연월],$A90,RawDataKWh[지역명],F$3)</f>
        <v/>
      </c>
      <c r="G90" s="41">
        <f>SUMIFS(RawDataKWh[일사합_kWh_m2],RawDataKWh[연월],$A90,RawDataKWh[지역명],G$3)</f>
        <v/>
      </c>
      <c r="H90" s="41">
        <f>SUMIFS(RawDataKWh[일사합_kWh_m2],RawDataKWh[연월],$A90,RawDataKWh[지역명],H$3)</f>
        <v/>
      </c>
      <c r="I90" s="41">
        <f>SUMIFS(RawDataKWh[일사합_kWh_m2],RawDataKWh[연월],$A90,RawDataKWh[지역명],I$3)</f>
        <v/>
      </c>
      <c r="J90" s="41">
        <f>SUMIFS(RawDataKWh[일사합_kWh_m2],RawDataKWh[연월],$A90,RawDataKWh[지역명],J$3)</f>
        <v/>
      </c>
      <c r="K90" s="41">
        <f>SUMIFS(RawDataKWh[일사합_kWh_m2],RawDataKWh[연월],$A90,RawDataKWh[지역명],K$3)</f>
        <v/>
      </c>
      <c r="L90" s="41">
        <f>AVERAGE(B90:K90)</f>
        <v/>
      </c>
      <c r="N90" s="17">
        <f>$A90</f>
        <v/>
      </c>
      <c r="O90" s="42">
        <f>AVERAGEIFS(RawDataKWh[일평균_일사합_kWh_m2],RawDataKWh[연월],$A90,RawDataKWh[지역명],O$3)</f>
        <v/>
      </c>
      <c r="P90" s="42">
        <f>AVERAGEIFS(RawDataKWh[일평균_일사합_kWh_m2],RawDataKWh[연월],$A90,RawDataKWh[지역명],P$3)</f>
        <v/>
      </c>
      <c r="Q90" s="42">
        <f>AVERAGEIFS(RawDataKWh[일평균_일사합_kWh_m2],RawDataKWh[연월],$A90,RawDataKWh[지역명],Q$3)</f>
        <v/>
      </c>
      <c r="R90" s="42">
        <f>AVERAGEIFS(RawDataKWh[일평균_일사합_kWh_m2],RawDataKWh[연월],$A90,RawDataKWh[지역명],R$3)</f>
        <v/>
      </c>
      <c r="S90" s="42">
        <f>AVERAGEIFS(RawDataKWh[일평균_일사합_kWh_m2],RawDataKWh[연월],$A90,RawDataKWh[지역명],S$3)</f>
        <v/>
      </c>
      <c r="T90" s="42">
        <f>AVERAGEIFS(RawDataKWh[일평균_일사합_kWh_m2],RawDataKWh[연월],$A90,RawDataKWh[지역명],T$3)</f>
        <v/>
      </c>
      <c r="U90" s="42">
        <f>AVERAGEIFS(RawDataKWh[일평균_일사합_kWh_m2],RawDataKWh[연월],$A90,RawDataKWh[지역명],U$3)</f>
        <v/>
      </c>
      <c r="V90" s="42">
        <f>AVERAGEIFS(RawDataKWh[일평균_일사합_kWh_m2],RawDataKWh[연월],$A90,RawDataKWh[지역명],V$3)</f>
        <v/>
      </c>
      <c r="W90" s="42">
        <f>AVERAGEIFS(RawDataKWh[일평균_일사합_kWh_m2],RawDataKWh[연월],$A90,RawDataKWh[지역명],W$3)</f>
        <v/>
      </c>
      <c r="X90" s="42">
        <f>AVERAGEIFS(RawDataKWh[일평균_일사합_kWh_m2],RawDataKWh[연월],$A90,RawDataKWh[지역명],X$3)</f>
        <v/>
      </c>
      <c r="Y90" s="42">
        <f>AVERAGE(O90:X90)</f>
        <v/>
      </c>
    </row>
    <row r="91" ht="16" customHeight="1">
      <c r="A91" s="19" t="inlineStr">
        <is>
          <t>2023-04</t>
        </is>
      </c>
      <c r="B91" s="45">
        <f>SUMIFS(RawDataKWh[일사합_kWh_m2],RawDataKWh[연월],$A91,RawDataKWh[지역명],B$3)</f>
        <v/>
      </c>
      <c r="C91" s="45">
        <f>SUMIFS(RawDataKWh[일사합_kWh_m2],RawDataKWh[연월],$A91,RawDataKWh[지역명],C$3)</f>
        <v/>
      </c>
      <c r="D91" s="45">
        <f>SUMIFS(RawDataKWh[일사합_kWh_m2],RawDataKWh[연월],$A91,RawDataKWh[지역명],D$3)</f>
        <v/>
      </c>
      <c r="E91" s="45">
        <f>SUMIFS(RawDataKWh[일사합_kWh_m2],RawDataKWh[연월],$A91,RawDataKWh[지역명],E$3)</f>
        <v/>
      </c>
      <c r="F91" s="45">
        <f>SUMIFS(RawDataKWh[일사합_kWh_m2],RawDataKWh[연월],$A91,RawDataKWh[지역명],F$3)</f>
        <v/>
      </c>
      <c r="G91" s="45">
        <f>SUMIFS(RawDataKWh[일사합_kWh_m2],RawDataKWh[연월],$A91,RawDataKWh[지역명],G$3)</f>
        <v/>
      </c>
      <c r="H91" s="45">
        <f>SUMIFS(RawDataKWh[일사합_kWh_m2],RawDataKWh[연월],$A91,RawDataKWh[지역명],H$3)</f>
        <v/>
      </c>
      <c r="I91" s="45">
        <f>SUMIFS(RawDataKWh[일사합_kWh_m2],RawDataKWh[연월],$A91,RawDataKWh[지역명],I$3)</f>
        <v/>
      </c>
      <c r="J91" s="45">
        <f>SUMIFS(RawDataKWh[일사합_kWh_m2],RawDataKWh[연월],$A91,RawDataKWh[지역명],J$3)</f>
        <v/>
      </c>
      <c r="K91" s="45">
        <f>SUMIFS(RawDataKWh[일사합_kWh_m2],RawDataKWh[연월],$A91,RawDataKWh[지역명],K$3)</f>
        <v/>
      </c>
      <c r="L91" s="45">
        <f>AVERAGE(B91:K91)</f>
        <v/>
      </c>
      <c r="N91" s="19">
        <f>$A91</f>
        <v/>
      </c>
      <c r="O91" s="46">
        <f>AVERAGEIFS(RawDataKWh[일평균_일사합_kWh_m2],RawDataKWh[연월],$A91,RawDataKWh[지역명],O$3)</f>
        <v/>
      </c>
      <c r="P91" s="46">
        <f>AVERAGEIFS(RawDataKWh[일평균_일사합_kWh_m2],RawDataKWh[연월],$A91,RawDataKWh[지역명],P$3)</f>
        <v/>
      </c>
      <c r="Q91" s="46">
        <f>AVERAGEIFS(RawDataKWh[일평균_일사합_kWh_m2],RawDataKWh[연월],$A91,RawDataKWh[지역명],Q$3)</f>
        <v/>
      </c>
      <c r="R91" s="46">
        <f>AVERAGEIFS(RawDataKWh[일평균_일사합_kWh_m2],RawDataKWh[연월],$A91,RawDataKWh[지역명],R$3)</f>
        <v/>
      </c>
      <c r="S91" s="46">
        <f>AVERAGEIFS(RawDataKWh[일평균_일사합_kWh_m2],RawDataKWh[연월],$A91,RawDataKWh[지역명],S$3)</f>
        <v/>
      </c>
      <c r="T91" s="46">
        <f>AVERAGEIFS(RawDataKWh[일평균_일사합_kWh_m2],RawDataKWh[연월],$A91,RawDataKWh[지역명],T$3)</f>
        <v/>
      </c>
      <c r="U91" s="46">
        <f>AVERAGEIFS(RawDataKWh[일평균_일사합_kWh_m2],RawDataKWh[연월],$A91,RawDataKWh[지역명],U$3)</f>
        <v/>
      </c>
      <c r="V91" s="46">
        <f>AVERAGEIFS(RawDataKWh[일평균_일사합_kWh_m2],RawDataKWh[연월],$A91,RawDataKWh[지역명],V$3)</f>
        <v/>
      </c>
      <c r="W91" s="46">
        <f>AVERAGEIFS(RawDataKWh[일평균_일사합_kWh_m2],RawDataKWh[연월],$A91,RawDataKWh[지역명],W$3)</f>
        <v/>
      </c>
      <c r="X91" s="46">
        <f>AVERAGEIFS(RawDataKWh[일평균_일사합_kWh_m2],RawDataKWh[연월],$A91,RawDataKWh[지역명],X$3)</f>
        <v/>
      </c>
      <c r="Y91" s="46">
        <f>AVERAGE(O91:X91)</f>
        <v/>
      </c>
    </row>
    <row r="92" ht="16" customHeight="1">
      <c r="A92" s="17" t="inlineStr">
        <is>
          <t>2023-05</t>
        </is>
      </c>
      <c r="B92" s="41">
        <f>SUMIFS(RawDataKWh[일사합_kWh_m2],RawDataKWh[연월],$A92,RawDataKWh[지역명],B$3)</f>
        <v/>
      </c>
      <c r="C92" s="41">
        <f>SUMIFS(RawDataKWh[일사합_kWh_m2],RawDataKWh[연월],$A92,RawDataKWh[지역명],C$3)</f>
        <v/>
      </c>
      <c r="D92" s="41">
        <f>SUMIFS(RawDataKWh[일사합_kWh_m2],RawDataKWh[연월],$A92,RawDataKWh[지역명],D$3)</f>
        <v/>
      </c>
      <c r="E92" s="41">
        <f>SUMIFS(RawDataKWh[일사합_kWh_m2],RawDataKWh[연월],$A92,RawDataKWh[지역명],E$3)</f>
        <v/>
      </c>
      <c r="F92" s="41">
        <f>SUMIFS(RawDataKWh[일사합_kWh_m2],RawDataKWh[연월],$A92,RawDataKWh[지역명],F$3)</f>
        <v/>
      </c>
      <c r="G92" s="41">
        <f>SUMIFS(RawDataKWh[일사합_kWh_m2],RawDataKWh[연월],$A92,RawDataKWh[지역명],G$3)</f>
        <v/>
      </c>
      <c r="H92" s="41">
        <f>SUMIFS(RawDataKWh[일사합_kWh_m2],RawDataKWh[연월],$A92,RawDataKWh[지역명],H$3)</f>
        <v/>
      </c>
      <c r="I92" s="41">
        <f>SUMIFS(RawDataKWh[일사합_kWh_m2],RawDataKWh[연월],$A92,RawDataKWh[지역명],I$3)</f>
        <v/>
      </c>
      <c r="J92" s="41">
        <f>SUMIFS(RawDataKWh[일사합_kWh_m2],RawDataKWh[연월],$A92,RawDataKWh[지역명],J$3)</f>
        <v/>
      </c>
      <c r="K92" s="41">
        <f>SUMIFS(RawDataKWh[일사합_kWh_m2],RawDataKWh[연월],$A92,RawDataKWh[지역명],K$3)</f>
        <v/>
      </c>
      <c r="L92" s="41">
        <f>AVERAGE(B92:K92)</f>
        <v/>
      </c>
      <c r="N92" s="17">
        <f>$A92</f>
        <v/>
      </c>
      <c r="O92" s="42">
        <f>AVERAGEIFS(RawDataKWh[일평균_일사합_kWh_m2],RawDataKWh[연월],$A92,RawDataKWh[지역명],O$3)</f>
        <v/>
      </c>
      <c r="P92" s="42">
        <f>AVERAGEIFS(RawDataKWh[일평균_일사합_kWh_m2],RawDataKWh[연월],$A92,RawDataKWh[지역명],P$3)</f>
        <v/>
      </c>
      <c r="Q92" s="42">
        <f>AVERAGEIFS(RawDataKWh[일평균_일사합_kWh_m2],RawDataKWh[연월],$A92,RawDataKWh[지역명],Q$3)</f>
        <v/>
      </c>
      <c r="R92" s="42">
        <f>AVERAGEIFS(RawDataKWh[일평균_일사합_kWh_m2],RawDataKWh[연월],$A92,RawDataKWh[지역명],R$3)</f>
        <v/>
      </c>
      <c r="S92" s="42">
        <f>AVERAGEIFS(RawDataKWh[일평균_일사합_kWh_m2],RawDataKWh[연월],$A92,RawDataKWh[지역명],S$3)</f>
        <v/>
      </c>
      <c r="T92" s="42">
        <f>AVERAGEIFS(RawDataKWh[일평균_일사합_kWh_m2],RawDataKWh[연월],$A92,RawDataKWh[지역명],T$3)</f>
        <v/>
      </c>
      <c r="U92" s="42">
        <f>AVERAGEIFS(RawDataKWh[일평균_일사합_kWh_m2],RawDataKWh[연월],$A92,RawDataKWh[지역명],U$3)</f>
        <v/>
      </c>
      <c r="V92" s="42">
        <f>AVERAGEIFS(RawDataKWh[일평균_일사합_kWh_m2],RawDataKWh[연월],$A92,RawDataKWh[지역명],V$3)</f>
        <v/>
      </c>
      <c r="W92" s="42">
        <f>AVERAGEIFS(RawDataKWh[일평균_일사합_kWh_m2],RawDataKWh[연월],$A92,RawDataKWh[지역명],W$3)</f>
        <v/>
      </c>
      <c r="X92" s="42">
        <f>AVERAGEIFS(RawDataKWh[일평균_일사합_kWh_m2],RawDataKWh[연월],$A92,RawDataKWh[지역명],X$3)</f>
        <v/>
      </c>
      <c r="Y92" s="42">
        <f>AVERAGE(O92:X92)</f>
        <v/>
      </c>
    </row>
    <row r="93" ht="16" customHeight="1">
      <c r="A93" s="19" t="inlineStr">
        <is>
          <t>2023-06</t>
        </is>
      </c>
      <c r="B93" s="45">
        <f>SUMIFS(RawDataKWh[일사합_kWh_m2],RawDataKWh[연월],$A93,RawDataKWh[지역명],B$3)</f>
        <v/>
      </c>
      <c r="C93" s="45">
        <f>SUMIFS(RawDataKWh[일사합_kWh_m2],RawDataKWh[연월],$A93,RawDataKWh[지역명],C$3)</f>
        <v/>
      </c>
      <c r="D93" s="45">
        <f>SUMIFS(RawDataKWh[일사합_kWh_m2],RawDataKWh[연월],$A93,RawDataKWh[지역명],D$3)</f>
        <v/>
      </c>
      <c r="E93" s="45">
        <f>SUMIFS(RawDataKWh[일사합_kWh_m2],RawDataKWh[연월],$A93,RawDataKWh[지역명],E$3)</f>
        <v/>
      </c>
      <c r="F93" s="45">
        <f>SUMIFS(RawDataKWh[일사합_kWh_m2],RawDataKWh[연월],$A93,RawDataKWh[지역명],F$3)</f>
        <v/>
      </c>
      <c r="G93" s="45">
        <f>SUMIFS(RawDataKWh[일사합_kWh_m2],RawDataKWh[연월],$A93,RawDataKWh[지역명],G$3)</f>
        <v/>
      </c>
      <c r="H93" s="45">
        <f>SUMIFS(RawDataKWh[일사합_kWh_m2],RawDataKWh[연월],$A93,RawDataKWh[지역명],H$3)</f>
        <v/>
      </c>
      <c r="I93" s="45">
        <f>SUMIFS(RawDataKWh[일사합_kWh_m2],RawDataKWh[연월],$A93,RawDataKWh[지역명],I$3)</f>
        <v/>
      </c>
      <c r="J93" s="45">
        <f>SUMIFS(RawDataKWh[일사합_kWh_m2],RawDataKWh[연월],$A93,RawDataKWh[지역명],J$3)</f>
        <v/>
      </c>
      <c r="K93" s="45">
        <f>SUMIFS(RawDataKWh[일사합_kWh_m2],RawDataKWh[연월],$A93,RawDataKWh[지역명],K$3)</f>
        <v/>
      </c>
      <c r="L93" s="45">
        <f>AVERAGE(B93:K93)</f>
        <v/>
      </c>
      <c r="N93" s="19">
        <f>$A93</f>
        <v/>
      </c>
      <c r="O93" s="46">
        <f>AVERAGEIFS(RawDataKWh[일평균_일사합_kWh_m2],RawDataKWh[연월],$A93,RawDataKWh[지역명],O$3)</f>
        <v/>
      </c>
      <c r="P93" s="46">
        <f>AVERAGEIFS(RawDataKWh[일평균_일사합_kWh_m2],RawDataKWh[연월],$A93,RawDataKWh[지역명],P$3)</f>
        <v/>
      </c>
      <c r="Q93" s="46">
        <f>AVERAGEIFS(RawDataKWh[일평균_일사합_kWh_m2],RawDataKWh[연월],$A93,RawDataKWh[지역명],Q$3)</f>
        <v/>
      </c>
      <c r="R93" s="46">
        <f>AVERAGEIFS(RawDataKWh[일평균_일사합_kWh_m2],RawDataKWh[연월],$A93,RawDataKWh[지역명],R$3)</f>
        <v/>
      </c>
      <c r="S93" s="46">
        <f>AVERAGEIFS(RawDataKWh[일평균_일사합_kWh_m2],RawDataKWh[연월],$A93,RawDataKWh[지역명],S$3)</f>
        <v/>
      </c>
      <c r="T93" s="46">
        <f>AVERAGEIFS(RawDataKWh[일평균_일사합_kWh_m2],RawDataKWh[연월],$A93,RawDataKWh[지역명],T$3)</f>
        <v/>
      </c>
      <c r="U93" s="46">
        <f>AVERAGEIFS(RawDataKWh[일평균_일사합_kWh_m2],RawDataKWh[연월],$A93,RawDataKWh[지역명],U$3)</f>
        <v/>
      </c>
      <c r="V93" s="46">
        <f>AVERAGEIFS(RawDataKWh[일평균_일사합_kWh_m2],RawDataKWh[연월],$A93,RawDataKWh[지역명],V$3)</f>
        <v/>
      </c>
      <c r="W93" s="46">
        <f>AVERAGEIFS(RawDataKWh[일평균_일사합_kWh_m2],RawDataKWh[연월],$A93,RawDataKWh[지역명],W$3)</f>
        <v/>
      </c>
      <c r="X93" s="46">
        <f>AVERAGEIFS(RawDataKWh[일평균_일사합_kWh_m2],RawDataKWh[연월],$A93,RawDataKWh[지역명],X$3)</f>
        <v/>
      </c>
      <c r="Y93" s="46">
        <f>AVERAGE(O93:X93)</f>
        <v/>
      </c>
    </row>
    <row r="94" ht="16" customHeight="1">
      <c r="A94" s="17" t="inlineStr">
        <is>
          <t>2023-07</t>
        </is>
      </c>
      <c r="B94" s="41">
        <f>SUMIFS(RawDataKWh[일사합_kWh_m2],RawDataKWh[연월],$A94,RawDataKWh[지역명],B$3)</f>
        <v/>
      </c>
      <c r="C94" s="41">
        <f>SUMIFS(RawDataKWh[일사합_kWh_m2],RawDataKWh[연월],$A94,RawDataKWh[지역명],C$3)</f>
        <v/>
      </c>
      <c r="D94" s="41">
        <f>SUMIFS(RawDataKWh[일사합_kWh_m2],RawDataKWh[연월],$A94,RawDataKWh[지역명],D$3)</f>
        <v/>
      </c>
      <c r="E94" s="41">
        <f>SUMIFS(RawDataKWh[일사합_kWh_m2],RawDataKWh[연월],$A94,RawDataKWh[지역명],E$3)</f>
        <v/>
      </c>
      <c r="F94" s="41">
        <f>SUMIFS(RawDataKWh[일사합_kWh_m2],RawDataKWh[연월],$A94,RawDataKWh[지역명],F$3)</f>
        <v/>
      </c>
      <c r="G94" s="41">
        <f>SUMIFS(RawDataKWh[일사합_kWh_m2],RawDataKWh[연월],$A94,RawDataKWh[지역명],G$3)</f>
        <v/>
      </c>
      <c r="H94" s="41">
        <f>SUMIFS(RawDataKWh[일사합_kWh_m2],RawDataKWh[연월],$A94,RawDataKWh[지역명],H$3)</f>
        <v/>
      </c>
      <c r="I94" s="41">
        <f>SUMIFS(RawDataKWh[일사합_kWh_m2],RawDataKWh[연월],$A94,RawDataKWh[지역명],I$3)</f>
        <v/>
      </c>
      <c r="J94" s="41">
        <f>SUMIFS(RawDataKWh[일사합_kWh_m2],RawDataKWh[연월],$A94,RawDataKWh[지역명],J$3)</f>
        <v/>
      </c>
      <c r="K94" s="41">
        <f>SUMIFS(RawDataKWh[일사합_kWh_m2],RawDataKWh[연월],$A94,RawDataKWh[지역명],K$3)</f>
        <v/>
      </c>
      <c r="L94" s="41">
        <f>AVERAGE(B94:K94)</f>
        <v/>
      </c>
      <c r="N94" s="17">
        <f>$A94</f>
        <v/>
      </c>
      <c r="O94" s="42">
        <f>AVERAGEIFS(RawDataKWh[일평균_일사합_kWh_m2],RawDataKWh[연월],$A94,RawDataKWh[지역명],O$3)</f>
        <v/>
      </c>
      <c r="P94" s="42">
        <f>AVERAGEIFS(RawDataKWh[일평균_일사합_kWh_m2],RawDataKWh[연월],$A94,RawDataKWh[지역명],P$3)</f>
        <v/>
      </c>
      <c r="Q94" s="42">
        <f>AVERAGEIFS(RawDataKWh[일평균_일사합_kWh_m2],RawDataKWh[연월],$A94,RawDataKWh[지역명],Q$3)</f>
        <v/>
      </c>
      <c r="R94" s="42">
        <f>AVERAGEIFS(RawDataKWh[일평균_일사합_kWh_m2],RawDataKWh[연월],$A94,RawDataKWh[지역명],R$3)</f>
        <v/>
      </c>
      <c r="S94" s="42">
        <f>AVERAGEIFS(RawDataKWh[일평균_일사합_kWh_m2],RawDataKWh[연월],$A94,RawDataKWh[지역명],S$3)</f>
        <v/>
      </c>
      <c r="T94" s="42">
        <f>AVERAGEIFS(RawDataKWh[일평균_일사합_kWh_m2],RawDataKWh[연월],$A94,RawDataKWh[지역명],T$3)</f>
        <v/>
      </c>
      <c r="U94" s="42">
        <f>AVERAGEIFS(RawDataKWh[일평균_일사합_kWh_m2],RawDataKWh[연월],$A94,RawDataKWh[지역명],U$3)</f>
        <v/>
      </c>
      <c r="V94" s="42">
        <f>AVERAGEIFS(RawDataKWh[일평균_일사합_kWh_m2],RawDataKWh[연월],$A94,RawDataKWh[지역명],V$3)</f>
        <v/>
      </c>
      <c r="W94" s="42">
        <f>AVERAGEIFS(RawDataKWh[일평균_일사합_kWh_m2],RawDataKWh[연월],$A94,RawDataKWh[지역명],W$3)</f>
        <v/>
      </c>
      <c r="X94" s="42">
        <f>AVERAGEIFS(RawDataKWh[일평균_일사합_kWh_m2],RawDataKWh[연월],$A94,RawDataKWh[지역명],X$3)</f>
        <v/>
      </c>
      <c r="Y94" s="42">
        <f>AVERAGE(O94:X94)</f>
        <v/>
      </c>
    </row>
    <row r="95" ht="16" customHeight="1">
      <c r="A95" s="19" t="inlineStr">
        <is>
          <t>2023-08</t>
        </is>
      </c>
      <c r="B95" s="45">
        <f>SUMIFS(RawDataKWh[일사합_kWh_m2],RawDataKWh[연월],$A95,RawDataKWh[지역명],B$3)</f>
        <v/>
      </c>
      <c r="C95" s="45">
        <f>SUMIFS(RawDataKWh[일사합_kWh_m2],RawDataKWh[연월],$A95,RawDataKWh[지역명],C$3)</f>
        <v/>
      </c>
      <c r="D95" s="45">
        <f>SUMIFS(RawDataKWh[일사합_kWh_m2],RawDataKWh[연월],$A95,RawDataKWh[지역명],D$3)</f>
        <v/>
      </c>
      <c r="E95" s="45">
        <f>SUMIFS(RawDataKWh[일사합_kWh_m2],RawDataKWh[연월],$A95,RawDataKWh[지역명],E$3)</f>
        <v/>
      </c>
      <c r="F95" s="45">
        <f>SUMIFS(RawDataKWh[일사합_kWh_m2],RawDataKWh[연월],$A95,RawDataKWh[지역명],F$3)</f>
        <v/>
      </c>
      <c r="G95" s="45">
        <f>SUMIFS(RawDataKWh[일사합_kWh_m2],RawDataKWh[연월],$A95,RawDataKWh[지역명],G$3)</f>
        <v/>
      </c>
      <c r="H95" s="45">
        <f>SUMIFS(RawDataKWh[일사합_kWh_m2],RawDataKWh[연월],$A95,RawDataKWh[지역명],H$3)</f>
        <v/>
      </c>
      <c r="I95" s="45">
        <f>SUMIFS(RawDataKWh[일사합_kWh_m2],RawDataKWh[연월],$A95,RawDataKWh[지역명],I$3)</f>
        <v/>
      </c>
      <c r="J95" s="45">
        <f>SUMIFS(RawDataKWh[일사합_kWh_m2],RawDataKWh[연월],$A95,RawDataKWh[지역명],J$3)</f>
        <v/>
      </c>
      <c r="K95" s="45">
        <f>SUMIFS(RawDataKWh[일사합_kWh_m2],RawDataKWh[연월],$A95,RawDataKWh[지역명],K$3)</f>
        <v/>
      </c>
      <c r="L95" s="45">
        <f>AVERAGE(B95:K95)</f>
        <v/>
      </c>
      <c r="N95" s="19">
        <f>$A95</f>
        <v/>
      </c>
      <c r="O95" s="46">
        <f>AVERAGEIFS(RawDataKWh[일평균_일사합_kWh_m2],RawDataKWh[연월],$A95,RawDataKWh[지역명],O$3)</f>
        <v/>
      </c>
      <c r="P95" s="46">
        <f>AVERAGEIFS(RawDataKWh[일평균_일사합_kWh_m2],RawDataKWh[연월],$A95,RawDataKWh[지역명],P$3)</f>
        <v/>
      </c>
      <c r="Q95" s="46">
        <f>AVERAGEIFS(RawDataKWh[일평균_일사합_kWh_m2],RawDataKWh[연월],$A95,RawDataKWh[지역명],Q$3)</f>
        <v/>
      </c>
      <c r="R95" s="46">
        <f>AVERAGEIFS(RawDataKWh[일평균_일사합_kWh_m2],RawDataKWh[연월],$A95,RawDataKWh[지역명],R$3)</f>
        <v/>
      </c>
      <c r="S95" s="46">
        <f>AVERAGEIFS(RawDataKWh[일평균_일사합_kWh_m2],RawDataKWh[연월],$A95,RawDataKWh[지역명],S$3)</f>
        <v/>
      </c>
      <c r="T95" s="46">
        <f>AVERAGEIFS(RawDataKWh[일평균_일사합_kWh_m2],RawDataKWh[연월],$A95,RawDataKWh[지역명],T$3)</f>
        <v/>
      </c>
      <c r="U95" s="46">
        <f>AVERAGEIFS(RawDataKWh[일평균_일사합_kWh_m2],RawDataKWh[연월],$A95,RawDataKWh[지역명],U$3)</f>
        <v/>
      </c>
      <c r="V95" s="46">
        <f>AVERAGEIFS(RawDataKWh[일평균_일사합_kWh_m2],RawDataKWh[연월],$A95,RawDataKWh[지역명],V$3)</f>
        <v/>
      </c>
      <c r="W95" s="46">
        <f>AVERAGEIFS(RawDataKWh[일평균_일사합_kWh_m2],RawDataKWh[연월],$A95,RawDataKWh[지역명],W$3)</f>
        <v/>
      </c>
      <c r="X95" s="46">
        <f>AVERAGEIFS(RawDataKWh[일평균_일사합_kWh_m2],RawDataKWh[연월],$A95,RawDataKWh[지역명],X$3)</f>
        <v/>
      </c>
      <c r="Y95" s="46">
        <f>AVERAGE(O95:X95)</f>
        <v/>
      </c>
    </row>
    <row r="96" ht="16" customHeight="1">
      <c r="A96" s="17" t="inlineStr">
        <is>
          <t>2023-09</t>
        </is>
      </c>
      <c r="B96" s="41">
        <f>SUMIFS(RawDataKWh[일사합_kWh_m2],RawDataKWh[연월],$A96,RawDataKWh[지역명],B$3)</f>
        <v/>
      </c>
      <c r="C96" s="41">
        <f>SUMIFS(RawDataKWh[일사합_kWh_m2],RawDataKWh[연월],$A96,RawDataKWh[지역명],C$3)</f>
        <v/>
      </c>
      <c r="D96" s="41">
        <f>SUMIFS(RawDataKWh[일사합_kWh_m2],RawDataKWh[연월],$A96,RawDataKWh[지역명],D$3)</f>
        <v/>
      </c>
      <c r="E96" s="41">
        <f>SUMIFS(RawDataKWh[일사합_kWh_m2],RawDataKWh[연월],$A96,RawDataKWh[지역명],E$3)</f>
        <v/>
      </c>
      <c r="F96" s="41">
        <f>SUMIFS(RawDataKWh[일사합_kWh_m2],RawDataKWh[연월],$A96,RawDataKWh[지역명],F$3)</f>
        <v/>
      </c>
      <c r="G96" s="41">
        <f>SUMIFS(RawDataKWh[일사합_kWh_m2],RawDataKWh[연월],$A96,RawDataKWh[지역명],G$3)</f>
        <v/>
      </c>
      <c r="H96" s="41">
        <f>SUMIFS(RawDataKWh[일사합_kWh_m2],RawDataKWh[연월],$A96,RawDataKWh[지역명],H$3)</f>
        <v/>
      </c>
      <c r="I96" s="41">
        <f>SUMIFS(RawDataKWh[일사합_kWh_m2],RawDataKWh[연월],$A96,RawDataKWh[지역명],I$3)</f>
        <v/>
      </c>
      <c r="J96" s="41">
        <f>SUMIFS(RawDataKWh[일사합_kWh_m2],RawDataKWh[연월],$A96,RawDataKWh[지역명],J$3)</f>
        <v/>
      </c>
      <c r="K96" s="41">
        <f>SUMIFS(RawDataKWh[일사합_kWh_m2],RawDataKWh[연월],$A96,RawDataKWh[지역명],K$3)</f>
        <v/>
      </c>
      <c r="L96" s="41">
        <f>AVERAGE(B96:K96)</f>
        <v/>
      </c>
      <c r="N96" s="17">
        <f>$A96</f>
        <v/>
      </c>
      <c r="O96" s="42">
        <f>AVERAGEIFS(RawDataKWh[일평균_일사합_kWh_m2],RawDataKWh[연월],$A96,RawDataKWh[지역명],O$3)</f>
        <v/>
      </c>
      <c r="P96" s="42">
        <f>AVERAGEIFS(RawDataKWh[일평균_일사합_kWh_m2],RawDataKWh[연월],$A96,RawDataKWh[지역명],P$3)</f>
        <v/>
      </c>
      <c r="Q96" s="42">
        <f>AVERAGEIFS(RawDataKWh[일평균_일사합_kWh_m2],RawDataKWh[연월],$A96,RawDataKWh[지역명],Q$3)</f>
        <v/>
      </c>
      <c r="R96" s="42">
        <f>AVERAGEIFS(RawDataKWh[일평균_일사합_kWh_m2],RawDataKWh[연월],$A96,RawDataKWh[지역명],R$3)</f>
        <v/>
      </c>
      <c r="S96" s="42">
        <f>AVERAGEIFS(RawDataKWh[일평균_일사합_kWh_m2],RawDataKWh[연월],$A96,RawDataKWh[지역명],S$3)</f>
        <v/>
      </c>
      <c r="T96" s="42">
        <f>AVERAGEIFS(RawDataKWh[일평균_일사합_kWh_m2],RawDataKWh[연월],$A96,RawDataKWh[지역명],T$3)</f>
        <v/>
      </c>
      <c r="U96" s="42">
        <f>AVERAGEIFS(RawDataKWh[일평균_일사합_kWh_m2],RawDataKWh[연월],$A96,RawDataKWh[지역명],U$3)</f>
        <v/>
      </c>
      <c r="V96" s="42">
        <f>AVERAGEIFS(RawDataKWh[일평균_일사합_kWh_m2],RawDataKWh[연월],$A96,RawDataKWh[지역명],V$3)</f>
        <v/>
      </c>
      <c r="W96" s="42">
        <f>AVERAGEIFS(RawDataKWh[일평균_일사합_kWh_m2],RawDataKWh[연월],$A96,RawDataKWh[지역명],W$3)</f>
        <v/>
      </c>
      <c r="X96" s="42">
        <f>AVERAGEIFS(RawDataKWh[일평균_일사합_kWh_m2],RawDataKWh[연월],$A96,RawDataKWh[지역명],X$3)</f>
        <v/>
      </c>
      <c r="Y96" s="42">
        <f>AVERAGE(O96:X96)</f>
        <v/>
      </c>
    </row>
    <row r="97" ht="16" customHeight="1">
      <c r="A97" s="19" t="inlineStr">
        <is>
          <t>2023-10</t>
        </is>
      </c>
      <c r="B97" s="45">
        <f>SUMIFS(RawDataKWh[일사합_kWh_m2],RawDataKWh[연월],$A97,RawDataKWh[지역명],B$3)</f>
        <v/>
      </c>
      <c r="C97" s="45">
        <f>SUMIFS(RawDataKWh[일사합_kWh_m2],RawDataKWh[연월],$A97,RawDataKWh[지역명],C$3)</f>
        <v/>
      </c>
      <c r="D97" s="45">
        <f>SUMIFS(RawDataKWh[일사합_kWh_m2],RawDataKWh[연월],$A97,RawDataKWh[지역명],D$3)</f>
        <v/>
      </c>
      <c r="E97" s="45">
        <f>SUMIFS(RawDataKWh[일사합_kWh_m2],RawDataKWh[연월],$A97,RawDataKWh[지역명],E$3)</f>
        <v/>
      </c>
      <c r="F97" s="45">
        <f>SUMIFS(RawDataKWh[일사합_kWh_m2],RawDataKWh[연월],$A97,RawDataKWh[지역명],F$3)</f>
        <v/>
      </c>
      <c r="G97" s="45">
        <f>SUMIFS(RawDataKWh[일사합_kWh_m2],RawDataKWh[연월],$A97,RawDataKWh[지역명],G$3)</f>
        <v/>
      </c>
      <c r="H97" s="45">
        <f>SUMIFS(RawDataKWh[일사합_kWh_m2],RawDataKWh[연월],$A97,RawDataKWh[지역명],H$3)</f>
        <v/>
      </c>
      <c r="I97" s="45">
        <f>SUMIFS(RawDataKWh[일사합_kWh_m2],RawDataKWh[연월],$A97,RawDataKWh[지역명],I$3)</f>
        <v/>
      </c>
      <c r="J97" s="45">
        <f>SUMIFS(RawDataKWh[일사합_kWh_m2],RawDataKWh[연월],$A97,RawDataKWh[지역명],J$3)</f>
        <v/>
      </c>
      <c r="K97" s="45">
        <f>SUMIFS(RawDataKWh[일사합_kWh_m2],RawDataKWh[연월],$A97,RawDataKWh[지역명],K$3)</f>
        <v/>
      </c>
      <c r="L97" s="45">
        <f>AVERAGE(B97:K97)</f>
        <v/>
      </c>
      <c r="N97" s="19">
        <f>$A97</f>
        <v/>
      </c>
      <c r="O97" s="46">
        <f>AVERAGEIFS(RawDataKWh[일평균_일사합_kWh_m2],RawDataKWh[연월],$A97,RawDataKWh[지역명],O$3)</f>
        <v/>
      </c>
      <c r="P97" s="46">
        <f>AVERAGEIFS(RawDataKWh[일평균_일사합_kWh_m2],RawDataKWh[연월],$A97,RawDataKWh[지역명],P$3)</f>
        <v/>
      </c>
      <c r="Q97" s="46">
        <f>AVERAGEIFS(RawDataKWh[일평균_일사합_kWh_m2],RawDataKWh[연월],$A97,RawDataKWh[지역명],Q$3)</f>
        <v/>
      </c>
      <c r="R97" s="46">
        <f>AVERAGEIFS(RawDataKWh[일평균_일사합_kWh_m2],RawDataKWh[연월],$A97,RawDataKWh[지역명],R$3)</f>
        <v/>
      </c>
      <c r="S97" s="46">
        <f>AVERAGEIFS(RawDataKWh[일평균_일사합_kWh_m2],RawDataKWh[연월],$A97,RawDataKWh[지역명],S$3)</f>
        <v/>
      </c>
      <c r="T97" s="46">
        <f>AVERAGEIFS(RawDataKWh[일평균_일사합_kWh_m2],RawDataKWh[연월],$A97,RawDataKWh[지역명],T$3)</f>
        <v/>
      </c>
      <c r="U97" s="46">
        <f>AVERAGEIFS(RawDataKWh[일평균_일사합_kWh_m2],RawDataKWh[연월],$A97,RawDataKWh[지역명],U$3)</f>
        <v/>
      </c>
      <c r="V97" s="46">
        <f>AVERAGEIFS(RawDataKWh[일평균_일사합_kWh_m2],RawDataKWh[연월],$A97,RawDataKWh[지역명],V$3)</f>
        <v/>
      </c>
      <c r="W97" s="46">
        <f>AVERAGEIFS(RawDataKWh[일평균_일사합_kWh_m2],RawDataKWh[연월],$A97,RawDataKWh[지역명],W$3)</f>
        <v/>
      </c>
      <c r="X97" s="46">
        <f>AVERAGEIFS(RawDataKWh[일평균_일사합_kWh_m2],RawDataKWh[연월],$A97,RawDataKWh[지역명],X$3)</f>
        <v/>
      </c>
      <c r="Y97" s="46">
        <f>AVERAGE(O97:X97)</f>
        <v/>
      </c>
    </row>
    <row r="98" ht="16" customHeight="1">
      <c r="A98" s="17" t="inlineStr">
        <is>
          <t>2023-11</t>
        </is>
      </c>
      <c r="B98" s="41">
        <f>SUMIFS(RawDataKWh[일사합_kWh_m2],RawDataKWh[연월],$A98,RawDataKWh[지역명],B$3)</f>
        <v/>
      </c>
      <c r="C98" s="41">
        <f>SUMIFS(RawDataKWh[일사합_kWh_m2],RawDataKWh[연월],$A98,RawDataKWh[지역명],C$3)</f>
        <v/>
      </c>
      <c r="D98" s="41">
        <f>SUMIFS(RawDataKWh[일사합_kWh_m2],RawDataKWh[연월],$A98,RawDataKWh[지역명],D$3)</f>
        <v/>
      </c>
      <c r="E98" s="41">
        <f>SUMIFS(RawDataKWh[일사합_kWh_m2],RawDataKWh[연월],$A98,RawDataKWh[지역명],E$3)</f>
        <v/>
      </c>
      <c r="F98" s="41">
        <f>SUMIFS(RawDataKWh[일사합_kWh_m2],RawDataKWh[연월],$A98,RawDataKWh[지역명],F$3)</f>
        <v/>
      </c>
      <c r="G98" s="41">
        <f>SUMIFS(RawDataKWh[일사합_kWh_m2],RawDataKWh[연월],$A98,RawDataKWh[지역명],G$3)</f>
        <v/>
      </c>
      <c r="H98" s="41">
        <f>SUMIFS(RawDataKWh[일사합_kWh_m2],RawDataKWh[연월],$A98,RawDataKWh[지역명],H$3)</f>
        <v/>
      </c>
      <c r="I98" s="41">
        <f>SUMIFS(RawDataKWh[일사합_kWh_m2],RawDataKWh[연월],$A98,RawDataKWh[지역명],I$3)</f>
        <v/>
      </c>
      <c r="J98" s="41">
        <f>SUMIFS(RawDataKWh[일사합_kWh_m2],RawDataKWh[연월],$A98,RawDataKWh[지역명],J$3)</f>
        <v/>
      </c>
      <c r="K98" s="41">
        <f>SUMIFS(RawDataKWh[일사합_kWh_m2],RawDataKWh[연월],$A98,RawDataKWh[지역명],K$3)</f>
        <v/>
      </c>
      <c r="L98" s="41">
        <f>AVERAGE(B98:K98)</f>
        <v/>
      </c>
      <c r="N98" s="17">
        <f>$A98</f>
        <v/>
      </c>
      <c r="O98" s="42">
        <f>AVERAGEIFS(RawDataKWh[일평균_일사합_kWh_m2],RawDataKWh[연월],$A98,RawDataKWh[지역명],O$3)</f>
        <v/>
      </c>
      <c r="P98" s="42">
        <f>AVERAGEIFS(RawDataKWh[일평균_일사합_kWh_m2],RawDataKWh[연월],$A98,RawDataKWh[지역명],P$3)</f>
        <v/>
      </c>
      <c r="Q98" s="42">
        <f>AVERAGEIFS(RawDataKWh[일평균_일사합_kWh_m2],RawDataKWh[연월],$A98,RawDataKWh[지역명],Q$3)</f>
        <v/>
      </c>
      <c r="R98" s="42">
        <f>AVERAGEIFS(RawDataKWh[일평균_일사합_kWh_m2],RawDataKWh[연월],$A98,RawDataKWh[지역명],R$3)</f>
        <v/>
      </c>
      <c r="S98" s="42">
        <f>AVERAGEIFS(RawDataKWh[일평균_일사합_kWh_m2],RawDataKWh[연월],$A98,RawDataKWh[지역명],S$3)</f>
        <v/>
      </c>
      <c r="T98" s="42">
        <f>AVERAGEIFS(RawDataKWh[일평균_일사합_kWh_m2],RawDataKWh[연월],$A98,RawDataKWh[지역명],T$3)</f>
        <v/>
      </c>
      <c r="U98" s="42">
        <f>AVERAGEIFS(RawDataKWh[일평균_일사합_kWh_m2],RawDataKWh[연월],$A98,RawDataKWh[지역명],U$3)</f>
        <v/>
      </c>
      <c r="V98" s="42">
        <f>AVERAGEIFS(RawDataKWh[일평균_일사합_kWh_m2],RawDataKWh[연월],$A98,RawDataKWh[지역명],V$3)</f>
        <v/>
      </c>
      <c r="W98" s="42">
        <f>AVERAGEIFS(RawDataKWh[일평균_일사합_kWh_m2],RawDataKWh[연월],$A98,RawDataKWh[지역명],W$3)</f>
        <v/>
      </c>
      <c r="X98" s="42">
        <f>AVERAGEIFS(RawDataKWh[일평균_일사합_kWh_m2],RawDataKWh[연월],$A98,RawDataKWh[지역명],X$3)</f>
        <v/>
      </c>
      <c r="Y98" s="42">
        <f>AVERAGE(O98:X98)</f>
        <v/>
      </c>
    </row>
    <row r="99" ht="16" customHeight="1">
      <c r="A99" s="19" t="inlineStr">
        <is>
          <t>2023-12</t>
        </is>
      </c>
      <c r="B99" s="45">
        <f>SUMIFS(RawDataKWh[일사합_kWh_m2],RawDataKWh[연월],$A99,RawDataKWh[지역명],B$3)</f>
        <v/>
      </c>
      <c r="C99" s="45">
        <f>SUMIFS(RawDataKWh[일사합_kWh_m2],RawDataKWh[연월],$A99,RawDataKWh[지역명],C$3)</f>
        <v/>
      </c>
      <c r="D99" s="45">
        <f>SUMIFS(RawDataKWh[일사합_kWh_m2],RawDataKWh[연월],$A99,RawDataKWh[지역명],D$3)</f>
        <v/>
      </c>
      <c r="E99" s="45">
        <f>SUMIFS(RawDataKWh[일사합_kWh_m2],RawDataKWh[연월],$A99,RawDataKWh[지역명],E$3)</f>
        <v/>
      </c>
      <c r="F99" s="45">
        <f>SUMIFS(RawDataKWh[일사합_kWh_m2],RawDataKWh[연월],$A99,RawDataKWh[지역명],F$3)</f>
        <v/>
      </c>
      <c r="G99" s="45">
        <f>SUMIFS(RawDataKWh[일사합_kWh_m2],RawDataKWh[연월],$A99,RawDataKWh[지역명],G$3)</f>
        <v/>
      </c>
      <c r="H99" s="45">
        <f>SUMIFS(RawDataKWh[일사합_kWh_m2],RawDataKWh[연월],$A99,RawDataKWh[지역명],H$3)</f>
        <v/>
      </c>
      <c r="I99" s="45">
        <f>SUMIFS(RawDataKWh[일사합_kWh_m2],RawDataKWh[연월],$A99,RawDataKWh[지역명],I$3)</f>
        <v/>
      </c>
      <c r="J99" s="45">
        <f>SUMIFS(RawDataKWh[일사합_kWh_m2],RawDataKWh[연월],$A99,RawDataKWh[지역명],J$3)</f>
        <v/>
      </c>
      <c r="K99" s="45">
        <f>SUMIFS(RawDataKWh[일사합_kWh_m2],RawDataKWh[연월],$A99,RawDataKWh[지역명],K$3)</f>
        <v/>
      </c>
      <c r="L99" s="45">
        <f>AVERAGE(B99:K99)</f>
        <v/>
      </c>
      <c r="N99" s="19">
        <f>$A99</f>
        <v/>
      </c>
      <c r="O99" s="46">
        <f>AVERAGEIFS(RawDataKWh[일평균_일사합_kWh_m2],RawDataKWh[연월],$A99,RawDataKWh[지역명],O$3)</f>
        <v/>
      </c>
      <c r="P99" s="46">
        <f>AVERAGEIFS(RawDataKWh[일평균_일사합_kWh_m2],RawDataKWh[연월],$A99,RawDataKWh[지역명],P$3)</f>
        <v/>
      </c>
      <c r="Q99" s="46">
        <f>AVERAGEIFS(RawDataKWh[일평균_일사합_kWh_m2],RawDataKWh[연월],$A99,RawDataKWh[지역명],Q$3)</f>
        <v/>
      </c>
      <c r="R99" s="46">
        <f>AVERAGEIFS(RawDataKWh[일평균_일사합_kWh_m2],RawDataKWh[연월],$A99,RawDataKWh[지역명],R$3)</f>
        <v/>
      </c>
      <c r="S99" s="46">
        <f>AVERAGEIFS(RawDataKWh[일평균_일사합_kWh_m2],RawDataKWh[연월],$A99,RawDataKWh[지역명],S$3)</f>
        <v/>
      </c>
      <c r="T99" s="46">
        <f>AVERAGEIFS(RawDataKWh[일평균_일사합_kWh_m2],RawDataKWh[연월],$A99,RawDataKWh[지역명],T$3)</f>
        <v/>
      </c>
      <c r="U99" s="46">
        <f>AVERAGEIFS(RawDataKWh[일평균_일사합_kWh_m2],RawDataKWh[연월],$A99,RawDataKWh[지역명],U$3)</f>
        <v/>
      </c>
      <c r="V99" s="46">
        <f>AVERAGEIFS(RawDataKWh[일평균_일사합_kWh_m2],RawDataKWh[연월],$A99,RawDataKWh[지역명],V$3)</f>
        <v/>
      </c>
      <c r="W99" s="46">
        <f>AVERAGEIFS(RawDataKWh[일평균_일사합_kWh_m2],RawDataKWh[연월],$A99,RawDataKWh[지역명],W$3)</f>
        <v/>
      </c>
      <c r="X99" s="46">
        <f>AVERAGEIFS(RawDataKWh[일평균_일사합_kWh_m2],RawDataKWh[연월],$A99,RawDataKWh[지역명],X$3)</f>
        <v/>
      </c>
      <c r="Y99" s="46">
        <f>AVERAGE(O99:X99)</f>
        <v/>
      </c>
    </row>
    <row r="100" ht="16" customHeight="1">
      <c r="A100" s="17" t="inlineStr">
        <is>
          <t>2024-01</t>
        </is>
      </c>
      <c r="B100" s="41">
        <f>SUMIFS(RawDataKWh[일사합_kWh_m2],RawDataKWh[연월],$A100,RawDataKWh[지역명],B$3)</f>
        <v/>
      </c>
      <c r="C100" s="41">
        <f>SUMIFS(RawDataKWh[일사합_kWh_m2],RawDataKWh[연월],$A100,RawDataKWh[지역명],C$3)</f>
        <v/>
      </c>
      <c r="D100" s="41">
        <f>SUMIFS(RawDataKWh[일사합_kWh_m2],RawDataKWh[연월],$A100,RawDataKWh[지역명],D$3)</f>
        <v/>
      </c>
      <c r="E100" s="41">
        <f>SUMIFS(RawDataKWh[일사합_kWh_m2],RawDataKWh[연월],$A100,RawDataKWh[지역명],E$3)</f>
        <v/>
      </c>
      <c r="F100" s="41">
        <f>SUMIFS(RawDataKWh[일사합_kWh_m2],RawDataKWh[연월],$A100,RawDataKWh[지역명],F$3)</f>
        <v/>
      </c>
      <c r="G100" s="41">
        <f>SUMIFS(RawDataKWh[일사합_kWh_m2],RawDataKWh[연월],$A100,RawDataKWh[지역명],G$3)</f>
        <v/>
      </c>
      <c r="H100" s="41">
        <f>SUMIFS(RawDataKWh[일사합_kWh_m2],RawDataKWh[연월],$A100,RawDataKWh[지역명],H$3)</f>
        <v/>
      </c>
      <c r="I100" s="41">
        <f>SUMIFS(RawDataKWh[일사합_kWh_m2],RawDataKWh[연월],$A100,RawDataKWh[지역명],I$3)</f>
        <v/>
      </c>
      <c r="J100" s="41">
        <f>SUMIFS(RawDataKWh[일사합_kWh_m2],RawDataKWh[연월],$A100,RawDataKWh[지역명],J$3)</f>
        <v/>
      </c>
      <c r="K100" s="41">
        <f>SUMIFS(RawDataKWh[일사합_kWh_m2],RawDataKWh[연월],$A100,RawDataKWh[지역명],K$3)</f>
        <v/>
      </c>
      <c r="L100" s="41">
        <f>AVERAGE(B100:K100)</f>
        <v/>
      </c>
      <c r="N100" s="17">
        <f>$A100</f>
        <v/>
      </c>
      <c r="O100" s="42">
        <f>AVERAGEIFS(RawDataKWh[일평균_일사합_kWh_m2],RawDataKWh[연월],$A100,RawDataKWh[지역명],O$3)</f>
        <v/>
      </c>
      <c r="P100" s="42">
        <f>AVERAGEIFS(RawDataKWh[일평균_일사합_kWh_m2],RawDataKWh[연월],$A100,RawDataKWh[지역명],P$3)</f>
        <v/>
      </c>
      <c r="Q100" s="42">
        <f>AVERAGEIFS(RawDataKWh[일평균_일사합_kWh_m2],RawDataKWh[연월],$A100,RawDataKWh[지역명],Q$3)</f>
        <v/>
      </c>
      <c r="R100" s="42">
        <f>AVERAGEIFS(RawDataKWh[일평균_일사합_kWh_m2],RawDataKWh[연월],$A100,RawDataKWh[지역명],R$3)</f>
        <v/>
      </c>
      <c r="S100" s="42">
        <f>AVERAGEIFS(RawDataKWh[일평균_일사합_kWh_m2],RawDataKWh[연월],$A100,RawDataKWh[지역명],S$3)</f>
        <v/>
      </c>
      <c r="T100" s="42">
        <f>AVERAGEIFS(RawDataKWh[일평균_일사합_kWh_m2],RawDataKWh[연월],$A100,RawDataKWh[지역명],T$3)</f>
        <v/>
      </c>
      <c r="U100" s="42">
        <f>AVERAGEIFS(RawDataKWh[일평균_일사합_kWh_m2],RawDataKWh[연월],$A100,RawDataKWh[지역명],U$3)</f>
        <v/>
      </c>
      <c r="V100" s="42">
        <f>AVERAGEIFS(RawDataKWh[일평균_일사합_kWh_m2],RawDataKWh[연월],$A100,RawDataKWh[지역명],V$3)</f>
        <v/>
      </c>
      <c r="W100" s="42">
        <f>AVERAGEIFS(RawDataKWh[일평균_일사합_kWh_m2],RawDataKWh[연월],$A100,RawDataKWh[지역명],W$3)</f>
        <v/>
      </c>
      <c r="X100" s="42">
        <f>AVERAGEIFS(RawDataKWh[일평균_일사합_kWh_m2],RawDataKWh[연월],$A100,RawDataKWh[지역명],X$3)</f>
        <v/>
      </c>
      <c r="Y100" s="42">
        <f>AVERAGE(O100:X100)</f>
        <v/>
      </c>
    </row>
    <row r="101" ht="16" customHeight="1">
      <c r="A101" s="19" t="inlineStr">
        <is>
          <t>2024-02</t>
        </is>
      </c>
      <c r="B101" s="45">
        <f>SUMIFS(RawDataKWh[일사합_kWh_m2],RawDataKWh[연월],$A101,RawDataKWh[지역명],B$3)</f>
        <v/>
      </c>
      <c r="C101" s="45">
        <f>SUMIFS(RawDataKWh[일사합_kWh_m2],RawDataKWh[연월],$A101,RawDataKWh[지역명],C$3)</f>
        <v/>
      </c>
      <c r="D101" s="45">
        <f>SUMIFS(RawDataKWh[일사합_kWh_m2],RawDataKWh[연월],$A101,RawDataKWh[지역명],D$3)</f>
        <v/>
      </c>
      <c r="E101" s="45">
        <f>SUMIFS(RawDataKWh[일사합_kWh_m2],RawDataKWh[연월],$A101,RawDataKWh[지역명],E$3)</f>
        <v/>
      </c>
      <c r="F101" s="45">
        <f>SUMIFS(RawDataKWh[일사합_kWh_m2],RawDataKWh[연월],$A101,RawDataKWh[지역명],F$3)</f>
        <v/>
      </c>
      <c r="G101" s="45">
        <f>SUMIFS(RawDataKWh[일사합_kWh_m2],RawDataKWh[연월],$A101,RawDataKWh[지역명],G$3)</f>
        <v/>
      </c>
      <c r="H101" s="45">
        <f>SUMIFS(RawDataKWh[일사합_kWh_m2],RawDataKWh[연월],$A101,RawDataKWh[지역명],H$3)</f>
        <v/>
      </c>
      <c r="I101" s="45">
        <f>SUMIFS(RawDataKWh[일사합_kWh_m2],RawDataKWh[연월],$A101,RawDataKWh[지역명],I$3)</f>
        <v/>
      </c>
      <c r="J101" s="45">
        <f>SUMIFS(RawDataKWh[일사합_kWh_m2],RawDataKWh[연월],$A101,RawDataKWh[지역명],J$3)</f>
        <v/>
      </c>
      <c r="K101" s="45">
        <f>SUMIFS(RawDataKWh[일사합_kWh_m2],RawDataKWh[연월],$A101,RawDataKWh[지역명],K$3)</f>
        <v/>
      </c>
      <c r="L101" s="45">
        <f>AVERAGE(B101:K101)</f>
        <v/>
      </c>
      <c r="N101" s="19">
        <f>$A101</f>
        <v/>
      </c>
      <c r="O101" s="46">
        <f>AVERAGEIFS(RawDataKWh[일평균_일사합_kWh_m2],RawDataKWh[연월],$A101,RawDataKWh[지역명],O$3)</f>
        <v/>
      </c>
      <c r="P101" s="46">
        <f>AVERAGEIFS(RawDataKWh[일평균_일사합_kWh_m2],RawDataKWh[연월],$A101,RawDataKWh[지역명],P$3)</f>
        <v/>
      </c>
      <c r="Q101" s="46">
        <f>AVERAGEIFS(RawDataKWh[일평균_일사합_kWh_m2],RawDataKWh[연월],$A101,RawDataKWh[지역명],Q$3)</f>
        <v/>
      </c>
      <c r="R101" s="46">
        <f>AVERAGEIFS(RawDataKWh[일평균_일사합_kWh_m2],RawDataKWh[연월],$A101,RawDataKWh[지역명],R$3)</f>
        <v/>
      </c>
      <c r="S101" s="46">
        <f>AVERAGEIFS(RawDataKWh[일평균_일사합_kWh_m2],RawDataKWh[연월],$A101,RawDataKWh[지역명],S$3)</f>
        <v/>
      </c>
      <c r="T101" s="46">
        <f>AVERAGEIFS(RawDataKWh[일평균_일사합_kWh_m2],RawDataKWh[연월],$A101,RawDataKWh[지역명],T$3)</f>
        <v/>
      </c>
      <c r="U101" s="46">
        <f>AVERAGEIFS(RawDataKWh[일평균_일사합_kWh_m2],RawDataKWh[연월],$A101,RawDataKWh[지역명],U$3)</f>
        <v/>
      </c>
      <c r="V101" s="46">
        <f>AVERAGEIFS(RawDataKWh[일평균_일사합_kWh_m2],RawDataKWh[연월],$A101,RawDataKWh[지역명],V$3)</f>
        <v/>
      </c>
      <c r="W101" s="46">
        <f>AVERAGEIFS(RawDataKWh[일평균_일사합_kWh_m2],RawDataKWh[연월],$A101,RawDataKWh[지역명],W$3)</f>
        <v/>
      </c>
      <c r="X101" s="46">
        <f>AVERAGEIFS(RawDataKWh[일평균_일사합_kWh_m2],RawDataKWh[연월],$A101,RawDataKWh[지역명],X$3)</f>
        <v/>
      </c>
      <c r="Y101" s="46">
        <f>AVERAGE(O101:X101)</f>
        <v/>
      </c>
    </row>
    <row r="102" ht="16" customHeight="1">
      <c r="A102" s="17" t="inlineStr">
        <is>
          <t>2024-03</t>
        </is>
      </c>
      <c r="B102" s="41">
        <f>SUMIFS(RawDataKWh[일사합_kWh_m2],RawDataKWh[연월],$A102,RawDataKWh[지역명],B$3)</f>
        <v/>
      </c>
      <c r="C102" s="41">
        <f>SUMIFS(RawDataKWh[일사합_kWh_m2],RawDataKWh[연월],$A102,RawDataKWh[지역명],C$3)</f>
        <v/>
      </c>
      <c r="D102" s="41">
        <f>SUMIFS(RawDataKWh[일사합_kWh_m2],RawDataKWh[연월],$A102,RawDataKWh[지역명],D$3)</f>
        <v/>
      </c>
      <c r="E102" s="41">
        <f>SUMIFS(RawDataKWh[일사합_kWh_m2],RawDataKWh[연월],$A102,RawDataKWh[지역명],E$3)</f>
        <v/>
      </c>
      <c r="F102" s="41">
        <f>SUMIFS(RawDataKWh[일사합_kWh_m2],RawDataKWh[연월],$A102,RawDataKWh[지역명],F$3)</f>
        <v/>
      </c>
      <c r="G102" s="41">
        <f>SUMIFS(RawDataKWh[일사합_kWh_m2],RawDataKWh[연월],$A102,RawDataKWh[지역명],G$3)</f>
        <v/>
      </c>
      <c r="H102" s="41">
        <f>SUMIFS(RawDataKWh[일사합_kWh_m2],RawDataKWh[연월],$A102,RawDataKWh[지역명],H$3)</f>
        <v/>
      </c>
      <c r="I102" s="41">
        <f>SUMIFS(RawDataKWh[일사합_kWh_m2],RawDataKWh[연월],$A102,RawDataKWh[지역명],I$3)</f>
        <v/>
      </c>
      <c r="J102" s="41">
        <f>SUMIFS(RawDataKWh[일사합_kWh_m2],RawDataKWh[연월],$A102,RawDataKWh[지역명],J$3)</f>
        <v/>
      </c>
      <c r="K102" s="41">
        <f>SUMIFS(RawDataKWh[일사합_kWh_m2],RawDataKWh[연월],$A102,RawDataKWh[지역명],K$3)</f>
        <v/>
      </c>
      <c r="L102" s="41">
        <f>AVERAGE(B102:K102)</f>
        <v/>
      </c>
      <c r="N102" s="17">
        <f>$A102</f>
        <v/>
      </c>
      <c r="O102" s="42">
        <f>AVERAGEIFS(RawDataKWh[일평균_일사합_kWh_m2],RawDataKWh[연월],$A102,RawDataKWh[지역명],O$3)</f>
        <v/>
      </c>
      <c r="P102" s="42">
        <f>AVERAGEIFS(RawDataKWh[일평균_일사합_kWh_m2],RawDataKWh[연월],$A102,RawDataKWh[지역명],P$3)</f>
        <v/>
      </c>
      <c r="Q102" s="42">
        <f>AVERAGEIFS(RawDataKWh[일평균_일사합_kWh_m2],RawDataKWh[연월],$A102,RawDataKWh[지역명],Q$3)</f>
        <v/>
      </c>
      <c r="R102" s="42">
        <f>AVERAGEIFS(RawDataKWh[일평균_일사합_kWh_m2],RawDataKWh[연월],$A102,RawDataKWh[지역명],R$3)</f>
        <v/>
      </c>
      <c r="S102" s="42">
        <f>AVERAGEIFS(RawDataKWh[일평균_일사합_kWh_m2],RawDataKWh[연월],$A102,RawDataKWh[지역명],S$3)</f>
        <v/>
      </c>
      <c r="T102" s="42">
        <f>AVERAGEIFS(RawDataKWh[일평균_일사합_kWh_m2],RawDataKWh[연월],$A102,RawDataKWh[지역명],T$3)</f>
        <v/>
      </c>
      <c r="U102" s="42">
        <f>AVERAGEIFS(RawDataKWh[일평균_일사합_kWh_m2],RawDataKWh[연월],$A102,RawDataKWh[지역명],U$3)</f>
        <v/>
      </c>
      <c r="V102" s="42">
        <f>AVERAGEIFS(RawDataKWh[일평균_일사합_kWh_m2],RawDataKWh[연월],$A102,RawDataKWh[지역명],V$3)</f>
        <v/>
      </c>
      <c r="W102" s="42">
        <f>AVERAGEIFS(RawDataKWh[일평균_일사합_kWh_m2],RawDataKWh[연월],$A102,RawDataKWh[지역명],W$3)</f>
        <v/>
      </c>
      <c r="X102" s="42">
        <f>AVERAGEIFS(RawDataKWh[일평균_일사합_kWh_m2],RawDataKWh[연월],$A102,RawDataKWh[지역명],X$3)</f>
        <v/>
      </c>
      <c r="Y102" s="42">
        <f>AVERAGE(O102:X102)</f>
        <v/>
      </c>
    </row>
    <row r="103" ht="16" customHeight="1">
      <c r="A103" s="19" t="inlineStr">
        <is>
          <t>2024-04</t>
        </is>
      </c>
      <c r="B103" s="45">
        <f>SUMIFS(RawDataKWh[일사합_kWh_m2],RawDataKWh[연월],$A103,RawDataKWh[지역명],B$3)</f>
        <v/>
      </c>
      <c r="C103" s="45">
        <f>SUMIFS(RawDataKWh[일사합_kWh_m2],RawDataKWh[연월],$A103,RawDataKWh[지역명],C$3)</f>
        <v/>
      </c>
      <c r="D103" s="45">
        <f>SUMIFS(RawDataKWh[일사합_kWh_m2],RawDataKWh[연월],$A103,RawDataKWh[지역명],D$3)</f>
        <v/>
      </c>
      <c r="E103" s="45">
        <f>SUMIFS(RawDataKWh[일사합_kWh_m2],RawDataKWh[연월],$A103,RawDataKWh[지역명],E$3)</f>
        <v/>
      </c>
      <c r="F103" s="45">
        <f>SUMIFS(RawDataKWh[일사합_kWh_m2],RawDataKWh[연월],$A103,RawDataKWh[지역명],F$3)</f>
        <v/>
      </c>
      <c r="G103" s="45">
        <f>SUMIFS(RawDataKWh[일사합_kWh_m2],RawDataKWh[연월],$A103,RawDataKWh[지역명],G$3)</f>
        <v/>
      </c>
      <c r="H103" s="45">
        <f>SUMIFS(RawDataKWh[일사합_kWh_m2],RawDataKWh[연월],$A103,RawDataKWh[지역명],H$3)</f>
        <v/>
      </c>
      <c r="I103" s="45">
        <f>SUMIFS(RawDataKWh[일사합_kWh_m2],RawDataKWh[연월],$A103,RawDataKWh[지역명],I$3)</f>
        <v/>
      </c>
      <c r="J103" s="45">
        <f>SUMIFS(RawDataKWh[일사합_kWh_m2],RawDataKWh[연월],$A103,RawDataKWh[지역명],J$3)</f>
        <v/>
      </c>
      <c r="K103" s="45">
        <f>SUMIFS(RawDataKWh[일사합_kWh_m2],RawDataKWh[연월],$A103,RawDataKWh[지역명],K$3)</f>
        <v/>
      </c>
      <c r="L103" s="45">
        <f>AVERAGE(B103:K103)</f>
        <v/>
      </c>
      <c r="N103" s="19">
        <f>$A103</f>
        <v/>
      </c>
      <c r="O103" s="46">
        <f>AVERAGEIFS(RawDataKWh[일평균_일사합_kWh_m2],RawDataKWh[연월],$A103,RawDataKWh[지역명],O$3)</f>
        <v/>
      </c>
      <c r="P103" s="46">
        <f>AVERAGEIFS(RawDataKWh[일평균_일사합_kWh_m2],RawDataKWh[연월],$A103,RawDataKWh[지역명],P$3)</f>
        <v/>
      </c>
      <c r="Q103" s="46">
        <f>AVERAGEIFS(RawDataKWh[일평균_일사합_kWh_m2],RawDataKWh[연월],$A103,RawDataKWh[지역명],Q$3)</f>
        <v/>
      </c>
      <c r="R103" s="46">
        <f>AVERAGEIFS(RawDataKWh[일평균_일사합_kWh_m2],RawDataKWh[연월],$A103,RawDataKWh[지역명],R$3)</f>
        <v/>
      </c>
      <c r="S103" s="46">
        <f>AVERAGEIFS(RawDataKWh[일평균_일사합_kWh_m2],RawDataKWh[연월],$A103,RawDataKWh[지역명],S$3)</f>
        <v/>
      </c>
      <c r="T103" s="46">
        <f>AVERAGEIFS(RawDataKWh[일평균_일사합_kWh_m2],RawDataKWh[연월],$A103,RawDataKWh[지역명],T$3)</f>
        <v/>
      </c>
      <c r="U103" s="46">
        <f>AVERAGEIFS(RawDataKWh[일평균_일사합_kWh_m2],RawDataKWh[연월],$A103,RawDataKWh[지역명],U$3)</f>
        <v/>
      </c>
      <c r="V103" s="46">
        <f>AVERAGEIFS(RawDataKWh[일평균_일사합_kWh_m2],RawDataKWh[연월],$A103,RawDataKWh[지역명],V$3)</f>
        <v/>
      </c>
      <c r="W103" s="46">
        <f>AVERAGEIFS(RawDataKWh[일평균_일사합_kWh_m2],RawDataKWh[연월],$A103,RawDataKWh[지역명],W$3)</f>
        <v/>
      </c>
      <c r="X103" s="46">
        <f>AVERAGEIFS(RawDataKWh[일평균_일사합_kWh_m2],RawDataKWh[연월],$A103,RawDataKWh[지역명],X$3)</f>
        <v/>
      </c>
      <c r="Y103" s="46">
        <f>AVERAGE(O103:X103)</f>
        <v/>
      </c>
    </row>
    <row r="104" ht="16" customHeight="1">
      <c r="A104" s="17" t="inlineStr">
        <is>
          <t>2024-05</t>
        </is>
      </c>
      <c r="B104" s="41">
        <f>SUMIFS(RawDataKWh[일사합_kWh_m2],RawDataKWh[연월],$A104,RawDataKWh[지역명],B$3)</f>
        <v/>
      </c>
      <c r="C104" s="41">
        <f>SUMIFS(RawDataKWh[일사합_kWh_m2],RawDataKWh[연월],$A104,RawDataKWh[지역명],C$3)</f>
        <v/>
      </c>
      <c r="D104" s="41">
        <f>SUMIFS(RawDataKWh[일사합_kWh_m2],RawDataKWh[연월],$A104,RawDataKWh[지역명],D$3)</f>
        <v/>
      </c>
      <c r="E104" s="41">
        <f>SUMIFS(RawDataKWh[일사합_kWh_m2],RawDataKWh[연월],$A104,RawDataKWh[지역명],E$3)</f>
        <v/>
      </c>
      <c r="F104" s="41">
        <f>SUMIFS(RawDataKWh[일사합_kWh_m2],RawDataKWh[연월],$A104,RawDataKWh[지역명],F$3)</f>
        <v/>
      </c>
      <c r="G104" s="41">
        <f>SUMIFS(RawDataKWh[일사합_kWh_m2],RawDataKWh[연월],$A104,RawDataKWh[지역명],G$3)</f>
        <v/>
      </c>
      <c r="H104" s="41">
        <f>SUMIFS(RawDataKWh[일사합_kWh_m2],RawDataKWh[연월],$A104,RawDataKWh[지역명],H$3)</f>
        <v/>
      </c>
      <c r="I104" s="41">
        <f>SUMIFS(RawDataKWh[일사합_kWh_m2],RawDataKWh[연월],$A104,RawDataKWh[지역명],I$3)</f>
        <v/>
      </c>
      <c r="J104" s="41">
        <f>SUMIFS(RawDataKWh[일사합_kWh_m2],RawDataKWh[연월],$A104,RawDataKWh[지역명],J$3)</f>
        <v/>
      </c>
      <c r="K104" s="41">
        <f>SUMIFS(RawDataKWh[일사합_kWh_m2],RawDataKWh[연월],$A104,RawDataKWh[지역명],K$3)</f>
        <v/>
      </c>
      <c r="L104" s="41">
        <f>AVERAGE(B104:K104)</f>
        <v/>
      </c>
      <c r="N104" s="17">
        <f>$A104</f>
        <v/>
      </c>
      <c r="O104" s="42">
        <f>AVERAGEIFS(RawDataKWh[일평균_일사합_kWh_m2],RawDataKWh[연월],$A104,RawDataKWh[지역명],O$3)</f>
        <v/>
      </c>
      <c r="P104" s="42">
        <f>AVERAGEIFS(RawDataKWh[일평균_일사합_kWh_m2],RawDataKWh[연월],$A104,RawDataKWh[지역명],P$3)</f>
        <v/>
      </c>
      <c r="Q104" s="42">
        <f>AVERAGEIFS(RawDataKWh[일평균_일사합_kWh_m2],RawDataKWh[연월],$A104,RawDataKWh[지역명],Q$3)</f>
        <v/>
      </c>
      <c r="R104" s="42">
        <f>AVERAGEIFS(RawDataKWh[일평균_일사합_kWh_m2],RawDataKWh[연월],$A104,RawDataKWh[지역명],R$3)</f>
        <v/>
      </c>
      <c r="S104" s="42">
        <f>AVERAGEIFS(RawDataKWh[일평균_일사합_kWh_m2],RawDataKWh[연월],$A104,RawDataKWh[지역명],S$3)</f>
        <v/>
      </c>
      <c r="T104" s="42">
        <f>AVERAGEIFS(RawDataKWh[일평균_일사합_kWh_m2],RawDataKWh[연월],$A104,RawDataKWh[지역명],T$3)</f>
        <v/>
      </c>
      <c r="U104" s="42">
        <f>AVERAGEIFS(RawDataKWh[일평균_일사합_kWh_m2],RawDataKWh[연월],$A104,RawDataKWh[지역명],U$3)</f>
        <v/>
      </c>
      <c r="V104" s="42">
        <f>AVERAGEIFS(RawDataKWh[일평균_일사합_kWh_m2],RawDataKWh[연월],$A104,RawDataKWh[지역명],V$3)</f>
        <v/>
      </c>
      <c r="W104" s="42">
        <f>AVERAGEIFS(RawDataKWh[일평균_일사합_kWh_m2],RawDataKWh[연월],$A104,RawDataKWh[지역명],W$3)</f>
        <v/>
      </c>
      <c r="X104" s="42">
        <f>AVERAGEIFS(RawDataKWh[일평균_일사합_kWh_m2],RawDataKWh[연월],$A104,RawDataKWh[지역명],X$3)</f>
        <v/>
      </c>
      <c r="Y104" s="42">
        <f>AVERAGE(O104:X104)</f>
        <v/>
      </c>
    </row>
    <row r="105" ht="16" customHeight="1">
      <c r="A105" s="19" t="inlineStr">
        <is>
          <t>2024-06</t>
        </is>
      </c>
      <c r="B105" s="45">
        <f>SUMIFS(RawDataKWh[일사합_kWh_m2],RawDataKWh[연월],$A105,RawDataKWh[지역명],B$3)</f>
        <v/>
      </c>
      <c r="C105" s="45">
        <f>SUMIFS(RawDataKWh[일사합_kWh_m2],RawDataKWh[연월],$A105,RawDataKWh[지역명],C$3)</f>
        <v/>
      </c>
      <c r="D105" s="45">
        <f>SUMIFS(RawDataKWh[일사합_kWh_m2],RawDataKWh[연월],$A105,RawDataKWh[지역명],D$3)</f>
        <v/>
      </c>
      <c r="E105" s="45">
        <f>SUMIFS(RawDataKWh[일사합_kWh_m2],RawDataKWh[연월],$A105,RawDataKWh[지역명],E$3)</f>
        <v/>
      </c>
      <c r="F105" s="45">
        <f>SUMIFS(RawDataKWh[일사합_kWh_m2],RawDataKWh[연월],$A105,RawDataKWh[지역명],F$3)</f>
        <v/>
      </c>
      <c r="G105" s="45">
        <f>SUMIFS(RawDataKWh[일사합_kWh_m2],RawDataKWh[연월],$A105,RawDataKWh[지역명],G$3)</f>
        <v/>
      </c>
      <c r="H105" s="45">
        <f>SUMIFS(RawDataKWh[일사합_kWh_m2],RawDataKWh[연월],$A105,RawDataKWh[지역명],H$3)</f>
        <v/>
      </c>
      <c r="I105" s="45">
        <f>SUMIFS(RawDataKWh[일사합_kWh_m2],RawDataKWh[연월],$A105,RawDataKWh[지역명],I$3)</f>
        <v/>
      </c>
      <c r="J105" s="45">
        <f>SUMIFS(RawDataKWh[일사합_kWh_m2],RawDataKWh[연월],$A105,RawDataKWh[지역명],J$3)</f>
        <v/>
      </c>
      <c r="K105" s="45">
        <f>SUMIFS(RawDataKWh[일사합_kWh_m2],RawDataKWh[연월],$A105,RawDataKWh[지역명],K$3)</f>
        <v/>
      </c>
      <c r="L105" s="45">
        <f>AVERAGE(B105:K105)</f>
        <v/>
      </c>
      <c r="N105" s="19">
        <f>$A105</f>
        <v/>
      </c>
      <c r="O105" s="46">
        <f>AVERAGEIFS(RawDataKWh[일평균_일사합_kWh_m2],RawDataKWh[연월],$A105,RawDataKWh[지역명],O$3)</f>
        <v/>
      </c>
      <c r="P105" s="46">
        <f>AVERAGEIFS(RawDataKWh[일평균_일사합_kWh_m2],RawDataKWh[연월],$A105,RawDataKWh[지역명],P$3)</f>
        <v/>
      </c>
      <c r="Q105" s="46">
        <f>AVERAGEIFS(RawDataKWh[일평균_일사합_kWh_m2],RawDataKWh[연월],$A105,RawDataKWh[지역명],Q$3)</f>
        <v/>
      </c>
      <c r="R105" s="46">
        <f>AVERAGEIFS(RawDataKWh[일평균_일사합_kWh_m2],RawDataKWh[연월],$A105,RawDataKWh[지역명],R$3)</f>
        <v/>
      </c>
      <c r="S105" s="46">
        <f>AVERAGEIFS(RawDataKWh[일평균_일사합_kWh_m2],RawDataKWh[연월],$A105,RawDataKWh[지역명],S$3)</f>
        <v/>
      </c>
      <c r="T105" s="46">
        <f>AVERAGEIFS(RawDataKWh[일평균_일사합_kWh_m2],RawDataKWh[연월],$A105,RawDataKWh[지역명],T$3)</f>
        <v/>
      </c>
      <c r="U105" s="46">
        <f>AVERAGEIFS(RawDataKWh[일평균_일사합_kWh_m2],RawDataKWh[연월],$A105,RawDataKWh[지역명],U$3)</f>
        <v/>
      </c>
      <c r="V105" s="46">
        <f>AVERAGEIFS(RawDataKWh[일평균_일사합_kWh_m2],RawDataKWh[연월],$A105,RawDataKWh[지역명],V$3)</f>
        <v/>
      </c>
      <c r="W105" s="46">
        <f>AVERAGEIFS(RawDataKWh[일평균_일사합_kWh_m2],RawDataKWh[연월],$A105,RawDataKWh[지역명],W$3)</f>
        <v/>
      </c>
      <c r="X105" s="46">
        <f>AVERAGEIFS(RawDataKWh[일평균_일사합_kWh_m2],RawDataKWh[연월],$A105,RawDataKWh[지역명],X$3)</f>
        <v/>
      </c>
      <c r="Y105" s="46">
        <f>AVERAGE(O105:X105)</f>
        <v/>
      </c>
    </row>
    <row r="106" ht="16" customHeight="1">
      <c r="A106" s="17" t="inlineStr">
        <is>
          <t>2024-07</t>
        </is>
      </c>
      <c r="B106" s="41">
        <f>SUMIFS(RawDataKWh[일사합_kWh_m2],RawDataKWh[연월],$A106,RawDataKWh[지역명],B$3)</f>
        <v/>
      </c>
      <c r="C106" s="41">
        <f>SUMIFS(RawDataKWh[일사합_kWh_m2],RawDataKWh[연월],$A106,RawDataKWh[지역명],C$3)</f>
        <v/>
      </c>
      <c r="D106" s="41">
        <f>SUMIFS(RawDataKWh[일사합_kWh_m2],RawDataKWh[연월],$A106,RawDataKWh[지역명],D$3)</f>
        <v/>
      </c>
      <c r="E106" s="41">
        <f>SUMIFS(RawDataKWh[일사합_kWh_m2],RawDataKWh[연월],$A106,RawDataKWh[지역명],E$3)</f>
        <v/>
      </c>
      <c r="F106" s="41">
        <f>SUMIFS(RawDataKWh[일사합_kWh_m2],RawDataKWh[연월],$A106,RawDataKWh[지역명],F$3)</f>
        <v/>
      </c>
      <c r="G106" s="41">
        <f>SUMIFS(RawDataKWh[일사합_kWh_m2],RawDataKWh[연월],$A106,RawDataKWh[지역명],G$3)</f>
        <v/>
      </c>
      <c r="H106" s="41">
        <f>SUMIFS(RawDataKWh[일사합_kWh_m2],RawDataKWh[연월],$A106,RawDataKWh[지역명],H$3)</f>
        <v/>
      </c>
      <c r="I106" s="41">
        <f>SUMIFS(RawDataKWh[일사합_kWh_m2],RawDataKWh[연월],$A106,RawDataKWh[지역명],I$3)</f>
        <v/>
      </c>
      <c r="J106" s="41">
        <f>SUMIFS(RawDataKWh[일사합_kWh_m2],RawDataKWh[연월],$A106,RawDataKWh[지역명],J$3)</f>
        <v/>
      </c>
      <c r="K106" s="41">
        <f>SUMIFS(RawDataKWh[일사합_kWh_m2],RawDataKWh[연월],$A106,RawDataKWh[지역명],K$3)</f>
        <v/>
      </c>
      <c r="L106" s="41">
        <f>AVERAGE(B106:K106)</f>
        <v/>
      </c>
      <c r="N106" s="17">
        <f>$A106</f>
        <v/>
      </c>
      <c r="O106" s="42">
        <f>AVERAGEIFS(RawDataKWh[일평균_일사합_kWh_m2],RawDataKWh[연월],$A106,RawDataKWh[지역명],O$3)</f>
        <v/>
      </c>
      <c r="P106" s="42">
        <f>AVERAGEIFS(RawDataKWh[일평균_일사합_kWh_m2],RawDataKWh[연월],$A106,RawDataKWh[지역명],P$3)</f>
        <v/>
      </c>
      <c r="Q106" s="42">
        <f>AVERAGEIFS(RawDataKWh[일평균_일사합_kWh_m2],RawDataKWh[연월],$A106,RawDataKWh[지역명],Q$3)</f>
        <v/>
      </c>
      <c r="R106" s="42">
        <f>AVERAGEIFS(RawDataKWh[일평균_일사합_kWh_m2],RawDataKWh[연월],$A106,RawDataKWh[지역명],R$3)</f>
        <v/>
      </c>
      <c r="S106" s="42">
        <f>AVERAGEIFS(RawDataKWh[일평균_일사합_kWh_m2],RawDataKWh[연월],$A106,RawDataKWh[지역명],S$3)</f>
        <v/>
      </c>
      <c r="T106" s="42">
        <f>AVERAGEIFS(RawDataKWh[일평균_일사합_kWh_m2],RawDataKWh[연월],$A106,RawDataKWh[지역명],T$3)</f>
        <v/>
      </c>
      <c r="U106" s="42">
        <f>AVERAGEIFS(RawDataKWh[일평균_일사합_kWh_m2],RawDataKWh[연월],$A106,RawDataKWh[지역명],U$3)</f>
        <v/>
      </c>
      <c r="V106" s="42">
        <f>AVERAGEIFS(RawDataKWh[일평균_일사합_kWh_m2],RawDataKWh[연월],$A106,RawDataKWh[지역명],V$3)</f>
        <v/>
      </c>
      <c r="W106" s="42">
        <f>AVERAGEIFS(RawDataKWh[일평균_일사합_kWh_m2],RawDataKWh[연월],$A106,RawDataKWh[지역명],W$3)</f>
        <v/>
      </c>
      <c r="X106" s="42">
        <f>AVERAGEIFS(RawDataKWh[일평균_일사합_kWh_m2],RawDataKWh[연월],$A106,RawDataKWh[지역명],X$3)</f>
        <v/>
      </c>
      <c r="Y106" s="42">
        <f>AVERAGE(O106:X106)</f>
        <v/>
      </c>
    </row>
    <row r="107" ht="16" customHeight="1">
      <c r="A107" s="19" t="inlineStr">
        <is>
          <t>2024-08</t>
        </is>
      </c>
      <c r="B107" s="45">
        <f>SUMIFS(RawDataKWh[일사합_kWh_m2],RawDataKWh[연월],$A107,RawDataKWh[지역명],B$3)</f>
        <v/>
      </c>
      <c r="C107" s="45">
        <f>SUMIFS(RawDataKWh[일사합_kWh_m2],RawDataKWh[연월],$A107,RawDataKWh[지역명],C$3)</f>
        <v/>
      </c>
      <c r="D107" s="45">
        <f>SUMIFS(RawDataKWh[일사합_kWh_m2],RawDataKWh[연월],$A107,RawDataKWh[지역명],D$3)</f>
        <v/>
      </c>
      <c r="E107" s="45">
        <f>SUMIFS(RawDataKWh[일사합_kWh_m2],RawDataKWh[연월],$A107,RawDataKWh[지역명],E$3)</f>
        <v/>
      </c>
      <c r="F107" s="45">
        <f>SUMIFS(RawDataKWh[일사합_kWh_m2],RawDataKWh[연월],$A107,RawDataKWh[지역명],F$3)</f>
        <v/>
      </c>
      <c r="G107" s="45">
        <f>SUMIFS(RawDataKWh[일사합_kWh_m2],RawDataKWh[연월],$A107,RawDataKWh[지역명],G$3)</f>
        <v/>
      </c>
      <c r="H107" s="45">
        <f>SUMIFS(RawDataKWh[일사합_kWh_m2],RawDataKWh[연월],$A107,RawDataKWh[지역명],H$3)</f>
        <v/>
      </c>
      <c r="I107" s="45">
        <f>SUMIFS(RawDataKWh[일사합_kWh_m2],RawDataKWh[연월],$A107,RawDataKWh[지역명],I$3)</f>
        <v/>
      </c>
      <c r="J107" s="45">
        <f>SUMIFS(RawDataKWh[일사합_kWh_m2],RawDataKWh[연월],$A107,RawDataKWh[지역명],J$3)</f>
        <v/>
      </c>
      <c r="K107" s="45">
        <f>SUMIFS(RawDataKWh[일사합_kWh_m2],RawDataKWh[연월],$A107,RawDataKWh[지역명],K$3)</f>
        <v/>
      </c>
      <c r="L107" s="45">
        <f>AVERAGE(B107:K107)</f>
        <v/>
      </c>
      <c r="N107" s="19">
        <f>$A107</f>
        <v/>
      </c>
      <c r="O107" s="46">
        <f>AVERAGEIFS(RawDataKWh[일평균_일사합_kWh_m2],RawDataKWh[연월],$A107,RawDataKWh[지역명],O$3)</f>
        <v/>
      </c>
      <c r="P107" s="46">
        <f>AVERAGEIFS(RawDataKWh[일평균_일사합_kWh_m2],RawDataKWh[연월],$A107,RawDataKWh[지역명],P$3)</f>
        <v/>
      </c>
      <c r="Q107" s="46">
        <f>AVERAGEIFS(RawDataKWh[일평균_일사합_kWh_m2],RawDataKWh[연월],$A107,RawDataKWh[지역명],Q$3)</f>
        <v/>
      </c>
      <c r="R107" s="46">
        <f>AVERAGEIFS(RawDataKWh[일평균_일사합_kWh_m2],RawDataKWh[연월],$A107,RawDataKWh[지역명],R$3)</f>
        <v/>
      </c>
      <c r="S107" s="46">
        <f>AVERAGEIFS(RawDataKWh[일평균_일사합_kWh_m2],RawDataKWh[연월],$A107,RawDataKWh[지역명],S$3)</f>
        <v/>
      </c>
      <c r="T107" s="46">
        <f>AVERAGEIFS(RawDataKWh[일평균_일사합_kWh_m2],RawDataKWh[연월],$A107,RawDataKWh[지역명],T$3)</f>
        <v/>
      </c>
      <c r="U107" s="46">
        <f>AVERAGEIFS(RawDataKWh[일평균_일사합_kWh_m2],RawDataKWh[연월],$A107,RawDataKWh[지역명],U$3)</f>
        <v/>
      </c>
      <c r="V107" s="46">
        <f>AVERAGEIFS(RawDataKWh[일평균_일사합_kWh_m2],RawDataKWh[연월],$A107,RawDataKWh[지역명],V$3)</f>
        <v/>
      </c>
      <c r="W107" s="46">
        <f>AVERAGEIFS(RawDataKWh[일평균_일사합_kWh_m2],RawDataKWh[연월],$A107,RawDataKWh[지역명],W$3)</f>
        <v/>
      </c>
      <c r="X107" s="46">
        <f>AVERAGEIFS(RawDataKWh[일평균_일사합_kWh_m2],RawDataKWh[연월],$A107,RawDataKWh[지역명],X$3)</f>
        <v/>
      </c>
      <c r="Y107" s="46">
        <f>AVERAGE(O107:X107)</f>
        <v/>
      </c>
    </row>
    <row r="108" ht="16" customHeight="1">
      <c r="A108" s="17" t="inlineStr">
        <is>
          <t>2024-09</t>
        </is>
      </c>
      <c r="B108" s="41">
        <f>SUMIFS(RawDataKWh[일사합_kWh_m2],RawDataKWh[연월],$A108,RawDataKWh[지역명],B$3)</f>
        <v/>
      </c>
      <c r="C108" s="41">
        <f>SUMIFS(RawDataKWh[일사합_kWh_m2],RawDataKWh[연월],$A108,RawDataKWh[지역명],C$3)</f>
        <v/>
      </c>
      <c r="D108" s="41">
        <f>SUMIFS(RawDataKWh[일사합_kWh_m2],RawDataKWh[연월],$A108,RawDataKWh[지역명],D$3)</f>
        <v/>
      </c>
      <c r="E108" s="41">
        <f>SUMIFS(RawDataKWh[일사합_kWh_m2],RawDataKWh[연월],$A108,RawDataKWh[지역명],E$3)</f>
        <v/>
      </c>
      <c r="F108" s="41">
        <f>SUMIFS(RawDataKWh[일사합_kWh_m2],RawDataKWh[연월],$A108,RawDataKWh[지역명],F$3)</f>
        <v/>
      </c>
      <c r="G108" s="41">
        <f>SUMIFS(RawDataKWh[일사합_kWh_m2],RawDataKWh[연월],$A108,RawDataKWh[지역명],G$3)</f>
        <v/>
      </c>
      <c r="H108" s="41">
        <f>SUMIFS(RawDataKWh[일사합_kWh_m2],RawDataKWh[연월],$A108,RawDataKWh[지역명],H$3)</f>
        <v/>
      </c>
      <c r="I108" s="41">
        <f>SUMIFS(RawDataKWh[일사합_kWh_m2],RawDataKWh[연월],$A108,RawDataKWh[지역명],I$3)</f>
        <v/>
      </c>
      <c r="J108" s="41">
        <f>SUMIFS(RawDataKWh[일사합_kWh_m2],RawDataKWh[연월],$A108,RawDataKWh[지역명],J$3)</f>
        <v/>
      </c>
      <c r="K108" s="41">
        <f>SUMIFS(RawDataKWh[일사합_kWh_m2],RawDataKWh[연월],$A108,RawDataKWh[지역명],K$3)</f>
        <v/>
      </c>
      <c r="L108" s="41">
        <f>AVERAGE(B108:K108)</f>
        <v/>
      </c>
      <c r="N108" s="17">
        <f>$A108</f>
        <v/>
      </c>
      <c r="O108" s="42">
        <f>AVERAGEIFS(RawDataKWh[일평균_일사합_kWh_m2],RawDataKWh[연월],$A108,RawDataKWh[지역명],O$3)</f>
        <v/>
      </c>
      <c r="P108" s="42">
        <f>AVERAGEIFS(RawDataKWh[일평균_일사합_kWh_m2],RawDataKWh[연월],$A108,RawDataKWh[지역명],P$3)</f>
        <v/>
      </c>
      <c r="Q108" s="42">
        <f>AVERAGEIFS(RawDataKWh[일평균_일사합_kWh_m2],RawDataKWh[연월],$A108,RawDataKWh[지역명],Q$3)</f>
        <v/>
      </c>
      <c r="R108" s="42">
        <f>AVERAGEIFS(RawDataKWh[일평균_일사합_kWh_m2],RawDataKWh[연월],$A108,RawDataKWh[지역명],R$3)</f>
        <v/>
      </c>
      <c r="S108" s="42">
        <f>AVERAGEIFS(RawDataKWh[일평균_일사합_kWh_m2],RawDataKWh[연월],$A108,RawDataKWh[지역명],S$3)</f>
        <v/>
      </c>
      <c r="T108" s="42">
        <f>AVERAGEIFS(RawDataKWh[일평균_일사합_kWh_m2],RawDataKWh[연월],$A108,RawDataKWh[지역명],T$3)</f>
        <v/>
      </c>
      <c r="U108" s="42">
        <f>AVERAGEIFS(RawDataKWh[일평균_일사합_kWh_m2],RawDataKWh[연월],$A108,RawDataKWh[지역명],U$3)</f>
        <v/>
      </c>
      <c r="V108" s="42">
        <f>AVERAGEIFS(RawDataKWh[일평균_일사합_kWh_m2],RawDataKWh[연월],$A108,RawDataKWh[지역명],V$3)</f>
        <v/>
      </c>
      <c r="W108" s="42">
        <f>AVERAGEIFS(RawDataKWh[일평균_일사합_kWh_m2],RawDataKWh[연월],$A108,RawDataKWh[지역명],W$3)</f>
        <v/>
      </c>
      <c r="X108" s="42">
        <f>AVERAGEIFS(RawDataKWh[일평균_일사합_kWh_m2],RawDataKWh[연월],$A108,RawDataKWh[지역명],X$3)</f>
        <v/>
      </c>
      <c r="Y108" s="42">
        <f>AVERAGE(O108:X108)</f>
        <v/>
      </c>
    </row>
    <row r="109" ht="16" customHeight="1">
      <c r="A109" s="19" t="inlineStr">
        <is>
          <t>2024-10</t>
        </is>
      </c>
      <c r="B109" s="45">
        <f>SUMIFS(RawDataKWh[일사합_kWh_m2],RawDataKWh[연월],$A109,RawDataKWh[지역명],B$3)</f>
        <v/>
      </c>
      <c r="C109" s="45">
        <f>SUMIFS(RawDataKWh[일사합_kWh_m2],RawDataKWh[연월],$A109,RawDataKWh[지역명],C$3)</f>
        <v/>
      </c>
      <c r="D109" s="45">
        <f>SUMIFS(RawDataKWh[일사합_kWh_m2],RawDataKWh[연월],$A109,RawDataKWh[지역명],D$3)</f>
        <v/>
      </c>
      <c r="E109" s="45">
        <f>SUMIFS(RawDataKWh[일사합_kWh_m2],RawDataKWh[연월],$A109,RawDataKWh[지역명],E$3)</f>
        <v/>
      </c>
      <c r="F109" s="45">
        <f>SUMIFS(RawDataKWh[일사합_kWh_m2],RawDataKWh[연월],$A109,RawDataKWh[지역명],F$3)</f>
        <v/>
      </c>
      <c r="G109" s="45">
        <f>SUMIFS(RawDataKWh[일사합_kWh_m2],RawDataKWh[연월],$A109,RawDataKWh[지역명],G$3)</f>
        <v/>
      </c>
      <c r="H109" s="45">
        <f>SUMIFS(RawDataKWh[일사합_kWh_m2],RawDataKWh[연월],$A109,RawDataKWh[지역명],H$3)</f>
        <v/>
      </c>
      <c r="I109" s="45">
        <f>SUMIFS(RawDataKWh[일사합_kWh_m2],RawDataKWh[연월],$A109,RawDataKWh[지역명],I$3)</f>
        <v/>
      </c>
      <c r="J109" s="45">
        <f>SUMIFS(RawDataKWh[일사합_kWh_m2],RawDataKWh[연월],$A109,RawDataKWh[지역명],J$3)</f>
        <v/>
      </c>
      <c r="K109" s="45">
        <f>SUMIFS(RawDataKWh[일사합_kWh_m2],RawDataKWh[연월],$A109,RawDataKWh[지역명],K$3)</f>
        <v/>
      </c>
      <c r="L109" s="45">
        <f>AVERAGE(B109:K109)</f>
        <v/>
      </c>
      <c r="N109" s="19">
        <f>$A109</f>
        <v/>
      </c>
      <c r="O109" s="46">
        <f>AVERAGEIFS(RawDataKWh[일평균_일사합_kWh_m2],RawDataKWh[연월],$A109,RawDataKWh[지역명],O$3)</f>
        <v/>
      </c>
      <c r="P109" s="46">
        <f>AVERAGEIFS(RawDataKWh[일평균_일사합_kWh_m2],RawDataKWh[연월],$A109,RawDataKWh[지역명],P$3)</f>
        <v/>
      </c>
      <c r="Q109" s="46">
        <f>AVERAGEIFS(RawDataKWh[일평균_일사합_kWh_m2],RawDataKWh[연월],$A109,RawDataKWh[지역명],Q$3)</f>
        <v/>
      </c>
      <c r="R109" s="46">
        <f>AVERAGEIFS(RawDataKWh[일평균_일사합_kWh_m2],RawDataKWh[연월],$A109,RawDataKWh[지역명],R$3)</f>
        <v/>
      </c>
      <c r="S109" s="46">
        <f>AVERAGEIFS(RawDataKWh[일평균_일사합_kWh_m2],RawDataKWh[연월],$A109,RawDataKWh[지역명],S$3)</f>
        <v/>
      </c>
      <c r="T109" s="46">
        <f>AVERAGEIFS(RawDataKWh[일평균_일사합_kWh_m2],RawDataKWh[연월],$A109,RawDataKWh[지역명],T$3)</f>
        <v/>
      </c>
      <c r="U109" s="46">
        <f>AVERAGEIFS(RawDataKWh[일평균_일사합_kWh_m2],RawDataKWh[연월],$A109,RawDataKWh[지역명],U$3)</f>
        <v/>
      </c>
      <c r="V109" s="46">
        <f>AVERAGEIFS(RawDataKWh[일평균_일사합_kWh_m2],RawDataKWh[연월],$A109,RawDataKWh[지역명],V$3)</f>
        <v/>
      </c>
      <c r="W109" s="46">
        <f>AVERAGEIFS(RawDataKWh[일평균_일사합_kWh_m2],RawDataKWh[연월],$A109,RawDataKWh[지역명],W$3)</f>
        <v/>
      </c>
      <c r="X109" s="46">
        <f>AVERAGEIFS(RawDataKWh[일평균_일사합_kWh_m2],RawDataKWh[연월],$A109,RawDataKWh[지역명],X$3)</f>
        <v/>
      </c>
      <c r="Y109" s="46">
        <f>AVERAGE(O109:X109)</f>
        <v/>
      </c>
    </row>
    <row r="110" ht="16" customHeight="1">
      <c r="A110" s="17" t="inlineStr">
        <is>
          <t>2024-11</t>
        </is>
      </c>
      <c r="B110" s="41">
        <f>SUMIFS(RawDataKWh[일사합_kWh_m2],RawDataKWh[연월],$A110,RawDataKWh[지역명],B$3)</f>
        <v/>
      </c>
      <c r="C110" s="41">
        <f>SUMIFS(RawDataKWh[일사합_kWh_m2],RawDataKWh[연월],$A110,RawDataKWh[지역명],C$3)</f>
        <v/>
      </c>
      <c r="D110" s="41">
        <f>SUMIFS(RawDataKWh[일사합_kWh_m2],RawDataKWh[연월],$A110,RawDataKWh[지역명],D$3)</f>
        <v/>
      </c>
      <c r="E110" s="41">
        <f>SUMIFS(RawDataKWh[일사합_kWh_m2],RawDataKWh[연월],$A110,RawDataKWh[지역명],E$3)</f>
        <v/>
      </c>
      <c r="F110" s="41">
        <f>SUMIFS(RawDataKWh[일사합_kWh_m2],RawDataKWh[연월],$A110,RawDataKWh[지역명],F$3)</f>
        <v/>
      </c>
      <c r="G110" s="41">
        <f>SUMIFS(RawDataKWh[일사합_kWh_m2],RawDataKWh[연월],$A110,RawDataKWh[지역명],G$3)</f>
        <v/>
      </c>
      <c r="H110" s="41">
        <f>SUMIFS(RawDataKWh[일사합_kWh_m2],RawDataKWh[연월],$A110,RawDataKWh[지역명],H$3)</f>
        <v/>
      </c>
      <c r="I110" s="41">
        <f>SUMIFS(RawDataKWh[일사합_kWh_m2],RawDataKWh[연월],$A110,RawDataKWh[지역명],I$3)</f>
        <v/>
      </c>
      <c r="J110" s="41">
        <f>SUMIFS(RawDataKWh[일사합_kWh_m2],RawDataKWh[연월],$A110,RawDataKWh[지역명],J$3)</f>
        <v/>
      </c>
      <c r="K110" s="41">
        <f>SUMIFS(RawDataKWh[일사합_kWh_m2],RawDataKWh[연월],$A110,RawDataKWh[지역명],K$3)</f>
        <v/>
      </c>
      <c r="L110" s="41">
        <f>AVERAGE(B110:K110)</f>
        <v/>
      </c>
      <c r="N110" s="17">
        <f>$A110</f>
        <v/>
      </c>
      <c r="O110" s="42">
        <f>AVERAGEIFS(RawDataKWh[일평균_일사합_kWh_m2],RawDataKWh[연월],$A110,RawDataKWh[지역명],O$3)</f>
        <v/>
      </c>
      <c r="P110" s="42">
        <f>AVERAGEIFS(RawDataKWh[일평균_일사합_kWh_m2],RawDataKWh[연월],$A110,RawDataKWh[지역명],P$3)</f>
        <v/>
      </c>
      <c r="Q110" s="42">
        <f>AVERAGEIFS(RawDataKWh[일평균_일사합_kWh_m2],RawDataKWh[연월],$A110,RawDataKWh[지역명],Q$3)</f>
        <v/>
      </c>
      <c r="R110" s="42">
        <f>AVERAGEIFS(RawDataKWh[일평균_일사합_kWh_m2],RawDataKWh[연월],$A110,RawDataKWh[지역명],R$3)</f>
        <v/>
      </c>
      <c r="S110" s="42">
        <f>AVERAGEIFS(RawDataKWh[일평균_일사합_kWh_m2],RawDataKWh[연월],$A110,RawDataKWh[지역명],S$3)</f>
        <v/>
      </c>
      <c r="T110" s="42">
        <f>AVERAGEIFS(RawDataKWh[일평균_일사합_kWh_m2],RawDataKWh[연월],$A110,RawDataKWh[지역명],T$3)</f>
        <v/>
      </c>
      <c r="U110" s="42">
        <f>AVERAGEIFS(RawDataKWh[일평균_일사합_kWh_m2],RawDataKWh[연월],$A110,RawDataKWh[지역명],U$3)</f>
        <v/>
      </c>
      <c r="V110" s="42">
        <f>AVERAGEIFS(RawDataKWh[일평균_일사합_kWh_m2],RawDataKWh[연월],$A110,RawDataKWh[지역명],V$3)</f>
        <v/>
      </c>
      <c r="W110" s="42">
        <f>AVERAGEIFS(RawDataKWh[일평균_일사합_kWh_m2],RawDataKWh[연월],$A110,RawDataKWh[지역명],W$3)</f>
        <v/>
      </c>
      <c r="X110" s="42">
        <f>AVERAGEIFS(RawDataKWh[일평균_일사합_kWh_m2],RawDataKWh[연월],$A110,RawDataKWh[지역명],X$3)</f>
        <v/>
      </c>
      <c r="Y110" s="42">
        <f>AVERAGE(O110:X110)</f>
        <v/>
      </c>
    </row>
    <row r="111" ht="16" customHeight="1">
      <c r="A111" s="19" t="inlineStr">
        <is>
          <t>2024-12</t>
        </is>
      </c>
      <c r="B111" s="45">
        <f>SUMIFS(RawDataKWh[일사합_kWh_m2],RawDataKWh[연월],$A111,RawDataKWh[지역명],B$3)</f>
        <v/>
      </c>
      <c r="C111" s="45">
        <f>SUMIFS(RawDataKWh[일사합_kWh_m2],RawDataKWh[연월],$A111,RawDataKWh[지역명],C$3)</f>
        <v/>
      </c>
      <c r="D111" s="45">
        <f>SUMIFS(RawDataKWh[일사합_kWh_m2],RawDataKWh[연월],$A111,RawDataKWh[지역명],D$3)</f>
        <v/>
      </c>
      <c r="E111" s="45">
        <f>SUMIFS(RawDataKWh[일사합_kWh_m2],RawDataKWh[연월],$A111,RawDataKWh[지역명],E$3)</f>
        <v/>
      </c>
      <c r="F111" s="45">
        <f>SUMIFS(RawDataKWh[일사합_kWh_m2],RawDataKWh[연월],$A111,RawDataKWh[지역명],F$3)</f>
        <v/>
      </c>
      <c r="G111" s="45">
        <f>SUMIFS(RawDataKWh[일사합_kWh_m2],RawDataKWh[연월],$A111,RawDataKWh[지역명],G$3)</f>
        <v/>
      </c>
      <c r="H111" s="45">
        <f>SUMIFS(RawDataKWh[일사합_kWh_m2],RawDataKWh[연월],$A111,RawDataKWh[지역명],H$3)</f>
        <v/>
      </c>
      <c r="I111" s="45">
        <f>SUMIFS(RawDataKWh[일사합_kWh_m2],RawDataKWh[연월],$A111,RawDataKWh[지역명],I$3)</f>
        <v/>
      </c>
      <c r="J111" s="45">
        <f>SUMIFS(RawDataKWh[일사합_kWh_m2],RawDataKWh[연월],$A111,RawDataKWh[지역명],J$3)</f>
        <v/>
      </c>
      <c r="K111" s="45">
        <f>SUMIFS(RawDataKWh[일사합_kWh_m2],RawDataKWh[연월],$A111,RawDataKWh[지역명],K$3)</f>
        <v/>
      </c>
      <c r="L111" s="45">
        <f>AVERAGE(B111:K111)</f>
        <v/>
      </c>
      <c r="N111" s="19">
        <f>$A111</f>
        <v/>
      </c>
      <c r="O111" s="46">
        <f>AVERAGEIFS(RawDataKWh[일평균_일사합_kWh_m2],RawDataKWh[연월],$A111,RawDataKWh[지역명],O$3)</f>
        <v/>
      </c>
      <c r="P111" s="46">
        <f>AVERAGEIFS(RawDataKWh[일평균_일사합_kWh_m2],RawDataKWh[연월],$A111,RawDataKWh[지역명],P$3)</f>
        <v/>
      </c>
      <c r="Q111" s="46">
        <f>AVERAGEIFS(RawDataKWh[일평균_일사합_kWh_m2],RawDataKWh[연월],$A111,RawDataKWh[지역명],Q$3)</f>
        <v/>
      </c>
      <c r="R111" s="46">
        <f>AVERAGEIFS(RawDataKWh[일평균_일사합_kWh_m2],RawDataKWh[연월],$A111,RawDataKWh[지역명],R$3)</f>
        <v/>
      </c>
      <c r="S111" s="46">
        <f>AVERAGEIFS(RawDataKWh[일평균_일사합_kWh_m2],RawDataKWh[연월],$A111,RawDataKWh[지역명],S$3)</f>
        <v/>
      </c>
      <c r="T111" s="46">
        <f>AVERAGEIFS(RawDataKWh[일평균_일사합_kWh_m2],RawDataKWh[연월],$A111,RawDataKWh[지역명],T$3)</f>
        <v/>
      </c>
      <c r="U111" s="46">
        <f>AVERAGEIFS(RawDataKWh[일평균_일사합_kWh_m2],RawDataKWh[연월],$A111,RawDataKWh[지역명],U$3)</f>
        <v/>
      </c>
      <c r="V111" s="46">
        <f>AVERAGEIFS(RawDataKWh[일평균_일사합_kWh_m2],RawDataKWh[연월],$A111,RawDataKWh[지역명],V$3)</f>
        <v/>
      </c>
      <c r="W111" s="46">
        <f>AVERAGEIFS(RawDataKWh[일평균_일사합_kWh_m2],RawDataKWh[연월],$A111,RawDataKWh[지역명],W$3)</f>
        <v/>
      </c>
      <c r="X111" s="46">
        <f>AVERAGEIFS(RawDataKWh[일평균_일사합_kWh_m2],RawDataKWh[연월],$A111,RawDataKWh[지역명],X$3)</f>
        <v/>
      </c>
      <c r="Y111" s="46">
        <f>AVERAGE(O111:X111)</f>
        <v/>
      </c>
    </row>
    <row r="112" ht="16" customHeight="1">
      <c r="A112" s="17" t="inlineStr">
        <is>
          <t>2025-01</t>
        </is>
      </c>
      <c r="B112" s="41">
        <f>SUMIFS(RawDataKWh[일사합_kWh_m2],RawDataKWh[연월],$A112,RawDataKWh[지역명],B$3)</f>
        <v/>
      </c>
      <c r="C112" s="41">
        <f>SUMIFS(RawDataKWh[일사합_kWh_m2],RawDataKWh[연월],$A112,RawDataKWh[지역명],C$3)</f>
        <v/>
      </c>
      <c r="D112" s="41">
        <f>SUMIFS(RawDataKWh[일사합_kWh_m2],RawDataKWh[연월],$A112,RawDataKWh[지역명],D$3)</f>
        <v/>
      </c>
      <c r="E112" s="41">
        <f>SUMIFS(RawDataKWh[일사합_kWh_m2],RawDataKWh[연월],$A112,RawDataKWh[지역명],E$3)</f>
        <v/>
      </c>
      <c r="F112" s="41">
        <f>SUMIFS(RawDataKWh[일사합_kWh_m2],RawDataKWh[연월],$A112,RawDataKWh[지역명],F$3)</f>
        <v/>
      </c>
      <c r="G112" s="41">
        <f>SUMIFS(RawDataKWh[일사합_kWh_m2],RawDataKWh[연월],$A112,RawDataKWh[지역명],G$3)</f>
        <v/>
      </c>
      <c r="H112" s="41">
        <f>SUMIFS(RawDataKWh[일사합_kWh_m2],RawDataKWh[연월],$A112,RawDataKWh[지역명],H$3)</f>
        <v/>
      </c>
      <c r="I112" s="41">
        <f>SUMIFS(RawDataKWh[일사합_kWh_m2],RawDataKWh[연월],$A112,RawDataKWh[지역명],I$3)</f>
        <v/>
      </c>
      <c r="J112" s="41">
        <f>SUMIFS(RawDataKWh[일사합_kWh_m2],RawDataKWh[연월],$A112,RawDataKWh[지역명],J$3)</f>
        <v/>
      </c>
      <c r="K112" s="41">
        <f>SUMIFS(RawDataKWh[일사합_kWh_m2],RawDataKWh[연월],$A112,RawDataKWh[지역명],K$3)</f>
        <v/>
      </c>
      <c r="L112" s="41">
        <f>AVERAGE(B112:K112)</f>
        <v/>
      </c>
      <c r="N112" s="17">
        <f>$A112</f>
        <v/>
      </c>
      <c r="O112" s="42">
        <f>AVERAGEIFS(RawDataKWh[일평균_일사합_kWh_m2],RawDataKWh[연월],$A112,RawDataKWh[지역명],O$3)</f>
        <v/>
      </c>
      <c r="P112" s="42">
        <f>AVERAGEIFS(RawDataKWh[일평균_일사합_kWh_m2],RawDataKWh[연월],$A112,RawDataKWh[지역명],P$3)</f>
        <v/>
      </c>
      <c r="Q112" s="42">
        <f>AVERAGEIFS(RawDataKWh[일평균_일사합_kWh_m2],RawDataKWh[연월],$A112,RawDataKWh[지역명],Q$3)</f>
        <v/>
      </c>
      <c r="R112" s="42">
        <f>AVERAGEIFS(RawDataKWh[일평균_일사합_kWh_m2],RawDataKWh[연월],$A112,RawDataKWh[지역명],R$3)</f>
        <v/>
      </c>
      <c r="S112" s="42">
        <f>AVERAGEIFS(RawDataKWh[일평균_일사합_kWh_m2],RawDataKWh[연월],$A112,RawDataKWh[지역명],S$3)</f>
        <v/>
      </c>
      <c r="T112" s="42">
        <f>AVERAGEIFS(RawDataKWh[일평균_일사합_kWh_m2],RawDataKWh[연월],$A112,RawDataKWh[지역명],T$3)</f>
        <v/>
      </c>
      <c r="U112" s="42">
        <f>AVERAGEIFS(RawDataKWh[일평균_일사합_kWh_m2],RawDataKWh[연월],$A112,RawDataKWh[지역명],U$3)</f>
        <v/>
      </c>
      <c r="V112" s="42">
        <f>AVERAGEIFS(RawDataKWh[일평균_일사합_kWh_m2],RawDataKWh[연월],$A112,RawDataKWh[지역명],V$3)</f>
        <v/>
      </c>
      <c r="W112" s="42">
        <f>AVERAGEIFS(RawDataKWh[일평균_일사합_kWh_m2],RawDataKWh[연월],$A112,RawDataKWh[지역명],W$3)</f>
        <v/>
      </c>
      <c r="X112" s="42">
        <f>AVERAGEIFS(RawDataKWh[일평균_일사합_kWh_m2],RawDataKWh[연월],$A112,RawDataKWh[지역명],X$3)</f>
        <v/>
      </c>
      <c r="Y112" s="42">
        <f>AVERAGE(O112:X112)</f>
        <v/>
      </c>
    </row>
    <row r="113" ht="16" customHeight="1">
      <c r="A113" s="19" t="inlineStr">
        <is>
          <t>2025-02</t>
        </is>
      </c>
      <c r="B113" s="45">
        <f>SUMIFS(RawDataKWh[일사합_kWh_m2],RawDataKWh[연월],$A113,RawDataKWh[지역명],B$3)</f>
        <v/>
      </c>
      <c r="C113" s="45">
        <f>SUMIFS(RawDataKWh[일사합_kWh_m2],RawDataKWh[연월],$A113,RawDataKWh[지역명],C$3)</f>
        <v/>
      </c>
      <c r="D113" s="45">
        <f>SUMIFS(RawDataKWh[일사합_kWh_m2],RawDataKWh[연월],$A113,RawDataKWh[지역명],D$3)</f>
        <v/>
      </c>
      <c r="E113" s="45">
        <f>SUMIFS(RawDataKWh[일사합_kWh_m2],RawDataKWh[연월],$A113,RawDataKWh[지역명],E$3)</f>
        <v/>
      </c>
      <c r="F113" s="45">
        <f>SUMIFS(RawDataKWh[일사합_kWh_m2],RawDataKWh[연월],$A113,RawDataKWh[지역명],F$3)</f>
        <v/>
      </c>
      <c r="G113" s="45">
        <f>SUMIFS(RawDataKWh[일사합_kWh_m2],RawDataKWh[연월],$A113,RawDataKWh[지역명],G$3)</f>
        <v/>
      </c>
      <c r="H113" s="45">
        <f>SUMIFS(RawDataKWh[일사합_kWh_m2],RawDataKWh[연월],$A113,RawDataKWh[지역명],H$3)</f>
        <v/>
      </c>
      <c r="I113" s="45">
        <f>SUMIFS(RawDataKWh[일사합_kWh_m2],RawDataKWh[연월],$A113,RawDataKWh[지역명],I$3)</f>
        <v/>
      </c>
      <c r="J113" s="45">
        <f>SUMIFS(RawDataKWh[일사합_kWh_m2],RawDataKWh[연월],$A113,RawDataKWh[지역명],J$3)</f>
        <v/>
      </c>
      <c r="K113" s="45">
        <f>SUMIFS(RawDataKWh[일사합_kWh_m2],RawDataKWh[연월],$A113,RawDataKWh[지역명],K$3)</f>
        <v/>
      </c>
      <c r="L113" s="45">
        <f>AVERAGE(B113:K113)</f>
        <v/>
      </c>
      <c r="N113" s="19">
        <f>$A113</f>
        <v/>
      </c>
      <c r="O113" s="46">
        <f>AVERAGEIFS(RawDataKWh[일평균_일사합_kWh_m2],RawDataKWh[연월],$A113,RawDataKWh[지역명],O$3)</f>
        <v/>
      </c>
      <c r="P113" s="46">
        <f>AVERAGEIFS(RawDataKWh[일평균_일사합_kWh_m2],RawDataKWh[연월],$A113,RawDataKWh[지역명],P$3)</f>
        <v/>
      </c>
      <c r="Q113" s="46">
        <f>AVERAGEIFS(RawDataKWh[일평균_일사합_kWh_m2],RawDataKWh[연월],$A113,RawDataKWh[지역명],Q$3)</f>
        <v/>
      </c>
      <c r="R113" s="46">
        <f>AVERAGEIFS(RawDataKWh[일평균_일사합_kWh_m2],RawDataKWh[연월],$A113,RawDataKWh[지역명],R$3)</f>
        <v/>
      </c>
      <c r="S113" s="46">
        <f>AVERAGEIFS(RawDataKWh[일평균_일사합_kWh_m2],RawDataKWh[연월],$A113,RawDataKWh[지역명],S$3)</f>
        <v/>
      </c>
      <c r="T113" s="46">
        <f>AVERAGEIFS(RawDataKWh[일평균_일사합_kWh_m2],RawDataKWh[연월],$A113,RawDataKWh[지역명],T$3)</f>
        <v/>
      </c>
      <c r="U113" s="46">
        <f>AVERAGEIFS(RawDataKWh[일평균_일사합_kWh_m2],RawDataKWh[연월],$A113,RawDataKWh[지역명],U$3)</f>
        <v/>
      </c>
      <c r="V113" s="46">
        <f>AVERAGEIFS(RawDataKWh[일평균_일사합_kWh_m2],RawDataKWh[연월],$A113,RawDataKWh[지역명],V$3)</f>
        <v/>
      </c>
      <c r="W113" s="46">
        <f>AVERAGEIFS(RawDataKWh[일평균_일사합_kWh_m2],RawDataKWh[연월],$A113,RawDataKWh[지역명],W$3)</f>
        <v/>
      </c>
      <c r="X113" s="46">
        <f>AVERAGEIFS(RawDataKWh[일평균_일사합_kWh_m2],RawDataKWh[연월],$A113,RawDataKWh[지역명],X$3)</f>
        <v/>
      </c>
      <c r="Y113" s="46">
        <f>AVERAGE(O113:X113)</f>
        <v/>
      </c>
    </row>
    <row r="114" ht="16" customHeight="1">
      <c r="A114" s="17" t="inlineStr">
        <is>
          <t>2025-03</t>
        </is>
      </c>
      <c r="B114" s="41">
        <f>SUMIFS(RawDataKWh[일사합_kWh_m2],RawDataKWh[연월],$A114,RawDataKWh[지역명],B$3)</f>
        <v/>
      </c>
      <c r="C114" s="41">
        <f>SUMIFS(RawDataKWh[일사합_kWh_m2],RawDataKWh[연월],$A114,RawDataKWh[지역명],C$3)</f>
        <v/>
      </c>
      <c r="D114" s="41">
        <f>SUMIFS(RawDataKWh[일사합_kWh_m2],RawDataKWh[연월],$A114,RawDataKWh[지역명],D$3)</f>
        <v/>
      </c>
      <c r="E114" s="41">
        <f>SUMIFS(RawDataKWh[일사합_kWh_m2],RawDataKWh[연월],$A114,RawDataKWh[지역명],E$3)</f>
        <v/>
      </c>
      <c r="F114" s="41">
        <f>SUMIFS(RawDataKWh[일사합_kWh_m2],RawDataKWh[연월],$A114,RawDataKWh[지역명],F$3)</f>
        <v/>
      </c>
      <c r="G114" s="41">
        <f>SUMIFS(RawDataKWh[일사합_kWh_m2],RawDataKWh[연월],$A114,RawDataKWh[지역명],G$3)</f>
        <v/>
      </c>
      <c r="H114" s="41">
        <f>SUMIFS(RawDataKWh[일사합_kWh_m2],RawDataKWh[연월],$A114,RawDataKWh[지역명],H$3)</f>
        <v/>
      </c>
      <c r="I114" s="41">
        <f>SUMIFS(RawDataKWh[일사합_kWh_m2],RawDataKWh[연월],$A114,RawDataKWh[지역명],I$3)</f>
        <v/>
      </c>
      <c r="J114" s="41">
        <f>SUMIFS(RawDataKWh[일사합_kWh_m2],RawDataKWh[연월],$A114,RawDataKWh[지역명],J$3)</f>
        <v/>
      </c>
      <c r="K114" s="41">
        <f>SUMIFS(RawDataKWh[일사합_kWh_m2],RawDataKWh[연월],$A114,RawDataKWh[지역명],K$3)</f>
        <v/>
      </c>
      <c r="L114" s="41">
        <f>AVERAGE(B114:K114)</f>
        <v/>
      </c>
      <c r="N114" s="17">
        <f>$A114</f>
        <v/>
      </c>
      <c r="O114" s="42">
        <f>AVERAGEIFS(RawDataKWh[일평균_일사합_kWh_m2],RawDataKWh[연월],$A114,RawDataKWh[지역명],O$3)</f>
        <v/>
      </c>
      <c r="P114" s="42">
        <f>AVERAGEIFS(RawDataKWh[일평균_일사합_kWh_m2],RawDataKWh[연월],$A114,RawDataKWh[지역명],P$3)</f>
        <v/>
      </c>
      <c r="Q114" s="42">
        <f>AVERAGEIFS(RawDataKWh[일평균_일사합_kWh_m2],RawDataKWh[연월],$A114,RawDataKWh[지역명],Q$3)</f>
        <v/>
      </c>
      <c r="R114" s="42">
        <f>AVERAGEIFS(RawDataKWh[일평균_일사합_kWh_m2],RawDataKWh[연월],$A114,RawDataKWh[지역명],R$3)</f>
        <v/>
      </c>
      <c r="S114" s="42">
        <f>AVERAGEIFS(RawDataKWh[일평균_일사합_kWh_m2],RawDataKWh[연월],$A114,RawDataKWh[지역명],S$3)</f>
        <v/>
      </c>
      <c r="T114" s="42">
        <f>AVERAGEIFS(RawDataKWh[일평균_일사합_kWh_m2],RawDataKWh[연월],$A114,RawDataKWh[지역명],T$3)</f>
        <v/>
      </c>
      <c r="U114" s="42">
        <f>AVERAGEIFS(RawDataKWh[일평균_일사합_kWh_m2],RawDataKWh[연월],$A114,RawDataKWh[지역명],U$3)</f>
        <v/>
      </c>
      <c r="V114" s="42">
        <f>AVERAGEIFS(RawDataKWh[일평균_일사합_kWh_m2],RawDataKWh[연월],$A114,RawDataKWh[지역명],V$3)</f>
        <v/>
      </c>
      <c r="W114" s="42">
        <f>AVERAGEIFS(RawDataKWh[일평균_일사합_kWh_m2],RawDataKWh[연월],$A114,RawDataKWh[지역명],W$3)</f>
        <v/>
      </c>
      <c r="X114" s="42">
        <f>AVERAGEIFS(RawDataKWh[일평균_일사합_kWh_m2],RawDataKWh[연월],$A114,RawDataKWh[지역명],X$3)</f>
        <v/>
      </c>
      <c r="Y114" s="42">
        <f>AVERAGE(O114:X114)</f>
        <v/>
      </c>
    </row>
    <row r="115" ht="16" customHeight="1">
      <c r="A115" s="19" t="inlineStr">
        <is>
          <t>2025-04</t>
        </is>
      </c>
      <c r="B115" s="45">
        <f>SUMIFS(RawDataKWh[일사합_kWh_m2],RawDataKWh[연월],$A115,RawDataKWh[지역명],B$3)</f>
        <v/>
      </c>
      <c r="C115" s="45">
        <f>SUMIFS(RawDataKWh[일사합_kWh_m2],RawDataKWh[연월],$A115,RawDataKWh[지역명],C$3)</f>
        <v/>
      </c>
      <c r="D115" s="45">
        <f>SUMIFS(RawDataKWh[일사합_kWh_m2],RawDataKWh[연월],$A115,RawDataKWh[지역명],D$3)</f>
        <v/>
      </c>
      <c r="E115" s="45">
        <f>SUMIFS(RawDataKWh[일사합_kWh_m2],RawDataKWh[연월],$A115,RawDataKWh[지역명],E$3)</f>
        <v/>
      </c>
      <c r="F115" s="45">
        <f>SUMIFS(RawDataKWh[일사합_kWh_m2],RawDataKWh[연월],$A115,RawDataKWh[지역명],F$3)</f>
        <v/>
      </c>
      <c r="G115" s="45">
        <f>SUMIFS(RawDataKWh[일사합_kWh_m2],RawDataKWh[연월],$A115,RawDataKWh[지역명],G$3)</f>
        <v/>
      </c>
      <c r="H115" s="45">
        <f>SUMIFS(RawDataKWh[일사합_kWh_m2],RawDataKWh[연월],$A115,RawDataKWh[지역명],H$3)</f>
        <v/>
      </c>
      <c r="I115" s="45">
        <f>SUMIFS(RawDataKWh[일사합_kWh_m2],RawDataKWh[연월],$A115,RawDataKWh[지역명],I$3)</f>
        <v/>
      </c>
      <c r="J115" s="45">
        <f>SUMIFS(RawDataKWh[일사합_kWh_m2],RawDataKWh[연월],$A115,RawDataKWh[지역명],J$3)</f>
        <v/>
      </c>
      <c r="K115" s="45">
        <f>SUMIFS(RawDataKWh[일사합_kWh_m2],RawDataKWh[연월],$A115,RawDataKWh[지역명],K$3)</f>
        <v/>
      </c>
      <c r="L115" s="45">
        <f>AVERAGE(B115:K115)</f>
        <v/>
      </c>
      <c r="N115" s="19">
        <f>$A115</f>
        <v/>
      </c>
      <c r="O115" s="46">
        <f>AVERAGEIFS(RawDataKWh[일평균_일사합_kWh_m2],RawDataKWh[연월],$A115,RawDataKWh[지역명],O$3)</f>
        <v/>
      </c>
      <c r="P115" s="46">
        <f>AVERAGEIFS(RawDataKWh[일평균_일사합_kWh_m2],RawDataKWh[연월],$A115,RawDataKWh[지역명],P$3)</f>
        <v/>
      </c>
      <c r="Q115" s="46">
        <f>AVERAGEIFS(RawDataKWh[일평균_일사합_kWh_m2],RawDataKWh[연월],$A115,RawDataKWh[지역명],Q$3)</f>
        <v/>
      </c>
      <c r="R115" s="46">
        <f>AVERAGEIFS(RawDataKWh[일평균_일사합_kWh_m2],RawDataKWh[연월],$A115,RawDataKWh[지역명],R$3)</f>
        <v/>
      </c>
      <c r="S115" s="46">
        <f>AVERAGEIFS(RawDataKWh[일평균_일사합_kWh_m2],RawDataKWh[연월],$A115,RawDataKWh[지역명],S$3)</f>
        <v/>
      </c>
      <c r="T115" s="46">
        <f>AVERAGEIFS(RawDataKWh[일평균_일사합_kWh_m2],RawDataKWh[연월],$A115,RawDataKWh[지역명],T$3)</f>
        <v/>
      </c>
      <c r="U115" s="46">
        <f>AVERAGEIFS(RawDataKWh[일평균_일사합_kWh_m2],RawDataKWh[연월],$A115,RawDataKWh[지역명],U$3)</f>
        <v/>
      </c>
      <c r="V115" s="46">
        <f>AVERAGEIFS(RawDataKWh[일평균_일사합_kWh_m2],RawDataKWh[연월],$A115,RawDataKWh[지역명],V$3)</f>
        <v/>
      </c>
      <c r="W115" s="46">
        <f>AVERAGEIFS(RawDataKWh[일평균_일사합_kWh_m2],RawDataKWh[연월],$A115,RawDataKWh[지역명],W$3)</f>
        <v/>
      </c>
      <c r="X115" s="46">
        <f>AVERAGEIFS(RawDataKWh[일평균_일사합_kWh_m2],RawDataKWh[연월],$A115,RawDataKWh[지역명],X$3)</f>
        <v/>
      </c>
      <c r="Y115" s="46">
        <f>AVERAGE(O115:X115)</f>
        <v/>
      </c>
    </row>
    <row r="116" ht="16" customHeight="1">
      <c r="A116" s="17" t="inlineStr">
        <is>
          <t>2025-05</t>
        </is>
      </c>
      <c r="B116" s="41">
        <f>SUMIFS(RawDataKWh[일사합_kWh_m2],RawDataKWh[연월],$A116,RawDataKWh[지역명],B$3)</f>
        <v/>
      </c>
      <c r="C116" s="41">
        <f>SUMIFS(RawDataKWh[일사합_kWh_m2],RawDataKWh[연월],$A116,RawDataKWh[지역명],C$3)</f>
        <v/>
      </c>
      <c r="D116" s="41">
        <f>SUMIFS(RawDataKWh[일사합_kWh_m2],RawDataKWh[연월],$A116,RawDataKWh[지역명],D$3)</f>
        <v/>
      </c>
      <c r="E116" s="41">
        <f>SUMIFS(RawDataKWh[일사합_kWh_m2],RawDataKWh[연월],$A116,RawDataKWh[지역명],E$3)</f>
        <v/>
      </c>
      <c r="F116" s="41">
        <f>SUMIFS(RawDataKWh[일사합_kWh_m2],RawDataKWh[연월],$A116,RawDataKWh[지역명],F$3)</f>
        <v/>
      </c>
      <c r="G116" s="41">
        <f>SUMIFS(RawDataKWh[일사합_kWh_m2],RawDataKWh[연월],$A116,RawDataKWh[지역명],G$3)</f>
        <v/>
      </c>
      <c r="H116" s="41">
        <f>SUMIFS(RawDataKWh[일사합_kWh_m2],RawDataKWh[연월],$A116,RawDataKWh[지역명],H$3)</f>
        <v/>
      </c>
      <c r="I116" s="41">
        <f>SUMIFS(RawDataKWh[일사합_kWh_m2],RawDataKWh[연월],$A116,RawDataKWh[지역명],I$3)</f>
        <v/>
      </c>
      <c r="J116" s="41">
        <f>SUMIFS(RawDataKWh[일사합_kWh_m2],RawDataKWh[연월],$A116,RawDataKWh[지역명],J$3)</f>
        <v/>
      </c>
      <c r="K116" s="41">
        <f>SUMIFS(RawDataKWh[일사합_kWh_m2],RawDataKWh[연월],$A116,RawDataKWh[지역명],K$3)</f>
        <v/>
      </c>
      <c r="L116" s="41">
        <f>AVERAGE(B116:K116)</f>
        <v/>
      </c>
      <c r="N116" s="17">
        <f>$A116</f>
        <v/>
      </c>
      <c r="O116" s="42">
        <f>AVERAGEIFS(RawDataKWh[일평균_일사합_kWh_m2],RawDataKWh[연월],$A116,RawDataKWh[지역명],O$3)</f>
        <v/>
      </c>
      <c r="P116" s="42">
        <f>AVERAGEIFS(RawDataKWh[일평균_일사합_kWh_m2],RawDataKWh[연월],$A116,RawDataKWh[지역명],P$3)</f>
        <v/>
      </c>
      <c r="Q116" s="42">
        <f>AVERAGEIFS(RawDataKWh[일평균_일사합_kWh_m2],RawDataKWh[연월],$A116,RawDataKWh[지역명],Q$3)</f>
        <v/>
      </c>
      <c r="R116" s="42">
        <f>AVERAGEIFS(RawDataKWh[일평균_일사합_kWh_m2],RawDataKWh[연월],$A116,RawDataKWh[지역명],R$3)</f>
        <v/>
      </c>
      <c r="S116" s="42">
        <f>AVERAGEIFS(RawDataKWh[일평균_일사합_kWh_m2],RawDataKWh[연월],$A116,RawDataKWh[지역명],S$3)</f>
        <v/>
      </c>
      <c r="T116" s="42">
        <f>AVERAGEIFS(RawDataKWh[일평균_일사합_kWh_m2],RawDataKWh[연월],$A116,RawDataKWh[지역명],T$3)</f>
        <v/>
      </c>
      <c r="U116" s="42">
        <f>AVERAGEIFS(RawDataKWh[일평균_일사합_kWh_m2],RawDataKWh[연월],$A116,RawDataKWh[지역명],U$3)</f>
        <v/>
      </c>
      <c r="V116" s="42">
        <f>AVERAGEIFS(RawDataKWh[일평균_일사합_kWh_m2],RawDataKWh[연월],$A116,RawDataKWh[지역명],V$3)</f>
        <v/>
      </c>
      <c r="W116" s="42">
        <f>AVERAGEIFS(RawDataKWh[일평균_일사합_kWh_m2],RawDataKWh[연월],$A116,RawDataKWh[지역명],W$3)</f>
        <v/>
      </c>
      <c r="X116" s="42">
        <f>AVERAGEIFS(RawDataKWh[일평균_일사합_kWh_m2],RawDataKWh[연월],$A116,RawDataKWh[지역명],X$3)</f>
        <v/>
      </c>
      <c r="Y116" s="42">
        <f>AVERAGE(O116:X116)</f>
        <v/>
      </c>
    </row>
    <row r="117" ht="16" customHeight="1">
      <c r="A117" s="19" t="inlineStr">
        <is>
          <t>2025-06</t>
        </is>
      </c>
      <c r="B117" s="45">
        <f>SUMIFS(RawDataKWh[일사합_kWh_m2],RawDataKWh[연월],$A117,RawDataKWh[지역명],B$3)</f>
        <v/>
      </c>
      <c r="C117" s="45">
        <f>SUMIFS(RawDataKWh[일사합_kWh_m2],RawDataKWh[연월],$A117,RawDataKWh[지역명],C$3)</f>
        <v/>
      </c>
      <c r="D117" s="45">
        <f>SUMIFS(RawDataKWh[일사합_kWh_m2],RawDataKWh[연월],$A117,RawDataKWh[지역명],D$3)</f>
        <v/>
      </c>
      <c r="E117" s="45">
        <f>SUMIFS(RawDataKWh[일사합_kWh_m2],RawDataKWh[연월],$A117,RawDataKWh[지역명],E$3)</f>
        <v/>
      </c>
      <c r="F117" s="45">
        <f>SUMIFS(RawDataKWh[일사합_kWh_m2],RawDataKWh[연월],$A117,RawDataKWh[지역명],F$3)</f>
        <v/>
      </c>
      <c r="G117" s="45">
        <f>SUMIFS(RawDataKWh[일사합_kWh_m2],RawDataKWh[연월],$A117,RawDataKWh[지역명],G$3)</f>
        <v/>
      </c>
      <c r="H117" s="45">
        <f>SUMIFS(RawDataKWh[일사합_kWh_m2],RawDataKWh[연월],$A117,RawDataKWh[지역명],H$3)</f>
        <v/>
      </c>
      <c r="I117" s="45">
        <f>SUMIFS(RawDataKWh[일사합_kWh_m2],RawDataKWh[연월],$A117,RawDataKWh[지역명],I$3)</f>
        <v/>
      </c>
      <c r="J117" s="45">
        <f>SUMIFS(RawDataKWh[일사합_kWh_m2],RawDataKWh[연월],$A117,RawDataKWh[지역명],J$3)</f>
        <v/>
      </c>
      <c r="K117" s="45">
        <f>SUMIFS(RawDataKWh[일사합_kWh_m2],RawDataKWh[연월],$A117,RawDataKWh[지역명],K$3)</f>
        <v/>
      </c>
      <c r="L117" s="45">
        <f>AVERAGE(B117:K117)</f>
        <v/>
      </c>
      <c r="N117" s="19">
        <f>$A117</f>
        <v/>
      </c>
      <c r="O117" s="46">
        <f>AVERAGEIFS(RawDataKWh[일평균_일사합_kWh_m2],RawDataKWh[연월],$A117,RawDataKWh[지역명],O$3)</f>
        <v/>
      </c>
      <c r="P117" s="46">
        <f>AVERAGEIFS(RawDataKWh[일평균_일사합_kWh_m2],RawDataKWh[연월],$A117,RawDataKWh[지역명],P$3)</f>
        <v/>
      </c>
      <c r="Q117" s="46">
        <f>AVERAGEIFS(RawDataKWh[일평균_일사합_kWh_m2],RawDataKWh[연월],$A117,RawDataKWh[지역명],Q$3)</f>
        <v/>
      </c>
      <c r="R117" s="46">
        <f>AVERAGEIFS(RawDataKWh[일평균_일사합_kWh_m2],RawDataKWh[연월],$A117,RawDataKWh[지역명],R$3)</f>
        <v/>
      </c>
      <c r="S117" s="46">
        <f>AVERAGEIFS(RawDataKWh[일평균_일사합_kWh_m2],RawDataKWh[연월],$A117,RawDataKWh[지역명],S$3)</f>
        <v/>
      </c>
      <c r="T117" s="46">
        <f>AVERAGEIFS(RawDataKWh[일평균_일사합_kWh_m2],RawDataKWh[연월],$A117,RawDataKWh[지역명],T$3)</f>
        <v/>
      </c>
      <c r="U117" s="46">
        <f>AVERAGEIFS(RawDataKWh[일평균_일사합_kWh_m2],RawDataKWh[연월],$A117,RawDataKWh[지역명],U$3)</f>
        <v/>
      </c>
      <c r="V117" s="46">
        <f>AVERAGEIFS(RawDataKWh[일평균_일사합_kWh_m2],RawDataKWh[연월],$A117,RawDataKWh[지역명],V$3)</f>
        <v/>
      </c>
      <c r="W117" s="46">
        <f>AVERAGEIFS(RawDataKWh[일평균_일사합_kWh_m2],RawDataKWh[연월],$A117,RawDataKWh[지역명],W$3)</f>
        <v/>
      </c>
      <c r="X117" s="46">
        <f>AVERAGEIFS(RawDataKWh[일평균_일사합_kWh_m2],RawDataKWh[연월],$A117,RawDataKWh[지역명],X$3)</f>
        <v/>
      </c>
      <c r="Y117" s="46">
        <f>AVERAGE(O117:X117)</f>
        <v/>
      </c>
    </row>
    <row r="118" ht="16" customHeight="1">
      <c r="A118" s="17" t="inlineStr">
        <is>
          <t>2025-07</t>
        </is>
      </c>
      <c r="B118" s="41">
        <f>SUMIFS(RawDataKWh[일사합_kWh_m2],RawDataKWh[연월],$A118,RawDataKWh[지역명],B$3)</f>
        <v/>
      </c>
      <c r="C118" s="41">
        <f>SUMIFS(RawDataKWh[일사합_kWh_m2],RawDataKWh[연월],$A118,RawDataKWh[지역명],C$3)</f>
        <v/>
      </c>
      <c r="D118" s="41">
        <f>SUMIFS(RawDataKWh[일사합_kWh_m2],RawDataKWh[연월],$A118,RawDataKWh[지역명],D$3)</f>
        <v/>
      </c>
      <c r="E118" s="41">
        <f>SUMIFS(RawDataKWh[일사합_kWh_m2],RawDataKWh[연월],$A118,RawDataKWh[지역명],E$3)</f>
        <v/>
      </c>
      <c r="F118" s="41">
        <f>SUMIFS(RawDataKWh[일사합_kWh_m2],RawDataKWh[연월],$A118,RawDataKWh[지역명],F$3)</f>
        <v/>
      </c>
      <c r="G118" s="41">
        <f>SUMIFS(RawDataKWh[일사합_kWh_m2],RawDataKWh[연월],$A118,RawDataKWh[지역명],G$3)</f>
        <v/>
      </c>
      <c r="H118" s="41">
        <f>SUMIFS(RawDataKWh[일사합_kWh_m2],RawDataKWh[연월],$A118,RawDataKWh[지역명],H$3)</f>
        <v/>
      </c>
      <c r="I118" s="41">
        <f>SUMIFS(RawDataKWh[일사합_kWh_m2],RawDataKWh[연월],$A118,RawDataKWh[지역명],I$3)</f>
        <v/>
      </c>
      <c r="J118" s="41">
        <f>SUMIFS(RawDataKWh[일사합_kWh_m2],RawDataKWh[연월],$A118,RawDataKWh[지역명],J$3)</f>
        <v/>
      </c>
      <c r="K118" s="41">
        <f>SUMIFS(RawDataKWh[일사합_kWh_m2],RawDataKWh[연월],$A118,RawDataKWh[지역명],K$3)</f>
        <v/>
      </c>
      <c r="L118" s="41">
        <f>AVERAGE(B118:K118)</f>
        <v/>
      </c>
      <c r="N118" s="17">
        <f>$A118</f>
        <v/>
      </c>
      <c r="O118" s="42">
        <f>AVERAGEIFS(RawDataKWh[일평균_일사합_kWh_m2],RawDataKWh[연월],$A118,RawDataKWh[지역명],O$3)</f>
        <v/>
      </c>
      <c r="P118" s="42">
        <f>AVERAGEIFS(RawDataKWh[일평균_일사합_kWh_m2],RawDataKWh[연월],$A118,RawDataKWh[지역명],P$3)</f>
        <v/>
      </c>
      <c r="Q118" s="42">
        <f>AVERAGEIFS(RawDataKWh[일평균_일사합_kWh_m2],RawDataKWh[연월],$A118,RawDataKWh[지역명],Q$3)</f>
        <v/>
      </c>
      <c r="R118" s="42">
        <f>AVERAGEIFS(RawDataKWh[일평균_일사합_kWh_m2],RawDataKWh[연월],$A118,RawDataKWh[지역명],R$3)</f>
        <v/>
      </c>
      <c r="S118" s="42">
        <f>AVERAGEIFS(RawDataKWh[일평균_일사합_kWh_m2],RawDataKWh[연월],$A118,RawDataKWh[지역명],S$3)</f>
        <v/>
      </c>
      <c r="T118" s="42">
        <f>AVERAGEIFS(RawDataKWh[일평균_일사합_kWh_m2],RawDataKWh[연월],$A118,RawDataKWh[지역명],T$3)</f>
        <v/>
      </c>
      <c r="U118" s="42">
        <f>AVERAGEIFS(RawDataKWh[일평균_일사합_kWh_m2],RawDataKWh[연월],$A118,RawDataKWh[지역명],U$3)</f>
        <v/>
      </c>
      <c r="V118" s="42">
        <f>AVERAGEIFS(RawDataKWh[일평균_일사합_kWh_m2],RawDataKWh[연월],$A118,RawDataKWh[지역명],V$3)</f>
        <v/>
      </c>
      <c r="W118" s="42">
        <f>AVERAGEIFS(RawDataKWh[일평균_일사합_kWh_m2],RawDataKWh[연월],$A118,RawDataKWh[지역명],W$3)</f>
        <v/>
      </c>
      <c r="X118" s="42">
        <f>AVERAGEIFS(RawDataKWh[일평균_일사합_kWh_m2],RawDataKWh[연월],$A118,RawDataKWh[지역명],X$3)</f>
        <v/>
      </c>
      <c r="Y118" s="42">
        <f>AVERAGE(O118:X118)</f>
        <v/>
      </c>
    </row>
    <row r="119" ht="16" customHeight="1">
      <c r="A119" s="19" t="inlineStr">
        <is>
          <t>2025-08</t>
        </is>
      </c>
      <c r="B119" s="45">
        <f>SUMIFS(RawDataKWh[일사합_kWh_m2],RawDataKWh[연월],$A119,RawDataKWh[지역명],B$3)</f>
        <v/>
      </c>
      <c r="C119" s="45">
        <f>SUMIFS(RawDataKWh[일사합_kWh_m2],RawDataKWh[연월],$A119,RawDataKWh[지역명],C$3)</f>
        <v/>
      </c>
      <c r="D119" s="45">
        <f>SUMIFS(RawDataKWh[일사합_kWh_m2],RawDataKWh[연월],$A119,RawDataKWh[지역명],D$3)</f>
        <v/>
      </c>
      <c r="E119" s="45">
        <f>SUMIFS(RawDataKWh[일사합_kWh_m2],RawDataKWh[연월],$A119,RawDataKWh[지역명],E$3)</f>
        <v/>
      </c>
      <c r="F119" s="45">
        <f>SUMIFS(RawDataKWh[일사합_kWh_m2],RawDataKWh[연월],$A119,RawDataKWh[지역명],F$3)</f>
        <v/>
      </c>
      <c r="G119" s="45">
        <f>SUMIFS(RawDataKWh[일사합_kWh_m2],RawDataKWh[연월],$A119,RawDataKWh[지역명],G$3)</f>
        <v/>
      </c>
      <c r="H119" s="45">
        <f>SUMIFS(RawDataKWh[일사합_kWh_m2],RawDataKWh[연월],$A119,RawDataKWh[지역명],H$3)</f>
        <v/>
      </c>
      <c r="I119" s="45">
        <f>SUMIFS(RawDataKWh[일사합_kWh_m2],RawDataKWh[연월],$A119,RawDataKWh[지역명],I$3)</f>
        <v/>
      </c>
      <c r="J119" s="45">
        <f>SUMIFS(RawDataKWh[일사합_kWh_m2],RawDataKWh[연월],$A119,RawDataKWh[지역명],J$3)</f>
        <v/>
      </c>
      <c r="K119" s="45">
        <f>SUMIFS(RawDataKWh[일사합_kWh_m2],RawDataKWh[연월],$A119,RawDataKWh[지역명],K$3)</f>
        <v/>
      </c>
      <c r="L119" s="45">
        <f>AVERAGE(B119:K119)</f>
        <v/>
      </c>
      <c r="N119" s="19">
        <f>$A119</f>
        <v/>
      </c>
      <c r="O119" s="46">
        <f>AVERAGEIFS(RawDataKWh[일평균_일사합_kWh_m2],RawDataKWh[연월],$A119,RawDataKWh[지역명],O$3)</f>
        <v/>
      </c>
      <c r="P119" s="46">
        <f>AVERAGEIFS(RawDataKWh[일평균_일사합_kWh_m2],RawDataKWh[연월],$A119,RawDataKWh[지역명],P$3)</f>
        <v/>
      </c>
      <c r="Q119" s="46">
        <f>AVERAGEIFS(RawDataKWh[일평균_일사합_kWh_m2],RawDataKWh[연월],$A119,RawDataKWh[지역명],Q$3)</f>
        <v/>
      </c>
      <c r="R119" s="46">
        <f>AVERAGEIFS(RawDataKWh[일평균_일사합_kWh_m2],RawDataKWh[연월],$A119,RawDataKWh[지역명],R$3)</f>
        <v/>
      </c>
      <c r="S119" s="46">
        <f>AVERAGEIFS(RawDataKWh[일평균_일사합_kWh_m2],RawDataKWh[연월],$A119,RawDataKWh[지역명],S$3)</f>
        <v/>
      </c>
      <c r="T119" s="46">
        <f>AVERAGEIFS(RawDataKWh[일평균_일사합_kWh_m2],RawDataKWh[연월],$A119,RawDataKWh[지역명],T$3)</f>
        <v/>
      </c>
      <c r="U119" s="46">
        <f>AVERAGEIFS(RawDataKWh[일평균_일사합_kWh_m2],RawDataKWh[연월],$A119,RawDataKWh[지역명],U$3)</f>
        <v/>
      </c>
      <c r="V119" s="46">
        <f>AVERAGEIFS(RawDataKWh[일평균_일사합_kWh_m2],RawDataKWh[연월],$A119,RawDataKWh[지역명],V$3)</f>
        <v/>
      </c>
      <c r="W119" s="46">
        <f>AVERAGEIFS(RawDataKWh[일평균_일사합_kWh_m2],RawDataKWh[연월],$A119,RawDataKWh[지역명],W$3)</f>
        <v/>
      </c>
      <c r="X119" s="46">
        <f>AVERAGEIFS(RawDataKWh[일평균_일사합_kWh_m2],RawDataKWh[연월],$A119,RawDataKWh[지역명],X$3)</f>
        <v/>
      </c>
      <c r="Y119" s="46">
        <f>AVERAGE(O119:X119)</f>
        <v/>
      </c>
    </row>
    <row r="120" ht="16" customHeight="1">
      <c r="A120" s="17" t="inlineStr">
        <is>
          <t>2025-09</t>
        </is>
      </c>
      <c r="B120" s="41">
        <f>SUMIFS(RawDataKWh[일사합_kWh_m2],RawDataKWh[연월],$A120,RawDataKWh[지역명],B$3)</f>
        <v/>
      </c>
      <c r="C120" s="41">
        <f>SUMIFS(RawDataKWh[일사합_kWh_m2],RawDataKWh[연월],$A120,RawDataKWh[지역명],C$3)</f>
        <v/>
      </c>
      <c r="D120" s="41">
        <f>SUMIFS(RawDataKWh[일사합_kWh_m2],RawDataKWh[연월],$A120,RawDataKWh[지역명],D$3)</f>
        <v/>
      </c>
      <c r="E120" s="41">
        <f>SUMIFS(RawDataKWh[일사합_kWh_m2],RawDataKWh[연월],$A120,RawDataKWh[지역명],E$3)</f>
        <v/>
      </c>
      <c r="F120" s="41">
        <f>SUMIFS(RawDataKWh[일사합_kWh_m2],RawDataKWh[연월],$A120,RawDataKWh[지역명],F$3)</f>
        <v/>
      </c>
      <c r="G120" s="41">
        <f>SUMIFS(RawDataKWh[일사합_kWh_m2],RawDataKWh[연월],$A120,RawDataKWh[지역명],G$3)</f>
        <v/>
      </c>
      <c r="H120" s="41">
        <f>SUMIFS(RawDataKWh[일사합_kWh_m2],RawDataKWh[연월],$A120,RawDataKWh[지역명],H$3)</f>
        <v/>
      </c>
      <c r="I120" s="41">
        <f>SUMIFS(RawDataKWh[일사합_kWh_m2],RawDataKWh[연월],$A120,RawDataKWh[지역명],I$3)</f>
        <v/>
      </c>
      <c r="J120" s="41">
        <f>SUMIFS(RawDataKWh[일사합_kWh_m2],RawDataKWh[연월],$A120,RawDataKWh[지역명],J$3)</f>
        <v/>
      </c>
      <c r="K120" s="41">
        <f>SUMIFS(RawDataKWh[일사합_kWh_m2],RawDataKWh[연월],$A120,RawDataKWh[지역명],K$3)</f>
        <v/>
      </c>
      <c r="L120" s="41">
        <f>AVERAGE(B120:K120)</f>
        <v/>
      </c>
      <c r="N120" s="17">
        <f>$A120</f>
        <v/>
      </c>
      <c r="O120" s="42">
        <f>AVERAGEIFS(RawDataKWh[일평균_일사합_kWh_m2],RawDataKWh[연월],$A120,RawDataKWh[지역명],O$3)</f>
        <v/>
      </c>
      <c r="P120" s="42">
        <f>AVERAGEIFS(RawDataKWh[일평균_일사합_kWh_m2],RawDataKWh[연월],$A120,RawDataKWh[지역명],P$3)</f>
        <v/>
      </c>
      <c r="Q120" s="42">
        <f>AVERAGEIFS(RawDataKWh[일평균_일사합_kWh_m2],RawDataKWh[연월],$A120,RawDataKWh[지역명],Q$3)</f>
        <v/>
      </c>
      <c r="R120" s="42">
        <f>AVERAGEIFS(RawDataKWh[일평균_일사합_kWh_m2],RawDataKWh[연월],$A120,RawDataKWh[지역명],R$3)</f>
        <v/>
      </c>
      <c r="S120" s="42">
        <f>AVERAGEIFS(RawDataKWh[일평균_일사합_kWh_m2],RawDataKWh[연월],$A120,RawDataKWh[지역명],S$3)</f>
        <v/>
      </c>
      <c r="T120" s="42">
        <f>AVERAGEIFS(RawDataKWh[일평균_일사합_kWh_m2],RawDataKWh[연월],$A120,RawDataKWh[지역명],T$3)</f>
        <v/>
      </c>
      <c r="U120" s="42">
        <f>AVERAGEIFS(RawDataKWh[일평균_일사합_kWh_m2],RawDataKWh[연월],$A120,RawDataKWh[지역명],U$3)</f>
        <v/>
      </c>
      <c r="V120" s="42">
        <f>AVERAGEIFS(RawDataKWh[일평균_일사합_kWh_m2],RawDataKWh[연월],$A120,RawDataKWh[지역명],V$3)</f>
        <v/>
      </c>
      <c r="W120" s="42">
        <f>AVERAGEIFS(RawDataKWh[일평균_일사합_kWh_m2],RawDataKWh[연월],$A120,RawDataKWh[지역명],W$3)</f>
        <v/>
      </c>
      <c r="X120" s="42">
        <f>AVERAGEIFS(RawDataKWh[일평균_일사합_kWh_m2],RawDataKWh[연월],$A120,RawDataKWh[지역명],X$3)</f>
        <v/>
      </c>
      <c r="Y120" s="42">
        <f>AVERAGE(O120:X120)</f>
        <v/>
      </c>
    </row>
    <row r="121" ht="16" customHeight="1">
      <c r="A121" s="19" t="inlineStr">
        <is>
          <t>2025-10</t>
        </is>
      </c>
      <c r="B121" s="45">
        <f>SUMIFS(RawDataKWh[일사합_kWh_m2],RawDataKWh[연월],$A121,RawDataKWh[지역명],B$3)</f>
        <v/>
      </c>
      <c r="C121" s="45">
        <f>SUMIFS(RawDataKWh[일사합_kWh_m2],RawDataKWh[연월],$A121,RawDataKWh[지역명],C$3)</f>
        <v/>
      </c>
      <c r="D121" s="45">
        <f>SUMIFS(RawDataKWh[일사합_kWh_m2],RawDataKWh[연월],$A121,RawDataKWh[지역명],D$3)</f>
        <v/>
      </c>
      <c r="E121" s="45">
        <f>SUMIFS(RawDataKWh[일사합_kWh_m2],RawDataKWh[연월],$A121,RawDataKWh[지역명],E$3)</f>
        <v/>
      </c>
      <c r="F121" s="45">
        <f>SUMIFS(RawDataKWh[일사합_kWh_m2],RawDataKWh[연월],$A121,RawDataKWh[지역명],F$3)</f>
        <v/>
      </c>
      <c r="G121" s="45">
        <f>SUMIFS(RawDataKWh[일사합_kWh_m2],RawDataKWh[연월],$A121,RawDataKWh[지역명],G$3)</f>
        <v/>
      </c>
      <c r="H121" s="45">
        <f>SUMIFS(RawDataKWh[일사합_kWh_m2],RawDataKWh[연월],$A121,RawDataKWh[지역명],H$3)</f>
        <v/>
      </c>
      <c r="I121" s="45">
        <f>SUMIFS(RawDataKWh[일사합_kWh_m2],RawDataKWh[연월],$A121,RawDataKWh[지역명],I$3)</f>
        <v/>
      </c>
      <c r="J121" s="45">
        <f>SUMIFS(RawDataKWh[일사합_kWh_m2],RawDataKWh[연월],$A121,RawDataKWh[지역명],J$3)</f>
        <v/>
      </c>
      <c r="K121" s="45">
        <f>SUMIFS(RawDataKWh[일사합_kWh_m2],RawDataKWh[연월],$A121,RawDataKWh[지역명],K$3)</f>
        <v/>
      </c>
      <c r="L121" s="45">
        <f>AVERAGE(B121:K121)</f>
        <v/>
      </c>
      <c r="N121" s="19">
        <f>$A121</f>
        <v/>
      </c>
      <c r="O121" s="46">
        <f>AVERAGEIFS(RawDataKWh[일평균_일사합_kWh_m2],RawDataKWh[연월],$A121,RawDataKWh[지역명],O$3)</f>
        <v/>
      </c>
      <c r="P121" s="46">
        <f>AVERAGEIFS(RawDataKWh[일평균_일사합_kWh_m2],RawDataKWh[연월],$A121,RawDataKWh[지역명],P$3)</f>
        <v/>
      </c>
      <c r="Q121" s="46">
        <f>AVERAGEIFS(RawDataKWh[일평균_일사합_kWh_m2],RawDataKWh[연월],$A121,RawDataKWh[지역명],Q$3)</f>
        <v/>
      </c>
      <c r="R121" s="46">
        <f>AVERAGEIFS(RawDataKWh[일평균_일사합_kWh_m2],RawDataKWh[연월],$A121,RawDataKWh[지역명],R$3)</f>
        <v/>
      </c>
      <c r="S121" s="46">
        <f>AVERAGEIFS(RawDataKWh[일평균_일사합_kWh_m2],RawDataKWh[연월],$A121,RawDataKWh[지역명],S$3)</f>
        <v/>
      </c>
      <c r="T121" s="46">
        <f>AVERAGEIFS(RawDataKWh[일평균_일사합_kWh_m2],RawDataKWh[연월],$A121,RawDataKWh[지역명],T$3)</f>
        <v/>
      </c>
      <c r="U121" s="46">
        <f>AVERAGEIFS(RawDataKWh[일평균_일사합_kWh_m2],RawDataKWh[연월],$A121,RawDataKWh[지역명],U$3)</f>
        <v/>
      </c>
      <c r="V121" s="46">
        <f>AVERAGEIFS(RawDataKWh[일평균_일사합_kWh_m2],RawDataKWh[연월],$A121,RawDataKWh[지역명],V$3)</f>
        <v/>
      </c>
      <c r="W121" s="46">
        <f>AVERAGEIFS(RawDataKWh[일평균_일사합_kWh_m2],RawDataKWh[연월],$A121,RawDataKWh[지역명],W$3)</f>
        <v/>
      </c>
      <c r="X121" s="46">
        <f>AVERAGEIFS(RawDataKWh[일평균_일사합_kWh_m2],RawDataKWh[연월],$A121,RawDataKWh[지역명],X$3)</f>
        <v/>
      </c>
      <c r="Y121" s="46">
        <f>AVERAGE(O121:X121)</f>
        <v/>
      </c>
    </row>
    <row r="122" ht="16" customHeight="1">
      <c r="A122" s="17" t="inlineStr">
        <is>
          <t>2025-11</t>
        </is>
      </c>
      <c r="B122" s="41">
        <f>SUMIFS(RawDataKWh[일사합_kWh_m2],RawDataKWh[연월],$A122,RawDataKWh[지역명],B$3)</f>
        <v/>
      </c>
      <c r="C122" s="41">
        <f>SUMIFS(RawDataKWh[일사합_kWh_m2],RawDataKWh[연월],$A122,RawDataKWh[지역명],C$3)</f>
        <v/>
      </c>
      <c r="D122" s="41">
        <f>SUMIFS(RawDataKWh[일사합_kWh_m2],RawDataKWh[연월],$A122,RawDataKWh[지역명],D$3)</f>
        <v/>
      </c>
      <c r="E122" s="41">
        <f>SUMIFS(RawDataKWh[일사합_kWh_m2],RawDataKWh[연월],$A122,RawDataKWh[지역명],E$3)</f>
        <v/>
      </c>
      <c r="F122" s="41">
        <f>SUMIFS(RawDataKWh[일사합_kWh_m2],RawDataKWh[연월],$A122,RawDataKWh[지역명],F$3)</f>
        <v/>
      </c>
      <c r="G122" s="41">
        <f>SUMIFS(RawDataKWh[일사합_kWh_m2],RawDataKWh[연월],$A122,RawDataKWh[지역명],G$3)</f>
        <v/>
      </c>
      <c r="H122" s="41">
        <f>SUMIFS(RawDataKWh[일사합_kWh_m2],RawDataKWh[연월],$A122,RawDataKWh[지역명],H$3)</f>
        <v/>
      </c>
      <c r="I122" s="41">
        <f>SUMIFS(RawDataKWh[일사합_kWh_m2],RawDataKWh[연월],$A122,RawDataKWh[지역명],I$3)</f>
        <v/>
      </c>
      <c r="J122" s="41">
        <f>SUMIFS(RawDataKWh[일사합_kWh_m2],RawDataKWh[연월],$A122,RawDataKWh[지역명],J$3)</f>
        <v/>
      </c>
      <c r="K122" s="41">
        <f>SUMIFS(RawDataKWh[일사합_kWh_m2],RawDataKWh[연월],$A122,RawDataKWh[지역명],K$3)</f>
        <v/>
      </c>
      <c r="L122" s="41">
        <f>AVERAGE(B122:K122)</f>
        <v/>
      </c>
      <c r="N122" s="17">
        <f>$A122</f>
        <v/>
      </c>
      <c r="O122" s="42">
        <f>AVERAGEIFS(RawDataKWh[일평균_일사합_kWh_m2],RawDataKWh[연월],$A122,RawDataKWh[지역명],O$3)</f>
        <v/>
      </c>
      <c r="P122" s="42">
        <f>AVERAGEIFS(RawDataKWh[일평균_일사합_kWh_m2],RawDataKWh[연월],$A122,RawDataKWh[지역명],P$3)</f>
        <v/>
      </c>
      <c r="Q122" s="42">
        <f>AVERAGEIFS(RawDataKWh[일평균_일사합_kWh_m2],RawDataKWh[연월],$A122,RawDataKWh[지역명],Q$3)</f>
        <v/>
      </c>
      <c r="R122" s="42">
        <f>AVERAGEIFS(RawDataKWh[일평균_일사합_kWh_m2],RawDataKWh[연월],$A122,RawDataKWh[지역명],R$3)</f>
        <v/>
      </c>
      <c r="S122" s="42">
        <f>AVERAGEIFS(RawDataKWh[일평균_일사합_kWh_m2],RawDataKWh[연월],$A122,RawDataKWh[지역명],S$3)</f>
        <v/>
      </c>
      <c r="T122" s="42">
        <f>AVERAGEIFS(RawDataKWh[일평균_일사합_kWh_m2],RawDataKWh[연월],$A122,RawDataKWh[지역명],T$3)</f>
        <v/>
      </c>
      <c r="U122" s="42">
        <f>AVERAGEIFS(RawDataKWh[일평균_일사합_kWh_m2],RawDataKWh[연월],$A122,RawDataKWh[지역명],U$3)</f>
        <v/>
      </c>
      <c r="V122" s="42">
        <f>AVERAGEIFS(RawDataKWh[일평균_일사합_kWh_m2],RawDataKWh[연월],$A122,RawDataKWh[지역명],V$3)</f>
        <v/>
      </c>
      <c r="W122" s="42">
        <f>AVERAGEIFS(RawDataKWh[일평균_일사합_kWh_m2],RawDataKWh[연월],$A122,RawDataKWh[지역명],W$3)</f>
        <v/>
      </c>
      <c r="X122" s="42">
        <f>AVERAGEIFS(RawDataKWh[일평균_일사합_kWh_m2],RawDataKWh[연월],$A122,RawDataKWh[지역명],X$3)</f>
        <v/>
      </c>
      <c r="Y122" s="42">
        <f>AVERAGE(O122:X122)</f>
        <v/>
      </c>
    </row>
    <row r="123" ht="16" customHeight="1">
      <c r="A123" s="19" t="inlineStr">
        <is>
          <t>2025-12</t>
        </is>
      </c>
      <c r="B123" s="45">
        <f>SUMIFS(RawDataKWh[일사합_kWh_m2],RawDataKWh[연월],$A123,RawDataKWh[지역명],B$3)</f>
        <v/>
      </c>
      <c r="C123" s="45">
        <f>SUMIFS(RawDataKWh[일사합_kWh_m2],RawDataKWh[연월],$A123,RawDataKWh[지역명],C$3)</f>
        <v/>
      </c>
      <c r="D123" s="45">
        <f>SUMIFS(RawDataKWh[일사합_kWh_m2],RawDataKWh[연월],$A123,RawDataKWh[지역명],D$3)</f>
        <v/>
      </c>
      <c r="E123" s="45">
        <f>SUMIFS(RawDataKWh[일사합_kWh_m2],RawDataKWh[연월],$A123,RawDataKWh[지역명],E$3)</f>
        <v/>
      </c>
      <c r="F123" s="45">
        <f>SUMIFS(RawDataKWh[일사합_kWh_m2],RawDataKWh[연월],$A123,RawDataKWh[지역명],F$3)</f>
        <v/>
      </c>
      <c r="G123" s="45">
        <f>SUMIFS(RawDataKWh[일사합_kWh_m2],RawDataKWh[연월],$A123,RawDataKWh[지역명],G$3)</f>
        <v/>
      </c>
      <c r="H123" s="45">
        <f>SUMIFS(RawDataKWh[일사합_kWh_m2],RawDataKWh[연월],$A123,RawDataKWh[지역명],H$3)</f>
        <v/>
      </c>
      <c r="I123" s="45">
        <f>SUMIFS(RawDataKWh[일사합_kWh_m2],RawDataKWh[연월],$A123,RawDataKWh[지역명],I$3)</f>
        <v/>
      </c>
      <c r="J123" s="45">
        <f>SUMIFS(RawDataKWh[일사합_kWh_m2],RawDataKWh[연월],$A123,RawDataKWh[지역명],J$3)</f>
        <v/>
      </c>
      <c r="K123" s="45">
        <f>SUMIFS(RawDataKWh[일사합_kWh_m2],RawDataKWh[연월],$A123,RawDataKWh[지역명],K$3)</f>
        <v/>
      </c>
      <c r="L123" s="45">
        <f>AVERAGE(B123:K123)</f>
        <v/>
      </c>
      <c r="N123" s="19">
        <f>$A123</f>
        <v/>
      </c>
      <c r="O123" s="46">
        <f>AVERAGEIFS(RawDataKWh[일평균_일사합_kWh_m2],RawDataKWh[연월],$A123,RawDataKWh[지역명],O$3)</f>
        <v/>
      </c>
      <c r="P123" s="46">
        <f>AVERAGEIFS(RawDataKWh[일평균_일사합_kWh_m2],RawDataKWh[연월],$A123,RawDataKWh[지역명],P$3)</f>
        <v/>
      </c>
      <c r="Q123" s="46">
        <f>AVERAGEIFS(RawDataKWh[일평균_일사합_kWh_m2],RawDataKWh[연월],$A123,RawDataKWh[지역명],Q$3)</f>
        <v/>
      </c>
      <c r="R123" s="46">
        <f>AVERAGEIFS(RawDataKWh[일평균_일사합_kWh_m2],RawDataKWh[연월],$A123,RawDataKWh[지역명],R$3)</f>
        <v/>
      </c>
      <c r="S123" s="46">
        <f>AVERAGEIFS(RawDataKWh[일평균_일사합_kWh_m2],RawDataKWh[연월],$A123,RawDataKWh[지역명],S$3)</f>
        <v/>
      </c>
      <c r="T123" s="46">
        <f>AVERAGEIFS(RawDataKWh[일평균_일사합_kWh_m2],RawDataKWh[연월],$A123,RawDataKWh[지역명],T$3)</f>
        <v/>
      </c>
      <c r="U123" s="46">
        <f>AVERAGEIFS(RawDataKWh[일평균_일사합_kWh_m2],RawDataKWh[연월],$A123,RawDataKWh[지역명],U$3)</f>
        <v/>
      </c>
      <c r="V123" s="46">
        <f>AVERAGEIFS(RawDataKWh[일평균_일사합_kWh_m2],RawDataKWh[연월],$A123,RawDataKWh[지역명],V$3)</f>
        <v/>
      </c>
      <c r="W123" s="46">
        <f>AVERAGEIFS(RawDataKWh[일평균_일사합_kWh_m2],RawDataKWh[연월],$A123,RawDataKWh[지역명],W$3)</f>
        <v/>
      </c>
      <c r="X123" s="46">
        <f>AVERAGEIFS(RawDataKWh[일평균_일사합_kWh_m2],RawDataKWh[연월],$A123,RawDataKWh[지역명],X$3)</f>
        <v/>
      </c>
      <c r="Y123" s="46">
        <f>AVERAGE(O123:X123)</f>
        <v/>
      </c>
    </row>
  </sheetData>
  <mergeCells count="2">
    <mergeCell ref="A2:Y2"/>
    <mergeCell ref="A1:Y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Y16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연도 × 지역 일사량 피벗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왼쪽 표: 연 합계 [kWh/m²/년]  ·  오른쪽 표(N열~): 일평균 [kWh/m²/일, 일수 가중]  ·  14행은 10개년 평균</t>
        </is>
      </c>
    </row>
    <row r="3" ht="30" customHeight="1">
      <c r="A3" s="14" t="inlineStr">
        <is>
          <t>연도
(연 합계)</t>
        </is>
      </c>
      <c r="B3" s="14" t="inlineStr">
        <is>
          <t>서울경기</t>
        </is>
      </c>
      <c r="C3" s="14" t="inlineStr">
        <is>
          <t>강원영동</t>
        </is>
      </c>
      <c r="D3" s="14" t="inlineStr">
        <is>
          <t>강원영서</t>
        </is>
      </c>
      <c r="E3" s="14" t="inlineStr">
        <is>
          <t>충북</t>
        </is>
      </c>
      <c r="F3" s="14" t="inlineStr">
        <is>
          <t>충남</t>
        </is>
      </c>
      <c r="G3" s="14" t="inlineStr">
        <is>
          <t>경북</t>
        </is>
      </c>
      <c r="H3" s="14" t="inlineStr">
        <is>
          <t>경남</t>
        </is>
      </c>
      <c r="I3" s="14" t="inlineStr">
        <is>
          <t>전북</t>
        </is>
      </c>
      <c r="J3" s="14" t="inlineStr">
        <is>
          <t>전남</t>
        </is>
      </c>
      <c r="K3" s="14" t="inlineStr">
        <is>
          <t>제주</t>
        </is>
      </c>
      <c r="L3" s="14" t="inlineStr">
        <is>
          <t>전국평균</t>
        </is>
      </c>
      <c r="N3" s="14" t="inlineStr">
        <is>
          <t>연도
(일평균)</t>
        </is>
      </c>
      <c r="O3" s="14" t="inlineStr">
        <is>
          <t>서울경기</t>
        </is>
      </c>
      <c r="P3" s="14" t="inlineStr">
        <is>
          <t>강원영동</t>
        </is>
      </c>
      <c r="Q3" s="14" t="inlineStr">
        <is>
          <t>강원영서</t>
        </is>
      </c>
      <c r="R3" s="14" t="inlineStr">
        <is>
          <t>충북</t>
        </is>
      </c>
      <c r="S3" s="14" t="inlineStr">
        <is>
          <t>충남</t>
        </is>
      </c>
      <c r="T3" s="14" t="inlineStr">
        <is>
          <t>경북</t>
        </is>
      </c>
      <c r="U3" s="14" t="inlineStr">
        <is>
          <t>경남</t>
        </is>
      </c>
      <c r="V3" s="14" t="inlineStr">
        <is>
          <t>전북</t>
        </is>
      </c>
      <c r="W3" s="14" t="inlineStr">
        <is>
          <t>전남</t>
        </is>
      </c>
      <c r="X3" s="14" t="inlineStr">
        <is>
          <t>제주</t>
        </is>
      </c>
      <c r="Y3" s="14" t="inlineStr">
        <is>
          <t>전국평균</t>
        </is>
      </c>
    </row>
    <row r="4" ht="16" customHeight="1">
      <c r="A4" s="17" t="n">
        <v>2016</v>
      </c>
      <c r="B4" s="41">
        <f>SUMIFS(RawDataKWh[일사합_kWh_m2],RawDataKWh[연도],$A4,RawDataKWh[지역명],B$3)</f>
        <v/>
      </c>
      <c r="C4" s="41">
        <f>SUMIFS(RawDataKWh[일사합_kWh_m2],RawDataKWh[연도],$A4,RawDataKWh[지역명],C$3)</f>
        <v/>
      </c>
      <c r="D4" s="41">
        <f>SUMIFS(RawDataKWh[일사합_kWh_m2],RawDataKWh[연도],$A4,RawDataKWh[지역명],D$3)</f>
        <v/>
      </c>
      <c r="E4" s="41">
        <f>SUMIFS(RawDataKWh[일사합_kWh_m2],RawDataKWh[연도],$A4,RawDataKWh[지역명],E$3)</f>
        <v/>
      </c>
      <c r="F4" s="41">
        <f>SUMIFS(RawDataKWh[일사합_kWh_m2],RawDataKWh[연도],$A4,RawDataKWh[지역명],F$3)</f>
        <v/>
      </c>
      <c r="G4" s="41">
        <f>SUMIFS(RawDataKWh[일사합_kWh_m2],RawDataKWh[연도],$A4,RawDataKWh[지역명],G$3)</f>
        <v/>
      </c>
      <c r="H4" s="41">
        <f>SUMIFS(RawDataKWh[일사합_kWh_m2],RawDataKWh[연도],$A4,RawDataKWh[지역명],H$3)</f>
        <v/>
      </c>
      <c r="I4" s="41">
        <f>SUMIFS(RawDataKWh[일사합_kWh_m2],RawDataKWh[연도],$A4,RawDataKWh[지역명],I$3)</f>
        <v/>
      </c>
      <c r="J4" s="41">
        <f>SUMIFS(RawDataKWh[일사합_kWh_m2],RawDataKWh[연도],$A4,RawDataKWh[지역명],J$3)</f>
        <v/>
      </c>
      <c r="K4" s="41">
        <f>SUMIFS(RawDataKWh[일사합_kWh_m2],RawDataKWh[연도],$A4,RawDataKWh[지역명],K$3)</f>
        <v/>
      </c>
      <c r="L4" s="41">
        <f>AVERAGE(B4:K4)</f>
        <v/>
      </c>
      <c r="N4" s="17">
        <f>$A4</f>
        <v/>
      </c>
      <c r="O4" s="42">
        <f>SUMIFS(RawDataKWh[일사합_kWh_m2],RawDataKWh[연도],$A4,RawDataKWh[지역명],O$3)/SUMIFS(RawDataKWh[일수],RawDataKWh[연도],$A4,RawDataKWh[지역명],O$3)</f>
        <v/>
      </c>
      <c r="P4" s="42">
        <f>SUMIFS(RawDataKWh[일사합_kWh_m2],RawDataKWh[연도],$A4,RawDataKWh[지역명],P$3)/SUMIFS(RawDataKWh[일수],RawDataKWh[연도],$A4,RawDataKWh[지역명],P$3)</f>
        <v/>
      </c>
      <c r="Q4" s="42">
        <f>SUMIFS(RawDataKWh[일사합_kWh_m2],RawDataKWh[연도],$A4,RawDataKWh[지역명],Q$3)/SUMIFS(RawDataKWh[일수],RawDataKWh[연도],$A4,RawDataKWh[지역명],Q$3)</f>
        <v/>
      </c>
      <c r="R4" s="42">
        <f>SUMIFS(RawDataKWh[일사합_kWh_m2],RawDataKWh[연도],$A4,RawDataKWh[지역명],R$3)/SUMIFS(RawDataKWh[일수],RawDataKWh[연도],$A4,RawDataKWh[지역명],R$3)</f>
        <v/>
      </c>
      <c r="S4" s="42">
        <f>SUMIFS(RawDataKWh[일사합_kWh_m2],RawDataKWh[연도],$A4,RawDataKWh[지역명],S$3)/SUMIFS(RawDataKWh[일수],RawDataKWh[연도],$A4,RawDataKWh[지역명],S$3)</f>
        <v/>
      </c>
      <c r="T4" s="42">
        <f>SUMIFS(RawDataKWh[일사합_kWh_m2],RawDataKWh[연도],$A4,RawDataKWh[지역명],T$3)/SUMIFS(RawDataKWh[일수],RawDataKWh[연도],$A4,RawDataKWh[지역명],T$3)</f>
        <v/>
      </c>
      <c r="U4" s="42">
        <f>SUMIFS(RawDataKWh[일사합_kWh_m2],RawDataKWh[연도],$A4,RawDataKWh[지역명],U$3)/SUMIFS(RawDataKWh[일수],RawDataKWh[연도],$A4,RawDataKWh[지역명],U$3)</f>
        <v/>
      </c>
      <c r="V4" s="42">
        <f>SUMIFS(RawDataKWh[일사합_kWh_m2],RawDataKWh[연도],$A4,RawDataKWh[지역명],V$3)/SUMIFS(RawDataKWh[일수],RawDataKWh[연도],$A4,RawDataKWh[지역명],V$3)</f>
        <v/>
      </c>
      <c r="W4" s="42">
        <f>SUMIFS(RawDataKWh[일사합_kWh_m2],RawDataKWh[연도],$A4,RawDataKWh[지역명],W$3)/SUMIFS(RawDataKWh[일수],RawDataKWh[연도],$A4,RawDataKWh[지역명],W$3)</f>
        <v/>
      </c>
      <c r="X4" s="42">
        <f>SUMIFS(RawDataKWh[일사합_kWh_m2],RawDataKWh[연도],$A4,RawDataKWh[지역명],X$3)/SUMIFS(RawDataKWh[일수],RawDataKWh[연도],$A4,RawDataKWh[지역명],X$3)</f>
        <v/>
      </c>
      <c r="Y4" s="42">
        <f>AVERAGE(O4:X4)</f>
        <v/>
      </c>
    </row>
    <row r="5" ht="16" customHeight="1">
      <c r="A5" s="19" t="n">
        <v>2017</v>
      </c>
      <c r="B5" s="45">
        <f>SUMIFS(RawDataKWh[일사합_kWh_m2],RawDataKWh[연도],$A5,RawDataKWh[지역명],B$3)</f>
        <v/>
      </c>
      <c r="C5" s="45">
        <f>SUMIFS(RawDataKWh[일사합_kWh_m2],RawDataKWh[연도],$A5,RawDataKWh[지역명],C$3)</f>
        <v/>
      </c>
      <c r="D5" s="45">
        <f>SUMIFS(RawDataKWh[일사합_kWh_m2],RawDataKWh[연도],$A5,RawDataKWh[지역명],D$3)</f>
        <v/>
      </c>
      <c r="E5" s="45">
        <f>SUMIFS(RawDataKWh[일사합_kWh_m2],RawDataKWh[연도],$A5,RawDataKWh[지역명],E$3)</f>
        <v/>
      </c>
      <c r="F5" s="45">
        <f>SUMIFS(RawDataKWh[일사합_kWh_m2],RawDataKWh[연도],$A5,RawDataKWh[지역명],F$3)</f>
        <v/>
      </c>
      <c r="G5" s="45">
        <f>SUMIFS(RawDataKWh[일사합_kWh_m2],RawDataKWh[연도],$A5,RawDataKWh[지역명],G$3)</f>
        <v/>
      </c>
      <c r="H5" s="45">
        <f>SUMIFS(RawDataKWh[일사합_kWh_m2],RawDataKWh[연도],$A5,RawDataKWh[지역명],H$3)</f>
        <v/>
      </c>
      <c r="I5" s="45">
        <f>SUMIFS(RawDataKWh[일사합_kWh_m2],RawDataKWh[연도],$A5,RawDataKWh[지역명],I$3)</f>
        <v/>
      </c>
      <c r="J5" s="45">
        <f>SUMIFS(RawDataKWh[일사합_kWh_m2],RawDataKWh[연도],$A5,RawDataKWh[지역명],J$3)</f>
        <v/>
      </c>
      <c r="K5" s="45">
        <f>SUMIFS(RawDataKWh[일사합_kWh_m2],RawDataKWh[연도],$A5,RawDataKWh[지역명],K$3)</f>
        <v/>
      </c>
      <c r="L5" s="45">
        <f>AVERAGE(B5:K5)</f>
        <v/>
      </c>
      <c r="N5" s="19">
        <f>$A5</f>
        <v/>
      </c>
      <c r="O5" s="46">
        <f>SUMIFS(RawDataKWh[일사합_kWh_m2],RawDataKWh[연도],$A5,RawDataKWh[지역명],O$3)/SUMIFS(RawDataKWh[일수],RawDataKWh[연도],$A5,RawDataKWh[지역명],O$3)</f>
        <v/>
      </c>
      <c r="P5" s="46">
        <f>SUMIFS(RawDataKWh[일사합_kWh_m2],RawDataKWh[연도],$A5,RawDataKWh[지역명],P$3)/SUMIFS(RawDataKWh[일수],RawDataKWh[연도],$A5,RawDataKWh[지역명],P$3)</f>
        <v/>
      </c>
      <c r="Q5" s="46">
        <f>SUMIFS(RawDataKWh[일사합_kWh_m2],RawDataKWh[연도],$A5,RawDataKWh[지역명],Q$3)/SUMIFS(RawDataKWh[일수],RawDataKWh[연도],$A5,RawDataKWh[지역명],Q$3)</f>
        <v/>
      </c>
      <c r="R5" s="46">
        <f>SUMIFS(RawDataKWh[일사합_kWh_m2],RawDataKWh[연도],$A5,RawDataKWh[지역명],R$3)/SUMIFS(RawDataKWh[일수],RawDataKWh[연도],$A5,RawDataKWh[지역명],R$3)</f>
        <v/>
      </c>
      <c r="S5" s="46">
        <f>SUMIFS(RawDataKWh[일사합_kWh_m2],RawDataKWh[연도],$A5,RawDataKWh[지역명],S$3)/SUMIFS(RawDataKWh[일수],RawDataKWh[연도],$A5,RawDataKWh[지역명],S$3)</f>
        <v/>
      </c>
      <c r="T5" s="46">
        <f>SUMIFS(RawDataKWh[일사합_kWh_m2],RawDataKWh[연도],$A5,RawDataKWh[지역명],T$3)/SUMIFS(RawDataKWh[일수],RawDataKWh[연도],$A5,RawDataKWh[지역명],T$3)</f>
        <v/>
      </c>
      <c r="U5" s="46">
        <f>SUMIFS(RawDataKWh[일사합_kWh_m2],RawDataKWh[연도],$A5,RawDataKWh[지역명],U$3)/SUMIFS(RawDataKWh[일수],RawDataKWh[연도],$A5,RawDataKWh[지역명],U$3)</f>
        <v/>
      </c>
      <c r="V5" s="46">
        <f>SUMIFS(RawDataKWh[일사합_kWh_m2],RawDataKWh[연도],$A5,RawDataKWh[지역명],V$3)/SUMIFS(RawDataKWh[일수],RawDataKWh[연도],$A5,RawDataKWh[지역명],V$3)</f>
        <v/>
      </c>
      <c r="W5" s="46">
        <f>SUMIFS(RawDataKWh[일사합_kWh_m2],RawDataKWh[연도],$A5,RawDataKWh[지역명],W$3)/SUMIFS(RawDataKWh[일수],RawDataKWh[연도],$A5,RawDataKWh[지역명],W$3)</f>
        <v/>
      </c>
      <c r="X5" s="46">
        <f>SUMIFS(RawDataKWh[일사합_kWh_m2],RawDataKWh[연도],$A5,RawDataKWh[지역명],X$3)/SUMIFS(RawDataKWh[일수],RawDataKWh[연도],$A5,RawDataKWh[지역명],X$3)</f>
        <v/>
      </c>
      <c r="Y5" s="46">
        <f>AVERAGE(O5:X5)</f>
        <v/>
      </c>
    </row>
    <row r="6" ht="16" customHeight="1">
      <c r="A6" s="17" t="n">
        <v>2018</v>
      </c>
      <c r="B6" s="41">
        <f>SUMIFS(RawDataKWh[일사합_kWh_m2],RawDataKWh[연도],$A6,RawDataKWh[지역명],B$3)</f>
        <v/>
      </c>
      <c r="C6" s="41">
        <f>SUMIFS(RawDataKWh[일사합_kWh_m2],RawDataKWh[연도],$A6,RawDataKWh[지역명],C$3)</f>
        <v/>
      </c>
      <c r="D6" s="41">
        <f>SUMIFS(RawDataKWh[일사합_kWh_m2],RawDataKWh[연도],$A6,RawDataKWh[지역명],D$3)</f>
        <v/>
      </c>
      <c r="E6" s="41">
        <f>SUMIFS(RawDataKWh[일사합_kWh_m2],RawDataKWh[연도],$A6,RawDataKWh[지역명],E$3)</f>
        <v/>
      </c>
      <c r="F6" s="41">
        <f>SUMIFS(RawDataKWh[일사합_kWh_m2],RawDataKWh[연도],$A6,RawDataKWh[지역명],F$3)</f>
        <v/>
      </c>
      <c r="G6" s="41">
        <f>SUMIFS(RawDataKWh[일사합_kWh_m2],RawDataKWh[연도],$A6,RawDataKWh[지역명],G$3)</f>
        <v/>
      </c>
      <c r="H6" s="41">
        <f>SUMIFS(RawDataKWh[일사합_kWh_m2],RawDataKWh[연도],$A6,RawDataKWh[지역명],H$3)</f>
        <v/>
      </c>
      <c r="I6" s="41">
        <f>SUMIFS(RawDataKWh[일사합_kWh_m2],RawDataKWh[연도],$A6,RawDataKWh[지역명],I$3)</f>
        <v/>
      </c>
      <c r="J6" s="41">
        <f>SUMIFS(RawDataKWh[일사합_kWh_m2],RawDataKWh[연도],$A6,RawDataKWh[지역명],J$3)</f>
        <v/>
      </c>
      <c r="K6" s="41">
        <f>SUMIFS(RawDataKWh[일사합_kWh_m2],RawDataKWh[연도],$A6,RawDataKWh[지역명],K$3)</f>
        <v/>
      </c>
      <c r="L6" s="41">
        <f>AVERAGE(B6:K6)</f>
        <v/>
      </c>
      <c r="N6" s="17">
        <f>$A6</f>
        <v/>
      </c>
      <c r="O6" s="42">
        <f>SUMIFS(RawDataKWh[일사합_kWh_m2],RawDataKWh[연도],$A6,RawDataKWh[지역명],O$3)/SUMIFS(RawDataKWh[일수],RawDataKWh[연도],$A6,RawDataKWh[지역명],O$3)</f>
        <v/>
      </c>
      <c r="P6" s="42">
        <f>SUMIFS(RawDataKWh[일사합_kWh_m2],RawDataKWh[연도],$A6,RawDataKWh[지역명],P$3)/SUMIFS(RawDataKWh[일수],RawDataKWh[연도],$A6,RawDataKWh[지역명],P$3)</f>
        <v/>
      </c>
      <c r="Q6" s="42">
        <f>SUMIFS(RawDataKWh[일사합_kWh_m2],RawDataKWh[연도],$A6,RawDataKWh[지역명],Q$3)/SUMIFS(RawDataKWh[일수],RawDataKWh[연도],$A6,RawDataKWh[지역명],Q$3)</f>
        <v/>
      </c>
      <c r="R6" s="42">
        <f>SUMIFS(RawDataKWh[일사합_kWh_m2],RawDataKWh[연도],$A6,RawDataKWh[지역명],R$3)/SUMIFS(RawDataKWh[일수],RawDataKWh[연도],$A6,RawDataKWh[지역명],R$3)</f>
        <v/>
      </c>
      <c r="S6" s="42">
        <f>SUMIFS(RawDataKWh[일사합_kWh_m2],RawDataKWh[연도],$A6,RawDataKWh[지역명],S$3)/SUMIFS(RawDataKWh[일수],RawDataKWh[연도],$A6,RawDataKWh[지역명],S$3)</f>
        <v/>
      </c>
      <c r="T6" s="42">
        <f>SUMIFS(RawDataKWh[일사합_kWh_m2],RawDataKWh[연도],$A6,RawDataKWh[지역명],T$3)/SUMIFS(RawDataKWh[일수],RawDataKWh[연도],$A6,RawDataKWh[지역명],T$3)</f>
        <v/>
      </c>
      <c r="U6" s="42">
        <f>SUMIFS(RawDataKWh[일사합_kWh_m2],RawDataKWh[연도],$A6,RawDataKWh[지역명],U$3)/SUMIFS(RawDataKWh[일수],RawDataKWh[연도],$A6,RawDataKWh[지역명],U$3)</f>
        <v/>
      </c>
      <c r="V6" s="42">
        <f>SUMIFS(RawDataKWh[일사합_kWh_m2],RawDataKWh[연도],$A6,RawDataKWh[지역명],V$3)/SUMIFS(RawDataKWh[일수],RawDataKWh[연도],$A6,RawDataKWh[지역명],V$3)</f>
        <v/>
      </c>
      <c r="W6" s="42">
        <f>SUMIFS(RawDataKWh[일사합_kWh_m2],RawDataKWh[연도],$A6,RawDataKWh[지역명],W$3)/SUMIFS(RawDataKWh[일수],RawDataKWh[연도],$A6,RawDataKWh[지역명],W$3)</f>
        <v/>
      </c>
      <c r="X6" s="42">
        <f>SUMIFS(RawDataKWh[일사합_kWh_m2],RawDataKWh[연도],$A6,RawDataKWh[지역명],X$3)/SUMIFS(RawDataKWh[일수],RawDataKWh[연도],$A6,RawDataKWh[지역명],X$3)</f>
        <v/>
      </c>
      <c r="Y6" s="42">
        <f>AVERAGE(O6:X6)</f>
        <v/>
      </c>
    </row>
    <row r="7" ht="16" customHeight="1">
      <c r="A7" s="19" t="n">
        <v>2019</v>
      </c>
      <c r="B7" s="45">
        <f>SUMIFS(RawDataKWh[일사합_kWh_m2],RawDataKWh[연도],$A7,RawDataKWh[지역명],B$3)</f>
        <v/>
      </c>
      <c r="C7" s="45">
        <f>SUMIFS(RawDataKWh[일사합_kWh_m2],RawDataKWh[연도],$A7,RawDataKWh[지역명],C$3)</f>
        <v/>
      </c>
      <c r="D7" s="45">
        <f>SUMIFS(RawDataKWh[일사합_kWh_m2],RawDataKWh[연도],$A7,RawDataKWh[지역명],D$3)</f>
        <v/>
      </c>
      <c r="E7" s="45">
        <f>SUMIFS(RawDataKWh[일사합_kWh_m2],RawDataKWh[연도],$A7,RawDataKWh[지역명],E$3)</f>
        <v/>
      </c>
      <c r="F7" s="45">
        <f>SUMIFS(RawDataKWh[일사합_kWh_m2],RawDataKWh[연도],$A7,RawDataKWh[지역명],F$3)</f>
        <v/>
      </c>
      <c r="G7" s="45">
        <f>SUMIFS(RawDataKWh[일사합_kWh_m2],RawDataKWh[연도],$A7,RawDataKWh[지역명],G$3)</f>
        <v/>
      </c>
      <c r="H7" s="45">
        <f>SUMIFS(RawDataKWh[일사합_kWh_m2],RawDataKWh[연도],$A7,RawDataKWh[지역명],H$3)</f>
        <v/>
      </c>
      <c r="I7" s="45">
        <f>SUMIFS(RawDataKWh[일사합_kWh_m2],RawDataKWh[연도],$A7,RawDataKWh[지역명],I$3)</f>
        <v/>
      </c>
      <c r="J7" s="45">
        <f>SUMIFS(RawDataKWh[일사합_kWh_m2],RawDataKWh[연도],$A7,RawDataKWh[지역명],J$3)</f>
        <v/>
      </c>
      <c r="K7" s="45">
        <f>SUMIFS(RawDataKWh[일사합_kWh_m2],RawDataKWh[연도],$A7,RawDataKWh[지역명],K$3)</f>
        <v/>
      </c>
      <c r="L7" s="45">
        <f>AVERAGE(B7:K7)</f>
        <v/>
      </c>
      <c r="N7" s="19">
        <f>$A7</f>
        <v/>
      </c>
      <c r="O7" s="46">
        <f>SUMIFS(RawDataKWh[일사합_kWh_m2],RawDataKWh[연도],$A7,RawDataKWh[지역명],O$3)/SUMIFS(RawDataKWh[일수],RawDataKWh[연도],$A7,RawDataKWh[지역명],O$3)</f>
        <v/>
      </c>
      <c r="P7" s="46">
        <f>SUMIFS(RawDataKWh[일사합_kWh_m2],RawDataKWh[연도],$A7,RawDataKWh[지역명],P$3)/SUMIFS(RawDataKWh[일수],RawDataKWh[연도],$A7,RawDataKWh[지역명],P$3)</f>
        <v/>
      </c>
      <c r="Q7" s="46">
        <f>SUMIFS(RawDataKWh[일사합_kWh_m2],RawDataKWh[연도],$A7,RawDataKWh[지역명],Q$3)/SUMIFS(RawDataKWh[일수],RawDataKWh[연도],$A7,RawDataKWh[지역명],Q$3)</f>
        <v/>
      </c>
      <c r="R7" s="46">
        <f>SUMIFS(RawDataKWh[일사합_kWh_m2],RawDataKWh[연도],$A7,RawDataKWh[지역명],R$3)/SUMIFS(RawDataKWh[일수],RawDataKWh[연도],$A7,RawDataKWh[지역명],R$3)</f>
        <v/>
      </c>
      <c r="S7" s="46">
        <f>SUMIFS(RawDataKWh[일사합_kWh_m2],RawDataKWh[연도],$A7,RawDataKWh[지역명],S$3)/SUMIFS(RawDataKWh[일수],RawDataKWh[연도],$A7,RawDataKWh[지역명],S$3)</f>
        <v/>
      </c>
      <c r="T7" s="46">
        <f>SUMIFS(RawDataKWh[일사합_kWh_m2],RawDataKWh[연도],$A7,RawDataKWh[지역명],T$3)/SUMIFS(RawDataKWh[일수],RawDataKWh[연도],$A7,RawDataKWh[지역명],T$3)</f>
        <v/>
      </c>
      <c r="U7" s="46">
        <f>SUMIFS(RawDataKWh[일사합_kWh_m2],RawDataKWh[연도],$A7,RawDataKWh[지역명],U$3)/SUMIFS(RawDataKWh[일수],RawDataKWh[연도],$A7,RawDataKWh[지역명],U$3)</f>
        <v/>
      </c>
      <c r="V7" s="46">
        <f>SUMIFS(RawDataKWh[일사합_kWh_m2],RawDataKWh[연도],$A7,RawDataKWh[지역명],V$3)/SUMIFS(RawDataKWh[일수],RawDataKWh[연도],$A7,RawDataKWh[지역명],V$3)</f>
        <v/>
      </c>
      <c r="W7" s="46">
        <f>SUMIFS(RawDataKWh[일사합_kWh_m2],RawDataKWh[연도],$A7,RawDataKWh[지역명],W$3)/SUMIFS(RawDataKWh[일수],RawDataKWh[연도],$A7,RawDataKWh[지역명],W$3)</f>
        <v/>
      </c>
      <c r="X7" s="46">
        <f>SUMIFS(RawDataKWh[일사합_kWh_m2],RawDataKWh[연도],$A7,RawDataKWh[지역명],X$3)/SUMIFS(RawDataKWh[일수],RawDataKWh[연도],$A7,RawDataKWh[지역명],X$3)</f>
        <v/>
      </c>
      <c r="Y7" s="46">
        <f>AVERAGE(O7:X7)</f>
        <v/>
      </c>
    </row>
    <row r="8" ht="16" customHeight="1">
      <c r="A8" s="17" t="n">
        <v>2020</v>
      </c>
      <c r="B8" s="41">
        <f>SUMIFS(RawDataKWh[일사합_kWh_m2],RawDataKWh[연도],$A8,RawDataKWh[지역명],B$3)</f>
        <v/>
      </c>
      <c r="C8" s="41">
        <f>SUMIFS(RawDataKWh[일사합_kWh_m2],RawDataKWh[연도],$A8,RawDataKWh[지역명],C$3)</f>
        <v/>
      </c>
      <c r="D8" s="41">
        <f>SUMIFS(RawDataKWh[일사합_kWh_m2],RawDataKWh[연도],$A8,RawDataKWh[지역명],D$3)</f>
        <v/>
      </c>
      <c r="E8" s="41">
        <f>SUMIFS(RawDataKWh[일사합_kWh_m2],RawDataKWh[연도],$A8,RawDataKWh[지역명],E$3)</f>
        <v/>
      </c>
      <c r="F8" s="41">
        <f>SUMIFS(RawDataKWh[일사합_kWh_m2],RawDataKWh[연도],$A8,RawDataKWh[지역명],F$3)</f>
        <v/>
      </c>
      <c r="G8" s="41">
        <f>SUMIFS(RawDataKWh[일사합_kWh_m2],RawDataKWh[연도],$A8,RawDataKWh[지역명],G$3)</f>
        <v/>
      </c>
      <c r="H8" s="41">
        <f>SUMIFS(RawDataKWh[일사합_kWh_m2],RawDataKWh[연도],$A8,RawDataKWh[지역명],H$3)</f>
        <v/>
      </c>
      <c r="I8" s="41">
        <f>SUMIFS(RawDataKWh[일사합_kWh_m2],RawDataKWh[연도],$A8,RawDataKWh[지역명],I$3)</f>
        <v/>
      </c>
      <c r="J8" s="41">
        <f>SUMIFS(RawDataKWh[일사합_kWh_m2],RawDataKWh[연도],$A8,RawDataKWh[지역명],J$3)</f>
        <v/>
      </c>
      <c r="K8" s="41">
        <f>SUMIFS(RawDataKWh[일사합_kWh_m2],RawDataKWh[연도],$A8,RawDataKWh[지역명],K$3)</f>
        <v/>
      </c>
      <c r="L8" s="41">
        <f>AVERAGE(B8:K8)</f>
        <v/>
      </c>
      <c r="N8" s="17">
        <f>$A8</f>
        <v/>
      </c>
      <c r="O8" s="42">
        <f>SUMIFS(RawDataKWh[일사합_kWh_m2],RawDataKWh[연도],$A8,RawDataKWh[지역명],O$3)/SUMIFS(RawDataKWh[일수],RawDataKWh[연도],$A8,RawDataKWh[지역명],O$3)</f>
        <v/>
      </c>
      <c r="P8" s="42">
        <f>SUMIFS(RawDataKWh[일사합_kWh_m2],RawDataKWh[연도],$A8,RawDataKWh[지역명],P$3)/SUMIFS(RawDataKWh[일수],RawDataKWh[연도],$A8,RawDataKWh[지역명],P$3)</f>
        <v/>
      </c>
      <c r="Q8" s="42">
        <f>SUMIFS(RawDataKWh[일사합_kWh_m2],RawDataKWh[연도],$A8,RawDataKWh[지역명],Q$3)/SUMIFS(RawDataKWh[일수],RawDataKWh[연도],$A8,RawDataKWh[지역명],Q$3)</f>
        <v/>
      </c>
      <c r="R8" s="42">
        <f>SUMIFS(RawDataKWh[일사합_kWh_m2],RawDataKWh[연도],$A8,RawDataKWh[지역명],R$3)/SUMIFS(RawDataKWh[일수],RawDataKWh[연도],$A8,RawDataKWh[지역명],R$3)</f>
        <v/>
      </c>
      <c r="S8" s="42">
        <f>SUMIFS(RawDataKWh[일사합_kWh_m2],RawDataKWh[연도],$A8,RawDataKWh[지역명],S$3)/SUMIFS(RawDataKWh[일수],RawDataKWh[연도],$A8,RawDataKWh[지역명],S$3)</f>
        <v/>
      </c>
      <c r="T8" s="42">
        <f>SUMIFS(RawDataKWh[일사합_kWh_m2],RawDataKWh[연도],$A8,RawDataKWh[지역명],T$3)/SUMIFS(RawDataKWh[일수],RawDataKWh[연도],$A8,RawDataKWh[지역명],T$3)</f>
        <v/>
      </c>
      <c r="U8" s="42">
        <f>SUMIFS(RawDataKWh[일사합_kWh_m2],RawDataKWh[연도],$A8,RawDataKWh[지역명],U$3)/SUMIFS(RawDataKWh[일수],RawDataKWh[연도],$A8,RawDataKWh[지역명],U$3)</f>
        <v/>
      </c>
      <c r="V8" s="42">
        <f>SUMIFS(RawDataKWh[일사합_kWh_m2],RawDataKWh[연도],$A8,RawDataKWh[지역명],V$3)/SUMIFS(RawDataKWh[일수],RawDataKWh[연도],$A8,RawDataKWh[지역명],V$3)</f>
        <v/>
      </c>
      <c r="W8" s="42">
        <f>SUMIFS(RawDataKWh[일사합_kWh_m2],RawDataKWh[연도],$A8,RawDataKWh[지역명],W$3)/SUMIFS(RawDataKWh[일수],RawDataKWh[연도],$A8,RawDataKWh[지역명],W$3)</f>
        <v/>
      </c>
      <c r="X8" s="42">
        <f>SUMIFS(RawDataKWh[일사합_kWh_m2],RawDataKWh[연도],$A8,RawDataKWh[지역명],X$3)/SUMIFS(RawDataKWh[일수],RawDataKWh[연도],$A8,RawDataKWh[지역명],X$3)</f>
        <v/>
      </c>
      <c r="Y8" s="42">
        <f>AVERAGE(O8:X8)</f>
        <v/>
      </c>
    </row>
    <row r="9" ht="16" customHeight="1">
      <c r="A9" s="19" t="n">
        <v>2021</v>
      </c>
      <c r="B9" s="45">
        <f>SUMIFS(RawDataKWh[일사합_kWh_m2],RawDataKWh[연도],$A9,RawDataKWh[지역명],B$3)</f>
        <v/>
      </c>
      <c r="C9" s="45">
        <f>SUMIFS(RawDataKWh[일사합_kWh_m2],RawDataKWh[연도],$A9,RawDataKWh[지역명],C$3)</f>
        <v/>
      </c>
      <c r="D9" s="45">
        <f>SUMIFS(RawDataKWh[일사합_kWh_m2],RawDataKWh[연도],$A9,RawDataKWh[지역명],D$3)</f>
        <v/>
      </c>
      <c r="E9" s="45">
        <f>SUMIFS(RawDataKWh[일사합_kWh_m2],RawDataKWh[연도],$A9,RawDataKWh[지역명],E$3)</f>
        <v/>
      </c>
      <c r="F9" s="45">
        <f>SUMIFS(RawDataKWh[일사합_kWh_m2],RawDataKWh[연도],$A9,RawDataKWh[지역명],F$3)</f>
        <v/>
      </c>
      <c r="G9" s="45">
        <f>SUMIFS(RawDataKWh[일사합_kWh_m2],RawDataKWh[연도],$A9,RawDataKWh[지역명],G$3)</f>
        <v/>
      </c>
      <c r="H9" s="45">
        <f>SUMIFS(RawDataKWh[일사합_kWh_m2],RawDataKWh[연도],$A9,RawDataKWh[지역명],H$3)</f>
        <v/>
      </c>
      <c r="I9" s="45">
        <f>SUMIFS(RawDataKWh[일사합_kWh_m2],RawDataKWh[연도],$A9,RawDataKWh[지역명],I$3)</f>
        <v/>
      </c>
      <c r="J9" s="45">
        <f>SUMIFS(RawDataKWh[일사합_kWh_m2],RawDataKWh[연도],$A9,RawDataKWh[지역명],J$3)</f>
        <v/>
      </c>
      <c r="K9" s="45">
        <f>SUMIFS(RawDataKWh[일사합_kWh_m2],RawDataKWh[연도],$A9,RawDataKWh[지역명],K$3)</f>
        <v/>
      </c>
      <c r="L9" s="45">
        <f>AVERAGE(B9:K9)</f>
        <v/>
      </c>
      <c r="N9" s="19">
        <f>$A9</f>
        <v/>
      </c>
      <c r="O9" s="46">
        <f>SUMIFS(RawDataKWh[일사합_kWh_m2],RawDataKWh[연도],$A9,RawDataKWh[지역명],O$3)/SUMIFS(RawDataKWh[일수],RawDataKWh[연도],$A9,RawDataKWh[지역명],O$3)</f>
        <v/>
      </c>
      <c r="P9" s="46">
        <f>SUMIFS(RawDataKWh[일사합_kWh_m2],RawDataKWh[연도],$A9,RawDataKWh[지역명],P$3)/SUMIFS(RawDataKWh[일수],RawDataKWh[연도],$A9,RawDataKWh[지역명],P$3)</f>
        <v/>
      </c>
      <c r="Q9" s="46">
        <f>SUMIFS(RawDataKWh[일사합_kWh_m2],RawDataKWh[연도],$A9,RawDataKWh[지역명],Q$3)/SUMIFS(RawDataKWh[일수],RawDataKWh[연도],$A9,RawDataKWh[지역명],Q$3)</f>
        <v/>
      </c>
      <c r="R9" s="46">
        <f>SUMIFS(RawDataKWh[일사합_kWh_m2],RawDataKWh[연도],$A9,RawDataKWh[지역명],R$3)/SUMIFS(RawDataKWh[일수],RawDataKWh[연도],$A9,RawDataKWh[지역명],R$3)</f>
        <v/>
      </c>
      <c r="S9" s="46">
        <f>SUMIFS(RawDataKWh[일사합_kWh_m2],RawDataKWh[연도],$A9,RawDataKWh[지역명],S$3)/SUMIFS(RawDataKWh[일수],RawDataKWh[연도],$A9,RawDataKWh[지역명],S$3)</f>
        <v/>
      </c>
      <c r="T9" s="46">
        <f>SUMIFS(RawDataKWh[일사합_kWh_m2],RawDataKWh[연도],$A9,RawDataKWh[지역명],T$3)/SUMIFS(RawDataKWh[일수],RawDataKWh[연도],$A9,RawDataKWh[지역명],T$3)</f>
        <v/>
      </c>
      <c r="U9" s="46">
        <f>SUMIFS(RawDataKWh[일사합_kWh_m2],RawDataKWh[연도],$A9,RawDataKWh[지역명],U$3)/SUMIFS(RawDataKWh[일수],RawDataKWh[연도],$A9,RawDataKWh[지역명],U$3)</f>
        <v/>
      </c>
      <c r="V9" s="46">
        <f>SUMIFS(RawDataKWh[일사합_kWh_m2],RawDataKWh[연도],$A9,RawDataKWh[지역명],V$3)/SUMIFS(RawDataKWh[일수],RawDataKWh[연도],$A9,RawDataKWh[지역명],V$3)</f>
        <v/>
      </c>
      <c r="W9" s="46">
        <f>SUMIFS(RawDataKWh[일사합_kWh_m2],RawDataKWh[연도],$A9,RawDataKWh[지역명],W$3)/SUMIFS(RawDataKWh[일수],RawDataKWh[연도],$A9,RawDataKWh[지역명],W$3)</f>
        <v/>
      </c>
      <c r="X9" s="46">
        <f>SUMIFS(RawDataKWh[일사합_kWh_m2],RawDataKWh[연도],$A9,RawDataKWh[지역명],X$3)/SUMIFS(RawDataKWh[일수],RawDataKWh[연도],$A9,RawDataKWh[지역명],X$3)</f>
        <v/>
      </c>
      <c r="Y9" s="46">
        <f>AVERAGE(O9:X9)</f>
        <v/>
      </c>
    </row>
    <row r="10" ht="16" customHeight="1">
      <c r="A10" s="17" t="n">
        <v>2022</v>
      </c>
      <c r="B10" s="41">
        <f>SUMIFS(RawDataKWh[일사합_kWh_m2],RawDataKWh[연도],$A10,RawDataKWh[지역명],B$3)</f>
        <v/>
      </c>
      <c r="C10" s="41">
        <f>SUMIFS(RawDataKWh[일사합_kWh_m2],RawDataKWh[연도],$A10,RawDataKWh[지역명],C$3)</f>
        <v/>
      </c>
      <c r="D10" s="41">
        <f>SUMIFS(RawDataKWh[일사합_kWh_m2],RawDataKWh[연도],$A10,RawDataKWh[지역명],D$3)</f>
        <v/>
      </c>
      <c r="E10" s="41">
        <f>SUMIFS(RawDataKWh[일사합_kWh_m2],RawDataKWh[연도],$A10,RawDataKWh[지역명],E$3)</f>
        <v/>
      </c>
      <c r="F10" s="41">
        <f>SUMIFS(RawDataKWh[일사합_kWh_m2],RawDataKWh[연도],$A10,RawDataKWh[지역명],F$3)</f>
        <v/>
      </c>
      <c r="G10" s="41">
        <f>SUMIFS(RawDataKWh[일사합_kWh_m2],RawDataKWh[연도],$A10,RawDataKWh[지역명],G$3)</f>
        <v/>
      </c>
      <c r="H10" s="41">
        <f>SUMIFS(RawDataKWh[일사합_kWh_m2],RawDataKWh[연도],$A10,RawDataKWh[지역명],H$3)</f>
        <v/>
      </c>
      <c r="I10" s="41">
        <f>SUMIFS(RawDataKWh[일사합_kWh_m2],RawDataKWh[연도],$A10,RawDataKWh[지역명],I$3)</f>
        <v/>
      </c>
      <c r="J10" s="41">
        <f>SUMIFS(RawDataKWh[일사합_kWh_m2],RawDataKWh[연도],$A10,RawDataKWh[지역명],J$3)</f>
        <v/>
      </c>
      <c r="K10" s="41">
        <f>SUMIFS(RawDataKWh[일사합_kWh_m2],RawDataKWh[연도],$A10,RawDataKWh[지역명],K$3)</f>
        <v/>
      </c>
      <c r="L10" s="41">
        <f>AVERAGE(B10:K10)</f>
        <v/>
      </c>
      <c r="N10" s="17">
        <f>$A10</f>
        <v/>
      </c>
      <c r="O10" s="42">
        <f>SUMIFS(RawDataKWh[일사합_kWh_m2],RawDataKWh[연도],$A10,RawDataKWh[지역명],O$3)/SUMIFS(RawDataKWh[일수],RawDataKWh[연도],$A10,RawDataKWh[지역명],O$3)</f>
        <v/>
      </c>
      <c r="P10" s="42">
        <f>SUMIFS(RawDataKWh[일사합_kWh_m2],RawDataKWh[연도],$A10,RawDataKWh[지역명],P$3)/SUMIFS(RawDataKWh[일수],RawDataKWh[연도],$A10,RawDataKWh[지역명],P$3)</f>
        <v/>
      </c>
      <c r="Q10" s="42">
        <f>SUMIFS(RawDataKWh[일사합_kWh_m2],RawDataKWh[연도],$A10,RawDataKWh[지역명],Q$3)/SUMIFS(RawDataKWh[일수],RawDataKWh[연도],$A10,RawDataKWh[지역명],Q$3)</f>
        <v/>
      </c>
      <c r="R10" s="42">
        <f>SUMIFS(RawDataKWh[일사합_kWh_m2],RawDataKWh[연도],$A10,RawDataKWh[지역명],R$3)/SUMIFS(RawDataKWh[일수],RawDataKWh[연도],$A10,RawDataKWh[지역명],R$3)</f>
        <v/>
      </c>
      <c r="S10" s="42">
        <f>SUMIFS(RawDataKWh[일사합_kWh_m2],RawDataKWh[연도],$A10,RawDataKWh[지역명],S$3)/SUMIFS(RawDataKWh[일수],RawDataKWh[연도],$A10,RawDataKWh[지역명],S$3)</f>
        <v/>
      </c>
      <c r="T10" s="42">
        <f>SUMIFS(RawDataKWh[일사합_kWh_m2],RawDataKWh[연도],$A10,RawDataKWh[지역명],T$3)/SUMIFS(RawDataKWh[일수],RawDataKWh[연도],$A10,RawDataKWh[지역명],T$3)</f>
        <v/>
      </c>
      <c r="U10" s="42">
        <f>SUMIFS(RawDataKWh[일사합_kWh_m2],RawDataKWh[연도],$A10,RawDataKWh[지역명],U$3)/SUMIFS(RawDataKWh[일수],RawDataKWh[연도],$A10,RawDataKWh[지역명],U$3)</f>
        <v/>
      </c>
      <c r="V10" s="42">
        <f>SUMIFS(RawDataKWh[일사합_kWh_m2],RawDataKWh[연도],$A10,RawDataKWh[지역명],V$3)/SUMIFS(RawDataKWh[일수],RawDataKWh[연도],$A10,RawDataKWh[지역명],V$3)</f>
        <v/>
      </c>
      <c r="W10" s="42">
        <f>SUMIFS(RawDataKWh[일사합_kWh_m2],RawDataKWh[연도],$A10,RawDataKWh[지역명],W$3)/SUMIFS(RawDataKWh[일수],RawDataKWh[연도],$A10,RawDataKWh[지역명],W$3)</f>
        <v/>
      </c>
      <c r="X10" s="42">
        <f>SUMIFS(RawDataKWh[일사합_kWh_m2],RawDataKWh[연도],$A10,RawDataKWh[지역명],X$3)/SUMIFS(RawDataKWh[일수],RawDataKWh[연도],$A10,RawDataKWh[지역명],X$3)</f>
        <v/>
      </c>
      <c r="Y10" s="42">
        <f>AVERAGE(O10:X10)</f>
        <v/>
      </c>
    </row>
    <row r="11" ht="16" customHeight="1">
      <c r="A11" s="19" t="n">
        <v>2023</v>
      </c>
      <c r="B11" s="45">
        <f>SUMIFS(RawDataKWh[일사합_kWh_m2],RawDataKWh[연도],$A11,RawDataKWh[지역명],B$3)</f>
        <v/>
      </c>
      <c r="C11" s="45">
        <f>SUMIFS(RawDataKWh[일사합_kWh_m2],RawDataKWh[연도],$A11,RawDataKWh[지역명],C$3)</f>
        <v/>
      </c>
      <c r="D11" s="45">
        <f>SUMIFS(RawDataKWh[일사합_kWh_m2],RawDataKWh[연도],$A11,RawDataKWh[지역명],D$3)</f>
        <v/>
      </c>
      <c r="E11" s="45">
        <f>SUMIFS(RawDataKWh[일사합_kWh_m2],RawDataKWh[연도],$A11,RawDataKWh[지역명],E$3)</f>
        <v/>
      </c>
      <c r="F11" s="45">
        <f>SUMIFS(RawDataKWh[일사합_kWh_m2],RawDataKWh[연도],$A11,RawDataKWh[지역명],F$3)</f>
        <v/>
      </c>
      <c r="G11" s="45">
        <f>SUMIFS(RawDataKWh[일사합_kWh_m2],RawDataKWh[연도],$A11,RawDataKWh[지역명],G$3)</f>
        <v/>
      </c>
      <c r="H11" s="45">
        <f>SUMIFS(RawDataKWh[일사합_kWh_m2],RawDataKWh[연도],$A11,RawDataKWh[지역명],H$3)</f>
        <v/>
      </c>
      <c r="I11" s="45">
        <f>SUMIFS(RawDataKWh[일사합_kWh_m2],RawDataKWh[연도],$A11,RawDataKWh[지역명],I$3)</f>
        <v/>
      </c>
      <c r="J11" s="45">
        <f>SUMIFS(RawDataKWh[일사합_kWh_m2],RawDataKWh[연도],$A11,RawDataKWh[지역명],J$3)</f>
        <v/>
      </c>
      <c r="K11" s="45">
        <f>SUMIFS(RawDataKWh[일사합_kWh_m2],RawDataKWh[연도],$A11,RawDataKWh[지역명],K$3)</f>
        <v/>
      </c>
      <c r="L11" s="45">
        <f>AVERAGE(B11:K11)</f>
        <v/>
      </c>
      <c r="N11" s="19">
        <f>$A11</f>
        <v/>
      </c>
      <c r="O11" s="46">
        <f>SUMIFS(RawDataKWh[일사합_kWh_m2],RawDataKWh[연도],$A11,RawDataKWh[지역명],O$3)/SUMIFS(RawDataKWh[일수],RawDataKWh[연도],$A11,RawDataKWh[지역명],O$3)</f>
        <v/>
      </c>
      <c r="P11" s="46">
        <f>SUMIFS(RawDataKWh[일사합_kWh_m2],RawDataKWh[연도],$A11,RawDataKWh[지역명],P$3)/SUMIFS(RawDataKWh[일수],RawDataKWh[연도],$A11,RawDataKWh[지역명],P$3)</f>
        <v/>
      </c>
      <c r="Q11" s="46">
        <f>SUMIFS(RawDataKWh[일사합_kWh_m2],RawDataKWh[연도],$A11,RawDataKWh[지역명],Q$3)/SUMIFS(RawDataKWh[일수],RawDataKWh[연도],$A11,RawDataKWh[지역명],Q$3)</f>
        <v/>
      </c>
      <c r="R11" s="46">
        <f>SUMIFS(RawDataKWh[일사합_kWh_m2],RawDataKWh[연도],$A11,RawDataKWh[지역명],R$3)/SUMIFS(RawDataKWh[일수],RawDataKWh[연도],$A11,RawDataKWh[지역명],R$3)</f>
        <v/>
      </c>
      <c r="S11" s="46">
        <f>SUMIFS(RawDataKWh[일사합_kWh_m2],RawDataKWh[연도],$A11,RawDataKWh[지역명],S$3)/SUMIFS(RawDataKWh[일수],RawDataKWh[연도],$A11,RawDataKWh[지역명],S$3)</f>
        <v/>
      </c>
      <c r="T11" s="46">
        <f>SUMIFS(RawDataKWh[일사합_kWh_m2],RawDataKWh[연도],$A11,RawDataKWh[지역명],T$3)/SUMIFS(RawDataKWh[일수],RawDataKWh[연도],$A11,RawDataKWh[지역명],T$3)</f>
        <v/>
      </c>
      <c r="U11" s="46">
        <f>SUMIFS(RawDataKWh[일사합_kWh_m2],RawDataKWh[연도],$A11,RawDataKWh[지역명],U$3)/SUMIFS(RawDataKWh[일수],RawDataKWh[연도],$A11,RawDataKWh[지역명],U$3)</f>
        <v/>
      </c>
      <c r="V11" s="46">
        <f>SUMIFS(RawDataKWh[일사합_kWh_m2],RawDataKWh[연도],$A11,RawDataKWh[지역명],V$3)/SUMIFS(RawDataKWh[일수],RawDataKWh[연도],$A11,RawDataKWh[지역명],V$3)</f>
        <v/>
      </c>
      <c r="W11" s="46">
        <f>SUMIFS(RawDataKWh[일사합_kWh_m2],RawDataKWh[연도],$A11,RawDataKWh[지역명],W$3)/SUMIFS(RawDataKWh[일수],RawDataKWh[연도],$A11,RawDataKWh[지역명],W$3)</f>
        <v/>
      </c>
      <c r="X11" s="46">
        <f>SUMIFS(RawDataKWh[일사합_kWh_m2],RawDataKWh[연도],$A11,RawDataKWh[지역명],X$3)/SUMIFS(RawDataKWh[일수],RawDataKWh[연도],$A11,RawDataKWh[지역명],X$3)</f>
        <v/>
      </c>
      <c r="Y11" s="46">
        <f>AVERAGE(O11:X11)</f>
        <v/>
      </c>
    </row>
    <row r="12" ht="16" customHeight="1">
      <c r="A12" s="17" t="n">
        <v>2024</v>
      </c>
      <c r="B12" s="41">
        <f>SUMIFS(RawDataKWh[일사합_kWh_m2],RawDataKWh[연도],$A12,RawDataKWh[지역명],B$3)</f>
        <v/>
      </c>
      <c r="C12" s="41">
        <f>SUMIFS(RawDataKWh[일사합_kWh_m2],RawDataKWh[연도],$A12,RawDataKWh[지역명],C$3)</f>
        <v/>
      </c>
      <c r="D12" s="41">
        <f>SUMIFS(RawDataKWh[일사합_kWh_m2],RawDataKWh[연도],$A12,RawDataKWh[지역명],D$3)</f>
        <v/>
      </c>
      <c r="E12" s="41">
        <f>SUMIFS(RawDataKWh[일사합_kWh_m2],RawDataKWh[연도],$A12,RawDataKWh[지역명],E$3)</f>
        <v/>
      </c>
      <c r="F12" s="41">
        <f>SUMIFS(RawDataKWh[일사합_kWh_m2],RawDataKWh[연도],$A12,RawDataKWh[지역명],F$3)</f>
        <v/>
      </c>
      <c r="G12" s="41">
        <f>SUMIFS(RawDataKWh[일사합_kWh_m2],RawDataKWh[연도],$A12,RawDataKWh[지역명],G$3)</f>
        <v/>
      </c>
      <c r="H12" s="41">
        <f>SUMIFS(RawDataKWh[일사합_kWh_m2],RawDataKWh[연도],$A12,RawDataKWh[지역명],H$3)</f>
        <v/>
      </c>
      <c r="I12" s="41">
        <f>SUMIFS(RawDataKWh[일사합_kWh_m2],RawDataKWh[연도],$A12,RawDataKWh[지역명],I$3)</f>
        <v/>
      </c>
      <c r="J12" s="41">
        <f>SUMIFS(RawDataKWh[일사합_kWh_m2],RawDataKWh[연도],$A12,RawDataKWh[지역명],J$3)</f>
        <v/>
      </c>
      <c r="K12" s="41">
        <f>SUMIFS(RawDataKWh[일사합_kWh_m2],RawDataKWh[연도],$A12,RawDataKWh[지역명],K$3)</f>
        <v/>
      </c>
      <c r="L12" s="41">
        <f>AVERAGE(B12:K12)</f>
        <v/>
      </c>
      <c r="N12" s="17">
        <f>$A12</f>
        <v/>
      </c>
      <c r="O12" s="42">
        <f>SUMIFS(RawDataKWh[일사합_kWh_m2],RawDataKWh[연도],$A12,RawDataKWh[지역명],O$3)/SUMIFS(RawDataKWh[일수],RawDataKWh[연도],$A12,RawDataKWh[지역명],O$3)</f>
        <v/>
      </c>
      <c r="P12" s="42">
        <f>SUMIFS(RawDataKWh[일사합_kWh_m2],RawDataKWh[연도],$A12,RawDataKWh[지역명],P$3)/SUMIFS(RawDataKWh[일수],RawDataKWh[연도],$A12,RawDataKWh[지역명],P$3)</f>
        <v/>
      </c>
      <c r="Q12" s="42">
        <f>SUMIFS(RawDataKWh[일사합_kWh_m2],RawDataKWh[연도],$A12,RawDataKWh[지역명],Q$3)/SUMIFS(RawDataKWh[일수],RawDataKWh[연도],$A12,RawDataKWh[지역명],Q$3)</f>
        <v/>
      </c>
      <c r="R12" s="42">
        <f>SUMIFS(RawDataKWh[일사합_kWh_m2],RawDataKWh[연도],$A12,RawDataKWh[지역명],R$3)/SUMIFS(RawDataKWh[일수],RawDataKWh[연도],$A12,RawDataKWh[지역명],R$3)</f>
        <v/>
      </c>
      <c r="S12" s="42">
        <f>SUMIFS(RawDataKWh[일사합_kWh_m2],RawDataKWh[연도],$A12,RawDataKWh[지역명],S$3)/SUMIFS(RawDataKWh[일수],RawDataKWh[연도],$A12,RawDataKWh[지역명],S$3)</f>
        <v/>
      </c>
      <c r="T12" s="42">
        <f>SUMIFS(RawDataKWh[일사합_kWh_m2],RawDataKWh[연도],$A12,RawDataKWh[지역명],T$3)/SUMIFS(RawDataKWh[일수],RawDataKWh[연도],$A12,RawDataKWh[지역명],T$3)</f>
        <v/>
      </c>
      <c r="U12" s="42">
        <f>SUMIFS(RawDataKWh[일사합_kWh_m2],RawDataKWh[연도],$A12,RawDataKWh[지역명],U$3)/SUMIFS(RawDataKWh[일수],RawDataKWh[연도],$A12,RawDataKWh[지역명],U$3)</f>
        <v/>
      </c>
      <c r="V12" s="42">
        <f>SUMIFS(RawDataKWh[일사합_kWh_m2],RawDataKWh[연도],$A12,RawDataKWh[지역명],V$3)/SUMIFS(RawDataKWh[일수],RawDataKWh[연도],$A12,RawDataKWh[지역명],V$3)</f>
        <v/>
      </c>
      <c r="W12" s="42">
        <f>SUMIFS(RawDataKWh[일사합_kWh_m2],RawDataKWh[연도],$A12,RawDataKWh[지역명],W$3)/SUMIFS(RawDataKWh[일수],RawDataKWh[연도],$A12,RawDataKWh[지역명],W$3)</f>
        <v/>
      </c>
      <c r="X12" s="42">
        <f>SUMIFS(RawDataKWh[일사합_kWh_m2],RawDataKWh[연도],$A12,RawDataKWh[지역명],X$3)/SUMIFS(RawDataKWh[일수],RawDataKWh[연도],$A12,RawDataKWh[지역명],X$3)</f>
        <v/>
      </c>
      <c r="Y12" s="42">
        <f>AVERAGE(O12:X12)</f>
        <v/>
      </c>
    </row>
    <row r="13" ht="16" customHeight="1">
      <c r="A13" s="19" t="n">
        <v>2025</v>
      </c>
      <c r="B13" s="45">
        <f>SUMIFS(RawDataKWh[일사합_kWh_m2],RawDataKWh[연도],$A13,RawDataKWh[지역명],B$3)</f>
        <v/>
      </c>
      <c r="C13" s="45">
        <f>SUMIFS(RawDataKWh[일사합_kWh_m2],RawDataKWh[연도],$A13,RawDataKWh[지역명],C$3)</f>
        <v/>
      </c>
      <c r="D13" s="45">
        <f>SUMIFS(RawDataKWh[일사합_kWh_m2],RawDataKWh[연도],$A13,RawDataKWh[지역명],D$3)</f>
        <v/>
      </c>
      <c r="E13" s="45">
        <f>SUMIFS(RawDataKWh[일사합_kWh_m2],RawDataKWh[연도],$A13,RawDataKWh[지역명],E$3)</f>
        <v/>
      </c>
      <c r="F13" s="45">
        <f>SUMIFS(RawDataKWh[일사합_kWh_m2],RawDataKWh[연도],$A13,RawDataKWh[지역명],F$3)</f>
        <v/>
      </c>
      <c r="G13" s="45">
        <f>SUMIFS(RawDataKWh[일사합_kWh_m2],RawDataKWh[연도],$A13,RawDataKWh[지역명],G$3)</f>
        <v/>
      </c>
      <c r="H13" s="45">
        <f>SUMIFS(RawDataKWh[일사합_kWh_m2],RawDataKWh[연도],$A13,RawDataKWh[지역명],H$3)</f>
        <v/>
      </c>
      <c r="I13" s="45">
        <f>SUMIFS(RawDataKWh[일사합_kWh_m2],RawDataKWh[연도],$A13,RawDataKWh[지역명],I$3)</f>
        <v/>
      </c>
      <c r="J13" s="45">
        <f>SUMIFS(RawDataKWh[일사합_kWh_m2],RawDataKWh[연도],$A13,RawDataKWh[지역명],J$3)</f>
        <v/>
      </c>
      <c r="K13" s="45">
        <f>SUMIFS(RawDataKWh[일사합_kWh_m2],RawDataKWh[연도],$A13,RawDataKWh[지역명],K$3)</f>
        <v/>
      </c>
      <c r="L13" s="45">
        <f>AVERAGE(B13:K13)</f>
        <v/>
      </c>
      <c r="N13" s="19">
        <f>$A13</f>
        <v/>
      </c>
      <c r="O13" s="46">
        <f>SUMIFS(RawDataKWh[일사합_kWh_m2],RawDataKWh[연도],$A13,RawDataKWh[지역명],O$3)/SUMIFS(RawDataKWh[일수],RawDataKWh[연도],$A13,RawDataKWh[지역명],O$3)</f>
        <v/>
      </c>
      <c r="P13" s="46">
        <f>SUMIFS(RawDataKWh[일사합_kWh_m2],RawDataKWh[연도],$A13,RawDataKWh[지역명],P$3)/SUMIFS(RawDataKWh[일수],RawDataKWh[연도],$A13,RawDataKWh[지역명],P$3)</f>
        <v/>
      </c>
      <c r="Q13" s="46">
        <f>SUMIFS(RawDataKWh[일사합_kWh_m2],RawDataKWh[연도],$A13,RawDataKWh[지역명],Q$3)/SUMIFS(RawDataKWh[일수],RawDataKWh[연도],$A13,RawDataKWh[지역명],Q$3)</f>
        <v/>
      </c>
      <c r="R13" s="46">
        <f>SUMIFS(RawDataKWh[일사합_kWh_m2],RawDataKWh[연도],$A13,RawDataKWh[지역명],R$3)/SUMIFS(RawDataKWh[일수],RawDataKWh[연도],$A13,RawDataKWh[지역명],R$3)</f>
        <v/>
      </c>
      <c r="S13" s="46">
        <f>SUMIFS(RawDataKWh[일사합_kWh_m2],RawDataKWh[연도],$A13,RawDataKWh[지역명],S$3)/SUMIFS(RawDataKWh[일수],RawDataKWh[연도],$A13,RawDataKWh[지역명],S$3)</f>
        <v/>
      </c>
      <c r="T13" s="46">
        <f>SUMIFS(RawDataKWh[일사합_kWh_m2],RawDataKWh[연도],$A13,RawDataKWh[지역명],T$3)/SUMIFS(RawDataKWh[일수],RawDataKWh[연도],$A13,RawDataKWh[지역명],T$3)</f>
        <v/>
      </c>
      <c r="U13" s="46">
        <f>SUMIFS(RawDataKWh[일사합_kWh_m2],RawDataKWh[연도],$A13,RawDataKWh[지역명],U$3)/SUMIFS(RawDataKWh[일수],RawDataKWh[연도],$A13,RawDataKWh[지역명],U$3)</f>
        <v/>
      </c>
      <c r="V13" s="46">
        <f>SUMIFS(RawDataKWh[일사합_kWh_m2],RawDataKWh[연도],$A13,RawDataKWh[지역명],V$3)/SUMIFS(RawDataKWh[일수],RawDataKWh[연도],$A13,RawDataKWh[지역명],V$3)</f>
        <v/>
      </c>
      <c r="W13" s="46">
        <f>SUMIFS(RawDataKWh[일사합_kWh_m2],RawDataKWh[연도],$A13,RawDataKWh[지역명],W$3)/SUMIFS(RawDataKWh[일수],RawDataKWh[연도],$A13,RawDataKWh[지역명],W$3)</f>
        <v/>
      </c>
      <c r="X13" s="46">
        <f>SUMIFS(RawDataKWh[일사합_kWh_m2],RawDataKWh[연도],$A13,RawDataKWh[지역명],X$3)/SUMIFS(RawDataKWh[일수],RawDataKWh[연도],$A13,RawDataKWh[지역명],X$3)</f>
        <v/>
      </c>
      <c r="Y13" s="46">
        <f>AVERAGE(O13:X13)</f>
        <v/>
      </c>
    </row>
    <row r="14" ht="18" customHeight="1">
      <c r="A14" s="52" t="inlineStr">
        <is>
          <t>10개년 평균</t>
        </is>
      </c>
      <c r="B14" s="49">
        <f>AVERAGE(B4:B13)</f>
        <v/>
      </c>
      <c r="C14" s="49">
        <f>AVERAGE(C4:C13)</f>
        <v/>
      </c>
      <c r="D14" s="49">
        <f>AVERAGE(D4:D13)</f>
        <v/>
      </c>
      <c r="E14" s="49">
        <f>AVERAGE(E4:E13)</f>
        <v/>
      </c>
      <c r="F14" s="49">
        <f>AVERAGE(F4:F13)</f>
        <v/>
      </c>
      <c r="G14" s="49">
        <f>AVERAGE(G4:G13)</f>
        <v/>
      </c>
      <c r="H14" s="49">
        <f>AVERAGE(H4:H13)</f>
        <v/>
      </c>
      <c r="I14" s="49">
        <f>AVERAGE(I4:I13)</f>
        <v/>
      </c>
      <c r="J14" s="49">
        <f>AVERAGE(J4:J13)</f>
        <v/>
      </c>
      <c r="K14" s="49">
        <f>AVERAGE(K4:K13)</f>
        <v/>
      </c>
      <c r="L14" s="49">
        <f>AVERAGE(L4:L13)</f>
        <v/>
      </c>
      <c r="N14" s="52" t="inlineStr">
        <is>
          <t>10개년 평균</t>
        </is>
      </c>
      <c r="O14" s="50">
        <f>AVERAGE(O4:O13)</f>
        <v/>
      </c>
      <c r="P14" s="50">
        <f>AVERAGE(P4:P13)</f>
        <v/>
      </c>
      <c r="Q14" s="50">
        <f>AVERAGE(Q4:Q13)</f>
        <v/>
      </c>
      <c r="R14" s="50">
        <f>AVERAGE(R4:R13)</f>
        <v/>
      </c>
      <c r="S14" s="50">
        <f>AVERAGE(S4:S13)</f>
        <v/>
      </c>
      <c r="T14" s="50">
        <f>AVERAGE(T4:T13)</f>
        <v/>
      </c>
      <c r="U14" s="50">
        <f>AVERAGE(U4:U13)</f>
        <v/>
      </c>
      <c r="V14" s="50">
        <f>AVERAGE(V4:V13)</f>
        <v/>
      </c>
      <c r="W14" s="50">
        <f>AVERAGE(W4:W13)</f>
        <v/>
      </c>
      <c r="X14" s="50">
        <f>AVERAGE(X4:X13)</f>
        <v/>
      </c>
      <c r="Y14" s="50">
        <f>AVERAGE(Y4:Y13)</f>
        <v/>
      </c>
    </row>
    <row r="16">
      <c r="A16" s="78" t="inlineStr">
        <is>
          <t>※ 일평균(오른쪽 표) = 해당 연도 일사합 총합 ÷ 해당 연도 총 일수 (일수 가중평균)</t>
        </is>
      </c>
    </row>
  </sheetData>
  <mergeCells count="3">
    <mergeCell ref="A16:L16"/>
    <mergeCell ref="A2:Y2"/>
    <mergeCell ref="A1:Y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Y17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30" customHeight="1">
      <c r="A1" s="1" t="inlineStr">
        <is>
          <t>달력월 기후평균 (계절 패턴)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왼쪽 표: 2016~2025 동일 월의 월 합계 평균 [kWh/m²]  ·  오른쪽 표(N열~): 동일 월의 일평균 [kWh/m²/일]</t>
        </is>
      </c>
    </row>
    <row r="3" ht="30" customHeight="1">
      <c r="A3" s="14" t="inlineStr">
        <is>
          <t>월
(월 합계 평균)</t>
        </is>
      </c>
      <c r="B3" s="14" t="inlineStr">
        <is>
          <t>서울경기</t>
        </is>
      </c>
      <c r="C3" s="14" t="inlineStr">
        <is>
          <t>강원영동</t>
        </is>
      </c>
      <c r="D3" s="14" t="inlineStr">
        <is>
          <t>강원영서</t>
        </is>
      </c>
      <c r="E3" s="14" t="inlineStr">
        <is>
          <t>충북</t>
        </is>
      </c>
      <c r="F3" s="14" t="inlineStr">
        <is>
          <t>충남</t>
        </is>
      </c>
      <c r="G3" s="14" t="inlineStr">
        <is>
          <t>경북</t>
        </is>
      </c>
      <c r="H3" s="14" t="inlineStr">
        <is>
          <t>경남</t>
        </is>
      </c>
      <c r="I3" s="14" t="inlineStr">
        <is>
          <t>전북</t>
        </is>
      </c>
      <c r="J3" s="14" t="inlineStr">
        <is>
          <t>전남</t>
        </is>
      </c>
      <c r="K3" s="14" t="inlineStr">
        <is>
          <t>제주</t>
        </is>
      </c>
      <c r="L3" s="14" t="inlineStr">
        <is>
          <t>전국평균</t>
        </is>
      </c>
      <c r="N3" s="14" t="inlineStr">
        <is>
          <t>월
(일평균)</t>
        </is>
      </c>
      <c r="O3" s="14" t="inlineStr">
        <is>
          <t>서울경기</t>
        </is>
      </c>
      <c r="P3" s="14" t="inlineStr">
        <is>
          <t>강원영동</t>
        </is>
      </c>
      <c r="Q3" s="14" t="inlineStr">
        <is>
          <t>강원영서</t>
        </is>
      </c>
      <c r="R3" s="14" t="inlineStr">
        <is>
          <t>충북</t>
        </is>
      </c>
      <c r="S3" s="14" t="inlineStr">
        <is>
          <t>충남</t>
        </is>
      </c>
      <c r="T3" s="14" t="inlineStr">
        <is>
          <t>경북</t>
        </is>
      </c>
      <c r="U3" s="14" t="inlineStr">
        <is>
          <t>경남</t>
        </is>
      </c>
      <c r="V3" s="14" t="inlineStr">
        <is>
          <t>전북</t>
        </is>
      </c>
      <c r="W3" s="14" t="inlineStr">
        <is>
          <t>전남</t>
        </is>
      </c>
      <c r="X3" s="14" t="inlineStr">
        <is>
          <t>제주</t>
        </is>
      </c>
      <c r="Y3" s="14" t="inlineStr">
        <is>
          <t>전국평균</t>
        </is>
      </c>
    </row>
    <row r="4" ht="16" customHeight="1">
      <c r="A4" s="40" t="n">
        <v>1</v>
      </c>
      <c r="B4" s="41">
        <f>AVERAGEIFS(RawDataKWh[일사합_kWh_m2],RawDataKWh[월],$A4,RawDataKWh[지역명],B$3)</f>
        <v/>
      </c>
      <c r="C4" s="41">
        <f>AVERAGEIFS(RawDataKWh[일사합_kWh_m2],RawDataKWh[월],$A4,RawDataKWh[지역명],C$3)</f>
        <v/>
      </c>
      <c r="D4" s="41">
        <f>AVERAGEIFS(RawDataKWh[일사합_kWh_m2],RawDataKWh[월],$A4,RawDataKWh[지역명],D$3)</f>
        <v/>
      </c>
      <c r="E4" s="41">
        <f>AVERAGEIFS(RawDataKWh[일사합_kWh_m2],RawDataKWh[월],$A4,RawDataKWh[지역명],E$3)</f>
        <v/>
      </c>
      <c r="F4" s="41">
        <f>AVERAGEIFS(RawDataKWh[일사합_kWh_m2],RawDataKWh[월],$A4,RawDataKWh[지역명],F$3)</f>
        <v/>
      </c>
      <c r="G4" s="41">
        <f>AVERAGEIFS(RawDataKWh[일사합_kWh_m2],RawDataKWh[월],$A4,RawDataKWh[지역명],G$3)</f>
        <v/>
      </c>
      <c r="H4" s="41">
        <f>AVERAGEIFS(RawDataKWh[일사합_kWh_m2],RawDataKWh[월],$A4,RawDataKWh[지역명],H$3)</f>
        <v/>
      </c>
      <c r="I4" s="41">
        <f>AVERAGEIFS(RawDataKWh[일사합_kWh_m2],RawDataKWh[월],$A4,RawDataKWh[지역명],I$3)</f>
        <v/>
      </c>
      <c r="J4" s="41">
        <f>AVERAGEIFS(RawDataKWh[일사합_kWh_m2],RawDataKWh[월],$A4,RawDataKWh[지역명],J$3)</f>
        <v/>
      </c>
      <c r="K4" s="41">
        <f>AVERAGEIFS(RawDataKWh[일사합_kWh_m2],RawDataKWh[월],$A4,RawDataKWh[지역명],K$3)</f>
        <v/>
      </c>
      <c r="L4" s="41">
        <f>AVERAGE(B4:K4)</f>
        <v/>
      </c>
      <c r="N4" s="40">
        <f>$A4</f>
        <v/>
      </c>
      <c r="O4" s="42">
        <f>AVERAGEIFS(RawDataKWh[일평균_일사합_kWh_m2],RawDataKWh[월],$A4,RawDataKWh[지역명],O$3)</f>
        <v/>
      </c>
      <c r="P4" s="42">
        <f>AVERAGEIFS(RawDataKWh[일평균_일사합_kWh_m2],RawDataKWh[월],$A4,RawDataKWh[지역명],P$3)</f>
        <v/>
      </c>
      <c r="Q4" s="42">
        <f>AVERAGEIFS(RawDataKWh[일평균_일사합_kWh_m2],RawDataKWh[월],$A4,RawDataKWh[지역명],Q$3)</f>
        <v/>
      </c>
      <c r="R4" s="42">
        <f>AVERAGEIFS(RawDataKWh[일평균_일사합_kWh_m2],RawDataKWh[월],$A4,RawDataKWh[지역명],R$3)</f>
        <v/>
      </c>
      <c r="S4" s="42">
        <f>AVERAGEIFS(RawDataKWh[일평균_일사합_kWh_m2],RawDataKWh[월],$A4,RawDataKWh[지역명],S$3)</f>
        <v/>
      </c>
      <c r="T4" s="42">
        <f>AVERAGEIFS(RawDataKWh[일평균_일사합_kWh_m2],RawDataKWh[월],$A4,RawDataKWh[지역명],T$3)</f>
        <v/>
      </c>
      <c r="U4" s="42">
        <f>AVERAGEIFS(RawDataKWh[일평균_일사합_kWh_m2],RawDataKWh[월],$A4,RawDataKWh[지역명],U$3)</f>
        <v/>
      </c>
      <c r="V4" s="42">
        <f>AVERAGEIFS(RawDataKWh[일평균_일사합_kWh_m2],RawDataKWh[월],$A4,RawDataKWh[지역명],V$3)</f>
        <v/>
      </c>
      <c r="W4" s="42">
        <f>AVERAGEIFS(RawDataKWh[일평균_일사합_kWh_m2],RawDataKWh[월],$A4,RawDataKWh[지역명],W$3)</f>
        <v/>
      </c>
      <c r="X4" s="42">
        <f>AVERAGEIFS(RawDataKWh[일평균_일사합_kWh_m2],RawDataKWh[월],$A4,RawDataKWh[지역명],X$3)</f>
        <v/>
      </c>
      <c r="Y4" s="42">
        <f>AVERAGE(O4:X4)</f>
        <v/>
      </c>
    </row>
    <row r="5" ht="16" customHeight="1">
      <c r="A5" s="44" t="n">
        <v>2</v>
      </c>
      <c r="B5" s="45">
        <f>AVERAGEIFS(RawDataKWh[일사합_kWh_m2],RawDataKWh[월],$A5,RawDataKWh[지역명],B$3)</f>
        <v/>
      </c>
      <c r="C5" s="45">
        <f>AVERAGEIFS(RawDataKWh[일사합_kWh_m2],RawDataKWh[월],$A5,RawDataKWh[지역명],C$3)</f>
        <v/>
      </c>
      <c r="D5" s="45">
        <f>AVERAGEIFS(RawDataKWh[일사합_kWh_m2],RawDataKWh[월],$A5,RawDataKWh[지역명],D$3)</f>
        <v/>
      </c>
      <c r="E5" s="45">
        <f>AVERAGEIFS(RawDataKWh[일사합_kWh_m2],RawDataKWh[월],$A5,RawDataKWh[지역명],E$3)</f>
        <v/>
      </c>
      <c r="F5" s="45">
        <f>AVERAGEIFS(RawDataKWh[일사합_kWh_m2],RawDataKWh[월],$A5,RawDataKWh[지역명],F$3)</f>
        <v/>
      </c>
      <c r="G5" s="45">
        <f>AVERAGEIFS(RawDataKWh[일사합_kWh_m2],RawDataKWh[월],$A5,RawDataKWh[지역명],G$3)</f>
        <v/>
      </c>
      <c r="H5" s="45">
        <f>AVERAGEIFS(RawDataKWh[일사합_kWh_m2],RawDataKWh[월],$A5,RawDataKWh[지역명],H$3)</f>
        <v/>
      </c>
      <c r="I5" s="45">
        <f>AVERAGEIFS(RawDataKWh[일사합_kWh_m2],RawDataKWh[월],$A5,RawDataKWh[지역명],I$3)</f>
        <v/>
      </c>
      <c r="J5" s="45">
        <f>AVERAGEIFS(RawDataKWh[일사합_kWh_m2],RawDataKWh[월],$A5,RawDataKWh[지역명],J$3)</f>
        <v/>
      </c>
      <c r="K5" s="45">
        <f>AVERAGEIFS(RawDataKWh[일사합_kWh_m2],RawDataKWh[월],$A5,RawDataKWh[지역명],K$3)</f>
        <v/>
      </c>
      <c r="L5" s="45">
        <f>AVERAGE(B5:K5)</f>
        <v/>
      </c>
      <c r="N5" s="44">
        <f>$A5</f>
        <v/>
      </c>
      <c r="O5" s="46">
        <f>AVERAGEIFS(RawDataKWh[일평균_일사합_kWh_m2],RawDataKWh[월],$A5,RawDataKWh[지역명],O$3)</f>
        <v/>
      </c>
      <c r="P5" s="46">
        <f>AVERAGEIFS(RawDataKWh[일평균_일사합_kWh_m2],RawDataKWh[월],$A5,RawDataKWh[지역명],P$3)</f>
        <v/>
      </c>
      <c r="Q5" s="46">
        <f>AVERAGEIFS(RawDataKWh[일평균_일사합_kWh_m2],RawDataKWh[월],$A5,RawDataKWh[지역명],Q$3)</f>
        <v/>
      </c>
      <c r="R5" s="46">
        <f>AVERAGEIFS(RawDataKWh[일평균_일사합_kWh_m2],RawDataKWh[월],$A5,RawDataKWh[지역명],R$3)</f>
        <v/>
      </c>
      <c r="S5" s="46">
        <f>AVERAGEIFS(RawDataKWh[일평균_일사합_kWh_m2],RawDataKWh[월],$A5,RawDataKWh[지역명],S$3)</f>
        <v/>
      </c>
      <c r="T5" s="46">
        <f>AVERAGEIFS(RawDataKWh[일평균_일사합_kWh_m2],RawDataKWh[월],$A5,RawDataKWh[지역명],T$3)</f>
        <v/>
      </c>
      <c r="U5" s="46">
        <f>AVERAGEIFS(RawDataKWh[일평균_일사합_kWh_m2],RawDataKWh[월],$A5,RawDataKWh[지역명],U$3)</f>
        <v/>
      </c>
      <c r="V5" s="46">
        <f>AVERAGEIFS(RawDataKWh[일평균_일사합_kWh_m2],RawDataKWh[월],$A5,RawDataKWh[지역명],V$3)</f>
        <v/>
      </c>
      <c r="W5" s="46">
        <f>AVERAGEIFS(RawDataKWh[일평균_일사합_kWh_m2],RawDataKWh[월],$A5,RawDataKWh[지역명],W$3)</f>
        <v/>
      </c>
      <c r="X5" s="46">
        <f>AVERAGEIFS(RawDataKWh[일평균_일사합_kWh_m2],RawDataKWh[월],$A5,RawDataKWh[지역명],X$3)</f>
        <v/>
      </c>
      <c r="Y5" s="46">
        <f>AVERAGE(O5:X5)</f>
        <v/>
      </c>
    </row>
    <row r="6" ht="16" customHeight="1">
      <c r="A6" s="40" t="n">
        <v>3</v>
      </c>
      <c r="B6" s="41">
        <f>AVERAGEIFS(RawDataKWh[일사합_kWh_m2],RawDataKWh[월],$A6,RawDataKWh[지역명],B$3)</f>
        <v/>
      </c>
      <c r="C6" s="41">
        <f>AVERAGEIFS(RawDataKWh[일사합_kWh_m2],RawDataKWh[월],$A6,RawDataKWh[지역명],C$3)</f>
        <v/>
      </c>
      <c r="D6" s="41">
        <f>AVERAGEIFS(RawDataKWh[일사합_kWh_m2],RawDataKWh[월],$A6,RawDataKWh[지역명],D$3)</f>
        <v/>
      </c>
      <c r="E6" s="41">
        <f>AVERAGEIFS(RawDataKWh[일사합_kWh_m2],RawDataKWh[월],$A6,RawDataKWh[지역명],E$3)</f>
        <v/>
      </c>
      <c r="F6" s="41">
        <f>AVERAGEIFS(RawDataKWh[일사합_kWh_m2],RawDataKWh[월],$A6,RawDataKWh[지역명],F$3)</f>
        <v/>
      </c>
      <c r="G6" s="41">
        <f>AVERAGEIFS(RawDataKWh[일사합_kWh_m2],RawDataKWh[월],$A6,RawDataKWh[지역명],G$3)</f>
        <v/>
      </c>
      <c r="H6" s="41">
        <f>AVERAGEIFS(RawDataKWh[일사합_kWh_m2],RawDataKWh[월],$A6,RawDataKWh[지역명],H$3)</f>
        <v/>
      </c>
      <c r="I6" s="41">
        <f>AVERAGEIFS(RawDataKWh[일사합_kWh_m2],RawDataKWh[월],$A6,RawDataKWh[지역명],I$3)</f>
        <v/>
      </c>
      <c r="J6" s="41">
        <f>AVERAGEIFS(RawDataKWh[일사합_kWh_m2],RawDataKWh[월],$A6,RawDataKWh[지역명],J$3)</f>
        <v/>
      </c>
      <c r="K6" s="41">
        <f>AVERAGEIFS(RawDataKWh[일사합_kWh_m2],RawDataKWh[월],$A6,RawDataKWh[지역명],K$3)</f>
        <v/>
      </c>
      <c r="L6" s="41">
        <f>AVERAGE(B6:K6)</f>
        <v/>
      </c>
      <c r="N6" s="40">
        <f>$A6</f>
        <v/>
      </c>
      <c r="O6" s="42">
        <f>AVERAGEIFS(RawDataKWh[일평균_일사합_kWh_m2],RawDataKWh[월],$A6,RawDataKWh[지역명],O$3)</f>
        <v/>
      </c>
      <c r="P6" s="42">
        <f>AVERAGEIFS(RawDataKWh[일평균_일사합_kWh_m2],RawDataKWh[월],$A6,RawDataKWh[지역명],P$3)</f>
        <v/>
      </c>
      <c r="Q6" s="42">
        <f>AVERAGEIFS(RawDataKWh[일평균_일사합_kWh_m2],RawDataKWh[월],$A6,RawDataKWh[지역명],Q$3)</f>
        <v/>
      </c>
      <c r="R6" s="42">
        <f>AVERAGEIFS(RawDataKWh[일평균_일사합_kWh_m2],RawDataKWh[월],$A6,RawDataKWh[지역명],R$3)</f>
        <v/>
      </c>
      <c r="S6" s="42">
        <f>AVERAGEIFS(RawDataKWh[일평균_일사합_kWh_m2],RawDataKWh[월],$A6,RawDataKWh[지역명],S$3)</f>
        <v/>
      </c>
      <c r="T6" s="42">
        <f>AVERAGEIFS(RawDataKWh[일평균_일사합_kWh_m2],RawDataKWh[월],$A6,RawDataKWh[지역명],T$3)</f>
        <v/>
      </c>
      <c r="U6" s="42">
        <f>AVERAGEIFS(RawDataKWh[일평균_일사합_kWh_m2],RawDataKWh[월],$A6,RawDataKWh[지역명],U$3)</f>
        <v/>
      </c>
      <c r="V6" s="42">
        <f>AVERAGEIFS(RawDataKWh[일평균_일사합_kWh_m2],RawDataKWh[월],$A6,RawDataKWh[지역명],V$3)</f>
        <v/>
      </c>
      <c r="W6" s="42">
        <f>AVERAGEIFS(RawDataKWh[일평균_일사합_kWh_m2],RawDataKWh[월],$A6,RawDataKWh[지역명],W$3)</f>
        <v/>
      </c>
      <c r="X6" s="42">
        <f>AVERAGEIFS(RawDataKWh[일평균_일사합_kWh_m2],RawDataKWh[월],$A6,RawDataKWh[지역명],X$3)</f>
        <v/>
      </c>
      <c r="Y6" s="42">
        <f>AVERAGE(O6:X6)</f>
        <v/>
      </c>
    </row>
    <row r="7" ht="16" customHeight="1">
      <c r="A7" s="44" t="n">
        <v>4</v>
      </c>
      <c r="B7" s="45">
        <f>AVERAGEIFS(RawDataKWh[일사합_kWh_m2],RawDataKWh[월],$A7,RawDataKWh[지역명],B$3)</f>
        <v/>
      </c>
      <c r="C7" s="45">
        <f>AVERAGEIFS(RawDataKWh[일사합_kWh_m2],RawDataKWh[월],$A7,RawDataKWh[지역명],C$3)</f>
        <v/>
      </c>
      <c r="D7" s="45">
        <f>AVERAGEIFS(RawDataKWh[일사합_kWh_m2],RawDataKWh[월],$A7,RawDataKWh[지역명],D$3)</f>
        <v/>
      </c>
      <c r="E7" s="45">
        <f>AVERAGEIFS(RawDataKWh[일사합_kWh_m2],RawDataKWh[월],$A7,RawDataKWh[지역명],E$3)</f>
        <v/>
      </c>
      <c r="F7" s="45">
        <f>AVERAGEIFS(RawDataKWh[일사합_kWh_m2],RawDataKWh[월],$A7,RawDataKWh[지역명],F$3)</f>
        <v/>
      </c>
      <c r="G7" s="45">
        <f>AVERAGEIFS(RawDataKWh[일사합_kWh_m2],RawDataKWh[월],$A7,RawDataKWh[지역명],G$3)</f>
        <v/>
      </c>
      <c r="H7" s="45">
        <f>AVERAGEIFS(RawDataKWh[일사합_kWh_m2],RawDataKWh[월],$A7,RawDataKWh[지역명],H$3)</f>
        <v/>
      </c>
      <c r="I7" s="45">
        <f>AVERAGEIFS(RawDataKWh[일사합_kWh_m2],RawDataKWh[월],$A7,RawDataKWh[지역명],I$3)</f>
        <v/>
      </c>
      <c r="J7" s="45">
        <f>AVERAGEIFS(RawDataKWh[일사합_kWh_m2],RawDataKWh[월],$A7,RawDataKWh[지역명],J$3)</f>
        <v/>
      </c>
      <c r="K7" s="45">
        <f>AVERAGEIFS(RawDataKWh[일사합_kWh_m2],RawDataKWh[월],$A7,RawDataKWh[지역명],K$3)</f>
        <v/>
      </c>
      <c r="L7" s="45">
        <f>AVERAGE(B7:K7)</f>
        <v/>
      </c>
      <c r="N7" s="44">
        <f>$A7</f>
        <v/>
      </c>
      <c r="O7" s="46">
        <f>AVERAGEIFS(RawDataKWh[일평균_일사합_kWh_m2],RawDataKWh[월],$A7,RawDataKWh[지역명],O$3)</f>
        <v/>
      </c>
      <c r="P7" s="46">
        <f>AVERAGEIFS(RawDataKWh[일평균_일사합_kWh_m2],RawDataKWh[월],$A7,RawDataKWh[지역명],P$3)</f>
        <v/>
      </c>
      <c r="Q7" s="46">
        <f>AVERAGEIFS(RawDataKWh[일평균_일사합_kWh_m2],RawDataKWh[월],$A7,RawDataKWh[지역명],Q$3)</f>
        <v/>
      </c>
      <c r="R7" s="46">
        <f>AVERAGEIFS(RawDataKWh[일평균_일사합_kWh_m2],RawDataKWh[월],$A7,RawDataKWh[지역명],R$3)</f>
        <v/>
      </c>
      <c r="S7" s="46">
        <f>AVERAGEIFS(RawDataKWh[일평균_일사합_kWh_m2],RawDataKWh[월],$A7,RawDataKWh[지역명],S$3)</f>
        <v/>
      </c>
      <c r="T7" s="46">
        <f>AVERAGEIFS(RawDataKWh[일평균_일사합_kWh_m2],RawDataKWh[월],$A7,RawDataKWh[지역명],T$3)</f>
        <v/>
      </c>
      <c r="U7" s="46">
        <f>AVERAGEIFS(RawDataKWh[일평균_일사합_kWh_m2],RawDataKWh[월],$A7,RawDataKWh[지역명],U$3)</f>
        <v/>
      </c>
      <c r="V7" s="46">
        <f>AVERAGEIFS(RawDataKWh[일평균_일사합_kWh_m2],RawDataKWh[월],$A7,RawDataKWh[지역명],V$3)</f>
        <v/>
      </c>
      <c r="W7" s="46">
        <f>AVERAGEIFS(RawDataKWh[일평균_일사합_kWh_m2],RawDataKWh[월],$A7,RawDataKWh[지역명],W$3)</f>
        <v/>
      </c>
      <c r="X7" s="46">
        <f>AVERAGEIFS(RawDataKWh[일평균_일사합_kWh_m2],RawDataKWh[월],$A7,RawDataKWh[지역명],X$3)</f>
        <v/>
      </c>
      <c r="Y7" s="46">
        <f>AVERAGE(O7:X7)</f>
        <v/>
      </c>
    </row>
    <row r="8" ht="16" customHeight="1">
      <c r="A8" s="40" t="n">
        <v>5</v>
      </c>
      <c r="B8" s="41">
        <f>AVERAGEIFS(RawDataKWh[일사합_kWh_m2],RawDataKWh[월],$A8,RawDataKWh[지역명],B$3)</f>
        <v/>
      </c>
      <c r="C8" s="41">
        <f>AVERAGEIFS(RawDataKWh[일사합_kWh_m2],RawDataKWh[월],$A8,RawDataKWh[지역명],C$3)</f>
        <v/>
      </c>
      <c r="D8" s="41">
        <f>AVERAGEIFS(RawDataKWh[일사합_kWh_m2],RawDataKWh[월],$A8,RawDataKWh[지역명],D$3)</f>
        <v/>
      </c>
      <c r="E8" s="41">
        <f>AVERAGEIFS(RawDataKWh[일사합_kWh_m2],RawDataKWh[월],$A8,RawDataKWh[지역명],E$3)</f>
        <v/>
      </c>
      <c r="F8" s="41">
        <f>AVERAGEIFS(RawDataKWh[일사합_kWh_m2],RawDataKWh[월],$A8,RawDataKWh[지역명],F$3)</f>
        <v/>
      </c>
      <c r="G8" s="41">
        <f>AVERAGEIFS(RawDataKWh[일사합_kWh_m2],RawDataKWh[월],$A8,RawDataKWh[지역명],G$3)</f>
        <v/>
      </c>
      <c r="H8" s="41">
        <f>AVERAGEIFS(RawDataKWh[일사합_kWh_m2],RawDataKWh[월],$A8,RawDataKWh[지역명],H$3)</f>
        <v/>
      </c>
      <c r="I8" s="41">
        <f>AVERAGEIFS(RawDataKWh[일사합_kWh_m2],RawDataKWh[월],$A8,RawDataKWh[지역명],I$3)</f>
        <v/>
      </c>
      <c r="J8" s="41">
        <f>AVERAGEIFS(RawDataKWh[일사합_kWh_m2],RawDataKWh[월],$A8,RawDataKWh[지역명],J$3)</f>
        <v/>
      </c>
      <c r="K8" s="41">
        <f>AVERAGEIFS(RawDataKWh[일사합_kWh_m2],RawDataKWh[월],$A8,RawDataKWh[지역명],K$3)</f>
        <v/>
      </c>
      <c r="L8" s="41">
        <f>AVERAGE(B8:K8)</f>
        <v/>
      </c>
      <c r="N8" s="40">
        <f>$A8</f>
        <v/>
      </c>
      <c r="O8" s="42">
        <f>AVERAGEIFS(RawDataKWh[일평균_일사합_kWh_m2],RawDataKWh[월],$A8,RawDataKWh[지역명],O$3)</f>
        <v/>
      </c>
      <c r="P8" s="42">
        <f>AVERAGEIFS(RawDataKWh[일평균_일사합_kWh_m2],RawDataKWh[월],$A8,RawDataKWh[지역명],P$3)</f>
        <v/>
      </c>
      <c r="Q8" s="42">
        <f>AVERAGEIFS(RawDataKWh[일평균_일사합_kWh_m2],RawDataKWh[월],$A8,RawDataKWh[지역명],Q$3)</f>
        <v/>
      </c>
      <c r="R8" s="42">
        <f>AVERAGEIFS(RawDataKWh[일평균_일사합_kWh_m2],RawDataKWh[월],$A8,RawDataKWh[지역명],R$3)</f>
        <v/>
      </c>
      <c r="S8" s="42">
        <f>AVERAGEIFS(RawDataKWh[일평균_일사합_kWh_m2],RawDataKWh[월],$A8,RawDataKWh[지역명],S$3)</f>
        <v/>
      </c>
      <c r="T8" s="42">
        <f>AVERAGEIFS(RawDataKWh[일평균_일사합_kWh_m2],RawDataKWh[월],$A8,RawDataKWh[지역명],T$3)</f>
        <v/>
      </c>
      <c r="U8" s="42">
        <f>AVERAGEIFS(RawDataKWh[일평균_일사합_kWh_m2],RawDataKWh[월],$A8,RawDataKWh[지역명],U$3)</f>
        <v/>
      </c>
      <c r="V8" s="42">
        <f>AVERAGEIFS(RawDataKWh[일평균_일사합_kWh_m2],RawDataKWh[월],$A8,RawDataKWh[지역명],V$3)</f>
        <v/>
      </c>
      <c r="W8" s="42">
        <f>AVERAGEIFS(RawDataKWh[일평균_일사합_kWh_m2],RawDataKWh[월],$A8,RawDataKWh[지역명],W$3)</f>
        <v/>
      </c>
      <c r="X8" s="42">
        <f>AVERAGEIFS(RawDataKWh[일평균_일사합_kWh_m2],RawDataKWh[월],$A8,RawDataKWh[지역명],X$3)</f>
        <v/>
      </c>
      <c r="Y8" s="42">
        <f>AVERAGE(O8:X8)</f>
        <v/>
      </c>
    </row>
    <row r="9" ht="16" customHeight="1">
      <c r="A9" s="44" t="n">
        <v>6</v>
      </c>
      <c r="B9" s="45">
        <f>AVERAGEIFS(RawDataKWh[일사합_kWh_m2],RawDataKWh[월],$A9,RawDataKWh[지역명],B$3)</f>
        <v/>
      </c>
      <c r="C9" s="45">
        <f>AVERAGEIFS(RawDataKWh[일사합_kWh_m2],RawDataKWh[월],$A9,RawDataKWh[지역명],C$3)</f>
        <v/>
      </c>
      <c r="D9" s="45">
        <f>AVERAGEIFS(RawDataKWh[일사합_kWh_m2],RawDataKWh[월],$A9,RawDataKWh[지역명],D$3)</f>
        <v/>
      </c>
      <c r="E9" s="45">
        <f>AVERAGEIFS(RawDataKWh[일사합_kWh_m2],RawDataKWh[월],$A9,RawDataKWh[지역명],E$3)</f>
        <v/>
      </c>
      <c r="F9" s="45">
        <f>AVERAGEIFS(RawDataKWh[일사합_kWh_m2],RawDataKWh[월],$A9,RawDataKWh[지역명],F$3)</f>
        <v/>
      </c>
      <c r="G9" s="45">
        <f>AVERAGEIFS(RawDataKWh[일사합_kWh_m2],RawDataKWh[월],$A9,RawDataKWh[지역명],G$3)</f>
        <v/>
      </c>
      <c r="H9" s="45">
        <f>AVERAGEIFS(RawDataKWh[일사합_kWh_m2],RawDataKWh[월],$A9,RawDataKWh[지역명],H$3)</f>
        <v/>
      </c>
      <c r="I9" s="45">
        <f>AVERAGEIFS(RawDataKWh[일사합_kWh_m2],RawDataKWh[월],$A9,RawDataKWh[지역명],I$3)</f>
        <v/>
      </c>
      <c r="J9" s="45">
        <f>AVERAGEIFS(RawDataKWh[일사합_kWh_m2],RawDataKWh[월],$A9,RawDataKWh[지역명],J$3)</f>
        <v/>
      </c>
      <c r="K9" s="45">
        <f>AVERAGEIFS(RawDataKWh[일사합_kWh_m2],RawDataKWh[월],$A9,RawDataKWh[지역명],K$3)</f>
        <v/>
      </c>
      <c r="L9" s="45">
        <f>AVERAGE(B9:K9)</f>
        <v/>
      </c>
      <c r="N9" s="44">
        <f>$A9</f>
        <v/>
      </c>
      <c r="O9" s="46">
        <f>AVERAGEIFS(RawDataKWh[일평균_일사합_kWh_m2],RawDataKWh[월],$A9,RawDataKWh[지역명],O$3)</f>
        <v/>
      </c>
      <c r="P9" s="46">
        <f>AVERAGEIFS(RawDataKWh[일평균_일사합_kWh_m2],RawDataKWh[월],$A9,RawDataKWh[지역명],P$3)</f>
        <v/>
      </c>
      <c r="Q9" s="46">
        <f>AVERAGEIFS(RawDataKWh[일평균_일사합_kWh_m2],RawDataKWh[월],$A9,RawDataKWh[지역명],Q$3)</f>
        <v/>
      </c>
      <c r="R9" s="46">
        <f>AVERAGEIFS(RawDataKWh[일평균_일사합_kWh_m2],RawDataKWh[월],$A9,RawDataKWh[지역명],R$3)</f>
        <v/>
      </c>
      <c r="S9" s="46">
        <f>AVERAGEIFS(RawDataKWh[일평균_일사합_kWh_m2],RawDataKWh[월],$A9,RawDataKWh[지역명],S$3)</f>
        <v/>
      </c>
      <c r="T9" s="46">
        <f>AVERAGEIFS(RawDataKWh[일평균_일사합_kWh_m2],RawDataKWh[월],$A9,RawDataKWh[지역명],T$3)</f>
        <v/>
      </c>
      <c r="U9" s="46">
        <f>AVERAGEIFS(RawDataKWh[일평균_일사합_kWh_m2],RawDataKWh[월],$A9,RawDataKWh[지역명],U$3)</f>
        <v/>
      </c>
      <c r="V9" s="46">
        <f>AVERAGEIFS(RawDataKWh[일평균_일사합_kWh_m2],RawDataKWh[월],$A9,RawDataKWh[지역명],V$3)</f>
        <v/>
      </c>
      <c r="W9" s="46">
        <f>AVERAGEIFS(RawDataKWh[일평균_일사합_kWh_m2],RawDataKWh[월],$A9,RawDataKWh[지역명],W$3)</f>
        <v/>
      </c>
      <c r="X9" s="46">
        <f>AVERAGEIFS(RawDataKWh[일평균_일사합_kWh_m2],RawDataKWh[월],$A9,RawDataKWh[지역명],X$3)</f>
        <v/>
      </c>
      <c r="Y9" s="46">
        <f>AVERAGE(O9:X9)</f>
        <v/>
      </c>
    </row>
    <row r="10" ht="16" customHeight="1">
      <c r="A10" s="40" t="n">
        <v>7</v>
      </c>
      <c r="B10" s="41">
        <f>AVERAGEIFS(RawDataKWh[일사합_kWh_m2],RawDataKWh[월],$A10,RawDataKWh[지역명],B$3)</f>
        <v/>
      </c>
      <c r="C10" s="41">
        <f>AVERAGEIFS(RawDataKWh[일사합_kWh_m2],RawDataKWh[월],$A10,RawDataKWh[지역명],C$3)</f>
        <v/>
      </c>
      <c r="D10" s="41">
        <f>AVERAGEIFS(RawDataKWh[일사합_kWh_m2],RawDataKWh[월],$A10,RawDataKWh[지역명],D$3)</f>
        <v/>
      </c>
      <c r="E10" s="41">
        <f>AVERAGEIFS(RawDataKWh[일사합_kWh_m2],RawDataKWh[월],$A10,RawDataKWh[지역명],E$3)</f>
        <v/>
      </c>
      <c r="F10" s="41">
        <f>AVERAGEIFS(RawDataKWh[일사합_kWh_m2],RawDataKWh[월],$A10,RawDataKWh[지역명],F$3)</f>
        <v/>
      </c>
      <c r="G10" s="41">
        <f>AVERAGEIFS(RawDataKWh[일사합_kWh_m2],RawDataKWh[월],$A10,RawDataKWh[지역명],G$3)</f>
        <v/>
      </c>
      <c r="H10" s="41">
        <f>AVERAGEIFS(RawDataKWh[일사합_kWh_m2],RawDataKWh[월],$A10,RawDataKWh[지역명],H$3)</f>
        <v/>
      </c>
      <c r="I10" s="41">
        <f>AVERAGEIFS(RawDataKWh[일사합_kWh_m2],RawDataKWh[월],$A10,RawDataKWh[지역명],I$3)</f>
        <v/>
      </c>
      <c r="J10" s="41">
        <f>AVERAGEIFS(RawDataKWh[일사합_kWh_m2],RawDataKWh[월],$A10,RawDataKWh[지역명],J$3)</f>
        <v/>
      </c>
      <c r="K10" s="41">
        <f>AVERAGEIFS(RawDataKWh[일사합_kWh_m2],RawDataKWh[월],$A10,RawDataKWh[지역명],K$3)</f>
        <v/>
      </c>
      <c r="L10" s="41">
        <f>AVERAGE(B10:K10)</f>
        <v/>
      </c>
      <c r="N10" s="40">
        <f>$A10</f>
        <v/>
      </c>
      <c r="O10" s="42">
        <f>AVERAGEIFS(RawDataKWh[일평균_일사합_kWh_m2],RawDataKWh[월],$A10,RawDataKWh[지역명],O$3)</f>
        <v/>
      </c>
      <c r="P10" s="42">
        <f>AVERAGEIFS(RawDataKWh[일평균_일사합_kWh_m2],RawDataKWh[월],$A10,RawDataKWh[지역명],P$3)</f>
        <v/>
      </c>
      <c r="Q10" s="42">
        <f>AVERAGEIFS(RawDataKWh[일평균_일사합_kWh_m2],RawDataKWh[월],$A10,RawDataKWh[지역명],Q$3)</f>
        <v/>
      </c>
      <c r="R10" s="42">
        <f>AVERAGEIFS(RawDataKWh[일평균_일사합_kWh_m2],RawDataKWh[월],$A10,RawDataKWh[지역명],R$3)</f>
        <v/>
      </c>
      <c r="S10" s="42">
        <f>AVERAGEIFS(RawDataKWh[일평균_일사합_kWh_m2],RawDataKWh[월],$A10,RawDataKWh[지역명],S$3)</f>
        <v/>
      </c>
      <c r="T10" s="42">
        <f>AVERAGEIFS(RawDataKWh[일평균_일사합_kWh_m2],RawDataKWh[월],$A10,RawDataKWh[지역명],T$3)</f>
        <v/>
      </c>
      <c r="U10" s="42">
        <f>AVERAGEIFS(RawDataKWh[일평균_일사합_kWh_m2],RawDataKWh[월],$A10,RawDataKWh[지역명],U$3)</f>
        <v/>
      </c>
      <c r="V10" s="42">
        <f>AVERAGEIFS(RawDataKWh[일평균_일사합_kWh_m2],RawDataKWh[월],$A10,RawDataKWh[지역명],V$3)</f>
        <v/>
      </c>
      <c r="W10" s="42">
        <f>AVERAGEIFS(RawDataKWh[일평균_일사합_kWh_m2],RawDataKWh[월],$A10,RawDataKWh[지역명],W$3)</f>
        <v/>
      </c>
      <c r="X10" s="42">
        <f>AVERAGEIFS(RawDataKWh[일평균_일사합_kWh_m2],RawDataKWh[월],$A10,RawDataKWh[지역명],X$3)</f>
        <v/>
      </c>
      <c r="Y10" s="42">
        <f>AVERAGE(O10:X10)</f>
        <v/>
      </c>
    </row>
    <row r="11" ht="16" customHeight="1">
      <c r="A11" s="44" t="n">
        <v>8</v>
      </c>
      <c r="B11" s="45">
        <f>AVERAGEIFS(RawDataKWh[일사합_kWh_m2],RawDataKWh[월],$A11,RawDataKWh[지역명],B$3)</f>
        <v/>
      </c>
      <c r="C11" s="45">
        <f>AVERAGEIFS(RawDataKWh[일사합_kWh_m2],RawDataKWh[월],$A11,RawDataKWh[지역명],C$3)</f>
        <v/>
      </c>
      <c r="D11" s="45">
        <f>AVERAGEIFS(RawDataKWh[일사합_kWh_m2],RawDataKWh[월],$A11,RawDataKWh[지역명],D$3)</f>
        <v/>
      </c>
      <c r="E11" s="45">
        <f>AVERAGEIFS(RawDataKWh[일사합_kWh_m2],RawDataKWh[월],$A11,RawDataKWh[지역명],E$3)</f>
        <v/>
      </c>
      <c r="F11" s="45">
        <f>AVERAGEIFS(RawDataKWh[일사합_kWh_m2],RawDataKWh[월],$A11,RawDataKWh[지역명],F$3)</f>
        <v/>
      </c>
      <c r="G11" s="45">
        <f>AVERAGEIFS(RawDataKWh[일사합_kWh_m2],RawDataKWh[월],$A11,RawDataKWh[지역명],G$3)</f>
        <v/>
      </c>
      <c r="H11" s="45">
        <f>AVERAGEIFS(RawDataKWh[일사합_kWh_m2],RawDataKWh[월],$A11,RawDataKWh[지역명],H$3)</f>
        <v/>
      </c>
      <c r="I11" s="45">
        <f>AVERAGEIFS(RawDataKWh[일사합_kWh_m2],RawDataKWh[월],$A11,RawDataKWh[지역명],I$3)</f>
        <v/>
      </c>
      <c r="J11" s="45">
        <f>AVERAGEIFS(RawDataKWh[일사합_kWh_m2],RawDataKWh[월],$A11,RawDataKWh[지역명],J$3)</f>
        <v/>
      </c>
      <c r="K11" s="45">
        <f>AVERAGEIFS(RawDataKWh[일사합_kWh_m2],RawDataKWh[월],$A11,RawDataKWh[지역명],K$3)</f>
        <v/>
      </c>
      <c r="L11" s="45">
        <f>AVERAGE(B11:K11)</f>
        <v/>
      </c>
      <c r="N11" s="44">
        <f>$A11</f>
        <v/>
      </c>
      <c r="O11" s="46">
        <f>AVERAGEIFS(RawDataKWh[일평균_일사합_kWh_m2],RawDataKWh[월],$A11,RawDataKWh[지역명],O$3)</f>
        <v/>
      </c>
      <c r="P11" s="46">
        <f>AVERAGEIFS(RawDataKWh[일평균_일사합_kWh_m2],RawDataKWh[월],$A11,RawDataKWh[지역명],P$3)</f>
        <v/>
      </c>
      <c r="Q11" s="46">
        <f>AVERAGEIFS(RawDataKWh[일평균_일사합_kWh_m2],RawDataKWh[월],$A11,RawDataKWh[지역명],Q$3)</f>
        <v/>
      </c>
      <c r="R11" s="46">
        <f>AVERAGEIFS(RawDataKWh[일평균_일사합_kWh_m2],RawDataKWh[월],$A11,RawDataKWh[지역명],R$3)</f>
        <v/>
      </c>
      <c r="S11" s="46">
        <f>AVERAGEIFS(RawDataKWh[일평균_일사합_kWh_m2],RawDataKWh[월],$A11,RawDataKWh[지역명],S$3)</f>
        <v/>
      </c>
      <c r="T11" s="46">
        <f>AVERAGEIFS(RawDataKWh[일평균_일사합_kWh_m2],RawDataKWh[월],$A11,RawDataKWh[지역명],T$3)</f>
        <v/>
      </c>
      <c r="U11" s="46">
        <f>AVERAGEIFS(RawDataKWh[일평균_일사합_kWh_m2],RawDataKWh[월],$A11,RawDataKWh[지역명],U$3)</f>
        <v/>
      </c>
      <c r="V11" s="46">
        <f>AVERAGEIFS(RawDataKWh[일평균_일사합_kWh_m2],RawDataKWh[월],$A11,RawDataKWh[지역명],V$3)</f>
        <v/>
      </c>
      <c r="W11" s="46">
        <f>AVERAGEIFS(RawDataKWh[일평균_일사합_kWh_m2],RawDataKWh[월],$A11,RawDataKWh[지역명],W$3)</f>
        <v/>
      </c>
      <c r="X11" s="46">
        <f>AVERAGEIFS(RawDataKWh[일평균_일사합_kWh_m2],RawDataKWh[월],$A11,RawDataKWh[지역명],X$3)</f>
        <v/>
      </c>
      <c r="Y11" s="46">
        <f>AVERAGE(O11:X11)</f>
        <v/>
      </c>
    </row>
    <row r="12" ht="16" customHeight="1">
      <c r="A12" s="40" t="n">
        <v>9</v>
      </c>
      <c r="B12" s="41">
        <f>AVERAGEIFS(RawDataKWh[일사합_kWh_m2],RawDataKWh[월],$A12,RawDataKWh[지역명],B$3)</f>
        <v/>
      </c>
      <c r="C12" s="41">
        <f>AVERAGEIFS(RawDataKWh[일사합_kWh_m2],RawDataKWh[월],$A12,RawDataKWh[지역명],C$3)</f>
        <v/>
      </c>
      <c r="D12" s="41">
        <f>AVERAGEIFS(RawDataKWh[일사합_kWh_m2],RawDataKWh[월],$A12,RawDataKWh[지역명],D$3)</f>
        <v/>
      </c>
      <c r="E12" s="41">
        <f>AVERAGEIFS(RawDataKWh[일사합_kWh_m2],RawDataKWh[월],$A12,RawDataKWh[지역명],E$3)</f>
        <v/>
      </c>
      <c r="F12" s="41">
        <f>AVERAGEIFS(RawDataKWh[일사합_kWh_m2],RawDataKWh[월],$A12,RawDataKWh[지역명],F$3)</f>
        <v/>
      </c>
      <c r="G12" s="41">
        <f>AVERAGEIFS(RawDataKWh[일사합_kWh_m2],RawDataKWh[월],$A12,RawDataKWh[지역명],G$3)</f>
        <v/>
      </c>
      <c r="H12" s="41">
        <f>AVERAGEIFS(RawDataKWh[일사합_kWh_m2],RawDataKWh[월],$A12,RawDataKWh[지역명],H$3)</f>
        <v/>
      </c>
      <c r="I12" s="41">
        <f>AVERAGEIFS(RawDataKWh[일사합_kWh_m2],RawDataKWh[월],$A12,RawDataKWh[지역명],I$3)</f>
        <v/>
      </c>
      <c r="J12" s="41">
        <f>AVERAGEIFS(RawDataKWh[일사합_kWh_m2],RawDataKWh[월],$A12,RawDataKWh[지역명],J$3)</f>
        <v/>
      </c>
      <c r="K12" s="41">
        <f>AVERAGEIFS(RawDataKWh[일사합_kWh_m2],RawDataKWh[월],$A12,RawDataKWh[지역명],K$3)</f>
        <v/>
      </c>
      <c r="L12" s="41">
        <f>AVERAGE(B12:K12)</f>
        <v/>
      </c>
      <c r="N12" s="40">
        <f>$A12</f>
        <v/>
      </c>
      <c r="O12" s="42">
        <f>AVERAGEIFS(RawDataKWh[일평균_일사합_kWh_m2],RawDataKWh[월],$A12,RawDataKWh[지역명],O$3)</f>
        <v/>
      </c>
      <c r="P12" s="42">
        <f>AVERAGEIFS(RawDataKWh[일평균_일사합_kWh_m2],RawDataKWh[월],$A12,RawDataKWh[지역명],P$3)</f>
        <v/>
      </c>
      <c r="Q12" s="42">
        <f>AVERAGEIFS(RawDataKWh[일평균_일사합_kWh_m2],RawDataKWh[월],$A12,RawDataKWh[지역명],Q$3)</f>
        <v/>
      </c>
      <c r="R12" s="42">
        <f>AVERAGEIFS(RawDataKWh[일평균_일사합_kWh_m2],RawDataKWh[월],$A12,RawDataKWh[지역명],R$3)</f>
        <v/>
      </c>
      <c r="S12" s="42">
        <f>AVERAGEIFS(RawDataKWh[일평균_일사합_kWh_m2],RawDataKWh[월],$A12,RawDataKWh[지역명],S$3)</f>
        <v/>
      </c>
      <c r="T12" s="42">
        <f>AVERAGEIFS(RawDataKWh[일평균_일사합_kWh_m2],RawDataKWh[월],$A12,RawDataKWh[지역명],T$3)</f>
        <v/>
      </c>
      <c r="U12" s="42">
        <f>AVERAGEIFS(RawDataKWh[일평균_일사합_kWh_m2],RawDataKWh[월],$A12,RawDataKWh[지역명],U$3)</f>
        <v/>
      </c>
      <c r="V12" s="42">
        <f>AVERAGEIFS(RawDataKWh[일평균_일사합_kWh_m2],RawDataKWh[월],$A12,RawDataKWh[지역명],V$3)</f>
        <v/>
      </c>
      <c r="W12" s="42">
        <f>AVERAGEIFS(RawDataKWh[일평균_일사합_kWh_m2],RawDataKWh[월],$A12,RawDataKWh[지역명],W$3)</f>
        <v/>
      </c>
      <c r="X12" s="42">
        <f>AVERAGEIFS(RawDataKWh[일평균_일사합_kWh_m2],RawDataKWh[월],$A12,RawDataKWh[지역명],X$3)</f>
        <v/>
      </c>
      <c r="Y12" s="42">
        <f>AVERAGE(O12:X12)</f>
        <v/>
      </c>
    </row>
    <row r="13" ht="16" customHeight="1">
      <c r="A13" s="44" t="n">
        <v>10</v>
      </c>
      <c r="B13" s="45">
        <f>AVERAGEIFS(RawDataKWh[일사합_kWh_m2],RawDataKWh[월],$A13,RawDataKWh[지역명],B$3)</f>
        <v/>
      </c>
      <c r="C13" s="45">
        <f>AVERAGEIFS(RawDataKWh[일사합_kWh_m2],RawDataKWh[월],$A13,RawDataKWh[지역명],C$3)</f>
        <v/>
      </c>
      <c r="D13" s="45">
        <f>AVERAGEIFS(RawDataKWh[일사합_kWh_m2],RawDataKWh[월],$A13,RawDataKWh[지역명],D$3)</f>
        <v/>
      </c>
      <c r="E13" s="45">
        <f>AVERAGEIFS(RawDataKWh[일사합_kWh_m2],RawDataKWh[월],$A13,RawDataKWh[지역명],E$3)</f>
        <v/>
      </c>
      <c r="F13" s="45">
        <f>AVERAGEIFS(RawDataKWh[일사합_kWh_m2],RawDataKWh[월],$A13,RawDataKWh[지역명],F$3)</f>
        <v/>
      </c>
      <c r="G13" s="45">
        <f>AVERAGEIFS(RawDataKWh[일사합_kWh_m2],RawDataKWh[월],$A13,RawDataKWh[지역명],G$3)</f>
        <v/>
      </c>
      <c r="H13" s="45">
        <f>AVERAGEIFS(RawDataKWh[일사합_kWh_m2],RawDataKWh[월],$A13,RawDataKWh[지역명],H$3)</f>
        <v/>
      </c>
      <c r="I13" s="45">
        <f>AVERAGEIFS(RawDataKWh[일사합_kWh_m2],RawDataKWh[월],$A13,RawDataKWh[지역명],I$3)</f>
        <v/>
      </c>
      <c r="J13" s="45">
        <f>AVERAGEIFS(RawDataKWh[일사합_kWh_m2],RawDataKWh[월],$A13,RawDataKWh[지역명],J$3)</f>
        <v/>
      </c>
      <c r="K13" s="45">
        <f>AVERAGEIFS(RawDataKWh[일사합_kWh_m2],RawDataKWh[월],$A13,RawDataKWh[지역명],K$3)</f>
        <v/>
      </c>
      <c r="L13" s="45">
        <f>AVERAGE(B13:K13)</f>
        <v/>
      </c>
      <c r="N13" s="44">
        <f>$A13</f>
        <v/>
      </c>
      <c r="O13" s="46">
        <f>AVERAGEIFS(RawDataKWh[일평균_일사합_kWh_m2],RawDataKWh[월],$A13,RawDataKWh[지역명],O$3)</f>
        <v/>
      </c>
      <c r="P13" s="46">
        <f>AVERAGEIFS(RawDataKWh[일평균_일사합_kWh_m2],RawDataKWh[월],$A13,RawDataKWh[지역명],P$3)</f>
        <v/>
      </c>
      <c r="Q13" s="46">
        <f>AVERAGEIFS(RawDataKWh[일평균_일사합_kWh_m2],RawDataKWh[월],$A13,RawDataKWh[지역명],Q$3)</f>
        <v/>
      </c>
      <c r="R13" s="46">
        <f>AVERAGEIFS(RawDataKWh[일평균_일사합_kWh_m2],RawDataKWh[월],$A13,RawDataKWh[지역명],R$3)</f>
        <v/>
      </c>
      <c r="S13" s="46">
        <f>AVERAGEIFS(RawDataKWh[일평균_일사합_kWh_m2],RawDataKWh[월],$A13,RawDataKWh[지역명],S$3)</f>
        <v/>
      </c>
      <c r="T13" s="46">
        <f>AVERAGEIFS(RawDataKWh[일평균_일사합_kWh_m2],RawDataKWh[월],$A13,RawDataKWh[지역명],T$3)</f>
        <v/>
      </c>
      <c r="U13" s="46">
        <f>AVERAGEIFS(RawDataKWh[일평균_일사합_kWh_m2],RawDataKWh[월],$A13,RawDataKWh[지역명],U$3)</f>
        <v/>
      </c>
      <c r="V13" s="46">
        <f>AVERAGEIFS(RawDataKWh[일평균_일사합_kWh_m2],RawDataKWh[월],$A13,RawDataKWh[지역명],V$3)</f>
        <v/>
      </c>
      <c r="W13" s="46">
        <f>AVERAGEIFS(RawDataKWh[일평균_일사합_kWh_m2],RawDataKWh[월],$A13,RawDataKWh[지역명],W$3)</f>
        <v/>
      </c>
      <c r="X13" s="46">
        <f>AVERAGEIFS(RawDataKWh[일평균_일사합_kWh_m2],RawDataKWh[월],$A13,RawDataKWh[지역명],X$3)</f>
        <v/>
      </c>
      <c r="Y13" s="46">
        <f>AVERAGE(O13:X13)</f>
        <v/>
      </c>
    </row>
    <row r="14" ht="16" customHeight="1">
      <c r="A14" s="40" t="n">
        <v>11</v>
      </c>
      <c r="B14" s="41">
        <f>AVERAGEIFS(RawDataKWh[일사합_kWh_m2],RawDataKWh[월],$A14,RawDataKWh[지역명],B$3)</f>
        <v/>
      </c>
      <c r="C14" s="41">
        <f>AVERAGEIFS(RawDataKWh[일사합_kWh_m2],RawDataKWh[월],$A14,RawDataKWh[지역명],C$3)</f>
        <v/>
      </c>
      <c r="D14" s="41">
        <f>AVERAGEIFS(RawDataKWh[일사합_kWh_m2],RawDataKWh[월],$A14,RawDataKWh[지역명],D$3)</f>
        <v/>
      </c>
      <c r="E14" s="41">
        <f>AVERAGEIFS(RawDataKWh[일사합_kWh_m2],RawDataKWh[월],$A14,RawDataKWh[지역명],E$3)</f>
        <v/>
      </c>
      <c r="F14" s="41">
        <f>AVERAGEIFS(RawDataKWh[일사합_kWh_m2],RawDataKWh[월],$A14,RawDataKWh[지역명],F$3)</f>
        <v/>
      </c>
      <c r="G14" s="41">
        <f>AVERAGEIFS(RawDataKWh[일사합_kWh_m2],RawDataKWh[월],$A14,RawDataKWh[지역명],G$3)</f>
        <v/>
      </c>
      <c r="H14" s="41">
        <f>AVERAGEIFS(RawDataKWh[일사합_kWh_m2],RawDataKWh[월],$A14,RawDataKWh[지역명],H$3)</f>
        <v/>
      </c>
      <c r="I14" s="41">
        <f>AVERAGEIFS(RawDataKWh[일사합_kWh_m2],RawDataKWh[월],$A14,RawDataKWh[지역명],I$3)</f>
        <v/>
      </c>
      <c r="J14" s="41">
        <f>AVERAGEIFS(RawDataKWh[일사합_kWh_m2],RawDataKWh[월],$A14,RawDataKWh[지역명],J$3)</f>
        <v/>
      </c>
      <c r="K14" s="41">
        <f>AVERAGEIFS(RawDataKWh[일사합_kWh_m2],RawDataKWh[월],$A14,RawDataKWh[지역명],K$3)</f>
        <v/>
      </c>
      <c r="L14" s="41">
        <f>AVERAGE(B14:K14)</f>
        <v/>
      </c>
      <c r="N14" s="40">
        <f>$A14</f>
        <v/>
      </c>
      <c r="O14" s="42">
        <f>AVERAGEIFS(RawDataKWh[일평균_일사합_kWh_m2],RawDataKWh[월],$A14,RawDataKWh[지역명],O$3)</f>
        <v/>
      </c>
      <c r="P14" s="42">
        <f>AVERAGEIFS(RawDataKWh[일평균_일사합_kWh_m2],RawDataKWh[월],$A14,RawDataKWh[지역명],P$3)</f>
        <v/>
      </c>
      <c r="Q14" s="42">
        <f>AVERAGEIFS(RawDataKWh[일평균_일사합_kWh_m2],RawDataKWh[월],$A14,RawDataKWh[지역명],Q$3)</f>
        <v/>
      </c>
      <c r="R14" s="42">
        <f>AVERAGEIFS(RawDataKWh[일평균_일사합_kWh_m2],RawDataKWh[월],$A14,RawDataKWh[지역명],R$3)</f>
        <v/>
      </c>
      <c r="S14" s="42">
        <f>AVERAGEIFS(RawDataKWh[일평균_일사합_kWh_m2],RawDataKWh[월],$A14,RawDataKWh[지역명],S$3)</f>
        <v/>
      </c>
      <c r="T14" s="42">
        <f>AVERAGEIFS(RawDataKWh[일평균_일사합_kWh_m2],RawDataKWh[월],$A14,RawDataKWh[지역명],T$3)</f>
        <v/>
      </c>
      <c r="U14" s="42">
        <f>AVERAGEIFS(RawDataKWh[일평균_일사합_kWh_m2],RawDataKWh[월],$A14,RawDataKWh[지역명],U$3)</f>
        <v/>
      </c>
      <c r="V14" s="42">
        <f>AVERAGEIFS(RawDataKWh[일평균_일사합_kWh_m2],RawDataKWh[월],$A14,RawDataKWh[지역명],V$3)</f>
        <v/>
      </c>
      <c r="W14" s="42">
        <f>AVERAGEIFS(RawDataKWh[일평균_일사합_kWh_m2],RawDataKWh[월],$A14,RawDataKWh[지역명],W$3)</f>
        <v/>
      </c>
      <c r="X14" s="42">
        <f>AVERAGEIFS(RawDataKWh[일평균_일사합_kWh_m2],RawDataKWh[월],$A14,RawDataKWh[지역명],X$3)</f>
        <v/>
      </c>
      <c r="Y14" s="42">
        <f>AVERAGE(O14:X14)</f>
        <v/>
      </c>
    </row>
    <row r="15" ht="16" customHeight="1">
      <c r="A15" s="44" t="n">
        <v>12</v>
      </c>
      <c r="B15" s="45">
        <f>AVERAGEIFS(RawDataKWh[일사합_kWh_m2],RawDataKWh[월],$A15,RawDataKWh[지역명],B$3)</f>
        <v/>
      </c>
      <c r="C15" s="45">
        <f>AVERAGEIFS(RawDataKWh[일사합_kWh_m2],RawDataKWh[월],$A15,RawDataKWh[지역명],C$3)</f>
        <v/>
      </c>
      <c r="D15" s="45">
        <f>AVERAGEIFS(RawDataKWh[일사합_kWh_m2],RawDataKWh[월],$A15,RawDataKWh[지역명],D$3)</f>
        <v/>
      </c>
      <c r="E15" s="45">
        <f>AVERAGEIFS(RawDataKWh[일사합_kWh_m2],RawDataKWh[월],$A15,RawDataKWh[지역명],E$3)</f>
        <v/>
      </c>
      <c r="F15" s="45">
        <f>AVERAGEIFS(RawDataKWh[일사합_kWh_m2],RawDataKWh[월],$A15,RawDataKWh[지역명],F$3)</f>
        <v/>
      </c>
      <c r="G15" s="45">
        <f>AVERAGEIFS(RawDataKWh[일사합_kWh_m2],RawDataKWh[월],$A15,RawDataKWh[지역명],G$3)</f>
        <v/>
      </c>
      <c r="H15" s="45">
        <f>AVERAGEIFS(RawDataKWh[일사합_kWh_m2],RawDataKWh[월],$A15,RawDataKWh[지역명],H$3)</f>
        <v/>
      </c>
      <c r="I15" s="45">
        <f>AVERAGEIFS(RawDataKWh[일사합_kWh_m2],RawDataKWh[월],$A15,RawDataKWh[지역명],I$3)</f>
        <v/>
      </c>
      <c r="J15" s="45">
        <f>AVERAGEIFS(RawDataKWh[일사합_kWh_m2],RawDataKWh[월],$A15,RawDataKWh[지역명],J$3)</f>
        <v/>
      </c>
      <c r="K15" s="45">
        <f>AVERAGEIFS(RawDataKWh[일사합_kWh_m2],RawDataKWh[월],$A15,RawDataKWh[지역명],K$3)</f>
        <v/>
      </c>
      <c r="L15" s="45">
        <f>AVERAGE(B15:K15)</f>
        <v/>
      </c>
      <c r="N15" s="44">
        <f>$A15</f>
        <v/>
      </c>
      <c r="O15" s="46">
        <f>AVERAGEIFS(RawDataKWh[일평균_일사합_kWh_m2],RawDataKWh[월],$A15,RawDataKWh[지역명],O$3)</f>
        <v/>
      </c>
      <c r="P15" s="46">
        <f>AVERAGEIFS(RawDataKWh[일평균_일사합_kWh_m2],RawDataKWh[월],$A15,RawDataKWh[지역명],P$3)</f>
        <v/>
      </c>
      <c r="Q15" s="46">
        <f>AVERAGEIFS(RawDataKWh[일평균_일사합_kWh_m2],RawDataKWh[월],$A15,RawDataKWh[지역명],Q$3)</f>
        <v/>
      </c>
      <c r="R15" s="46">
        <f>AVERAGEIFS(RawDataKWh[일평균_일사합_kWh_m2],RawDataKWh[월],$A15,RawDataKWh[지역명],R$3)</f>
        <v/>
      </c>
      <c r="S15" s="46">
        <f>AVERAGEIFS(RawDataKWh[일평균_일사합_kWh_m2],RawDataKWh[월],$A15,RawDataKWh[지역명],S$3)</f>
        <v/>
      </c>
      <c r="T15" s="46">
        <f>AVERAGEIFS(RawDataKWh[일평균_일사합_kWh_m2],RawDataKWh[월],$A15,RawDataKWh[지역명],T$3)</f>
        <v/>
      </c>
      <c r="U15" s="46">
        <f>AVERAGEIFS(RawDataKWh[일평균_일사합_kWh_m2],RawDataKWh[월],$A15,RawDataKWh[지역명],U$3)</f>
        <v/>
      </c>
      <c r="V15" s="46">
        <f>AVERAGEIFS(RawDataKWh[일평균_일사합_kWh_m2],RawDataKWh[월],$A15,RawDataKWh[지역명],V$3)</f>
        <v/>
      </c>
      <c r="W15" s="46">
        <f>AVERAGEIFS(RawDataKWh[일평균_일사합_kWh_m2],RawDataKWh[월],$A15,RawDataKWh[지역명],W$3)</f>
        <v/>
      </c>
      <c r="X15" s="46">
        <f>AVERAGEIFS(RawDataKWh[일평균_일사합_kWh_m2],RawDataKWh[월],$A15,RawDataKWh[지역명],X$3)</f>
        <v/>
      </c>
      <c r="Y15" s="46">
        <f>AVERAGE(O15:X15)</f>
        <v/>
      </c>
    </row>
    <row r="17">
      <c r="A17" s="78" t="inlineStr">
        <is>
          <t>※ 2016~2025년(10개년) 동일 달력월의 평균값입니다. 단위 환산: 1 kWh/m² = 3.6 MJ/m²</t>
        </is>
      </c>
    </row>
  </sheetData>
  <mergeCells count="3">
    <mergeCell ref="A2:Y2"/>
    <mergeCell ref="A17:L17"/>
    <mergeCell ref="A1:Y1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548235"/>
    <outlinePr summaryBelow="1" summaryRight="1"/>
    <pageSetUpPr/>
  </sheetPr>
  <dimension ref="A1:P2"/>
  <sheetViews>
    <sheetView showGridLines="0" zoomScale="100" workbookViewId="0">
      <selection activeCell="A1" sqref="A1"/>
    </sheetView>
  </sheetViews>
  <sheetFormatPr baseColWidth="8" defaultRowHeight="15"/>
  <cols>
    <col width="14" customWidth="1" min="1" max="1"/>
  </cols>
  <sheetData>
    <row r="1" ht="30" customHeight="1">
      <c r="A1" s="1" t="inlineStr">
        <is>
          <t>지역별 일사량 차트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연도별 추이와 달력월 계절 패턴을 kWh/m² 단위로 표시합니다. 원본 데이터는 21~23 피벗 시트입니다.</t>
        </is>
      </c>
    </row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23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8" customHeight="1">
      <c r="A1" s="14" t="inlineStr">
        <is>
          <t>시나리오ID</t>
        </is>
      </c>
      <c r="B1" s="14" t="inlineStr">
        <is>
          <t>시나리오</t>
        </is>
      </c>
      <c r="C1" s="14" t="inlineStr">
        <is>
          <t>월</t>
        </is>
      </c>
      <c r="D1" s="14" t="inlineStr">
        <is>
          <t>일수</t>
        </is>
      </c>
      <c r="E1" s="14" t="inlineStr">
        <is>
          <t>GHI 월</t>
        </is>
      </c>
      <c r="F1" s="14" t="inlineStr">
        <is>
          <t>GHI 일평균</t>
        </is>
      </c>
      <c r="G1" s="14" t="inlineStr">
        <is>
          <t>H0</t>
        </is>
      </c>
      <c r="H1" s="14" t="inlineStr">
        <is>
          <t>Kt</t>
        </is>
      </c>
      <c r="I1" s="14" t="inlineStr">
        <is>
          <t>Kt 적용</t>
        </is>
      </c>
      <c r="J1" s="14" t="inlineStr">
        <is>
          <t>산란비</t>
        </is>
      </c>
      <c r="K1" s="14" t="inlineStr">
        <is>
          <t>Hd</t>
        </is>
      </c>
      <c r="L1" s="14" t="inlineStr">
        <is>
          <t>Hb</t>
        </is>
      </c>
      <c r="M1" s="14" t="inlineStr">
        <is>
          <t>Rb</t>
        </is>
      </c>
      <c r="N1" s="14" t="inlineStr">
        <is>
          <t>POA 일평균</t>
        </is>
      </c>
      <c r="O1" s="14" t="inlineStr">
        <is>
          <t>POA 월</t>
        </is>
      </c>
      <c r="P1" s="14" t="inlineStr">
        <is>
          <t>특성발전량</t>
        </is>
      </c>
      <c r="Q1" s="14" t="inlineStr">
        <is>
          <t>발전량(MWh)</t>
        </is>
      </c>
    </row>
    <row r="2">
      <c r="A2" s="86" t="n">
        <v>1</v>
      </c>
      <c r="B2" s="86">
        <f>'13_시나리오비교'!$A$5</f>
        <v/>
      </c>
      <c r="C2" s="86" t="n">
        <v>1</v>
      </c>
      <c r="D2" s="86">
        <f>'11_발전량_모델'!B22</f>
        <v/>
      </c>
      <c r="E2" s="86">
        <f>'11_발전량_모델'!C22</f>
        <v/>
      </c>
      <c r="F2" s="86">
        <f>'11_발전량_모델'!D22</f>
        <v/>
      </c>
      <c r="G2" s="86">
        <f>'11_발전량_모델'!E22</f>
        <v/>
      </c>
      <c r="H2" s="86">
        <f>'11_발전량_모델'!F22</f>
        <v/>
      </c>
      <c r="I2" s="86">
        <f>'11_발전량_모델'!G22</f>
        <v/>
      </c>
      <c r="J2" s="86">
        <f>'11_발전량_모델'!H22</f>
        <v/>
      </c>
      <c r="K2" s="86">
        <f>'11_발전량_모델'!I22</f>
        <v/>
      </c>
      <c r="L2" s="86">
        <f>'11_발전량_모델'!J22</f>
        <v/>
      </c>
      <c r="M2" s="86">
        <f>IF(SUMIFS('15_태양기하'!$N$21:$N$1172,'15_태양기하'!$A$21:$A$1172,C2)=0,0,SUMIFS('15_태양기하'!$P$21:$P$1172,'15_태양기하'!$A$21:$A$1172,C2)/SUMIFS('15_태양기하'!$N$21:$N$1172,'15_태양기하'!$A$21:$A$1172,C2))</f>
        <v/>
      </c>
      <c r="N2" s="86">
        <f>L2*M2+K2*(1+COS(RADIANS('13_시나리오비교'!$B$5)))/2+F2*'11_발전량_모델'!$B$9*(1-COS(RADIANS('13_시나리오비교'!$B$5)))/2</f>
        <v/>
      </c>
      <c r="O2" s="86">
        <f>N2*D2</f>
        <v/>
      </c>
      <c r="P2" s="86">
        <f>O2*'11_발전량_모델'!$B$11*'11_발전량_모델'!$B$12*(1-'11_발전량_모델'!$B$13)*'11_발전량_모델'!$B$14</f>
        <v/>
      </c>
      <c r="Q2" s="86">
        <f>P2*'11_발전량_모델'!$B$10/1000</f>
        <v/>
      </c>
    </row>
    <row r="3">
      <c r="A3" s="86" t="n">
        <v>1</v>
      </c>
      <c r="B3" s="86">
        <f>'13_시나리오비교'!$A$5</f>
        <v/>
      </c>
      <c r="C3" s="86" t="n">
        <v>2</v>
      </c>
      <c r="D3" s="86">
        <f>'11_발전량_모델'!B23</f>
        <v/>
      </c>
      <c r="E3" s="86">
        <f>'11_발전량_모델'!C23</f>
        <v/>
      </c>
      <c r="F3" s="86">
        <f>'11_발전량_모델'!D23</f>
        <v/>
      </c>
      <c r="G3" s="86">
        <f>'11_발전량_모델'!E23</f>
        <v/>
      </c>
      <c r="H3" s="86">
        <f>'11_발전량_모델'!F23</f>
        <v/>
      </c>
      <c r="I3" s="86">
        <f>'11_발전량_모델'!G23</f>
        <v/>
      </c>
      <c r="J3" s="86">
        <f>'11_발전량_모델'!H23</f>
        <v/>
      </c>
      <c r="K3" s="86">
        <f>'11_발전량_모델'!I23</f>
        <v/>
      </c>
      <c r="L3" s="86">
        <f>'11_발전량_모델'!J23</f>
        <v/>
      </c>
      <c r="M3" s="86">
        <f>IF(SUMIFS('15_태양기하'!$N$21:$N$1172,'15_태양기하'!$A$21:$A$1172,C3)=0,0,SUMIFS('15_태양기하'!$P$21:$P$1172,'15_태양기하'!$A$21:$A$1172,C3)/SUMIFS('15_태양기하'!$N$21:$N$1172,'15_태양기하'!$A$21:$A$1172,C3))</f>
        <v/>
      </c>
      <c r="N3" s="86">
        <f>L3*M3+K3*(1+COS(RADIANS('13_시나리오비교'!$B$5)))/2+F3*'11_발전량_모델'!$B$9*(1-COS(RADIANS('13_시나리오비교'!$B$5)))/2</f>
        <v/>
      </c>
      <c r="O3" s="86">
        <f>N3*D3</f>
        <v/>
      </c>
      <c r="P3" s="86">
        <f>O3*'11_발전량_모델'!$B$11*'11_발전량_모델'!$B$12*(1-'11_발전량_모델'!$B$13)*'11_발전량_모델'!$B$14</f>
        <v/>
      </c>
      <c r="Q3" s="86">
        <f>P3*'11_발전량_모델'!$B$10/1000</f>
        <v/>
      </c>
    </row>
    <row r="4">
      <c r="A4" s="86" t="n">
        <v>1</v>
      </c>
      <c r="B4" s="86">
        <f>'13_시나리오비교'!$A$5</f>
        <v/>
      </c>
      <c r="C4" s="86" t="n">
        <v>3</v>
      </c>
      <c r="D4" s="86">
        <f>'11_발전량_모델'!B24</f>
        <v/>
      </c>
      <c r="E4" s="86">
        <f>'11_발전량_모델'!C24</f>
        <v/>
      </c>
      <c r="F4" s="86">
        <f>'11_발전량_모델'!D24</f>
        <v/>
      </c>
      <c r="G4" s="86">
        <f>'11_발전량_모델'!E24</f>
        <v/>
      </c>
      <c r="H4" s="86">
        <f>'11_발전량_모델'!F24</f>
        <v/>
      </c>
      <c r="I4" s="86">
        <f>'11_발전량_모델'!G24</f>
        <v/>
      </c>
      <c r="J4" s="86">
        <f>'11_발전량_모델'!H24</f>
        <v/>
      </c>
      <c r="K4" s="86">
        <f>'11_발전량_모델'!I24</f>
        <v/>
      </c>
      <c r="L4" s="86">
        <f>'11_발전량_모델'!J24</f>
        <v/>
      </c>
      <c r="M4" s="86">
        <f>IF(SUMIFS('15_태양기하'!$N$21:$N$1172,'15_태양기하'!$A$21:$A$1172,C4)=0,0,SUMIFS('15_태양기하'!$P$21:$P$1172,'15_태양기하'!$A$21:$A$1172,C4)/SUMIFS('15_태양기하'!$N$21:$N$1172,'15_태양기하'!$A$21:$A$1172,C4))</f>
        <v/>
      </c>
      <c r="N4" s="86">
        <f>L4*M4+K4*(1+COS(RADIANS('13_시나리오비교'!$B$5)))/2+F4*'11_발전량_모델'!$B$9*(1-COS(RADIANS('13_시나리오비교'!$B$5)))/2</f>
        <v/>
      </c>
      <c r="O4" s="86">
        <f>N4*D4</f>
        <v/>
      </c>
      <c r="P4" s="86">
        <f>O4*'11_발전량_모델'!$B$11*'11_발전량_모델'!$B$12*(1-'11_발전량_모델'!$B$13)*'11_발전량_모델'!$B$14</f>
        <v/>
      </c>
      <c r="Q4" s="86">
        <f>P4*'11_발전량_모델'!$B$10/1000</f>
        <v/>
      </c>
    </row>
    <row r="5">
      <c r="A5" s="86" t="n">
        <v>1</v>
      </c>
      <c r="B5" s="86">
        <f>'13_시나리오비교'!$A$5</f>
        <v/>
      </c>
      <c r="C5" s="86" t="n">
        <v>4</v>
      </c>
      <c r="D5" s="86">
        <f>'11_발전량_모델'!B25</f>
        <v/>
      </c>
      <c r="E5" s="86">
        <f>'11_발전량_모델'!C25</f>
        <v/>
      </c>
      <c r="F5" s="86">
        <f>'11_발전량_모델'!D25</f>
        <v/>
      </c>
      <c r="G5" s="86">
        <f>'11_발전량_모델'!E25</f>
        <v/>
      </c>
      <c r="H5" s="86">
        <f>'11_발전량_모델'!F25</f>
        <v/>
      </c>
      <c r="I5" s="86">
        <f>'11_발전량_모델'!G25</f>
        <v/>
      </c>
      <c r="J5" s="86">
        <f>'11_발전량_모델'!H25</f>
        <v/>
      </c>
      <c r="K5" s="86">
        <f>'11_발전량_모델'!I25</f>
        <v/>
      </c>
      <c r="L5" s="86">
        <f>'11_발전량_모델'!J25</f>
        <v/>
      </c>
      <c r="M5" s="86">
        <f>IF(SUMIFS('15_태양기하'!$N$21:$N$1172,'15_태양기하'!$A$21:$A$1172,C5)=0,0,SUMIFS('15_태양기하'!$P$21:$P$1172,'15_태양기하'!$A$21:$A$1172,C5)/SUMIFS('15_태양기하'!$N$21:$N$1172,'15_태양기하'!$A$21:$A$1172,C5))</f>
        <v/>
      </c>
      <c r="N5" s="86">
        <f>L5*M5+K5*(1+COS(RADIANS('13_시나리오비교'!$B$5)))/2+F5*'11_발전량_모델'!$B$9*(1-COS(RADIANS('13_시나리오비교'!$B$5)))/2</f>
        <v/>
      </c>
      <c r="O5" s="86">
        <f>N5*D5</f>
        <v/>
      </c>
      <c r="P5" s="86">
        <f>O5*'11_발전량_모델'!$B$11*'11_발전량_모델'!$B$12*(1-'11_발전량_모델'!$B$13)*'11_발전량_모델'!$B$14</f>
        <v/>
      </c>
      <c r="Q5" s="86">
        <f>P5*'11_발전량_모델'!$B$10/1000</f>
        <v/>
      </c>
    </row>
    <row r="6">
      <c r="A6" s="86" t="n">
        <v>1</v>
      </c>
      <c r="B6" s="86">
        <f>'13_시나리오비교'!$A$5</f>
        <v/>
      </c>
      <c r="C6" s="86" t="n">
        <v>5</v>
      </c>
      <c r="D6" s="86">
        <f>'11_발전량_모델'!B26</f>
        <v/>
      </c>
      <c r="E6" s="86">
        <f>'11_발전량_모델'!C26</f>
        <v/>
      </c>
      <c r="F6" s="86">
        <f>'11_발전량_모델'!D26</f>
        <v/>
      </c>
      <c r="G6" s="86">
        <f>'11_발전량_모델'!E26</f>
        <v/>
      </c>
      <c r="H6" s="86">
        <f>'11_발전량_모델'!F26</f>
        <v/>
      </c>
      <c r="I6" s="86">
        <f>'11_발전량_모델'!G26</f>
        <v/>
      </c>
      <c r="J6" s="86">
        <f>'11_발전량_모델'!H26</f>
        <v/>
      </c>
      <c r="K6" s="86">
        <f>'11_발전량_모델'!I26</f>
        <v/>
      </c>
      <c r="L6" s="86">
        <f>'11_발전량_모델'!J26</f>
        <v/>
      </c>
      <c r="M6" s="86">
        <f>IF(SUMIFS('15_태양기하'!$N$21:$N$1172,'15_태양기하'!$A$21:$A$1172,C6)=0,0,SUMIFS('15_태양기하'!$P$21:$P$1172,'15_태양기하'!$A$21:$A$1172,C6)/SUMIFS('15_태양기하'!$N$21:$N$1172,'15_태양기하'!$A$21:$A$1172,C6))</f>
        <v/>
      </c>
      <c r="N6" s="86">
        <f>L6*M6+K6*(1+COS(RADIANS('13_시나리오비교'!$B$5)))/2+F6*'11_발전량_모델'!$B$9*(1-COS(RADIANS('13_시나리오비교'!$B$5)))/2</f>
        <v/>
      </c>
      <c r="O6" s="86">
        <f>N6*D6</f>
        <v/>
      </c>
      <c r="P6" s="86">
        <f>O6*'11_발전량_모델'!$B$11*'11_발전량_모델'!$B$12*(1-'11_발전량_모델'!$B$13)*'11_발전량_모델'!$B$14</f>
        <v/>
      </c>
      <c r="Q6" s="86">
        <f>P6*'11_발전량_모델'!$B$10/1000</f>
        <v/>
      </c>
    </row>
    <row r="7">
      <c r="A7" s="86" t="n">
        <v>1</v>
      </c>
      <c r="B7" s="86">
        <f>'13_시나리오비교'!$A$5</f>
        <v/>
      </c>
      <c r="C7" s="86" t="n">
        <v>6</v>
      </c>
      <c r="D7" s="86">
        <f>'11_발전량_모델'!B27</f>
        <v/>
      </c>
      <c r="E7" s="86">
        <f>'11_발전량_모델'!C27</f>
        <v/>
      </c>
      <c r="F7" s="86">
        <f>'11_발전량_모델'!D27</f>
        <v/>
      </c>
      <c r="G7" s="86">
        <f>'11_발전량_모델'!E27</f>
        <v/>
      </c>
      <c r="H7" s="86">
        <f>'11_발전량_모델'!F27</f>
        <v/>
      </c>
      <c r="I7" s="86">
        <f>'11_발전량_모델'!G27</f>
        <v/>
      </c>
      <c r="J7" s="86">
        <f>'11_발전량_모델'!H27</f>
        <v/>
      </c>
      <c r="K7" s="86">
        <f>'11_발전량_모델'!I27</f>
        <v/>
      </c>
      <c r="L7" s="86">
        <f>'11_발전량_모델'!J27</f>
        <v/>
      </c>
      <c r="M7" s="86">
        <f>IF(SUMIFS('15_태양기하'!$N$21:$N$1172,'15_태양기하'!$A$21:$A$1172,C7)=0,0,SUMIFS('15_태양기하'!$P$21:$P$1172,'15_태양기하'!$A$21:$A$1172,C7)/SUMIFS('15_태양기하'!$N$21:$N$1172,'15_태양기하'!$A$21:$A$1172,C7))</f>
        <v/>
      </c>
      <c r="N7" s="86">
        <f>L7*M7+K7*(1+COS(RADIANS('13_시나리오비교'!$B$5)))/2+F7*'11_발전량_모델'!$B$9*(1-COS(RADIANS('13_시나리오비교'!$B$5)))/2</f>
        <v/>
      </c>
      <c r="O7" s="86">
        <f>N7*D7</f>
        <v/>
      </c>
      <c r="P7" s="86">
        <f>O7*'11_발전량_모델'!$B$11*'11_발전량_모델'!$B$12*(1-'11_발전량_모델'!$B$13)*'11_발전량_모델'!$B$14</f>
        <v/>
      </c>
      <c r="Q7" s="86">
        <f>P7*'11_발전량_모델'!$B$10/1000</f>
        <v/>
      </c>
    </row>
    <row r="8">
      <c r="A8" s="86" t="n">
        <v>1</v>
      </c>
      <c r="B8" s="86">
        <f>'13_시나리오비교'!$A$5</f>
        <v/>
      </c>
      <c r="C8" s="86" t="n">
        <v>7</v>
      </c>
      <c r="D8" s="86">
        <f>'11_발전량_모델'!B28</f>
        <v/>
      </c>
      <c r="E8" s="86">
        <f>'11_발전량_모델'!C28</f>
        <v/>
      </c>
      <c r="F8" s="86">
        <f>'11_발전량_모델'!D28</f>
        <v/>
      </c>
      <c r="G8" s="86">
        <f>'11_발전량_모델'!E28</f>
        <v/>
      </c>
      <c r="H8" s="86">
        <f>'11_발전량_모델'!F28</f>
        <v/>
      </c>
      <c r="I8" s="86">
        <f>'11_발전량_모델'!G28</f>
        <v/>
      </c>
      <c r="J8" s="86">
        <f>'11_발전량_모델'!H28</f>
        <v/>
      </c>
      <c r="K8" s="86">
        <f>'11_발전량_모델'!I28</f>
        <v/>
      </c>
      <c r="L8" s="86">
        <f>'11_발전량_모델'!J28</f>
        <v/>
      </c>
      <c r="M8" s="86">
        <f>IF(SUMIFS('15_태양기하'!$N$21:$N$1172,'15_태양기하'!$A$21:$A$1172,C8)=0,0,SUMIFS('15_태양기하'!$P$21:$P$1172,'15_태양기하'!$A$21:$A$1172,C8)/SUMIFS('15_태양기하'!$N$21:$N$1172,'15_태양기하'!$A$21:$A$1172,C8))</f>
        <v/>
      </c>
      <c r="N8" s="86">
        <f>L8*M8+K8*(1+COS(RADIANS('13_시나리오비교'!$B$5)))/2+F8*'11_발전량_모델'!$B$9*(1-COS(RADIANS('13_시나리오비교'!$B$5)))/2</f>
        <v/>
      </c>
      <c r="O8" s="86">
        <f>N8*D8</f>
        <v/>
      </c>
      <c r="P8" s="86">
        <f>O8*'11_발전량_모델'!$B$11*'11_발전량_모델'!$B$12*(1-'11_발전량_모델'!$B$13)*'11_발전량_모델'!$B$14</f>
        <v/>
      </c>
      <c r="Q8" s="86">
        <f>P8*'11_발전량_모델'!$B$10/1000</f>
        <v/>
      </c>
    </row>
    <row r="9">
      <c r="A9" s="86" t="n">
        <v>1</v>
      </c>
      <c r="B9" s="86">
        <f>'13_시나리오비교'!$A$5</f>
        <v/>
      </c>
      <c r="C9" s="86" t="n">
        <v>8</v>
      </c>
      <c r="D9" s="86">
        <f>'11_발전량_모델'!B29</f>
        <v/>
      </c>
      <c r="E9" s="86">
        <f>'11_발전량_모델'!C29</f>
        <v/>
      </c>
      <c r="F9" s="86">
        <f>'11_발전량_모델'!D29</f>
        <v/>
      </c>
      <c r="G9" s="86">
        <f>'11_발전량_모델'!E29</f>
        <v/>
      </c>
      <c r="H9" s="86">
        <f>'11_발전량_모델'!F29</f>
        <v/>
      </c>
      <c r="I9" s="86">
        <f>'11_발전량_모델'!G29</f>
        <v/>
      </c>
      <c r="J9" s="86">
        <f>'11_발전량_모델'!H29</f>
        <v/>
      </c>
      <c r="K9" s="86">
        <f>'11_발전량_모델'!I29</f>
        <v/>
      </c>
      <c r="L9" s="86">
        <f>'11_발전량_모델'!J29</f>
        <v/>
      </c>
      <c r="M9" s="86">
        <f>IF(SUMIFS('15_태양기하'!$N$21:$N$1172,'15_태양기하'!$A$21:$A$1172,C9)=0,0,SUMIFS('15_태양기하'!$P$21:$P$1172,'15_태양기하'!$A$21:$A$1172,C9)/SUMIFS('15_태양기하'!$N$21:$N$1172,'15_태양기하'!$A$21:$A$1172,C9))</f>
        <v/>
      </c>
      <c r="N9" s="86">
        <f>L9*M9+K9*(1+COS(RADIANS('13_시나리오비교'!$B$5)))/2+F9*'11_발전량_모델'!$B$9*(1-COS(RADIANS('13_시나리오비교'!$B$5)))/2</f>
        <v/>
      </c>
      <c r="O9" s="86">
        <f>N9*D9</f>
        <v/>
      </c>
      <c r="P9" s="86">
        <f>O9*'11_발전량_모델'!$B$11*'11_발전량_모델'!$B$12*(1-'11_발전량_모델'!$B$13)*'11_발전량_모델'!$B$14</f>
        <v/>
      </c>
      <c r="Q9" s="86">
        <f>P9*'11_발전량_모델'!$B$10/1000</f>
        <v/>
      </c>
    </row>
    <row r="10">
      <c r="A10" s="86" t="n">
        <v>1</v>
      </c>
      <c r="B10" s="86">
        <f>'13_시나리오비교'!$A$5</f>
        <v/>
      </c>
      <c r="C10" s="86" t="n">
        <v>9</v>
      </c>
      <c r="D10" s="86">
        <f>'11_발전량_모델'!B30</f>
        <v/>
      </c>
      <c r="E10" s="86">
        <f>'11_발전량_모델'!C30</f>
        <v/>
      </c>
      <c r="F10" s="86">
        <f>'11_발전량_모델'!D30</f>
        <v/>
      </c>
      <c r="G10" s="86">
        <f>'11_발전량_모델'!E30</f>
        <v/>
      </c>
      <c r="H10" s="86">
        <f>'11_발전량_모델'!F30</f>
        <v/>
      </c>
      <c r="I10" s="86">
        <f>'11_발전량_모델'!G30</f>
        <v/>
      </c>
      <c r="J10" s="86">
        <f>'11_발전량_모델'!H30</f>
        <v/>
      </c>
      <c r="K10" s="86">
        <f>'11_발전량_모델'!I30</f>
        <v/>
      </c>
      <c r="L10" s="86">
        <f>'11_발전량_모델'!J30</f>
        <v/>
      </c>
      <c r="M10" s="86">
        <f>IF(SUMIFS('15_태양기하'!$N$21:$N$1172,'15_태양기하'!$A$21:$A$1172,C10)=0,0,SUMIFS('15_태양기하'!$P$21:$P$1172,'15_태양기하'!$A$21:$A$1172,C10)/SUMIFS('15_태양기하'!$N$21:$N$1172,'15_태양기하'!$A$21:$A$1172,C10))</f>
        <v/>
      </c>
      <c r="N10" s="86">
        <f>L10*M10+K10*(1+COS(RADIANS('13_시나리오비교'!$B$5)))/2+F10*'11_발전량_모델'!$B$9*(1-COS(RADIANS('13_시나리오비교'!$B$5)))/2</f>
        <v/>
      </c>
      <c r="O10" s="86">
        <f>N10*D10</f>
        <v/>
      </c>
      <c r="P10" s="86">
        <f>O10*'11_발전량_모델'!$B$11*'11_발전량_모델'!$B$12*(1-'11_발전량_모델'!$B$13)*'11_발전량_모델'!$B$14</f>
        <v/>
      </c>
      <c r="Q10" s="86">
        <f>P10*'11_발전량_모델'!$B$10/1000</f>
        <v/>
      </c>
    </row>
    <row r="11">
      <c r="A11" s="86" t="n">
        <v>1</v>
      </c>
      <c r="B11" s="86">
        <f>'13_시나리오비교'!$A$5</f>
        <v/>
      </c>
      <c r="C11" s="86" t="n">
        <v>10</v>
      </c>
      <c r="D11" s="86">
        <f>'11_발전량_모델'!B31</f>
        <v/>
      </c>
      <c r="E11" s="86">
        <f>'11_발전량_모델'!C31</f>
        <v/>
      </c>
      <c r="F11" s="86">
        <f>'11_발전량_모델'!D31</f>
        <v/>
      </c>
      <c r="G11" s="86">
        <f>'11_발전량_모델'!E31</f>
        <v/>
      </c>
      <c r="H11" s="86">
        <f>'11_발전량_모델'!F31</f>
        <v/>
      </c>
      <c r="I11" s="86">
        <f>'11_발전량_모델'!G31</f>
        <v/>
      </c>
      <c r="J11" s="86">
        <f>'11_발전량_모델'!H31</f>
        <v/>
      </c>
      <c r="K11" s="86">
        <f>'11_발전량_모델'!I31</f>
        <v/>
      </c>
      <c r="L11" s="86">
        <f>'11_발전량_모델'!J31</f>
        <v/>
      </c>
      <c r="M11" s="86">
        <f>IF(SUMIFS('15_태양기하'!$N$21:$N$1172,'15_태양기하'!$A$21:$A$1172,C11)=0,0,SUMIFS('15_태양기하'!$P$21:$P$1172,'15_태양기하'!$A$21:$A$1172,C11)/SUMIFS('15_태양기하'!$N$21:$N$1172,'15_태양기하'!$A$21:$A$1172,C11))</f>
        <v/>
      </c>
      <c r="N11" s="86">
        <f>L11*M11+K11*(1+COS(RADIANS('13_시나리오비교'!$B$5)))/2+F11*'11_발전량_모델'!$B$9*(1-COS(RADIANS('13_시나리오비교'!$B$5)))/2</f>
        <v/>
      </c>
      <c r="O11" s="86">
        <f>N11*D11</f>
        <v/>
      </c>
      <c r="P11" s="86">
        <f>O11*'11_발전량_모델'!$B$11*'11_발전량_모델'!$B$12*(1-'11_발전량_모델'!$B$13)*'11_발전량_모델'!$B$14</f>
        <v/>
      </c>
      <c r="Q11" s="86">
        <f>P11*'11_발전량_모델'!$B$10/1000</f>
        <v/>
      </c>
    </row>
    <row r="12">
      <c r="A12" s="86" t="n">
        <v>1</v>
      </c>
      <c r="B12" s="86">
        <f>'13_시나리오비교'!$A$5</f>
        <v/>
      </c>
      <c r="C12" s="86" t="n">
        <v>11</v>
      </c>
      <c r="D12" s="86">
        <f>'11_발전량_모델'!B32</f>
        <v/>
      </c>
      <c r="E12" s="86">
        <f>'11_발전량_모델'!C32</f>
        <v/>
      </c>
      <c r="F12" s="86">
        <f>'11_발전량_모델'!D32</f>
        <v/>
      </c>
      <c r="G12" s="86">
        <f>'11_발전량_모델'!E32</f>
        <v/>
      </c>
      <c r="H12" s="86">
        <f>'11_발전량_모델'!F32</f>
        <v/>
      </c>
      <c r="I12" s="86">
        <f>'11_발전량_모델'!G32</f>
        <v/>
      </c>
      <c r="J12" s="86">
        <f>'11_발전량_모델'!H32</f>
        <v/>
      </c>
      <c r="K12" s="86">
        <f>'11_발전량_모델'!I32</f>
        <v/>
      </c>
      <c r="L12" s="86">
        <f>'11_발전량_모델'!J32</f>
        <v/>
      </c>
      <c r="M12" s="86">
        <f>IF(SUMIFS('15_태양기하'!$N$21:$N$1172,'15_태양기하'!$A$21:$A$1172,C12)=0,0,SUMIFS('15_태양기하'!$P$21:$P$1172,'15_태양기하'!$A$21:$A$1172,C12)/SUMIFS('15_태양기하'!$N$21:$N$1172,'15_태양기하'!$A$21:$A$1172,C12))</f>
        <v/>
      </c>
      <c r="N12" s="86">
        <f>L12*M12+K12*(1+COS(RADIANS('13_시나리오비교'!$B$5)))/2+F12*'11_발전량_모델'!$B$9*(1-COS(RADIANS('13_시나리오비교'!$B$5)))/2</f>
        <v/>
      </c>
      <c r="O12" s="86">
        <f>N12*D12</f>
        <v/>
      </c>
      <c r="P12" s="86">
        <f>O12*'11_발전량_모델'!$B$11*'11_발전량_모델'!$B$12*(1-'11_발전량_모델'!$B$13)*'11_발전량_모델'!$B$14</f>
        <v/>
      </c>
      <c r="Q12" s="86">
        <f>P12*'11_발전량_모델'!$B$10/1000</f>
        <v/>
      </c>
    </row>
    <row r="13">
      <c r="A13" s="86" t="n">
        <v>1</v>
      </c>
      <c r="B13" s="86">
        <f>'13_시나리오비교'!$A$5</f>
        <v/>
      </c>
      <c r="C13" s="86" t="n">
        <v>12</v>
      </c>
      <c r="D13" s="86">
        <f>'11_발전량_모델'!B33</f>
        <v/>
      </c>
      <c r="E13" s="86">
        <f>'11_발전량_모델'!C33</f>
        <v/>
      </c>
      <c r="F13" s="86">
        <f>'11_발전량_모델'!D33</f>
        <v/>
      </c>
      <c r="G13" s="86">
        <f>'11_발전량_모델'!E33</f>
        <v/>
      </c>
      <c r="H13" s="86">
        <f>'11_발전량_모델'!F33</f>
        <v/>
      </c>
      <c r="I13" s="86">
        <f>'11_발전량_모델'!G33</f>
        <v/>
      </c>
      <c r="J13" s="86">
        <f>'11_발전량_모델'!H33</f>
        <v/>
      </c>
      <c r="K13" s="86">
        <f>'11_발전량_모델'!I33</f>
        <v/>
      </c>
      <c r="L13" s="86">
        <f>'11_발전량_모델'!J33</f>
        <v/>
      </c>
      <c r="M13" s="86">
        <f>IF(SUMIFS('15_태양기하'!$N$21:$N$1172,'15_태양기하'!$A$21:$A$1172,C13)=0,0,SUMIFS('15_태양기하'!$P$21:$P$1172,'15_태양기하'!$A$21:$A$1172,C13)/SUMIFS('15_태양기하'!$N$21:$N$1172,'15_태양기하'!$A$21:$A$1172,C13))</f>
        <v/>
      </c>
      <c r="N13" s="86">
        <f>L13*M13+K13*(1+COS(RADIANS('13_시나리오비교'!$B$5)))/2+F13*'11_발전량_모델'!$B$9*(1-COS(RADIANS('13_시나리오비교'!$B$5)))/2</f>
        <v/>
      </c>
      <c r="O13" s="86">
        <f>N13*D13</f>
        <v/>
      </c>
      <c r="P13" s="86">
        <f>O13*'11_발전량_모델'!$B$11*'11_발전량_모델'!$B$12*(1-'11_발전량_모델'!$B$13)*'11_발전량_모델'!$B$14</f>
        <v/>
      </c>
      <c r="Q13" s="86">
        <f>P13*'11_발전량_모델'!$B$10/1000</f>
        <v/>
      </c>
    </row>
    <row r="14">
      <c r="A14" s="86" t="n">
        <v>2</v>
      </c>
      <c r="B14" s="86">
        <f>'13_시나리오비교'!$A$6</f>
        <v/>
      </c>
      <c r="C14" s="86" t="n">
        <v>1</v>
      </c>
      <c r="D14" s="86">
        <f>'11_발전량_모델'!B22</f>
        <v/>
      </c>
      <c r="E14" s="86">
        <f>'11_발전량_모델'!C22</f>
        <v/>
      </c>
      <c r="F14" s="86">
        <f>'11_발전량_모델'!D22</f>
        <v/>
      </c>
      <c r="G14" s="86">
        <f>'11_발전량_모델'!E22</f>
        <v/>
      </c>
      <c r="H14" s="86">
        <f>'11_발전량_모델'!F22</f>
        <v/>
      </c>
      <c r="I14" s="86">
        <f>'11_발전량_모델'!G22</f>
        <v/>
      </c>
      <c r="J14" s="86">
        <f>'11_발전량_모델'!H22</f>
        <v/>
      </c>
      <c r="K14" s="86">
        <f>'11_발전량_모델'!I22</f>
        <v/>
      </c>
      <c r="L14" s="86">
        <f>'11_발전량_모델'!J22</f>
        <v/>
      </c>
      <c r="M14" s="86">
        <f>IF(SUMIFS('15_태양기하'!$N$21:$N$1172,'15_태양기하'!$A$21:$A$1172,C14)=0,0,SUMIFS('15_태양기하'!$Q$21:$Q$1172,'15_태양기하'!$A$21:$A$1172,C14)/SUMIFS('15_태양기하'!$N$21:$N$1172,'15_태양기하'!$A$21:$A$1172,C14))</f>
        <v/>
      </c>
      <c r="N14" s="86">
        <f>L14*M14+K14*(1+COS(RADIANS('13_시나리오비교'!$B$6)))/2+F14*'11_발전량_모델'!$B$9*(1-COS(RADIANS('13_시나리오비교'!$B$6)))/2</f>
        <v/>
      </c>
      <c r="O14" s="86">
        <f>N14*D14</f>
        <v/>
      </c>
      <c r="P14" s="86">
        <f>O14*'11_발전량_모델'!$B$11*'11_발전량_모델'!$B$12*(1-'11_발전량_모델'!$B$13)*'11_발전량_모델'!$B$14</f>
        <v/>
      </c>
      <c r="Q14" s="86">
        <f>P14*'11_발전량_모델'!$B$10/1000</f>
        <v/>
      </c>
    </row>
    <row r="15">
      <c r="A15" s="86" t="n">
        <v>2</v>
      </c>
      <c r="B15" s="86">
        <f>'13_시나리오비교'!$A$6</f>
        <v/>
      </c>
      <c r="C15" s="86" t="n">
        <v>2</v>
      </c>
      <c r="D15" s="86">
        <f>'11_발전량_모델'!B23</f>
        <v/>
      </c>
      <c r="E15" s="86">
        <f>'11_발전량_모델'!C23</f>
        <v/>
      </c>
      <c r="F15" s="86">
        <f>'11_발전량_모델'!D23</f>
        <v/>
      </c>
      <c r="G15" s="86">
        <f>'11_발전량_모델'!E23</f>
        <v/>
      </c>
      <c r="H15" s="86">
        <f>'11_발전량_모델'!F23</f>
        <v/>
      </c>
      <c r="I15" s="86">
        <f>'11_발전량_모델'!G23</f>
        <v/>
      </c>
      <c r="J15" s="86">
        <f>'11_발전량_모델'!H23</f>
        <v/>
      </c>
      <c r="K15" s="86">
        <f>'11_발전량_모델'!I23</f>
        <v/>
      </c>
      <c r="L15" s="86">
        <f>'11_발전량_모델'!J23</f>
        <v/>
      </c>
      <c r="M15" s="86">
        <f>IF(SUMIFS('15_태양기하'!$N$21:$N$1172,'15_태양기하'!$A$21:$A$1172,C15)=0,0,SUMIFS('15_태양기하'!$Q$21:$Q$1172,'15_태양기하'!$A$21:$A$1172,C15)/SUMIFS('15_태양기하'!$N$21:$N$1172,'15_태양기하'!$A$21:$A$1172,C15))</f>
        <v/>
      </c>
      <c r="N15" s="86">
        <f>L15*M15+K15*(1+COS(RADIANS('13_시나리오비교'!$B$6)))/2+F15*'11_발전량_모델'!$B$9*(1-COS(RADIANS('13_시나리오비교'!$B$6)))/2</f>
        <v/>
      </c>
      <c r="O15" s="86">
        <f>N15*D15</f>
        <v/>
      </c>
      <c r="P15" s="86">
        <f>O15*'11_발전량_모델'!$B$11*'11_발전량_모델'!$B$12*(1-'11_발전량_모델'!$B$13)*'11_발전량_모델'!$B$14</f>
        <v/>
      </c>
      <c r="Q15" s="86">
        <f>P15*'11_발전량_모델'!$B$10/1000</f>
        <v/>
      </c>
    </row>
    <row r="16">
      <c r="A16" s="86" t="n">
        <v>2</v>
      </c>
      <c r="B16" s="86">
        <f>'13_시나리오비교'!$A$6</f>
        <v/>
      </c>
      <c r="C16" s="86" t="n">
        <v>3</v>
      </c>
      <c r="D16" s="86">
        <f>'11_발전량_모델'!B24</f>
        <v/>
      </c>
      <c r="E16" s="86">
        <f>'11_발전량_모델'!C24</f>
        <v/>
      </c>
      <c r="F16" s="86">
        <f>'11_발전량_모델'!D24</f>
        <v/>
      </c>
      <c r="G16" s="86">
        <f>'11_발전량_모델'!E24</f>
        <v/>
      </c>
      <c r="H16" s="86">
        <f>'11_발전량_모델'!F24</f>
        <v/>
      </c>
      <c r="I16" s="86">
        <f>'11_발전량_모델'!G24</f>
        <v/>
      </c>
      <c r="J16" s="86">
        <f>'11_발전량_모델'!H24</f>
        <v/>
      </c>
      <c r="K16" s="86">
        <f>'11_발전량_모델'!I24</f>
        <v/>
      </c>
      <c r="L16" s="86">
        <f>'11_발전량_모델'!J24</f>
        <v/>
      </c>
      <c r="M16" s="86">
        <f>IF(SUMIFS('15_태양기하'!$N$21:$N$1172,'15_태양기하'!$A$21:$A$1172,C16)=0,0,SUMIFS('15_태양기하'!$Q$21:$Q$1172,'15_태양기하'!$A$21:$A$1172,C16)/SUMIFS('15_태양기하'!$N$21:$N$1172,'15_태양기하'!$A$21:$A$1172,C16))</f>
        <v/>
      </c>
      <c r="N16" s="86">
        <f>L16*M16+K16*(1+COS(RADIANS('13_시나리오비교'!$B$6)))/2+F16*'11_발전량_모델'!$B$9*(1-COS(RADIANS('13_시나리오비교'!$B$6)))/2</f>
        <v/>
      </c>
      <c r="O16" s="86">
        <f>N16*D16</f>
        <v/>
      </c>
      <c r="P16" s="86">
        <f>O16*'11_발전량_모델'!$B$11*'11_발전량_모델'!$B$12*(1-'11_발전량_모델'!$B$13)*'11_발전량_모델'!$B$14</f>
        <v/>
      </c>
      <c r="Q16" s="86">
        <f>P16*'11_발전량_모델'!$B$10/1000</f>
        <v/>
      </c>
    </row>
    <row r="17">
      <c r="A17" s="86" t="n">
        <v>2</v>
      </c>
      <c r="B17" s="86">
        <f>'13_시나리오비교'!$A$6</f>
        <v/>
      </c>
      <c r="C17" s="86" t="n">
        <v>4</v>
      </c>
      <c r="D17" s="86">
        <f>'11_발전량_모델'!B25</f>
        <v/>
      </c>
      <c r="E17" s="86">
        <f>'11_발전량_모델'!C25</f>
        <v/>
      </c>
      <c r="F17" s="86">
        <f>'11_발전량_모델'!D25</f>
        <v/>
      </c>
      <c r="G17" s="86">
        <f>'11_발전량_모델'!E25</f>
        <v/>
      </c>
      <c r="H17" s="86">
        <f>'11_발전량_모델'!F25</f>
        <v/>
      </c>
      <c r="I17" s="86">
        <f>'11_발전량_모델'!G25</f>
        <v/>
      </c>
      <c r="J17" s="86">
        <f>'11_발전량_모델'!H25</f>
        <v/>
      </c>
      <c r="K17" s="86">
        <f>'11_발전량_모델'!I25</f>
        <v/>
      </c>
      <c r="L17" s="86">
        <f>'11_발전량_모델'!J25</f>
        <v/>
      </c>
      <c r="M17" s="86">
        <f>IF(SUMIFS('15_태양기하'!$N$21:$N$1172,'15_태양기하'!$A$21:$A$1172,C17)=0,0,SUMIFS('15_태양기하'!$Q$21:$Q$1172,'15_태양기하'!$A$21:$A$1172,C17)/SUMIFS('15_태양기하'!$N$21:$N$1172,'15_태양기하'!$A$21:$A$1172,C17))</f>
        <v/>
      </c>
      <c r="N17" s="86">
        <f>L17*M17+K17*(1+COS(RADIANS('13_시나리오비교'!$B$6)))/2+F17*'11_발전량_모델'!$B$9*(1-COS(RADIANS('13_시나리오비교'!$B$6)))/2</f>
        <v/>
      </c>
      <c r="O17" s="86">
        <f>N17*D17</f>
        <v/>
      </c>
      <c r="P17" s="86">
        <f>O17*'11_발전량_모델'!$B$11*'11_발전량_모델'!$B$12*(1-'11_발전량_모델'!$B$13)*'11_발전량_모델'!$B$14</f>
        <v/>
      </c>
      <c r="Q17" s="86">
        <f>P17*'11_발전량_모델'!$B$10/1000</f>
        <v/>
      </c>
    </row>
    <row r="18">
      <c r="A18" s="86" t="n">
        <v>2</v>
      </c>
      <c r="B18" s="86">
        <f>'13_시나리오비교'!$A$6</f>
        <v/>
      </c>
      <c r="C18" s="86" t="n">
        <v>5</v>
      </c>
      <c r="D18" s="86">
        <f>'11_발전량_모델'!B26</f>
        <v/>
      </c>
      <c r="E18" s="86">
        <f>'11_발전량_모델'!C26</f>
        <v/>
      </c>
      <c r="F18" s="86">
        <f>'11_발전량_모델'!D26</f>
        <v/>
      </c>
      <c r="G18" s="86">
        <f>'11_발전량_모델'!E26</f>
        <v/>
      </c>
      <c r="H18" s="86">
        <f>'11_발전량_모델'!F26</f>
        <v/>
      </c>
      <c r="I18" s="86">
        <f>'11_발전량_모델'!G26</f>
        <v/>
      </c>
      <c r="J18" s="86">
        <f>'11_발전량_모델'!H26</f>
        <v/>
      </c>
      <c r="K18" s="86">
        <f>'11_발전량_모델'!I26</f>
        <v/>
      </c>
      <c r="L18" s="86">
        <f>'11_발전량_모델'!J26</f>
        <v/>
      </c>
      <c r="M18" s="86">
        <f>IF(SUMIFS('15_태양기하'!$N$21:$N$1172,'15_태양기하'!$A$21:$A$1172,C18)=0,0,SUMIFS('15_태양기하'!$Q$21:$Q$1172,'15_태양기하'!$A$21:$A$1172,C18)/SUMIFS('15_태양기하'!$N$21:$N$1172,'15_태양기하'!$A$21:$A$1172,C18))</f>
        <v/>
      </c>
      <c r="N18" s="86">
        <f>L18*M18+K18*(1+COS(RADIANS('13_시나리오비교'!$B$6)))/2+F18*'11_발전량_모델'!$B$9*(1-COS(RADIANS('13_시나리오비교'!$B$6)))/2</f>
        <v/>
      </c>
      <c r="O18" s="86">
        <f>N18*D18</f>
        <v/>
      </c>
      <c r="P18" s="86">
        <f>O18*'11_발전량_모델'!$B$11*'11_발전량_모델'!$B$12*(1-'11_발전량_모델'!$B$13)*'11_발전량_모델'!$B$14</f>
        <v/>
      </c>
      <c r="Q18" s="86">
        <f>P18*'11_발전량_모델'!$B$10/1000</f>
        <v/>
      </c>
    </row>
    <row r="19">
      <c r="A19" s="86" t="n">
        <v>2</v>
      </c>
      <c r="B19" s="86">
        <f>'13_시나리오비교'!$A$6</f>
        <v/>
      </c>
      <c r="C19" s="86" t="n">
        <v>6</v>
      </c>
      <c r="D19" s="86">
        <f>'11_발전량_모델'!B27</f>
        <v/>
      </c>
      <c r="E19" s="86">
        <f>'11_발전량_모델'!C27</f>
        <v/>
      </c>
      <c r="F19" s="86">
        <f>'11_발전량_모델'!D27</f>
        <v/>
      </c>
      <c r="G19" s="86">
        <f>'11_발전량_모델'!E27</f>
        <v/>
      </c>
      <c r="H19" s="86">
        <f>'11_발전량_모델'!F27</f>
        <v/>
      </c>
      <c r="I19" s="86">
        <f>'11_발전량_모델'!G27</f>
        <v/>
      </c>
      <c r="J19" s="86">
        <f>'11_발전량_모델'!H27</f>
        <v/>
      </c>
      <c r="K19" s="86">
        <f>'11_발전량_모델'!I27</f>
        <v/>
      </c>
      <c r="L19" s="86">
        <f>'11_발전량_모델'!J27</f>
        <v/>
      </c>
      <c r="M19" s="86">
        <f>IF(SUMIFS('15_태양기하'!$N$21:$N$1172,'15_태양기하'!$A$21:$A$1172,C19)=0,0,SUMIFS('15_태양기하'!$Q$21:$Q$1172,'15_태양기하'!$A$21:$A$1172,C19)/SUMIFS('15_태양기하'!$N$21:$N$1172,'15_태양기하'!$A$21:$A$1172,C19))</f>
        <v/>
      </c>
      <c r="N19" s="86">
        <f>L19*M19+K19*(1+COS(RADIANS('13_시나리오비교'!$B$6)))/2+F19*'11_발전량_모델'!$B$9*(1-COS(RADIANS('13_시나리오비교'!$B$6)))/2</f>
        <v/>
      </c>
      <c r="O19" s="86">
        <f>N19*D19</f>
        <v/>
      </c>
      <c r="P19" s="86">
        <f>O19*'11_발전량_모델'!$B$11*'11_발전량_모델'!$B$12*(1-'11_발전량_모델'!$B$13)*'11_발전량_모델'!$B$14</f>
        <v/>
      </c>
      <c r="Q19" s="86">
        <f>P19*'11_발전량_모델'!$B$10/1000</f>
        <v/>
      </c>
    </row>
    <row r="20">
      <c r="A20" s="86" t="n">
        <v>2</v>
      </c>
      <c r="B20" s="86">
        <f>'13_시나리오비교'!$A$6</f>
        <v/>
      </c>
      <c r="C20" s="86" t="n">
        <v>7</v>
      </c>
      <c r="D20" s="86">
        <f>'11_발전량_모델'!B28</f>
        <v/>
      </c>
      <c r="E20" s="86">
        <f>'11_발전량_모델'!C28</f>
        <v/>
      </c>
      <c r="F20" s="86">
        <f>'11_발전량_모델'!D28</f>
        <v/>
      </c>
      <c r="G20" s="86">
        <f>'11_발전량_모델'!E28</f>
        <v/>
      </c>
      <c r="H20" s="86">
        <f>'11_발전량_모델'!F28</f>
        <v/>
      </c>
      <c r="I20" s="86">
        <f>'11_발전량_모델'!G28</f>
        <v/>
      </c>
      <c r="J20" s="86">
        <f>'11_발전량_모델'!H28</f>
        <v/>
      </c>
      <c r="K20" s="86">
        <f>'11_발전량_모델'!I28</f>
        <v/>
      </c>
      <c r="L20" s="86">
        <f>'11_발전량_모델'!J28</f>
        <v/>
      </c>
      <c r="M20" s="86">
        <f>IF(SUMIFS('15_태양기하'!$N$21:$N$1172,'15_태양기하'!$A$21:$A$1172,C20)=0,0,SUMIFS('15_태양기하'!$Q$21:$Q$1172,'15_태양기하'!$A$21:$A$1172,C20)/SUMIFS('15_태양기하'!$N$21:$N$1172,'15_태양기하'!$A$21:$A$1172,C20))</f>
        <v/>
      </c>
      <c r="N20" s="86">
        <f>L20*M20+K20*(1+COS(RADIANS('13_시나리오비교'!$B$6)))/2+F20*'11_발전량_모델'!$B$9*(1-COS(RADIANS('13_시나리오비교'!$B$6)))/2</f>
        <v/>
      </c>
      <c r="O20" s="86">
        <f>N20*D20</f>
        <v/>
      </c>
      <c r="P20" s="86">
        <f>O20*'11_발전량_모델'!$B$11*'11_발전량_모델'!$B$12*(1-'11_발전량_모델'!$B$13)*'11_발전량_모델'!$B$14</f>
        <v/>
      </c>
      <c r="Q20" s="86">
        <f>P20*'11_발전량_모델'!$B$10/1000</f>
        <v/>
      </c>
    </row>
    <row r="21">
      <c r="A21" s="86" t="n">
        <v>2</v>
      </c>
      <c r="B21" s="86">
        <f>'13_시나리오비교'!$A$6</f>
        <v/>
      </c>
      <c r="C21" s="86" t="n">
        <v>8</v>
      </c>
      <c r="D21" s="86">
        <f>'11_발전량_모델'!B29</f>
        <v/>
      </c>
      <c r="E21" s="86">
        <f>'11_발전량_모델'!C29</f>
        <v/>
      </c>
      <c r="F21" s="86">
        <f>'11_발전량_모델'!D29</f>
        <v/>
      </c>
      <c r="G21" s="86">
        <f>'11_발전량_모델'!E29</f>
        <v/>
      </c>
      <c r="H21" s="86">
        <f>'11_발전량_모델'!F29</f>
        <v/>
      </c>
      <c r="I21" s="86">
        <f>'11_발전량_모델'!G29</f>
        <v/>
      </c>
      <c r="J21" s="86">
        <f>'11_발전량_모델'!H29</f>
        <v/>
      </c>
      <c r="K21" s="86">
        <f>'11_발전량_모델'!I29</f>
        <v/>
      </c>
      <c r="L21" s="86">
        <f>'11_발전량_모델'!J29</f>
        <v/>
      </c>
      <c r="M21" s="86">
        <f>IF(SUMIFS('15_태양기하'!$N$21:$N$1172,'15_태양기하'!$A$21:$A$1172,C21)=0,0,SUMIFS('15_태양기하'!$Q$21:$Q$1172,'15_태양기하'!$A$21:$A$1172,C21)/SUMIFS('15_태양기하'!$N$21:$N$1172,'15_태양기하'!$A$21:$A$1172,C21))</f>
        <v/>
      </c>
      <c r="N21" s="86">
        <f>L21*M21+K21*(1+COS(RADIANS('13_시나리오비교'!$B$6)))/2+F21*'11_발전량_모델'!$B$9*(1-COS(RADIANS('13_시나리오비교'!$B$6)))/2</f>
        <v/>
      </c>
      <c r="O21" s="86">
        <f>N21*D21</f>
        <v/>
      </c>
      <c r="P21" s="86">
        <f>O21*'11_발전량_모델'!$B$11*'11_발전량_모델'!$B$12*(1-'11_발전량_모델'!$B$13)*'11_발전량_모델'!$B$14</f>
        <v/>
      </c>
      <c r="Q21" s="86">
        <f>P21*'11_발전량_모델'!$B$10/1000</f>
        <v/>
      </c>
    </row>
    <row r="22">
      <c r="A22" s="86" t="n">
        <v>2</v>
      </c>
      <c r="B22" s="86">
        <f>'13_시나리오비교'!$A$6</f>
        <v/>
      </c>
      <c r="C22" s="86" t="n">
        <v>9</v>
      </c>
      <c r="D22" s="86">
        <f>'11_발전량_모델'!B30</f>
        <v/>
      </c>
      <c r="E22" s="86">
        <f>'11_발전량_모델'!C30</f>
        <v/>
      </c>
      <c r="F22" s="86">
        <f>'11_발전량_모델'!D30</f>
        <v/>
      </c>
      <c r="G22" s="86">
        <f>'11_발전량_모델'!E30</f>
        <v/>
      </c>
      <c r="H22" s="86">
        <f>'11_발전량_모델'!F30</f>
        <v/>
      </c>
      <c r="I22" s="86">
        <f>'11_발전량_모델'!G30</f>
        <v/>
      </c>
      <c r="J22" s="86">
        <f>'11_발전량_모델'!H30</f>
        <v/>
      </c>
      <c r="K22" s="86">
        <f>'11_발전량_모델'!I30</f>
        <v/>
      </c>
      <c r="L22" s="86">
        <f>'11_발전량_모델'!J30</f>
        <v/>
      </c>
      <c r="M22" s="86">
        <f>IF(SUMIFS('15_태양기하'!$N$21:$N$1172,'15_태양기하'!$A$21:$A$1172,C22)=0,0,SUMIFS('15_태양기하'!$Q$21:$Q$1172,'15_태양기하'!$A$21:$A$1172,C22)/SUMIFS('15_태양기하'!$N$21:$N$1172,'15_태양기하'!$A$21:$A$1172,C22))</f>
        <v/>
      </c>
      <c r="N22" s="86">
        <f>L22*M22+K22*(1+COS(RADIANS('13_시나리오비교'!$B$6)))/2+F22*'11_발전량_모델'!$B$9*(1-COS(RADIANS('13_시나리오비교'!$B$6)))/2</f>
        <v/>
      </c>
      <c r="O22" s="86">
        <f>N22*D22</f>
        <v/>
      </c>
      <c r="P22" s="86">
        <f>O22*'11_발전량_모델'!$B$11*'11_발전량_모델'!$B$12*(1-'11_발전량_모델'!$B$13)*'11_발전량_모델'!$B$14</f>
        <v/>
      </c>
      <c r="Q22" s="86">
        <f>P22*'11_발전량_모델'!$B$10/1000</f>
        <v/>
      </c>
    </row>
    <row r="23">
      <c r="A23" s="86" t="n">
        <v>2</v>
      </c>
      <c r="B23" s="86">
        <f>'13_시나리오비교'!$A$6</f>
        <v/>
      </c>
      <c r="C23" s="86" t="n">
        <v>10</v>
      </c>
      <c r="D23" s="86">
        <f>'11_발전량_모델'!B31</f>
        <v/>
      </c>
      <c r="E23" s="86">
        <f>'11_발전량_모델'!C31</f>
        <v/>
      </c>
      <c r="F23" s="86">
        <f>'11_발전량_모델'!D31</f>
        <v/>
      </c>
      <c r="G23" s="86">
        <f>'11_발전량_모델'!E31</f>
        <v/>
      </c>
      <c r="H23" s="86">
        <f>'11_발전량_모델'!F31</f>
        <v/>
      </c>
      <c r="I23" s="86">
        <f>'11_발전량_모델'!G31</f>
        <v/>
      </c>
      <c r="J23" s="86">
        <f>'11_발전량_모델'!H31</f>
        <v/>
      </c>
      <c r="K23" s="86">
        <f>'11_발전량_모델'!I31</f>
        <v/>
      </c>
      <c r="L23" s="86">
        <f>'11_발전량_모델'!J31</f>
        <v/>
      </c>
      <c r="M23" s="86">
        <f>IF(SUMIFS('15_태양기하'!$N$21:$N$1172,'15_태양기하'!$A$21:$A$1172,C23)=0,0,SUMIFS('15_태양기하'!$Q$21:$Q$1172,'15_태양기하'!$A$21:$A$1172,C23)/SUMIFS('15_태양기하'!$N$21:$N$1172,'15_태양기하'!$A$21:$A$1172,C23))</f>
        <v/>
      </c>
      <c r="N23" s="86">
        <f>L23*M23+K23*(1+COS(RADIANS('13_시나리오비교'!$B$6)))/2+F23*'11_발전량_모델'!$B$9*(1-COS(RADIANS('13_시나리오비교'!$B$6)))/2</f>
        <v/>
      </c>
      <c r="O23" s="86">
        <f>N23*D23</f>
        <v/>
      </c>
      <c r="P23" s="86">
        <f>O23*'11_발전량_모델'!$B$11*'11_발전량_모델'!$B$12*(1-'11_발전량_모델'!$B$13)*'11_발전량_모델'!$B$14</f>
        <v/>
      </c>
      <c r="Q23" s="86">
        <f>P23*'11_발전량_모델'!$B$10/1000</f>
        <v/>
      </c>
    </row>
    <row r="24">
      <c r="A24" s="86" t="n">
        <v>2</v>
      </c>
      <c r="B24" s="86">
        <f>'13_시나리오비교'!$A$6</f>
        <v/>
      </c>
      <c r="C24" s="86" t="n">
        <v>11</v>
      </c>
      <c r="D24" s="86">
        <f>'11_발전량_모델'!B32</f>
        <v/>
      </c>
      <c r="E24" s="86">
        <f>'11_발전량_모델'!C32</f>
        <v/>
      </c>
      <c r="F24" s="86">
        <f>'11_발전량_모델'!D32</f>
        <v/>
      </c>
      <c r="G24" s="86">
        <f>'11_발전량_모델'!E32</f>
        <v/>
      </c>
      <c r="H24" s="86">
        <f>'11_발전량_모델'!F32</f>
        <v/>
      </c>
      <c r="I24" s="86">
        <f>'11_발전량_모델'!G32</f>
        <v/>
      </c>
      <c r="J24" s="86">
        <f>'11_발전량_모델'!H32</f>
        <v/>
      </c>
      <c r="K24" s="86">
        <f>'11_발전량_모델'!I32</f>
        <v/>
      </c>
      <c r="L24" s="86">
        <f>'11_발전량_모델'!J32</f>
        <v/>
      </c>
      <c r="M24" s="86">
        <f>IF(SUMIFS('15_태양기하'!$N$21:$N$1172,'15_태양기하'!$A$21:$A$1172,C24)=0,0,SUMIFS('15_태양기하'!$Q$21:$Q$1172,'15_태양기하'!$A$21:$A$1172,C24)/SUMIFS('15_태양기하'!$N$21:$N$1172,'15_태양기하'!$A$21:$A$1172,C24))</f>
        <v/>
      </c>
      <c r="N24" s="86">
        <f>L24*M24+K24*(1+COS(RADIANS('13_시나리오비교'!$B$6)))/2+F24*'11_발전량_모델'!$B$9*(1-COS(RADIANS('13_시나리오비교'!$B$6)))/2</f>
        <v/>
      </c>
      <c r="O24" s="86">
        <f>N24*D24</f>
        <v/>
      </c>
      <c r="P24" s="86">
        <f>O24*'11_발전량_모델'!$B$11*'11_발전량_모델'!$B$12*(1-'11_발전량_모델'!$B$13)*'11_발전량_모델'!$B$14</f>
        <v/>
      </c>
      <c r="Q24" s="86">
        <f>P24*'11_발전량_모델'!$B$10/1000</f>
        <v/>
      </c>
    </row>
    <row r="25">
      <c r="A25" s="86" t="n">
        <v>2</v>
      </c>
      <c r="B25" s="86">
        <f>'13_시나리오비교'!$A$6</f>
        <v/>
      </c>
      <c r="C25" s="86" t="n">
        <v>12</v>
      </c>
      <c r="D25" s="86">
        <f>'11_발전량_모델'!B33</f>
        <v/>
      </c>
      <c r="E25" s="86">
        <f>'11_발전량_모델'!C33</f>
        <v/>
      </c>
      <c r="F25" s="86">
        <f>'11_발전량_모델'!D33</f>
        <v/>
      </c>
      <c r="G25" s="86">
        <f>'11_발전량_모델'!E33</f>
        <v/>
      </c>
      <c r="H25" s="86">
        <f>'11_발전량_모델'!F33</f>
        <v/>
      </c>
      <c r="I25" s="86">
        <f>'11_발전량_모델'!G33</f>
        <v/>
      </c>
      <c r="J25" s="86">
        <f>'11_발전량_모델'!H33</f>
        <v/>
      </c>
      <c r="K25" s="86">
        <f>'11_발전량_모델'!I33</f>
        <v/>
      </c>
      <c r="L25" s="86">
        <f>'11_발전량_모델'!J33</f>
        <v/>
      </c>
      <c r="M25" s="86">
        <f>IF(SUMIFS('15_태양기하'!$N$21:$N$1172,'15_태양기하'!$A$21:$A$1172,C25)=0,0,SUMIFS('15_태양기하'!$Q$21:$Q$1172,'15_태양기하'!$A$21:$A$1172,C25)/SUMIFS('15_태양기하'!$N$21:$N$1172,'15_태양기하'!$A$21:$A$1172,C25))</f>
        <v/>
      </c>
      <c r="N25" s="86">
        <f>L25*M25+K25*(1+COS(RADIANS('13_시나리오비교'!$B$6)))/2+F25*'11_발전량_모델'!$B$9*(1-COS(RADIANS('13_시나리오비교'!$B$6)))/2</f>
        <v/>
      </c>
      <c r="O25" s="86">
        <f>N25*D25</f>
        <v/>
      </c>
      <c r="P25" s="86">
        <f>O25*'11_발전량_모델'!$B$11*'11_발전량_모델'!$B$12*(1-'11_발전량_모델'!$B$13)*'11_발전량_모델'!$B$14</f>
        <v/>
      </c>
      <c r="Q25" s="86">
        <f>P25*'11_발전량_모델'!$B$10/1000</f>
        <v/>
      </c>
    </row>
    <row r="26">
      <c r="A26" s="86" t="n">
        <v>3</v>
      </c>
      <c r="B26" s="86">
        <f>'13_시나리오비교'!$A$7</f>
        <v/>
      </c>
      <c r="C26" s="86" t="n">
        <v>1</v>
      </c>
      <c r="D26" s="86">
        <f>'11_발전량_모델'!B22</f>
        <v/>
      </c>
      <c r="E26" s="86">
        <f>'11_발전량_모델'!C22</f>
        <v/>
      </c>
      <c r="F26" s="86">
        <f>'11_발전량_모델'!D22</f>
        <v/>
      </c>
      <c r="G26" s="86">
        <f>'11_발전량_모델'!E22</f>
        <v/>
      </c>
      <c r="H26" s="86">
        <f>'11_발전량_모델'!F22</f>
        <v/>
      </c>
      <c r="I26" s="86">
        <f>'11_발전량_모델'!G22</f>
        <v/>
      </c>
      <c r="J26" s="86">
        <f>'11_발전량_모델'!H22</f>
        <v/>
      </c>
      <c r="K26" s="86">
        <f>'11_발전량_모델'!I22</f>
        <v/>
      </c>
      <c r="L26" s="86">
        <f>'11_발전량_모델'!J22</f>
        <v/>
      </c>
      <c r="M26" s="86">
        <f>IF(SUMIFS('15_태양기하'!$N$21:$N$1172,'15_태양기하'!$A$21:$A$1172,C26)=0,0,SUMIFS('15_태양기하'!$R$21:$R$1172,'15_태양기하'!$A$21:$A$1172,C26)/SUMIFS('15_태양기하'!$N$21:$N$1172,'15_태양기하'!$A$21:$A$1172,C26))</f>
        <v/>
      </c>
      <c r="N26" s="86">
        <f>L26*M26+K26*(1+COS(RADIANS('13_시나리오비교'!$B$7)))/2+F26*'11_발전량_모델'!$B$9*(1-COS(RADIANS('13_시나리오비교'!$B$7)))/2</f>
        <v/>
      </c>
      <c r="O26" s="86">
        <f>N26*D26</f>
        <v/>
      </c>
      <c r="P26" s="86">
        <f>O26*'11_발전량_모델'!$B$11*'11_발전량_모델'!$B$12*(1-'11_발전량_모델'!$B$13)*'11_발전량_모델'!$B$14</f>
        <v/>
      </c>
      <c r="Q26" s="86">
        <f>P26*'11_발전량_모델'!$B$10/1000</f>
        <v/>
      </c>
    </row>
    <row r="27">
      <c r="A27" s="86" t="n">
        <v>3</v>
      </c>
      <c r="B27" s="86">
        <f>'13_시나리오비교'!$A$7</f>
        <v/>
      </c>
      <c r="C27" s="86" t="n">
        <v>2</v>
      </c>
      <c r="D27" s="86">
        <f>'11_발전량_모델'!B23</f>
        <v/>
      </c>
      <c r="E27" s="86">
        <f>'11_발전량_모델'!C23</f>
        <v/>
      </c>
      <c r="F27" s="86">
        <f>'11_발전량_모델'!D23</f>
        <v/>
      </c>
      <c r="G27" s="86">
        <f>'11_발전량_모델'!E23</f>
        <v/>
      </c>
      <c r="H27" s="86">
        <f>'11_발전량_모델'!F23</f>
        <v/>
      </c>
      <c r="I27" s="86">
        <f>'11_발전량_모델'!G23</f>
        <v/>
      </c>
      <c r="J27" s="86">
        <f>'11_발전량_모델'!H23</f>
        <v/>
      </c>
      <c r="K27" s="86">
        <f>'11_발전량_모델'!I23</f>
        <v/>
      </c>
      <c r="L27" s="86">
        <f>'11_발전량_모델'!J23</f>
        <v/>
      </c>
      <c r="M27" s="86">
        <f>IF(SUMIFS('15_태양기하'!$N$21:$N$1172,'15_태양기하'!$A$21:$A$1172,C27)=0,0,SUMIFS('15_태양기하'!$R$21:$R$1172,'15_태양기하'!$A$21:$A$1172,C27)/SUMIFS('15_태양기하'!$N$21:$N$1172,'15_태양기하'!$A$21:$A$1172,C27))</f>
        <v/>
      </c>
      <c r="N27" s="86">
        <f>L27*M27+K27*(1+COS(RADIANS('13_시나리오비교'!$B$7)))/2+F27*'11_발전량_모델'!$B$9*(1-COS(RADIANS('13_시나리오비교'!$B$7)))/2</f>
        <v/>
      </c>
      <c r="O27" s="86">
        <f>N27*D27</f>
        <v/>
      </c>
      <c r="P27" s="86">
        <f>O27*'11_발전량_모델'!$B$11*'11_발전량_모델'!$B$12*(1-'11_발전량_모델'!$B$13)*'11_발전량_모델'!$B$14</f>
        <v/>
      </c>
      <c r="Q27" s="86">
        <f>P27*'11_발전량_모델'!$B$10/1000</f>
        <v/>
      </c>
    </row>
    <row r="28">
      <c r="A28" s="86" t="n">
        <v>3</v>
      </c>
      <c r="B28" s="86">
        <f>'13_시나리오비교'!$A$7</f>
        <v/>
      </c>
      <c r="C28" s="86" t="n">
        <v>3</v>
      </c>
      <c r="D28" s="86">
        <f>'11_발전량_모델'!B24</f>
        <v/>
      </c>
      <c r="E28" s="86">
        <f>'11_발전량_모델'!C24</f>
        <v/>
      </c>
      <c r="F28" s="86">
        <f>'11_발전량_모델'!D24</f>
        <v/>
      </c>
      <c r="G28" s="86">
        <f>'11_발전량_모델'!E24</f>
        <v/>
      </c>
      <c r="H28" s="86">
        <f>'11_발전량_모델'!F24</f>
        <v/>
      </c>
      <c r="I28" s="86">
        <f>'11_발전량_모델'!G24</f>
        <v/>
      </c>
      <c r="J28" s="86">
        <f>'11_발전량_모델'!H24</f>
        <v/>
      </c>
      <c r="K28" s="86">
        <f>'11_발전량_모델'!I24</f>
        <v/>
      </c>
      <c r="L28" s="86">
        <f>'11_발전량_모델'!J24</f>
        <v/>
      </c>
      <c r="M28" s="86">
        <f>IF(SUMIFS('15_태양기하'!$N$21:$N$1172,'15_태양기하'!$A$21:$A$1172,C28)=0,0,SUMIFS('15_태양기하'!$R$21:$R$1172,'15_태양기하'!$A$21:$A$1172,C28)/SUMIFS('15_태양기하'!$N$21:$N$1172,'15_태양기하'!$A$21:$A$1172,C28))</f>
        <v/>
      </c>
      <c r="N28" s="86">
        <f>L28*M28+K28*(1+COS(RADIANS('13_시나리오비교'!$B$7)))/2+F28*'11_발전량_모델'!$B$9*(1-COS(RADIANS('13_시나리오비교'!$B$7)))/2</f>
        <v/>
      </c>
      <c r="O28" s="86">
        <f>N28*D28</f>
        <v/>
      </c>
      <c r="P28" s="86">
        <f>O28*'11_발전량_모델'!$B$11*'11_발전량_모델'!$B$12*(1-'11_발전량_모델'!$B$13)*'11_발전량_모델'!$B$14</f>
        <v/>
      </c>
      <c r="Q28" s="86">
        <f>P28*'11_발전량_모델'!$B$10/1000</f>
        <v/>
      </c>
    </row>
    <row r="29">
      <c r="A29" s="86" t="n">
        <v>3</v>
      </c>
      <c r="B29" s="86">
        <f>'13_시나리오비교'!$A$7</f>
        <v/>
      </c>
      <c r="C29" s="86" t="n">
        <v>4</v>
      </c>
      <c r="D29" s="86">
        <f>'11_발전량_모델'!B25</f>
        <v/>
      </c>
      <c r="E29" s="86">
        <f>'11_발전량_모델'!C25</f>
        <v/>
      </c>
      <c r="F29" s="86">
        <f>'11_발전량_모델'!D25</f>
        <v/>
      </c>
      <c r="G29" s="86">
        <f>'11_발전량_모델'!E25</f>
        <v/>
      </c>
      <c r="H29" s="86">
        <f>'11_발전량_모델'!F25</f>
        <v/>
      </c>
      <c r="I29" s="86">
        <f>'11_발전량_모델'!G25</f>
        <v/>
      </c>
      <c r="J29" s="86">
        <f>'11_발전량_모델'!H25</f>
        <v/>
      </c>
      <c r="K29" s="86">
        <f>'11_발전량_모델'!I25</f>
        <v/>
      </c>
      <c r="L29" s="86">
        <f>'11_발전량_모델'!J25</f>
        <v/>
      </c>
      <c r="M29" s="86">
        <f>IF(SUMIFS('15_태양기하'!$N$21:$N$1172,'15_태양기하'!$A$21:$A$1172,C29)=0,0,SUMIFS('15_태양기하'!$R$21:$R$1172,'15_태양기하'!$A$21:$A$1172,C29)/SUMIFS('15_태양기하'!$N$21:$N$1172,'15_태양기하'!$A$21:$A$1172,C29))</f>
        <v/>
      </c>
      <c r="N29" s="86">
        <f>L29*M29+K29*(1+COS(RADIANS('13_시나리오비교'!$B$7)))/2+F29*'11_발전량_모델'!$B$9*(1-COS(RADIANS('13_시나리오비교'!$B$7)))/2</f>
        <v/>
      </c>
      <c r="O29" s="86">
        <f>N29*D29</f>
        <v/>
      </c>
      <c r="P29" s="86">
        <f>O29*'11_발전량_모델'!$B$11*'11_발전량_모델'!$B$12*(1-'11_발전량_모델'!$B$13)*'11_발전량_모델'!$B$14</f>
        <v/>
      </c>
      <c r="Q29" s="86">
        <f>P29*'11_발전량_모델'!$B$10/1000</f>
        <v/>
      </c>
    </row>
    <row r="30">
      <c r="A30" s="86" t="n">
        <v>3</v>
      </c>
      <c r="B30" s="86">
        <f>'13_시나리오비교'!$A$7</f>
        <v/>
      </c>
      <c r="C30" s="86" t="n">
        <v>5</v>
      </c>
      <c r="D30" s="86">
        <f>'11_발전량_모델'!B26</f>
        <v/>
      </c>
      <c r="E30" s="86">
        <f>'11_발전량_모델'!C26</f>
        <v/>
      </c>
      <c r="F30" s="86">
        <f>'11_발전량_모델'!D26</f>
        <v/>
      </c>
      <c r="G30" s="86">
        <f>'11_발전량_모델'!E26</f>
        <v/>
      </c>
      <c r="H30" s="86">
        <f>'11_발전량_모델'!F26</f>
        <v/>
      </c>
      <c r="I30" s="86">
        <f>'11_발전량_모델'!G26</f>
        <v/>
      </c>
      <c r="J30" s="86">
        <f>'11_발전량_모델'!H26</f>
        <v/>
      </c>
      <c r="K30" s="86">
        <f>'11_발전량_모델'!I26</f>
        <v/>
      </c>
      <c r="L30" s="86">
        <f>'11_발전량_모델'!J26</f>
        <v/>
      </c>
      <c r="M30" s="86">
        <f>IF(SUMIFS('15_태양기하'!$N$21:$N$1172,'15_태양기하'!$A$21:$A$1172,C30)=0,0,SUMIFS('15_태양기하'!$R$21:$R$1172,'15_태양기하'!$A$21:$A$1172,C30)/SUMIFS('15_태양기하'!$N$21:$N$1172,'15_태양기하'!$A$21:$A$1172,C30))</f>
        <v/>
      </c>
      <c r="N30" s="86">
        <f>L30*M30+K30*(1+COS(RADIANS('13_시나리오비교'!$B$7)))/2+F30*'11_발전량_모델'!$B$9*(1-COS(RADIANS('13_시나리오비교'!$B$7)))/2</f>
        <v/>
      </c>
      <c r="O30" s="86">
        <f>N30*D30</f>
        <v/>
      </c>
      <c r="P30" s="86">
        <f>O30*'11_발전량_모델'!$B$11*'11_발전량_모델'!$B$12*(1-'11_발전량_모델'!$B$13)*'11_발전량_모델'!$B$14</f>
        <v/>
      </c>
      <c r="Q30" s="86">
        <f>P30*'11_발전량_모델'!$B$10/1000</f>
        <v/>
      </c>
    </row>
    <row r="31">
      <c r="A31" s="86" t="n">
        <v>3</v>
      </c>
      <c r="B31" s="86">
        <f>'13_시나리오비교'!$A$7</f>
        <v/>
      </c>
      <c r="C31" s="86" t="n">
        <v>6</v>
      </c>
      <c r="D31" s="86">
        <f>'11_발전량_모델'!B27</f>
        <v/>
      </c>
      <c r="E31" s="86">
        <f>'11_발전량_모델'!C27</f>
        <v/>
      </c>
      <c r="F31" s="86">
        <f>'11_발전량_모델'!D27</f>
        <v/>
      </c>
      <c r="G31" s="86">
        <f>'11_발전량_모델'!E27</f>
        <v/>
      </c>
      <c r="H31" s="86">
        <f>'11_발전량_모델'!F27</f>
        <v/>
      </c>
      <c r="I31" s="86">
        <f>'11_발전량_모델'!G27</f>
        <v/>
      </c>
      <c r="J31" s="86">
        <f>'11_발전량_모델'!H27</f>
        <v/>
      </c>
      <c r="K31" s="86">
        <f>'11_발전량_모델'!I27</f>
        <v/>
      </c>
      <c r="L31" s="86">
        <f>'11_발전량_모델'!J27</f>
        <v/>
      </c>
      <c r="M31" s="86">
        <f>IF(SUMIFS('15_태양기하'!$N$21:$N$1172,'15_태양기하'!$A$21:$A$1172,C31)=0,0,SUMIFS('15_태양기하'!$R$21:$R$1172,'15_태양기하'!$A$21:$A$1172,C31)/SUMIFS('15_태양기하'!$N$21:$N$1172,'15_태양기하'!$A$21:$A$1172,C31))</f>
        <v/>
      </c>
      <c r="N31" s="86">
        <f>L31*M31+K31*(1+COS(RADIANS('13_시나리오비교'!$B$7)))/2+F31*'11_발전량_모델'!$B$9*(1-COS(RADIANS('13_시나리오비교'!$B$7)))/2</f>
        <v/>
      </c>
      <c r="O31" s="86">
        <f>N31*D31</f>
        <v/>
      </c>
      <c r="P31" s="86">
        <f>O31*'11_발전량_모델'!$B$11*'11_발전량_모델'!$B$12*(1-'11_발전량_모델'!$B$13)*'11_발전량_모델'!$B$14</f>
        <v/>
      </c>
      <c r="Q31" s="86">
        <f>P31*'11_발전량_모델'!$B$10/1000</f>
        <v/>
      </c>
    </row>
    <row r="32">
      <c r="A32" s="86" t="n">
        <v>3</v>
      </c>
      <c r="B32" s="86">
        <f>'13_시나리오비교'!$A$7</f>
        <v/>
      </c>
      <c r="C32" s="86" t="n">
        <v>7</v>
      </c>
      <c r="D32" s="86">
        <f>'11_발전량_모델'!B28</f>
        <v/>
      </c>
      <c r="E32" s="86">
        <f>'11_발전량_모델'!C28</f>
        <v/>
      </c>
      <c r="F32" s="86">
        <f>'11_발전량_모델'!D28</f>
        <v/>
      </c>
      <c r="G32" s="86">
        <f>'11_발전량_모델'!E28</f>
        <v/>
      </c>
      <c r="H32" s="86">
        <f>'11_발전량_모델'!F28</f>
        <v/>
      </c>
      <c r="I32" s="86">
        <f>'11_발전량_모델'!G28</f>
        <v/>
      </c>
      <c r="J32" s="86">
        <f>'11_발전량_모델'!H28</f>
        <v/>
      </c>
      <c r="K32" s="86">
        <f>'11_발전량_모델'!I28</f>
        <v/>
      </c>
      <c r="L32" s="86">
        <f>'11_발전량_모델'!J28</f>
        <v/>
      </c>
      <c r="M32" s="86">
        <f>IF(SUMIFS('15_태양기하'!$N$21:$N$1172,'15_태양기하'!$A$21:$A$1172,C32)=0,0,SUMIFS('15_태양기하'!$R$21:$R$1172,'15_태양기하'!$A$21:$A$1172,C32)/SUMIFS('15_태양기하'!$N$21:$N$1172,'15_태양기하'!$A$21:$A$1172,C32))</f>
        <v/>
      </c>
      <c r="N32" s="86">
        <f>L32*M32+K32*(1+COS(RADIANS('13_시나리오비교'!$B$7)))/2+F32*'11_발전량_모델'!$B$9*(1-COS(RADIANS('13_시나리오비교'!$B$7)))/2</f>
        <v/>
      </c>
      <c r="O32" s="86">
        <f>N32*D32</f>
        <v/>
      </c>
      <c r="P32" s="86">
        <f>O32*'11_발전량_모델'!$B$11*'11_발전량_모델'!$B$12*(1-'11_발전량_모델'!$B$13)*'11_발전량_모델'!$B$14</f>
        <v/>
      </c>
      <c r="Q32" s="86">
        <f>P32*'11_발전량_모델'!$B$10/1000</f>
        <v/>
      </c>
    </row>
    <row r="33">
      <c r="A33" s="86" t="n">
        <v>3</v>
      </c>
      <c r="B33" s="86">
        <f>'13_시나리오비교'!$A$7</f>
        <v/>
      </c>
      <c r="C33" s="86" t="n">
        <v>8</v>
      </c>
      <c r="D33" s="86">
        <f>'11_발전량_모델'!B29</f>
        <v/>
      </c>
      <c r="E33" s="86">
        <f>'11_발전량_모델'!C29</f>
        <v/>
      </c>
      <c r="F33" s="86">
        <f>'11_발전량_모델'!D29</f>
        <v/>
      </c>
      <c r="G33" s="86">
        <f>'11_발전량_모델'!E29</f>
        <v/>
      </c>
      <c r="H33" s="86">
        <f>'11_발전량_모델'!F29</f>
        <v/>
      </c>
      <c r="I33" s="86">
        <f>'11_발전량_모델'!G29</f>
        <v/>
      </c>
      <c r="J33" s="86">
        <f>'11_발전량_모델'!H29</f>
        <v/>
      </c>
      <c r="K33" s="86">
        <f>'11_발전량_모델'!I29</f>
        <v/>
      </c>
      <c r="L33" s="86">
        <f>'11_발전량_모델'!J29</f>
        <v/>
      </c>
      <c r="M33" s="86">
        <f>IF(SUMIFS('15_태양기하'!$N$21:$N$1172,'15_태양기하'!$A$21:$A$1172,C33)=0,0,SUMIFS('15_태양기하'!$R$21:$R$1172,'15_태양기하'!$A$21:$A$1172,C33)/SUMIFS('15_태양기하'!$N$21:$N$1172,'15_태양기하'!$A$21:$A$1172,C33))</f>
        <v/>
      </c>
      <c r="N33" s="86">
        <f>L33*M33+K33*(1+COS(RADIANS('13_시나리오비교'!$B$7)))/2+F33*'11_발전량_모델'!$B$9*(1-COS(RADIANS('13_시나리오비교'!$B$7)))/2</f>
        <v/>
      </c>
      <c r="O33" s="86">
        <f>N33*D33</f>
        <v/>
      </c>
      <c r="P33" s="86">
        <f>O33*'11_발전량_모델'!$B$11*'11_발전량_모델'!$B$12*(1-'11_발전량_모델'!$B$13)*'11_발전량_모델'!$B$14</f>
        <v/>
      </c>
      <c r="Q33" s="86">
        <f>P33*'11_발전량_모델'!$B$10/1000</f>
        <v/>
      </c>
    </row>
    <row r="34">
      <c r="A34" s="86" t="n">
        <v>3</v>
      </c>
      <c r="B34" s="86">
        <f>'13_시나리오비교'!$A$7</f>
        <v/>
      </c>
      <c r="C34" s="86" t="n">
        <v>9</v>
      </c>
      <c r="D34" s="86">
        <f>'11_발전량_모델'!B30</f>
        <v/>
      </c>
      <c r="E34" s="86">
        <f>'11_발전량_모델'!C30</f>
        <v/>
      </c>
      <c r="F34" s="86">
        <f>'11_발전량_모델'!D30</f>
        <v/>
      </c>
      <c r="G34" s="86">
        <f>'11_발전량_모델'!E30</f>
        <v/>
      </c>
      <c r="H34" s="86">
        <f>'11_발전량_모델'!F30</f>
        <v/>
      </c>
      <c r="I34" s="86">
        <f>'11_발전량_모델'!G30</f>
        <v/>
      </c>
      <c r="J34" s="86">
        <f>'11_발전량_모델'!H30</f>
        <v/>
      </c>
      <c r="K34" s="86">
        <f>'11_발전량_모델'!I30</f>
        <v/>
      </c>
      <c r="L34" s="86">
        <f>'11_발전량_모델'!J30</f>
        <v/>
      </c>
      <c r="M34" s="86">
        <f>IF(SUMIFS('15_태양기하'!$N$21:$N$1172,'15_태양기하'!$A$21:$A$1172,C34)=0,0,SUMIFS('15_태양기하'!$R$21:$R$1172,'15_태양기하'!$A$21:$A$1172,C34)/SUMIFS('15_태양기하'!$N$21:$N$1172,'15_태양기하'!$A$21:$A$1172,C34))</f>
        <v/>
      </c>
      <c r="N34" s="86">
        <f>L34*M34+K34*(1+COS(RADIANS('13_시나리오비교'!$B$7)))/2+F34*'11_발전량_모델'!$B$9*(1-COS(RADIANS('13_시나리오비교'!$B$7)))/2</f>
        <v/>
      </c>
      <c r="O34" s="86">
        <f>N34*D34</f>
        <v/>
      </c>
      <c r="P34" s="86">
        <f>O34*'11_발전량_모델'!$B$11*'11_발전량_모델'!$B$12*(1-'11_발전량_모델'!$B$13)*'11_발전량_모델'!$B$14</f>
        <v/>
      </c>
      <c r="Q34" s="86">
        <f>P34*'11_발전량_모델'!$B$10/1000</f>
        <v/>
      </c>
    </row>
    <row r="35">
      <c r="A35" s="86" t="n">
        <v>3</v>
      </c>
      <c r="B35" s="86">
        <f>'13_시나리오비교'!$A$7</f>
        <v/>
      </c>
      <c r="C35" s="86" t="n">
        <v>10</v>
      </c>
      <c r="D35" s="86">
        <f>'11_발전량_모델'!B31</f>
        <v/>
      </c>
      <c r="E35" s="86">
        <f>'11_발전량_모델'!C31</f>
        <v/>
      </c>
      <c r="F35" s="86">
        <f>'11_발전량_모델'!D31</f>
        <v/>
      </c>
      <c r="G35" s="86">
        <f>'11_발전량_모델'!E31</f>
        <v/>
      </c>
      <c r="H35" s="86">
        <f>'11_발전량_모델'!F31</f>
        <v/>
      </c>
      <c r="I35" s="86">
        <f>'11_발전량_모델'!G31</f>
        <v/>
      </c>
      <c r="J35" s="86">
        <f>'11_발전량_모델'!H31</f>
        <v/>
      </c>
      <c r="K35" s="86">
        <f>'11_발전량_모델'!I31</f>
        <v/>
      </c>
      <c r="L35" s="86">
        <f>'11_발전량_모델'!J31</f>
        <v/>
      </c>
      <c r="M35" s="86">
        <f>IF(SUMIFS('15_태양기하'!$N$21:$N$1172,'15_태양기하'!$A$21:$A$1172,C35)=0,0,SUMIFS('15_태양기하'!$R$21:$R$1172,'15_태양기하'!$A$21:$A$1172,C35)/SUMIFS('15_태양기하'!$N$21:$N$1172,'15_태양기하'!$A$21:$A$1172,C35))</f>
        <v/>
      </c>
      <c r="N35" s="86">
        <f>L35*M35+K35*(1+COS(RADIANS('13_시나리오비교'!$B$7)))/2+F35*'11_발전량_모델'!$B$9*(1-COS(RADIANS('13_시나리오비교'!$B$7)))/2</f>
        <v/>
      </c>
      <c r="O35" s="86">
        <f>N35*D35</f>
        <v/>
      </c>
      <c r="P35" s="86">
        <f>O35*'11_발전량_모델'!$B$11*'11_발전량_모델'!$B$12*(1-'11_발전량_모델'!$B$13)*'11_발전량_모델'!$B$14</f>
        <v/>
      </c>
      <c r="Q35" s="86">
        <f>P35*'11_발전량_모델'!$B$10/1000</f>
        <v/>
      </c>
    </row>
    <row r="36">
      <c r="A36" s="86" t="n">
        <v>3</v>
      </c>
      <c r="B36" s="86">
        <f>'13_시나리오비교'!$A$7</f>
        <v/>
      </c>
      <c r="C36" s="86" t="n">
        <v>11</v>
      </c>
      <c r="D36" s="86">
        <f>'11_발전량_모델'!B32</f>
        <v/>
      </c>
      <c r="E36" s="86">
        <f>'11_발전량_모델'!C32</f>
        <v/>
      </c>
      <c r="F36" s="86">
        <f>'11_발전량_모델'!D32</f>
        <v/>
      </c>
      <c r="G36" s="86">
        <f>'11_발전량_모델'!E32</f>
        <v/>
      </c>
      <c r="H36" s="86">
        <f>'11_발전량_모델'!F32</f>
        <v/>
      </c>
      <c r="I36" s="86">
        <f>'11_발전량_모델'!G32</f>
        <v/>
      </c>
      <c r="J36" s="86">
        <f>'11_발전량_모델'!H32</f>
        <v/>
      </c>
      <c r="K36" s="86">
        <f>'11_발전량_모델'!I32</f>
        <v/>
      </c>
      <c r="L36" s="86">
        <f>'11_발전량_모델'!J32</f>
        <v/>
      </c>
      <c r="M36" s="86">
        <f>IF(SUMIFS('15_태양기하'!$N$21:$N$1172,'15_태양기하'!$A$21:$A$1172,C36)=0,0,SUMIFS('15_태양기하'!$R$21:$R$1172,'15_태양기하'!$A$21:$A$1172,C36)/SUMIFS('15_태양기하'!$N$21:$N$1172,'15_태양기하'!$A$21:$A$1172,C36))</f>
        <v/>
      </c>
      <c r="N36" s="86">
        <f>L36*M36+K36*(1+COS(RADIANS('13_시나리오비교'!$B$7)))/2+F36*'11_발전량_모델'!$B$9*(1-COS(RADIANS('13_시나리오비교'!$B$7)))/2</f>
        <v/>
      </c>
      <c r="O36" s="86">
        <f>N36*D36</f>
        <v/>
      </c>
      <c r="P36" s="86">
        <f>O36*'11_발전량_모델'!$B$11*'11_발전량_모델'!$B$12*(1-'11_발전량_모델'!$B$13)*'11_발전량_모델'!$B$14</f>
        <v/>
      </c>
      <c r="Q36" s="86">
        <f>P36*'11_발전량_모델'!$B$10/1000</f>
        <v/>
      </c>
    </row>
    <row r="37">
      <c r="A37" s="86" t="n">
        <v>3</v>
      </c>
      <c r="B37" s="86">
        <f>'13_시나리오비교'!$A$7</f>
        <v/>
      </c>
      <c r="C37" s="86" t="n">
        <v>12</v>
      </c>
      <c r="D37" s="86">
        <f>'11_발전량_모델'!B33</f>
        <v/>
      </c>
      <c r="E37" s="86">
        <f>'11_발전량_모델'!C33</f>
        <v/>
      </c>
      <c r="F37" s="86">
        <f>'11_발전량_모델'!D33</f>
        <v/>
      </c>
      <c r="G37" s="86">
        <f>'11_발전량_모델'!E33</f>
        <v/>
      </c>
      <c r="H37" s="86">
        <f>'11_발전량_모델'!F33</f>
        <v/>
      </c>
      <c r="I37" s="86">
        <f>'11_발전량_모델'!G33</f>
        <v/>
      </c>
      <c r="J37" s="86">
        <f>'11_발전량_모델'!H33</f>
        <v/>
      </c>
      <c r="K37" s="86">
        <f>'11_발전량_모델'!I33</f>
        <v/>
      </c>
      <c r="L37" s="86">
        <f>'11_발전량_모델'!J33</f>
        <v/>
      </c>
      <c r="M37" s="86">
        <f>IF(SUMIFS('15_태양기하'!$N$21:$N$1172,'15_태양기하'!$A$21:$A$1172,C37)=0,0,SUMIFS('15_태양기하'!$R$21:$R$1172,'15_태양기하'!$A$21:$A$1172,C37)/SUMIFS('15_태양기하'!$N$21:$N$1172,'15_태양기하'!$A$21:$A$1172,C37))</f>
        <v/>
      </c>
      <c r="N37" s="86">
        <f>L37*M37+K37*(1+COS(RADIANS('13_시나리오비교'!$B$7)))/2+F37*'11_발전량_모델'!$B$9*(1-COS(RADIANS('13_시나리오비교'!$B$7)))/2</f>
        <v/>
      </c>
      <c r="O37" s="86">
        <f>N37*D37</f>
        <v/>
      </c>
      <c r="P37" s="86">
        <f>O37*'11_발전량_모델'!$B$11*'11_발전량_모델'!$B$12*(1-'11_발전량_모델'!$B$13)*'11_발전량_모델'!$B$14</f>
        <v/>
      </c>
      <c r="Q37" s="86">
        <f>P37*'11_발전량_모델'!$B$10/1000</f>
        <v/>
      </c>
    </row>
    <row r="38">
      <c r="A38" s="86" t="n">
        <v>4</v>
      </c>
      <c r="B38" s="86">
        <f>'13_시나리오비교'!$A$8</f>
        <v/>
      </c>
      <c r="C38" s="86" t="n">
        <v>1</v>
      </c>
      <c r="D38" s="86">
        <f>'11_발전량_모델'!B22</f>
        <v/>
      </c>
      <c r="E38" s="86">
        <f>'11_발전량_모델'!C22</f>
        <v/>
      </c>
      <c r="F38" s="86">
        <f>'11_발전량_모델'!D22</f>
        <v/>
      </c>
      <c r="G38" s="86">
        <f>'11_발전량_모델'!E22</f>
        <v/>
      </c>
      <c r="H38" s="86">
        <f>'11_발전량_모델'!F22</f>
        <v/>
      </c>
      <c r="I38" s="86">
        <f>'11_발전량_모델'!G22</f>
        <v/>
      </c>
      <c r="J38" s="86">
        <f>'11_발전량_모델'!H22</f>
        <v/>
      </c>
      <c r="K38" s="86">
        <f>'11_발전량_모델'!I22</f>
        <v/>
      </c>
      <c r="L38" s="86">
        <f>'11_발전량_모델'!J22</f>
        <v/>
      </c>
      <c r="M38" s="86">
        <f>IF(SUMIFS('15_태양기하'!$N$21:$N$1172,'15_태양기하'!$A$21:$A$1172,C38)=0,0,SUMIFS('15_태양기하'!$S$21:$S$1172,'15_태양기하'!$A$21:$A$1172,C38)/SUMIFS('15_태양기하'!$N$21:$N$1172,'15_태양기하'!$A$21:$A$1172,C38))</f>
        <v/>
      </c>
      <c r="N38" s="86">
        <f>L38*M38+K38*(1+COS(RADIANS('13_시나리오비교'!$B$8)))/2+F38*'11_발전량_모델'!$B$9*(1-COS(RADIANS('13_시나리오비교'!$B$8)))/2</f>
        <v/>
      </c>
      <c r="O38" s="86">
        <f>N38*D38</f>
        <v/>
      </c>
      <c r="P38" s="86">
        <f>O38*'11_발전량_모델'!$B$11*'11_발전량_모델'!$B$12*(1-'11_발전량_모델'!$B$13)*'11_발전량_모델'!$B$14</f>
        <v/>
      </c>
      <c r="Q38" s="86">
        <f>P38*'11_발전량_모델'!$B$10/1000</f>
        <v/>
      </c>
    </row>
    <row r="39">
      <c r="A39" s="86" t="n">
        <v>4</v>
      </c>
      <c r="B39" s="86">
        <f>'13_시나리오비교'!$A$8</f>
        <v/>
      </c>
      <c r="C39" s="86" t="n">
        <v>2</v>
      </c>
      <c r="D39" s="86">
        <f>'11_발전량_모델'!B23</f>
        <v/>
      </c>
      <c r="E39" s="86">
        <f>'11_발전량_모델'!C23</f>
        <v/>
      </c>
      <c r="F39" s="86">
        <f>'11_발전량_모델'!D23</f>
        <v/>
      </c>
      <c r="G39" s="86">
        <f>'11_발전량_모델'!E23</f>
        <v/>
      </c>
      <c r="H39" s="86">
        <f>'11_발전량_모델'!F23</f>
        <v/>
      </c>
      <c r="I39" s="86">
        <f>'11_발전량_모델'!G23</f>
        <v/>
      </c>
      <c r="J39" s="86">
        <f>'11_발전량_모델'!H23</f>
        <v/>
      </c>
      <c r="K39" s="86">
        <f>'11_발전량_모델'!I23</f>
        <v/>
      </c>
      <c r="L39" s="86">
        <f>'11_발전량_모델'!J23</f>
        <v/>
      </c>
      <c r="M39" s="86">
        <f>IF(SUMIFS('15_태양기하'!$N$21:$N$1172,'15_태양기하'!$A$21:$A$1172,C39)=0,0,SUMIFS('15_태양기하'!$S$21:$S$1172,'15_태양기하'!$A$21:$A$1172,C39)/SUMIFS('15_태양기하'!$N$21:$N$1172,'15_태양기하'!$A$21:$A$1172,C39))</f>
        <v/>
      </c>
      <c r="N39" s="86">
        <f>L39*M39+K39*(1+COS(RADIANS('13_시나리오비교'!$B$8)))/2+F39*'11_발전량_모델'!$B$9*(1-COS(RADIANS('13_시나리오비교'!$B$8)))/2</f>
        <v/>
      </c>
      <c r="O39" s="86">
        <f>N39*D39</f>
        <v/>
      </c>
      <c r="P39" s="86">
        <f>O39*'11_발전량_모델'!$B$11*'11_발전량_모델'!$B$12*(1-'11_발전량_모델'!$B$13)*'11_발전량_모델'!$B$14</f>
        <v/>
      </c>
      <c r="Q39" s="86">
        <f>P39*'11_발전량_모델'!$B$10/1000</f>
        <v/>
      </c>
    </row>
    <row r="40">
      <c r="A40" s="86" t="n">
        <v>4</v>
      </c>
      <c r="B40" s="86">
        <f>'13_시나리오비교'!$A$8</f>
        <v/>
      </c>
      <c r="C40" s="86" t="n">
        <v>3</v>
      </c>
      <c r="D40" s="86">
        <f>'11_발전량_모델'!B24</f>
        <v/>
      </c>
      <c r="E40" s="86">
        <f>'11_발전량_모델'!C24</f>
        <v/>
      </c>
      <c r="F40" s="86">
        <f>'11_발전량_모델'!D24</f>
        <v/>
      </c>
      <c r="G40" s="86">
        <f>'11_발전량_모델'!E24</f>
        <v/>
      </c>
      <c r="H40" s="86">
        <f>'11_발전량_모델'!F24</f>
        <v/>
      </c>
      <c r="I40" s="86">
        <f>'11_발전량_모델'!G24</f>
        <v/>
      </c>
      <c r="J40" s="86">
        <f>'11_발전량_모델'!H24</f>
        <v/>
      </c>
      <c r="K40" s="86">
        <f>'11_발전량_모델'!I24</f>
        <v/>
      </c>
      <c r="L40" s="86">
        <f>'11_발전량_모델'!J24</f>
        <v/>
      </c>
      <c r="M40" s="86">
        <f>IF(SUMIFS('15_태양기하'!$N$21:$N$1172,'15_태양기하'!$A$21:$A$1172,C40)=0,0,SUMIFS('15_태양기하'!$S$21:$S$1172,'15_태양기하'!$A$21:$A$1172,C40)/SUMIFS('15_태양기하'!$N$21:$N$1172,'15_태양기하'!$A$21:$A$1172,C40))</f>
        <v/>
      </c>
      <c r="N40" s="86">
        <f>L40*M40+K40*(1+COS(RADIANS('13_시나리오비교'!$B$8)))/2+F40*'11_발전량_모델'!$B$9*(1-COS(RADIANS('13_시나리오비교'!$B$8)))/2</f>
        <v/>
      </c>
      <c r="O40" s="86">
        <f>N40*D40</f>
        <v/>
      </c>
      <c r="P40" s="86">
        <f>O40*'11_발전량_모델'!$B$11*'11_발전량_모델'!$B$12*(1-'11_발전량_모델'!$B$13)*'11_발전량_모델'!$B$14</f>
        <v/>
      </c>
      <c r="Q40" s="86">
        <f>P40*'11_발전량_모델'!$B$10/1000</f>
        <v/>
      </c>
    </row>
    <row r="41">
      <c r="A41" s="86" t="n">
        <v>4</v>
      </c>
      <c r="B41" s="86">
        <f>'13_시나리오비교'!$A$8</f>
        <v/>
      </c>
      <c r="C41" s="86" t="n">
        <v>4</v>
      </c>
      <c r="D41" s="86">
        <f>'11_발전량_모델'!B25</f>
        <v/>
      </c>
      <c r="E41" s="86">
        <f>'11_발전량_모델'!C25</f>
        <v/>
      </c>
      <c r="F41" s="86">
        <f>'11_발전량_모델'!D25</f>
        <v/>
      </c>
      <c r="G41" s="86">
        <f>'11_발전량_모델'!E25</f>
        <v/>
      </c>
      <c r="H41" s="86">
        <f>'11_발전량_모델'!F25</f>
        <v/>
      </c>
      <c r="I41" s="86">
        <f>'11_발전량_모델'!G25</f>
        <v/>
      </c>
      <c r="J41" s="86">
        <f>'11_발전량_모델'!H25</f>
        <v/>
      </c>
      <c r="K41" s="86">
        <f>'11_발전량_모델'!I25</f>
        <v/>
      </c>
      <c r="L41" s="86">
        <f>'11_발전량_모델'!J25</f>
        <v/>
      </c>
      <c r="M41" s="86">
        <f>IF(SUMIFS('15_태양기하'!$N$21:$N$1172,'15_태양기하'!$A$21:$A$1172,C41)=0,0,SUMIFS('15_태양기하'!$S$21:$S$1172,'15_태양기하'!$A$21:$A$1172,C41)/SUMIFS('15_태양기하'!$N$21:$N$1172,'15_태양기하'!$A$21:$A$1172,C41))</f>
        <v/>
      </c>
      <c r="N41" s="86">
        <f>L41*M41+K41*(1+COS(RADIANS('13_시나리오비교'!$B$8)))/2+F41*'11_발전량_모델'!$B$9*(1-COS(RADIANS('13_시나리오비교'!$B$8)))/2</f>
        <v/>
      </c>
      <c r="O41" s="86">
        <f>N41*D41</f>
        <v/>
      </c>
      <c r="P41" s="86">
        <f>O41*'11_발전량_모델'!$B$11*'11_발전량_모델'!$B$12*(1-'11_발전량_모델'!$B$13)*'11_발전량_모델'!$B$14</f>
        <v/>
      </c>
      <c r="Q41" s="86">
        <f>P41*'11_발전량_모델'!$B$10/1000</f>
        <v/>
      </c>
    </row>
    <row r="42">
      <c r="A42" s="86" t="n">
        <v>4</v>
      </c>
      <c r="B42" s="86">
        <f>'13_시나리오비교'!$A$8</f>
        <v/>
      </c>
      <c r="C42" s="86" t="n">
        <v>5</v>
      </c>
      <c r="D42" s="86">
        <f>'11_발전량_모델'!B26</f>
        <v/>
      </c>
      <c r="E42" s="86">
        <f>'11_발전량_모델'!C26</f>
        <v/>
      </c>
      <c r="F42" s="86">
        <f>'11_발전량_모델'!D26</f>
        <v/>
      </c>
      <c r="G42" s="86">
        <f>'11_발전량_모델'!E26</f>
        <v/>
      </c>
      <c r="H42" s="86">
        <f>'11_발전량_모델'!F26</f>
        <v/>
      </c>
      <c r="I42" s="86">
        <f>'11_발전량_모델'!G26</f>
        <v/>
      </c>
      <c r="J42" s="86">
        <f>'11_발전량_모델'!H26</f>
        <v/>
      </c>
      <c r="K42" s="86">
        <f>'11_발전량_모델'!I26</f>
        <v/>
      </c>
      <c r="L42" s="86">
        <f>'11_발전량_모델'!J26</f>
        <v/>
      </c>
      <c r="M42" s="86">
        <f>IF(SUMIFS('15_태양기하'!$N$21:$N$1172,'15_태양기하'!$A$21:$A$1172,C42)=0,0,SUMIFS('15_태양기하'!$S$21:$S$1172,'15_태양기하'!$A$21:$A$1172,C42)/SUMIFS('15_태양기하'!$N$21:$N$1172,'15_태양기하'!$A$21:$A$1172,C42))</f>
        <v/>
      </c>
      <c r="N42" s="86">
        <f>L42*M42+K42*(1+COS(RADIANS('13_시나리오비교'!$B$8)))/2+F42*'11_발전량_모델'!$B$9*(1-COS(RADIANS('13_시나리오비교'!$B$8)))/2</f>
        <v/>
      </c>
      <c r="O42" s="86">
        <f>N42*D42</f>
        <v/>
      </c>
      <c r="P42" s="86">
        <f>O42*'11_발전량_모델'!$B$11*'11_발전량_모델'!$B$12*(1-'11_발전량_모델'!$B$13)*'11_발전량_모델'!$B$14</f>
        <v/>
      </c>
      <c r="Q42" s="86">
        <f>P42*'11_발전량_모델'!$B$10/1000</f>
        <v/>
      </c>
    </row>
    <row r="43">
      <c r="A43" s="86" t="n">
        <v>4</v>
      </c>
      <c r="B43" s="86">
        <f>'13_시나리오비교'!$A$8</f>
        <v/>
      </c>
      <c r="C43" s="86" t="n">
        <v>6</v>
      </c>
      <c r="D43" s="86">
        <f>'11_발전량_모델'!B27</f>
        <v/>
      </c>
      <c r="E43" s="86">
        <f>'11_발전량_모델'!C27</f>
        <v/>
      </c>
      <c r="F43" s="86">
        <f>'11_발전량_모델'!D27</f>
        <v/>
      </c>
      <c r="G43" s="86">
        <f>'11_발전량_모델'!E27</f>
        <v/>
      </c>
      <c r="H43" s="86">
        <f>'11_발전량_모델'!F27</f>
        <v/>
      </c>
      <c r="I43" s="86">
        <f>'11_발전량_모델'!G27</f>
        <v/>
      </c>
      <c r="J43" s="86">
        <f>'11_발전량_모델'!H27</f>
        <v/>
      </c>
      <c r="K43" s="86">
        <f>'11_발전량_모델'!I27</f>
        <v/>
      </c>
      <c r="L43" s="86">
        <f>'11_발전량_모델'!J27</f>
        <v/>
      </c>
      <c r="M43" s="86">
        <f>IF(SUMIFS('15_태양기하'!$N$21:$N$1172,'15_태양기하'!$A$21:$A$1172,C43)=0,0,SUMIFS('15_태양기하'!$S$21:$S$1172,'15_태양기하'!$A$21:$A$1172,C43)/SUMIFS('15_태양기하'!$N$21:$N$1172,'15_태양기하'!$A$21:$A$1172,C43))</f>
        <v/>
      </c>
      <c r="N43" s="86">
        <f>L43*M43+K43*(1+COS(RADIANS('13_시나리오비교'!$B$8)))/2+F43*'11_발전량_모델'!$B$9*(1-COS(RADIANS('13_시나리오비교'!$B$8)))/2</f>
        <v/>
      </c>
      <c r="O43" s="86">
        <f>N43*D43</f>
        <v/>
      </c>
      <c r="P43" s="86">
        <f>O43*'11_발전량_모델'!$B$11*'11_발전량_모델'!$B$12*(1-'11_발전량_모델'!$B$13)*'11_발전량_모델'!$B$14</f>
        <v/>
      </c>
      <c r="Q43" s="86">
        <f>P43*'11_발전량_모델'!$B$10/1000</f>
        <v/>
      </c>
    </row>
    <row r="44">
      <c r="A44" s="86" t="n">
        <v>4</v>
      </c>
      <c r="B44" s="86">
        <f>'13_시나리오비교'!$A$8</f>
        <v/>
      </c>
      <c r="C44" s="86" t="n">
        <v>7</v>
      </c>
      <c r="D44" s="86">
        <f>'11_발전량_모델'!B28</f>
        <v/>
      </c>
      <c r="E44" s="86">
        <f>'11_발전량_모델'!C28</f>
        <v/>
      </c>
      <c r="F44" s="86">
        <f>'11_발전량_모델'!D28</f>
        <v/>
      </c>
      <c r="G44" s="86">
        <f>'11_발전량_모델'!E28</f>
        <v/>
      </c>
      <c r="H44" s="86">
        <f>'11_발전량_모델'!F28</f>
        <v/>
      </c>
      <c r="I44" s="86">
        <f>'11_발전량_모델'!G28</f>
        <v/>
      </c>
      <c r="J44" s="86">
        <f>'11_발전량_모델'!H28</f>
        <v/>
      </c>
      <c r="K44" s="86">
        <f>'11_발전량_모델'!I28</f>
        <v/>
      </c>
      <c r="L44" s="86">
        <f>'11_발전량_모델'!J28</f>
        <v/>
      </c>
      <c r="M44" s="86">
        <f>IF(SUMIFS('15_태양기하'!$N$21:$N$1172,'15_태양기하'!$A$21:$A$1172,C44)=0,0,SUMIFS('15_태양기하'!$S$21:$S$1172,'15_태양기하'!$A$21:$A$1172,C44)/SUMIFS('15_태양기하'!$N$21:$N$1172,'15_태양기하'!$A$21:$A$1172,C44))</f>
        <v/>
      </c>
      <c r="N44" s="86">
        <f>L44*M44+K44*(1+COS(RADIANS('13_시나리오비교'!$B$8)))/2+F44*'11_발전량_모델'!$B$9*(1-COS(RADIANS('13_시나리오비교'!$B$8)))/2</f>
        <v/>
      </c>
      <c r="O44" s="86">
        <f>N44*D44</f>
        <v/>
      </c>
      <c r="P44" s="86">
        <f>O44*'11_발전량_모델'!$B$11*'11_발전량_모델'!$B$12*(1-'11_발전량_모델'!$B$13)*'11_발전량_모델'!$B$14</f>
        <v/>
      </c>
      <c r="Q44" s="86">
        <f>P44*'11_발전량_모델'!$B$10/1000</f>
        <v/>
      </c>
    </row>
    <row r="45">
      <c r="A45" s="86" t="n">
        <v>4</v>
      </c>
      <c r="B45" s="86">
        <f>'13_시나리오비교'!$A$8</f>
        <v/>
      </c>
      <c r="C45" s="86" t="n">
        <v>8</v>
      </c>
      <c r="D45" s="86">
        <f>'11_발전량_모델'!B29</f>
        <v/>
      </c>
      <c r="E45" s="86">
        <f>'11_발전량_모델'!C29</f>
        <v/>
      </c>
      <c r="F45" s="86">
        <f>'11_발전량_모델'!D29</f>
        <v/>
      </c>
      <c r="G45" s="86">
        <f>'11_발전량_모델'!E29</f>
        <v/>
      </c>
      <c r="H45" s="86">
        <f>'11_발전량_모델'!F29</f>
        <v/>
      </c>
      <c r="I45" s="86">
        <f>'11_발전량_모델'!G29</f>
        <v/>
      </c>
      <c r="J45" s="86">
        <f>'11_발전량_모델'!H29</f>
        <v/>
      </c>
      <c r="K45" s="86">
        <f>'11_발전량_모델'!I29</f>
        <v/>
      </c>
      <c r="L45" s="86">
        <f>'11_발전량_모델'!J29</f>
        <v/>
      </c>
      <c r="M45" s="86">
        <f>IF(SUMIFS('15_태양기하'!$N$21:$N$1172,'15_태양기하'!$A$21:$A$1172,C45)=0,0,SUMIFS('15_태양기하'!$S$21:$S$1172,'15_태양기하'!$A$21:$A$1172,C45)/SUMIFS('15_태양기하'!$N$21:$N$1172,'15_태양기하'!$A$21:$A$1172,C45))</f>
        <v/>
      </c>
      <c r="N45" s="86">
        <f>L45*M45+K45*(1+COS(RADIANS('13_시나리오비교'!$B$8)))/2+F45*'11_발전량_모델'!$B$9*(1-COS(RADIANS('13_시나리오비교'!$B$8)))/2</f>
        <v/>
      </c>
      <c r="O45" s="86">
        <f>N45*D45</f>
        <v/>
      </c>
      <c r="P45" s="86">
        <f>O45*'11_발전량_모델'!$B$11*'11_발전량_모델'!$B$12*(1-'11_발전량_모델'!$B$13)*'11_발전량_모델'!$B$14</f>
        <v/>
      </c>
      <c r="Q45" s="86">
        <f>P45*'11_발전량_모델'!$B$10/1000</f>
        <v/>
      </c>
    </row>
    <row r="46">
      <c r="A46" s="86" t="n">
        <v>4</v>
      </c>
      <c r="B46" s="86">
        <f>'13_시나리오비교'!$A$8</f>
        <v/>
      </c>
      <c r="C46" s="86" t="n">
        <v>9</v>
      </c>
      <c r="D46" s="86">
        <f>'11_발전량_모델'!B30</f>
        <v/>
      </c>
      <c r="E46" s="86">
        <f>'11_발전량_모델'!C30</f>
        <v/>
      </c>
      <c r="F46" s="86">
        <f>'11_발전량_모델'!D30</f>
        <v/>
      </c>
      <c r="G46" s="86">
        <f>'11_발전량_모델'!E30</f>
        <v/>
      </c>
      <c r="H46" s="86">
        <f>'11_발전량_모델'!F30</f>
        <v/>
      </c>
      <c r="I46" s="86">
        <f>'11_발전량_모델'!G30</f>
        <v/>
      </c>
      <c r="J46" s="86">
        <f>'11_발전량_모델'!H30</f>
        <v/>
      </c>
      <c r="K46" s="86">
        <f>'11_발전량_모델'!I30</f>
        <v/>
      </c>
      <c r="L46" s="86">
        <f>'11_발전량_모델'!J30</f>
        <v/>
      </c>
      <c r="M46" s="86">
        <f>IF(SUMIFS('15_태양기하'!$N$21:$N$1172,'15_태양기하'!$A$21:$A$1172,C46)=0,0,SUMIFS('15_태양기하'!$S$21:$S$1172,'15_태양기하'!$A$21:$A$1172,C46)/SUMIFS('15_태양기하'!$N$21:$N$1172,'15_태양기하'!$A$21:$A$1172,C46))</f>
        <v/>
      </c>
      <c r="N46" s="86">
        <f>L46*M46+K46*(1+COS(RADIANS('13_시나리오비교'!$B$8)))/2+F46*'11_발전량_모델'!$B$9*(1-COS(RADIANS('13_시나리오비교'!$B$8)))/2</f>
        <v/>
      </c>
      <c r="O46" s="86">
        <f>N46*D46</f>
        <v/>
      </c>
      <c r="P46" s="86">
        <f>O46*'11_발전량_모델'!$B$11*'11_발전량_모델'!$B$12*(1-'11_발전량_모델'!$B$13)*'11_발전량_모델'!$B$14</f>
        <v/>
      </c>
      <c r="Q46" s="86">
        <f>P46*'11_발전량_모델'!$B$10/1000</f>
        <v/>
      </c>
    </row>
    <row r="47">
      <c r="A47" s="86" t="n">
        <v>4</v>
      </c>
      <c r="B47" s="86">
        <f>'13_시나리오비교'!$A$8</f>
        <v/>
      </c>
      <c r="C47" s="86" t="n">
        <v>10</v>
      </c>
      <c r="D47" s="86">
        <f>'11_발전량_모델'!B31</f>
        <v/>
      </c>
      <c r="E47" s="86">
        <f>'11_발전량_모델'!C31</f>
        <v/>
      </c>
      <c r="F47" s="86">
        <f>'11_발전량_모델'!D31</f>
        <v/>
      </c>
      <c r="G47" s="86">
        <f>'11_발전량_모델'!E31</f>
        <v/>
      </c>
      <c r="H47" s="86">
        <f>'11_발전량_모델'!F31</f>
        <v/>
      </c>
      <c r="I47" s="86">
        <f>'11_발전량_모델'!G31</f>
        <v/>
      </c>
      <c r="J47" s="86">
        <f>'11_발전량_모델'!H31</f>
        <v/>
      </c>
      <c r="K47" s="86">
        <f>'11_발전량_모델'!I31</f>
        <v/>
      </c>
      <c r="L47" s="86">
        <f>'11_발전량_모델'!J31</f>
        <v/>
      </c>
      <c r="M47" s="86">
        <f>IF(SUMIFS('15_태양기하'!$N$21:$N$1172,'15_태양기하'!$A$21:$A$1172,C47)=0,0,SUMIFS('15_태양기하'!$S$21:$S$1172,'15_태양기하'!$A$21:$A$1172,C47)/SUMIFS('15_태양기하'!$N$21:$N$1172,'15_태양기하'!$A$21:$A$1172,C47))</f>
        <v/>
      </c>
      <c r="N47" s="86">
        <f>L47*M47+K47*(1+COS(RADIANS('13_시나리오비교'!$B$8)))/2+F47*'11_발전량_모델'!$B$9*(1-COS(RADIANS('13_시나리오비교'!$B$8)))/2</f>
        <v/>
      </c>
      <c r="O47" s="86">
        <f>N47*D47</f>
        <v/>
      </c>
      <c r="P47" s="86">
        <f>O47*'11_발전량_모델'!$B$11*'11_발전량_모델'!$B$12*(1-'11_발전량_모델'!$B$13)*'11_발전량_모델'!$B$14</f>
        <v/>
      </c>
      <c r="Q47" s="86">
        <f>P47*'11_발전량_모델'!$B$10/1000</f>
        <v/>
      </c>
    </row>
    <row r="48">
      <c r="A48" s="86" t="n">
        <v>4</v>
      </c>
      <c r="B48" s="86">
        <f>'13_시나리오비교'!$A$8</f>
        <v/>
      </c>
      <c r="C48" s="86" t="n">
        <v>11</v>
      </c>
      <c r="D48" s="86">
        <f>'11_발전량_모델'!B32</f>
        <v/>
      </c>
      <c r="E48" s="86">
        <f>'11_발전량_모델'!C32</f>
        <v/>
      </c>
      <c r="F48" s="86">
        <f>'11_발전량_모델'!D32</f>
        <v/>
      </c>
      <c r="G48" s="86">
        <f>'11_발전량_모델'!E32</f>
        <v/>
      </c>
      <c r="H48" s="86">
        <f>'11_발전량_모델'!F32</f>
        <v/>
      </c>
      <c r="I48" s="86">
        <f>'11_발전량_모델'!G32</f>
        <v/>
      </c>
      <c r="J48" s="86">
        <f>'11_발전량_모델'!H32</f>
        <v/>
      </c>
      <c r="K48" s="86">
        <f>'11_발전량_모델'!I32</f>
        <v/>
      </c>
      <c r="L48" s="86">
        <f>'11_발전량_모델'!J32</f>
        <v/>
      </c>
      <c r="M48" s="86">
        <f>IF(SUMIFS('15_태양기하'!$N$21:$N$1172,'15_태양기하'!$A$21:$A$1172,C48)=0,0,SUMIFS('15_태양기하'!$S$21:$S$1172,'15_태양기하'!$A$21:$A$1172,C48)/SUMIFS('15_태양기하'!$N$21:$N$1172,'15_태양기하'!$A$21:$A$1172,C48))</f>
        <v/>
      </c>
      <c r="N48" s="86">
        <f>L48*M48+K48*(1+COS(RADIANS('13_시나리오비교'!$B$8)))/2+F48*'11_발전량_모델'!$B$9*(1-COS(RADIANS('13_시나리오비교'!$B$8)))/2</f>
        <v/>
      </c>
      <c r="O48" s="86">
        <f>N48*D48</f>
        <v/>
      </c>
      <c r="P48" s="86">
        <f>O48*'11_발전량_모델'!$B$11*'11_발전량_모델'!$B$12*(1-'11_발전량_모델'!$B$13)*'11_발전량_모델'!$B$14</f>
        <v/>
      </c>
      <c r="Q48" s="86">
        <f>P48*'11_발전량_모델'!$B$10/1000</f>
        <v/>
      </c>
    </row>
    <row r="49">
      <c r="A49" s="86" t="n">
        <v>4</v>
      </c>
      <c r="B49" s="86">
        <f>'13_시나리오비교'!$A$8</f>
        <v/>
      </c>
      <c r="C49" s="86" t="n">
        <v>12</v>
      </c>
      <c r="D49" s="86">
        <f>'11_발전량_모델'!B33</f>
        <v/>
      </c>
      <c r="E49" s="86">
        <f>'11_발전량_모델'!C33</f>
        <v/>
      </c>
      <c r="F49" s="86">
        <f>'11_발전량_모델'!D33</f>
        <v/>
      </c>
      <c r="G49" s="86">
        <f>'11_발전량_모델'!E33</f>
        <v/>
      </c>
      <c r="H49" s="86">
        <f>'11_발전량_모델'!F33</f>
        <v/>
      </c>
      <c r="I49" s="86">
        <f>'11_발전량_모델'!G33</f>
        <v/>
      </c>
      <c r="J49" s="86">
        <f>'11_발전량_모델'!H33</f>
        <v/>
      </c>
      <c r="K49" s="86">
        <f>'11_발전량_모델'!I33</f>
        <v/>
      </c>
      <c r="L49" s="86">
        <f>'11_발전량_모델'!J33</f>
        <v/>
      </c>
      <c r="M49" s="86">
        <f>IF(SUMIFS('15_태양기하'!$N$21:$N$1172,'15_태양기하'!$A$21:$A$1172,C49)=0,0,SUMIFS('15_태양기하'!$S$21:$S$1172,'15_태양기하'!$A$21:$A$1172,C49)/SUMIFS('15_태양기하'!$N$21:$N$1172,'15_태양기하'!$A$21:$A$1172,C49))</f>
        <v/>
      </c>
      <c r="N49" s="86">
        <f>L49*M49+K49*(1+COS(RADIANS('13_시나리오비교'!$B$8)))/2+F49*'11_발전량_모델'!$B$9*(1-COS(RADIANS('13_시나리오비교'!$B$8)))/2</f>
        <v/>
      </c>
      <c r="O49" s="86">
        <f>N49*D49</f>
        <v/>
      </c>
      <c r="P49" s="86">
        <f>O49*'11_발전량_모델'!$B$11*'11_발전량_모델'!$B$12*(1-'11_발전량_모델'!$B$13)*'11_발전량_모델'!$B$14</f>
        <v/>
      </c>
      <c r="Q49" s="86">
        <f>P49*'11_발전량_모델'!$B$10/1000</f>
        <v/>
      </c>
    </row>
    <row r="50">
      <c r="A50" s="86" t="n">
        <v>5</v>
      </c>
      <c r="B50" s="86">
        <f>'13_시나리오비교'!$A$9</f>
        <v/>
      </c>
      <c r="C50" s="86" t="n">
        <v>1</v>
      </c>
      <c r="D50" s="86">
        <f>'11_발전량_모델'!B22</f>
        <v/>
      </c>
      <c r="E50" s="86">
        <f>'11_발전량_모델'!C22</f>
        <v/>
      </c>
      <c r="F50" s="86">
        <f>'11_발전량_모델'!D22</f>
        <v/>
      </c>
      <c r="G50" s="86">
        <f>'11_발전량_모델'!E22</f>
        <v/>
      </c>
      <c r="H50" s="86">
        <f>'11_발전량_모델'!F22</f>
        <v/>
      </c>
      <c r="I50" s="86">
        <f>'11_발전량_모델'!G22</f>
        <v/>
      </c>
      <c r="J50" s="86">
        <f>'11_발전량_모델'!H22</f>
        <v/>
      </c>
      <c r="K50" s="86">
        <f>'11_발전량_모델'!I22</f>
        <v/>
      </c>
      <c r="L50" s="86">
        <f>'11_발전량_모델'!J22</f>
        <v/>
      </c>
      <c r="M50" s="86">
        <f>IF(SUMIFS('15_태양기하'!$N$21:$N$1172,'15_태양기하'!$A$21:$A$1172,C50)=0,0,SUMIFS('15_태양기하'!$T$21:$T$1172,'15_태양기하'!$A$21:$A$1172,C50)/SUMIFS('15_태양기하'!$N$21:$N$1172,'15_태양기하'!$A$21:$A$1172,C50))</f>
        <v/>
      </c>
      <c r="N50" s="86">
        <f>L50*M50+K50*(1+COS(RADIANS('13_시나리오비교'!$B$9)))/2+F50*'11_발전량_모델'!$B$9*(1-COS(RADIANS('13_시나리오비교'!$B$9)))/2</f>
        <v/>
      </c>
      <c r="O50" s="86">
        <f>N50*D50</f>
        <v/>
      </c>
      <c r="P50" s="86">
        <f>O50*'11_발전량_모델'!$B$11*'11_발전량_모델'!$B$12*(1-'11_발전량_모델'!$B$13)*'11_발전량_모델'!$B$14</f>
        <v/>
      </c>
      <c r="Q50" s="86">
        <f>P50*'11_발전량_모델'!$B$10/1000</f>
        <v/>
      </c>
    </row>
    <row r="51">
      <c r="A51" s="86" t="n">
        <v>5</v>
      </c>
      <c r="B51" s="86">
        <f>'13_시나리오비교'!$A$9</f>
        <v/>
      </c>
      <c r="C51" s="86" t="n">
        <v>2</v>
      </c>
      <c r="D51" s="86">
        <f>'11_발전량_모델'!B23</f>
        <v/>
      </c>
      <c r="E51" s="86">
        <f>'11_발전량_모델'!C23</f>
        <v/>
      </c>
      <c r="F51" s="86">
        <f>'11_발전량_모델'!D23</f>
        <v/>
      </c>
      <c r="G51" s="86">
        <f>'11_발전량_모델'!E23</f>
        <v/>
      </c>
      <c r="H51" s="86">
        <f>'11_발전량_모델'!F23</f>
        <v/>
      </c>
      <c r="I51" s="86">
        <f>'11_발전량_모델'!G23</f>
        <v/>
      </c>
      <c r="J51" s="86">
        <f>'11_발전량_모델'!H23</f>
        <v/>
      </c>
      <c r="K51" s="86">
        <f>'11_발전량_모델'!I23</f>
        <v/>
      </c>
      <c r="L51" s="86">
        <f>'11_발전량_모델'!J23</f>
        <v/>
      </c>
      <c r="M51" s="86">
        <f>IF(SUMIFS('15_태양기하'!$N$21:$N$1172,'15_태양기하'!$A$21:$A$1172,C51)=0,0,SUMIFS('15_태양기하'!$T$21:$T$1172,'15_태양기하'!$A$21:$A$1172,C51)/SUMIFS('15_태양기하'!$N$21:$N$1172,'15_태양기하'!$A$21:$A$1172,C51))</f>
        <v/>
      </c>
      <c r="N51" s="86">
        <f>L51*M51+K51*(1+COS(RADIANS('13_시나리오비교'!$B$9)))/2+F51*'11_발전량_모델'!$B$9*(1-COS(RADIANS('13_시나리오비교'!$B$9)))/2</f>
        <v/>
      </c>
      <c r="O51" s="86">
        <f>N51*D51</f>
        <v/>
      </c>
      <c r="P51" s="86">
        <f>O51*'11_발전량_모델'!$B$11*'11_발전량_모델'!$B$12*(1-'11_발전량_모델'!$B$13)*'11_발전량_모델'!$B$14</f>
        <v/>
      </c>
      <c r="Q51" s="86">
        <f>P51*'11_발전량_모델'!$B$10/1000</f>
        <v/>
      </c>
    </row>
    <row r="52">
      <c r="A52" s="86" t="n">
        <v>5</v>
      </c>
      <c r="B52" s="86">
        <f>'13_시나리오비교'!$A$9</f>
        <v/>
      </c>
      <c r="C52" s="86" t="n">
        <v>3</v>
      </c>
      <c r="D52" s="86">
        <f>'11_발전량_모델'!B24</f>
        <v/>
      </c>
      <c r="E52" s="86">
        <f>'11_발전량_모델'!C24</f>
        <v/>
      </c>
      <c r="F52" s="86">
        <f>'11_발전량_모델'!D24</f>
        <v/>
      </c>
      <c r="G52" s="86">
        <f>'11_발전량_모델'!E24</f>
        <v/>
      </c>
      <c r="H52" s="86">
        <f>'11_발전량_모델'!F24</f>
        <v/>
      </c>
      <c r="I52" s="86">
        <f>'11_발전량_모델'!G24</f>
        <v/>
      </c>
      <c r="J52" s="86">
        <f>'11_발전량_모델'!H24</f>
        <v/>
      </c>
      <c r="K52" s="86">
        <f>'11_발전량_모델'!I24</f>
        <v/>
      </c>
      <c r="L52" s="86">
        <f>'11_발전량_모델'!J24</f>
        <v/>
      </c>
      <c r="M52" s="86">
        <f>IF(SUMIFS('15_태양기하'!$N$21:$N$1172,'15_태양기하'!$A$21:$A$1172,C52)=0,0,SUMIFS('15_태양기하'!$T$21:$T$1172,'15_태양기하'!$A$21:$A$1172,C52)/SUMIFS('15_태양기하'!$N$21:$N$1172,'15_태양기하'!$A$21:$A$1172,C52))</f>
        <v/>
      </c>
      <c r="N52" s="86">
        <f>L52*M52+K52*(1+COS(RADIANS('13_시나리오비교'!$B$9)))/2+F52*'11_발전량_모델'!$B$9*(1-COS(RADIANS('13_시나리오비교'!$B$9)))/2</f>
        <v/>
      </c>
      <c r="O52" s="86">
        <f>N52*D52</f>
        <v/>
      </c>
      <c r="P52" s="86">
        <f>O52*'11_발전량_모델'!$B$11*'11_발전량_모델'!$B$12*(1-'11_발전량_모델'!$B$13)*'11_발전량_모델'!$B$14</f>
        <v/>
      </c>
      <c r="Q52" s="86">
        <f>P52*'11_발전량_모델'!$B$10/1000</f>
        <v/>
      </c>
    </row>
    <row r="53">
      <c r="A53" s="86" t="n">
        <v>5</v>
      </c>
      <c r="B53" s="86">
        <f>'13_시나리오비교'!$A$9</f>
        <v/>
      </c>
      <c r="C53" s="86" t="n">
        <v>4</v>
      </c>
      <c r="D53" s="86">
        <f>'11_발전량_모델'!B25</f>
        <v/>
      </c>
      <c r="E53" s="86">
        <f>'11_발전량_모델'!C25</f>
        <v/>
      </c>
      <c r="F53" s="86">
        <f>'11_발전량_모델'!D25</f>
        <v/>
      </c>
      <c r="G53" s="86">
        <f>'11_발전량_모델'!E25</f>
        <v/>
      </c>
      <c r="H53" s="86">
        <f>'11_발전량_모델'!F25</f>
        <v/>
      </c>
      <c r="I53" s="86">
        <f>'11_발전량_모델'!G25</f>
        <v/>
      </c>
      <c r="J53" s="86">
        <f>'11_발전량_모델'!H25</f>
        <v/>
      </c>
      <c r="K53" s="86">
        <f>'11_발전량_모델'!I25</f>
        <v/>
      </c>
      <c r="L53" s="86">
        <f>'11_발전량_모델'!J25</f>
        <v/>
      </c>
      <c r="M53" s="86">
        <f>IF(SUMIFS('15_태양기하'!$N$21:$N$1172,'15_태양기하'!$A$21:$A$1172,C53)=0,0,SUMIFS('15_태양기하'!$T$21:$T$1172,'15_태양기하'!$A$21:$A$1172,C53)/SUMIFS('15_태양기하'!$N$21:$N$1172,'15_태양기하'!$A$21:$A$1172,C53))</f>
        <v/>
      </c>
      <c r="N53" s="86">
        <f>L53*M53+K53*(1+COS(RADIANS('13_시나리오비교'!$B$9)))/2+F53*'11_발전량_모델'!$B$9*(1-COS(RADIANS('13_시나리오비교'!$B$9)))/2</f>
        <v/>
      </c>
      <c r="O53" s="86">
        <f>N53*D53</f>
        <v/>
      </c>
      <c r="P53" s="86">
        <f>O53*'11_발전량_모델'!$B$11*'11_발전량_모델'!$B$12*(1-'11_발전량_모델'!$B$13)*'11_발전량_모델'!$B$14</f>
        <v/>
      </c>
      <c r="Q53" s="86">
        <f>P53*'11_발전량_모델'!$B$10/1000</f>
        <v/>
      </c>
    </row>
    <row r="54">
      <c r="A54" s="86" t="n">
        <v>5</v>
      </c>
      <c r="B54" s="86">
        <f>'13_시나리오비교'!$A$9</f>
        <v/>
      </c>
      <c r="C54" s="86" t="n">
        <v>5</v>
      </c>
      <c r="D54" s="86">
        <f>'11_발전량_모델'!B26</f>
        <v/>
      </c>
      <c r="E54" s="86">
        <f>'11_발전량_모델'!C26</f>
        <v/>
      </c>
      <c r="F54" s="86">
        <f>'11_발전량_모델'!D26</f>
        <v/>
      </c>
      <c r="G54" s="86">
        <f>'11_발전량_모델'!E26</f>
        <v/>
      </c>
      <c r="H54" s="86">
        <f>'11_발전량_모델'!F26</f>
        <v/>
      </c>
      <c r="I54" s="86">
        <f>'11_발전량_모델'!G26</f>
        <v/>
      </c>
      <c r="J54" s="86">
        <f>'11_발전량_모델'!H26</f>
        <v/>
      </c>
      <c r="K54" s="86">
        <f>'11_발전량_모델'!I26</f>
        <v/>
      </c>
      <c r="L54" s="86">
        <f>'11_발전량_모델'!J26</f>
        <v/>
      </c>
      <c r="M54" s="86">
        <f>IF(SUMIFS('15_태양기하'!$N$21:$N$1172,'15_태양기하'!$A$21:$A$1172,C54)=0,0,SUMIFS('15_태양기하'!$T$21:$T$1172,'15_태양기하'!$A$21:$A$1172,C54)/SUMIFS('15_태양기하'!$N$21:$N$1172,'15_태양기하'!$A$21:$A$1172,C54))</f>
        <v/>
      </c>
      <c r="N54" s="86">
        <f>L54*M54+K54*(1+COS(RADIANS('13_시나리오비교'!$B$9)))/2+F54*'11_발전량_모델'!$B$9*(1-COS(RADIANS('13_시나리오비교'!$B$9)))/2</f>
        <v/>
      </c>
      <c r="O54" s="86">
        <f>N54*D54</f>
        <v/>
      </c>
      <c r="P54" s="86">
        <f>O54*'11_발전량_모델'!$B$11*'11_발전량_모델'!$B$12*(1-'11_발전량_모델'!$B$13)*'11_발전량_모델'!$B$14</f>
        <v/>
      </c>
      <c r="Q54" s="86">
        <f>P54*'11_발전량_모델'!$B$10/1000</f>
        <v/>
      </c>
    </row>
    <row r="55">
      <c r="A55" s="86" t="n">
        <v>5</v>
      </c>
      <c r="B55" s="86">
        <f>'13_시나리오비교'!$A$9</f>
        <v/>
      </c>
      <c r="C55" s="86" t="n">
        <v>6</v>
      </c>
      <c r="D55" s="86">
        <f>'11_발전량_모델'!B27</f>
        <v/>
      </c>
      <c r="E55" s="86">
        <f>'11_발전량_모델'!C27</f>
        <v/>
      </c>
      <c r="F55" s="86">
        <f>'11_발전량_모델'!D27</f>
        <v/>
      </c>
      <c r="G55" s="86">
        <f>'11_발전량_모델'!E27</f>
        <v/>
      </c>
      <c r="H55" s="86">
        <f>'11_발전량_모델'!F27</f>
        <v/>
      </c>
      <c r="I55" s="86">
        <f>'11_발전량_모델'!G27</f>
        <v/>
      </c>
      <c r="J55" s="86">
        <f>'11_발전량_모델'!H27</f>
        <v/>
      </c>
      <c r="K55" s="86">
        <f>'11_발전량_모델'!I27</f>
        <v/>
      </c>
      <c r="L55" s="86">
        <f>'11_발전량_모델'!J27</f>
        <v/>
      </c>
      <c r="M55" s="86">
        <f>IF(SUMIFS('15_태양기하'!$N$21:$N$1172,'15_태양기하'!$A$21:$A$1172,C55)=0,0,SUMIFS('15_태양기하'!$T$21:$T$1172,'15_태양기하'!$A$21:$A$1172,C55)/SUMIFS('15_태양기하'!$N$21:$N$1172,'15_태양기하'!$A$21:$A$1172,C55))</f>
        <v/>
      </c>
      <c r="N55" s="86">
        <f>L55*M55+K55*(1+COS(RADIANS('13_시나리오비교'!$B$9)))/2+F55*'11_발전량_모델'!$B$9*(1-COS(RADIANS('13_시나리오비교'!$B$9)))/2</f>
        <v/>
      </c>
      <c r="O55" s="86">
        <f>N55*D55</f>
        <v/>
      </c>
      <c r="P55" s="86">
        <f>O55*'11_발전량_모델'!$B$11*'11_발전량_모델'!$B$12*(1-'11_발전량_모델'!$B$13)*'11_발전량_모델'!$B$14</f>
        <v/>
      </c>
      <c r="Q55" s="86">
        <f>P55*'11_발전량_모델'!$B$10/1000</f>
        <v/>
      </c>
    </row>
    <row r="56">
      <c r="A56" s="86" t="n">
        <v>5</v>
      </c>
      <c r="B56" s="86">
        <f>'13_시나리오비교'!$A$9</f>
        <v/>
      </c>
      <c r="C56" s="86" t="n">
        <v>7</v>
      </c>
      <c r="D56" s="86">
        <f>'11_발전량_모델'!B28</f>
        <v/>
      </c>
      <c r="E56" s="86">
        <f>'11_발전량_모델'!C28</f>
        <v/>
      </c>
      <c r="F56" s="86">
        <f>'11_발전량_모델'!D28</f>
        <v/>
      </c>
      <c r="G56" s="86">
        <f>'11_발전량_모델'!E28</f>
        <v/>
      </c>
      <c r="H56" s="86">
        <f>'11_발전량_모델'!F28</f>
        <v/>
      </c>
      <c r="I56" s="86">
        <f>'11_발전량_모델'!G28</f>
        <v/>
      </c>
      <c r="J56" s="86">
        <f>'11_발전량_모델'!H28</f>
        <v/>
      </c>
      <c r="K56" s="86">
        <f>'11_발전량_모델'!I28</f>
        <v/>
      </c>
      <c r="L56" s="86">
        <f>'11_발전량_모델'!J28</f>
        <v/>
      </c>
      <c r="M56" s="86">
        <f>IF(SUMIFS('15_태양기하'!$N$21:$N$1172,'15_태양기하'!$A$21:$A$1172,C56)=0,0,SUMIFS('15_태양기하'!$T$21:$T$1172,'15_태양기하'!$A$21:$A$1172,C56)/SUMIFS('15_태양기하'!$N$21:$N$1172,'15_태양기하'!$A$21:$A$1172,C56))</f>
        <v/>
      </c>
      <c r="N56" s="86">
        <f>L56*M56+K56*(1+COS(RADIANS('13_시나리오비교'!$B$9)))/2+F56*'11_발전량_모델'!$B$9*(1-COS(RADIANS('13_시나리오비교'!$B$9)))/2</f>
        <v/>
      </c>
      <c r="O56" s="86">
        <f>N56*D56</f>
        <v/>
      </c>
      <c r="P56" s="86">
        <f>O56*'11_발전량_모델'!$B$11*'11_발전량_모델'!$B$12*(1-'11_발전량_모델'!$B$13)*'11_발전량_모델'!$B$14</f>
        <v/>
      </c>
      <c r="Q56" s="86">
        <f>P56*'11_발전량_모델'!$B$10/1000</f>
        <v/>
      </c>
    </row>
    <row r="57">
      <c r="A57" s="86" t="n">
        <v>5</v>
      </c>
      <c r="B57" s="86">
        <f>'13_시나리오비교'!$A$9</f>
        <v/>
      </c>
      <c r="C57" s="86" t="n">
        <v>8</v>
      </c>
      <c r="D57" s="86">
        <f>'11_발전량_모델'!B29</f>
        <v/>
      </c>
      <c r="E57" s="86">
        <f>'11_발전량_모델'!C29</f>
        <v/>
      </c>
      <c r="F57" s="86">
        <f>'11_발전량_모델'!D29</f>
        <v/>
      </c>
      <c r="G57" s="86">
        <f>'11_발전량_모델'!E29</f>
        <v/>
      </c>
      <c r="H57" s="86">
        <f>'11_발전량_모델'!F29</f>
        <v/>
      </c>
      <c r="I57" s="86">
        <f>'11_발전량_모델'!G29</f>
        <v/>
      </c>
      <c r="J57" s="86">
        <f>'11_발전량_모델'!H29</f>
        <v/>
      </c>
      <c r="K57" s="86">
        <f>'11_발전량_모델'!I29</f>
        <v/>
      </c>
      <c r="L57" s="86">
        <f>'11_발전량_모델'!J29</f>
        <v/>
      </c>
      <c r="M57" s="86">
        <f>IF(SUMIFS('15_태양기하'!$N$21:$N$1172,'15_태양기하'!$A$21:$A$1172,C57)=0,0,SUMIFS('15_태양기하'!$T$21:$T$1172,'15_태양기하'!$A$21:$A$1172,C57)/SUMIFS('15_태양기하'!$N$21:$N$1172,'15_태양기하'!$A$21:$A$1172,C57))</f>
        <v/>
      </c>
      <c r="N57" s="86">
        <f>L57*M57+K57*(1+COS(RADIANS('13_시나리오비교'!$B$9)))/2+F57*'11_발전량_모델'!$B$9*(1-COS(RADIANS('13_시나리오비교'!$B$9)))/2</f>
        <v/>
      </c>
      <c r="O57" s="86">
        <f>N57*D57</f>
        <v/>
      </c>
      <c r="P57" s="86">
        <f>O57*'11_발전량_모델'!$B$11*'11_발전량_모델'!$B$12*(1-'11_발전량_모델'!$B$13)*'11_발전량_모델'!$B$14</f>
        <v/>
      </c>
      <c r="Q57" s="86">
        <f>P57*'11_발전량_모델'!$B$10/1000</f>
        <v/>
      </c>
    </row>
    <row r="58">
      <c r="A58" s="86" t="n">
        <v>5</v>
      </c>
      <c r="B58" s="86">
        <f>'13_시나리오비교'!$A$9</f>
        <v/>
      </c>
      <c r="C58" s="86" t="n">
        <v>9</v>
      </c>
      <c r="D58" s="86">
        <f>'11_발전량_모델'!B30</f>
        <v/>
      </c>
      <c r="E58" s="86">
        <f>'11_발전량_모델'!C30</f>
        <v/>
      </c>
      <c r="F58" s="86">
        <f>'11_발전량_모델'!D30</f>
        <v/>
      </c>
      <c r="G58" s="86">
        <f>'11_발전량_모델'!E30</f>
        <v/>
      </c>
      <c r="H58" s="86">
        <f>'11_발전량_모델'!F30</f>
        <v/>
      </c>
      <c r="I58" s="86">
        <f>'11_발전량_모델'!G30</f>
        <v/>
      </c>
      <c r="J58" s="86">
        <f>'11_발전량_모델'!H30</f>
        <v/>
      </c>
      <c r="K58" s="86">
        <f>'11_발전량_모델'!I30</f>
        <v/>
      </c>
      <c r="L58" s="86">
        <f>'11_발전량_모델'!J30</f>
        <v/>
      </c>
      <c r="M58" s="86">
        <f>IF(SUMIFS('15_태양기하'!$N$21:$N$1172,'15_태양기하'!$A$21:$A$1172,C58)=0,0,SUMIFS('15_태양기하'!$T$21:$T$1172,'15_태양기하'!$A$21:$A$1172,C58)/SUMIFS('15_태양기하'!$N$21:$N$1172,'15_태양기하'!$A$21:$A$1172,C58))</f>
        <v/>
      </c>
      <c r="N58" s="86">
        <f>L58*M58+K58*(1+COS(RADIANS('13_시나리오비교'!$B$9)))/2+F58*'11_발전량_모델'!$B$9*(1-COS(RADIANS('13_시나리오비교'!$B$9)))/2</f>
        <v/>
      </c>
      <c r="O58" s="86">
        <f>N58*D58</f>
        <v/>
      </c>
      <c r="P58" s="86">
        <f>O58*'11_발전량_모델'!$B$11*'11_발전량_모델'!$B$12*(1-'11_발전량_모델'!$B$13)*'11_발전량_모델'!$B$14</f>
        <v/>
      </c>
      <c r="Q58" s="86">
        <f>P58*'11_발전량_모델'!$B$10/1000</f>
        <v/>
      </c>
    </row>
    <row r="59">
      <c r="A59" s="86" t="n">
        <v>5</v>
      </c>
      <c r="B59" s="86">
        <f>'13_시나리오비교'!$A$9</f>
        <v/>
      </c>
      <c r="C59" s="86" t="n">
        <v>10</v>
      </c>
      <c r="D59" s="86">
        <f>'11_발전량_모델'!B31</f>
        <v/>
      </c>
      <c r="E59" s="86">
        <f>'11_발전량_모델'!C31</f>
        <v/>
      </c>
      <c r="F59" s="86">
        <f>'11_발전량_모델'!D31</f>
        <v/>
      </c>
      <c r="G59" s="86">
        <f>'11_발전량_모델'!E31</f>
        <v/>
      </c>
      <c r="H59" s="86">
        <f>'11_발전량_모델'!F31</f>
        <v/>
      </c>
      <c r="I59" s="86">
        <f>'11_발전량_모델'!G31</f>
        <v/>
      </c>
      <c r="J59" s="86">
        <f>'11_발전량_모델'!H31</f>
        <v/>
      </c>
      <c r="K59" s="86">
        <f>'11_발전량_모델'!I31</f>
        <v/>
      </c>
      <c r="L59" s="86">
        <f>'11_발전량_모델'!J31</f>
        <v/>
      </c>
      <c r="M59" s="86">
        <f>IF(SUMIFS('15_태양기하'!$N$21:$N$1172,'15_태양기하'!$A$21:$A$1172,C59)=0,0,SUMIFS('15_태양기하'!$T$21:$T$1172,'15_태양기하'!$A$21:$A$1172,C59)/SUMIFS('15_태양기하'!$N$21:$N$1172,'15_태양기하'!$A$21:$A$1172,C59))</f>
        <v/>
      </c>
      <c r="N59" s="86">
        <f>L59*M59+K59*(1+COS(RADIANS('13_시나리오비교'!$B$9)))/2+F59*'11_발전량_모델'!$B$9*(1-COS(RADIANS('13_시나리오비교'!$B$9)))/2</f>
        <v/>
      </c>
      <c r="O59" s="86">
        <f>N59*D59</f>
        <v/>
      </c>
      <c r="P59" s="86">
        <f>O59*'11_발전량_모델'!$B$11*'11_발전량_모델'!$B$12*(1-'11_발전량_모델'!$B$13)*'11_발전량_모델'!$B$14</f>
        <v/>
      </c>
      <c r="Q59" s="86">
        <f>P59*'11_발전량_모델'!$B$10/1000</f>
        <v/>
      </c>
    </row>
    <row r="60">
      <c r="A60" s="86" t="n">
        <v>5</v>
      </c>
      <c r="B60" s="86">
        <f>'13_시나리오비교'!$A$9</f>
        <v/>
      </c>
      <c r="C60" s="86" t="n">
        <v>11</v>
      </c>
      <c r="D60" s="86">
        <f>'11_발전량_모델'!B32</f>
        <v/>
      </c>
      <c r="E60" s="86">
        <f>'11_발전량_모델'!C32</f>
        <v/>
      </c>
      <c r="F60" s="86">
        <f>'11_발전량_모델'!D32</f>
        <v/>
      </c>
      <c r="G60" s="86">
        <f>'11_발전량_모델'!E32</f>
        <v/>
      </c>
      <c r="H60" s="86">
        <f>'11_발전량_모델'!F32</f>
        <v/>
      </c>
      <c r="I60" s="86">
        <f>'11_발전량_모델'!G32</f>
        <v/>
      </c>
      <c r="J60" s="86">
        <f>'11_발전량_모델'!H32</f>
        <v/>
      </c>
      <c r="K60" s="86">
        <f>'11_발전량_모델'!I32</f>
        <v/>
      </c>
      <c r="L60" s="86">
        <f>'11_발전량_모델'!J32</f>
        <v/>
      </c>
      <c r="M60" s="86">
        <f>IF(SUMIFS('15_태양기하'!$N$21:$N$1172,'15_태양기하'!$A$21:$A$1172,C60)=0,0,SUMIFS('15_태양기하'!$T$21:$T$1172,'15_태양기하'!$A$21:$A$1172,C60)/SUMIFS('15_태양기하'!$N$21:$N$1172,'15_태양기하'!$A$21:$A$1172,C60))</f>
        <v/>
      </c>
      <c r="N60" s="86">
        <f>L60*M60+K60*(1+COS(RADIANS('13_시나리오비교'!$B$9)))/2+F60*'11_발전량_모델'!$B$9*(1-COS(RADIANS('13_시나리오비교'!$B$9)))/2</f>
        <v/>
      </c>
      <c r="O60" s="86">
        <f>N60*D60</f>
        <v/>
      </c>
      <c r="P60" s="86">
        <f>O60*'11_발전량_모델'!$B$11*'11_발전량_모델'!$B$12*(1-'11_발전량_모델'!$B$13)*'11_발전량_모델'!$B$14</f>
        <v/>
      </c>
      <c r="Q60" s="86">
        <f>P60*'11_발전량_모델'!$B$10/1000</f>
        <v/>
      </c>
    </row>
    <row r="61">
      <c r="A61" s="86" t="n">
        <v>5</v>
      </c>
      <c r="B61" s="86">
        <f>'13_시나리오비교'!$A$9</f>
        <v/>
      </c>
      <c r="C61" s="86" t="n">
        <v>12</v>
      </c>
      <c r="D61" s="86">
        <f>'11_발전량_모델'!B33</f>
        <v/>
      </c>
      <c r="E61" s="86">
        <f>'11_발전량_모델'!C33</f>
        <v/>
      </c>
      <c r="F61" s="86">
        <f>'11_발전량_모델'!D33</f>
        <v/>
      </c>
      <c r="G61" s="86">
        <f>'11_발전량_모델'!E33</f>
        <v/>
      </c>
      <c r="H61" s="86">
        <f>'11_발전량_모델'!F33</f>
        <v/>
      </c>
      <c r="I61" s="86">
        <f>'11_발전량_모델'!G33</f>
        <v/>
      </c>
      <c r="J61" s="86">
        <f>'11_발전량_모델'!H33</f>
        <v/>
      </c>
      <c r="K61" s="86">
        <f>'11_발전량_모델'!I33</f>
        <v/>
      </c>
      <c r="L61" s="86">
        <f>'11_발전량_모델'!J33</f>
        <v/>
      </c>
      <c r="M61" s="86">
        <f>IF(SUMIFS('15_태양기하'!$N$21:$N$1172,'15_태양기하'!$A$21:$A$1172,C61)=0,0,SUMIFS('15_태양기하'!$T$21:$T$1172,'15_태양기하'!$A$21:$A$1172,C61)/SUMIFS('15_태양기하'!$N$21:$N$1172,'15_태양기하'!$A$21:$A$1172,C61))</f>
        <v/>
      </c>
      <c r="N61" s="86">
        <f>L61*M61+K61*(1+COS(RADIANS('13_시나리오비교'!$B$9)))/2+F61*'11_발전량_모델'!$B$9*(1-COS(RADIANS('13_시나리오비교'!$B$9)))/2</f>
        <v/>
      </c>
      <c r="O61" s="86">
        <f>N61*D61</f>
        <v/>
      </c>
      <c r="P61" s="86">
        <f>O61*'11_발전량_모델'!$B$11*'11_발전량_모델'!$B$12*(1-'11_발전량_모델'!$B$13)*'11_발전량_모델'!$B$14</f>
        <v/>
      </c>
      <c r="Q61" s="86">
        <f>P61*'11_발전량_모델'!$B$10/1000</f>
        <v/>
      </c>
    </row>
    <row r="62">
      <c r="A62" s="86" t="n">
        <v>6</v>
      </c>
      <c r="B62" s="86">
        <f>'13_시나리오비교'!$A$10</f>
        <v/>
      </c>
      <c r="C62" s="86" t="n">
        <v>1</v>
      </c>
      <c r="D62" s="86">
        <f>'11_발전량_모델'!B22</f>
        <v/>
      </c>
      <c r="E62" s="86">
        <f>'11_발전량_모델'!C22</f>
        <v/>
      </c>
      <c r="F62" s="86">
        <f>'11_발전량_모델'!D22</f>
        <v/>
      </c>
      <c r="G62" s="86">
        <f>'11_발전량_모델'!E22</f>
        <v/>
      </c>
      <c r="H62" s="86">
        <f>'11_발전량_모델'!F22</f>
        <v/>
      </c>
      <c r="I62" s="86">
        <f>'11_발전량_모델'!G22</f>
        <v/>
      </c>
      <c r="J62" s="86">
        <f>'11_발전량_모델'!H22</f>
        <v/>
      </c>
      <c r="K62" s="86">
        <f>'11_발전량_모델'!I22</f>
        <v/>
      </c>
      <c r="L62" s="86">
        <f>'11_발전량_모델'!J22</f>
        <v/>
      </c>
      <c r="M62" s="86">
        <f>IF(SUMIFS('15_태양기하'!$N$21:$N$1172,'15_태양기하'!$A$21:$A$1172,C62)=0,0,SUMIFS('15_태양기하'!$U$21:$U$1172,'15_태양기하'!$A$21:$A$1172,C62)/SUMIFS('15_태양기하'!$N$21:$N$1172,'15_태양기하'!$A$21:$A$1172,C62))</f>
        <v/>
      </c>
      <c r="N62" s="86">
        <f>L62*M62+K62*(1+COS(RADIANS('13_시나리오비교'!$B$10)))/2+F62*'11_발전량_모델'!$B$9*(1-COS(RADIANS('13_시나리오비교'!$B$10)))/2</f>
        <v/>
      </c>
      <c r="O62" s="86">
        <f>N62*D62</f>
        <v/>
      </c>
      <c r="P62" s="86">
        <f>O62*'11_발전량_모델'!$B$11*'11_발전량_모델'!$B$12*(1-'11_발전량_모델'!$B$13)*'11_발전량_모델'!$B$14</f>
        <v/>
      </c>
      <c r="Q62" s="86">
        <f>P62*'11_발전량_모델'!$B$10/1000</f>
        <v/>
      </c>
    </row>
    <row r="63">
      <c r="A63" s="86" t="n">
        <v>6</v>
      </c>
      <c r="B63" s="86">
        <f>'13_시나리오비교'!$A$10</f>
        <v/>
      </c>
      <c r="C63" s="86" t="n">
        <v>2</v>
      </c>
      <c r="D63" s="86">
        <f>'11_발전량_모델'!B23</f>
        <v/>
      </c>
      <c r="E63" s="86">
        <f>'11_발전량_모델'!C23</f>
        <v/>
      </c>
      <c r="F63" s="86">
        <f>'11_발전량_모델'!D23</f>
        <v/>
      </c>
      <c r="G63" s="86">
        <f>'11_발전량_모델'!E23</f>
        <v/>
      </c>
      <c r="H63" s="86">
        <f>'11_발전량_모델'!F23</f>
        <v/>
      </c>
      <c r="I63" s="86">
        <f>'11_발전량_모델'!G23</f>
        <v/>
      </c>
      <c r="J63" s="86">
        <f>'11_발전량_모델'!H23</f>
        <v/>
      </c>
      <c r="K63" s="86">
        <f>'11_발전량_모델'!I23</f>
        <v/>
      </c>
      <c r="L63" s="86">
        <f>'11_발전량_모델'!J23</f>
        <v/>
      </c>
      <c r="M63" s="86">
        <f>IF(SUMIFS('15_태양기하'!$N$21:$N$1172,'15_태양기하'!$A$21:$A$1172,C63)=0,0,SUMIFS('15_태양기하'!$U$21:$U$1172,'15_태양기하'!$A$21:$A$1172,C63)/SUMIFS('15_태양기하'!$N$21:$N$1172,'15_태양기하'!$A$21:$A$1172,C63))</f>
        <v/>
      </c>
      <c r="N63" s="86">
        <f>L63*M63+K63*(1+COS(RADIANS('13_시나리오비교'!$B$10)))/2+F63*'11_발전량_모델'!$B$9*(1-COS(RADIANS('13_시나리오비교'!$B$10)))/2</f>
        <v/>
      </c>
      <c r="O63" s="86">
        <f>N63*D63</f>
        <v/>
      </c>
      <c r="P63" s="86">
        <f>O63*'11_발전량_모델'!$B$11*'11_발전량_모델'!$B$12*(1-'11_발전량_모델'!$B$13)*'11_발전량_모델'!$B$14</f>
        <v/>
      </c>
      <c r="Q63" s="86">
        <f>P63*'11_발전량_모델'!$B$10/1000</f>
        <v/>
      </c>
    </row>
    <row r="64">
      <c r="A64" s="86" t="n">
        <v>6</v>
      </c>
      <c r="B64" s="86">
        <f>'13_시나리오비교'!$A$10</f>
        <v/>
      </c>
      <c r="C64" s="86" t="n">
        <v>3</v>
      </c>
      <c r="D64" s="86">
        <f>'11_발전량_모델'!B24</f>
        <v/>
      </c>
      <c r="E64" s="86">
        <f>'11_발전량_모델'!C24</f>
        <v/>
      </c>
      <c r="F64" s="86">
        <f>'11_발전량_모델'!D24</f>
        <v/>
      </c>
      <c r="G64" s="86">
        <f>'11_발전량_모델'!E24</f>
        <v/>
      </c>
      <c r="H64" s="86">
        <f>'11_발전량_모델'!F24</f>
        <v/>
      </c>
      <c r="I64" s="86">
        <f>'11_발전량_모델'!G24</f>
        <v/>
      </c>
      <c r="J64" s="86">
        <f>'11_발전량_모델'!H24</f>
        <v/>
      </c>
      <c r="K64" s="86">
        <f>'11_발전량_모델'!I24</f>
        <v/>
      </c>
      <c r="L64" s="86">
        <f>'11_발전량_모델'!J24</f>
        <v/>
      </c>
      <c r="M64" s="86">
        <f>IF(SUMIFS('15_태양기하'!$N$21:$N$1172,'15_태양기하'!$A$21:$A$1172,C64)=0,0,SUMIFS('15_태양기하'!$U$21:$U$1172,'15_태양기하'!$A$21:$A$1172,C64)/SUMIFS('15_태양기하'!$N$21:$N$1172,'15_태양기하'!$A$21:$A$1172,C64))</f>
        <v/>
      </c>
      <c r="N64" s="86">
        <f>L64*M64+K64*(1+COS(RADIANS('13_시나리오비교'!$B$10)))/2+F64*'11_발전량_모델'!$B$9*(1-COS(RADIANS('13_시나리오비교'!$B$10)))/2</f>
        <v/>
      </c>
      <c r="O64" s="86">
        <f>N64*D64</f>
        <v/>
      </c>
      <c r="P64" s="86">
        <f>O64*'11_발전량_모델'!$B$11*'11_발전량_모델'!$B$12*(1-'11_발전량_모델'!$B$13)*'11_발전량_모델'!$B$14</f>
        <v/>
      </c>
      <c r="Q64" s="86">
        <f>P64*'11_발전량_모델'!$B$10/1000</f>
        <v/>
      </c>
    </row>
    <row r="65">
      <c r="A65" s="86" t="n">
        <v>6</v>
      </c>
      <c r="B65" s="86">
        <f>'13_시나리오비교'!$A$10</f>
        <v/>
      </c>
      <c r="C65" s="86" t="n">
        <v>4</v>
      </c>
      <c r="D65" s="86">
        <f>'11_발전량_모델'!B25</f>
        <v/>
      </c>
      <c r="E65" s="86">
        <f>'11_발전량_모델'!C25</f>
        <v/>
      </c>
      <c r="F65" s="86">
        <f>'11_발전량_모델'!D25</f>
        <v/>
      </c>
      <c r="G65" s="86">
        <f>'11_발전량_모델'!E25</f>
        <v/>
      </c>
      <c r="H65" s="86">
        <f>'11_발전량_모델'!F25</f>
        <v/>
      </c>
      <c r="I65" s="86">
        <f>'11_발전량_모델'!G25</f>
        <v/>
      </c>
      <c r="J65" s="86">
        <f>'11_발전량_모델'!H25</f>
        <v/>
      </c>
      <c r="K65" s="86">
        <f>'11_발전량_모델'!I25</f>
        <v/>
      </c>
      <c r="L65" s="86">
        <f>'11_발전량_모델'!J25</f>
        <v/>
      </c>
      <c r="M65" s="86">
        <f>IF(SUMIFS('15_태양기하'!$N$21:$N$1172,'15_태양기하'!$A$21:$A$1172,C65)=0,0,SUMIFS('15_태양기하'!$U$21:$U$1172,'15_태양기하'!$A$21:$A$1172,C65)/SUMIFS('15_태양기하'!$N$21:$N$1172,'15_태양기하'!$A$21:$A$1172,C65))</f>
        <v/>
      </c>
      <c r="N65" s="86">
        <f>L65*M65+K65*(1+COS(RADIANS('13_시나리오비교'!$B$10)))/2+F65*'11_발전량_모델'!$B$9*(1-COS(RADIANS('13_시나리오비교'!$B$10)))/2</f>
        <v/>
      </c>
      <c r="O65" s="86">
        <f>N65*D65</f>
        <v/>
      </c>
      <c r="P65" s="86">
        <f>O65*'11_발전량_모델'!$B$11*'11_발전량_모델'!$B$12*(1-'11_발전량_모델'!$B$13)*'11_발전량_모델'!$B$14</f>
        <v/>
      </c>
      <c r="Q65" s="86">
        <f>P65*'11_발전량_모델'!$B$10/1000</f>
        <v/>
      </c>
    </row>
    <row r="66">
      <c r="A66" s="86" t="n">
        <v>6</v>
      </c>
      <c r="B66" s="86">
        <f>'13_시나리오비교'!$A$10</f>
        <v/>
      </c>
      <c r="C66" s="86" t="n">
        <v>5</v>
      </c>
      <c r="D66" s="86">
        <f>'11_발전량_모델'!B26</f>
        <v/>
      </c>
      <c r="E66" s="86">
        <f>'11_발전량_모델'!C26</f>
        <v/>
      </c>
      <c r="F66" s="86">
        <f>'11_발전량_모델'!D26</f>
        <v/>
      </c>
      <c r="G66" s="86">
        <f>'11_발전량_모델'!E26</f>
        <v/>
      </c>
      <c r="H66" s="86">
        <f>'11_발전량_모델'!F26</f>
        <v/>
      </c>
      <c r="I66" s="86">
        <f>'11_발전량_모델'!G26</f>
        <v/>
      </c>
      <c r="J66" s="86">
        <f>'11_발전량_모델'!H26</f>
        <v/>
      </c>
      <c r="K66" s="86">
        <f>'11_발전량_모델'!I26</f>
        <v/>
      </c>
      <c r="L66" s="86">
        <f>'11_발전량_모델'!J26</f>
        <v/>
      </c>
      <c r="M66" s="86">
        <f>IF(SUMIFS('15_태양기하'!$N$21:$N$1172,'15_태양기하'!$A$21:$A$1172,C66)=0,0,SUMIFS('15_태양기하'!$U$21:$U$1172,'15_태양기하'!$A$21:$A$1172,C66)/SUMIFS('15_태양기하'!$N$21:$N$1172,'15_태양기하'!$A$21:$A$1172,C66))</f>
        <v/>
      </c>
      <c r="N66" s="86">
        <f>L66*M66+K66*(1+COS(RADIANS('13_시나리오비교'!$B$10)))/2+F66*'11_발전량_모델'!$B$9*(1-COS(RADIANS('13_시나리오비교'!$B$10)))/2</f>
        <v/>
      </c>
      <c r="O66" s="86">
        <f>N66*D66</f>
        <v/>
      </c>
      <c r="P66" s="86">
        <f>O66*'11_발전량_모델'!$B$11*'11_발전량_모델'!$B$12*(1-'11_발전량_모델'!$B$13)*'11_발전량_모델'!$B$14</f>
        <v/>
      </c>
      <c r="Q66" s="86">
        <f>P66*'11_발전량_모델'!$B$10/1000</f>
        <v/>
      </c>
    </row>
    <row r="67">
      <c r="A67" s="86" t="n">
        <v>6</v>
      </c>
      <c r="B67" s="86">
        <f>'13_시나리오비교'!$A$10</f>
        <v/>
      </c>
      <c r="C67" s="86" t="n">
        <v>6</v>
      </c>
      <c r="D67" s="86">
        <f>'11_발전량_모델'!B27</f>
        <v/>
      </c>
      <c r="E67" s="86">
        <f>'11_발전량_모델'!C27</f>
        <v/>
      </c>
      <c r="F67" s="86">
        <f>'11_발전량_모델'!D27</f>
        <v/>
      </c>
      <c r="G67" s="86">
        <f>'11_발전량_모델'!E27</f>
        <v/>
      </c>
      <c r="H67" s="86">
        <f>'11_발전량_모델'!F27</f>
        <v/>
      </c>
      <c r="I67" s="86">
        <f>'11_발전량_모델'!G27</f>
        <v/>
      </c>
      <c r="J67" s="86">
        <f>'11_발전량_모델'!H27</f>
        <v/>
      </c>
      <c r="K67" s="86">
        <f>'11_발전량_모델'!I27</f>
        <v/>
      </c>
      <c r="L67" s="86">
        <f>'11_발전량_모델'!J27</f>
        <v/>
      </c>
      <c r="M67" s="86">
        <f>IF(SUMIFS('15_태양기하'!$N$21:$N$1172,'15_태양기하'!$A$21:$A$1172,C67)=0,0,SUMIFS('15_태양기하'!$U$21:$U$1172,'15_태양기하'!$A$21:$A$1172,C67)/SUMIFS('15_태양기하'!$N$21:$N$1172,'15_태양기하'!$A$21:$A$1172,C67))</f>
        <v/>
      </c>
      <c r="N67" s="86">
        <f>L67*M67+K67*(1+COS(RADIANS('13_시나리오비교'!$B$10)))/2+F67*'11_발전량_모델'!$B$9*(1-COS(RADIANS('13_시나리오비교'!$B$10)))/2</f>
        <v/>
      </c>
      <c r="O67" s="86">
        <f>N67*D67</f>
        <v/>
      </c>
      <c r="P67" s="86">
        <f>O67*'11_발전량_모델'!$B$11*'11_발전량_모델'!$B$12*(1-'11_발전량_모델'!$B$13)*'11_발전량_모델'!$B$14</f>
        <v/>
      </c>
      <c r="Q67" s="86">
        <f>P67*'11_발전량_모델'!$B$10/1000</f>
        <v/>
      </c>
    </row>
    <row r="68">
      <c r="A68" s="86" t="n">
        <v>6</v>
      </c>
      <c r="B68" s="86">
        <f>'13_시나리오비교'!$A$10</f>
        <v/>
      </c>
      <c r="C68" s="86" t="n">
        <v>7</v>
      </c>
      <c r="D68" s="86">
        <f>'11_발전량_모델'!B28</f>
        <v/>
      </c>
      <c r="E68" s="86">
        <f>'11_발전량_모델'!C28</f>
        <v/>
      </c>
      <c r="F68" s="86">
        <f>'11_발전량_모델'!D28</f>
        <v/>
      </c>
      <c r="G68" s="86">
        <f>'11_발전량_모델'!E28</f>
        <v/>
      </c>
      <c r="H68" s="86">
        <f>'11_발전량_모델'!F28</f>
        <v/>
      </c>
      <c r="I68" s="86">
        <f>'11_발전량_모델'!G28</f>
        <v/>
      </c>
      <c r="J68" s="86">
        <f>'11_발전량_모델'!H28</f>
        <v/>
      </c>
      <c r="K68" s="86">
        <f>'11_발전량_모델'!I28</f>
        <v/>
      </c>
      <c r="L68" s="86">
        <f>'11_발전량_모델'!J28</f>
        <v/>
      </c>
      <c r="M68" s="86">
        <f>IF(SUMIFS('15_태양기하'!$N$21:$N$1172,'15_태양기하'!$A$21:$A$1172,C68)=0,0,SUMIFS('15_태양기하'!$U$21:$U$1172,'15_태양기하'!$A$21:$A$1172,C68)/SUMIFS('15_태양기하'!$N$21:$N$1172,'15_태양기하'!$A$21:$A$1172,C68))</f>
        <v/>
      </c>
      <c r="N68" s="86">
        <f>L68*M68+K68*(1+COS(RADIANS('13_시나리오비교'!$B$10)))/2+F68*'11_발전량_모델'!$B$9*(1-COS(RADIANS('13_시나리오비교'!$B$10)))/2</f>
        <v/>
      </c>
      <c r="O68" s="86">
        <f>N68*D68</f>
        <v/>
      </c>
      <c r="P68" s="86">
        <f>O68*'11_발전량_모델'!$B$11*'11_발전량_모델'!$B$12*(1-'11_발전량_모델'!$B$13)*'11_발전량_모델'!$B$14</f>
        <v/>
      </c>
      <c r="Q68" s="86">
        <f>P68*'11_발전량_모델'!$B$10/1000</f>
        <v/>
      </c>
    </row>
    <row r="69">
      <c r="A69" s="86" t="n">
        <v>6</v>
      </c>
      <c r="B69" s="86">
        <f>'13_시나리오비교'!$A$10</f>
        <v/>
      </c>
      <c r="C69" s="86" t="n">
        <v>8</v>
      </c>
      <c r="D69" s="86">
        <f>'11_발전량_모델'!B29</f>
        <v/>
      </c>
      <c r="E69" s="86">
        <f>'11_발전량_모델'!C29</f>
        <v/>
      </c>
      <c r="F69" s="86">
        <f>'11_발전량_모델'!D29</f>
        <v/>
      </c>
      <c r="G69" s="86">
        <f>'11_발전량_모델'!E29</f>
        <v/>
      </c>
      <c r="H69" s="86">
        <f>'11_발전량_모델'!F29</f>
        <v/>
      </c>
      <c r="I69" s="86">
        <f>'11_발전량_모델'!G29</f>
        <v/>
      </c>
      <c r="J69" s="86">
        <f>'11_발전량_모델'!H29</f>
        <v/>
      </c>
      <c r="K69" s="86">
        <f>'11_발전량_모델'!I29</f>
        <v/>
      </c>
      <c r="L69" s="86">
        <f>'11_발전량_모델'!J29</f>
        <v/>
      </c>
      <c r="M69" s="86">
        <f>IF(SUMIFS('15_태양기하'!$N$21:$N$1172,'15_태양기하'!$A$21:$A$1172,C69)=0,0,SUMIFS('15_태양기하'!$U$21:$U$1172,'15_태양기하'!$A$21:$A$1172,C69)/SUMIFS('15_태양기하'!$N$21:$N$1172,'15_태양기하'!$A$21:$A$1172,C69))</f>
        <v/>
      </c>
      <c r="N69" s="86">
        <f>L69*M69+K69*(1+COS(RADIANS('13_시나리오비교'!$B$10)))/2+F69*'11_발전량_모델'!$B$9*(1-COS(RADIANS('13_시나리오비교'!$B$10)))/2</f>
        <v/>
      </c>
      <c r="O69" s="86">
        <f>N69*D69</f>
        <v/>
      </c>
      <c r="P69" s="86">
        <f>O69*'11_발전량_모델'!$B$11*'11_발전량_모델'!$B$12*(1-'11_발전량_모델'!$B$13)*'11_발전량_모델'!$B$14</f>
        <v/>
      </c>
      <c r="Q69" s="86">
        <f>P69*'11_발전량_모델'!$B$10/1000</f>
        <v/>
      </c>
    </row>
    <row r="70">
      <c r="A70" s="86" t="n">
        <v>6</v>
      </c>
      <c r="B70" s="86">
        <f>'13_시나리오비교'!$A$10</f>
        <v/>
      </c>
      <c r="C70" s="86" t="n">
        <v>9</v>
      </c>
      <c r="D70" s="86">
        <f>'11_발전량_모델'!B30</f>
        <v/>
      </c>
      <c r="E70" s="86">
        <f>'11_발전량_모델'!C30</f>
        <v/>
      </c>
      <c r="F70" s="86">
        <f>'11_발전량_모델'!D30</f>
        <v/>
      </c>
      <c r="G70" s="86">
        <f>'11_발전량_모델'!E30</f>
        <v/>
      </c>
      <c r="H70" s="86">
        <f>'11_발전량_모델'!F30</f>
        <v/>
      </c>
      <c r="I70" s="86">
        <f>'11_발전량_모델'!G30</f>
        <v/>
      </c>
      <c r="J70" s="86">
        <f>'11_발전량_모델'!H30</f>
        <v/>
      </c>
      <c r="K70" s="86">
        <f>'11_발전량_모델'!I30</f>
        <v/>
      </c>
      <c r="L70" s="86">
        <f>'11_발전량_모델'!J30</f>
        <v/>
      </c>
      <c r="M70" s="86">
        <f>IF(SUMIFS('15_태양기하'!$N$21:$N$1172,'15_태양기하'!$A$21:$A$1172,C70)=0,0,SUMIFS('15_태양기하'!$U$21:$U$1172,'15_태양기하'!$A$21:$A$1172,C70)/SUMIFS('15_태양기하'!$N$21:$N$1172,'15_태양기하'!$A$21:$A$1172,C70))</f>
        <v/>
      </c>
      <c r="N70" s="86">
        <f>L70*M70+K70*(1+COS(RADIANS('13_시나리오비교'!$B$10)))/2+F70*'11_발전량_모델'!$B$9*(1-COS(RADIANS('13_시나리오비교'!$B$10)))/2</f>
        <v/>
      </c>
      <c r="O70" s="86">
        <f>N70*D70</f>
        <v/>
      </c>
      <c r="P70" s="86">
        <f>O70*'11_발전량_모델'!$B$11*'11_발전량_모델'!$B$12*(1-'11_발전량_모델'!$B$13)*'11_발전량_모델'!$B$14</f>
        <v/>
      </c>
      <c r="Q70" s="86">
        <f>P70*'11_발전량_모델'!$B$10/1000</f>
        <v/>
      </c>
    </row>
    <row r="71">
      <c r="A71" s="86" t="n">
        <v>6</v>
      </c>
      <c r="B71" s="86">
        <f>'13_시나리오비교'!$A$10</f>
        <v/>
      </c>
      <c r="C71" s="86" t="n">
        <v>10</v>
      </c>
      <c r="D71" s="86">
        <f>'11_발전량_모델'!B31</f>
        <v/>
      </c>
      <c r="E71" s="86">
        <f>'11_발전량_모델'!C31</f>
        <v/>
      </c>
      <c r="F71" s="86">
        <f>'11_발전량_모델'!D31</f>
        <v/>
      </c>
      <c r="G71" s="86">
        <f>'11_발전량_모델'!E31</f>
        <v/>
      </c>
      <c r="H71" s="86">
        <f>'11_발전량_모델'!F31</f>
        <v/>
      </c>
      <c r="I71" s="86">
        <f>'11_발전량_모델'!G31</f>
        <v/>
      </c>
      <c r="J71" s="86">
        <f>'11_발전량_모델'!H31</f>
        <v/>
      </c>
      <c r="K71" s="86">
        <f>'11_발전량_모델'!I31</f>
        <v/>
      </c>
      <c r="L71" s="86">
        <f>'11_발전량_모델'!J31</f>
        <v/>
      </c>
      <c r="M71" s="86">
        <f>IF(SUMIFS('15_태양기하'!$N$21:$N$1172,'15_태양기하'!$A$21:$A$1172,C71)=0,0,SUMIFS('15_태양기하'!$U$21:$U$1172,'15_태양기하'!$A$21:$A$1172,C71)/SUMIFS('15_태양기하'!$N$21:$N$1172,'15_태양기하'!$A$21:$A$1172,C71))</f>
        <v/>
      </c>
      <c r="N71" s="86">
        <f>L71*M71+K71*(1+COS(RADIANS('13_시나리오비교'!$B$10)))/2+F71*'11_발전량_모델'!$B$9*(1-COS(RADIANS('13_시나리오비교'!$B$10)))/2</f>
        <v/>
      </c>
      <c r="O71" s="86">
        <f>N71*D71</f>
        <v/>
      </c>
      <c r="P71" s="86">
        <f>O71*'11_발전량_모델'!$B$11*'11_발전량_모델'!$B$12*(1-'11_발전량_모델'!$B$13)*'11_발전량_모델'!$B$14</f>
        <v/>
      </c>
      <c r="Q71" s="86">
        <f>P71*'11_발전량_모델'!$B$10/1000</f>
        <v/>
      </c>
    </row>
    <row r="72">
      <c r="A72" s="86" t="n">
        <v>6</v>
      </c>
      <c r="B72" s="86">
        <f>'13_시나리오비교'!$A$10</f>
        <v/>
      </c>
      <c r="C72" s="86" t="n">
        <v>11</v>
      </c>
      <c r="D72" s="86">
        <f>'11_발전량_모델'!B32</f>
        <v/>
      </c>
      <c r="E72" s="86">
        <f>'11_발전량_모델'!C32</f>
        <v/>
      </c>
      <c r="F72" s="86">
        <f>'11_발전량_모델'!D32</f>
        <v/>
      </c>
      <c r="G72" s="86">
        <f>'11_발전량_모델'!E32</f>
        <v/>
      </c>
      <c r="H72" s="86">
        <f>'11_발전량_모델'!F32</f>
        <v/>
      </c>
      <c r="I72" s="86">
        <f>'11_발전량_모델'!G32</f>
        <v/>
      </c>
      <c r="J72" s="86">
        <f>'11_발전량_모델'!H32</f>
        <v/>
      </c>
      <c r="K72" s="86">
        <f>'11_발전량_모델'!I32</f>
        <v/>
      </c>
      <c r="L72" s="86">
        <f>'11_발전량_모델'!J32</f>
        <v/>
      </c>
      <c r="M72" s="86">
        <f>IF(SUMIFS('15_태양기하'!$N$21:$N$1172,'15_태양기하'!$A$21:$A$1172,C72)=0,0,SUMIFS('15_태양기하'!$U$21:$U$1172,'15_태양기하'!$A$21:$A$1172,C72)/SUMIFS('15_태양기하'!$N$21:$N$1172,'15_태양기하'!$A$21:$A$1172,C72))</f>
        <v/>
      </c>
      <c r="N72" s="86">
        <f>L72*M72+K72*(1+COS(RADIANS('13_시나리오비교'!$B$10)))/2+F72*'11_발전량_모델'!$B$9*(1-COS(RADIANS('13_시나리오비교'!$B$10)))/2</f>
        <v/>
      </c>
      <c r="O72" s="86">
        <f>N72*D72</f>
        <v/>
      </c>
      <c r="P72" s="86">
        <f>O72*'11_발전량_모델'!$B$11*'11_발전량_모델'!$B$12*(1-'11_발전량_모델'!$B$13)*'11_발전량_모델'!$B$14</f>
        <v/>
      </c>
      <c r="Q72" s="86">
        <f>P72*'11_발전량_모델'!$B$10/1000</f>
        <v/>
      </c>
    </row>
    <row r="73">
      <c r="A73" s="86" t="n">
        <v>6</v>
      </c>
      <c r="B73" s="86">
        <f>'13_시나리오비교'!$A$10</f>
        <v/>
      </c>
      <c r="C73" s="86" t="n">
        <v>12</v>
      </c>
      <c r="D73" s="86">
        <f>'11_발전량_모델'!B33</f>
        <v/>
      </c>
      <c r="E73" s="86">
        <f>'11_발전량_모델'!C33</f>
        <v/>
      </c>
      <c r="F73" s="86">
        <f>'11_발전량_모델'!D33</f>
        <v/>
      </c>
      <c r="G73" s="86">
        <f>'11_발전량_모델'!E33</f>
        <v/>
      </c>
      <c r="H73" s="86">
        <f>'11_발전량_모델'!F33</f>
        <v/>
      </c>
      <c r="I73" s="86">
        <f>'11_발전량_모델'!G33</f>
        <v/>
      </c>
      <c r="J73" s="86">
        <f>'11_발전량_모델'!H33</f>
        <v/>
      </c>
      <c r="K73" s="86">
        <f>'11_발전량_모델'!I33</f>
        <v/>
      </c>
      <c r="L73" s="86">
        <f>'11_발전량_모델'!J33</f>
        <v/>
      </c>
      <c r="M73" s="86">
        <f>IF(SUMIFS('15_태양기하'!$N$21:$N$1172,'15_태양기하'!$A$21:$A$1172,C73)=0,0,SUMIFS('15_태양기하'!$U$21:$U$1172,'15_태양기하'!$A$21:$A$1172,C73)/SUMIFS('15_태양기하'!$N$21:$N$1172,'15_태양기하'!$A$21:$A$1172,C73))</f>
        <v/>
      </c>
      <c r="N73" s="86">
        <f>L73*M73+K73*(1+COS(RADIANS('13_시나리오비교'!$B$10)))/2+F73*'11_발전량_모델'!$B$9*(1-COS(RADIANS('13_시나리오비교'!$B$10)))/2</f>
        <v/>
      </c>
      <c r="O73" s="86">
        <f>N73*D73</f>
        <v/>
      </c>
      <c r="P73" s="86">
        <f>O73*'11_발전량_모델'!$B$11*'11_발전량_모델'!$B$12*(1-'11_발전량_모델'!$B$13)*'11_발전량_모델'!$B$14</f>
        <v/>
      </c>
      <c r="Q73" s="86">
        <f>P73*'11_발전량_모델'!$B$10/1000</f>
        <v/>
      </c>
    </row>
    <row r="74">
      <c r="A74" s="86" t="n">
        <v>7</v>
      </c>
      <c r="B74" s="86">
        <f>'13_시나리오비교'!$A$11</f>
        <v/>
      </c>
      <c r="C74" s="86" t="n">
        <v>1</v>
      </c>
      <c r="D74" s="86">
        <f>'11_발전량_모델'!B22</f>
        <v/>
      </c>
      <c r="E74" s="86">
        <f>'11_발전량_모델'!C22</f>
        <v/>
      </c>
      <c r="F74" s="86">
        <f>'11_발전량_모델'!D22</f>
        <v/>
      </c>
      <c r="G74" s="86">
        <f>'11_발전량_모델'!E22</f>
        <v/>
      </c>
      <c r="H74" s="86">
        <f>'11_발전량_모델'!F22</f>
        <v/>
      </c>
      <c r="I74" s="86">
        <f>'11_발전량_모델'!G22</f>
        <v/>
      </c>
      <c r="J74" s="86">
        <f>'11_발전량_모델'!H22</f>
        <v/>
      </c>
      <c r="K74" s="86">
        <f>'11_발전량_모델'!I22</f>
        <v/>
      </c>
      <c r="L74" s="86">
        <f>'11_발전량_모델'!J22</f>
        <v/>
      </c>
      <c r="M74" s="86">
        <f>IF(SUMIFS('15_태양기하'!$N$21:$N$1172,'15_태양기하'!$A$21:$A$1172,C74)=0,0,SUMIFS('15_태양기하'!$V$21:$V$1172,'15_태양기하'!$A$21:$A$1172,C74)/SUMIFS('15_태양기하'!$N$21:$N$1172,'15_태양기하'!$A$21:$A$1172,C74))</f>
        <v/>
      </c>
      <c r="N74" s="86">
        <f>L74*M74+K74*(1+COS(RADIANS('13_시나리오비교'!$B$11)))/2+F74*'11_발전량_모델'!$B$9*(1-COS(RADIANS('13_시나리오비교'!$B$11)))/2</f>
        <v/>
      </c>
      <c r="O74" s="86">
        <f>N74*D74</f>
        <v/>
      </c>
      <c r="P74" s="86">
        <f>O74*'11_발전량_모델'!$B$11*'11_발전량_모델'!$B$12*(1-'11_발전량_모델'!$B$13)*'11_발전량_모델'!$B$14</f>
        <v/>
      </c>
      <c r="Q74" s="86">
        <f>P74*'11_발전량_모델'!$B$10/1000</f>
        <v/>
      </c>
    </row>
    <row r="75">
      <c r="A75" s="86" t="n">
        <v>7</v>
      </c>
      <c r="B75" s="86">
        <f>'13_시나리오비교'!$A$11</f>
        <v/>
      </c>
      <c r="C75" s="86" t="n">
        <v>2</v>
      </c>
      <c r="D75" s="86">
        <f>'11_발전량_모델'!B23</f>
        <v/>
      </c>
      <c r="E75" s="86">
        <f>'11_발전량_모델'!C23</f>
        <v/>
      </c>
      <c r="F75" s="86">
        <f>'11_발전량_모델'!D23</f>
        <v/>
      </c>
      <c r="G75" s="86">
        <f>'11_발전량_모델'!E23</f>
        <v/>
      </c>
      <c r="H75" s="86">
        <f>'11_발전량_모델'!F23</f>
        <v/>
      </c>
      <c r="I75" s="86">
        <f>'11_발전량_모델'!G23</f>
        <v/>
      </c>
      <c r="J75" s="86">
        <f>'11_발전량_모델'!H23</f>
        <v/>
      </c>
      <c r="K75" s="86">
        <f>'11_발전량_모델'!I23</f>
        <v/>
      </c>
      <c r="L75" s="86">
        <f>'11_발전량_모델'!J23</f>
        <v/>
      </c>
      <c r="M75" s="86">
        <f>IF(SUMIFS('15_태양기하'!$N$21:$N$1172,'15_태양기하'!$A$21:$A$1172,C75)=0,0,SUMIFS('15_태양기하'!$V$21:$V$1172,'15_태양기하'!$A$21:$A$1172,C75)/SUMIFS('15_태양기하'!$N$21:$N$1172,'15_태양기하'!$A$21:$A$1172,C75))</f>
        <v/>
      </c>
      <c r="N75" s="86">
        <f>L75*M75+K75*(1+COS(RADIANS('13_시나리오비교'!$B$11)))/2+F75*'11_발전량_모델'!$B$9*(1-COS(RADIANS('13_시나리오비교'!$B$11)))/2</f>
        <v/>
      </c>
      <c r="O75" s="86">
        <f>N75*D75</f>
        <v/>
      </c>
      <c r="P75" s="86">
        <f>O75*'11_발전량_모델'!$B$11*'11_발전량_모델'!$B$12*(1-'11_발전량_모델'!$B$13)*'11_발전량_모델'!$B$14</f>
        <v/>
      </c>
      <c r="Q75" s="86">
        <f>P75*'11_발전량_모델'!$B$10/1000</f>
        <v/>
      </c>
    </row>
    <row r="76">
      <c r="A76" s="86" t="n">
        <v>7</v>
      </c>
      <c r="B76" s="86">
        <f>'13_시나리오비교'!$A$11</f>
        <v/>
      </c>
      <c r="C76" s="86" t="n">
        <v>3</v>
      </c>
      <c r="D76" s="86">
        <f>'11_발전량_모델'!B24</f>
        <v/>
      </c>
      <c r="E76" s="86">
        <f>'11_발전량_모델'!C24</f>
        <v/>
      </c>
      <c r="F76" s="86">
        <f>'11_발전량_모델'!D24</f>
        <v/>
      </c>
      <c r="G76" s="86">
        <f>'11_발전량_모델'!E24</f>
        <v/>
      </c>
      <c r="H76" s="86">
        <f>'11_발전량_모델'!F24</f>
        <v/>
      </c>
      <c r="I76" s="86">
        <f>'11_발전량_모델'!G24</f>
        <v/>
      </c>
      <c r="J76" s="86">
        <f>'11_발전량_모델'!H24</f>
        <v/>
      </c>
      <c r="K76" s="86">
        <f>'11_발전량_모델'!I24</f>
        <v/>
      </c>
      <c r="L76" s="86">
        <f>'11_발전량_모델'!J24</f>
        <v/>
      </c>
      <c r="M76" s="86">
        <f>IF(SUMIFS('15_태양기하'!$N$21:$N$1172,'15_태양기하'!$A$21:$A$1172,C76)=0,0,SUMIFS('15_태양기하'!$V$21:$V$1172,'15_태양기하'!$A$21:$A$1172,C76)/SUMIFS('15_태양기하'!$N$21:$N$1172,'15_태양기하'!$A$21:$A$1172,C76))</f>
        <v/>
      </c>
      <c r="N76" s="86">
        <f>L76*M76+K76*(1+COS(RADIANS('13_시나리오비교'!$B$11)))/2+F76*'11_발전량_모델'!$B$9*(1-COS(RADIANS('13_시나리오비교'!$B$11)))/2</f>
        <v/>
      </c>
      <c r="O76" s="86">
        <f>N76*D76</f>
        <v/>
      </c>
      <c r="P76" s="86">
        <f>O76*'11_발전량_모델'!$B$11*'11_발전량_모델'!$B$12*(1-'11_발전량_모델'!$B$13)*'11_발전량_모델'!$B$14</f>
        <v/>
      </c>
      <c r="Q76" s="86">
        <f>P76*'11_발전량_모델'!$B$10/1000</f>
        <v/>
      </c>
    </row>
    <row r="77">
      <c r="A77" s="86" t="n">
        <v>7</v>
      </c>
      <c r="B77" s="86">
        <f>'13_시나리오비교'!$A$11</f>
        <v/>
      </c>
      <c r="C77" s="86" t="n">
        <v>4</v>
      </c>
      <c r="D77" s="86">
        <f>'11_발전량_모델'!B25</f>
        <v/>
      </c>
      <c r="E77" s="86">
        <f>'11_발전량_모델'!C25</f>
        <v/>
      </c>
      <c r="F77" s="86">
        <f>'11_발전량_모델'!D25</f>
        <v/>
      </c>
      <c r="G77" s="86">
        <f>'11_발전량_모델'!E25</f>
        <v/>
      </c>
      <c r="H77" s="86">
        <f>'11_발전량_모델'!F25</f>
        <v/>
      </c>
      <c r="I77" s="86">
        <f>'11_발전량_모델'!G25</f>
        <v/>
      </c>
      <c r="J77" s="86">
        <f>'11_발전량_모델'!H25</f>
        <v/>
      </c>
      <c r="K77" s="86">
        <f>'11_발전량_모델'!I25</f>
        <v/>
      </c>
      <c r="L77" s="86">
        <f>'11_발전량_모델'!J25</f>
        <v/>
      </c>
      <c r="M77" s="86">
        <f>IF(SUMIFS('15_태양기하'!$N$21:$N$1172,'15_태양기하'!$A$21:$A$1172,C77)=0,0,SUMIFS('15_태양기하'!$V$21:$V$1172,'15_태양기하'!$A$21:$A$1172,C77)/SUMIFS('15_태양기하'!$N$21:$N$1172,'15_태양기하'!$A$21:$A$1172,C77))</f>
        <v/>
      </c>
      <c r="N77" s="86">
        <f>L77*M77+K77*(1+COS(RADIANS('13_시나리오비교'!$B$11)))/2+F77*'11_발전량_모델'!$B$9*(1-COS(RADIANS('13_시나리오비교'!$B$11)))/2</f>
        <v/>
      </c>
      <c r="O77" s="86">
        <f>N77*D77</f>
        <v/>
      </c>
      <c r="P77" s="86">
        <f>O77*'11_발전량_모델'!$B$11*'11_발전량_모델'!$B$12*(1-'11_발전량_모델'!$B$13)*'11_발전량_모델'!$B$14</f>
        <v/>
      </c>
      <c r="Q77" s="86">
        <f>P77*'11_발전량_모델'!$B$10/1000</f>
        <v/>
      </c>
    </row>
    <row r="78">
      <c r="A78" s="86" t="n">
        <v>7</v>
      </c>
      <c r="B78" s="86">
        <f>'13_시나리오비교'!$A$11</f>
        <v/>
      </c>
      <c r="C78" s="86" t="n">
        <v>5</v>
      </c>
      <c r="D78" s="86">
        <f>'11_발전량_모델'!B26</f>
        <v/>
      </c>
      <c r="E78" s="86">
        <f>'11_발전량_모델'!C26</f>
        <v/>
      </c>
      <c r="F78" s="86">
        <f>'11_발전량_모델'!D26</f>
        <v/>
      </c>
      <c r="G78" s="86">
        <f>'11_발전량_모델'!E26</f>
        <v/>
      </c>
      <c r="H78" s="86">
        <f>'11_발전량_모델'!F26</f>
        <v/>
      </c>
      <c r="I78" s="86">
        <f>'11_발전량_모델'!G26</f>
        <v/>
      </c>
      <c r="J78" s="86">
        <f>'11_발전량_모델'!H26</f>
        <v/>
      </c>
      <c r="K78" s="86">
        <f>'11_발전량_모델'!I26</f>
        <v/>
      </c>
      <c r="L78" s="86">
        <f>'11_발전량_모델'!J26</f>
        <v/>
      </c>
      <c r="M78" s="86">
        <f>IF(SUMIFS('15_태양기하'!$N$21:$N$1172,'15_태양기하'!$A$21:$A$1172,C78)=0,0,SUMIFS('15_태양기하'!$V$21:$V$1172,'15_태양기하'!$A$21:$A$1172,C78)/SUMIFS('15_태양기하'!$N$21:$N$1172,'15_태양기하'!$A$21:$A$1172,C78))</f>
        <v/>
      </c>
      <c r="N78" s="86">
        <f>L78*M78+K78*(1+COS(RADIANS('13_시나리오비교'!$B$11)))/2+F78*'11_발전량_모델'!$B$9*(1-COS(RADIANS('13_시나리오비교'!$B$11)))/2</f>
        <v/>
      </c>
      <c r="O78" s="86">
        <f>N78*D78</f>
        <v/>
      </c>
      <c r="P78" s="86">
        <f>O78*'11_발전량_모델'!$B$11*'11_발전량_모델'!$B$12*(1-'11_발전량_모델'!$B$13)*'11_발전량_모델'!$B$14</f>
        <v/>
      </c>
      <c r="Q78" s="86">
        <f>P78*'11_발전량_모델'!$B$10/1000</f>
        <v/>
      </c>
    </row>
    <row r="79">
      <c r="A79" s="86" t="n">
        <v>7</v>
      </c>
      <c r="B79" s="86">
        <f>'13_시나리오비교'!$A$11</f>
        <v/>
      </c>
      <c r="C79" s="86" t="n">
        <v>6</v>
      </c>
      <c r="D79" s="86">
        <f>'11_발전량_모델'!B27</f>
        <v/>
      </c>
      <c r="E79" s="86">
        <f>'11_발전량_모델'!C27</f>
        <v/>
      </c>
      <c r="F79" s="86">
        <f>'11_발전량_모델'!D27</f>
        <v/>
      </c>
      <c r="G79" s="86">
        <f>'11_발전량_모델'!E27</f>
        <v/>
      </c>
      <c r="H79" s="86">
        <f>'11_발전량_모델'!F27</f>
        <v/>
      </c>
      <c r="I79" s="86">
        <f>'11_발전량_모델'!G27</f>
        <v/>
      </c>
      <c r="J79" s="86">
        <f>'11_발전량_모델'!H27</f>
        <v/>
      </c>
      <c r="K79" s="86">
        <f>'11_발전량_모델'!I27</f>
        <v/>
      </c>
      <c r="L79" s="86">
        <f>'11_발전량_모델'!J27</f>
        <v/>
      </c>
      <c r="M79" s="86">
        <f>IF(SUMIFS('15_태양기하'!$N$21:$N$1172,'15_태양기하'!$A$21:$A$1172,C79)=0,0,SUMIFS('15_태양기하'!$V$21:$V$1172,'15_태양기하'!$A$21:$A$1172,C79)/SUMIFS('15_태양기하'!$N$21:$N$1172,'15_태양기하'!$A$21:$A$1172,C79))</f>
        <v/>
      </c>
      <c r="N79" s="86">
        <f>L79*M79+K79*(1+COS(RADIANS('13_시나리오비교'!$B$11)))/2+F79*'11_발전량_모델'!$B$9*(1-COS(RADIANS('13_시나리오비교'!$B$11)))/2</f>
        <v/>
      </c>
      <c r="O79" s="86">
        <f>N79*D79</f>
        <v/>
      </c>
      <c r="P79" s="86">
        <f>O79*'11_발전량_모델'!$B$11*'11_발전량_모델'!$B$12*(1-'11_발전량_모델'!$B$13)*'11_발전량_모델'!$B$14</f>
        <v/>
      </c>
      <c r="Q79" s="86">
        <f>P79*'11_발전량_모델'!$B$10/1000</f>
        <v/>
      </c>
    </row>
    <row r="80">
      <c r="A80" s="86" t="n">
        <v>7</v>
      </c>
      <c r="B80" s="86">
        <f>'13_시나리오비교'!$A$11</f>
        <v/>
      </c>
      <c r="C80" s="86" t="n">
        <v>7</v>
      </c>
      <c r="D80" s="86">
        <f>'11_발전량_모델'!B28</f>
        <v/>
      </c>
      <c r="E80" s="86">
        <f>'11_발전량_모델'!C28</f>
        <v/>
      </c>
      <c r="F80" s="86">
        <f>'11_발전량_모델'!D28</f>
        <v/>
      </c>
      <c r="G80" s="86">
        <f>'11_발전량_모델'!E28</f>
        <v/>
      </c>
      <c r="H80" s="86">
        <f>'11_발전량_모델'!F28</f>
        <v/>
      </c>
      <c r="I80" s="86">
        <f>'11_발전량_모델'!G28</f>
        <v/>
      </c>
      <c r="J80" s="86">
        <f>'11_발전량_모델'!H28</f>
        <v/>
      </c>
      <c r="K80" s="86">
        <f>'11_발전량_모델'!I28</f>
        <v/>
      </c>
      <c r="L80" s="86">
        <f>'11_발전량_모델'!J28</f>
        <v/>
      </c>
      <c r="M80" s="86">
        <f>IF(SUMIFS('15_태양기하'!$N$21:$N$1172,'15_태양기하'!$A$21:$A$1172,C80)=0,0,SUMIFS('15_태양기하'!$V$21:$V$1172,'15_태양기하'!$A$21:$A$1172,C80)/SUMIFS('15_태양기하'!$N$21:$N$1172,'15_태양기하'!$A$21:$A$1172,C80))</f>
        <v/>
      </c>
      <c r="N80" s="86">
        <f>L80*M80+K80*(1+COS(RADIANS('13_시나리오비교'!$B$11)))/2+F80*'11_발전량_모델'!$B$9*(1-COS(RADIANS('13_시나리오비교'!$B$11)))/2</f>
        <v/>
      </c>
      <c r="O80" s="86">
        <f>N80*D80</f>
        <v/>
      </c>
      <c r="P80" s="86">
        <f>O80*'11_발전량_모델'!$B$11*'11_발전량_모델'!$B$12*(1-'11_발전량_모델'!$B$13)*'11_발전량_모델'!$B$14</f>
        <v/>
      </c>
      <c r="Q80" s="86">
        <f>P80*'11_발전량_모델'!$B$10/1000</f>
        <v/>
      </c>
    </row>
    <row r="81">
      <c r="A81" s="86" t="n">
        <v>7</v>
      </c>
      <c r="B81" s="86">
        <f>'13_시나리오비교'!$A$11</f>
        <v/>
      </c>
      <c r="C81" s="86" t="n">
        <v>8</v>
      </c>
      <c r="D81" s="86">
        <f>'11_발전량_모델'!B29</f>
        <v/>
      </c>
      <c r="E81" s="86">
        <f>'11_발전량_모델'!C29</f>
        <v/>
      </c>
      <c r="F81" s="86">
        <f>'11_발전량_모델'!D29</f>
        <v/>
      </c>
      <c r="G81" s="86">
        <f>'11_발전량_모델'!E29</f>
        <v/>
      </c>
      <c r="H81" s="86">
        <f>'11_발전량_모델'!F29</f>
        <v/>
      </c>
      <c r="I81" s="86">
        <f>'11_발전량_모델'!G29</f>
        <v/>
      </c>
      <c r="J81" s="86">
        <f>'11_발전량_모델'!H29</f>
        <v/>
      </c>
      <c r="K81" s="86">
        <f>'11_발전량_모델'!I29</f>
        <v/>
      </c>
      <c r="L81" s="86">
        <f>'11_발전량_모델'!J29</f>
        <v/>
      </c>
      <c r="M81" s="86">
        <f>IF(SUMIFS('15_태양기하'!$N$21:$N$1172,'15_태양기하'!$A$21:$A$1172,C81)=0,0,SUMIFS('15_태양기하'!$V$21:$V$1172,'15_태양기하'!$A$21:$A$1172,C81)/SUMIFS('15_태양기하'!$N$21:$N$1172,'15_태양기하'!$A$21:$A$1172,C81))</f>
        <v/>
      </c>
      <c r="N81" s="86">
        <f>L81*M81+K81*(1+COS(RADIANS('13_시나리오비교'!$B$11)))/2+F81*'11_발전량_모델'!$B$9*(1-COS(RADIANS('13_시나리오비교'!$B$11)))/2</f>
        <v/>
      </c>
      <c r="O81" s="86">
        <f>N81*D81</f>
        <v/>
      </c>
      <c r="P81" s="86">
        <f>O81*'11_발전량_모델'!$B$11*'11_발전량_모델'!$B$12*(1-'11_발전량_모델'!$B$13)*'11_발전량_모델'!$B$14</f>
        <v/>
      </c>
      <c r="Q81" s="86">
        <f>P81*'11_발전량_모델'!$B$10/1000</f>
        <v/>
      </c>
    </row>
    <row r="82">
      <c r="A82" s="86" t="n">
        <v>7</v>
      </c>
      <c r="B82" s="86">
        <f>'13_시나리오비교'!$A$11</f>
        <v/>
      </c>
      <c r="C82" s="86" t="n">
        <v>9</v>
      </c>
      <c r="D82" s="86">
        <f>'11_발전량_모델'!B30</f>
        <v/>
      </c>
      <c r="E82" s="86">
        <f>'11_발전량_모델'!C30</f>
        <v/>
      </c>
      <c r="F82" s="86">
        <f>'11_발전량_모델'!D30</f>
        <v/>
      </c>
      <c r="G82" s="86">
        <f>'11_발전량_모델'!E30</f>
        <v/>
      </c>
      <c r="H82" s="86">
        <f>'11_발전량_모델'!F30</f>
        <v/>
      </c>
      <c r="I82" s="86">
        <f>'11_발전량_모델'!G30</f>
        <v/>
      </c>
      <c r="J82" s="86">
        <f>'11_발전량_모델'!H30</f>
        <v/>
      </c>
      <c r="K82" s="86">
        <f>'11_발전량_모델'!I30</f>
        <v/>
      </c>
      <c r="L82" s="86">
        <f>'11_발전량_모델'!J30</f>
        <v/>
      </c>
      <c r="M82" s="86">
        <f>IF(SUMIFS('15_태양기하'!$N$21:$N$1172,'15_태양기하'!$A$21:$A$1172,C82)=0,0,SUMIFS('15_태양기하'!$V$21:$V$1172,'15_태양기하'!$A$21:$A$1172,C82)/SUMIFS('15_태양기하'!$N$21:$N$1172,'15_태양기하'!$A$21:$A$1172,C82))</f>
        <v/>
      </c>
      <c r="N82" s="86">
        <f>L82*M82+K82*(1+COS(RADIANS('13_시나리오비교'!$B$11)))/2+F82*'11_발전량_모델'!$B$9*(1-COS(RADIANS('13_시나리오비교'!$B$11)))/2</f>
        <v/>
      </c>
      <c r="O82" s="86">
        <f>N82*D82</f>
        <v/>
      </c>
      <c r="P82" s="86">
        <f>O82*'11_발전량_모델'!$B$11*'11_발전량_모델'!$B$12*(1-'11_발전량_모델'!$B$13)*'11_발전량_모델'!$B$14</f>
        <v/>
      </c>
      <c r="Q82" s="86">
        <f>P82*'11_발전량_모델'!$B$10/1000</f>
        <v/>
      </c>
    </row>
    <row r="83">
      <c r="A83" s="86" t="n">
        <v>7</v>
      </c>
      <c r="B83" s="86">
        <f>'13_시나리오비교'!$A$11</f>
        <v/>
      </c>
      <c r="C83" s="86" t="n">
        <v>10</v>
      </c>
      <c r="D83" s="86">
        <f>'11_발전량_모델'!B31</f>
        <v/>
      </c>
      <c r="E83" s="86">
        <f>'11_발전량_모델'!C31</f>
        <v/>
      </c>
      <c r="F83" s="86">
        <f>'11_발전량_모델'!D31</f>
        <v/>
      </c>
      <c r="G83" s="86">
        <f>'11_발전량_모델'!E31</f>
        <v/>
      </c>
      <c r="H83" s="86">
        <f>'11_발전량_모델'!F31</f>
        <v/>
      </c>
      <c r="I83" s="86">
        <f>'11_발전량_모델'!G31</f>
        <v/>
      </c>
      <c r="J83" s="86">
        <f>'11_발전량_모델'!H31</f>
        <v/>
      </c>
      <c r="K83" s="86">
        <f>'11_발전량_모델'!I31</f>
        <v/>
      </c>
      <c r="L83" s="86">
        <f>'11_발전량_모델'!J31</f>
        <v/>
      </c>
      <c r="M83" s="86">
        <f>IF(SUMIFS('15_태양기하'!$N$21:$N$1172,'15_태양기하'!$A$21:$A$1172,C83)=0,0,SUMIFS('15_태양기하'!$V$21:$V$1172,'15_태양기하'!$A$21:$A$1172,C83)/SUMIFS('15_태양기하'!$N$21:$N$1172,'15_태양기하'!$A$21:$A$1172,C83))</f>
        <v/>
      </c>
      <c r="N83" s="86">
        <f>L83*M83+K83*(1+COS(RADIANS('13_시나리오비교'!$B$11)))/2+F83*'11_발전량_모델'!$B$9*(1-COS(RADIANS('13_시나리오비교'!$B$11)))/2</f>
        <v/>
      </c>
      <c r="O83" s="86">
        <f>N83*D83</f>
        <v/>
      </c>
      <c r="P83" s="86">
        <f>O83*'11_발전량_모델'!$B$11*'11_발전량_모델'!$B$12*(1-'11_발전량_모델'!$B$13)*'11_발전량_모델'!$B$14</f>
        <v/>
      </c>
      <c r="Q83" s="86">
        <f>P83*'11_발전량_모델'!$B$10/1000</f>
        <v/>
      </c>
    </row>
    <row r="84">
      <c r="A84" s="86" t="n">
        <v>7</v>
      </c>
      <c r="B84" s="86">
        <f>'13_시나리오비교'!$A$11</f>
        <v/>
      </c>
      <c r="C84" s="86" t="n">
        <v>11</v>
      </c>
      <c r="D84" s="86">
        <f>'11_발전량_모델'!B32</f>
        <v/>
      </c>
      <c r="E84" s="86">
        <f>'11_발전량_모델'!C32</f>
        <v/>
      </c>
      <c r="F84" s="86">
        <f>'11_발전량_모델'!D32</f>
        <v/>
      </c>
      <c r="G84" s="86">
        <f>'11_발전량_모델'!E32</f>
        <v/>
      </c>
      <c r="H84" s="86">
        <f>'11_발전량_모델'!F32</f>
        <v/>
      </c>
      <c r="I84" s="86">
        <f>'11_발전량_모델'!G32</f>
        <v/>
      </c>
      <c r="J84" s="86">
        <f>'11_발전량_모델'!H32</f>
        <v/>
      </c>
      <c r="K84" s="86">
        <f>'11_발전량_모델'!I32</f>
        <v/>
      </c>
      <c r="L84" s="86">
        <f>'11_발전량_모델'!J32</f>
        <v/>
      </c>
      <c r="M84" s="86">
        <f>IF(SUMIFS('15_태양기하'!$N$21:$N$1172,'15_태양기하'!$A$21:$A$1172,C84)=0,0,SUMIFS('15_태양기하'!$V$21:$V$1172,'15_태양기하'!$A$21:$A$1172,C84)/SUMIFS('15_태양기하'!$N$21:$N$1172,'15_태양기하'!$A$21:$A$1172,C84))</f>
        <v/>
      </c>
      <c r="N84" s="86">
        <f>L84*M84+K84*(1+COS(RADIANS('13_시나리오비교'!$B$11)))/2+F84*'11_발전량_모델'!$B$9*(1-COS(RADIANS('13_시나리오비교'!$B$11)))/2</f>
        <v/>
      </c>
      <c r="O84" s="86">
        <f>N84*D84</f>
        <v/>
      </c>
      <c r="P84" s="86">
        <f>O84*'11_발전량_모델'!$B$11*'11_발전량_모델'!$B$12*(1-'11_발전량_모델'!$B$13)*'11_발전량_모델'!$B$14</f>
        <v/>
      </c>
      <c r="Q84" s="86">
        <f>P84*'11_발전량_모델'!$B$10/1000</f>
        <v/>
      </c>
    </row>
    <row r="85">
      <c r="A85" s="86" t="n">
        <v>7</v>
      </c>
      <c r="B85" s="86">
        <f>'13_시나리오비교'!$A$11</f>
        <v/>
      </c>
      <c r="C85" s="86" t="n">
        <v>12</v>
      </c>
      <c r="D85" s="86">
        <f>'11_발전량_모델'!B33</f>
        <v/>
      </c>
      <c r="E85" s="86">
        <f>'11_발전량_모델'!C33</f>
        <v/>
      </c>
      <c r="F85" s="86">
        <f>'11_발전량_모델'!D33</f>
        <v/>
      </c>
      <c r="G85" s="86">
        <f>'11_발전량_모델'!E33</f>
        <v/>
      </c>
      <c r="H85" s="86">
        <f>'11_발전량_모델'!F33</f>
        <v/>
      </c>
      <c r="I85" s="86">
        <f>'11_발전량_모델'!G33</f>
        <v/>
      </c>
      <c r="J85" s="86">
        <f>'11_발전량_모델'!H33</f>
        <v/>
      </c>
      <c r="K85" s="86">
        <f>'11_발전량_모델'!I33</f>
        <v/>
      </c>
      <c r="L85" s="86">
        <f>'11_발전량_모델'!J33</f>
        <v/>
      </c>
      <c r="M85" s="86">
        <f>IF(SUMIFS('15_태양기하'!$N$21:$N$1172,'15_태양기하'!$A$21:$A$1172,C85)=0,0,SUMIFS('15_태양기하'!$V$21:$V$1172,'15_태양기하'!$A$21:$A$1172,C85)/SUMIFS('15_태양기하'!$N$21:$N$1172,'15_태양기하'!$A$21:$A$1172,C85))</f>
        <v/>
      </c>
      <c r="N85" s="86">
        <f>L85*M85+K85*(1+COS(RADIANS('13_시나리오비교'!$B$11)))/2+F85*'11_발전량_모델'!$B$9*(1-COS(RADIANS('13_시나리오비교'!$B$11)))/2</f>
        <v/>
      </c>
      <c r="O85" s="86">
        <f>N85*D85</f>
        <v/>
      </c>
      <c r="P85" s="86">
        <f>O85*'11_발전량_모델'!$B$11*'11_발전량_모델'!$B$12*(1-'11_발전량_모델'!$B$13)*'11_발전량_모델'!$B$14</f>
        <v/>
      </c>
      <c r="Q85" s="86">
        <f>P85*'11_발전량_모델'!$B$10/1000</f>
        <v/>
      </c>
    </row>
    <row r="86">
      <c r="A86" s="86" t="n">
        <v>8</v>
      </c>
      <c r="B86" s="86">
        <f>'13_시나리오비교'!$A$12</f>
        <v/>
      </c>
      <c r="C86" s="86" t="n">
        <v>1</v>
      </c>
      <c r="D86" s="86">
        <f>'11_발전량_모델'!B22</f>
        <v/>
      </c>
      <c r="E86" s="86">
        <f>'11_발전량_모델'!C22</f>
        <v/>
      </c>
      <c r="F86" s="86">
        <f>'11_발전량_모델'!D22</f>
        <v/>
      </c>
      <c r="G86" s="86">
        <f>'11_발전량_모델'!E22</f>
        <v/>
      </c>
      <c r="H86" s="86">
        <f>'11_발전량_모델'!F22</f>
        <v/>
      </c>
      <c r="I86" s="86">
        <f>'11_발전량_모델'!G22</f>
        <v/>
      </c>
      <c r="J86" s="86">
        <f>'11_발전량_모델'!H22</f>
        <v/>
      </c>
      <c r="K86" s="86">
        <f>'11_발전량_모델'!I22</f>
        <v/>
      </c>
      <c r="L86" s="86">
        <f>'11_발전량_모델'!J22</f>
        <v/>
      </c>
      <c r="M86" s="86">
        <f>IF(SUMIFS('15_태양기하'!$N$21:$N$1172,'15_태양기하'!$A$21:$A$1172,C86)=0,0,SUMIFS('15_태양기하'!$W$21:$W$1172,'15_태양기하'!$A$21:$A$1172,C86)/SUMIFS('15_태양기하'!$N$21:$N$1172,'15_태양기하'!$A$21:$A$1172,C86))</f>
        <v/>
      </c>
      <c r="N86" s="86">
        <f>L86*M86+K86*(1+COS(RADIANS('13_시나리오비교'!$B$12)))/2+F86*'11_발전량_모델'!$B$9*(1-COS(RADIANS('13_시나리오비교'!$B$12)))/2</f>
        <v/>
      </c>
      <c r="O86" s="86">
        <f>N86*D86</f>
        <v/>
      </c>
      <c r="P86" s="86">
        <f>O86*'11_발전량_모델'!$B$11*'11_발전량_모델'!$B$12*(1-'11_발전량_모델'!$B$13)*'11_발전량_모델'!$B$14</f>
        <v/>
      </c>
      <c r="Q86" s="86">
        <f>P86*'11_발전량_모델'!$B$10/1000</f>
        <v/>
      </c>
    </row>
    <row r="87">
      <c r="A87" s="86" t="n">
        <v>8</v>
      </c>
      <c r="B87" s="86">
        <f>'13_시나리오비교'!$A$12</f>
        <v/>
      </c>
      <c r="C87" s="86" t="n">
        <v>2</v>
      </c>
      <c r="D87" s="86">
        <f>'11_발전량_모델'!B23</f>
        <v/>
      </c>
      <c r="E87" s="86">
        <f>'11_발전량_모델'!C23</f>
        <v/>
      </c>
      <c r="F87" s="86">
        <f>'11_발전량_모델'!D23</f>
        <v/>
      </c>
      <c r="G87" s="86">
        <f>'11_발전량_모델'!E23</f>
        <v/>
      </c>
      <c r="H87" s="86">
        <f>'11_발전량_모델'!F23</f>
        <v/>
      </c>
      <c r="I87" s="86">
        <f>'11_발전량_모델'!G23</f>
        <v/>
      </c>
      <c r="J87" s="86">
        <f>'11_발전량_모델'!H23</f>
        <v/>
      </c>
      <c r="K87" s="86">
        <f>'11_발전량_모델'!I23</f>
        <v/>
      </c>
      <c r="L87" s="86">
        <f>'11_발전량_모델'!J23</f>
        <v/>
      </c>
      <c r="M87" s="86">
        <f>IF(SUMIFS('15_태양기하'!$N$21:$N$1172,'15_태양기하'!$A$21:$A$1172,C87)=0,0,SUMIFS('15_태양기하'!$W$21:$W$1172,'15_태양기하'!$A$21:$A$1172,C87)/SUMIFS('15_태양기하'!$N$21:$N$1172,'15_태양기하'!$A$21:$A$1172,C87))</f>
        <v/>
      </c>
      <c r="N87" s="86">
        <f>L87*M87+K87*(1+COS(RADIANS('13_시나리오비교'!$B$12)))/2+F87*'11_발전량_모델'!$B$9*(1-COS(RADIANS('13_시나리오비교'!$B$12)))/2</f>
        <v/>
      </c>
      <c r="O87" s="86">
        <f>N87*D87</f>
        <v/>
      </c>
      <c r="P87" s="86">
        <f>O87*'11_발전량_모델'!$B$11*'11_발전량_모델'!$B$12*(1-'11_발전량_모델'!$B$13)*'11_발전량_모델'!$B$14</f>
        <v/>
      </c>
      <c r="Q87" s="86">
        <f>P87*'11_발전량_모델'!$B$10/1000</f>
        <v/>
      </c>
    </row>
    <row r="88">
      <c r="A88" s="86" t="n">
        <v>8</v>
      </c>
      <c r="B88" s="86">
        <f>'13_시나리오비교'!$A$12</f>
        <v/>
      </c>
      <c r="C88" s="86" t="n">
        <v>3</v>
      </c>
      <c r="D88" s="86">
        <f>'11_발전량_모델'!B24</f>
        <v/>
      </c>
      <c r="E88" s="86">
        <f>'11_발전량_모델'!C24</f>
        <v/>
      </c>
      <c r="F88" s="86">
        <f>'11_발전량_모델'!D24</f>
        <v/>
      </c>
      <c r="G88" s="86">
        <f>'11_발전량_모델'!E24</f>
        <v/>
      </c>
      <c r="H88" s="86">
        <f>'11_발전량_모델'!F24</f>
        <v/>
      </c>
      <c r="I88" s="86">
        <f>'11_발전량_모델'!G24</f>
        <v/>
      </c>
      <c r="J88" s="86">
        <f>'11_발전량_모델'!H24</f>
        <v/>
      </c>
      <c r="K88" s="86">
        <f>'11_발전량_모델'!I24</f>
        <v/>
      </c>
      <c r="L88" s="86">
        <f>'11_발전량_모델'!J24</f>
        <v/>
      </c>
      <c r="M88" s="86">
        <f>IF(SUMIFS('15_태양기하'!$N$21:$N$1172,'15_태양기하'!$A$21:$A$1172,C88)=0,0,SUMIFS('15_태양기하'!$W$21:$W$1172,'15_태양기하'!$A$21:$A$1172,C88)/SUMIFS('15_태양기하'!$N$21:$N$1172,'15_태양기하'!$A$21:$A$1172,C88))</f>
        <v/>
      </c>
      <c r="N88" s="86">
        <f>L88*M88+K88*(1+COS(RADIANS('13_시나리오비교'!$B$12)))/2+F88*'11_발전량_모델'!$B$9*(1-COS(RADIANS('13_시나리오비교'!$B$12)))/2</f>
        <v/>
      </c>
      <c r="O88" s="86">
        <f>N88*D88</f>
        <v/>
      </c>
      <c r="P88" s="86">
        <f>O88*'11_발전량_모델'!$B$11*'11_발전량_모델'!$B$12*(1-'11_발전량_모델'!$B$13)*'11_발전량_모델'!$B$14</f>
        <v/>
      </c>
      <c r="Q88" s="86">
        <f>P88*'11_발전량_모델'!$B$10/1000</f>
        <v/>
      </c>
    </row>
    <row r="89">
      <c r="A89" s="86" t="n">
        <v>8</v>
      </c>
      <c r="B89" s="86">
        <f>'13_시나리오비교'!$A$12</f>
        <v/>
      </c>
      <c r="C89" s="86" t="n">
        <v>4</v>
      </c>
      <c r="D89" s="86">
        <f>'11_발전량_모델'!B25</f>
        <v/>
      </c>
      <c r="E89" s="86">
        <f>'11_발전량_모델'!C25</f>
        <v/>
      </c>
      <c r="F89" s="86">
        <f>'11_발전량_모델'!D25</f>
        <v/>
      </c>
      <c r="G89" s="86">
        <f>'11_발전량_모델'!E25</f>
        <v/>
      </c>
      <c r="H89" s="86">
        <f>'11_발전량_모델'!F25</f>
        <v/>
      </c>
      <c r="I89" s="86">
        <f>'11_발전량_모델'!G25</f>
        <v/>
      </c>
      <c r="J89" s="86">
        <f>'11_발전량_모델'!H25</f>
        <v/>
      </c>
      <c r="K89" s="86">
        <f>'11_발전량_모델'!I25</f>
        <v/>
      </c>
      <c r="L89" s="86">
        <f>'11_발전량_모델'!J25</f>
        <v/>
      </c>
      <c r="M89" s="86">
        <f>IF(SUMIFS('15_태양기하'!$N$21:$N$1172,'15_태양기하'!$A$21:$A$1172,C89)=0,0,SUMIFS('15_태양기하'!$W$21:$W$1172,'15_태양기하'!$A$21:$A$1172,C89)/SUMIFS('15_태양기하'!$N$21:$N$1172,'15_태양기하'!$A$21:$A$1172,C89))</f>
        <v/>
      </c>
      <c r="N89" s="86">
        <f>L89*M89+K89*(1+COS(RADIANS('13_시나리오비교'!$B$12)))/2+F89*'11_발전량_모델'!$B$9*(1-COS(RADIANS('13_시나리오비교'!$B$12)))/2</f>
        <v/>
      </c>
      <c r="O89" s="86">
        <f>N89*D89</f>
        <v/>
      </c>
      <c r="P89" s="86">
        <f>O89*'11_발전량_모델'!$B$11*'11_발전량_모델'!$B$12*(1-'11_발전량_모델'!$B$13)*'11_발전량_모델'!$B$14</f>
        <v/>
      </c>
      <c r="Q89" s="86">
        <f>P89*'11_발전량_모델'!$B$10/1000</f>
        <v/>
      </c>
    </row>
    <row r="90">
      <c r="A90" s="86" t="n">
        <v>8</v>
      </c>
      <c r="B90" s="86">
        <f>'13_시나리오비교'!$A$12</f>
        <v/>
      </c>
      <c r="C90" s="86" t="n">
        <v>5</v>
      </c>
      <c r="D90" s="86">
        <f>'11_발전량_모델'!B26</f>
        <v/>
      </c>
      <c r="E90" s="86">
        <f>'11_발전량_모델'!C26</f>
        <v/>
      </c>
      <c r="F90" s="86">
        <f>'11_발전량_모델'!D26</f>
        <v/>
      </c>
      <c r="G90" s="86">
        <f>'11_발전량_모델'!E26</f>
        <v/>
      </c>
      <c r="H90" s="86">
        <f>'11_발전량_모델'!F26</f>
        <v/>
      </c>
      <c r="I90" s="86">
        <f>'11_발전량_모델'!G26</f>
        <v/>
      </c>
      <c r="J90" s="86">
        <f>'11_발전량_모델'!H26</f>
        <v/>
      </c>
      <c r="K90" s="86">
        <f>'11_발전량_모델'!I26</f>
        <v/>
      </c>
      <c r="L90" s="86">
        <f>'11_발전량_모델'!J26</f>
        <v/>
      </c>
      <c r="M90" s="86">
        <f>IF(SUMIFS('15_태양기하'!$N$21:$N$1172,'15_태양기하'!$A$21:$A$1172,C90)=0,0,SUMIFS('15_태양기하'!$W$21:$W$1172,'15_태양기하'!$A$21:$A$1172,C90)/SUMIFS('15_태양기하'!$N$21:$N$1172,'15_태양기하'!$A$21:$A$1172,C90))</f>
        <v/>
      </c>
      <c r="N90" s="86">
        <f>L90*M90+K90*(1+COS(RADIANS('13_시나리오비교'!$B$12)))/2+F90*'11_발전량_모델'!$B$9*(1-COS(RADIANS('13_시나리오비교'!$B$12)))/2</f>
        <v/>
      </c>
      <c r="O90" s="86">
        <f>N90*D90</f>
        <v/>
      </c>
      <c r="P90" s="86">
        <f>O90*'11_발전량_모델'!$B$11*'11_발전량_모델'!$B$12*(1-'11_발전량_모델'!$B$13)*'11_발전량_모델'!$B$14</f>
        <v/>
      </c>
      <c r="Q90" s="86">
        <f>P90*'11_발전량_모델'!$B$10/1000</f>
        <v/>
      </c>
    </row>
    <row r="91">
      <c r="A91" s="86" t="n">
        <v>8</v>
      </c>
      <c r="B91" s="86">
        <f>'13_시나리오비교'!$A$12</f>
        <v/>
      </c>
      <c r="C91" s="86" t="n">
        <v>6</v>
      </c>
      <c r="D91" s="86">
        <f>'11_발전량_모델'!B27</f>
        <v/>
      </c>
      <c r="E91" s="86">
        <f>'11_발전량_모델'!C27</f>
        <v/>
      </c>
      <c r="F91" s="86">
        <f>'11_발전량_모델'!D27</f>
        <v/>
      </c>
      <c r="G91" s="86">
        <f>'11_발전량_모델'!E27</f>
        <v/>
      </c>
      <c r="H91" s="86">
        <f>'11_발전량_모델'!F27</f>
        <v/>
      </c>
      <c r="I91" s="86">
        <f>'11_발전량_모델'!G27</f>
        <v/>
      </c>
      <c r="J91" s="86">
        <f>'11_발전량_모델'!H27</f>
        <v/>
      </c>
      <c r="K91" s="86">
        <f>'11_발전량_모델'!I27</f>
        <v/>
      </c>
      <c r="L91" s="86">
        <f>'11_발전량_모델'!J27</f>
        <v/>
      </c>
      <c r="M91" s="86">
        <f>IF(SUMIFS('15_태양기하'!$N$21:$N$1172,'15_태양기하'!$A$21:$A$1172,C91)=0,0,SUMIFS('15_태양기하'!$W$21:$W$1172,'15_태양기하'!$A$21:$A$1172,C91)/SUMIFS('15_태양기하'!$N$21:$N$1172,'15_태양기하'!$A$21:$A$1172,C91))</f>
        <v/>
      </c>
      <c r="N91" s="86">
        <f>L91*M91+K91*(1+COS(RADIANS('13_시나리오비교'!$B$12)))/2+F91*'11_발전량_모델'!$B$9*(1-COS(RADIANS('13_시나리오비교'!$B$12)))/2</f>
        <v/>
      </c>
      <c r="O91" s="86">
        <f>N91*D91</f>
        <v/>
      </c>
      <c r="P91" s="86">
        <f>O91*'11_발전량_모델'!$B$11*'11_발전량_모델'!$B$12*(1-'11_발전량_모델'!$B$13)*'11_발전량_모델'!$B$14</f>
        <v/>
      </c>
      <c r="Q91" s="86">
        <f>P91*'11_발전량_모델'!$B$10/1000</f>
        <v/>
      </c>
    </row>
    <row r="92">
      <c r="A92" s="86" t="n">
        <v>8</v>
      </c>
      <c r="B92" s="86">
        <f>'13_시나리오비교'!$A$12</f>
        <v/>
      </c>
      <c r="C92" s="86" t="n">
        <v>7</v>
      </c>
      <c r="D92" s="86">
        <f>'11_발전량_모델'!B28</f>
        <v/>
      </c>
      <c r="E92" s="86">
        <f>'11_발전량_모델'!C28</f>
        <v/>
      </c>
      <c r="F92" s="86">
        <f>'11_발전량_모델'!D28</f>
        <v/>
      </c>
      <c r="G92" s="86">
        <f>'11_발전량_모델'!E28</f>
        <v/>
      </c>
      <c r="H92" s="86">
        <f>'11_발전량_모델'!F28</f>
        <v/>
      </c>
      <c r="I92" s="86">
        <f>'11_발전량_모델'!G28</f>
        <v/>
      </c>
      <c r="J92" s="86">
        <f>'11_발전량_모델'!H28</f>
        <v/>
      </c>
      <c r="K92" s="86">
        <f>'11_발전량_모델'!I28</f>
        <v/>
      </c>
      <c r="L92" s="86">
        <f>'11_발전량_모델'!J28</f>
        <v/>
      </c>
      <c r="M92" s="86">
        <f>IF(SUMIFS('15_태양기하'!$N$21:$N$1172,'15_태양기하'!$A$21:$A$1172,C92)=0,0,SUMIFS('15_태양기하'!$W$21:$W$1172,'15_태양기하'!$A$21:$A$1172,C92)/SUMIFS('15_태양기하'!$N$21:$N$1172,'15_태양기하'!$A$21:$A$1172,C92))</f>
        <v/>
      </c>
      <c r="N92" s="86">
        <f>L92*M92+K92*(1+COS(RADIANS('13_시나리오비교'!$B$12)))/2+F92*'11_발전량_모델'!$B$9*(1-COS(RADIANS('13_시나리오비교'!$B$12)))/2</f>
        <v/>
      </c>
      <c r="O92" s="86">
        <f>N92*D92</f>
        <v/>
      </c>
      <c r="P92" s="86">
        <f>O92*'11_발전량_모델'!$B$11*'11_발전량_모델'!$B$12*(1-'11_발전량_모델'!$B$13)*'11_발전량_모델'!$B$14</f>
        <v/>
      </c>
      <c r="Q92" s="86">
        <f>P92*'11_발전량_모델'!$B$10/1000</f>
        <v/>
      </c>
    </row>
    <row r="93">
      <c r="A93" s="86" t="n">
        <v>8</v>
      </c>
      <c r="B93" s="86">
        <f>'13_시나리오비교'!$A$12</f>
        <v/>
      </c>
      <c r="C93" s="86" t="n">
        <v>8</v>
      </c>
      <c r="D93" s="86">
        <f>'11_발전량_모델'!B29</f>
        <v/>
      </c>
      <c r="E93" s="86">
        <f>'11_발전량_모델'!C29</f>
        <v/>
      </c>
      <c r="F93" s="86">
        <f>'11_발전량_모델'!D29</f>
        <v/>
      </c>
      <c r="G93" s="86">
        <f>'11_발전량_모델'!E29</f>
        <v/>
      </c>
      <c r="H93" s="86">
        <f>'11_발전량_모델'!F29</f>
        <v/>
      </c>
      <c r="I93" s="86">
        <f>'11_발전량_모델'!G29</f>
        <v/>
      </c>
      <c r="J93" s="86">
        <f>'11_발전량_모델'!H29</f>
        <v/>
      </c>
      <c r="K93" s="86">
        <f>'11_발전량_모델'!I29</f>
        <v/>
      </c>
      <c r="L93" s="86">
        <f>'11_발전량_모델'!J29</f>
        <v/>
      </c>
      <c r="M93" s="86">
        <f>IF(SUMIFS('15_태양기하'!$N$21:$N$1172,'15_태양기하'!$A$21:$A$1172,C93)=0,0,SUMIFS('15_태양기하'!$W$21:$W$1172,'15_태양기하'!$A$21:$A$1172,C93)/SUMIFS('15_태양기하'!$N$21:$N$1172,'15_태양기하'!$A$21:$A$1172,C93))</f>
        <v/>
      </c>
      <c r="N93" s="86">
        <f>L93*M93+K93*(1+COS(RADIANS('13_시나리오비교'!$B$12)))/2+F93*'11_발전량_모델'!$B$9*(1-COS(RADIANS('13_시나리오비교'!$B$12)))/2</f>
        <v/>
      </c>
      <c r="O93" s="86">
        <f>N93*D93</f>
        <v/>
      </c>
      <c r="P93" s="86">
        <f>O93*'11_발전량_모델'!$B$11*'11_발전량_모델'!$B$12*(1-'11_발전량_모델'!$B$13)*'11_발전량_모델'!$B$14</f>
        <v/>
      </c>
      <c r="Q93" s="86">
        <f>P93*'11_발전량_모델'!$B$10/1000</f>
        <v/>
      </c>
    </row>
    <row r="94">
      <c r="A94" s="86" t="n">
        <v>8</v>
      </c>
      <c r="B94" s="86">
        <f>'13_시나리오비교'!$A$12</f>
        <v/>
      </c>
      <c r="C94" s="86" t="n">
        <v>9</v>
      </c>
      <c r="D94" s="86">
        <f>'11_발전량_모델'!B30</f>
        <v/>
      </c>
      <c r="E94" s="86">
        <f>'11_발전량_모델'!C30</f>
        <v/>
      </c>
      <c r="F94" s="86">
        <f>'11_발전량_모델'!D30</f>
        <v/>
      </c>
      <c r="G94" s="86">
        <f>'11_발전량_모델'!E30</f>
        <v/>
      </c>
      <c r="H94" s="86">
        <f>'11_발전량_모델'!F30</f>
        <v/>
      </c>
      <c r="I94" s="86">
        <f>'11_발전량_모델'!G30</f>
        <v/>
      </c>
      <c r="J94" s="86">
        <f>'11_발전량_모델'!H30</f>
        <v/>
      </c>
      <c r="K94" s="86">
        <f>'11_발전량_모델'!I30</f>
        <v/>
      </c>
      <c r="L94" s="86">
        <f>'11_발전량_모델'!J30</f>
        <v/>
      </c>
      <c r="M94" s="86">
        <f>IF(SUMIFS('15_태양기하'!$N$21:$N$1172,'15_태양기하'!$A$21:$A$1172,C94)=0,0,SUMIFS('15_태양기하'!$W$21:$W$1172,'15_태양기하'!$A$21:$A$1172,C94)/SUMIFS('15_태양기하'!$N$21:$N$1172,'15_태양기하'!$A$21:$A$1172,C94))</f>
        <v/>
      </c>
      <c r="N94" s="86">
        <f>L94*M94+K94*(1+COS(RADIANS('13_시나리오비교'!$B$12)))/2+F94*'11_발전량_모델'!$B$9*(1-COS(RADIANS('13_시나리오비교'!$B$12)))/2</f>
        <v/>
      </c>
      <c r="O94" s="86">
        <f>N94*D94</f>
        <v/>
      </c>
      <c r="P94" s="86">
        <f>O94*'11_발전량_모델'!$B$11*'11_발전량_모델'!$B$12*(1-'11_발전량_모델'!$B$13)*'11_발전량_모델'!$B$14</f>
        <v/>
      </c>
      <c r="Q94" s="86">
        <f>P94*'11_발전량_모델'!$B$10/1000</f>
        <v/>
      </c>
    </row>
    <row r="95">
      <c r="A95" s="86" t="n">
        <v>8</v>
      </c>
      <c r="B95" s="86">
        <f>'13_시나리오비교'!$A$12</f>
        <v/>
      </c>
      <c r="C95" s="86" t="n">
        <v>10</v>
      </c>
      <c r="D95" s="86">
        <f>'11_발전량_모델'!B31</f>
        <v/>
      </c>
      <c r="E95" s="86">
        <f>'11_발전량_모델'!C31</f>
        <v/>
      </c>
      <c r="F95" s="86">
        <f>'11_발전량_모델'!D31</f>
        <v/>
      </c>
      <c r="G95" s="86">
        <f>'11_발전량_모델'!E31</f>
        <v/>
      </c>
      <c r="H95" s="86">
        <f>'11_발전량_모델'!F31</f>
        <v/>
      </c>
      <c r="I95" s="86">
        <f>'11_발전량_모델'!G31</f>
        <v/>
      </c>
      <c r="J95" s="86">
        <f>'11_발전량_모델'!H31</f>
        <v/>
      </c>
      <c r="K95" s="86">
        <f>'11_발전량_모델'!I31</f>
        <v/>
      </c>
      <c r="L95" s="86">
        <f>'11_발전량_모델'!J31</f>
        <v/>
      </c>
      <c r="M95" s="86">
        <f>IF(SUMIFS('15_태양기하'!$N$21:$N$1172,'15_태양기하'!$A$21:$A$1172,C95)=0,0,SUMIFS('15_태양기하'!$W$21:$W$1172,'15_태양기하'!$A$21:$A$1172,C95)/SUMIFS('15_태양기하'!$N$21:$N$1172,'15_태양기하'!$A$21:$A$1172,C95))</f>
        <v/>
      </c>
      <c r="N95" s="86">
        <f>L95*M95+K95*(1+COS(RADIANS('13_시나리오비교'!$B$12)))/2+F95*'11_발전량_모델'!$B$9*(1-COS(RADIANS('13_시나리오비교'!$B$12)))/2</f>
        <v/>
      </c>
      <c r="O95" s="86">
        <f>N95*D95</f>
        <v/>
      </c>
      <c r="P95" s="86">
        <f>O95*'11_발전량_모델'!$B$11*'11_발전량_모델'!$B$12*(1-'11_발전량_모델'!$B$13)*'11_발전량_모델'!$B$14</f>
        <v/>
      </c>
      <c r="Q95" s="86">
        <f>P95*'11_발전량_모델'!$B$10/1000</f>
        <v/>
      </c>
    </row>
    <row r="96">
      <c r="A96" s="86" t="n">
        <v>8</v>
      </c>
      <c r="B96" s="86">
        <f>'13_시나리오비교'!$A$12</f>
        <v/>
      </c>
      <c r="C96" s="86" t="n">
        <v>11</v>
      </c>
      <c r="D96" s="86">
        <f>'11_발전량_모델'!B32</f>
        <v/>
      </c>
      <c r="E96" s="86">
        <f>'11_발전량_모델'!C32</f>
        <v/>
      </c>
      <c r="F96" s="86">
        <f>'11_발전량_모델'!D32</f>
        <v/>
      </c>
      <c r="G96" s="86">
        <f>'11_발전량_모델'!E32</f>
        <v/>
      </c>
      <c r="H96" s="86">
        <f>'11_발전량_모델'!F32</f>
        <v/>
      </c>
      <c r="I96" s="86">
        <f>'11_발전량_모델'!G32</f>
        <v/>
      </c>
      <c r="J96" s="86">
        <f>'11_발전량_모델'!H32</f>
        <v/>
      </c>
      <c r="K96" s="86">
        <f>'11_발전량_모델'!I32</f>
        <v/>
      </c>
      <c r="L96" s="86">
        <f>'11_발전량_모델'!J32</f>
        <v/>
      </c>
      <c r="M96" s="86">
        <f>IF(SUMIFS('15_태양기하'!$N$21:$N$1172,'15_태양기하'!$A$21:$A$1172,C96)=0,0,SUMIFS('15_태양기하'!$W$21:$W$1172,'15_태양기하'!$A$21:$A$1172,C96)/SUMIFS('15_태양기하'!$N$21:$N$1172,'15_태양기하'!$A$21:$A$1172,C96))</f>
        <v/>
      </c>
      <c r="N96" s="86">
        <f>L96*M96+K96*(1+COS(RADIANS('13_시나리오비교'!$B$12)))/2+F96*'11_발전량_모델'!$B$9*(1-COS(RADIANS('13_시나리오비교'!$B$12)))/2</f>
        <v/>
      </c>
      <c r="O96" s="86">
        <f>N96*D96</f>
        <v/>
      </c>
      <c r="P96" s="86">
        <f>O96*'11_발전량_모델'!$B$11*'11_발전량_모델'!$B$12*(1-'11_발전량_모델'!$B$13)*'11_발전량_모델'!$B$14</f>
        <v/>
      </c>
      <c r="Q96" s="86">
        <f>P96*'11_발전량_모델'!$B$10/1000</f>
        <v/>
      </c>
    </row>
    <row r="97">
      <c r="A97" s="86" t="n">
        <v>8</v>
      </c>
      <c r="B97" s="86">
        <f>'13_시나리오비교'!$A$12</f>
        <v/>
      </c>
      <c r="C97" s="86" t="n">
        <v>12</v>
      </c>
      <c r="D97" s="86">
        <f>'11_발전량_모델'!B33</f>
        <v/>
      </c>
      <c r="E97" s="86">
        <f>'11_발전량_모델'!C33</f>
        <v/>
      </c>
      <c r="F97" s="86">
        <f>'11_발전량_모델'!D33</f>
        <v/>
      </c>
      <c r="G97" s="86">
        <f>'11_발전량_모델'!E33</f>
        <v/>
      </c>
      <c r="H97" s="86">
        <f>'11_발전량_모델'!F33</f>
        <v/>
      </c>
      <c r="I97" s="86">
        <f>'11_발전량_모델'!G33</f>
        <v/>
      </c>
      <c r="J97" s="86">
        <f>'11_발전량_모델'!H33</f>
        <v/>
      </c>
      <c r="K97" s="86">
        <f>'11_발전량_모델'!I33</f>
        <v/>
      </c>
      <c r="L97" s="86">
        <f>'11_발전량_모델'!J33</f>
        <v/>
      </c>
      <c r="M97" s="86">
        <f>IF(SUMIFS('15_태양기하'!$N$21:$N$1172,'15_태양기하'!$A$21:$A$1172,C97)=0,0,SUMIFS('15_태양기하'!$W$21:$W$1172,'15_태양기하'!$A$21:$A$1172,C97)/SUMIFS('15_태양기하'!$N$21:$N$1172,'15_태양기하'!$A$21:$A$1172,C97))</f>
        <v/>
      </c>
      <c r="N97" s="86">
        <f>L97*M97+K97*(1+COS(RADIANS('13_시나리오비교'!$B$12)))/2+F97*'11_발전량_모델'!$B$9*(1-COS(RADIANS('13_시나리오비교'!$B$12)))/2</f>
        <v/>
      </c>
      <c r="O97" s="86">
        <f>N97*D97</f>
        <v/>
      </c>
      <c r="P97" s="86">
        <f>O97*'11_발전량_모델'!$B$11*'11_발전량_모델'!$B$12*(1-'11_발전량_모델'!$B$13)*'11_발전량_모델'!$B$14</f>
        <v/>
      </c>
      <c r="Q97" s="86">
        <f>P97*'11_발전량_모델'!$B$10/1000</f>
        <v/>
      </c>
    </row>
    <row r="98">
      <c r="A98" s="86" t="n">
        <v>9</v>
      </c>
      <c r="B98" s="86">
        <f>'13_시나리오비교'!$A$13</f>
        <v/>
      </c>
      <c r="C98" s="86" t="n">
        <v>1</v>
      </c>
      <c r="D98" s="86">
        <f>'11_발전량_모델'!B22</f>
        <v/>
      </c>
      <c r="E98" s="86">
        <f>'11_발전량_모델'!C22</f>
        <v/>
      </c>
      <c r="F98" s="86">
        <f>'11_발전량_모델'!D22</f>
        <v/>
      </c>
      <c r="G98" s="86">
        <f>'11_발전량_모델'!E22</f>
        <v/>
      </c>
      <c r="H98" s="86">
        <f>'11_발전량_모델'!F22</f>
        <v/>
      </c>
      <c r="I98" s="86">
        <f>'11_발전량_모델'!G22</f>
        <v/>
      </c>
      <c r="J98" s="86">
        <f>'11_발전량_모델'!H22</f>
        <v/>
      </c>
      <c r="K98" s="86">
        <f>'11_발전량_모델'!I22</f>
        <v/>
      </c>
      <c r="L98" s="86">
        <f>'11_발전량_모델'!J22</f>
        <v/>
      </c>
      <c r="M98" s="86">
        <f>IF(SUMIFS('15_태양기하'!$N$21:$N$1172,'15_태양기하'!$A$21:$A$1172,C98)=0,0,SUMIFS('15_태양기하'!$X$21:$X$1172,'15_태양기하'!$A$21:$A$1172,C98)/SUMIFS('15_태양기하'!$N$21:$N$1172,'15_태양기하'!$A$21:$A$1172,C98))</f>
        <v/>
      </c>
      <c r="N98" s="86">
        <f>L98*M98+K98*(1+COS(RADIANS('13_시나리오비교'!$B$13)))/2+F98*'11_발전량_모델'!$B$9*(1-COS(RADIANS('13_시나리오비교'!$B$13)))/2</f>
        <v/>
      </c>
      <c r="O98" s="86">
        <f>N98*D98</f>
        <v/>
      </c>
      <c r="P98" s="86">
        <f>O98*'11_발전량_모델'!$B$11*'11_발전량_모델'!$B$12*(1-'11_발전량_모델'!$B$13)*'11_발전량_모델'!$B$14</f>
        <v/>
      </c>
      <c r="Q98" s="86">
        <f>P98*'11_발전량_모델'!$B$10/1000</f>
        <v/>
      </c>
    </row>
    <row r="99">
      <c r="A99" s="86" t="n">
        <v>9</v>
      </c>
      <c r="B99" s="86">
        <f>'13_시나리오비교'!$A$13</f>
        <v/>
      </c>
      <c r="C99" s="86" t="n">
        <v>2</v>
      </c>
      <c r="D99" s="86">
        <f>'11_발전량_모델'!B23</f>
        <v/>
      </c>
      <c r="E99" s="86">
        <f>'11_발전량_모델'!C23</f>
        <v/>
      </c>
      <c r="F99" s="86">
        <f>'11_발전량_모델'!D23</f>
        <v/>
      </c>
      <c r="G99" s="86">
        <f>'11_발전량_모델'!E23</f>
        <v/>
      </c>
      <c r="H99" s="86">
        <f>'11_발전량_모델'!F23</f>
        <v/>
      </c>
      <c r="I99" s="86">
        <f>'11_발전량_모델'!G23</f>
        <v/>
      </c>
      <c r="J99" s="86">
        <f>'11_발전량_모델'!H23</f>
        <v/>
      </c>
      <c r="K99" s="86">
        <f>'11_발전량_모델'!I23</f>
        <v/>
      </c>
      <c r="L99" s="86">
        <f>'11_발전량_모델'!J23</f>
        <v/>
      </c>
      <c r="M99" s="86">
        <f>IF(SUMIFS('15_태양기하'!$N$21:$N$1172,'15_태양기하'!$A$21:$A$1172,C99)=0,0,SUMIFS('15_태양기하'!$X$21:$X$1172,'15_태양기하'!$A$21:$A$1172,C99)/SUMIFS('15_태양기하'!$N$21:$N$1172,'15_태양기하'!$A$21:$A$1172,C99))</f>
        <v/>
      </c>
      <c r="N99" s="86">
        <f>L99*M99+K99*(1+COS(RADIANS('13_시나리오비교'!$B$13)))/2+F99*'11_발전량_모델'!$B$9*(1-COS(RADIANS('13_시나리오비교'!$B$13)))/2</f>
        <v/>
      </c>
      <c r="O99" s="86">
        <f>N99*D99</f>
        <v/>
      </c>
      <c r="P99" s="86">
        <f>O99*'11_발전량_모델'!$B$11*'11_발전량_모델'!$B$12*(1-'11_발전량_모델'!$B$13)*'11_발전량_모델'!$B$14</f>
        <v/>
      </c>
      <c r="Q99" s="86">
        <f>P99*'11_발전량_모델'!$B$10/1000</f>
        <v/>
      </c>
    </row>
    <row r="100">
      <c r="A100" s="86" t="n">
        <v>9</v>
      </c>
      <c r="B100" s="86">
        <f>'13_시나리오비교'!$A$13</f>
        <v/>
      </c>
      <c r="C100" s="86" t="n">
        <v>3</v>
      </c>
      <c r="D100" s="86">
        <f>'11_발전량_모델'!B24</f>
        <v/>
      </c>
      <c r="E100" s="86">
        <f>'11_발전량_모델'!C24</f>
        <v/>
      </c>
      <c r="F100" s="86">
        <f>'11_발전량_모델'!D24</f>
        <v/>
      </c>
      <c r="G100" s="86">
        <f>'11_발전량_모델'!E24</f>
        <v/>
      </c>
      <c r="H100" s="86">
        <f>'11_발전량_모델'!F24</f>
        <v/>
      </c>
      <c r="I100" s="86">
        <f>'11_발전량_모델'!G24</f>
        <v/>
      </c>
      <c r="J100" s="86">
        <f>'11_발전량_모델'!H24</f>
        <v/>
      </c>
      <c r="K100" s="86">
        <f>'11_발전량_모델'!I24</f>
        <v/>
      </c>
      <c r="L100" s="86">
        <f>'11_발전량_모델'!J24</f>
        <v/>
      </c>
      <c r="M100" s="86">
        <f>IF(SUMIFS('15_태양기하'!$N$21:$N$1172,'15_태양기하'!$A$21:$A$1172,C100)=0,0,SUMIFS('15_태양기하'!$X$21:$X$1172,'15_태양기하'!$A$21:$A$1172,C100)/SUMIFS('15_태양기하'!$N$21:$N$1172,'15_태양기하'!$A$21:$A$1172,C100))</f>
        <v/>
      </c>
      <c r="N100" s="86">
        <f>L100*M100+K100*(1+COS(RADIANS('13_시나리오비교'!$B$13)))/2+F100*'11_발전량_모델'!$B$9*(1-COS(RADIANS('13_시나리오비교'!$B$13)))/2</f>
        <v/>
      </c>
      <c r="O100" s="86">
        <f>N100*D100</f>
        <v/>
      </c>
      <c r="P100" s="86">
        <f>O100*'11_발전량_모델'!$B$11*'11_발전량_모델'!$B$12*(1-'11_발전량_모델'!$B$13)*'11_발전량_모델'!$B$14</f>
        <v/>
      </c>
      <c r="Q100" s="86">
        <f>P100*'11_발전량_모델'!$B$10/1000</f>
        <v/>
      </c>
    </row>
    <row r="101">
      <c r="A101" s="86" t="n">
        <v>9</v>
      </c>
      <c r="B101" s="86">
        <f>'13_시나리오비교'!$A$13</f>
        <v/>
      </c>
      <c r="C101" s="86" t="n">
        <v>4</v>
      </c>
      <c r="D101" s="86">
        <f>'11_발전량_모델'!B25</f>
        <v/>
      </c>
      <c r="E101" s="86">
        <f>'11_발전량_모델'!C25</f>
        <v/>
      </c>
      <c r="F101" s="86">
        <f>'11_발전량_모델'!D25</f>
        <v/>
      </c>
      <c r="G101" s="86">
        <f>'11_발전량_모델'!E25</f>
        <v/>
      </c>
      <c r="H101" s="86">
        <f>'11_발전량_모델'!F25</f>
        <v/>
      </c>
      <c r="I101" s="86">
        <f>'11_발전량_모델'!G25</f>
        <v/>
      </c>
      <c r="J101" s="86">
        <f>'11_발전량_모델'!H25</f>
        <v/>
      </c>
      <c r="K101" s="86">
        <f>'11_발전량_모델'!I25</f>
        <v/>
      </c>
      <c r="L101" s="86">
        <f>'11_발전량_모델'!J25</f>
        <v/>
      </c>
      <c r="M101" s="86">
        <f>IF(SUMIFS('15_태양기하'!$N$21:$N$1172,'15_태양기하'!$A$21:$A$1172,C101)=0,0,SUMIFS('15_태양기하'!$X$21:$X$1172,'15_태양기하'!$A$21:$A$1172,C101)/SUMIFS('15_태양기하'!$N$21:$N$1172,'15_태양기하'!$A$21:$A$1172,C101))</f>
        <v/>
      </c>
      <c r="N101" s="86">
        <f>L101*M101+K101*(1+COS(RADIANS('13_시나리오비교'!$B$13)))/2+F101*'11_발전량_모델'!$B$9*(1-COS(RADIANS('13_시나리오비교'!$B$13)))/2</f>
        <v/>
      </c>
      <c r="O101" s="86">
        <f>N101*D101</f>
        <v/>
      </c>
      <c r="P101" s="86">
        <f>O101*'11_발전량_모델'!$B$11*'11_발전량_모델'!$B$12*(1-'11_발전량_모델'!$B$13)*'11_발전량_모델'!$B$14</f>
        <v/>
      </c>
      <c r="Q101" s="86">
        <f>P101*'11_발전량_모델'!$B$10/1000</f>
        <v/>
      </c>
    </row>
    <row r="102">
      <c r="A102" s="86" t="n">
        <v>9</v>
      </c>
      <c r="B102" s="86">
        <f>'13_시나리오비교'!$A$13</f>
        <v/>
      </c>
      <c r="C102" s="86" t="n">
        <v>5</v>
      </c>
      <c r="D102" s="86">
        <f>'11_발전량_모델'!B26</f>
        <v/>
      </c>
      <c r="E102" s="86">
        <f>'11_발전량_모델'!C26</f>
        <v/>
      </c>
      <c r="F102" s="86">
        <f>'11_발전량_모델'!D26</f>
        <v/>
      </c>
      <c r="G102" s="86">
        <f>'11_발전량_모델'!E26</f>
        <v/>
      </c>
      <c r="H102" s="86">
        <f>'11_발전량_모델'!F26</f>
        <v/>
      </c>
      <c r="I102" s="86">
        <f>'11_발전량_모델'!G26</f>
        <v/>
      </c>
      <c r="J102" s="86">
        <f>'11_발전량_모델'!H26</f>
        <v/>
      </c>
      <c r="K102" s="86">
        <f>'11_발전량_모델'!I26</f>
        <v/>
      </c>
      <c r="L102" s="86">
        <f>'11_발전량_모델'!J26</f>
        <v/>
      </c>
      <c r="M102" s="86">
        <f>IF(SUMIFS('15_태양기하'!$N$21:$N$1172,'15_태양기하'!$A$21:$A$1172,C102)=0,0,SUMIFS('15_태양기하'!$X$21:$X$1172,'15_태양기하'!$A$21:$A$1172,C102)/SUMIFS('15_태양기하'!$N$21:$N$1172,'15_태양기하'!$A$21:$A$1172,C102))</f>
        <v/>
      </c>
      <c r="N102" s="86">
        <f>L102*M102+K102*(1+COS(RADIANS('13_시나리오비교'!$B$13)))/2+F102*'11_발전량_모델'!$B$9*(1-COS(RADIANS('13_시나리오비교'!$B$13)))/2</f>
        <v/>
      </c>
      <c r="O102" s="86">
        <f>N102*D102</f>
        <v/>
      </c>
      <c r="P102" s="86">
        <f>O102*'11_발전량_모델'!$B$11*'11_발전량_모델'!$B$12*(1-'11_발전량_모델'!$B$13)*'11_발전량_모델'!$B$14</f>
        <v/>
      </c>
      <c r="Q102" s="86">
        <f>P102*'11_발전량_모델'!$B$10/1000</f>
        <v/>
      </c>
    </row>
    <row r="103">
      <c r="A103" s="86" t="n">
        <v>9</v>
      </c>
      <c r="B103" s="86">
        <f>'13_시나리오비교'!$A$13</f>
        <v/>
      </c>
      <c r="C103" s="86" t="n">
        <v>6</v>
      </c>
      <c r="D103" s="86">
        <f>'11_발전량_모델'!B27</f>
        <v/>
      </c>
      <c r="E103" s="86">
        <f>'11_발전량_모델'!C27</f>
        <v/>
      </c>
      <c r="F103" s="86">
        <f>'11_발전량_모델'!D27</f>
        <v/>
      </c>
      <c r="G103" s="86">
        <f>'11_발전량_모델'!E27</f>
        <v/>
      </c>
      <c r="H103" s="86">
        <f>'11_발전량_모델'!F27</f>
        <v/>
      </c>
      <c r="I103" s="86">
        <f>'11_발전량_모델'!G27</f>
        <v/>
      </c>
      <c r="J103" s="86">
        <f>'11_발전량_모델'!H27</f>
        <v/>
      </c>
      <c r="K103" s="86">
        <f>'11_발전량_모델'!I27</f>
        <v/>
      </c>
      <c r="L103" s="86">
        <f>'11_발전량_모델'!J27</f>
        <v/>
      </c>
      <c r="M103" s="86">
        <f>IF(SUMIFS('15_태양기하'!$N$21:$N$1172,'15_태양기하'!$A$21:$A$1172,C103)=0,0,SUMIFS('15_태양기하'!$X$21:$X$1172,'15_태양기하'!$A$21:$A$1172,C103)/SUMIFS('15_태양기하'!$N$21:$N$1172,'15_태양기하'!$A$21:$A$1172,C103))</f>
        <v/>
      </c>
      <c r="N103" s="86">
        <f>L103*M103+K103*(1+COS(RADIANS('13_시나리오비교'!$B$13)))/2+F103*'11_발전량_모델'!$B$9*(1-COS(RADIANS('13_시나리오비교'!$B$13)))/2</f>
        <v/>
      </c>
      <c r="O103" s="86">
        <f>N103*D103</f>
        <v/>
      </c>
      <c r="P103" s="86">
        <f>O103*'11_발전량_모델'!$B$11*'11_발전량_모델'!$B$12*(1-'11_발전량_모델'!$B$13)*'11_발전량_모델'!$B$14</f>
        <v/>
      </c>
      <c r="Q103" s="86">
        <f>P103*'11_발전량_모델'!$B$10/1000</f>
        <v/>
      </c>
    </row>
    <row r="104">
      <c r="A104" s="86" t="n">
        <v>9</v>
      </c>
      <c r="B104" s="86">
        <f>'13_시나리오비교'!$A$13</f>
        <v/>
      </c>
      <c r="C104" s="86" t="n">
        <v>7</v>
      </c>
      <c r="D104" s="86">
        <f>'11_발전량_모델'!B28</f>
        <v/>
      </c>
      <c r="E104" s="86">
        <f>'11_발전량_모델'!C28</f>
        <v/>
      </c>
      <c r="F104" s="86">
        <f>'11_발전량_모델'!D28</f>
        <v/>
      </c>
      <c r="G104" s="86">
        <f>'11_발전량_모델'!E28</f>
        <v/>
      </c>
      <c r="H104" s="86">
        <f>'11_발전량_모델'!F28</f>
        <v/>
      </c>
      <c r="I104" s="86">
        <f>'11_발전량_모델'!G28</f>
        <v/>
      </c>
      <c r="J104" s="86">
        <f>'11_발전량_모델'!H28</f>
        <v/>
      </c>
      <c r="K104" s="86">
        <f>'11_발전량_모델'!I28</f>
        <v/>
      </c>
      <c r="L104" s="86">
        <f>'11_발전량_모델'!J28</f>
        <v/>
      </c>
      <c r="M104" s="86">
        <f>IF(SUMIFS('15_태양기하'!$N$21:$N$1172,'15_태양기하'!$A$21:$A$1172,C104)=0,0,SUMIFS('15_태양기하'!$X$21:$X$1172,'15_태양기하'!$A$21:$A$1172,C104)/SUMIFS('15_태양기하'!$N$21:$N$1172,'15_태양기하'!$A$21:$A$1172,C104))</f>
        <v/>
      </c>
      <c r="N104" s="86">
        <f>L104*M104+K104*(1+COS(RADIANS('13_시나리오비교'!$B$13)))/2+F104*'11_발전량_모델'!$B$9*(1-COS(RADIANS('13_시나리오비교'!$B$13)))/2</f>
        <v/>
      </c>
      <c r="O104" s="86">
        <f>N104*D104</f>
        <v/>
      </c>
      <c r="P104" s="86">
        <f>O104*'11_발전량_모델'!$B$11*'11_발전량_모델'!$B$12*(1-'11_발전량_모델'!$B$13)*'11_발전량_모델'!$B$14</f>
        <v/>
      </c>
      <c r="Q104" s="86">
        <f>P104*'11_발전량_모델'!$B$10/1000</f>
        <v/>
      </c>
    </row>
    <row r="105">
      <c r="A105" s="86" t="n">
        <v>9</v>
      </c>
      <c r="B105" s="86">
        <f>'13_시나리오비교'!$A$13</f>
        <v/>
      </c>
      <c r="C105" s="86" t="n">
        <v>8</v>
      </c>
      <c r="D105" s="86">
        <f>'11_발전량_모델'!B29</f>
        <v/>
      </c>
      <c r="E105" s="86">
        <f>'11_발전량_모델'!C29</f>
        <v/>
      </c>
      <c r="F105" s="86">
        <f>'11_발전량_모델'!D29</f>
        <v/>
      </c>
      <c r="G105" s="86">
        <f>'11_발전량_모델'!E29</f>
        <v/>
      </c>
      <c r="H105" s="86">
        <f>'11_발전량_모델'!F29</f>
        <v/>
      </c>
      <c r="I105" s="86">
        <f>'11_발전량_모델'!G29</f>
        <v/>
      </c>
      <c r="J105" s="86">
        <f>'11_발전량_모델'!H29</f>
        <v/>
      </c>
      <c r="K105" s="86">
        <f>'11_발전량_모델'!I29</f>
        <v/>
      </c>
      <c r="L105" s="86">
        <f>'11_발전량_모델'!J29</f>
        <v/>
      </c>
      <c r="M105" s="86">
        <f>IF(SUMIFS('15_태양기하'!$N$21:$N$1172,'15_태양기하'!$A$21:$A$1172,C105)=0,0,SUMIFS('15_태양기하'!$X$21:$X$1172,'15_태양기하'!$A$21:$A$1172,C105)/SUMIFS('15_태양기하'!$N$21:$N$1172,'15_태양기하'!$A$21:$A$1172,C105))</f>
        <v/>
      </c>
      <c r="N105" s="86">
        <f>L105*M105+K105*(1+COS(RADIANS('13_시나리오비교'!$B$13)))/2+F105*'11_발전량_모델'!$B$9*(1-COS(RADIANS('13_시나리오비교'!$B$13)))/2</f>
        <v/>
      </c>
      <c r="O105" s="86">
        <f>N105*D105</f>
        <v/>
      </c>
      <c r="P105" s="86">
        <f>O105*'11_발전량_모델'!$B$11*'11_발전량_모델'!$B$12*(1-'11_발전량_모델'!$B$13)*'11_발전량_모델'!$B$14</f>
        <v/>
      </c>
      <c r="Q105" s="86">
        <f>P105*'11_발전량_모델'!$B$10/1000</f>
        <v/>
      </c>
    </row>
    <row r="106">
      <c r="A106" s="86" t="n">
        <v>9</v>
      </c>
      <c r="B106" s="86">
        <f>'13_시나리오비교'!$A$13</f>
        <v/>
      </c>
      <c r="C106" s="86" t="n">
        <v>9</v>
      </c>
      <c r="D106" s="86">
        <f>'11_발전량_모델'!B30</f>
        <v/>
      </c>
      <c r="E106" s="86">
        <f>'11_발전량_모델'!C30</f>
        <v/>
      </c>
      <c r="F106" s="86">
        <f>'11_발전량_모델'!D30</f>
        <v/>
      </c>
      <c r="G106" s="86">
        <f>'11_발전량_모델'!E30</f>
        <v/>
      </c>
      <c r="H106" s="86">
        <f>'11_발전량_모델'!F30</f>
        <v/>
      </c>
      <c r="I106" s="86">
        <f>'11_발전량_모델'!G30</f>
        <v/>
      </c>
      <c r="J106" s="86">
        <f>'11_발전량_모델'!H30</f>
        <v/>
      </c>
      <c r="K106" s="86">
        <f>'11_발전량_모델'!I30</f>
        <v/>
      </c>
      <c r="L106" s="86">
        <f>'11_발전량_모델'!J30</f>
        <v/>
      </c>
      <c r="M106" s="86">
        <f>IF(SUMIFS('15_태양기하'!$N$21:$N$1172,'15_태양기하'!$A$21:$A$1172,C106)=0,0,SUMIFS('15_태양기하'!$X$21:$X$1172,'15_태양기하'!$A$21:$A$1172,C106)/SUMIFS('15_태양기하'!$N$21:$N$1172,'15_태양기하'!$A$21:$A$1172,C106))</f>
        <v/>
      </c>
      <c r="N106" s="86">
        <f>L106*M106+K106*(1+COS(RADIANS('13_시나리오비교'!$B$13)))/2+F106*'11_발전량_모델'!$B$9*(1-COS(RADIANS('13_시나리오비교'!$B$13)))/2</f>
        <v/>
      </c>
      <c r="O106" s="86">
        <f>N106*D106</f>
        <v/>
      </c>
      <c r="P106" s="86">
        <f>O106*'11_발전량_모델'!$B$11*'11_발전량_모델'!$B$12*(1-'11_발전량_모델'!$B$13)*'11_발전량_모델'!$B$14</f>
        <v/>
      </c>
      <c r="Q106" s="86">
        <f>P106*'11_발전량_모델'!$B$10/1000</f>
        <v/>
      </c>
    </row>
    <row r="107">
      <c r="A107" s="86" t="n">
        <v>9</v>
      </c>
      <c r="B107" s="86">
        <f>'13_시나리오비교'!$A$13</f>
        <v/>
      </c>
      <c r="C107" s="86" t="n">
        <v>10</v>
      </c>
      <c r="D107" s="86">
        <f>'11_발전량_모델'!B31</f>
        <v/>
      </c>
      <c r="E107" s="86">
        <f>'11_발전량_모델'!C31</f>
        <v/>
      </c>
      <c r="F107" s="86">
        <f>'11_발전량_모델'!D31</f>
        <v/>
      </c>
      <c r="G107" s="86">
        <f>'11_발전량_모델'!E31</f>
        <v/>
      </c>
      <c r="H107" s="86">
        <f>'11_발전량_모델'!F31</f>
        <v/>
      </c>
      <c r="I107" s="86">
        <f>'11_발전량_모델'!G31</f>
        <v/>
      </c>
      <c r="J107" s="86">
        <f>'11_발전량_모델'!H31</f>
        <v/>
      </c>
      <c r="K107" s="86">
        <f>'11_발전량_모델'!I31</f>
        <v/>
      </c>
      <c r="L107" s="86">
        <f>'11_발전량_모델'!J31</f>
        <v/>
      </c>
      <c r="M107" s="86">
        <f>IF(SUMIFS('15_태양기하'!$N$21:$N$1172,'15_태양기하'!$A$21:$A$1172,C107)=0,0,SUMIFS('15_태양기하'!$X$21:$X$1172,'15_태양기하'!$A$21:$A$1172,C107)/SUMIFS('15_태양기하'!$N$21:$N$1172,'15_태양기하'!$A$21:$A$1172,C107))</f>
        <v/>
      </c>
      <c r="N107" s="86">
        <f>L107*M107+K107*(1+COS(RADIANS('13_시나리오비교'!$B$13)))/2+F107*'11_발전량_모델'!$B$9*(1-COS(RADIANS('13_시나리오비교'!$B$13)))/2</f>
        <v/>
      </c>
      <c r="O107" s="86">
        <f>N107*D107</f>
        <v/>
      </c>
      <c r="P107" s="86">
        <f>O107*'11_발전량_모델'!$B$11*'11_발전량_모델'!$B$12*(1-'11_발전량_모델'!$B$13)*'11_발전량_모델'!$B$14</f>
        <v/>
      </c>
      <c r="Q107" s="86">
        <f>P107*'11_발전량_모델'!$B$10/1000</f>
        <v/>
      </c>
    </row>
    <row r="108">
      <c r="A108" s="86" t="n">
        <v>9</v>
      </c>
      <c r="B108" s="86">
        <f>'13_시나리오비교'!$A$13</f>
        <v/>
      </c>
      <c r="C108" s="86" t="n">
        <v>11</v>
      </c>
      <c r="D108" s="86">
        <f>'11_발전량_모델'!B32</f>
        <v/>
      </c>
      <c r="E108" s="86">
        <f>'11_발전량_모델'!C32</f>
        <v/>
      </c>
      <c r="F108" s="86">
        <f>'11_발전량_모델'!D32</f>
        <v/>
      </c>
      <c r="G108" s="86">
        <f>'11_발전량_모델'!E32</f>
        <v/>
      </c>
      <c r="H108" s="86">
        <f>'11_발전량_모델'!F32</f>
        <v/>
      </c>
      <c r="I108" s="86">
        <f>'11_발전량_모델'!G32</f>
        <v/>
      </c>
      <c r="J108" s="86">
        <f>'11_발전량_모델'!H32</f>
        <v/>
      </c>
      <c r="K108" s="86">
        <f>'11_발전량_모델'!I32</f>
        <v/>
      </c>
      <c r="L108" s="86">
        <f>'11_발전량_모델'!J32</f>
        <v/>
      </c>
      <c r="M108" s="86">
        <f>IF(SUMIFS('15_태양기하'!$N$21:$N$1172,'15_태양기하'!$A$21:$A$1172,C108)=0,0,SUMIFS('15_태양기하'!$X$21:$X$1172,'15_태양기하'!$A$21:$A$1172,C108)/SUMIFS('15_태양기하'!$N$21:$N$1172,'15_태양기하'!$A$21:$A$1172,C108))</f>
        <v/>
      </c>
      <c r="N108" s="86">
        <f>L108*M108+K108*(1+COS(RADIANS('13_시나리오비교'!$B$13)))/2+F108*'11_발전량_모델'!$B$9*(1-COS(RADIANS('13_시나리오비교'!$B$13)))/2</f>
        <v/>
      </c>
      <c r="O108" s="86">
        <f>N108*D108</f>
        <v/>
      </c>
      <c r="P108" s="86">
        <f>O108*'11_발전량_모델'!$B$11*'11_발전량_모델'!$B$12*(1-'11_발전량_모델'!$B$13)*'11_발전량_모델'!$B$14</f>
        <v/>
      </c>
      <c r="Q108" s="86">
        <f>P108*'11_발전량_모델'!$B$10/1000</f>
        <v/>
      </c>
    </row>
    <row r="109">
      <c r="A109" s="86" t="n">
        <v>9</v>
      </c>
      <c r="B109" s="86">
        <f>'13_시나리오비교'!$A$13</f>
        <v/>
      </c>
      <c r="C109" s="86" t="n">
        <v>12</v>
      </c>
      <c r="D109" s="86">
        <f>'11_발전량_모델'!B33</f>
        <v/>
      </c>
      <c r="E109" s="86">
        <f>'11_발전량_모델'!C33</f>
        <v/>
      </c>
      <c r="F109" s="86">
        <f>'11_발전량_모델'!D33</f>
        <v/>
      </c>
      <c r="G109" s="86">
        <f>'11_발전량_모델'!E33</f>
        <v/>
      </c>
      <c r="H109" s="86">
        <f>'11_발전량_모델'!F33</f>
        <v/>
      </c>
      <c r="I109" s="86">
        <f>'11_발전량_모델'!G33</f>
        <v/>
      </c>
      <c r="J109" s="86">
        <f>'11_발전량_모델'!H33</f>
        <v/>
      </c>
      <c r="K109" s="86">
        <f>'11_발전량_모델'!I33</f>
        <v/>
      </c>
      <c r="L109" s="86">
        <f>'11_발전량_모델'!J33</f>
        <v/>
      </c>
      <c r="M109" s="86">
        <f>IF(SUMIFS('15_태양기하'!$N$21:$N$1172,'15_태양기하'!$A$21:$A$1172,C109)=0,0,SUMIFS('15_태양기하'!$X$21:$X$1172,'15_태양기하'!$A$21:$A$1172,C109)/SUMIFS('15_태양기하'!$N$21:$N$1172,'15_태양기하'!$A$21:$A$1172,C109))</f>
        <v/>
      </c>
      <c r="N109" s="86">
        <f>L109*M109+K109*(1+COS(RADIANS('13_시나리오비교'!$B$13)))/2+F109*'11_발전량_모델'!$B$9*(1-COS(RADIANS('13_시나리오비교'!$B$13)))/2</f>
        <v/>
      </c>
      <c r="O109" s="86">
        <f>N109*D109</f>
        <v/>
      </c>
      <c r="P109" s="86">
        <f>O109*'11_발전량_모델'!$B$11*'11_발전량_모델'!$B$12*(1-'11_발전량_모델'!$B$13)*'11_발전량_모델'!$B$14</f>
        <v/>
      </c>
      <c r="Q109" s="86">
        <f>P109*'11_발전량_모델'!$B$10/1000</f>
        <v/>
      </c>
    </row>
    <row r="110">
      <c r="A110" s="86" t="n">
        <v>10</v>
      </c>
      <c r="B110" s="86">
        <f>'13_시나리오비교'!$A$14</f>
        <v/>
      </c>
      <c r="C110" s="86" t="n">
        <v>1</v>
      </c>
      <c r="D110" s="86">
        <f>'11_발전량_모델'!B22</f>
        <v/>
      </c>
      <c r="E110" s="86">
        <f>'11_발전량_모델'!C22</f>
        <v/>
      </c>
      <c r="F110" s="86">
        <f>'11_발전량_모델'!D22</f>
        <v/>
      </c>
      <c r="G110" s="86">
        <f>'11_발전량_모델'!E22</f>
        <v/>
      </c>
      <c r="H110" s="86">
        <f>'11_발전량_모델'!F22</f>
        <v/>
      </c>
      <c r="I110" s="86">
        <f>'11_발전량_모델'!G22</f>
        <v/>
      </c>
      <c r="J110" s="86">
        <f>'11_발전량_모델'!H22</f>
        <v/>
      </c>
      <c r="K110" s="86">
        <f>'11_발전량_모델'!I22</f>
        <v/>
      </c>
      <c r="L110" s="86">
        <f>'11_발전량_모델'!J22</f>
        <v/>
      </c>
      <c r="M110" s="86">
        <f>IF(SUMIFS('15_태양기하'!$N$21:$N$1172,'15_태양기하'!$A$21:$A$1172,C110)=0,0,SUMIFS('15_태양기하'!$Y$21:$Y$1172,'15_태양기하'!$A$21:$A$1172,C110)/SUMIFS('15_태양기하'!$N$21:$N$1172,'15_태양기하'!$A$21:$A$1172,C110))</f>
        <v/>
      </c>
      <c r="N110" s="86">
        <f>L110*M110+K110*(1+COS(RADIANS('13_시나리오비교'!$B$14)))/2+F110*'11_발전량_모델'!$B$9*(1-COS(RADIANS('13_시나리오비교'!$B$14)))/2</f>
        <v/>
      </c>
      <c r="O110" s="86">
        <f>N110*D110</f>
        <v/>
      </c>
      <c r="P110" s="86">
        <f>O110*'11_발전량_모델'!$B$11*'11_발전량_모델'!$B$12*(1-'11_발전량_모델'!$B$13)*'11_발전량_모델'!$B$14</f>
        <v/>
      </c>
      <c r="Q110" s="86">
        <f>P110*'11_발전량_모델'!$B$10/1000</f>
        <v/>
      </c>
    </row>
    <row r="111">
      <c r="A111" s="86" t="n">
        <v>10</v>
      </c>
      <c r="B111" s="86">
        <f>'13_시나리오비교'!$A$14</f>
        <v/>
      </c>
      <c r="C111" s="86" t="n">
        <v>2</v>
      </c>
      <c r="D111" s="86">
        <f>'11_발전량_모델'!B23</f>
        <v/>
      </c>
      <c r="E111" s="86">
        <f>'11_발전량_모델'!C23</f>
        <v/>
      </c>
      <c r="F111" s="86">
        <f>'11_발전량_모델'!D23</f>
        <v/>
      </c>
      <c r="G111" s="86">
        <f>'11_발전량_모델'!E23</f>
        <v/>
      </c>
      <c r="H111" s="86">
        <f>'11_발전량_모델'!F23</f>
        <v/>
      </c>
      <c r="I111" s="86">
        <f>'11_발전량_모델'!G23</f>
        <v/>
      </c>
      <c r="J111" s="86">
        <f>'11_발전량_모델'!H23</f>
        <v/>
      </c>
      <c r="K111" s="86">
        <f>'11_발전량_모델'!I23</f>
        <v/>
      </c>
      <c r="L111" s="86">
        <f>'11_발전량_모델'!J23</f>
        <v/>
      </c>
      <c r="M111" s="86">
        <f>IF(SUMIFS('15_태양기하'!$N$21:$N$1172,'15_태양기하'!$A$21:$A$1172,C111)=0,0,SUMIFS('15_태양기하'!$Y$21:$Y$1172,'15_태양기하'!$A$21:$A$1172,C111)/SUMIFS('15_태양기하'!$N$21:$N$1172,'15_태양기하'!$A$21:$A$1172,C111))</f>
        <v/>
      </c>
      <c r="N111" s="86">
        <f>L111*M111+K111*(1+COS(RADIANS('13_시나리오비교'!$B$14)))/2+F111*'11_발전량_모델'!$B$9*(1-COS(RADIANS('13_시나리오비교'!$B$14)))/2</f>
        <v/>
      </c>
      <c r="O111" s="86">
        <f>N111*D111</f>
        <v/>
      </c>
      <c r="P111" s="86">
        <f>O111*'11_발전량_모델'!$B$11*'11_발전량_모델'!$B$12*(1-'11_발전량_모델'!$B$13)*'11_발전량_모델'!$B$14</f>
        <v/>
      </c>
      <c r="Q111" s="86">
        <f>P111*'11_발전량_모델'!$B$10/1000</f>
        <v/>
      </c>
    </row>
    <row r="112">
      <c r="A112" s="86" t="n">
        <v>10</v>
      </c>
      <c r="B112" s="86">
        <f>'13_시나리오비교'!$A$14</f>
        <v/>
      </c>
      <c r="C112" s="86" t="n">
        <v>3</v>
      </c>
      <c r="D112" s="86">
        <f>'11_발전량_모델'!B24</f>
        <v/>
      </c>
      <c r="E112" s="86">
        <f>'11_발전량_모델'!C24</f>
        <v/>
      </c>
      <c r="F112" s="86">
        <f>'11_발전량_모델'!D24</f>
        <v/>
      </c>
      <c r="G112" s="86">
        <f>'11_발전량_모델'!E24</f>
        <v/>
      </c>
      <c r="H112" s="86">
        <f>'11_발전량_모델'!F24</f>
        <v/>
      </c>
      <c r="I112" s="86">
        <f>'11_발전량_모델'!G24</f>
        <v/>
      </c>
      <c r="J112" s="86">
        <f>'11_발전량_모델'!H24</f>
        <v/>
      </c>
      <c r="K112" s="86">
        <f>'11_발전량_모델'!I24</f>
        <v/>
      </c>
      <c r="L112" s="86">
        <f>'11_발전량_모델'!J24</f>
        <v/>
      </c>
      <c r="M112" s="86">
        <f>IF(SUMIFS('15_태양기하'!$N$21:$N$1172,'15_태양기하'!$A$21:$A$1172,C112)=0,0,SUMIFS('15_태양기하'!$Y$21:$Y$1172,'15_태양기하'!$A$21:$A$1172,C112)/SUMIFS('15_태양기하'!$N$21:$N$1172,'15_태양기하'!$A$21:$A$1172,C112))</f>
        <v/>
      </c>
      <c r="N112" s="86">
        <f>L112*M112+K112*(1+COS(RADIANS('13_시나리오비교'!$B$14)))/2+F112*'11_발전량_모델'!$B$9*(1-COS(RADIANS('13_시나리오비교'!$B$14)))/2</f>
        <v/>
      </c>
      <c r="O112" s="86">
        <f>N112*D112</f>
        <v/>
      </c>
      <c r="P112" s="86">
        <f>O112*'11_발전량_모델'!$B$11*'11_발전량_모델'!$B$12*(1-'11_발전량_모델'!$B$13)*'11_발전량_모델'!$B$14</f>
        <v/>
      </c>
      <c r="Q112" s="86">
        <f>P112*'11_발전량_모델'!$B$10/1000</f>
        <v/>
      </c>
    </row>
    <row r="113">
      <c r="A113" s="86" t="n">
        <v>10</v>
      </c>
      <c r="B113" s="86">
        <f>'13_시나리오비교'!$A$14</f>
        <v/>
      </c>
      <c r="C113" s="86" t="n">
        <v>4</v>
      </c>
      <c r="D113" s="86">
        <f>'11_발전량_모델'!B25</f>
        <v/>
      </c>
      <c r="E113" s="86">
        <f>'11_발전량_모델'!C25</f>
        <v/>
      </c>
      <c r="F113" s="86">
        <f>'11_발전량_모델'!D25</f>
        <v/>
      </c>
      <c r="G113" s="86">
        <f>'11_발전량_모델'!E25</f>
        <v/>
      </c>
      <c r="H113" s="86">
        <f>'11_발전량_모델'!F25</f>
        <v/>
      </c>
      <c r="I113" s="86">
        <f>'11_발전량_모델'!G25</f>
        <v/>
      </c>
      <c r="J113" s="86">
        <f>'11_발전량_모델'!H25</f>
        <v/>
      </c>
      <c r="K113" s="86">
        <f>'11_발전량_모델'!I25</f>
        <v/>
      </c>
      <c r="L113" s="86">
        <f>'11_발전량_모델'!J25</f>
        <v/>
      </c>
      <c r="M113" s="86">
        <f>IF(SUMIFS('15_태양기하'!$N$21:$N$1172,'15_태양기하'!$A$21:$A$1172,C113)=0,0,SUMIFS('15_태양기하'!$Y$21:$Y$1172,'15_태양기하'!$A$21:$A$1172,C113)/SUMIFS('15_태양기하'!$N$21:$N$1172,'15_태양기하'!$A$21:$A$1172,C113))</f>
        <v/>
      </c>
      <c r="N113" s="86">
        <f>L113*M113+K113*(1+COS(RADIANS('13_시나리오비교'!$B$14)))/2+F113*'11_발전량_모델'!$B$9*(1-COS(RADIANS('13_시나리오비교'!$B$14)))/2</f>
        <v/>
      </c>
      <c r="O113" s="86">
        <f>N113*D113</f>
        <v/>
      </c>
      <c r="P113" s="86">
        <f>O113*'11_발전량_모델'!$B$11*'11_발전량_모델'!$B$12*(1-'11_발전량_모델'!$B$13)*'11_발전량_모델'!$B$14</f>
        <v/>
      </c>
      <c r="Q113" s="86">
        <f>P113*'11_발전량_모델'!$B$10/1000</f>
        <v/>
      </c>
    </row>
    <row r="114">
      <c r="A114" s="86" t="n">
        <v>10</v>
      </c>
      <c r="B114" s="86">
        <f>'13_시나리오비교'!$A$14</f>
        <v/>
      </c>
      <c r="C114" s="86" t="n">
        <v>5</v>
      </c>
      <c r="D114" s="86">
        <f>'11_발전량_모델'!B26</f>
        <v/>
      </c>
      <c r="E114" s="86">
        <f>'11_발전량_모델'!C26</f>
        <v/>
      </c>
      <c r="F114" s="86">
        <f>'11_발전량_모델'!D26</f>
        <v/>
      </c>
      <c r="G114" s="86">
        <f>'11_발전량_모델'!E26</f>
        <v/>
      </c>
      <c r="H114" s="86">
        <f>'11_발전량_모델'!F26</f>
        <v/>
      </c>
      <c r="I114" s="86">
        <f>'11_발전량_모델'!G26</f>
        <v/>
      </c>
      <c r="J114" s="86">
        <f>'11_발전량_모델'!H26</f>
        <v/>
      </c>
      <c r="K114" s="86">
        <f>'11_발전량_모델'!I26</f>
        <v/>
      </c>
      <c r="L114" s="86">
        <f>'11_발전량_모델'!J26</f>
        <v/>
      </c>
      <c r="M114" s="86">
        <f>IF(SUMIFS('15_태양기하'!$N$21:$N$1172,'15_태양기하'!$A$21:$A$1172,C114)=0,0,SUMIFS('15_태양기하'!$Y$21:$Y$1172,'15_태양기하'!$A$21:$A$1172,C114)/SUMIFS('15_태양기하'!$N$21:$N$1172,'15_태양기하'!$A$21:$A$1172,C114))</f>
        <v/>
      </c>
      <c r="N114" s="86">
        <f>L114*M114+K114*(1+COS(RADIANS('13_시나리오비교'!$B$14)))/2+F114*'11_발전량_모델'!$B$9*(1-COS(RADIANS('13_시나리오비교'!$B$14)))/2</f>
        <v/>
      </c>
      <c r="O114" s="86">
        <f>N114*D114</f>
        <v/>
      </c>
      <c r="P114" s="86">
        <f>O114*'11_발전량_모델'!$B$11*'11_발전량_모델'!$B$12*(1-'11_발전량_모델'!$B$13)*'11_발전량_모델'!$B$14</f>
        <v/>
      </c>
      <c r="Q114" s="86">
        <f>P114*'11_발전량_모델'!$B$10/1000</f>
        <v/>
      </c>
    </row>
    <row r="115">
      <c r="A115" s="86" t="n">
        <v>10</v>
      </c>
      <c r="B115" s="86">
        <f>'13_시나리오비교'!$A$14</f>
        <v/>
      </c>
      <c r="C115" s="86" t="n">
        <v>6</v>
      </c>
      <c r="D115" s="86">
        <f>'11_발전량_모델'!B27</f>
        <v/>
      </c>
      <c r="E115" s="86">
        <f>'11_발전량_모델'!C27</f>
        <v/>
      </c>
      <c r="F115" s="86">
        <f>'11_발전량_모델'!D27</f>
        <v/>
      </c>
      <c r="G115" s="86">
        <f>'11_발전량_모델'!E27</f>
        <v/>
      </c>
      <c r="H115" s="86">
        <f>'11_발전량_모델'!F27</f>
        <v/>
      </c>
      <c r="I115" s="86">
        <f>'11_발전량_모델'!G27</f>
        <v/>
      </c>
      <c r="J115" s="86">
        <f>'11_발전량_모델'!H27</f>
        <v/>
      </c>
      <c r="K115" s="86">
        <f>'11_발전량_모델'!I27</f>
        <v/>
      </c>
      <c r="L115" s="86">
        <f>'11_발전량_모델'!J27</f>
        <v/>
      </c>
      <c r="M115" s="86">
        <f>IF(SUMIFS('15_태양기하'!$N$21:$N$1172,'15_태양기하'!$A$21:$A$1172,C115)=0,0,SUMIFS('15_태양기하'!$Y$21:$Y$1172,'15_태양기하'!$A$21:$A$1172,C115)/SUMIFS('15_태양기하'!$N$21:$N$1172,'15_태양기하'!$A$21:$A$1172,C115))</f>
        <v/>
      </c>
      <c r="N115" s="86">
        <f>L115*M115+K115*(1+COS(RADIANS('13_시나리오비교'!$B$14)))/2+F115*'11_발전량_모델'!$B$9*(1-COS(RADIANS('13_시나리오비교'!$B$14)))/2</f>
        <v/>
      </c>
      <c r="O115" s="86">
        <f>N115*D115</f>
        <v/>
      </c>
      <c r="P115" s="86">
        <f>O115*'11_발전량_모델'!$B$11*'11_발전량_모델'!$B$12*(1-'11_발전량_모델'!$B$13)*'11_발전량_모델'!$B$14</f>
        <v/>
      </c>
      <c r="Q115" s="86">
        <f>P115*'11_발전량_모델'!$B$10/1000</f>
        <v/>
      </c>
    </row>
    <row r="116">
      <c r="A116" s="86" t="n">
        <v>10</v>
      </c>
      <c r="B116" s="86">
        <f>'13_시나리오비교'!$A$14</f>
        <v/>
      </c>
      <c r="C116" s="86" t="n">
        <v>7</v>
      </c>
      <c r="D116" s="86">
        <f>'11_발전량_모델'!B28</f>
        <v/>
      </c>
      <c r="E116" s="86">
        <f>'11_발전량_모델'!C28</f>
        <v/>
      </c>
      <c r="F116" s="86">
        <f>'11_발전량_모델'!D28</f>
        <v/>
      </c>
      <c r="G116" s="86">
        <f>'11_발전량_모델'!E28</f>
        <v/>
      </c>
      <c r="H116" s="86">
        <f>'11_발전량_모델'!F28</f>
        <v/>
      </c>
      <c r="I116" s="86">
        <f>'11_발전량_모델'!G28</f>
        <v/>
      </c>
      <c r="J116" s="86">
        <f>'11_발전량_모델'!H28</f>
        <v/>
      </c>
      <c r="K116" s="86">
        <f>'11_발전량_모델'!I28</f>
        <v/>
      </c>
      <c r="L116" s="86">
        <f>'11_발전량_모델'!J28</f>
        <v/>
      </c>
      <c r="M116" s="86">
        <f>IF(SUMIFS('15_태양기하'!$N$21:$N$1172,'15_태양기하'!$A$21:$A$1172,C116)=0,0,SUMIFS('15_태양기하'!$Y$21:$Y$1172,'15_태양기하'!$A$21:$A$1172,C116)/SUMIFS('15_태양기하'!$N$21:$N$1172,'15_태양기하'!$A$21:$A$1172,C116))</f>
        <v/>
      </c>
      <c r="N116" s="86">
        <f>L116*M116+K116*(1+COS(RADIANS('13_시나리오비교'!$B$14)))/2+F116*'11_발전량_모델'!$B$9*(1-COS(RADIANS('13_시나리오비교'!$B$14)))/2</f>
        <v/>
      </c>
      <c r="O116" s="86">
        <f>N116*D116</f>
        <v/>
      </c>
      <c r="P116" s="86">
        <f>O116*'11_발전량_모델'!$B$11*'11_발전량_모델'!$B$12*(1-'11_발전량_모델'!$B$13)*'11_발전량_모델'!$B$14</f>
        <v/>
      </c>
      <c r="Q116" s="86">
        <f>P116*'11_발전량_모델'!$B$10/1000</f>
        <v/>
      </c>
    </row>
    <row r="117">
      <c r="A117" s="86" t="n">
        <v>10</v>
      </c>
      <c r="B117" s="86">
        <f>'13_시나리오비교'!$A$14</f>
        <v/>
      </c>
      <c r="C117" s="86" t="n">
        <v>8</v>
      </c>
      <c r="D117" s="86">
        <f>'11_발전량_모델'!B29</f>
        <v/>
      </c>
      <c r="E117" s="86">
        <f>'11_발전량_모델'!C29</f>
        <v/>
      </c>
      <c r="F117" s="86">
        <f>'11_발전량_모델'!D29</f>
        <v/>
      </c>
      <c r="G117" s="86">
        <f>'11_발전량_모델'!E29</f>
        <v/>
      </c>
      <c r="H117" s="86">
        <f>'11_발전량_모델'!F29</f>
        <v/>
      </c>
      <c r="I117" s="86">
        <f>'11_발전량_모델'!G29</f>
        <v/>
      </c>
      <c r="J117" s="86">
        <f>'11_발전량_모델'!H29</f>
        <v/>
      </c>
      <c r="K117" s="86">
        <f>'11_발전량_모델'!I29</f>
        <v/>
      </c>
      <c r="L117" s="86">
        <f>'11_발전량_모델'!J29</f>
        <v/>
      </c>
      <c r="M117" s="86">
        <f>IF(SUMIFS('15_태양기하'!$N$21:$N$1172,'15_태양기하'!$A$21:$A$1172,C117)=0,0,SUMIFS('15_태양기하'!$Y$21:$Y$1172,'15_태양기하'!$A$21:$A$1172,C117)/SUMIFS('15_태양기하'!$N$21:$N$1172,'15_태양기하'!$A$21:$A$1172,C117))</f>
        <v/>
      </c>
      <c r="N117" s="86">
        <f>L117*M117+K117*(1+COS(RADIANS('13_시나리오비교'!$B$14)))/2+F117*'11_발전량_모델'!$B$9*(1-COS(RADIANS('13_시나리오비교'!$B$14)))/2</f>
        <v/>
      </c>
      <c r="O117" s="86">
        <f>N117*D117</f>
        <v/>
      </c>
      <c r="P117" s="86">
        <f>O117*'11_발전량_모델'!$B$11*'11_발전량_모델'!$B$12*(1-'11_발전량_모델'!$B$13)*'11_발전량_모델'!$B$14</f>
        <v/>
      </c>
      <c r="Q117" s="86">
        <f>P117*'11_발전량_모델'!$B$10/1000</f>
        <v/>
      </c>
    </row>
    <row r="118">
      <c r="A118" s="86" t="n">
        <v>10</v>
      </c>
      <c r="B118" s="86">
        <f>'13_시나리오비교'!$A$14</f>
        <v/>
      </c>
      <c r="C118" s="86" t="n">
        <v>9</v>
      </c>
      <c r="D118" s="86">
        <f>'11_발전량_모델'!B30</f>
        <v/>
      </c>
      <c r="E118" s="86">
        <f>'11_발전량_모델'!C30</f>
        <v/>
      </c>
      <c r="F118" s="86">
        <f>'11_발전량_모델'!D30</f>
        <v/>
      </c>
      <c r="G118" s="86">
        <f>'11_발전량_모델'!E30</f>
        <v/>
      </c>
      <c r="H118" s="86">
        <f>'11_발전량_모델'!F30</f>
        <v/>
      </c>
      <c r="I118" s="86">
        <f>'11_발전량_모델'!G30</f>
        <v/>
      </c>
      <c r="J118" s="86">
        <f>'11_발전량_모델'!H30</f>
        <v/>
      </c>
      <c r="K118" s="86">
        <f>'11_발전량_모델'!I30</f>
        <v/>
      </c>
      <c r="L118" s="86">
        <f>'11_발전량_모델'!J30</f>
        <v/>
      </c>
      <c r="M118" s="86">
        <f>IF(SUMIFS('15_태양기하'!$N$21:$N$1172,'15_태양기하'!$A$21:$A$1172,C118)=0,0,SUMIFS('15_태양기하'!$Y$21:$Y$1172,'15_태양기하'!$A$21:$A$1172,C118)/SUMIFS('15_태양기하'!$N$21:$N$1172,'15_태양기하'!$A$21:$A$1172,C118))</f>
        <v/>
      </c>
      <c r="N118" s="86">
        <f>L118*M118+K118*(1+COS(RADIANS('13_시나리오비교'!$B$14)))/2+F118*'11_발전량_모델'!$B$9*(1-COS(RADIANS('13_시나리오비교'!$B$14)))/2</f>
        <v/>
      </c>
      <c r="O118" s="86">
        <f>N118*D118</f>
        <v/>
      </c>
      <c r="P118" s="86">
        <f>O118*'11_발전량_모델'!$B$11*'11_발전량_모델'!$B$12*(1-'11_발전량_모델'!$B$13)*'11_발전량_모델'!$B$14</f>
        <v/>
      </c>
      <c r="Q118" s="86">
        <f>P118*'11_발전량_모델'!$B$10/1000</f>
        <v/>
      </c>
    </row>
    <row r="119">
      <c r="A119" s="86" t="n">
        <v>10</v>
      </c>
      <c r="B119" s="86">
        <f>'13_시나리오비교'!$A$14</f>
        <v/>
      </c>
      <c r="C119" s="86" t="n">
        <v>10</v>
      </c>
      <c r="D119" s="86">
        <f>'11_발전량_모델'!B31</f>
        <v/>
      </c>
      <c r="E119" s="86">
        <f>'11_발전량_모델'!C31</f>
        <v/>
      </c>
      <c r="F119" s="86">
        <f>'11_발전량_모델'!D31</f>
        <v/>
      </c>
      <c r="G119" s="86">
        <f>'11_발전량_모델'!E31</f>
        <v/>
      </c>
      <c r="H119" s="86">
        <f>'11_발전량_모델'!F31</f>
        <v/>
      </c>
      <c r="I119" s="86">
        <f>'11_발전량_모델'!G31</f>
        <v/>
      </c>
      <c r="J119" s="86">
        <f>'11_발전량_모델'!H31</f>
        <v/>
      </c>
      <c r="K119" s="86">
        <f>'11_발전량_모델'!I31</f>
        <v/>
      </c>
      <c r="L119" s="86">
        <f>'11_발전량_모델'!J31</f>
        <v/>
      </c>
      <c r="M119" s="86">
        <f>IF(SUMIFS('15_태양기하'!$N$21:$N$1172,'15_태양기하'!$A$21:$A$1172,C119)=0,0,SUMIFS('15_태양기하'!$Y$21:$Y$1172,'15_태양기하'!$A$21:$A$1172,C119)/SUMIFS('15_태양기하'!$N$21:$N$1172,'15_태양기하'!$A$21:$A$1172,C119))</f>
        <v/>
      </c>
      <c r="N119" s="86">
        <f>L119*M119+K119*(1+COS(RADIANS('13_시나리오비교'!$B$14)))/2+F119*'11_발전량_모델'!$B$9*(1-COS(RADIANS('13_시나리오비교'!$B$14)))/2</f>
        <v/>
      </c>
      <c r="O119" s="86">
        <f>N119*D119</f>
        <v/>
      </c>
      <c r="P119" s="86">
        <f>O119*'11_발전량_모델'!$B$11*'11_발전량_모델'!$B$12*(1-'11_발전량_모델'!$B$13)*'11_발전량_모델'!$B$14</f>
        <v/>
      </c>
      <c r="Q119" s="86">
        <f>P119*'11_발전량_모델'!$B$10/1000</f>
        <v/>
      </c>
    </row>
    <row r="120">
      <c r="A120" s="86" t="n">
        <v>10</v>
      </c>
      <c r="B120" s="86">
        <f>'13_시나리오비교'!$A$14</f>
        <v/>
      </c>
      <c r="C120" s="86" t="n">
        <v>11</v>
      </c>
      <c r="D120" s="86">
        <f>'11_발전량_모델'!B32</f>
        <v/>
      </c>
      <c r="E120" s="86">
        <f>'11_발전량_모델'!C32</f>
        <v/>
      </c>
      <c r="F120" s="86">
        <f>'11_발전량_모델'!D32</f>
        <v/>
      </c>
      <c r="G120" s="86">
        <f>'11_발전량_모델'!E32</f>
        <v/>
      </c>
      <c r="H120" s="86">
        <f>'11_발전량_모델'!F32</f>
        <v/>
      </c>
      <c r="I120" s="86">
        <f>'11_발전량_모델'!G32</f>
        <v/>
      </c>
      <c r="J120" s="86">
        <f>'11_발전량_모델'!H32</f>
        <v/>
      </c>
      <c r="K120" s="86">
        <f>'11_발전량_모델'!I32</f>
        <v/>
      </c>
      <c r="L120" s="86">
        <f>'11_발전량_모델'!J32</f>
        <v/>
      </c>
      <c r="M120" s="86">
        <f>IF(SUMIFS('15_태양기하'!$N$21:$N$1172,'15_태양기하'!$A$21:$A$1172,C120)=0,0,SUMIFS('15_태양기하'!$Y$21:$Y$1172,'15_태양기하'!$A$21:$A$1172,C120)/SUMIFS('15_태양기하'!$N$21:$N$1172,'15_태양기하'!$A$21:$A$1172,C120))</f>
        <v/>
      </c>
      <c r="N120" s="86">
        <f>L120*M120+K120*(1+COS(RADIANS('13_시나리오비교'!$B$14)))/2+F120*'11_발전량_모델'!$B$9*(1-COS(RADIANS('13_시나리오비교'!$B$14)))/2</f>
        <v/>
      </c>
      <c r="O120" s="86">
        <f>N120*D120</f>
        <v/>
      </c>
      <c r="P120" s="86">
        <f>O120*'11_발전량_모델'!$B$11*'11_발전량_모델'!$B$12*(1-'11_발전량_모델'!$B$13)*'11_발전량_모델'!$B$14</f>
        <v/>
      </c>
      <c r="Q120" s="86">
        <f>P120*'11_발전량_모델'!$B$10/1000</f>
        <v/>
      </c>
    </row>
    <row r="121">
      <c r="A121" s="86" t="n">
        <v>10</v>
      </c>
      <c r="B121" s="86">
        <f>'13_시나리오비교'!$A$14</f>
        <v/>
      </c>
      <c r="C121" s="86" t="n">
        <v>12</v>
      </c>
      <c r="D121" s="86">
        <f>'11_발전량_모델'!B33</f>
        <v/>
      </c>
      <c r="E121" s="86">
        <f>'11_발전량_모델'!C33</f>
        <v/>
      </c>
      <c r="F121" s="86">
        <f>'11_발전량_모델'!D33</f>
        <v/>
      </c>
      <c r="G121" s="86">
        <f>'11_발전량_모델'!E33</f>
        <v/>
      </c>
      <c r="H121" s="86">
        <f>'11_발전량_모델'!F33</f>
        <v/>
      </c>
      <c r="I121" s="86">
        <f>'11_발전량_모델'!G33</f>
        <v/>
      </c>
      <c r="J121" s="86">
        <f>'11_발전량_모델'!H33</f>
        <v/>
      </c>
      <c r="K121" s="86">
        <f>'11_발전량_모델'!I33</f>
        <v/>
      </c>
      <c r="L121" s="86">
        <f>'11_발전량_모델'!J33</f>
        <v/>
      </c>
      <c r="M121" s="86">
        <f>IF(SUMIFS('15_태양기하'!$N$21:$N$1172,'15_태양기하'!$A$21:$A$1172,C121)=0,0,SUMIFS('15_태양기하'!$Y$21:$Y$1172,'15_태양기하'!$A$21:$A$1172,C121)/SUMIFS('15_태양기하'!$N$21:$N$1172,'15_태양기하'!$A$21:$A$1172,C121))</f>
        <v/>
      </c>
      <c r="N121" s="86">
        <f>L121*M121+K121*(1+COS(RADIANS('13_시나리오비교'!$B$14)))/2+F121*'11_발전량_모델'!$B$9*(1-COS(RADIANS('13_시나리오비교'!$B$14)))/2</f>
        <v/>
      </c>
      <c r="O121" s="86">
        <f>N121*D121</f>
        <v/>
      </c>
      <c r="P121" s="86">
        <f>O121*'11_발전량_모델'!$B$11*'11_발전량_모델'!$B$12*(1-'11_발전량_모델'!$B$13)*'11_발전량_모델'!$B$14</f>
        <v/>
      </c>
      <c r="Q121" s="86">
        <f>P121*'11_발전량_모델'!$B$10/1000</f>
        <v/>
      </c>
    </row>
    <row r="123">
      <c r="A123" s="78" t="inlineStr">
        <is>
          <t>※ '13_시나리오비교' 시트의 SUMIFS 집계를 위한 보조 계산 시트입니다. 직접 편집하지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PrimeGrid</dc:creator>
  <dc:title>태양광 발전량 성능진단 기준모델</dc:title>
  <dc:subject>문서 v1.0 / 모델 MVP-0.2.0</dc:subject>
  <dcterms:created xsi:type="dcterms:W3CDTF">2026-08-03T20:53:41Z</dcterms:created>
  <dcterms:modified xsi:type="dcterms:W3CDTF">2026-08-03T20:53:43Z</dcterms:modified>
</cp:coreProperties>
</file>